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CADASTR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JAN" sheetId="5" state="visible" r:id="rId5"/>
    <sheet xmlns:r="http://schemas.openxmlformats.org/officeDocument/2006/relationships" name="FEV" sheetId="6" state="visible" r:id="rId6"/>
    <sheet xmlns:r="http://schemas.openxmlformats.org/officeDocument/2006/relationships" name="MAR" sheetId="7" state="visible" r:id="rId7"/>
    <sheet xmlns:r="http://schemas.openxmlformats.org/officeDocument/2006/relationships" name="ABR" sheetId="8" state="visible" r:id="rId8"/>
    <sheet xmlns:r="http://schemas.openxmlformats.org/officeDocument/2006/relationships" name="MAI" sheetId="9" state="visible" r:id="rId9"/>
    <sheet xmlns:r="http://schemas.openxmlformats.org/officeDocument/2006/relationships" name="JUN" sheetId="10" state="visible" r:id="rId10"/>
    <sheet xmlns:r="http://schemas.openxmlformats.org/officeDocument/2006/relationships" name="JUL" sheetId="11" state="visible" r:id="rId11"/>
    <sheet xmlns:r="http://schemas.openxmlformats.org/officeDocument/2006/relationships" name="AGO" sheetId="12" state="visible" r:id="rId12"/>
    <sheet xmlns:r="http://schemas.openxmlformats.org/officeDocument/2006/relationships" name="SET" sheetId="13" state="visible" r:id="rId13"/>
    <sheet xmlns:r="http://schemas.openxmlformats.org/officeDocument/2006/relationships" name="OUT" sheetId="14" state="visible" r:id="rId14"/>
    <sheet xmlns:r="http://schemas.openxmlformats.org/officeDocument/2006/relationships" name="OUT · DIA A DIA" sheetId="15" state="visible" r:id="rId15"/>
    <sheet xmlns:r="http://schemas.openxmlformats.org/officeDocument/2006/relationships" name="CHECAGEM OUT" sheetId="16" state="visible" r:id="rId16"/>
    <sheet xmlns:r="http://schemas.openxmlformats.org/officeDocument/2006/relationships" name="NOV" sheetId="17" state="visible" r:id="rId17"/>
    <sheet xmlns:r="http://schemas.openxmlformats.org/officeDocument/2006/relationships" name="DEZ" sheetId="18" state="visible" r:id="rId18"/>
    <sheet xmlns:r="http://schemas.openxmlformats.org/officeDocument/2006/relationships" name="PAINEL ANO" sheetId="19" state="visible" r:id="rId19"/>
    <sheet xmlns:r="http://schemas.openxmlformats.org/officeDocument/2006/relationships" name="SENIOR" sheetId="20" state="visible" r:id="rId20"/>
    <sheet xmlns:r="http://schemas.openxmlformats.org/officeDocument/2006/relationships" name="VALIDADOR" sheetId="21" state="visible" r:id="rId21"/>
    <sheet xmlns:r="http://schemas.openxmlformats.org/officeDocument/2006/relationships" name="DADOS DASH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;-0;0"/>
    <numFmt numFmtId="166" formatCode="0.0"/>
  </numFmts>
  <fonts count="53">
    <font>
      <name val="Calibri"/>
      <family val="2"/>
      <color theme="1"/>
      <sz val="11"/>
      <scheme val="minor"/>
    </font>
    <font>
      <name val="Fraunces"/>
      <b val="1"/>
      <color rgb="003A2E2A"/>
      <sz val="15"/>
    </font>
    <font>
      <name val="Fraunces"/>
      <b val="1"/>
      <color rgb="005A4E8C"/>
      <sz val="11"/>
    </font>
    <font>
      <name val="Nunito"/>
      <color rgb="003A2E2A"/>
      <sz val="10"/>
    </font>
    <font>
      <name val="Nunito"/>
      <color rgb="006B5C56"/>
      <sz val="10"/>
    </font>
    <font>
      <name val="Nunito"/>
      <b val="1"/>
      <color rgb="00FFFFFF"/>
      <sz val="9"/>
    </font>
    <font>
      <name val="Nunito"/>
      <b val="1"/>
      <strike val="0"/>
      <color rgb="003A2E2A"/>
      <sz val="10"/>
    </font>
    <font>
      <name val="Nunito"/>
      <b val="1"/>
      <strike val="0"/>
      <color rgb="00FFFFFF"/>
      <sz val="10"/>
    </font>
    <font>
      <name val="Nunito"/>
      <b val="1"/>
      <strike val="0"/>
      <color rgb="00C77264"/>
      <sz val="10"/>
    </font>
    <font>
      <name val="Nunito"/>
      <b val="1"/>
      <i val="1"/>
      <strike val="1"/>
      <color rgb="009A8A82"/>
      <sz val="10"/>
    </font>
    <font>
      <name val="Nunito"/>
      <b val="1"/>
      <color rgb="003A2E2A"/>
      <sz val="10"/>
    </font>
    <font>
      <name val="Nunito"/>
      <color rgb="006B5C56"/>
      <sz val="9"/>
    </font>
    <font>
      <name val="Nunito"/>
      <color rgb="00C77264"/>
      <sz val="10"/>
    </font>
    <font>
      <name val="Nunito"/>
      <i val="1"/>
      <color rgb="009A8A82"/>
      <sz val="9"/>
    </font>
    <font>
      <name val="Nunito"/>
      <b val="1"/>
      <color rgb="003A2E2A"/>
      <sz val="9"/>
    </font>
    <font>
      <name val="Nunito"/>
      <color rgb="003A2E2A"/>
      <sz val="9"/>
    </font>
    <font>
      <name val="Nunito"/>
      <b val="1"/>
      <color rgb="00C77264"/>
      <sz val="10"/>
    </font>
    <font>
      <name val="Nunito"/>
      <b val="1"/>
      <color rgb="009A8A82"/>
      <sz val="9"/>
    </font>
    <font>
      <name val="Nunito"/>
      <color rgb="009A8A82"/>
      <sz val="9"/>
    </font>
    <font>
      <name val="Nunito"/>
      <b val="1"/>
      <color rgb="005A4E8C"/>
      <sz val="11"/>
    </font>
    <font>
      <name val="Nunito"/>
      <i val="1"/>
      <color rgb="006B5C56"/>
      <sz val="9"/>
    </font>
    <font>
      <name val="Fraunces"/>
      <b val="1"/>
      <color rgb="003A2E2A"/>
      <sz val="14"/>
    </font>
    <font>
      <name val="Nunito"/>
      <i val="1"/>
      <color rgb="009A8A82"/>
      <sz val="8"/>
    </font>
    <font>
      <name val="Nunito"/>
      <b val="1"/>
      <color rgb="006B5C56"/>
      <sz val="7"/>
    </font>
    <font>
      <name val="Nunito"/>
      <color rgb="00C77264"/>
      <sz val="8"/>
    </font>
    <font>
      <name val="Nunito"/>
      <color rgb="009A8A82"/>
      <sz val="8"/>
    </font>
    <font>
      <name val="Nunito"/>
      <b val="1"/>
      <color rgb="00FFFFFF"/>
      <sz val="8"/>
    </font>
    <font>
      <name val="Nunito"/>
      <color rgb="009A8A82"/>
      <sz val="7"/>
    </font>
    <font>
      <name val="Nunito"/>
      <i val="1"/>
      <color rgb="009A8A82"/>
      <sz val="7"/>
    </font>
    <font>
      <name val="Nunito"/>
      <color rgb="006B5C56"/>
      <sz val="8"/>
    </font>
    <font>
      <name val="Nunito"/>
      <b val="1"/>
      <color rgb="003A2E2A"/>
      <sz val="8"/>
    </font>
    <font>
      <name val="Nunito"/>
      <color rgb="003A2E2A"/>
      <sz val="8"/>
    </font>
    <font>
      <name val="Nunito"/>
      <b val="1"/>
      <color rgb="00C77264"/>
      <sz val="8"/>
    </font>
    <font>
      <name val="Nunito"/>
      <i val="1"/>
      <strike val="1"/>
      <color rgb="009A8A82"/>
      <sz val="8"/>
    </font>
    <font>
      <name val="Nunito"/>
      <b val="1"/>
      <color rgb="005A4E8C"/>
      <sz val="9"/>
    </font>
    <font>
      <name val="Nunito"/>
      <b val="1"/>
      <color rgb="00C77264"/>
      <sz val="9"/>
    </font>
    <font>
      <name val="Nunito"/>
      <b val="1"/>
      <color rgb="003A2E2A"/>
      <sz val="11"/>
    </font>
    <font>
      <name val="Nunito"/>
      <color rgb="00C77264"/>
      <sz val="9"/>
    </font>
    <font>
      <name val="Nunito"/>
      <b val="1"/>
      <color rgb="00FFFFFF"/>
      <sz val="11"/>
    </font>
    <font>
      <name val="Fraunces"/>
      <b val="1"/>
      <color rgb="005A4E8C"/>
      <sz val="12"/>
    </font>
    <font>
      <name val="Nunito"/>
      <b val="1"/>
      <color rgb="005A4E8C"/>
      <sz val="10"/>
    </font>
    <font>
      <name val="Nunito"/>
      <b val="1"/>
      <color rgb="00C77264"/>
      <sz val="13"/>
    </font>
    <font>
      <name val="Nunito"/>
      <b val="1"/>
      <color rgb="005A4E8C"/>
      <sz val="8"/>
    </font>
    <font>
      <name val="Fraunces"/>
      <b val="1"/>
      <color rgb="00C77264"/>
      <sz val="12"/>
    </font>
    <font>
      <name val="Fraunces"/>
      <b val="1"/>
      <color rgb="006B5C56"/>
      <sz val="12"/>
    </font>
    <font>
      <name val="Nunito"/>
      <b val="1"/>
      <color rgb="006B5C56"/>
      <sz val="8"/>
    </font>
    <font>
      <name val="Caveat"/>
      <color rgb="00A299CB"/>
      <sz val="13"/>
    </font>
    <font>
      <name val="Fraunces"/>
      <b val="1"/>
      <color rgb="003A2E2A"/>
      <sz val="22"/>
    </font>
    <font>
      <name val="Nunito"/>
      <b val="1"/>
      <color rgb="009A8A82"/>
      <sz val="8"/>
    </font>
    <font>
      <name val="Fraunces"/>
      <b val="1"/>
      <color rgb="005A4E8C"/>
      <sz val="40"/>
    </font>
    <font>
      <name val="Fraunces"/>
      <b val="1"/>
      <color rgb="005A4E8C"/>
      <sz val="26"/>
    </font>
    <font>
      <name val="Fraunces"/>
      <b val="1"/>
      <color rgb="00C77264"/>
      <sz val="26"/>
    </font>
    <font>
      <name val="Nunito"/>
      <i val="1"/>
      <color rgb="005A4E8C"/>
      <sz val="9"/>
    </font>
  </fonts>
  <fills count="23">
    <fill>
      <patternFill/>
    </fill>
    <fill>
      <patternFill patternType="gray125"/>
    </fill>
    <fill>
      <patternFill patternType="solid">
        <fgColor rgb="005A4E8C"/>
      </patternFill>
    </fill>
    <fill>
      <patternFill patternType="solid">
        <fgColor rgb="00FBF1E1"/>
      </patternFill>
    </fill>
    <fill>
      <patternFill patternType="solid">
        <fgColor rgb="00EAF2F9"/>
      </patternFill>
    </fill>
    <fill>
      <patternFill patternType="solid">
        <fgColor rgb="00E8C79A"/>
      </patternFill>
    </fill>
    <fill>
      <patternFill patternType="solid">
        <fgColor rgb="00A299CB"/>
      </patternFill>
    </fill>
    <fill>
      <patternFill patternType="solid">
        <fgColor rgb="00FAEAF2"/>
      </patternFill>
    </fill>
    <fill>
      <patternFill patternType="solid">
        <fgColor rgb="00EBE8E5"/>
      </patternFill>
    </fill>
    <fill>
      <patternFill patternType="solid">
        <fgColor rgb="00E8F6F8"/>
      </patternFill>
    </fill>
    <fill>
      <patternFill patternType="solid">
        <fgColor rgb="00F1EFE0"/>
      </patternFill>
    </fill>
    <fill>
      <patternFill patternType="solid">
        <fgColor rgb="00E9F0E4"/>
      </patternFill>
    </fill>
    <fill>
      <patternFill patternType="solid">
        <fgColor rgb="00EDE7F6"/>
      </patternFill>
    </fill>
    <fill>
      <patternFill patternType="solid">
        <fgColor rgb="00FBE9E5"/>
      </patternFill>
    </fill>
    <fill>
      <patternFill patternType="solid">
        <fgColor rgb="009AD8E1"/>
      </patternFill>
    </fill>
    <fill>
      <patternFill patternType="solid">
        <fgColor rgb="00A4D498"/>
      </patternFill>
    </fill>
    <fill>
      <patternFill patternType="solid">
        <fgColor rgb="00E79BC4"/>
      </patternFill>
    </fill>
    <fill>
      <patternFill patternType="solid">
        <fgColor rgb="00ECEAF4"/>
      </patternFill>
    </fill>
    <fill>
      <patternFill patternType="solid">
        <fgColor rgb="00FFFAF3"/>
      </patternFill>
    </fill>
    <fill>
      <patternFill patternType="solid">
        <fgColor rgb="00FAF3E8"/>
      </patternFill>
    </fill>
    <fill>
      <patternFill patternType="solid">
        <fgColor rgb="00C77264"/>
      </patternFill>
    </fill>
    <fill>
      <patternFill patternType="solid">
        <fgColor rgb="00E7A59C"/>
      </patternFill>
    </fill>
    <fill>
      <patternFill patternType="solid">
        <fgColor rgb="00453A73"/>
      </patternFill>
    </fill>
  </fills>
  <borders count="21">
    <border>
      <left/>
      <right/>
      <top/>
      <bottom/>
      <diagonal/>
    </border>
    <border>
      <left style="thin">
        <color rgb="00EBE8E5"/>
      </left>
      <right style="thin">
        <color rgb="00EBE8E5"/>
      </right>
      <top style="thin">
        <color rgb="00EBE8E5"/>
      </top>
      <bottom style="thin">
        <color rgb="00EBE8E5"/>
      </bottom>
    </border>
    <border>
      <bottom style="thin">
        <color rgb="00DAD3CD"/>
      </bottom>
    </border>
    <border>
      <left style="thin">
        <color rgb="00EBE8E5"/>
      </left>
      <top style="thin">
        <color rgb="00EBE8E5"/>
      </top>
    </border>
    <border>
      <top style="thin">
        <color rgb="00EBE8E5"/>
      </top>
    </border>
    <border>
      <right style="thin">
        <color rgb="00EBE8E5"/>
      </right>
      <top style="thin">
        <color rgb="00EBE8E5"/>
      </top>
    </border>
    <border>
      <left style="thin">
        <color rgb="00EBE8E5"/>
      </left>
    </border>
    <border/>
    <border>
      <right style="thin">
        <color rgb="00EBE8E5"/>
      </right>
    </border>
    <border>
      <left style="thin">
        <color rgb="00EBE8E5"/>
      </left>
      <bottom style="thin">
        <color rgb="00EBE8E5"/>
      </bottom>
    </border>
    <border>
      <bottom style="thin">
        <color rgb="00EBE8E5"/>
      </bottom>
    </border>
    <border>
      <right style="thin">
        <color rgb="00EBE8E5"/>
      </right>
      <bottom style="thin">
        <color rgb="00EBE8E5"/>
      </bottom>
    </border>
    <border>
      <left style="thin">
        <color rgb="00EBE8E5"/>
      </left>
      <right style="thin">
        <color rgb="00EBE8E5"/>
      </right>
      <top style="thin">
        <color rgb="00EBE8E5"/>
      </top>
    </border>
    <border>
      <left/>
      <right/>
      <top style="thin">
        <color rgb="00EBE8E5"/>
      </top>
      <bottom/>
      <diagonal/>
    </border>
    <border>
      <left/>
      <right style="thin">
        <color rgb="00EBE8E5"/>
      </right>
      <top style="thin">
        <color rgb="00EBE8E5"/>
      </top>
      <bottom/>
      <diagonal/>
    </border>
    <border>
      <left style="thin">
        <color rgb="00EBE8E5"/>
      </left>
      <right style="thin">
        <color rgb="00EBE8E5"/>
      </right>
    </border>
    <border>
      <left style="thin">
        <color rgb="00EBE8E5"/>
      </left>
      <right/>
      <top/>
      <bottom/>
      <diagonal/>
    </border>
    <border>
      <left/>
      <right style="thin">
        <color rgb="00EBE8E5"/>
      </right>
      <top/>
      <bottom/>
      <diagonal/>
    </border>
    <border>
      <left style="thin">
        <color rgb="00EBE8E5"/>
      </left>
      <right style="thin">
        <color rgb="00EBE8E5"/>
      </right>
      <bottom style="thin">
        <color rgb="00EBE8E5"/>
      </bottom>
    </border>
    <border>
      <left/>
      <right/>
      <top/>
      <bottom style="thin">
        <color rgb="00EBE8E5"/>
      </bottom>
      <diagonal/>
    </border>
    <border>
      <left/>
      <right style="thin">
        <color rgb="00EBE8E5"/>
      </right>
      <top/>
      <bottom style="thin">
        <color rgb="00EBE8E5"/>
      </bottom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46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9" fillId="0" borderId="0" applyAlignment="1" pivotButton="0" quotePrefix="0" xfId="0">
      <alignment horizontal="left" vertical="center"/>
    </xf>
    <xf numFmtId="0" fontId="48" fillId="17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8" fillId="19" borderId="12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48" fillId="3" borderId="12" applyAlignment="1" pivotButton="0" quotePrefix="0" xfId="0">
      <alignment horizontal="center" vertical="center"/>
    </xf>
    <xf numFmtId="0" fontId="48" fillId="9" borderId="12" applyAlignment="1" pivotButton="0" quotePrefix="0" xfId="0">
      <alignment horizontal="center" vertical="center"/>
    </xf>
    <xf numFmtId="1" fontId="49" fillId="17" borderId="15" applyAlignment="1" pivotButton="0" quotePrefix="0" xfId="0">
      <alignment horizontal="center" vertical="center"/>
    </xf>
    <xf numFmtId="0" fontId="0" fillId="0" borderId="17" pivotButton="0" quotePrefix="0" xfId="0"/>
    <xf numFmtId="0" fontId="50" fillId="19" borderId="15" applyAlignment="1" pivotButton="0" quotePrefix="0" xfId="0">
      <alignment horizontal="center" vertical="center"/>
    </xf>
    <xf numFmtId="1" fontId="51" fillId="13" borderId="15" applyAlignment="1" pivotButton="0" quotePrefix="0" xfId="0">
      <alignment horizontal="center" vertical="center"/>
    </xf>
    <xf numFmtId="1" fontId="50" fillId="19" borderId="15" applyAlignment="1" pivotButton="0" quotePrefix="0" xfId="0">
      <alignment horizontal="center" vertical="center"/>
    </xf>
    <xf numFmtId="1" fontId="50" fillId="3" borderId="15" applyAlignment="1" pivotButton="0" quotePrefix="0" xfId="0">
      <alignment horizontal="center" vertical="center"/>
    </xf>
    <xf numFmtId="1" fontId="50" fillId="9" borderId="15" applyAlignment="1" pivotButton="0" quotePrefix="0" xfId="0">
      <alignment horizontal="center" vertical="center"/>
    </xf>
    <xf numFmtId="0" fontId="0" fillId="0" borderId="16" pivotButton="0" quotePrefix="0" xfId="0"/>
    <xf numFmtId="0" fontId="25" fillId="17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25" fillId="19" borderId="18" applyAlignment="1" pivotButton="0" quotePrefix="0" xfId="0">
      <alignment horizontal="center" vertical="center" wrapText="1"/>
    </xf>
    <xf numFmtId="0" fontId="25" fillId="13" borderId="18" applyAlignment="1" pivotButton="0" quotePrefix="0" xfId="0">
      <alignment horizontal="center" vertical="center" wrapText="1"/>
    </xf>
    <xf numFmtId="0" fontId="25" fillId="3" borderId="18" applyAlignment="1" pivotButton="0" quotePrefix="0" xfId="0">
      <alignment horizontal="center" vertical="center" wrapText="1"/>
    </xf>
    <xf numFmtId="0" fontId="25" fillId="9" borderId="18" applyAlignment="1" pivotButton="0" quotePrefix="0" xfId="0">
      <alignment horizontal="center" vertical="center" wrapText="1"/>
    </xf>
    <xf numFmtId="0" fontId="52" fillId="17" borderId="0" applyAlignment="1" pivotButton="0" quotePrefix="0" xfId="0">
      <alignment horizontal="left" vertical="center" wrapText="1"/>
    </xf>
    <xf numFmtId="0" fontId="0" fillId="17" borderId="0" pivotButton="0" quotePrefix="0" xfId="0"/>
    <xf numFmtId="0" fontId="20" fillId="0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1" fontId="11" fillId="0" borderId="10" applyAlignment="1" pivotButton="0" quotePrefix="0" xfId="0">
      <alignment horizontal="center"/>
    </xf>
    <xf numFmtId="166" fontId="11" fillId="0" borderId="10" applyAlignment="1" pivotButton="0" quotePrefix="0" xfId="0">
      <alignment horizontal="center"/>
    </xf>
    <xf numFmtId="0" fontId="14" fillId="19" borderId="0" applyAlignment="1" pivotButton="0" quotePrefix="0" xfId="0">
      <alignment horizontal="left" vertical="center"/>
    </xf>
    <xf numFmtId="1" fontId="11" fillId="19" borderId="10" applyAlignment="1" pivotButton="0" quotePrefix="0" xfId="0">
      <alignment horizontal="center"/>
    </xf>
    <xf numFmtId="166" fontId="11" fillId="19" borderId="10" applyAlignment="1" pivotButton="0" quotePrefix="0" xfId="0">
      <alignment horizontal="center"/>
    </xf>
    <xf numFmtId="0" fontId="1" fillId="18" borderId="0" pivotButton="0" quotePrefix="0" xfId="0"/>
    <xf numFmtId="0" fontId="0" fillId="18" borderId="0" pivotButton="0" quotePrefix="0" xfId="0"/>
    <xf numFmtId="0" fontId="2" fillId="18" borderId="0" pivotButton="0" quotePrefix="0" xfId="0"/>
    <xf numFmtId="0" fontId="3" fillId="18" borderId="0" applyAlignment="1" pivotButton="0" quotePrefix="0" xfId="0">
      <alignment vertical="top"/>
    </xf>
    <xf numFmtId="0" fontId="4" fillId="18" borderId="0" applyAlignment="1" pivotButton="0" quotePrefix="0" xfId="0">
      <alignment vertical="top" wrapText="1"/>
    </xf>
    <xf numFmtId="0" fontId="5" fillId="2" borderId="0" pivotButton="0" quotePrefix="0" xfId="0"/>
    <xf numFmtId="0" fontId="6" fillId="3" borderId="0" applyAlignment="1" pivotButton="0" quotePrefix="0" xfId="0">
      <alignment horizontal="center"/>
    </xf>
    <xf numFmtId="0" fontId="4" fillId="18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6" fillId="14" borderId="0" applyAlignment="1" pivotButton="0" quotePrefix="0" xfId="0">
      <alignment horizontal="center"/>
    </xf>
    <xf numFmtId="0" fontId="6" fillId="15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0" fontId="10" fillId="18" borderId="0" applyAlignment="1" pivotButton="0" quotePrefix="0" xfId="0">
      <alignment vertical="top"/>
    </xf>
    <xf numFmtId="0" fontId="10" fillId="3" borderId="0" applyAlignment="1" pivotButton="0" quotePrefix="0" xfId="0">
      <alignment horizontal="center"/>
    </xf>
    <xf numFmtId="0" fontId="11" fillId="18" borderId="0" applyAlignment="1" pivotButton="0" quotePrefix="0" xfId="0">
      <alignment vertical="top" wrapText="1"/>
    </xf>
    <xf numFmtId="0" fontId="10" fillId="1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2" fillId="18" borderId="0" applyAlignment="1" pivotButton="0" quotePrefix="0" xfId="0">
      <alignment vertical="top" wrapText="1"/>
    </xf>
    <xf numFmtId="0" fontId="13" fillId="18" borderId="0" pivotButton="0" quotePrefix="0" xfId="0"/>
    <xf numFmtId="0" fontId="5" fillId="2" borderId="0" applyAlignment="1" pivotButton="0" quotePrefix="0" xfId="0">
      <alignment horizontal="left" vertical="center"/>
    </xf>
    <xf numFmtId="0" fontId="14" fillId="18" borderId="1" applyAlignment="1" pivotButton="0" quotePrefix="0" xfId="0">
      <alignment vertical="top"/>
    </xf>
    <xf numFmtId="0" fontId="15" fillId="18" borderId="1" applyAlignment="1" pivotButton="0" quotePrefix="0" xfId="0">
      <alignment vertical="top"/>
    </xf>
    <xf numFmtId="0" fontId="15" fillId="7" borderId="1" applyAlignment="1" pivotButton="0" quotePrefix="0" xfId="0">
      <alignment vertical="top"/>
    </xf>
    <xf numFmtId="0" fontId="15" fillId="18" borderId="1" applyAlignment="1" pivotButton="0" quotePrefix="0" xfId="0">
      <alignment vertical="top" wrapText="1"/>
    </xf>
    <xf numFmtId="0" fontId="14" fillId="19" borderId="1" applyAlignment="1" pivotButton="0" quotePrefix="0" xfId="0">
      <alignment vertical="top"/>
    </xf>
    <xf numFmtId="0" fontId="15" fillId="19" borderId="1" applyAlignment="1" pivotButton="0" quotePrefix="0" xfId="0">
      <alignment vertical="top"/>
    </xf>
    <xf numFmtId="0" fontId="15" fillId="19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/>
    </xf>
    <xf numFmtId="0" fontId="15" fillId="3" borderId="1" applyAlignment="1" pivotButton="0" quotePrefix="0" xfId="0">
      <alignment vertical="top"/>
    </xf>
    <xf numFmtId="0" fontId="15" fillId="8" borderId="1" applyAlignment="1" pivotButton="0" quotePrefix="0" xfId="0">
      <alignment vertical="top"/>
    </xf>
    <xf numFmtId="0" fontId="16" fillId="18" borderId="0" pivotButton="0" quotePrefix="0" xfId="0"/>
    <xf numFmtId="0" fontId="17" fillId="18" borderId="0" pivotButton="0" quotePrefix="0" xfId="0"/>
    <xf numFmtId="0" fontId="18" fillId="18" borderId="0" pivotButton="0" quotePrefix="0" xfId="0"/>
    <xf numFmtId="0" fontId="10" fillId="18" borderId="0" pivotButton="0" quotePrefix="0" xfId="0"/>
    <xf numFmtId="0" fontId="19" fillId="18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13" fillId="18" borderId="0" applyAlignment="1" pivotButton="0" quotePrefix="0" xfId="0">
      <alignment vertical="top" wrapText="1"/>
    </xf>
    <xf numFmtId="0" fontId="14" fillId="18" borderId="1" pivotButton="0" quotePrefix="0" xfId="0"/>
    <xf numFmtId="0" fontId="15" fillId="18" borderId="1" pivotButton="0" quotePrefix="0" xfId="0"/>
    <xf numFmtId="0" fontId="20" fillId="18" borderId="0" applyAlignment="1" pivotButton="0" quotePrefix="0" xfId="0">
      <alignment vertical="top" wrapText="1"/>
    </xf>
    <xf numFmtId="0" fontId="14" fillId="18" borderId="0" pivotButton="0" quotePrefix="0" xfId="0"/>
    <xf numFmtId="0" fontId="10" fillId="18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164" fontId="19" fillId="18" borderId="1" applyAlignment="1" pivotButton="0" quotePrefix="0" xfId="0">
      <alignment horizontal="center"/>
    </xf>
    <xf numFmtId="0" fontId="5" fillId="20" borderId="1" applyAlignment="1" pivotButton="0" quotePrefix="0" xfId="0">
      <alignment horizontal="center"/>
    </xf>
    <xf numFmtId="0" fontId="11" fillId="18" borderId="1" pivotButton="0" quotePrefix="0" xfId="0"/>
    <xf numFmtId="0" fontId="11" fillId="13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  <xf numFmtId="0" fontId="21" fillId="18" borderId="0" pivotButton="0" quotePrefix="0" xfId="0"/>
    <xf numFmtId="0" fontId="22" fillId="18" borderId="0" pivotButton="0" quotePrefix="0" xfId="0"/>
    <xf numFmtId="0" fontId="0" fillId="8" borderId="0" pivotButton="0" quotePrefix="0" xfId="0"/>
    <xf numFmtId="0" fontId="23" fillId="19" borderId="0" applyAlignment="1" pivotButton="0" quotePrefix="0" xfId="0">
      <alignment horizontal="center"/>
    </xf>
    <xf numFmtId="0" fontId="5" fillId="21" borderId="0" applyAlignment="1" pivotButton="0" quotePrefix="0" xfId="0">
      <alignment horizontal="center"/>
    </xf>
    <xf numFmtId="0" fontId="14" fillId="18" borderId="0" applyAlignment="1" pivotButton="0" quotePrefix="0" xfId="0">
      <alignment horizontal="center"/>
    </xf>
    <xf numFmtId="0" fontId="14" fillId="17" borderId="0" applyAlignment="1" pivotButton="0" quotePrefix="0" xfId="0">
      <alignment horizontal="center"/>
    </xf>
    <xf numFmtId="0" fontId="23" fillId="17" borderId="0" applyAlignment="1" pivotButton="0" quotePrefix="0" xfId="0">
      <alignment horizontal="center"/>
    </xf>
    <xf numFmtId="0" fontId="27" fillId="18" borderId="0" applyAlignment="1" pivotButton="0" quotePrefix="0" xfId="0">
      <alignment horizontal="center"/>
    </xf>
    <xf numFmtId="0" fontId="25" fillId="18" borderId="0" applyAlignment="1" pivotButton="0" quotePrefix="0" xfId="0">
      <alignment horizontal="center"/>
    </xf>
    <xf numFmtId="0" fontId="26" fillId="20" borderId="0" applyAlignment="1" pivotButton="0" quotePrefix="0" xfId="0">
      <alignment horizontal="center"/>
    </xf>
    <xf numFmtId="0" fontId="24" fillId="18" borderId="0" applyAlignment="1" pivotButton="0" quotePrefix="0" xfId="0">
      <alignment horizontal="center"/>
    </xf>
    <xf numFmtId="0" fontId="28" fillId="18" borderId="0" applyAlignment="1" pivotButton="0" quotePrefix="0" xfId="0">
      <alignment horizontal="center"/>
    </xf>
    <xf numFmtId="0" fontId="26" fillId="22" borderId="0" applyAlignment="1" pivotButton="0" quotePrefix="0" xfId="0">
      <alignment horizontal="center" vertical="top" textRotation="90"/>
    </xf>
    <xf numFmtId="0" fontId="26" fillId="2" borderId="0" applyAlignment="1" pivotButton="0" quotePrefix="0" xfId="0">
      <alignment horizontal="center" vertical="top" textRotation="90"/>
    </xf>
    <xf numFmtId="0" fontId="26" fillId="20" borderId="0" applyAlignment="1" pivotButton="0" quotePrefix="0" xfId="0">
      <alignment horizontal="center" vertical="top" textRotation="90"/>
    </xf>
    <xf numFmtId="0" fontId="15" fillId="18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11" fillId="17" borderId="1" applyAlignment="1" pivotButton="0" quotePrefix="0" xfId="0">
      <alignment horizontal="center"/>
    </xf>
    <xf numFmtId="1" fontId="29" fillId="18" borderId="1" applyAlignment="1" pivotButton="0" quotePrefix="0" xfId="0">
      <alignment horizontal="center"/>
    </xf>
    <xf numFmtId="165" fontId="30" fillId="18" borderId="1" applyAlignment="1" pivotButton="0" quotePrefix="0" xfId="0">
      <alignment horizontal="center"/>
    </xf>
    <xf numFmtId="1" fontId="30" fillId="18" borderId="1" applyAlignment="1" pivotButton="0" quotePrefix="0" xfId="0">
      <alignment horizontal="center"/>
    </xf>
    <xf numFmtId="1" fontId="31" fillId="18" borderId="1" applyAlignment="1" pivotButton="0" quotePrefix="0" xfId="0">
      <alignment horizontal="center"/>
    </xf>
    <xf numFmtId="0" fontId="25" fillId="18" borderId="1" pivotButton="0" quotePrefix="0" xfId="0"/>
    <xf numFmtId="0" fontId="25" fillId="18" borderId="1" applyAlignment="1" pivotButton="0" quotePrefix="0" xfId="0">
      <alignment horizontal="center"/>
    </xf>
    <xf numFmtId="0" fontId="32" fillId="13" borderId="1" applyAlignment="1" pivotButton="0" quotePrefix="0" xfId="0">
      <alignment horizontal="center"/>
    </xf>
    <xf numFmtId="0" fontId="14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33" fillId="8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34" fillId="18" borderId="0" pivotButton="0" quotePrefix="0" xfId="0"/>
    <xf numFmtId="0" fontId="29" fillId="18" borderId="0" applyAlignment="1" pivotButton="0" quotePrefix="0" xfId="0">
      <alignment horizontal="center"/>
    </xf>
    <xf numFmtId="0" fontId="35" fillId="18" borderId="0" pivotButton="0" quotePrefix="0" xfId="0"/>
    <xf numFmtId="0" fontId="32" fillId="18" borderId="0" applyAlignment="1" pivotButton="0" quotePrefix="0" xfId="0">
      <alignment horizontal="center"/>
    </xf>
    <xf numFmtId="0" fontId="11" fillId="19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4" fillId="15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25" fillId="18" borderId="0" applyAlignment="1" pivotButton="0" quotePrefix="0" xfId="0">
      <alignment horizontal="center" vertical="top"/>
    </xf>
    <xf numFmtId="0" fontId="18" fillId="18" borderId="0" applyAlignment="1" pivotButton="0" quotePrefix="0" xfId="0">
      <alignment horizontal="center" vertical="top"/>
    </xf>
    <xf numFmtId="0" fontId="22" fillId="19" borderId="1" applyAlignment="1" pivotButton="0" quotePrefix="0" xfId="0">
      <alignment vertical="top" wrapText="1"/>
    </xf>
    <xf numFmtId="0" fontId="22" fillId="8" borderId="1" applyAlignment="1" pivotButton="0" quotePrefix="0" xfId="0">
      <alignment vertical="top" wrapText="1"/>
    </xf>
    <xf numFmtId="0" fontId="22" fillId="18" borderId="1" applyAlignment="1" pivotButton="0" quotePrefix="0" xfId="0">
      <alignment vertical="top" wrapText="1"/>
    </xf>
    <xf numFmtId="0" fontId="36" fillId="18" borderId="0" applyAlignment="1" pivotButton="0" quotePrefix="0" xfId="0">
      <alignment horizontal="center" vertical="top"/>
    </xf>
    <xf numFmtId="0" fontId="31" fillId="18" borderId="1" applyAlignment="1" pivotButton="0" quotePrefix="0" xfId="0">
      <alignment vertical="top" wrapText="1"/>
    </xf>
    <xf numFmtId="0" fontId="29" fillId="18" borderId="1" applyAlignment="1" pivotButton="0" quotePrefix="0" xfId="0">
      <alignment vertical="top" wrapText="1"/>
    </xf>
    <xf numFmtId="0" fontId="36" fillId="17" borderId="0" applyAlignment="1" pivotButton="0" quotePrefix="0" xfId="0">
      <alignment horizontal="center" vertical="top"/>
    </xf>
    <xf numFmtId="0" fontId="37" fillId="17" borderId="0" applyAlignment="1" pivotButton="0" quotePrefix="0" xfId="0">
      <alignment horizontal="center" vertical="top"/>
    </xf>
    <xf numFmtId="0" fontId="31" fillId="19" borderId="1" applyAlignment="1" pivotButton="0" quotePrefix="0" xfId="0">
      <alignment vertical="top" wrapText="1"/>
    </xf>
    <xf numFmtId="0" fontId="38" fillId="21" borderId="0" applyAlignment="1" pivotButton="0" quotePrefix="0" xfId="0">
      <alignment horizontal="center" vertical="top"/>
    </xf>
    <xf numFmtId="0" fontId="5" fillId="20" borderId="0" applyAlignment="1" pivotButton="0" quotePrefix="0" xfId="0">
      <alignment horizontal="center" vertical="top"/>
    </xf>
    <xf numFmtId="0" fontId="25" fillId="17" borderId="0" applyAlignment="1" pivotButton="0" quotePrefix="0" xfId="0">
      <alignment horizontal="center" vertical="top"/>
    </xf>
    <xf numFmtId="0" fontId="39" fillId="18" borderId="0" pivotButton="0" quotePrefix="0" xfId="0"/>
    <xf numFmtId="0" fontId="14" fillId="18" borderId="1" applyAlignment="1" pivotButton="0" quotePrefix="0" xfId="0">
      <alignment vertical="top"/>
    </xf>
    <xf numFmtId="0" fontId="0" fillId="18" borderId="1" pivotButton="0" quotePrefix="0" xfId="0"/>
    <xf numFmtId="0" fontId="11" fillId="18" borderId="1" applyAlignment="1" pivotButton="0" quotePrefix="0" xfId="0">
      <alignment vertical="top" wrapText="1"/>
    </xf>
    <xf numFmtId="0" fontId="15" fillId="18" borderId="1" applyAlignment="1" pivotButton="0" quotePrefix="0" xfId="0">
      <alignment horizontal="center" vertical="top"/>
    </xf>
    <xf numFmtId="0" fontId="14" fillId="18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center" vertical="top"/>
    </xf>
    <xf numFmtId="0" fontId="15" fillId="1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5" fillId="18" borderId="1" applyAlignment="1" pivotButton="0" quotePrefix="0" xfId="0">
      <alignment horizontal="center" vertical="top"/>
    </xf>
    <xf numFmtId="0" fontId="40" fillId="18" borderId="0" pivotButton="0" quotePrefix="0" xfId="0"/>
    <xf numFmtId="0" fontId="30" fillId="17" borderId="0" applyAlignment="1" pivotButton="0" quotePrefix="0" xfId="0">
      <alignment horizontal="center"/>
    </xf>
    <xf numFmtId="0" fontId="26" fillId="2" borderId="0" applyAlignment="1" pivotButton="0" quotePrefix="0" xfId="0">
      <alignment horizontal="center"/>
    </xf>
    <xf numFmtId="0" fontId="30" fillId="9" borderId="0" applyAlignment="1" pivotButton="0" quotePrefix="0" xfId="0">
      <alignment horizontal="center"/>
    </xf>
    <xf numFmtId="0" fontId="30" fillId="3" borderId="0" applyAlignment="1" pivotButton="0" quotePrefix="0" xfId="0">
      <alignment horizontal="center"/>
    </xf>
    <xf numFmtId="0" fontId="30" fillId="13" borderId="0" applyAlignment="1" pivotButton="0" quotePrefix="0" xfId="0">
      <alignment horizontal="center"/>
    </xf>
    <xf numFmtId="0" fontId="25" fillId="18" borderId="0" pivotButton="0" quotePrefix="0" xfId="0"/>
    <xf numFmtId="1" fontId="29" fillId="18" borderId="0" applyAlignment="1" pivotButton="0" quotePrefix="0" xfId="0">
      <alignment horizontal="center"/>
    </xf>
    <xf numFmtId="1" fontId="30" fillId="18" borderId="0" applyAlignment="1" pivotButton="0" quotePrefix="0" xfId="0">
      <alignment horizontal="center"/>
    </xf>
    <xf numFmtId="0" fontId="35" fillId="18" borderId="0" applyAlignment="1" pivotButton="0" quotePrefix="0" xfId="0">
      <alignment horizontal="center"/>
    </xf>
    <xf numFmtId="0" fontId="41" fillId="3" borderId="0" applyAlignment="1" pivotButton="0" quotePrefix="0" xfId="0">
      <alignment horizontal="center"/>
    </xf>
    <xf numFmtId="0" fontId="30" fillId="18" borderId="0" applyAlignment="1" pivotButton="0" quotePrefix="0" xfId="0">
      <alignment horizontal="center"/>
    </xf>
    <xf numFmtId="0" fontId="15" fillId="18" borderId="0" pivotButton="0" quotePrefix="0" xfId="0"/>
    <xf numFmtId="0" fontId="27" fillId="18" borderId="0" pivotButton="0" quotePrefix="0" xfId="0"/>
    <xf numFmtId="0" fontId="31" fillId="18" borderId="1" applyAlignment="1" pivotButton="0" quotePrefix="0" xfId="0">
      <alignment horizontal="center"/>
    </xf>
    <xf numFmtId="0" fontId="26" fillId="2" borderId="0" pivotButton="0" quotePrefix="0" xfId="0"/>
    <xf numFmtId="0" fontId="29" fillId="18" borderId="1" pivotButton="0" quotePrefix="0" xfId="0"/>
    <xf numFmtId="0" fontId="42" fillId="18" borderId="1" pivotButton="0" quotePrefix="0" xfId="0"/>
    <xf numFmtId="0" fontId="43" fillId="18" borderId="0" pivotButton="0" quotePrefix="0" xfId="0"/>
    <xf numFmtId="0" fontId="25" fillId="18" borderId="1" applyAlignment="1" pivotButton="0" quotePrefix="0" xfId="0">
      <alignment vertical="top"/>
    </xf>
    <xf numFmtId="0" fontId="29" fillId="18" borderId="1" applyAlignment="1" pivotButton="0" quotePrefix="0" xfId="0">
      <alignment vertical="top"/>
    </xf>
    <xf numFmtId="0" fontId="32" fillId="18" borderId="1" applyAlignment="1" pivotButton="0" quotePrefix="0" xfId="0">
      <alignment vertical="top"/>
    </xf>
    <xf numFmtId="0" fontId="44" fillId="18" borderId="0" pivotButton="0" quotePrefix="0" xfId="0"/>
    <xf numFmtId="0" fontId="45" fillId="18" borderId="1" applyAlignment="1" pivotButton="0" quotePrefix="0" xfId="0">
      <alignment vertical="top"/>
    </xf>
    <xf numFmtId="0" fontId="26" fillId="20" borderId="0" pivotButton="0" quotePrefix="0" xfId="0"/>
    <xf numFmtId="0" fontId="1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1" fontId="11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Nunito"/>
        <b val="1"/>
        <color rgb="00FFFFFF"/>
        <sz val="8"/>
      </font>
      <fill>
        <patternFill patternType="solid">
          <bgColor rgb="00E7A59C"/>
        </patternFill>
      </fill>
    </dxf>
    <dxf>
      <font>
        <name val="Nunito"/>
        <b val="1"/>
        <color rgb="003A2E2A"/>
        <sz val="8"/>
      </font>
      <fill>
        <patternFill patternType="solid">
          <bgColor rgb="00E8C79A"/>
        </patternFill>
      </fill>
    </dxf>
    <dxf>
      <font>
        <name val="Nunito"/>
        <b val="1"/>
        <color rgb="00C77264"/>
        <sz val="8"/>
      </font>
      <fill>
        <patternFill patternType="solid">
          <bgColor rgb="00FBE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colo ritmo</author>
  </authors>
  <commentList>
    <comment ref="B9" authorId="0" shapeId="0">
      <text>
        <t>Soma de tudo que faltou para o mínimo, nos três turnos, no mês inteiro (pessoas × turno × dia). Zero = escala completa.</t>
      </text>
    </comment>
    <comment ref="E9" authorId="0" shapeId="0">
      <text>
        <t>Dias em que os TRÊS turnos bateram o mínimo.</t>
      </text>
    </comment>
    <comment ref="G9" authorId="0" shapeId="0">
      <text>
        <t>Casos de noite emendando manhã (≤2h de descanso) no mês inteiro. Art. 66 CLT — o alvo é zero.</t>
      </text>
    </comment>
    <comment ref="M9" authorId="0" shapeId="0">
      <text>
        <t>Horas dentro da janela 22h–05h — insumo do adicional noturno (art. 73 CLT: hora noturna vale 52min30s, adicional mínimo de 20%).</t>
      </text>
    </comment>
    <comment ref="C17" authorId="0" shapeId="0">
      <text>
        <t>Casos de noite emendando manhã (≤2h de descanso) no mês inteiro. Art. 66 CLT — o alvo é zero.</t>
      </text>
    </comment>
    <comment ref="D17" authorId="0" shapeId="0">
      <text>
        <t>Soma de tudo que faltou para o mínimo, nos três turnos, no mês inteiro (pessoas × turno × dia). Zero = escala completa.</t>
      </text>
    </comment>
    <comment ref="E17" authorId="0" shapeId="0">
      <text>
        <t>Dias em que os TRÊS turnos bateram o mínimo.</t>
      </text>
    </comment>
    <comment ref="F17" authorId="0" shapeId="0">
      <text>
        <t>Média de pessoas por turno nos dias do mês.</t>
      </text>
    </comment>
    <comment ref="G17" authorId="0" shapeId="0">
      <text>
        <t>Média de pessoas por turno nos dias do mês.</t>
      </text>
    </comment>
    <comment ref="H17" authorId="0" shapeId="0">
      <text>
        <t>Média de pessoas por turno nos dias do mês.</t>
      </text>
    </comment>
    <comment ref="I17" authorId="0" shapeId="0">
      <text>
        <t>Horas dentro da janela 22h–05h — insumo do adicional noturno (art. 73 CLT: hora noturna vale 52min30s, adicional mínimo de 20%).</t>
      </text>
    </comment>
  </commentList>
</comments>
</file>

<file path=xl/comments/comment2.xml><?xml version="1.0" encoding="utf-8"?>
<comments xmlns="http://schemas.openxmlformats.org/spreadsheetml/2006/main">
  <authors>
    <author>colo ritmo</author>
  </authors>
  <commentList>
    <comment ref="A3" authorId="0" shapeId="0">
      <text>
        <t>Apelido usado na escala. O nome completo está no CADASTRO e na aba SENIOR.</t>
      </text>
    </comment>
    <comment ref="C3" authorId="0" shapeId="0">
      <text>
        <t>Carga horária semanal contratada, em horas.</t>
      </text>
    </comment>
    <comment ref="D3" authorId="0" shapeId="0">
      <text>
        <t>Chefia e rotina fazem manhãs seg–sex e a CH deles não entra nas contagens de plantão · administrativo não pega plantão.</t>
      </text>
    </comment>
    <comment ref="F3" authorId="0" shapeId="0">
      <text>
        <t>Posição da pessoa no rodízio de sexta-noite: sim/não, quantas por mês, ou condição especial (ex.: só quando o marido não está de plantão).</t>
      </text>
    </comment>
    <comment ref="G3" authorId="0" shapeId="0">
      <text>
        <t>Pool do fds extra obrigatório, mês sim/mês não. “SIM obrigatório” = entra sempre que for o mês dela.</t>
      </text>
    </comment>
    <comment ref="I3" authorId="0" shapeId="0">
      <text>
        <t>Horas que a pessoa deve fechar por semana civil. Em geral é a CH; 40h → 42 (uma semana de 36 por mês); Aline 40 (36 + 4 de CEP). É contra este número que o BH de cada semana é medido.</t>
      </text>
    </comment>
  </commentList>
</comments>
</file>

<file path=xl/comments/comment3.xml><?xml version="1.0" encoding="utf-8"?>
<comments xmlns="http://schemas.openxmlformats.org/spreadsheetml/2006/main">
  <authors>
    <author>colo ritmo</author>
  </authors>
  <commentList>
    <comment ref="D14" authorId="0" shapeId="0">
      <text>
        <t>1 = lançar este código cobre a lotação daquele turno. É daqui que as contagens das abas mensais derivam — mudou aqui, muda o rodapé de todos os meses.</t>
      </text>
    </comment>
    <comment ref="E14" authorId="0" shapeId="0">
      <text>
        <t>1 = lançar este código cobre a lotação daquele turno. É daqui que as contagens das abas mensais derivam — mudou aqui, muda o rodapé de todos os meses.</t>
      </text>
    </comment>
    <comment ref="F14" authorId="0" shapeId="0">
      <text>
        <t>1 = lançar este código cobre a lotação daquele turno. É daqui que as contagens das abas mensais derivam — mudou aqui, muda o rodapé de todos os meses.</t>
      </text>
    </comment>
    <comment ref="E43" authorId="0" shapeId="0">
      <text>
        <t>Demanda de fds do mês ÷ soma das cotas do grupo. Acima de 1 = o mês pede mais fim de semana do que as cotas somadas oferecem (outubro/26: 5 sábados → 1,141). O alvo justo de cada um = cota × este fator.</t>
      </text>
    </comment>
  </commentList>
</comments>
</file>

<file path=xl/comments/comment4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Janeiro: 'ESCALA FINAL JANEIRO 2026', começa no dia 2; sem arquivo Senior.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I2" authorId="0" shapeId="0">
      <text>
        <t>Confraternização — feriado.
Escala como qui: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5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Fevereiro: 'Escala fevereiro UTI HCB 2026' (sem coluna de noitinha).</t>
      </text>
    </comment>
    <comment ref="C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D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E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X2" authorId="0" shapeId="0">
      <text>
        <t>Carnaval — feriado.
Escala como seg: a lotação exigida NÃO cai.</t>
      </text>
    </comment>
    <comment ref="Y2" authorId="0" shapeId="0">
      <text>
        <t>Carnaval — feriado.
Escala como ter: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6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Março: 'Escala UTI - março 2026' — traz também 01–05/04.</t>
      </text>
    </comment>
    <comment ref="C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D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E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Q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R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7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Abril: 'Escala abril 2026 UTI HCB' começa no dia 4 (1–3 vêm do arquivo de março) e traz 01–03/05.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K2" authorId="0" shapeId="0">
      <text>
        <t>Paixão — feriado.
Escala como sex: a lotação exigida NÃO cai.</t>
      </text>
    </comment>
    <comment ref="AC2" authorId="0" shapeId="0">
      <text>
        <t>Tiradentes — feriado.
Escala como ter: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8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Maio: 'Escala maio UTI - HCB - última revisão 09.04.26' (dias 1–3 vêm do arquivo de abril); sem arquivo Senior.</t>
      </text>
    </comment>
    <comment ref="E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I2" authorId="0" shapeId="0">
      <text>
        <t>Dia do Trabalhador — feriado.
Escala como sex: a lotação exigida NÃO cai.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9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Junho: 'Escala junho - UTI HCB' — traz também 01–05/07; sem arquivo Senior.</t>
      </text>
    </comment>
    <comment ref="L2" authorId="0" shapeId="0">
      <text>
        <t>Corpus Christi — feriado.
Escala como qui: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Q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R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0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Julho: 'Escala juLHO - UTI HCB - apos correcao de carga horaria' começa no dia 6 (1–5 vêm do arquivo de junho) e traz 01–02/08.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1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Agosto: 'Escala agosto - UTI HCB' (1–2 vêm do arquivo de julho).</t>
      </text>
    </comment>
    <comment ref="D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E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Q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R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S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2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Grade do grupo (a escala que a equipe recebe) — a fonte de todos os meses desde 01/09/26. Do arquivo Senior entram só os códigos que a grade não distingue (47 chefia, 78 Janaina, 6 CEP, 11 administrativo) e as férias/licenças. Setembro: 'Escala setembro - UTI HCB'. O arquivo Senior de setembro estava incompleto em 29–30/09 — mais um motivo pra grade ser a fonte. MAIS as nove correções que a escalista fez à mão em 28–30/09 (mari_set_dados.py): a versão dela é a fonte de verdade, e a grade não registra licença nem troca de última hora.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O2" authorId="0" shapeId="0">
      <text>
        <t>Independência — feriado.
Escala como seg: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Q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3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ESCALA DA MARI — a versão viva do Sheet, re-transcrita em 01/09/26 (mari_out_dados.py v2), mais as correções da checagem Marcos/Mari (checagem_out_v3.py — cada uma listada na aba CHECAGEM OUT). Buracos que ela deixou aparecem em vermelho na linha Falta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T2" authorId="0" shapeId="0">
      <text>
        <t>N. Sra. Aparecida — feriado.
Escala como seg: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4.xml><?xml version="1.0" encoding="utf-8"?>
<comments xmlns="http://schemas.openxmlformats.org/spreadsheetml/2006/main">
  <authors>
    <author>colo ritmo</author>
  </authors>
  <commentList>
    <comment ref="G3" authorId="0" shapeId="0">
      <text>
        <t>M/T/N = quantas pessoas em cada turno do dia · ✓ = os três mínimos batidos · ⚠ = falta gente.</t>
      </text>
    </comment>
  </commentList>
</comments>
</file>

<file path=xl/comments/comment15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A montar</t>
      </text>
    </comment>
    <comment ref="C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D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E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F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G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J2" authorId="0" shapeId="0">
      <text>
        <t>Finados — feriado.
Escala como seg: a lotação exigida NÃO cai.</t>
      </text>
    </comment>
    <comment ref="W2" authorId="0" shapeId="0">
      <text>
        <t>Proclamação da República — feriado.
Escala como dom: a lotação exigida NÃO cai.</t>
      </text>
    </comment>
    <comment ref="AB2" authorId="0" shapeId="0">
      <text>
        <t>Consciência Negra — feriado.
Escala como sex: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Q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R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S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6.xml><?xml version="1.0" encoding="utf-8"?>
<comments xmlns="http://schemas.openxmlformats.org/spreadsheetml/2006/main">
  <authors>
    <author>colo ritmo</author>
  </authors>
  <commentList>
    <comment ref="A1" authorId="0" shapeId="0">
      <text>
        <t>De onde vem este mês: A montar</t>
      </text>
    </comment>
    <comment ref="H2" authorId="0" shapeId="0">
      <text>
        <t>Fim do mês anterior — as colunas fecham a 1ª semana civil do mês (dia 1º cai terça, a segunda aparece). Vêm POR FÓRMULA da aba do mês anterior: trocou lá, atualiza aqui. Entram nas somas semanais (Sem 1 e Sem⚠), mas CH, FDS e saldo delas pertencem ao mês anterior.</t>
      </text>
    </comment>
    <comment ref="AG2" authorId="0" shapeId="0">
      <text>
        <t>Natal — feriado.
Escala como sex: a lotação exigida NÃO cai.</t>
      </text>
    </comment>
    <comment ref="AN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O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P2" authorId="0" shapeId="0">
      <text>
        <t>A semana fecha no domingo: estas colunas mostram os dias do mês seguinte até o domingo que completa a última semana. Vêm POR FÓRMULA da aba do mês seguinte — para editar, use a aba de lá. Entram nas somas semanais (última Sem e Sem⚠), mas CH, FDS e saldo contam no mês seguinte (doc §6).</t>
      </text>
    </comment>
    <comment ref="A7" authorId="0" shapeId="0">
      <text>
        <t>Apelido usado na escala. O nome completo está no CADASTRO e na aba SENIOR.</t>
      </text>
    </comment>
    <comment ref="B7" authorId="0" shapeId="0">
      <text>
        <t>Carga horária semanal contratada, em horas.</t>
      </text>
    </comment>
    <comment ref="AT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U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V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W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X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AY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AZ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A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B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C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D7" authorId="0" shapeId="0">
      <text>
        <t>Horas da semana civil (segunda a domingo). A Sem 1 inclui os dias do fim do mês anterior que fecham a semana; a última para no fim do mês — o resto dela é medido na Sem 1 do mês seguinte, então nenhuma semana fica sem dono. Vermelho acima de 44h.</t>
      </text>
    </comment>
    <comment ref="BE7" authorId="0" shapeId="0">
      <text>
        <t>BH da semana = horas da semana − alvo semanal da pessoa (CADASTRO, coluna Alvo/sem; −6h por dia de férias/licença/abono na semana). Positivo = BHP, trabalhou a mais e fica no banco · negativo = BHN, faltou ou foi dispensa. Zero = semana fechada. Marque na célula: M+ T+ D+ N+ (BHP) · M- T- D- N- (BHN).</t>
      </text>
    </comment>
    <comment ref="BF7" authorId="0" shapeId="0">
      <text>
        <t>Horas trabalhadas no mês — soma de todos os turnos lançados na linha. Recalcula sozinho ao digitar ou trocar um código.</t>
      </text>
    </comment>
    <comment ref="BG7" authorId="0" shapeId="0">
      <text>
        <t>Horas trabalhadas em sábados e domingos no mês.</t>
      </text>
    </comment>
    <comment ref="BH7" authorId="0" shapeId="0">
      <text>
        <t>Sextas-noite no mês (a noite que COMEÇA na sexta às 19h). Alimenta o rodízio anual: quem fez entra na lista “já fez, não lançar”.</t>
      </text>
    </comment>
    <comment ref="BI7" authorId="0" shapeId="0">
      <text>
        <t>Horas trabalhadas em feriado no mês. A equalização é ANUAL: no próximo feriado, a prioridade de folga é de quem tem menor CH total e já fez todos.</t>
      </text>
    </comment>
    <comment ref="BJ7" authorId="0" shapeId="0">
      <text>
        <t>Quanto a pessoa deveria trabalhar no mês: CH semanal × semanas do mês, arredondado.</t>
      </text>
    </comment>
    <comment ref="BK7" authorId="0" shapeId="0">
      <text>
        <t>CH mês menos meta. Positivo = horas a mais · negativo = devendo (vira banco e compensa no mês seguinte).</t>
      </text>
    </comment>
    <comment ref="BL7" authorId="0" shapeId="0">
      <text>
        <t>Vezes em que a noite (19–7h) emendou com a manhã seguinte com 2h ou menos de descanso — jornada de 18h. PROIBIDO: o art. 66 da CLT exige 11h entre jornadas. O alvo é zero; era ~15/mês até abril e caiu pra ~2.</t>
      </text>
    </comment>
    <comment ref="BM7" authorId="0" shapeId="0">
      <text>
        <t>Noite (19–7h) seguida da tarde do dia seguinte (13–19h): 18h de trabalho com 6h de pausa. Prática aceita do serviço (decisão de 17/08/26) — fica registrada, sem alarme.</t>
      </text>
    </comment>
    <comment ref="BN7" authorId="0" shapeId="0">
      <text>
        <t>Horas de fim de semana que cabem à pessoa no mês: 36h→36 · 30h→30 · 24h→24, reduzida se houver férias (tabela no CONFIG). 40h é caso a caso — fica em branco.</t>
      </text>
    </comment>
    <comment ref="BO7" authorId="0" shapeId="0">
      <text>
        <t>Excesso sobre a cota × fator do mês. Em mês de 5 fins de semana a soma das cotas do grupo não cobre a demanda — o alvo justo passa a ser a cota × o fator (CONFIG). Vermelho = carregando mais que a fatia proporcional.</t>
      </text>
    </comment>
    <comment ref="BP7" authorId="0" shapeId="0">
      <text>
        <t>Maior jornada semanal da pessoa no mês — o MAX das colunas Sem 1 a Sem 6. Vermelho acima de 44h — teto do art. 7º XIII da Constituição. O mês pode fechar na média e uma semana estourar mesmo assim.</t>
      </text>
    </comment>
    <comment ref="BQ7" authorId="0" shapeId="0">
      <text>
        <t>Ordene por esta coluna no funil do filtro para ver coordenação → rotina → staff → administrativo (o prefixo numérico é só para ordenar nessa sequência). Pode ordenar à vontade: toda fórmula da planilha acha cada pessoa pelo NOME, em qualquer ordem.</t>
      </text>
    </comment>
    <comment ref="BR7" authorId="0" shapeId="0">
      <text>
        <t>Posição original do cadastro. Depois de ordenar por Médico ou por Grupo, ordene por esta coluna (menor→maior no funil) para voltar à ordem padrão da planilha.</t>
      </text>
    </comment>
    <comment ref="A75" authorId="0" shapeId="0">
      <text>
        <t>Quantas pessoas cobrem o turno em cada dia. D (dia 12h) e C (chefia) contam na manhã E na tarde; J (Janaina 8–13h) conta na manhã.</t>
      </text>
    </comment>
    <comment ref="A76" authorId="0" shapeId="0">
      <text>
        <t>Quantas pessoas cobrem o turno em cada dia. D (dia 12h) e C (chefia) contam na manhã E na tarde; J (Janaina 8–13h) conta na manhã.</t>
      </text>
    </comment>
    <comment ref="A77" authorId="0" shapeId="0">
      <text>
        <t>Quantas pessoas cobrem o turno em cada dia. D (dia 12h) e C (chefia) contam na manhã E na tarde; J (Janaina 8–13h) conta na manhã.</t>
      </text>
    </comment>
    <comment ref="A78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79" authorId="0" shapeId="0">
      <text>
        <t>Quanto falta para o mínimo do dia (CONFIG — cada mês é medido pela regra que valia na época; feriado exige o mínimo do dia da semana em que cai). Vermelho = buraco de cobertura.</t>
      </text>
    </comment>
    <comment ref="A80" authorId="0" shapeId="0">
      <text>
        <t>Quanto falta para o mínimo do dia (CONFIG — cada mês é medido pela regra que valia na época; feriado exige o mínimo do dia da semana em que cai). Vermelho = buraco de cobertura.</t>
      </text>
    </comment>
  </commentList>
</comments>
</file>

<file path=xl/comments/comment17.xml><?xml version="1.0" encoding="utf-8"?>
<comments xmlns="http://schemas.openxmlformats.org/spreadsheetml/2006/main">
  <authors>
    <author>colo ritmo</author>
  </authors>
  <commentList>
    <comment ref="C3" authorId="0" shapeId="0">
      <text>
        <t>CH do mês menos a meta, mês a mês. Positivo fez a mais, negativo ficou devendo. A coluna ANO acumula.</t>
      </text>
    </comment>
    <comment ref="Q3" authorId="0" shapeId="0">
      <text>
        <t>Horas de fim de semana por mês, com o acumulado do ano.</t>
      </text>
    </comment>
    <comment ref="AE3" authorId="0" shapeId="0">
      <text>
        <t>Sextas-noite por mês (noite que começa na sexta) — o insumo do rodízio.</t>
      </text>
    </comment>
    <comment ref="AS3" authorId="0" shapeId="0">
      <text>
        <t>Horas de feriado por mês. A equalização anual usa o total: quem menos fez, trabalha o próximo.</t>
      </text>
    </comment>
    <comment ref="BG7" authorId="0" shapeId="0">
      <text>
        <t>O que a contagem MANUAL da escalista registrou em 2026 (planilha antiga). Serve de conferência histórica.</t>
      </text>
    </comment>
    <comment ref="BH7" authorId="0" shapeId="0">
      <text>
        <t xml:space="preserve">O que ESTA planilha calcula a partir das grades. </t>
      </text>
    </comment>
    <comment ref="BI7" authorId="0" shapeId="0">
      <text>
        <t>⚠ quando a contagem manual e a calculada divergem. Os erros de contagem à mão eram assumidos e compensados no mês seguinte — é normal haver ⚠.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tabColor rgb="005A4E8C"/>
    <outlinePr summaryBelow="1" summaryRight="1"/>
    <pageSetUpPr/>
  </sheetPr>
  <dimension ref="B2:N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" customWidth="1" min="15" max="15"/>
  </cols>
  <sheetData>
    <row r="1" ht="8" customHeight="1"/>
    <row r="2" ht="22" customHeight="1">
      <c r="B2" s="1" t="inlineStr">
        <is>
          <t>Colo Ritmo · Hospital da Criança de Brasília</t>
        </is>
      </c>
    </row>
    <row r="3" ht="30" customHeight="1">
      <c r="B3" s="2" t="inlineStr">
        <is>
          <t>Painel da escala · Outubro de 2026</t>
        </is>
      </c>
    </row>
    <row r="4" ht="10" customHeight="1"/>
    <row r="5" ht="16" customHeight="1">
      <c r="B5" s="3" t="inlineStr">
        <is>
          <t>Toda contagem aqui é fórmula das abas mensais — digitou um código na escala, este painel se refaz sozinho.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8" ht="20" customHeight="1">
      <c r="B8" s="5" t="inlineStr">
        <is>
          <t>O mês que vai publicar · Outubro</t>
        </is>
      </c>
    </row>
    <row r="9" ht="14" customHeight="1">
      <c r="B9" s="6" t="inlineStr">
        <is>
          <t>BURACOS DE COBERTURA NO MÊS</t>
        </is>
      </c>
      <c r="C9" s="7" t="n"/>
      <c r="D9" s="8" t="n"/>
      <c r="E9" s="9" t="inlineStr">
        <is>
          <t>DIAS COMPLETOS</t>
        </is>
      </c>
      <c r="F9" s="8" t="n"/>
      <c r="G9" s="10" t="inlineStr">
        <is>
          <t>ALERTAS DE 18H</t>
        </is>
      </c>
      <c r="H9" s="8" t="n"/>
      <c r="I9" s="9" t="inlineStr">
        <is>
          <t>FORA DA META</t>
        </is>
      </c>
      <c r="J9" s="8" t="n"/>
      <c r="K9" s="11" t="inlineStr">
        <is>
          <t>SEMANAS COM BH ≠ 0</t>
        </is>
      </c>
      <c r="L9" s="8" t="n"/>
      <c r="M9" s="12" t="inlineStr">
        <is>
          <t>HORAS NOTURNAS</t>
        </is>
      </c>
      <c r="N9" s="8" t="n"/>
    </row>
    <row r="10" ht="20" customHeight="1">
      <c r="B10" s="13">
        <f>IF(COUNTA(OUT!$I$8:$AM$73)&gt;0,SUMPRODUCT(((OUT!$I$75:$AM$75+OUT!$I$76:$AM$76+OUT!$I$77:$AM$77)&gt;0)*OUT!$I$78:$AM$78)+SUMPRODUCT(((OUT!$I$75:$AM$75+OUT!$I$76:$AM$76+OUT!$I$77:$AM$77)&gt;0)*OUT!$I$79:$AM$79)+SUMPRODUCT(((OUT!$I$75:$AM$75+OUT!$I$76:$AM$76+OUT!$I$77:$AM$77)&gt;0)*OUT!$I$80:$AM$80),"")</f>
        <v/>
      </c>
      <c r="D10" s="14" t="n"/>
      <c r="E10" s="15">
        <f>IF(COUNTA(OUT!$I$8:$AM$73)&gt;0,SUMPRODUCT(((OUT!$I$75:$AM$75+OUT!$I$76:$AM$76+OUT!$I$77:$AM$77)&gt;0)*(OUT!$I$78:$AM$78+OUT!$I$79:$AM$79+OUT!$I$80:$AM$80=0)*(OUT!$I$78:$AM$78&lt;&gt;"")),"")&amp;"/"&amp;SUMPRODUCT(((OUT!$I$75:$AM$75+OUT!$I$76:$AM$76+OUT!$I$77:$AM$77)&gt;0)*1)</f>
        <v/>
      </c>
      <c r="F10" s="14" t="n"/>
      <c r="G10" s="16">
        <f>SUM(OUT!$BL$8:$BL$73)</f>
        <v/>
      </c>
      <c r="H10" s="14" t="n"/>
      <c r="I10" s="17">
        <f>SUMPRODUCT(--(ABS(OUT!$BK$8:$BK$73)&gt;12))</f>
        <v/>
      </c>
      <c r="J10" s="14" t="n"/>
      <c r="K10" s="18">
        <f>SUMPRODUCT((OUT!$AU$8:$AU$73&lt;&gt;"")*(OUT!$AU$8:$AU$73&lt;&gt;0))+SUMPRODUCT((OUT!$AW$8:$AW$73&lt;&gt;"")*(OUT!$AW$8:$AW$73&lt;&gt;0))+SUMPRODUCT((OUT!$AY$8:$AY$73&lt;&gt;"")*(OUT!$AY$8:$AY$73&lt;&gt;0))+SUMPRODUCT((OUT!$BA$8:$BA$73&lt;&gt;"")*(OUT!$BA$8:$BA$73&lt;&gt;0))+SUMPRODUCT((OUT!$BC$8:$BC$73&lt;&gt;"")*(OUT!$BC$8:$BC$73&lt;&gt;0))+SUMPRODUCT((OUT!$BE$8:$BE$73&lt;&gt;"")*(OUT!$BE$8:$BE$73&lt;&gt;0))</f>
        <v/>
      </c>
      <c r="L10" s="14" t="n"/>
      <c r="M10" s="19">
        <f>(COUNTIF(OUT!$I$8:$AM$73,"N")+COUNTIF(OUT!$I$8:$AM$73,"N+"))*7+COUNTIF(OUT!$I$8:$AM$73,"NT")*3</f>
        <v/>
      </c>
      <c r="N10" s="14" t="n"/>
    </row>
    <row r="11" ht="20" customHeight="1">
      <c r="B11" s="20" t="n"/>
      <c r="D11" s="14" t="n"/>
      <c r="E11" s="20" t="n"/>
      <c r="F11" s="14" t="n"/>
      <c r="G11" s="20" t="n"/>
      <c r="H11" s="14" t="n"/>
      <c r="I11" s="20" t="n"/>
      <c r="J11" s="14" t="n"/>
      <c r="K11" s="20" t="n"/>
      <c r="L11" s="14" t="n"/>
      <c r="M11" s="20" t="n"/>
      <c r="N11" s="14" t="n"/>
    </row>
    <row r="12" ht="36" customHeight="1">
      <c r="B12" s="21" t="inlineStr">
        <is>
          <t>soma de tudo que falta pro mínimo, somando os três turnos e os 31 dias</t>
        </is>
      </c>
      <c r="C12" s="22" t="n"/>
      <c r="D12" s="23" t="n"/>
      <c r="E12" s="24" t="inlineStr">
        <is>
          <t>dias em que os três turnos bateram o mínimo</t>
        </is>
      </c>
      <c r="F12" s="23" t="n"/>
      <c r="G12" s="25" t="inlineStr">
        <is>
          <t>o alvo é zero · art. 66 CLT</t>
        </is>
      </c>
      <c r="H12" s="23" t="n"/>
      <c r="I12" s="24" t="inlineStr">
        <is>
          <t>pessoas com mais de 12h de desvio, pra cima ou pra baixo</t>
        </is>
      </c>
      <c r="J12" s="23" t="n"/>
      <c r="K12" s="26" t="inlineStr">
        <is>
          <t>pessoa-semanas fora do alvo · BHP (+) ou BHN/faltou (−)</t>
        </is>
      </c>
      <c r="L12" s="23" t="n"/>
      <c r="M12" s="27" t="inlineStr">
        <is>
          <t>janela 22h–05h · insumo do adicional noturno</t>
        </is>
      </c>
      <c r="N12" s="23" t="n"/>
    </row>
    <row r="13" ht="26" customHeight="1">
      <c r="B13" s="28" t="inlineStr">
        <is>
          <t>Outubro é a versão da Mari (Sheet vivo, 01/09) com as correções da checagem dela e do Marcos — cada mudança está na aba CHECAGEM OUT. Janeiro a setembro vêm das grades do grupo. Nada aqui é proposta do gerador.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</row>
    <row r="14" ht="24" customHeight="1">
      <c r="B14" s="5" t="inlineStr">
        <is>
          <t>O ano · Para comparar</t>
        </is>
      </c>
    </row>
    <row r="15">
      <c r="B15" s="30" t="inlineStr">
        <is>
          <t>As regras duras apertaram junto com a mudança de abril, e funcionou: os alertas de 18h caíram de ~15 por mês para ~2.</t>
        </is>
      </c>
    </row>
    <row r="17">
      <c r="B17" s="31" t="inlineStr">
        <is>
          <t>Mês</t>
        </is>
      </c>
      <c r="C17" s="31" t="inlineStr">
        <is>
          <t>Alertas 18h</t>
        </is>
      </c>
      <c r="D17" s="31" t="inlineStr">
        <is>
          <t>Buracos</t>
        </is>
      </c>
      <c r="E17" s="31" t="inlineStr">
        <is>
          <t>Dias completos</t>
        </is>
      </c>
      <c r="F17" s="31" t="inlineStr">
        <is>
          <t>Manhã</t>
        </is>
      </c>
      <c r="G17" s="31" t="inlineStr">
        <is>
          <t>Tarde</t>
        </is>
      </c>
      <c r="H17" s="31" t="inlineStr">
        <is>
          <t>Noite</t>
        </is>
      </c>
      <c r="I17" s="31" t="inlineStr">
        <is>
          <t>Horas noturnas</t>
        </is>
      </c>
    </row>
    <row r="18">
      <c r="B18" s="32" t="inlineStr">
        <is>
          <t>Jan</t>
        </is>
      </c>
      <c r="C18" s="33">
        <f>'DADOS DASH'!B5</f>
        <v/>
      </c>
      <c r="D18" s="33">
        <f>'DADOS DASH'!C5</f>
        <v/>
      </c>
      <c r="E18" s="33">
        <f>'DADOS DASH'!D5</f>
        <v/>
      </c>
      <c r="F18" s="34">
        <f>'DADOS DASH'!E5</f>
        <v/>
      </c>
      <c r="G18" s="34">
        <f>'DADOS DASH'!F5</f>
        <v/>
      </c>
      <c r="H18" s="34">
        <f>'DADOS DASH'!G5</f>
        <v/>
      </c>
      <c r="I18" s="33">
        <f>'DADOS DASH'!I5</f>
        <v/>
      </c>
    </row>
    <row r="19">
      <c r="B19" s="35" t="inlineStr">
        <is>
          <t>Fev</t>
        </is>
      </c>
      <c r="C19" s="36">
        <f>'DADOS DASH'!B6</f>
        <v/>
      </c>
      <c r="D19" s="36">
        <f>'DADOS DASH'!C6</f>
        <v/>
      </c>
      <c r="E19" s="36">
        <f>'DADOS DASH'!D6</f>
        <v/>
      </c>
      <c r="F19" s="37">
        <f>'DADOS DASH'!E6</f>
        <v/>
      </c>
      <c r="G19" s="37">
        <f>'DADOS DASH'!F6</f>
        <v/>
      </c>
      <c r="H19" s="37">
        <f>'DADOS DASH'!G6</f>
        <v/>
      </c>
      <c r="I19" s="36">
        <f>'DADOS DASH'!I6</f>
        <v/>
      </c>
    </row>
    <row r="20">
      <c r="B20" s="32" t="inlineStr">
        <is>
          <t>Mar</t>
        </is>
      </c>
      <c r="C20" s="33">
        <f>'DADOS DASH'!B7</f>
        <v/>
      </c>
      <c r="D20" s="33">
        <f>'DADOS DASH'!C7</f>
        <v/>
      </c>
      <c r="E20" s="33">
        <f>'DADOS DASH'!D7</f>
        <v/>
      </c>
      <c r="F20" s="34">
        <f>'DADOS DASH'!E7</f>
        <v/>
      </c>
      <c r="G20" s="34">
        <f>'DADOS DASH'!F7</f>
        <v/>
      </c>
      <c r="H20" s="34">
        <f>'DADOS DASH'!G7</f>
        <v/>
      </c>
      <c r="I20" s="33">
        <f>'DADOS DASH'!I7</f>
        <v/>
      </c>
    </row>
    <row r="21">
      <c r="B21" s="35" t="inlineStr">
        <is>
          <t>Abr</t>
        </is>
      </c>
      <c r="C21" s="36">
        <f>'DADOS DASH'!B8</f>
        <v/>
      </c>
      <c r="D21" s="36">
        <f>'DADOS DASH'!C8</f>
        <v/>
      </c>
      <c r="E21" s="36">
        <f>'DADOS DASH'!D8</f>
        <v/>
      </c>
      <c r="F21" s="37">
        <f>'DADOS DASH'!E8</f>
        <v/>
      </c>
      <c r="G21" s="37">
        <f>'DADOS DASH'!F8</f>
        <v/>
      </c>
      <c r="H21" s="37">
        <f>'DADOS DASH'!G8</f>
        <v/>
      </c>
      <c r="I21" s="36">
        <f>'DADOS DASH'!I8</f>
        <v/>
      </c>
    </row>
    <row r="22">
      <c r="B22" s="32" t="inlineStr">
        <is>
          <t>Mai</t>
        </is>
      </c>
      <c r="C22" s="33">
        <f>'DADOS DASH'!B9</f>
        <v/>
      </c>
      <c r="D22" s="33">
        <f>'DADOS DASH'!C9</f>
        <v/>
      </c>
      <c r="E22" s="33">
        <f>'DADOS DASH'!D9</f>
        <v/>
      </c>
      <c r="F22" s="34">
        <f>'DADOS DASH'!E9</f>
        <v/>
      </c>
      <c r="G22" s="34">
        <f>'DADOS DASH'!F9</f>
        <v/>
      </c>
      <c r="H22" s="34">
        <f>'DADOS DASH'!G9</f>
        <v/>
      </c>
      <c r="I22" s="33">
        <f>'DADOS DASH'!I9</f>
        <v/>
      </c>
    </row>
    <row r="23">
      <c r="B23" s="35" t="inlineStr">
        <is>
          <t>Jun</t>
        </is>
      </c>
      <c r="C23" s="36">
        <f>'DADOS DASH'!B10</f>
        <v/>
      </c>
      <c r="D23" s="36">
        <f>'DADOS DASH'!C10</f>
        <v/>
      </c>
      <c r="E23" s="36">
        <f>'DADOS DASH'!D10</f>
        <v/>
      </c>
      <c r="F23" s="37">
        <f>'DADOS DASH'!E10</f>
        <v/>
      </c>
      <c r="G23" s="37">
        <f>'DADOS DASH'!F10</f>
        <v/>
      </c>
      <c r="H23" s="37">
        <f>'DADOS DASH'!G10</f>
        <v/>
      </c>
      <c r="I23" s="36">
        <f>'DADOS DASH'!I10</f>
        <v/>
      </c>
    </row>
    <row r="24">
      <c r="B24" s="32" t="inlineStr">
        <is>
          <t>Jul</t>
        </is>
      </c>
      <c r="C24" s="33">
        <f>'DADOS DASH'!B11</f>
        <v/>
      </c>
      <c r="D24" s="33">
        <f>'DADOS DASH'!C11</f>
        <v/>
      </c>
      <c r="E24" s="33">
        <f>'DADOS DASH'!D11</f>
        <v/>
      </c>
      <c r="F24" s="34">
        <f>'DADOS DASH'!E11</f>
        <v/>
      </c>
      <c r="G24" s="34">
        <f>'DADOS DASH'!F11</f>
        <v/>
      </c>
      <c r="H24" s="34">
        <f>'DADOS DASH'!G11</f>
        <v/>
      </c>
      <c r="I24" s="33">
        <f>'DADOS DASH'!I11</f>
        <v/>
      </c>
    </row>
    <row r="25">
      <c r="B25" s="35" t="inlineStr">
        <is>
          <t>Ago</t>
        </is>
      </c>
      <c r="C25" s="36">
        <f>'DADOS DASH'!B12</f>
        <v/>
      </c>
      <c r="D25" s="36">
        <f>'DADOS DASH'!C12</f>
        <v/>
      </c>
      <c r="E25" s="36">
        <f>'DADOS DASH'!D12</f>
        <v/>
      </c>
      <c r="F25" s="37">
        <f>'DADOS DASH'!E12</f>
        <v/>
      </c>
      <c r="G25" s="37">
        <f>'DADOS DASH'!F12</f>
        <v/>
      </c>
      <c r="H25" s="37">
        <f>'DADOS DASH'!G12</f>
        <v/>
      </c>
      <c r="I25" s="36">
        <f>'DADOS DASH'!I12</f>
        <v/>
      </c>
    </row>
    <row r="26">
      <c r="B26" s="32" t="inlineStr">
        <is>
          <t>Set</t>
        </is>
      </c>
      <c r="C26" s="33">
        <f>'DADOS DASH'!B13</f>
        <v/>
      </c>
      <c r="D26" s="33">
        <f>'DADOS DASH'!C13</f>
        <v/>
      </c>
      <c r="E26" s="33">
        <f>'DADOS DASH'!D13</f>
        <v/>
      </c>
      <c r="F26" s="34">
        <f>'DADOS DASH'!E13</f>
        <v/>
      </c>
      <c r="G26" s="34">
        <f>'DADOS DASH'!F13</f>
        <v/>
      </c>
      <c r="H26" s="34">
        <f>'DADOS DASH'!G13</f>
        <v/>
      </c>
      <c r="I26" s="33">
        <f>'DADOS DASH'!I13</f>
        <v/>
      </c>
    </row>
    <row r="27">
      <c r="B27" s="35" t="inlineStr">
        <is>
          <t>Out</t>
        </is>
      </c>
      <c r="C27" s="36">
        <f>'DADOS DASH'!B14</f>
        <v/>
      </c>
      <c r="D27" s="36">
        <f>'DADOS DASH'!C14</f>
        <v/>
      </c>
      <c r="E27" s="36">
        <f>'DADOS DASH'!D14</f>
        <v/>
      </c>
      <c r="F27" s="37">
        <f>'DADOS DASH'!E14</f>
        <v/>
      </c>
      <c r="G27" s="37">
        <f>'DADOS DASH'!F14</f>
        <v/>
      </c>
      <c r="H27" s="37">
        <f>'DADOS DASH'!G14</f>
        <v/>
      </c>
      <c r="I27" s="36">
        <f>'DADOS DASH'!I14</f>
        <v/>
      </c>
    </row>
    <row r="28">
      <c r="B28" s="32" t="inlineStr">
        <is>
          <t>Nov</t>
        </is>
      </c>
      <c r="C28" s="33">
        <f>'DADOS DASH'!B15</f>
        <v/>
      </c>
      <c r="D28" s="33">
        <f>'DADOS DASH'!C15</f>
        <v/>
      </c>
      <c r="E28" s="33">
        <f>'DADOS DASH'!D15</f>
        <v/>
      </c>
      <c r="F28" s="34">
        <f>'DADOS DASH'!E15</f>
        <v/>
      </c>
      <c r="G28" s="34">
        <f>'DADOS DASH'!F15</f>
        <v/>
      </c>
      <c r="H28" s="34">
        <f>'DADOS DASH'!G15</f>
        <v/>
      </c>
      <c r="I28" s="33">
        <f>'DADOS DASH'!I15</f>
        <v/>
      </c>
    </row>
    <row r="29">
      <c r="B29" s="35" t="inlineStr">
        <is>
          <t>Dez</t>
        </is>
      </c>
      <c r="C29" s="36">
        <f>'DADOS DASH'!B16</f>
        <v/>
      </c>
      <c r="D29" s="36">
        <f>'DADOS DASH'!C16</f>
        <v/>
      </c>
      <c r="E29" s="36">
        <f>'DADOS DASH'!D16</f>
        <v/>
      </c>
      <c r="F29" s="37">
        <f>'DADOS DASH'!E16</f>
        <v/>
      </c>
      <c r="G29" s="37">
        <f>'DADOS DASH'!F16</f>
        <v/>
      </c>
      <c r="H29" s="37">
        <f>'DADOS DASH'!G16</f>
        <v/>
      </c>
      <c r="I29" s="36">
        <f>'DADOS DASH'!I16</f>
        <v/>
      </c>
    </row>
  </sheetData>
  <mergeCells count="23">
    <mergeCell ref="E12:F12"/>
    <mergeCell ref="G12:H12"/>
    <mergeCell ref="K9:L9"/>
    <mergeCell ref="M9:N9"/>
    <mergeCell ref="B5:H5"/>
    <mergeCell ref="I10:J11"/>
    <mergeCell ref="B9:D9"/>
    <mergeCell ref="K10:L11"/>
    <mergeCell ref="B3:H3"/>
    <mergeCell ref="E9:F9"/>
    <mergeCell ref="B15:J15"/>
    <mergeCell ref="I12:J12"/>
    <mergeCell ref="K12:L12"/>
    <mergeCell ref="M12:N12"/>
    <mergeCell ref="B2:N2"/>
    <mergeCell ref="B10:D11"/>
    <mergeCell ref="E10:F11"/>
    <mergeCell ref="G10:H11"/>
    <mergeCell ref="M10:N11"/>
    <mergeCell ref="B13:N13"/>
    <mergeCell ref="B12:D12"/>
    <mergeCell ref="G9:H9"/>
    <mergeCell ref="I9:J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79BC4"/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8" t="inlineStr">
        <is>
          <t>Escala UTI HCB · 2026 — V3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40" t="inlineStr">
        <is>
          <t>O que é</t>
        </is>
      </c>
      <c r="B3" s="39" t="n"/>
      <c r="C3" s="39" t="n"/>
      <c r="D3" s="39" t="n"/>
      <c r="E3" s="39" t="n"/>
      <c r="F3" s="39" t="n"/>
      <c r="G3" s="39" t="n"/>
      <c r="H3" s="39" t="n"/>
    </row>
    <row r="4" ht="48.5" customHeight="1">
      <c r="A4" s="41" t="inlineStr"/>
      <c r="B4" s="42" t="inlineStr">
        <is>
          <t>O ano inteiro num arquivo: 12 abas mensais com a escala real, o painel comparativo do ano, a tradução pros códigos do Senior e o validador das regras que são lei. Tudo o que é contagem é fórmula — digitou o código na aba do mês, a cobertura, a carga horária, o saldo e os alertas se refazem sozinhos.</t>
        </is>
      </c>
      <c r="C4" s="39" t="n"/>
      <c r="D4" s="39" t="n"/>
      <c r="E4" s="39" t="n"/>
      <c r="F4" s="39" t="n"/>
      <c r="G4" s="39" t="n"/>
      <c r="H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</row>
    <row r="6">
      <c r="A6" s="40" t="inlineStr">
        <is>
          <t>Legenda dos códigos</t>
        </is>
      </c>
      <c r="B6" s="39" t="n"/>
      <c r="C6" s="39" t="n"/>
      <c r="D6" s="39" t="n"/>
      <c r="E6" s="39" t="n"/>
      <c r="F6" s="39" t="n"/>
      <c r="G6" s="39" t="n"/>
      <c r="H6" s="39" t="n"/>
    </row>
    <row r="7">
      <c r="A7" s="43" t="inlineStr">
        <is>
          <t>código</t>
        </is>
      </c>
      <c r="B7" s="43" t="inlineStr">
        <is>
          <t>turno</t>
        </is>
      </c>
      <c r="C7" s="43" t="inlineStr">
        <is>
          <t>horário</t>
        </is>
      </c>
      <c r="D7" s="43" t="inlineStr">
        <is>
          <t>horas</t>
        </is>
      </c>
      <c r="E7" s="43" t="inlineStr">
        <is>
          <t>Senior</t>
        </is>
      </c>
      <c r="F7" s="39" t="n"/>
      <c r="G7" s="39" t="n"/>
      <c r="H7" s="39" t="n"/>
    </row>
    <row r="8">
      <c r="A8" s="44" t="inlineStr">
        <is>
          <t>M</t>
        </is>
      </c>
      <c r="B8" s="45" t="inlineStr">
        <is>
          <t>manhã</t>
        </is>
      </c>
      <c r="C8" s="45" t="inlineStr">
        <is>
          <t>07–13h</t>
        </is>
      </c>
      <c r="D8" s="45" t="n">
        <v>6</v>
      </c>
      <c r="E8" s="45" t="inlineStr">
        <is>
          <t>2</t>
        </is>
      </c>
      <c r="F8" s="39" t="n"/>
      <c r="G8" s="39" t="n"/>
      <c r="H8" s="39" t="n"/>
    </row>
    <row r="9">
      <c r="A9" s="46" t="inlineStr">
        <is>
          <t>T</t>
        </is>
      </c>
      <c r="B9" s="45" t="inlineStr">
        <is>
          <t>tarde</t>
        </is>
      </c>
      <c r="C9" s="45" t="inlineStr">
        <is>
          <t>13–19h</t>
        </is>
      </c>
      <c r="D9" s="45" t="n">
        <v>6</v>
      </c>
      <c r="E9" s="45" t="inlineStr">
        <is>
          <t>239</t>
        </is>
      </c>
      <c r="F9" s="39" t="n"/>
      <c r="G9" s="39" t="n"/>
      <c r="H9" s="39" t="n"/>
    </row>
    <row r="10">
      <c r="A10" s="47" t="inlineStr">
        <is>
          <t>D</t>
        </is>
      </c>
      <c r="B10" s="45" t="inlineStr">
        <is>
          <t>dia 12h</t>
        </is>
      </c>
      <c r="C10" s="45" t="inlineStr">
        <is>
          <t>07–19h</t>
        </is>
      </c>
      <c r="D10" s="45" t="n">
        <v>12</v>
      </c>
      <c r="E10" s="45" t="inlineStr">
        <is>
          <t>40</t>
        </is>
      </c>
      <c r="F10" s="39" t="n"/>
      <c r="G10" s="39" t="n"/>
      <c r="H10" s="39" t="n"/>
    </row>
    <row r="11">
      <c r="A11" s="48" t="inlineStr">
        <is>
          <t>N</t>
        </is>
      </c>
      <c r="B11" s="45" t="inlineStr">
        <is>
          <t>noite 12h</t>
        </is>
      </c>
      <c r="C11" s="45" t="inlineStr">
        <is>
          <t>19–07h</t>
        </is>
      </c>
      <c r="D11" s="45" t="n">
        <v>12</v>
      </c>
      <c r="E11" s="45" t="inlineStr">
        <is>
          <t>41</t>
        </is>
      </c>
      <c r="F11" s="39" t="n"/>
      <c r="G11" s="39" t="n"/>
      <c r="H11" s="39" t="n"/>
    </row>
    <row r="12">
      <c r="A12" s="49" t="inlineStr">
        <is>
          <t>NT</t>
        </is>
      </c>
      <c r="B12" s="45" t="inlineStr">
        <is>
          <t>noitinha</t>
        </is>
      </c>
      <c r="C12" s="45" t="inlineStr">
        <is>
          <t>19–01h</t>
        </is>
      </c>
      <c r="D12" s="45" t="n">
        <v>6</v>
      </c>
      <c r="E12" s="45" t="inlineStr">
        <is>
          <t>349</t>
        </is>
      </c>
      <c r="F12" s="39" t="n"/>
      <c r="G12" s="39" t="n"/>
      <c r="H12" s="39" t="n"/>
    </row>
    <row r="13">
      <c r="A13" s="50" t="inlineStr">
        <is>
          <t>C</t>
        </is>
      </c>
      <c r="B13" s="45" t="inlineStr">
        <is>
          <t>10h chefia</t>
        </is>
      </c>
      <c r="C13" s="45" t="inlineStr">
        <is>
          <t>8–12 + 13–19h</t>
        </is>
      </c>
      <c r="D13" s="45" t="n">
        <v>10</v>
      </c>
      <c r="E13" s="45" t="inlineStr">
        <is>
          <t>47</t>
        </is>
      </c>
      <c r="F13" s="39" t="n"/>
      <c r="G13" s="39" t="n"/>
      <c r="H13" s="39" t="n"/>
    </row>
    <row r="14">
      <c r="A14" s="51" t="inlineStr">
        <is>
          <t>A</t>
        </is>
      </c>
      <c r="B14" s="45" t="inlineStr">
        <is>
          <t>administrativo</t>
        </is>
      </c>
      <c r="C14" s="45" t="inlineStr">
        <is>
          <t>8h diurno</t>
        </is>
      </c>
      <c r="D14" s="45" t="n">
        <v>8</v>
      </c>
      <c r="E14" s="45" t="inlineStr">
        <is>
          <t>11</t>
        </is>
      </c>
      <c r="F14" s="39" t="n"/>
      <c r="G14" s="39" t="n"/>
      <c r="H14" s="39" t="n"/>
    </row>
    <row r="15">
      <c r="A15" s="52" t="inlineStr">
        <is>
          <t>J</t>
        </is>
      </c>
      <c r="B15" s="45" t="inlineStr">
        <is>
          <t>5h Janaina</t>
        </is>
      </c>
      <c r="C15" s="45" t="inlineStr">
        <is>
          <t>08–13h</t>
        </is>
      </c>
      <c r="D15" s="45" t="n">
        <v>5</v>
      </c>
      <c r="E15" s="45" t="inlineStr">
        <is>
          <t>78</t>
        </is>
      </c>
      <c r="F15" s="39" t="n"/>
      <c r="G15" s="39" t="n"/>
      <c r="H15" s="39" t="n"/>
    </row>
    <row r="16">
      <c r="A16" s="53" t="inlineStr">
        <is>
          <t>CEP</t>
        </is>
      </c>
      <c r="B16" s="45" t="inlineStr">
        <is>
          <t>4h CEP</t>
        </is>
      </c>
      <c r="C16" s="45" t="inlineStr">
        <is>
          <t>08–12h</t>
        </is>
      </c>
      <c r="D16" s="45" t="n">
        <v>4</v>
      </c>
      <c r="E16" s="45" t="inlineStr">
        <is>
          <t>6</t>
        </is>
      </c>
      <c r="F16" s="39" t="n"/>
      <c r="G16" s="39" t="n"/>
      <c r="H16" s="39" t="n"/>
    </row>
    <row r="17">
      <c r="A17" s="54" t="inlineStr">
        <is>
          <t>CP</t>
        </is>
      </c>
      <c r="B17" s="45" t="inlineStr">
        <is>
          <t>CP · cuidados paliativos</t>
        </is>
      </c>
      <c r="C17" s="45" t="inlineStr">
        <is>
          <t>07–13h</t>
        </is>
      </c>
      <c r="D17" s="45" t="n">
        <v>6</v>
      </c>
      <c r="E17" s="45" t="inlineStr">
        <is>
          <t>—</t>
        </is>
      </c>
      <c r="F17" s="39" t="n"/>
      <c r="G17" s="39" t="n"/>
      <c r="H17" s="39" t="n"/>
    </row>
    <row r="18">
      <c r="A18" s="55" t="inlineStr">
        <is>
          <t>CRO</t>
        </is>
      </c>
      <c r="B18" s="45" t="inlineStr">
        <is>
          <t>CRO · ambulatório</t>
        </is>
      </c>
      <c r="C18" s="45" t="inlineStr">
        <is>
          <t>13–19h</t>
        </is>
      </c>
      <c r="D18" s="45" t="n">
        <v>6</v>
      </c>
      <c r="E18" s="45" t="inlineStr">
        <is>
          <t>—</t>
        </is>
      </c>
      <c r="F18" s="39" t="n"/>
      <c r="G18" s="39" t="n"/>
      <c r="H18" s="39" t="n"/>
    </row>
    <row r="19">
      <c r="A19" s="56" t="inlineStr">
        <is>
          <t>M+</t>
        </is>
      </c>
      <c r="B19" s="45" t="inlineStr">
        <is>
          <t>manhã BHP</t>
        </is>
      </c>
      <c r="C19" s="45" t="inlineStr">
        <is>
          <t>07–13h · banco</t>
        </is>
      </c>
      <c r="D19" s="45" t="n">
        <v>6</v>
      </c>
      <c r="E19" s="45" t="inlineStr">
        <is>
          <t>—</t>
        </is>
      </c>
      <c r="F19" s="39" t="n"/>
      <c r="G19" s="39" t="n"/>
      <c r="H19" s="39" t="n"/>
    </row>
    <row r="20">
      <c r="A20" s="56" t="inlineStr">
        <is>
          <t>T+</t>
        </is>
      </c>
      <c r="B20" s="45" t="inlineStr">
        <is>
          <t>tarde BHP</t>
        </is>
      </c>
      <c r="C20" s="45" t="inlineStr">
        <is>
          <t>13–19h · banco</t>
        </is>
      </c>
      <c r="D20" s="45" t="n">
        <v>6</v>
      </c>
      <c r="E20" s="45" t="inlineStr">
        <is>
          <t>—</t>
        </is>
      </c>
      <c r="F20" s="39" t="n"/>
      <c r="G20" s="39" t="n"/>
      <c r="H20" s="39" t="n"/>
    </row>
    <row r="21">
      <c r="A21" s="56" t="inlineStr">
        <is>
          <t>D+</t>
        </is>
      </c>
      <c r="B21" s="45" t="inlineStr">
        <is>
          <t>dia BHP</t>
        </is>
      </c>
      <c r="C21" s="45" t="inlineStr">
        <is>
          <t>07–19h · banco</t>
        </is>
      </c>
      <c r="D21" s="45" t="n">
        <v>12</v>
      </c>
      <c r="E21" s="45" t="inlineStr">
        <is>
          <t>—</t>
        </is>
      </c>
      <c r="F21" s="39" t="n"/>
      <c r="G21" s="39" t="n"/>
      <c r="H21" s="39" t="n"/>
    </row>
    <row r="22">
      <c r="A22" s="56" t="inlineStr">
        <is>
          <t>N+</t>
        </is>
      </c>
      <c r="B22" s="45" t="inlineStr">
        <is>
          <t>noite BHP</t>
        </is>
      </c>
      <c r="C22" s="45" t="inlineStr">
        <is>
          <t>19–07h · banco</t>
        </is>
      </c>
      <c r="D22" s="45" t="n">
        <v>12</v>
      </c>
      <c r="E22" s="45" t="inlineStr">
        <is>
          <t>—</t>
        </is>
      </c>
      <c r="F22" s="39" t="n"/>
      <c r="G22" s="39" t="n"/>
      <c r="H22" s="39" t="n"/>
    </row>
    <row r="23">
      <c r="A23" s="56" t="inlineStr">
        <is>
          <t>Dm+</t>
        </is>
      </c>
      <c r="B23" s="45" t="inlineStr">
        <is>
          <t>dia · manhã é BHP</t>
        </is>
      </c>
      <c r="C23" s="45" t="inlineStr">
        <is>
          <t>07–19h</t>
        </is>
      </c>
      <c r="D23" s="45" t="n">
        <v>12</v>
      </c>
      <c r="E23" s="45" t="inlineStr">
        <is>
          <t>239</t>
        </is>
      </c>
      <c r="F23" s="39" t="n"/>
      <c r="G23" s="39" t="n"/>
      <c r="H23" s="39" t="n"/>
    </row>
    <row r="24">
      <c r="A24" s="56" t="inlineStr">
        <is>
          <t>Dt+</t>
        </is>
      </c>
      <c r="B24" s="45" t="inlineStr">
        <is>
          <t>dia · tarde é BHP</t>
        </is>
      </c>
      <c r="C24" s="45" t="inlineStr">
        <is>
          <t>07–19h</t>
        </is>
      </c>
      <c r="D24" s="45" t="n">
        <v>12</v>
      </c>
      <c r="E24" s="45" t="inlineStr">
        <is>
          <t>2</t>
        </is>
      </c>
      <c r="F24" s="39" t="n"/>
      <c r="G24" s="39" t="n"/>
      <c r="H24" s="39" t="n"/>
    </row>
    <row r="25">
      <c r="A25" s="57" t="inlineStr">
        <is>
          <t>M-</t>
        </is>
      </c>
      <c r="B25" s="45" t="inlineStr">
        <is>
          <t>BHN da manhã</t>
        </is>
      </c>
      <c r="C25" s="45" t="inlineStr">
        <is>
          <t>dispensa</t>
        </is>
      </c>
      <c r="D25" s="45" t="inlineStr">
        <is>
          <t>—</t>
        </is>
      </c>
      <c r="E25" s="45" t="inlineStr">
        <is>
          <t>2</t>
        </is>
      </c>
      <c r="F25" s="39" t="n"/>
      <c r="G25" s="39" t="n"/>
      <c r="H25" s="39" t="n"/>
    </row>
    <row r="26">
      <c r="A26" s="57" t="inlineStr">
        <is>
          <t>T-</t>
        </is>
      </c>
      <c r="B26" s="45" t="inlineStr">
        <is>
          <t>BHN da tarde</t>
        </is>
      </c>
      <c r="C26" s="45" t="inlineStr">
        <is>
          <t>dispensa</t>
        </is>
      </c>
      <c r="D26" s="45" t="inlineStr">
        <is>
          <t>—</t>
        </is>
      </c>
      <c r="E26" s="45" t="inlineStr">
        <is>
          <t>239</t>
        </is>
      </c>
      <c r="F26" s="39" t="n"/>
      <c r="G26" s="39" t="n"/>
      <c r="H26" s="39" t="n"/>
    </row>
    <row r="27">
      <c r="A27" s="57" t="inlineStr">
        <is>
          <t>D-</t>
        </is>
      </c>
      <c r="B27" s="45" t="inlineStr">
        <is>
          <t>BHN do dia</t>
        </is>
      </c>
      <c r="C27" s="45" t="inlineStr">
        <is>
          <t>dispensa</t>
        </is>
      </c>
      <c r="D27" s="45" t="inlineStr">
        <is>
          <t>—</t>
        </is>
      </c>
      <c r="E27" s="45" t="inlineStr">
        <is>
          <t>40</t>
        </is>
      </c>
      <c r="F27" s="39" t="n"/>
      <c r="G27" s="39" t="n"/>
      <c r="H27" s="39" t="n"/>
    </row>
    <row r="28">
      <c r="A28" s="57" t="inlineStr">
        <is>
          <t>N-</t>
        </is>
      </c>
      <c r="B28" s="45" t="inlineStr">
        <is>
          <t>BHN da noite</t>
        </is>
      </c>
      <c r="C28" s="45" t="inlineStr">
        <is>
          <t>dispensa</t>
        </is>
      </c>
      <c r="D28" s="45" t="inlineStr">
        <is>
          <t>—</t>
        </is>
      </c>
      <c r="E28" s="45" t="inlineStr">
        <is>
          <t>41</t>
        </is>
      </c>
      <c r="F28" s="39" t="n"/>
      <c r="G28" s="39" t="n"/>
      <c r="H28" s="39" t="n"/>
    </row>
    <row r="29">
      <c r="A29" s="57" t="inlineStr">
        <is>
          <t>Tm-</t>
        </is>
      </c>
      <c r="B29" s="45" t="inlineStr">
        <is>
          <t>tarde · manhã é BHN</t>
        </is>
      </c>
      <c r="C29" s="45" t="inlineStr">
        <is>
          <t>13–19h</t>
        </is>
      </c>
      <c r="D29" s="45" t="n">
        <v>6</v>
      </c>
      <c r="E29" s="45" t="inlineStr">
        <is>
          <t>40</t>
        </is>
      </c>
      <c r="F29" s="39" t="n"/>
      <c r="G29" s="39" t="n"/>
      <c r="H29" s="39" t="n"/>
    </row>
    <row r="30">
      <c r="A30" s="57" t="inlineStr">
        <is>
          <t>Mt-</t>
        </is>
      </c>
      <c r="B30" s="45" t="inlineStr">
        <is>
          <t>manhã · tarde é BHN</t>
        </is>
      </c>
      <c r="C30" s="45" t="inlineStr">
        <is>
          <t>07–13h</t>
        </is>
      </c>
      <c r="D30" s="45" t="n">
        <v>6</v>
      </c>
      <c r="E30" s="45" t="inlineStr">
        <is>
          <t>40</t>
        </is>
      </c>
      <c r="F30" s="39" t="n"/>
      <c r="G30" s="39" t="n"/>
      <c r="H30" s="39" t="n"/>
    </row>
    <row r="31">
      <c r="A31" s="58" t="inlineStr">
        <is>
          <t>FE</t>
        </is>
      </c>
      <c r="B31" s="45" t="inlineStr">
        <is>
          <t>férias</t>
        </is>
      </c>
      <c r="C31" s="45" t="inlineStr">
        <is>
          <t>—</t>
        </is>
      </c>
      <c r="D31" s="45" t="inlineStr">
        <is>
          <t>—</t>
        </is>
      </c>
      <c r="E31" s="45" t="inlineStr">
        <is>
          <t>Férias</t>
        </is>
      </c>
      <c r="F31" s="39" t="n"/>
      <c r="G31" s="39" t="n"/>
      <c r="H31" s="39" t="n"/>
    </row>
    <row r="32">
      <c r="A32" s="59" t="inlineStr">
        <is>
          <t>LM</t>
        </is>
      </c>
      <c r="B32" s="45" t="inlineStr">
        <is>
          <t>licença</t>
        </is>
      </c>
      <c r="C32" s="45" t="inlineStr">
        <is>
          <t>—</t>
        </is>
      </c>
      <c r="D32" s="45" t="inlineStr">
        <is>
          <t>—</t>
        </is>
      </c>
      <c r="E32" s="45" t="inlineStr">
        <is>
          <t>LM</t>
        </is>
      </c>
      <c r="F32" s="39" t="n"/>
      <c r="G32" s="39" t="n"/>
      <c r="H32" s="39" t="n"/>
    </row>
    <row r="33">
      <c r="A33" s="60" t="inlineStr">
        <is>
          <t>AB</t>
        </is>
      </c>
      <c r="B33" s="45" t="inlineStr">
        <is>
          <t>abono niver</t>
        </is>
      </c>
      <c r="C33" s="45" t="inlineStr">
        <is>
          <t>—</t>
        </is>
      </c>
      <c r="D33" s="45" t="inlineStr">
        <is>
          <t>—</t>
        </is>
      </c>
      <c r="E33" s="45" t="inlineStr">
        <is>
          <t>—</t>
        </is>
      </c>
      <c r="F33" s="39" t="n"/>
      <c r="G33" s="39" t="n"/>
      <c r="H33" s="39" t="n"/>
    </row>
    <row r="34" ht="34" customHeight="1">
      <c r="A34" s="41" t="inlineStr">
        <is>
          <t>Antigos</t>
        </is>
      </c>
      <c r="B34" s="42" t="inlineStr">
        <is>
          <t>Até abril de 2026 os códigos eram outros: 110 = M (manhã) · 82 = D (dia 12h) · 83 = N (noite 12h) · 10 = J (5h, virou 78). A mudança de abril passou a usar 2/40/41.</t>
        </is>
      </c>
      <c r="C34" s="39" t="n"/>
      <c r="D34" s="39" t="n"/>
      <c r="E34" s="39" t="n"/>
      <c r="F34" s="39" t="n"/>
      <c r="G34" s="39" t="n"/>
      <c r="H34" s="39" t="n"/>
    </row>
    <row r="35" ht="48.5" customHeight="1">
      <c r="A35" s="61" t="inlineStr">
        <is>
          <t>Banco</t>
        </is>
      </c>
      <c r="B35" s="42" t="inlineStr">
        <is>
          <t>Código com + é BHP: a pessoa trabalha a MAIS e a hora fica no banco — o Senior não recebe esse plantão. Código com − é BHN: dispensa paga pelo banco — a pessoa não vem, mas o Senior recebe o plantão normal. Dm+ é um dia inteiro em que só a manhã é BHP; Tm- é uma tarde trabalhada com a manhã dispensada.</t>
        </is>
      </c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40" t="inlineStr">
        <is>
          <t>As abas</t>
        </is>
      </c>
      <c r="B37" s="39" t="n"/>
      <c r="C37" s="39" t="n"/>
      <c r="D37" s="39" t="n"/>
      <c r="E37" s="39" t="n"/>
      <c r="F37" s="39" t="n"/>
      <c r="G37" s="39" t="n"/>
      <c r="H37" s="39" t="n"/>
    </row>
    <row r="38" ht="19.5" customHeight="1">
      <c r="A38" s="61" t="inlineStr">
        <is>
          <t>CADASTRO</t>
        </is>
      </c>
      <c r="B38" s="42" t="inlineStr">
        <is>
          <t>Quem é quem: carga horária, restrições duras, sexta-noite e fds extra. É a fonte dos nomes de todas as abas mensais.</t>
        </is>
      </c>
      <c r="C38" s="39" t="n"/>
      <c r="D38" s="39" t="n"/>
      <c r="E38" s="39" t="n"/>
      <c r="F38" s="39" t="n"/>
      <c r="G38" s="39" t="n"/>
      <c r="H38" s="39" t="n"/>
    </row>
    <row r="39" ht="34" customHeight="1">
      <c r="A39" s="61" t="inlineStr">
        <is>
          <t>CONFIG</t>
        </is>
      </c>
      <c r="B39" s="42" t="inlineStr">
        <is>
          <t>As regras como dado: cobertura mínima, cota de fds em mês com férias, tabela de códigos e as regras duras com o artigo da CLT. Mudou aqui, mudou na planilha toda.</t>
        </is>
      </c>
      <c r="C39" s="39" t="n"/>
      <c r="D39" s="39" t="n"/>
      <c r="E39" s="39" t="n"/>
      <c r="F39" s="39" t="n"/>
      <c r="G39" s="39" t="n"/>
      <c r="H39" s="39" t="n"/>
    </row>
    <row r="40" ht="92" customHeight="1">
      <c r="A40" s="61" t="inlineStr">
        <is>
          <t>JAN a DEZ</t>
        </is>
      </c>
      <c r="B40" s="42" t="inlineStr">
        <is>
          <t>A escala: matriz médico × dia, com filtro no cabeçalho pra ordenar (veja “Ordenar” abaixo). A semana fecha NO DOMINGO, então todo mês aparece com as semanas completas: as primeiras colunas trazem o fim do mês anterior e as últimas trazem os dias do mês seguinte até o domingo que fecha a última semana. Esses dias vizinhos são fórmula da aba deles — pra editar, use a aba do mês dono do dia. À direita, por pessoa, PRIMEIRO as semanas: Sem 1..6 = horas de cada semana civil (o intervalo de datas está em cima) e, ao lado de cada uma, BH = horas − alvo semanal da pessoa (+ é BHP e fica areia, − é BHN/faltou e fica coral; zero é semana fechada). Depois: carga do mês, fds, sexta-noite, feriado, meta, saldo e os alertas de jornada. No rodapé, a lotação de cada turno e quanto falta pro mínimo.</t>
        </is>
      </c>
      <c r="C40" s="39" t="n"/>
      <c r="D40" s="39" t="n"/>
      <c r="E40" s="39" t="n"/>
      <c r="F40" s="39" t="n"/>
      <c r="G40" s="39" t="n"/>
      <c r="H40" s="39" t="n"/>
    </row>
    <row r="41" ht="63" customHeight="1">
      <c r="A41" s="61" t="inlineStr">
        <is>
          <t>Ordenar</t>
        </is>
      </c>
      <c r="B41" s="42" t="inlineStr">
        <is>
          <t>Cada aba mensal tem um FILTRO no cabeçalho (ícone de funil): clique no funil de “Médico” e ordene de A a Z, ou no de “Grupo” para ver coordenação → rotina → staff. A coluna “Nº” volta à ordem original. A planilha foi preparada para isso: toda fórmula acha cada pessoa PELO NOME, em qualquer ordem — ordenar pelo funil não quebra nada. Só não use “Classificar intervalo” numa seleção parcial, que aí as linhas se separam das colunas.</t>
        </is>
      </c>
      <c r="C41" s="39" t="n"/>
      <c r="D41" s="39" t="n"/>
      <c r="E41" s="39" t="n"/>
      <c r="F41" s="39" t="n"/>
      <c r="G41" s="39" t="n"/>
      <c r="H41" s="39" t="n"/>
    </row>
    <row r="42" ht="48.5" customHeight="1">
      <c r="A42" s="61" t="inlineStr">
        <is>
          <t>OUT · DIA A DIA</t>
        </is>
      </c>
      <c r="B42" s="42" t="inlineStr">
        <is>
          <t>O mês em formato calendário: por dia e por turno, quem está onde, e a cobertura. Abre na segunda-feira da semana do dia 1º e fecha no domingo da última semana — os dias dos meses vizinhos aparecem acinzentados, só para leitura. É fórmula da aba do mês — trocou um plantão no dropdown, o dia a dia se refaz. Bom pra bater o olho e perceber o que está esquisito.</t>
        </is>
      </c>
      <c r="C42" s="39" t="n"/>
      <c r="D42" s="39" t="n"/>
      <c r="E42" s="39" t="n"/>
      <c r="F42" s="39" t="n"/>
      <c r="G42" s="39" t="n"/>
      <c r="H42" s="39" t="n"/>
    </row>
    <row r="43" ht="34" customHeight="1">
      <c r="A43" s="61" t="inlineStr">
        <is>
          <t>PAINEL ANO</t>
        </is>
      </c>
      <c r="B43" s="42" t="inlineStr">
        <is>
          <t>O comparativo do ano: saldo, fds, sexta-noite e feriado de cada pessoa mês a mês, com acumulado. Onde existe a contagem manual antiga, ela aparece ao lado pra conferência.</t>
        </is>
      </c>
      <c r="C43" s="39" t="n"/>
      <c r="D43" s="39" t="n"/>
      <c r="E43" s="39" t="n"/>
      <c r="F43" s="39" t="n"/>
      <c r="G43" s="39" t="n"/>
      <c r="H43" s="39" t="n"/>
    </row>
    <row r="44" ht="19.5" customHeight="1">
      <c r="A44" s="61" t="inlineStr">
        <is>
          <t>SENIOR</t>
        </is>
      </c>
      <c r="B44" s="42" t="inlineStr">
        <is>
          <t>Escolha o mês em B1 e a matriz inteira sai traduzida nos códigos do RH, pronta pra lançar.</t>
        </is>
      </c>
      <c r="C44" s="39" t="n"/>
      <c r="D44" s="39" t="n"/>
      <c r="E44" s="39" t="n"/>
      <c r="F44" s="39" t="n"/>
      <c r="G44" s="39" t="n"/>
      <c r="H44" s="39" t="n"/>
    </row>
    <row r="45" ht="19.5" customHeight="1">
      <c r="A45" s="61" t="inlineStr">
        <is>
          <t>VALIDADOR</t>
        </is>
      </c>
      <c r="B45" s="42" t="inlineStr">
        <is>
          <t>O que fere regra dura, separado em ESTRUTURAL (é a forma do contrato, decisão de política) e PONTUAL (erro daquele mês).</t>
        </is>
      </c>
      <c r="C45" s="39" t="n"/>
      <c r="D45" s="39" t="n"/>
      <c r="E45" s="39" t="n"/>
      <c r="F45" s="39" t="n"/>
      <c r="G45" s="39" t="n"/>
      <c r="H45" s="39" t="n"/>
    </row>
    <row r="46" ht="34" customHeight="1">
      <c r="A46" s="61" t="inlineStr">
        <is>
          <t>CHECAGEM OUT</t>
        </is>
      </c>
      <c r="B46" s="42" t="inlineStr">
        <is>
          <t>A checagem de outubro feita por Marcos e Mari: as regras que ela revelou, cada célula que mudou (estava → ficou, por quê) e o que foi verificado sem mudar.</t>
        </is>
      </c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40" t="inlineStr">
        <is>
          <t>De onde vem cada mês — leia antes de comparar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 ht="31.1" customHeight="1">
      <c r="A49" s="62" t="inlineStr">
        <is>
          <t>JAN</t>
        </is>
      </c>
      <c r="B49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Janeiro: 'ESCALA FINAL JANEIRO 2026', começa no dia 2; sem arquivo Senior.</t>
        </is>
      </c>
      <c r="C49" s="39" t="n"/>
      <c r="D49" s="39" t="n"/>
      <c r="E49" s="39" t="n"/>
      <c r="F49" s="39" t="n"/>
      <c r="G49" s="39" t="n"/>
      <c r="H49" s="39" t="n"/>
    </row>
    <row r="50" ht="31.1" customHeight="1">
      <c r="A50" s="62" t="inlineStr">
        <is>
          <t>FEV</t>
        </is>
      </c>
      <c r="B50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Fevereiro: 'Escala fevereiro UTI HCB 2026' (sem coluna de noitinha).</t>
        </is>
      </c>
      <c r="C50" s="39" t="n"/>
      <c r="D50" s="39" t="n"/>
      <c r="E50" s="39" t="n"/>
      <c r="F50" s="39" t="n"/>
      <c r="G50" s="39" t="n"/>
      <c r="H50" s="39" t="n"/>
    </row>
    <row r="51" ht="31.1" customHeight="1">
      <c r="A51" s="62" t="inlineStr">
        <is>
          <t>MAR</t>
        </is>
      </c>
      <c r="B51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Março: 'Escala UTI - março 2026' — traz também 01–05/04.</t>
        </is>
      </c>
      <c r="C51" s="39" t="n"/>
      <c r="D51" s="39" t="n"/>
      <c r="E51" s="39" t="n"/>
      <c r="F51" s="39" t="n"/>
      <c r="G51" s="39" t="n"/>
      <c r="H51" s="39" t="n"/>
    </row>
    <row r="52" ht="44.15" customHeight="1">
      <c r="A52" s="62" t="inlineStr">
        <is>
          <t>ABR</t>
        </is>
      </c>
      <c r="B52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Abril: 'Escala abril 2026 UTI HCB' começa no dia 4 (1–3 vêm do arquivo de março) e traz 01–03/05.</t>
        </is>
      </c>
      <c r="C52" s="39" t="n"/>
      <c r="D52" s="39" t="n"/>
      <c r="E52" s="39" t="n"/>
      <c r="F52" s="39" t="n"/>
      <c r="G52" s="39" t="n"/>
      <c r="H52" s="39" t="n"/>
    </row>
    <row r="53" ht="44.15" customHeight="1">
      <c r="A53" s="62" t="inlineStr">
        <is>
          <t>MAI</t>
        </is>
      </c>
      <c r="B53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Maio: 'Escala maio UTI - HCB - última revisão 09.04.26' (dias 1–3 vêm do arquivo de abril); sem arquivo Senior.</t>
        </is>
      </c>
      <c r="C53" s="39" t="n"/>
      <c r="D53" s="39" t="n"/>
      <c r="E53" s="39" t="n"/>
      <c r="F53" s="39" t="n"/>
      <c r="G53" s="39" t="n"/>
      <c r="H53" s="39" t="n"/>
    </row>
    <row r="54" ht="31.1" customHeight="1">
      <c r="A54" s="62" t="inlineStr">
        <is>
          <t>JUN</t>
        </is>
      </c>
      <c r="B54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Junho: 'Escala junho - UTI HCB' — traz também 01–05/07; sem arquivo Senior.</t>
        </is>
      </c>
      <c r="C54" s="39" t="n"/>
      <c r="D54" s="39" t="n"/>
      <c r="E54" s="39" t="n"/>
      <c r="F54" s="39" t="n"/>
      <c r="G54" s="39" t="n"/>
      <c r="H54" s="39" t="n"/>
    </row>
    <row r="55" ht="44.15" customHeight="1">
      <c r="A55" s="62" t="inlineStr">
        <is>
          <t>JUL</t>
        </is>
      </c>
      <c r="B55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Julho: 'Escala juLHO - UTI HCB - apos correcao de carga horaria' começa no dia 6 (1–5 vêm do arquivo de junho) e traz 01–02/08.</t>
        </is>
      </c>
      <c r="C55" s="39" t="n"/>
      <c r="D55" s="39" t="n"/>
      <c r="E55" s="39" t="n"/>
      <c r="F55" s="39" t="n"/>
      <c r="G55" s="39" t="n"/>
      <c r="H55" s="39" t="n"/>
    </row>
    <row r="56" ht="31.1" customHeight="1">
      <c r="A56" s="62" t="inlineStr">
        <is>
          <t>AGO</t>
        </is>
      </c>
      <c r="B56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Agosto: 'Escala agosto - UTI HCB' (1–2 vêm do arquivo de julho).</t>
        </is>
      </c>
      <c r="C56" s="39" t="n"/>
      <c r="D56" s="39" t="n"/>
      <c r="E56" s="39" t="n"/>
      <c r="F56" s="39" t="n"/>
      <c r="G56" s="39" t="n"/>
      <c r="H56" s="39" t="n"/>
    </row>
    <row r="57" ht="57.2" customHeight="1">
      <c r="A57" s="62" t="inlineStr">
        <is>
          <t>SET</t>
        </is>
      </c>
      <c r="B57" s="63" t="inlineStr">
        <is>
          <t>Grade do grupo (a escala que a equipe recebe) — a fonte de todos os meses desde 01/09/26. Do arquivo Senior entram só os códigos que a grade não distingue (47 chefia, 78 Janaina, 6 CEP, 11 administrativo) e as férias/licenças. Setembro: 'Escala setembro - UTI HCB'. O arquivo Senior de setembro estava incompleto em 29–30/09 — mais um motivo pra grade ser a fonte. MAIS as nove correções que a escalista fez à mão em 28–30/09 (mari_set_dados.py): a versão dela é a fonte de verdade, e a grade não registra licença nem troca de última hora.</t>
        </is>
      </c>
      <c r="C57" s="39" t="n"/>
      <c r="D57" s="39" t="n"/>
      <c r="E57" s="39" t="n"/>
      <c r="F57" s="39" t="n"/>
      <c r="G57" s="39" t="n"/>
      <c r="H57" s="39" t="n"/>
    </row>
    <row r="58" ht="31.1" customHeight="1">
      <c r="A58" s="64" t="inlineStr">
        <is>
          <t>OUT</t>
        </is>
      </c>
      <c r="B58" s="63" t="inlineStr">
        <is>
          <t>ESCALA DA MARI — a versão viva do Sheet, re-transcrita em 01/09/26 (mari_out_dados.py v2), mais as correções da checagem Marcos/Mari (checagem_out_v3.py — cada uma listada na aba CHECAGEM OUT). Buracos que ela deixou aparecem em vermelho na linha Falta</t>
        </is>
      </c>
      <c r="C58" s="39" t="n"/>
      <c r="D58" s="39" t="n"/>
      <c r="E58" s="39" t="n"/>
      <c r="F58" s="39" t="n"/>
      <c r="G58" s="39" t="n"/>
      <c r="H58" s="39" t="n"/>
    </row>
    <row r="59" ht="18.05" customHeight="1">
      <c r="A59" s="65" t="inlineStr">
        <is>
          <t>NOV</t>
        </is>
      </c>
      <c r="B59" s="63" t="inlineStr">
        <is>
          <t>A montar</t>
        </is>
      </c>
      <c r="C59" s="39" t="n"/>
      <c r="D59" s="39" t="n"/>
      <c r="E59" s="39" t="n"/>
      <c r="F59" s="39" t="n"/>
      <c r="G59" s="39" t="n"/>
      <c r="H59" s="39" t="n"/>
    </row>
    <row r="60" ht="18.05" customHeight="1">
      <c r="A60" s="65" t="inlineStr">
        <is>
          <t>DEZ</t>
        </is>
      </c>
      <c r="B60" s="63" t="inlineStr">
        <is>
          <t>A montar</t>
        </is>
      </c>
      <c r="C60" s="39" t="n"/>
      <c r="D60" s="39" t="n"/>
      <c r="E60" s="39" t="n"/>
      <c r="F60" s="39" t="n"/>
      <c r="G60" s="39" t="n"/>
      <c r="H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</row>
    <row r="62" ht="63" customHeight="1">
      <c r="A62" s="41" t="inlineStr">
        <is>
          <t>atenção</t>
        </is>
      </c>
      <c r="B62" s="66" t="inlineStr">
        <is>
          <t>A grade lista nomes por turno, não códigos: manhã + tarde no mesmo dia foi lido como 12h dia (D). Nos meses COM arquivo Senior (fev–abr, jul–set) os códigos 47/78/6/11 e as férias vêm dele; em janeiro, maio e junho não há arquivo Senior e a chefia entra como manhã de 6h (carga subestimada pra Fred/Milena). As anotações BHP/BHN/CEP/CP/CRO da grade viram os códigos + e −, CEP, CP e CRO. O Senior NÃO é fonte de escala: nem sempre condiz com a realidade (Marcos, 02/09/26).</t>
        </is>
      </c>
      <c r="C62" s="39" t="n"/>
      <c r="D62" s="39" t="n"/>
      <c r="E62" s="39" t="n"/>
      <c r="F62" s="39" t="n"/>
      <c r="G62" s="39" t="n"/>
      <c r="H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</row>
    <row r="64">
      <c r="A64" s="40" t="inlineStr">
        <is>
          <t>O que ainda falta</t>
        </is>
      </c>
      <c r="B64" s="39" t="n"/>
      <c r="C64" s="39" t="n"/>
      <c r="D64" s="39" t="n"/>
      <c r="E64" s="39" t="n"/>
      <c r="F64" s="39" t="n"/>
      <c r="G64" s="39" t="n"/>
      <c r="H64" s="39" t="n"/>
    </row>
    <row r="65" ht="19.5" customHeight="1">
      <c r="A65" s="41" t="inlineStr">
        <is>
          <t>·</t>
        </is>
      </c>
      <c r="B65" s="42" t="inlineStr">
        <is>
          <t>Janeiro começa no dia 2: a grade recebida não tem o dia 1º.</t>
        </is>
      </c>
      <c r="C65" s="39" t="n"/>
      <c r="D65" s="39" t="n"/>
      <c r="E65" s="39" t="n"/>
      <c r="F65" s="39" t="n"/>
      <c r="G65" s="39" t="n"/>
      <c r="H65" s="39" t="n"/>
    </row>
    <row r="66" ht="34" customHeight="1">
      <c r="A66" s="41" t="inlineStr">
        <is>
          <t>·</t>
        </is>
      </c>
      <c r="B66" s="42" t="inlineStr">
        <is>
          <t>Toda a escala de janeiro a setembro vem das GRADES do grupo. O arquivo Senior só empresta os códigos 47/78/6/11 e as férias — janeiro, maio e junho não têm Senior, então a chefia desses meses aparece como manhã de 6h.</t>
        </is>
      </c>
      <c r="C66" s="39" t="n"/>
      <c r="D66" s="39" t="n"/>
      <c r="E66" s="39" t="n"/>
      <c r="F66" s="39" t="n"/>
      <c r="G66" s="39" t="n"/>
      <c r="H66" s="39" t="n"/>
    </row>
    <row r="67" ht="19.5" customHeight="1">
      <c r="A67" s="41" t="inlineStr">
        <is>
          <t>·</t>
        </is>
      </c>
      <c r="B67" s="42" t="inlineStr">
        <is>
          <t>Novembro e dezembro estão em branco, prontos pra montar (01/11 já tem o que a Mari lançou).</t>
        </is>
      </c>
      <c r="C67" s="39" t="n"/>
      <c r="D67" s="39" t="n"/>
      <c r="E67" s="39" t="n"/>
      <c r="F67" s="39" t="n"/>
      <c r="G67" s="39" t="n"/>
      <c r="H67" s="39" t="n"/>
    </row>
    <row r="68" ht="34" customHeight="1">
      <c r="A68" s="41" t="inlineStr">
        <is>
          <t>·</t>
        </is>
      </c>
      <c r="B68" s="42" t="inlineStr">
        <is>
          <t>Os dias do CRO da LuAlice em outubro (02 e 09) e o domingo 18/10 à noite (ficou com 6/7 depois de desfazer as 24h emendadas do Moabe) estão marcados pra decisão da Mari na aba CHECAGEM OUT.</t>
        </is>
      </c>
      <c r="C68" s="39" t="n"/>
      <c r="D68" s="39" t="n"/>
      <c r="E68" s="39" t="n"/>
      <c r="F68" s="39" t="n"/>
      <c r="G68" s="39" t="n"/>
      <c r="H68" s="39" t="n"/>
    </row>
    <row r="69" ht="19.5" customHeight="1">
      <c r="A69" s="41" t="inlineStr">
        <is>
          <t>·</t>
        </is>
      </c>
      <c r="B69" s="42" t="inlineStr">
        <is>
          <t>Dois códigos órfãos no histórico: 23 (Isabella 23/08) e 3 (Laura 02/08) — não constam em nenhuma legenda; ficaram de fora.</t>
        </is>
      </c>
      <c r="C69" s="39" t="n"/>
      <c r="D69" s="39" t="n"/>
      <c r="E69" s="39" t="n"/>
      <c r="F69" s="39" t="n"/>
      <c r="G69" s="39" t="n"/>
      <c r="H69" s="39" t="n"/>
    </row>
    <row r="70" ht="34" customHeight="1">
      <c r="A70" s="41" t="inlineStr">
        <is>
          <t>·</t>
        </is>
      </c>
      <c r="B70" s="42" t="inlineStr">
        <is>
          <t>A coluna 18h⚠ enxerga a virada de mês pelas colunas de véspera: a noite do fim do mês anterior emendando a manhã do dia 1º conta no mês NOVO (cada virada tem um dono só, nunca é contada duas vezes). A virada dez/26→jan/27 fica com a aba VALIDADOR, que olha o ano inteiro.</t>
        </is>
      </c>
      <c r="C70" s="39" t="n"/>
      <c r="D70" s="39" t="n"/>
      <c r="E70" s="39" t="n"/>
      <c r="F70" s="39" t="n"/>
      <c r="G70" s="39" t="n"/>
      <c r="H70" s="39" t="n"/>
    </row>
    <row r="71" ht="34" customHeight="1">
      <c r="A71" s="41" t="inlineStr">
        <is>
          <t>·</t>
        </is>
      </c>
      <c r="B71" s="42" t="inlineStr">
        <is>
          <t>O seletor de mês da aba SENIOR usa INDIRECT, que só resolve com o arquivo aberto no Excel ou no Google Sheets — em pré-visualização de e-mail ou no Drive sem abrir, a matriz aparece vazia. Abrir e escolher o mês em B1 resolve.</t>
        </is>
      </c>
      <c r="C71" s="39" t="n"/>
      <c r="D71" s="39" t="n"/>
      <c r="E71" s="39" t="n"/>
      <c r="F71" s="39" t="n"/>
      <c r="G71" s="39" t="n"/>
      <c r="H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</row>
  </sheetData>
  <mergeCells count="32">
    <mergeCell ref="B40:H40"/>
    <mergeCell ref="B49:H49"/>
    <mergeCell ref="B65:H65"/>
    <mergeCell ref="B68:H68"/>
    <mergeCell ref="B55:H55"/>
    <mergeCell ref="B51:H51"/>
    <mergeCell ref="B45:H45"/>
    <mergeCell ref="B50:H50"/>
    <mergeCell ref="B41:H41"/>
    <mergeCell ref="B35:H35"/>
    <mergeCell ref="B4:H4"/>
    <mergeCell ref="B54:H54"/>
    <mergeCell ref="B62:H62"/>
    <mergeCell ref="B59:H59"/>
    <mergeCell ref="B46:H46"/>
    <mergeCell ref="B66:H66"/>
    <mergeCell ref="B56:H56"/>
    <mergeCell ref="B58:H58"/>
    <mergeCell ref="B71:H71"/>
    <mergeCell ref="B52:H52"/>
    <mergeCell ref="B43:H43"/>
    <mergeCell ref="B39:H39"/>
    <mergeCell ref="B70:H70"/>
    <mergeCell ref="B42:H42"/>
    <mergeCell ref="B60:H60"/>
    <mergeCell ref="B67:H67"/>
    <mergeCell ref="B57:H57"/>
    <mergeCell ref="B44:H44"/>
    <mergeCell ref="B53:H53"/>
    <mergeCell ref="B69:H69"/>
    <mergeCell ref="B38:H38"/>
    <mergeCell ref="B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D8E1"/>
    <outlinePr summaryBelow="1" summaryRight="1"/>
    <pageSetUpPr/>
  </sheetPr>
  <dimension ref="A1:I7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" customWidth="1" min="3" max="3"/>
    <col width="15" customWidth="1" min="4" max="4"/>
    <col width="58" customWidth="1" min="5" max="5"/>
    <col width="16" customWidth="1" min="6" max="6"/>
    <col width="14" customWidth="1" min="7" max="7"/>
    <col width="52" customWidth="1" min="8" max="8"/>
    <col width="8" customWidth="1" min="9" max="9"/>
  </cols>
  <sheetData>
    <row r="1">
      <c r="A1" s="38" t="inlineStr">
        <is>
          <t>Cadastro · Quem é quem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>
      <c r="A2" s="67" t="inlineStr">
        <is>
          <t>66 pessoas ativas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</row>
    <row r="3">
      <c r="A3" s="68" t="inlineStr">
        <is>
          <t>Médico</t>
        </is>
      </c>
      <c r="B3" s="68" t="inlineStr">
        <is>
          <t>Nome completo</t>
        </is>
      </c>
      <c r="C3" s="68" t="inlineStr">
        <is>
          <t>CH</t>
        </is>
      </c>
      <c r="D3" s="68" t="inlineStr">
        <is>
          <t>Grupo</t>
        </is>
      </c>
      <c r="E3" s="68" t="inlineStr">
        <is>
          <t>Restrições duras</t>
        </is>
      </c>
      <c r="F3" s="68" t="inlineStr">
        <is>
          <t>Sexta-noite</t>
        </is>
      </c>
      <c r="G3" s="68" t="inlineStr">
        <is>
          <t>FDS extra</t>
        </is>
      </c>
      <c r="H3" s="68" t="inlineStr">
        <is>
          <t>Observações</t>
        </is>
      </c>
      <c r="I3" s="68" t="inlineStr">
        <is>
          <t>Alvo/sem</t>
        </is>
      </c>
    </row>
    <row r="4" ht="31.1" customHeight="1">
      <c r="A4" s="69" t="inlineStr">
        <is>
          <t>Fred</t>
        </is>
      </c>
      <c r="B4" s="70" t="inlineStr">
        <is>
          <t>Frederico Pires</t>
        </is>
      </c>
      <c r="C4" s="70" t="n">
        <v>36</v>
      </c>
      <c r="D4" s="71" t="inlineStr">
        <is>
          <t>chefia</t>
        </is>
      </c>
      <c r="E4" s="72" t="inlineStr">
        <is>
          <t>coordenação: seg+ter 10h de chefia (47), qua+qui manhã</t>
        </is>
      </c>
      <c r="F4" s="70" t="inlineStr">
        <is>
          <t>não</t>
        </is>
      </c>
      <c r="G4" s="70" t="inlineStr">
        <is>
          <t>não</t>
        </is>
      </c>
      <c r="H4" s="72" t="inlineStr">
        <is>
          <t>o 47 é lançado pela coordenação · CH não entra nas contagens de plantão</t>
        </is>
      </c>
      <c r="I4" s="69" t="n">
        <v>36</v>
      </c>
    </row>
    <row r="5" ht="18.05" customHeight="1">
      <c r="A5" s="73" t="inlineStr">
        <is>
          <t>Milena</t>
        </is>
      </c>
      <c r="B5" s="74" t="inlineStr">
        <is>
          <t>Milena</t>
        </is>
      </c>
      <c r="C5" s="74" t="n">
        <v>36</v>
      </c>
      <c r="D5" s="71" t="inlineStr">
        <is>
          <t>chefia</t>
        </is>
      </c>
      <c r="E5" s="75" t="inlineStr">
        <is>
          <t>coordenação: seg/ter/qua manhã, qui 10h de chefia (47)</t>
        </is>
      </c>
      <c r="F5" s="74" t="inlineStr">
        <is>
          <t>não</t>
        </is>
      </c>
      <c r="G5" s="74" t="inlineStr">
        <is>
          <t>não</t>
        </is>
      </c>
      <c r="H5" s="75" t="inlineStr">
        <is>
          <t>o 47 é lançado pela coordenação</t>
        </is>
      </c>
      <c r="I5" s="73" t="n">
        <v>36</v>
      </c>
    </row>
    <row r="6" ht="18.05" customHeight="1">
      <c r="A6" s="69" t="inlineStr">
        <is>
          <t>Pabdo</t>
        </is>
      </c>
      <c r="B6" s="70" t="inlineStr">
        <is>
          <t>Paula Abdo</t>
        </is>
      </c>
      <c r="C6" s="70" t="n">
        <v>36</v>
      </c>
      <c r="D6" s="71" t="inlineStr">
        <is>
          <t>chefia</t>
        </is>
      </c>
      <c r="E6" s="72" t="inlineStr">
        <is>
          <t>manhãs seg–sex</t>
        </is>
      </c>
      <c r="F6" s="70" t="inlineStr">
        <is>
          <t>não</t>
        </is>
      </c>
      <c r="G6" s="70" t="inlineStr">
        <is>
          <t>não</t>
        </is>
      </c>
      <c r="H6" s="72" t="inlineStr">
        <is>
          <t>aniversário 29/10, sem folga</t>
        </is>
      </c>
      <c r="I6" s="69" t="n">
        <v>36</v>
      </c>
    </row>
    <row r="7" ht="31.1" customHeight="1">
      <c r="A7" s="73" t="inlineStr">
        <is>
          <t>MSalomão</t>
        </is>
      </c>
      <c r="B7" s="74" t="inlineStr">
        <is>
          <t>Marina Salomão</t>
        </is>
      </c>
      <c r="C7" s="74" t="n">
        <v>40</v>
      </c>
      <c r="D7" s="71" t="inlineStr">
        <is>
          <t>chefia</t>
        </is>
      </c>
      <c r="E7" s="75" t="inlineStr">
        <is>
          <t>manhãs seg–sex · D às quintas · N de domingo no rodízio de fds 15/15 com Vinicius · alvo 42h/semana com UMA semana de 36h no mês</t>
        </is>
      </c>
      <c r="F7" s="74" t="inlineStr">
        <is>
          <t>não</t>
        </is>
      </c>
      <c r="G7" s="74" t="inlineStr">
        <is>
          <t>não</t>
        </is>
      </c>
      <c r="H7" s="75" t="inlineStr">
        <is>
          <t>folga 12/10 (pedido individual) · NÃO sexta tarde</t>
        </is>
      </c>
      <c r="I7" s="73" t="n">
        <v>42</v>
      </c>
    </row>
    <row r="8" ht="31.1" customHeight="1">
      <c r="A8" s="69" t="inlineStr">
        <is>
          <t>DebAlves</t>
        </is>
      </c>
      <c r="B8" s="70" t="inlineStr">
        <is>
          <t>Deborah Alves</t>
        </is>
      </c>
      <c r="C8" s="70" t="n">
        <v>40</v>
      </c>
      <c r="D8" s="71" t="inlineStr">
        <is>
          <t>chefia</t>
        </is>
      </c>
      <c r="E8" s="72" t="inlineStr">
        <is>
          <t>manhãs e tardes seg–sex, D pra completar (cobre o gargalo das tardes) · alvo 42h/semana com UMA semana de 36h no mês</t>
        </is>
      </c>
      <c r="F8" s="70" t="inlineStr">
        <is>
          <t>não</t>
        </is>
      </c>
      <c r="G8" s="70" t="inlineStr">
        <is>
          <t>não</t>
        </is>
      </c>
      <c r="H8" s="72" t="inlineStr"/>
      <c r="I8" s="69" t="n">
        <v>42</v>
      </c>
    </row>
    <row r="9" ht="31.1" customHeight="1">
      <c r="A9" s="73" t="inlineStr">
        <is>
          <t>Vinicius</t>
        </is>
      </c>
      <c r="B9" s="74" t="inlineStr">
        <is>
          <t>Vinicius Bezerra</t>
        </is>
      </c>
      <c r="C9" s="74" t="n">
        <v>36</v>
      </c>
      <c r="D9" s="71" t="inlineStr">
        <is>
          <t>chefia</t>
        </is>
      </c>
      <c r="E9" s="75" t="inlineStr">
        <is>
          <t>manhãs seg–sex · N de sábado no rodízio 15/15 com Murilo · fds 15/15 com MSalomão</t>
        </is>
      </c>
      <c r="F9" s="74" t="inlineStr">
        <is>
          <t>não</t>
        </is>
      </c>
      <c r="G9" s="74" t="inlineStr">
        <is>
          <t>sim</t>
        </is>
      </c>
      <c r="H9" s="75" t="inlineStr">
        <is>
          <t>FÉRIAS 12–26/10 — volta ter 27/10 (semana de retorno: alvo 30h)</t>
        </is>
      </c>
      <c r="I9" s="73" t="n">
        <v>36</v>
      </c>
    </row>
    <row r="10" ht="18.05" customHeight="1">
      <c r="A10" s="69" t="inlineStr">
        <is>
          <t>Amelio</t>
        </is>
      </c>
      <c r="B10" s="70" t="inlineStr">
        <is>
          <t>Fernanda Amelio</t>
        </is>
      </c>
      <c r="C10" s="70" t="n">
        <v>36</v>
      </c>
      <c r="D10" s="71" t="inlineStr">
        <is>
          <t>chefia</t>
        </is>
      </c>
      <c r="E10" s="72" t="inlineStr">
        <is>
          <t>manhãs seg–sex e D diurnos (inclusive fds) · SEM NOTURNOS (atestado)</t>
        </is>
      </c>
      <c r="F10" s="70" t="inlineStr">
        <is>
          <t>não</t>
        </is>
      </c>
      <c r="G10" s="70" t="inlineStr">
        <is>
          <t>não</t>
        </is>
      </c>
      <c r="H10" s="72" t="inlineStr">
        <is>
          <t>fora 24–31/10 (BHN) — compensa com BHP em 03 e 17/10</t>
        </is>
      </c>
      <c r="I10" s="69" t="n">
        <v>36</v>
      </c>
    </row>
    <row r="11" ht="31.1" customHeight="1">
      <c r="A11" s="73" t="inlineStr">
        <is>
          <t>Murilo</t>
        </is>
      </c>
      <c r="B11" s="74" t="inlineStr">
        <is>
          <t>Murilo</t>
        </is>
      </c>
      <c r="C11" s="74" t="n">
        <v>36</v>
      </c>
      <c r="D11" s="71" t="inlineStr">
        <is>
          <t>rotina</t>
        </is>
      </c>
      <c r="E11" s="75" t="inlineStr">
        <is>
          <t>rotina onco: manhãs seg–sex · N de sábado no rodízio 15/15 com Vinicius</t>
        </is>
      </c>
      <c r="F11" s="74" t="inlineStr">
        <is>
          <t>não</t>
        </is>
      </c>
      <c r="G11" s="74" t="inlineStr">
        <is>
          <t>não</t>
        </is>
      </c>
      <c r="H11" s="75" t="inlineStr"/>
      <c r="I11" s="73" t="n">
        <v>36</v>
      </c>
    </row>
    <row r="12" ht="18.05" customHeight="1">
      <c r="A12" s="69" t="inlineStr">
        <is>
          <t>Janaina</t>
        </is>
      </c>
      <c r="B12" s="70" t="inlineStr">
        <is>
          <t>Janaina Rabelo</t>
        </is>
      </c>
      <c r="C12" s="70" t="n">
        <v>30</v>
      </c>
      <c r="D12" s="76" t="inlineStr">
        <is>
          <t>30h</t>
        </is>
      </c>
      <c r="E12" s="72" t="inlineStr">
        <is>
          <t>SÓ 8–13h (código 78); sem noturnos; seg–sáb</t>
        </is>
      </c>
      <c r="F12" s="70" t="inlineStr">
        <is>
          <t>não</t>
        </is>
      </c>
      <c r="G12" s="70" t="inlineStr">
        <is>
          <t>não</t>
        </is>
      </c>
      <c r="H12" s="72" t="inlineStr">
        <is>
          <t>é sempre a 10ª da manhã de sábado; NUNCA domingo</t>
        </is>
      </c>
      <c r="I12" s="69" t="n">
        <v>30</v>
      </c>
    </row>
    <row r="13" ht="31.1" customHeight="1">
      <c r="A13" s="73" t="inlineStr">
        <is>
          <t>Aline</t>
        </is>
      </c>
      <c r="B13" s="74" t="inlineStr">
        <is>
          <t>Aline Saliba</t>
        </is>
      </c>
      <c r="C13" s="74" t="n">
        <v>40</v>
      </c>
      <c r="D13" s="77" t="inlineStr">
        <is>
          <t>36h</t>
        </is>
      </c>
      <c r="E13" s="75" t="inlineStr">
        <is>
          <t>CEP 4h toda semana: 1ª terça manhã do mês (reunião); demais semanas seg ou qui</t>
        </is>
      </c>
      <c r="F13" s="74" t="inlineStr">
        <is>
          <t>não</t>
        </is>
      </c>
      <c r="G13" s="74" t="inlineStr">
        <is>
          <t>sim</t>
        </is>
      </c>
      <c r="H13" s="75" t="inlineStr">
        <is>
          <t>36 assist + 4 CEP (alvo semanal 40) · FÉRIAS 19/10–02/11</t>
        </is>
      </c>
      <c r="I13" s="73" t="n">
        <v>40</v>
      </c>
    </row>
    <row r="14" ht="18.05" customHeight="1">
      <c r="A14" s="69" t="inlineStr">
        <is>
          <t>CaAbreu</t>
        </is>
      </c>
      <c r="B14" s="70" t="inlineStr">
        <is>
          <t>Camila Abreu</t>
        </is>
      </c>
      <c r="C14" s="70" t="n">
        <v>36</v>
      </c>
      <c r="D14" s="77" t="inlineStr">
        <is>
          <t>36h</t>
        </is>
      </c>
      <c r="E14" s="72" t="inlineStr">
        <is>
          <t>fixa qua dia (+seg dia); NÃO qui noite</t>
        </is>
      </c>
      <c r="F14" s="70" t="inlineStr">
        <is>
          <t>não</t>
        </is>
      </c>
      <c r="G14" s="70" t="inlineStr">
        <is>
          <t>sim</t>
        </is>
      </c>
      <c r="H14" s="72" t="inlineStr"/>
      <c r="I14" s="69" t="n">
        <v>36</v>
      </c>
    </row>
    <row r="15" ht="18.05" customHeight="1">
      <c r="A15" s="73" t="inlineStr">
        <is>
          <t>Danielle</t>
        </is>
      </c>
      <c r="B15" s="74" t="inlineStr">
        <is>
          <t>Danielle Tanajura</t>
        </is>
      </c>
      <c r="C15" s="74" t="n">
        <v>36</v>
      </c>
      <c r="D15" s="77" t="inlineStr">
        <is>
          <t>36h</t>
        </is>
      </c>
      <c r="E15" s="75" t="inlineStr">
        <is>
          <t>fixa qua noite (+qui noite); só noites</t>
        </is>
      </c>
      <c r="F15" s="74" t="inlineStr">
        <is>
          <t>não</t>
        </is>
      </c>
      <c r="G15" s="74" t="inlineStr">
        <is>
          <t>não</t>
        </is>
      </c>
      <c r="H15" s="75" t="inlineStr">
        <is>
          <t>não lançar sexta-noite (já fez muitas)</t>
        </is>
      </c>
      <c r="I15" s="73" t="n">
        <v>36</v>
      </c>
    </row>
    <row r="16" ht="18.05" customHeight="1">
      <c r="A16" s="69" t="inlineStr">
        <is>
          <t>Fabiula</t>
        </is>
      </c>
      <c r="B16" s="70" t="inlineStr">
        <is>
          <t>Fabiula Czameski</t>
        </is>
      </c>
      <c r="C16" s="70" t="n">
        <v>36</v>
      </c>
      <c r="D16" s="77" t="inlineStr">
        <is>
          <t>36h</t>
        </is>
      </c>
      <c r="E16" s="72" t="inlineStr">
        <is>
          <t>só noites; ter/qua/qui alternando com ter/qua/dom</t>
        </is>
      </c>
      <c r="F16" s="70" t="inlineStr">
        <is>
          <t>sim</t>
        </is>
      </c>
      <c r="G16" s="70" t="inlineStr">
        <is>
          <t>não</t>
        </is>
      </c>
      <c r="H16" s="72" t="inlineStr"/>
      <c r="I16" s="69" t="n">
        <v>36</v>
      </c>
    </row>
    <row r="17" ht="18.05" customHeight="1">
      <c r="A17" s="73" t="inlineStr">
        <is>
          <t>Isabella</t>
        </is>
      </c>
      <c r="B17" s="74" t="inlineStr">
        <is>
          <t>Isabella Mazzaro</t>
        </is>
      </c>
      <c r="C17" s="74" t="n">
        <v>36</v>
      </c>
      <c r="D17" s="77" t="inlineStr">
        <is>
          <t>36h</t>
        </is>
      </c>
      <c r="E17" s="75" t="inlineStr">
        <is>
          <t>fixo sex dia; NÃO qua noite, NÃO qui noite; evitar sáb noite</t>
        </is>
      </c>
      <c r="F17" s="74" t="inlineStr">
        <is>
          <t>sim</t>
        </is>
      </c>
      <c r="G17" s="74" t="inlineStr">
        <is>
          <t>não</t>
        </is>
      </c>
      <c r="H17" s="75" t="inlineStr">
        <is>
          <t>INVERTEU em out: não pode mais sextas</t>
        </is>
      </c>
      <c r="I17" s="73" t="n">
        <v>36</v>
      </c>
    </row>
    <row r="18" ht="31.1" customHeight="1">
      <c r="A18" s="69" t="inlineStr">
        <is>
          <t>JuBrito</t>
        </is>
      </c>
      <c r="B18" s="70" t="inlineStr">
        <is>
          <t>Julliana Brito</t>
        </is>
      </c>
      <c r="C18" s="70" t="n">
        <v>30</v>
      </c>
      <c r="D18" s="76" t="inlineStr">
        <is>
          <t>30h</t>
        </is>
      </c>
      <c r="E18" s="72" t="inlineStr">
        <is>
          <t>fixa ter dia, qua manhã, qui dia, sex manhã; NÃO segundas (Sobradinho)</t>
        </is>
      </c>
      <c r="F18" s="70" t="inlineStr">
        <is>
          <t>não</t>
        </is>
      </c>
      <c r="G18" s="70" t="inlineStr">
        <is>
          <t>não</t>
        </is>
      </c>
      <c r="H18" s="72" t="inlineStr">
        <is>
          <t>CH 30h CONFIRMADO (era 36) · +6h fds a cada 2 meses · não quer o feriado 12/10</t>
        </is>
      </c>
      <c r="I18" s="69" t="n">
        <v>30</v>
      </c>
    </row>
    <row r="19" ht="18.05" customHeight="1">
      <c r="A19" s="73" t="inlineStr">
        <is>
          <t>Kariny</t>
        </is>
      </c>
      <c r="B19" s="74" t="inlineStr">
        <is>
          <t>Fernanda Kariny</t>
        </is>
      </c>
      <c r="C19" s="74" t="n">
        <v>36</v>
      </c>
      <c r="D19" s="77" t="inlineStr">
        <is>
          <t>36h</t>
        </is>
      </c>
      <c r="E19" s="75" t="inlineStr">
        <is>
          <t>fixa seg/ter/qui dia; NÃO quartas; 6h avulsa só de manhã</t>
        </is>
      </c>
      <c r="F19" s="74" t="inlineStr">
        <is>
          <t>não</t>
        </is>
      </c>
      <c r="G19" s="74" t="inlineStr">
        <is>
          <t>não</t>
        </is>
      </c>
      <c r="H19" s="75" t="inlineStr">
        <is>
          <t>repouso 09–12/10 (procedimento)</t>
        </is>
      </c>
      <c r="I19" s="73" t="n">
        <v>36</v>
      </c>
    </row>
    <row r="20" ht="18.05" customHeight="1">
      <c r="A20" s="69" t="inlineStr">
        <is>
          <t>Mayana</t>
        </is>
      </c>
      <c r="B20" s="70" t="inlineStr">
        <is>
          <t>Mayana Leal</t>
        </is>
      </c>
      <c r="C20" s="70" t="n">
        <v>36</v>
      </c>
      <c r="D20" s="77" t="inlineStr">
        <is>
          <t>36h</t>
        </is>
      </c>
      <c r="E20" s="72" t="inlineStr">
        <is>
          <t>fixa ter dia, qui dia; NÃO seg/qua/sex tarde</t>
        </is>
      </c>
      <c r="F20" s="70" t="inlineStr">
        <is>
          <t>não</t>
        </is>
      </c>
      <c r="G20" s="70" t="inlineStr">
        <is>
          <t>não</t>
        </is>
      </c>
      <c r="H20" s="72" t="inlineStr"/>
      <c r="I20" s="69" t="n">
        <v>36</v>
      </c>
    </row>
    <row r="21" ht="18.05" customHeight="1">
      <c r="A21" s="73" t="inlineStr">
        <is>
          <t>Neyde</t>
        </is>
      </c>
      <c r="B21" s="74" t="inlineStr">
        <is>
          <t>Neyde Brito</t>
        </is>
      </c>
      <c r="C21" s="74" t="n">
        <v>36</v>
      </c>
      <c r="D21" s="77" t="inlineStr">
        <is>
          <t>36h</t>
        </is>
      </c>
      <c r="E21" s="75" t="inlineStr">
        <is>
          <t>fixa ter+qua noite + 1º/3º/4º dom noite; NÃO qui/sex/sáb noite (HMIB)</t>
        </is>
      </c>
      <c r="F21" s="74" t="inlineStr">
        <is>
          <t>não</t>
        </is>
      </c>
      <c r="G21" s="74" t="inlineStr">
        <is>
          <t>sim</t>
        </is>
      </c>
      <c r="H21" s="75" t="inlineStr">
        <is>
          <t>férias 19/10 + 15 dias</t>
        </is>
      </c>
      <c r="I21" s="73" t="n">
        <v>36</v>
      </c>
    </row>
    <row r="22" ht="18.05" customHeight="1">
      <c r="A22" s="69" t="inlineStr">
        <is>
          <t>Roberta</t>
        </is>
      </c>
      <c r="B22" s="70" t="inlineStr">
        <is>
          <t>Roberta Iglesias</t>
        </is>
      </c>
      <c r="C22" s="70" t="n">
        <v>36</v>
      </c>
      <c r="D22" s="77" t="inlineStr">
        <is>
          <t>36h</t>
        </is>
      </c>
      <c r="E22" s="72" t="inlineStr">
        <is>
          <t>coringa</t>
        </is>
      </c>
      <c r="F22" s="70" t="inlineStr">
        <is>
          <t>não</t>
        </is>
      </c>
      <c r="G22" s="70" t="inlineStr">
        <is>
          <t>sim</t>
        </is>
      </c>
      <c r="H22" s="72" t="inlineStr"/>
      <c r="I22" s="69" t="n">
        <v>36</v>
      </c>
    </row>
    <row r="23" ht="31.1" customHeight="1">
      <c r="A23" s="73" t="inlineStr">
        <is>
          <t>LuAlice</t>
        </is>
      </c>
      <c r="B23" s="74" t="inlineStr">
        <is>
          <t>Luciana Alice</t>
        </is>
      </c>
      <c r="C23" s="74" t="n">
        <v>36</v>
      </c>
      <c r="D23" s="77" t="inlineStr">
        <is>
          <t>36h</t>
        </is>
      </c>
      <c r="E23" s="75" t="inlineStr">
        <is>
          <t>fixa ter+qui noite, sáb noite no fds; SÓ noturnos (+tardes CRO, código CRO)</t>
        </is>
      </c>
      <c r="F23" s="74" t="inlineStr">
        <is>
          <t>sim</t>
        </is>
      </c>
      <c r="G23" s="74" t="inlineStr">
        <is>
          <t>não</t>
        </is>
      </c>
      <c r="H23" s="75" t="inlineStr">
        <is>
          <t>NUNCA lançar banco de horas · 36h temporária, 12h/mês CRO (2 tardes) · não lançar sextas 02 e 30/10 N</t>
        </is>
      </c>
      <c r="I23" s="73" t="n">
        <v>36</v>
      </c>
    </row>
    <row r="24" ht="31.1" customHeight="1">
      <c r="A24" s="69" t="inlineStr">
        <is>
          <t>Amanda</t>
        </is>
      </c>
      <c r="B24" s="70" t="inlineStr">
        <is>
          <t>Amanda Braga</t>
        </is>
      </c>
      <c r="C24" s="70" t="n">
        <v>30</v>
      </c>
      <c r="D24" s="76" t="inlineStr">
        <is>
          <t>30h</t>
        </is>
      </c>
      <c r="E24" s="72" t="inlineStr">
        <is>
          <t>alterna qui noite / qua dia</t>
        </is>
      </c>
      <c r="F24" s="70" t="inlineStr">
        <is>
          <t>sim</t>
        </is>
      </c>
      <c r="G24" s="70" t="inlineStr">
        <is>
          <t>sim</t>
        </is>
      </c>
      <c r="H24" s="72" t="inlineStr">
        <is>
          <t>férias até ~12/10 · NÃO escalar fds extra em outubro (fez horas a mais em set)</t>
        </is>
      </c>
      <c r="I24" s="69" t="n">
        <v>30</v>
      </c>
    </row>
    <row r="25" ht="18.05" customHeight="1">
      <c r="A25" s="73" t="inlineStr">
        <is>
          <t>Fernando</t>
        </is>
      </c>
      <c r="B25" s="74" t="inlineStr">
        <is>
          <t>Fernando Filardi</t>
        </is>
      </c>
      <c r="C25" s="74" t="n">
        <v>30</v>
      </c>
      <c r="D25" s="76" t="inlineStr">
        <is>
          <t>30h</t>
        </is>
      </c>
      <c r="E25" s="75" t="inlineStr">
        <is>
          <t>fixo seg noite, qua+qui manhã, sáb manhã</t>
        </is>
      </c>
      <c r="F25" s="74" t="inlineStr">
        <is>
          <t>não</t>
        </is>
      </c>
      <c r="G25" s="74" t="inlineStr">
        <is>
          <t>não</t>
        </is>
      </c>
      <c r="H25" s="75" t="inlineStr">
        <is>
          <t>troca sáb 17/10 → dom 04/10 manhã; oferece sexta-noite 23/10</t>
        </is>
      </c>
      <c r="I25" s="73" t="n">
        <v>30</v>
      </c>
    </row>
    <row r="26" ht="18.05" customHeight="1">
      <c r="A26" s="69" t="inlineStr">
        <is>
          <t>João</t>
        </is>
      </c>
      <c r="B26" s="70" t="inlineStr">
        <is>
          <t>João</t>
        </is>
      </c>
      <c r="C26" s="70" t="n">
        <v>30</v>
      </c>
      <c r="D26" s="76" t="inlineStr">
        <is>
          <t>30h</t>
        </is>
      </c>
      <c r="E26" s="72" t="inlineStr">
        <is>
          <t>NÃO manhãs, NÃO segundas, NÃO sábados; ter/qui/sex tarde + qua noite</t>
        </is>
      </c>
      <c r="F26" s="70" t="inlineStr">
        <is>
          <t>não</t>
        </is>
      </c>
      <c r="G26" s="70" t="inlineStr">
        <is>
          <t>não</t>
        </is>
      </c>
      <c r="H26" s="72" t="inlineStr">
        <is>
          <t>extrapola fds · férias até ~06/10</t>
        </is>
      </c>
      <c r="I26" s="69" t="n">
        <v>30</v>
      </c>
    </row>
    <row r="27" ht="18.05" customHeight="1">
      <c r="A27" s="73" t="inlineStr">
        <is>
          <t>JuCoutinho</t>
        </is>
      </c>
      <c r="B27" s="74" t="inlineStr">
        <is>
          <t>Juliana Coutinho</t>
        </is>
      </c>
      <c r="C27" s="74" t="n">
        <v>30</v>
      </c>
      <c r="D27" s="76" t="inlineStr">
        <is>
          <t>30h</t>
        </is>
      </c>
      <c r="E27" s="75" t="inlineStr">
        <is>
          <t>fixa qua diurno, sextas manhãs; NÃO qui dia</t>
        </is>
      </c>
      <c r="F27" s="74" t="inlineStr">
        <is>
          <t>não</t>
        </is>
      </c>
      <c r="G27" s="74" t="inlineStr">
        <is>
          <t>não</t>
        </is>
      </c>
      <c r="H27" s="75" t="inlineStr">
        <is>
          <t>prefere 6h em vez de 12h</t>
        </is>
      </c>
      <c r="I27" s="73" t="n">
        <v>30</v>
      </c>
    </row>
    <row r="28" ht="18.05" customHeight="1">
      <c r="A28" s="69" t="inlineStr">
        <is>
          <t>LeLemos</t>
        </is>
      </c>
      <c r="B28" s="70" t="inlineStr">
        <is>
          <t>Leticia Lemos</t>
        </is>
      </c>
      <c r="C28" s="70" t="n">
        <v>30</v>
      </c>
      <c r="D28" s="76" t="inlineStr">
        <is>
          <t>30h</t>
        </is>
      </c>
      <c r="E28" s="72" t="inlineStr">
        <is>
          <t>seg dia ↔ seg noite alternando</t>
        </is>
      </c>
      <c r="F28" s="70" t="inlineStr">
        <is>
          <t>1/mês</t>
        </is>
      </c>
      <c r="G28" s="70" t="inlineStr">
        <is>
          <t>sim</t>
        </is>
      </c>
      <c r="H28" s="72" t="inlineStr">
        <is>
          <t>férias até 05/10</t>
        </is>
      </c>
      <c r="I28" s="69" t="n">
        <v>30</v>
      </c>
    </row>
    <row r="29" ht="31.1" customHeight="1">
      <c r="A29" s="73" t="inlineStr">
        <is>
          <t>Leomara</t>
        </is>
      </c>
      <c r="B29" s="74" t="inlineStr">
        <is>
          <t>Leomara</t>
        </is>
      </c>
      <c r="C29" s="74" t="n">
        <v>24</v>
      </c>
      <c r="D29" s="70" t="inlineStr">
        <is>
          <t>24h</t>
        </is>
      </c>
      <c r="E29" s="75" t="inlineStr">
        <is>
          <t>só seg/ter manhã, qua noite, sex dia/noite, fds; evitar 2 noturnos/semana</t>
        </is>
      </c>
      <c r="F29" s="74" t="inlineStr">
        <is>
          <t>não</t>
        </is>
      </c>
      <c r="G29" s="74" t="inlineStr">
        <is>
          <t>não</t>
        </is>
      </c>
      <c r="H29" s="75" t="inlineStr">
        <is>
          <t>24h desde ago</t>
        </is>
      </c>
      <c r="I29" s="73" t="n">
        <v>24</v>
      </c>
    </row>
    <row r="30" ht="18.05" customHeight="1">
      <c r="A30" s="69" t="inlineStr">
        <is>
          <t>Marilia</t>
        </is>
      </c>
      <c r="B30" s="70" t="inlineStr">
        <is>
          <t>Marilia</t>
        </is>
      </c>
      <c r="C30" s="70" t="n">
        <v>30</v>
      </c>
      <c r="D30" s="76" t="inlineStr">
        <is>
          <t>30h</t>
        </is>
      </c>
      <c r="E30" s="72" t="inlineStr">
        <is>
          <t>ter dia ↔ qua dia 15/15; sexta só manhã; NÃO segundas (Luzia)</t>
        </is>
      </c>
      <c r="F30" s="70" t="inlineStr">
        <is>
          <t>não</t>
        </is>
      </c>
      <c r="G30" s="70" t="inlineStr">
        <is>
          <t>não</t>
        </is>
      </c>
      <c r="H30" s="72" t="inlineStr">
        <is>
          <t>pediu a sexta-noite dela em out (16/10) em vez de nov</t>
        </is>
      </c>
      <c r="I30" s="69" t="n">
        <v>30</v>
      </c>
    </row>
    <row r="31" ht="31.1" customHeight="1">
      <c r="A31" s="73" t="inlineStr">
        <is>
          <t>Raylander</t>
        </is>
      </c>
      <c r="B31" s="74" t="inlineStr">
        <is>
          <t>Daniel Raylander</t>
        </is>
      </c>
      <c r="C31" s="74" t="n">
        <v>30</v>
      </c>
      <c r="D31" s="76" t="inlineStr">
        <is>
          <t>30h</t>
        </is>
      </c>
      <c r="E31" s="75" t="inlineStr">
        <is>
          <t>NÃO seg tarde, qui manhã, sex dia (faculdade); aceita noturnos seguidos</t>
        </is>
      </c>
      <c r="F31" s="74" t="inlineStr">
        <is>
          <t>não</t>
        </is>
      </c>
      <c r="G31" s="74" t="inlineStr">
        <is>
          <t>SIM obrigatório</t>
        </is>
      </c>
      <c r="H31" s="75" t="inlineStr">
        <is>
          <t>casado com Ariadne — nunca no mesmo turno</t>
        </is>
      </c>
      <c r="I31" s="73" t="n">
        <v>30</v>
      </c>
    </row>
    <row r="32" ht="18.05" customHeight="1">
      <c r="A32" s="69" t="inlineStr">
        <is>
          <t>Ricardo</t>
        </is>
      </c>
      <c r="B32" s="70" t="inlineStr">
        <is>
          <t>Ricardo</t>
        </is>
      </c>
      <c r="C32" s="70" t="n">
        <v>30</v>
      </c>
      <c r="D32" s="76" t="inlineStr">
        <is>
          <t>30h</t>
        </is>
      </c>
      <c r="E32" s="72" t="inlineStr">
        <is>
          <t>fixo ter noite (sai da fixa quando faz SN/fds)</t>
        </is>
      </c>
      <c r="F32" s="70" t="inlineStr">
        <is>
          <t>não</t>
        </is>
      </c>
      <c r="G32" s="70" t="inlineStr">
        <is>
          <t>sim</t>
        </is>
      </c>
      <c r="H32" s="72" t="inlineStr">
        <is>
          <t>escalar junto com Nishioka</t>
        </is>
      </c>
      <c r="I32" s="69" t="n">
        <v>30</v>
      </c>
    </row>
    <row r="33" ht="31.1" customHeight="1">
      <c r="A33" s="73" t="inlineStr">
        <is>
          <t>Rosana</t>
        </is>
      </c>
      <c r="B33" s="74" t="inlineStr">
        <is>
          <t>Rosana</t>
        </is>
      </c>
      <c r="C33" s="74" t="n">
        <v>30</v>
      </c>
      <c r="D33" s="76" t="inlineStr">
        <is>
          <t>30h</t>
        </is>
      </c>
      <c r="E33" s="75" t="inlineStr">
        <is>
          <t>só manhãs e noites/noitinhas (mãe em quimio): SEM tardes, SEM 12h diurnas</t>
        </is>
      </c>
      <c r="F33" s="74" t="inlineStr">
        <is>
          <t>não</t>
        </is>
      </c>
      <c r="G33" s="74" t="inlineStr">
        <is>
          <t>não</t>
        </is>
      </c>
      <c r="H33" s="75" t="inlineStr">
        <is>
          <t>férias até ~12/10</t>
        </is>
      </c>
      <c r="I33" s="73" t="n">
        <v>30</v>
      </c>
    </row>
    <row r="34" ht="18.05" customHeight="1">
      <c r="A34" s="69" t="inlineStr">
        <is>
          <t>AnaSeverino</t>
        </is>
      </c>
      <c r="B34" s="70" t="inlineStr">
        <is>
          <t>Ana Severino</t>
        </is>
      </c>
      <c r="C34" s="70" t="n">
        <v>24</v>
      </c>
      <c r="D34" s="70" t="inlineStr">
        <is>
          <t>24h</t>
        </is>
      </c>
      <c r="E34" s="72" t="inlineStr">
        <is>
          <t>seg (M/dia/N) ou qui noite; NÃO tardes</t>
        </is>
      </c>
      <c r="F34" s="70" t="inlineStr">
        <is>
          <t>não</t>
        </is>
      </c>
      <c r="G34" s="70" t="inlineStr">
        <is>
          <t>sim</t>
        </is>
      </c>
      <c r="H34" s="72" t="inlineStr"/>
      <c r="I34" s="69" t="n">
        <v>24</v>
      </c>
    </row>
    <row r="35" ht="18.05" customHeight="1">
      <c r="A35" s="73" t="inlineStr">
        <is>
          <t>Anna</t>
        </is>
      </c>
      <c r="B35" s="74" t="inlineStr">
        <is>
          <t>Anna Jorge</t>
        </is>
      </c>
      <c r="C35" s="74" t="n">
        <v>24</v>
      </c>
      <c r="D35" s="70" t="inlineStr">
        <is>
          <t>24h</t>
        </is>
      </c>
      <c r="E35" s="75" t="inlineStr">
        <is>
          <t>NÃO seg manhã/noite, ter tarde, qui inteiro, sex tarde, dom noite</t>
        </is>
      </c>
      <c r="F35" s="74" t="inlineStr">
        <is>
          <t>não</t>
        </is>
      </c>
      <c r="G35" s="74" t="inlineStr">
        <is>
          <t>não</t>
        </is>
      </c>
      <c r="H35" s="75" t="inlineStr">
        <is>
          <t>habitual seg/qua tarde</t>
        </is>
      </c>
      <c r="I35" s="73" t="n">
        <v>24</v>
      </c>
    </row>
    <row r="36" ht="18.05" customHeight="1">
      <c r="A36" s="69" t="inlineStr">
        <is>
          <t>Ariadne</t>
        </is>
      </c>
      <c r="B36" s="70" t="inlineStr">
        <is>
          <t>Ariadne</t>
        </is>
      </c>
      <c r="C36" s="70" t="n">
        <v>24</v>
      </c>
      <c r="D36" s="70" t="inlineStr">
        <is>
          <t>24h</t>
        </is>
      </c>
      <c r="E36" s="72" t="inlineStr">
        <is>
          <t>casada com Raylander — NUNCA no mesmo turno</t>
        </is>
      </c>
      <c r="F36" s="70" t="inlineStr">
        <is>
          <t>não</t>
        </is>
      </c>
      <c r="G36" s="70" t="inlineStr">
        <is>
          <t>não</t>
        </is>
      </c>
      <c r="H36" s="72" t="inlineStr">
        <is>
          <t>volta de licença 26/10, CH passa a 24h</t>
        </is>
      </c>
      <c r="I36" s="69" t="n">
        <v>24</v>
      </c>
    </row>
    <row r="37" ht="18.05" customHeight="1">
      <c r="A37" s="73" t="inlineStr">
        <is>
          <t>Beatriz</t>
        </is>
      </c>
      <c r="B37" s="74" t="inlineStr">
        <is>
          <t>Beatriz</t>
        </is>
      </c>
      <c r="C37" s="74" t="n">
        <v>24</v>
      </c>
      <c r="D37" s="70" t="inlineStr">
        <is>
          <t>24h</t>
        </is>
      </c>
      <c r="E37" s="75" t="inlineStr">
        <is>
          <t>mora parte em SP; manda blocos de indisponibilidade</t>
        </is>
      </c>
      <c r="F37" s="74" t="inlineStr">
        <is>
          <t>sim</t>
        </is>
      </c>
      <c r="G37" s="74" t="inlineStr">
        <is>
          <t>não</t>
        </is>
      </c>
      <c r="H37" s="75" t="inlineStr"/>
      <c r="I37" s="73" t="n">
        <v>24</v>
      </c>
    </row>
    <row r="38" ht="18.05" customHeight="1">
      <c r="A38" s="69" t="inlineStr">
        <is>
          <t>Bruna</t>
        </is>
      </c>
      <c r="B38" s="70" t="inlineStr">
        <is>
          <t>Bruna</t>
        </is>
      </c>
      <c r="C38" s="70" t="n">
        <v>24</v>
      </c>
      <c r="D38" s="70" t="inlineStr">
        <is>
          <t>24h</t>
        </is>
      </c>
      <c r="E38" s="72" t="inlineStr">
        <is>
          <t>habitual terças (dia ou noite)</t>
        </is>
      </c>
      <c r="F38" s="70" t="inlineStr">
        <is>
          <t>não</t>
        </is>
      </c>
      <c r="G38" s="70" t="inlineStr">
        <is>
          <t>não</t>
        </is>
      </c>
      <c r="H38" s="72" t="inlineStr">
        <is>
          <t>férias a partir de 19/10</t>
        </is>
      </c>
      <c r="I38" s="69" t="n">
        <v>24</v>
      </c>
    </row>
    <row r="39" ht="31.1" customHeight="1">
      <c r="A39" s="73" t="inlineStr">
        <is>
          <t>Constantino</t>
        </is>
      </c>
      <c r="B39" s="74" t="inlineStr">
        <is>
          <t>Fernanda Constantino</t>
        </is>
      </c>
      <c r="C39" s="74" t="n">
        <v>24</v>
      </c>
      <c r="D39" s="70" t="inlineStr">
        <is>
          <t>24h</t>
        </is>
      </c>
      <c r="E39" s="75" t="inlineStr">
        <is>
          <t>seg noite OU ter noite, qui noite; NÃO quartas; evitar noites consecutivas</t>
        </is>
      </c>
      <c r="F39" s="74" t="inlineStr">
        <is>
          <t>não</t>
        </is>
      </c>
      <c r="G39" s="74" t="inlineStr">
        <is>
          <t>sim</t>
        </is>
      </c>
      <c r="H39" s="75" t="inlineStr">
        <is>
          <t>trabalhou 07/09 → folgar 12/10; não escalar fds 10–11</t>
        </is>
      </c>
      <c r="I39" s="73" t="n">
        <v>24</v>
      </c>
    </row>
    <row r="40" ht="18.05" customHeight="1">
      <c r="A40" s="69" t="inlineStr">
        <is>
          <t>DebMatias</t>
        </is>
      </c>
      <c r="B40" s="70" t="inlineStr">
        <is>
          <t>Debora Matias</t>
        </is>
      </c>
      <c r="C40" s="70" t="n">
        <v>24</v>
      </c>
      <c r="D40" s="70" t="inlineStr">
        <is>
          <t>24h</t>
        </is>
      </c>
      <c r="E40" s="72" t="inlineStr">
        <is>
          <t>ter/qua/sex dia (não toda sexta); noturno só ter noite</t>
        </is>
      </c>
      <c r="F40" s="70" t="inlineStr">
        <is>
          <t>não</t>
        </is>
      </c>
      <c r="G40" s="70" t="inlineStr">
        <is>
          <t>não</t>
        </is>
      </c>
      <c r="H40" s="72" t="inlineStr"/>
      <c r="I40" s="69" t="n">
        <v>24</v>
      </c>
    </row>
    <row r="41" ht="18.05" customHeight="1">
      <c r="A41" s="73" t="inlineStr">
        <is>
          <t>Denise</t>
        </is>
      </c>
      <c r="B41" s="74" t="inlineStr">
        <is>
          <t>Denise</t>
        </is>
      </c>
      <c r="C41" s="74" t="n">
        <v>24</v>
      </c>
      <c r="D41" s="70" t="inlineStr">
        <is>
          <t>24h</t>
        </is>
      </c>
      <c r="E41" s="75" t="inlineStr">
        <is>
          <t>fixa seg/ter/qui manhã; NÃO tardes; evitar 2 noturnos/semana</t>
        </is>
      </c>
      <c r="F41" s="74" t="inlineStr">
        <is>
          <t>não</t>
        </is>
      </c>
      <c r="G41" s="74" t="inlineStr">
        <is>
          <t>não</t>
        </is>
      </c>
      <c r="H41" s="75" t="inlineStr"/>
      <c r="I41" s="73" t="n">
        <v>24</v>
      </c>
    </row>
    <row r="42" ht="18.05" customHeight="1">
      <c r="A42" s="69" t="inlineStr">
        <is>
          <t>Ernesto</t>
        </is>
      </c>
      <c r="B42" s="70" t="inlineStr">
        <is>
          <t>Carlos Ernesto</t>
        </is>
      </c>
      <c r="C42" s="70" t="n">
        <v>24</v>
      </c>
      <c r="D42" s="70" t="inlineStr">
        <is>
          <t>24h</t>
        </is>
      </c>
      <c r="E42" s="72" t="inlineStr">
        <is>
          <t>qua diurno, sex noite 15/15, dom noite 15/15; seg/ter/qui NÃO</t>
        </is>
      </c>
      <c r="F42" s="70" t="inlineStr">
        <is>
          <t>sim estrutural</t>
        </is>
      </c>
      <c r="G42" s="70" t="inlineStr">
        <is>
          <t>não</t>
        </is>
      </c>
      <c r="H42" s="72" t="inlineStr">
        <is>
          <t>e-mail novo: dr.carlos.ernesto.pediatra@gmail.com</t>
        </is>
      </c>
      <c r="I42" s="69" t="n">
        <v>24</v>
      </c>
    </row>
    <row r="43" ht="31.1" customHeight="1">
      <c r="A43" s="73" t="inlineStr">
        <is>
          <t>Grayce</t>
        </is>
      </c>
      <c r="B43" s="74" t="inlineStr">
        <is>
          <t>Grayce Maya</t>
        </is>
      </c>
      <c r="C43" s="74" t="n">
        <v>24</v>
      </c>
      <c r="D43" s="70" t="inlineStr">
        <is>
          <t>24h</t>
        </is>
      </c>
      <c r="E43" s="75" t="inlineStr">
        <is>
          <t>ter noite + qui dia; NÃO quartas; não lançar 6h avulsas (preferir 12h)</t>
        </is>
      </c>
      <c r="F43" s="74" t="inlineStr">
        <is>
          <t>não</t>
        </is>
      </c>
      <c r="G43" s="74" t="inlineStr">
        <is>
          <t>não</t>
        </is>
      </c>
      <c r="H43" s="75" t="inlineStr">
        <is>
          <t>aniversário 19/10, sem pedido de abono</t>
        </is>
      </c>
      <c r="I43" s="73" t="n">
        <v>24</v>
      </c>
    </row>
    <row r="44" ht="18.05" customHeight="1">
      <c r="A44" s="69" t="inlineStr">
        <is>
          <t>Heloa</t>
        </is>
      </c>
      <c r="B44" s="70" t="inlineStr">
        <is>
          <t>Heloa</t>
        </is>
      </c>
      <c r="C44" s="70" t="n">
        <v>24</v>
      </c>
      <c r="D44" s="70" t="inlineStr">
        <is>
          <t>24h</t>
        </is>
      </c>
      <c r="E44" s="72" t="inlineStr">
        <is>
          <t>manhãs/tardes, quase sem noturno</t>
        </is>
      </c>
      <c r="F44" s="70" t="inlineStr">
        <is>
          <t>não</t>
        </is>
      </c>
      <c r="G44" s="70" t="inlineStr">
        <is>
          <t>não</t>
        </is>
      </c>
      <c r="H44" s="72" t="inlineStr">
        <is>
          <t>voltou de licença 29/07</t>
        </is>
      </c>
      <c r="I44" s="69" t="n">
        <v>24</v>
      </c>
    </row>
    <row r="45" ht="18.05" customHeight="1">
      <c r="A45" s="73" t="inlineStr">
        <is>
          <t>Iggor</t>
        </is>
      </c>
      <c r="B45" s="74" t="inlineStr">
        <is>
          <t>Iggor Almeida</t>
        </is>
      </c>
      <c r="C45" s="74" t="n">
        <v>24</v>
      </c>
      <c r="D45" s="70" t="inlineStr">
        <is>
          <t>24h</t>
        </is>
      </c>
      <c r="E45" s="75" t="inlineStr">
        <is>
          <t>fixo qua dia; NÃO qui tarde/noite</t>
        </is>
      </c>
      <c r="F45" s="74" t="inlineStr">
        <is>
          <t>não</t>
        </is>
      </c>
      <c r="G45" s="74" t="inlineStr">
        <is>
          <t>não</t>
        </is>
      </c>
      <c r="H45" s="75" t="inlineStr">
        <is>
          <t>reivindica a sexta-noite 23/10</t>
        </is>
      </c>
      <c r="I45" s="73" t="n">
        <v>24</v>
      </c>
    </row>
    <row r="46" ht="18.05" customHeight="1">
      <c r="A46" s="69" t="inlineStr">
        <is>
          <t>IsaRibeiro</t>
        </is>
      </c>
      <c r="B46" s="70" t="inlineStr">
        <is>
          <t>Isabela Ribeiro</t>
        </is>
      </c>
      <c r="C46" s="70" t="n">
        <v>24</v>
      </c>
      <c r="D46" s="70" t="inlineStr">
        <is>
          <t>24h</t>
        </is>
      </c>
      <c r="E46" s="72" t="inlineStr">
        <is>
          <t>coringa</t>
        </is>
      </c>
      <c r="F46" s="70" t="inlineStr">
        <is>
          <t>não</t>
        </is>
      </c>
      <c r="G46" s="70" t="inlineStr">
        <is>
          <t>não</t>
        </is>
      </c>
      <c r="H46" s="72" t="inlineStr"/>
      <c r="I46" s="69" t="n">
        <v>24</v>
      </c>
    </row>
    <row r="47" ht="18.05" customHeight="1">
      <c r="A47" s="73" t="inlineStr">
        <is>
          <t>Jaqueline</t>
        </is>
      </c>
      <c r="B47" s="74" t="inlineStr">
        <is>
          <t>Jaqueline</t>
        </is>
      </c>
      <c r="C47" s="74" t="n">
        <v>24</v>
      </c>
      <c r="D47" s="70" t="inlineStr">
        <is>
          <t>24h</t>
        </is>
      </c>
      <c r="E47" s="75" t="inlineStr"/>
      <c r="F47" s="74" t="inlineStr">
        <is>
          <t>não</t>
        </is>
      </c>
      <c r="G47" s="74" t="inlineStr">
        <is>
          <t>não</t>
        </is>
      </c>
      <c r="H47" s="75" t="inlineStr">
        <is>
          <t>voltou de licença · CH 24h</t>
        </is>
      </c>
      <c r="I47" s="73" t="n">
        <v>24</v>
      </c>
    </row>
    <row r="48" ht="18.05" customHeight="1">
      <c r="A48" s="69" t="inlineStr">
        <is>
          <t>Joaquim</t>
        </is>
      </c>
      <c r="B48" s="70" t="inlineStr">
        <is>
          <t>Joaquim</t>
        </is>
      </c>
      <c r="C48" s="70" t="n">
        <v>24</v>
      </c>
      <c r="D48" s="70" t="inlineStr">
        <is>
          <t>24h</t>
        </is>
      </c>
      <c r="E48" s="72" t="inlineStr">
        <is>
          <t>fixo seg noturno + qui/sáb noite; SÓ noturnos; NÃO ter/qua/dom noite</t>
        </is>
      </c>
      <c r="F48" s="70" t="inlineStr">
        <is>
          <t>2/mês voluntário</t>
        </is>
      </c>
      <c r="G48" s="70" t="inlineStr">
        <is>
          <t>não</t>
        </is>
      </c>
      <c r="H48" s="72" t="inlineStr">
        <is>
          <t>cota fds 24h · sem sexta-noite este mês (excepcional)</t>
        </is>
      </c>
      <c r="I48" s="69" t="n">
        <v>24</v>
      </c>
    </row>
    <row r="49" ht="31.1" customHeight="1">
      <c r="A49" s="73" t="inlineStr">
        <is>
          <t>JuliaFig</t>
        </is>
      </c>
      <c r="B49" s="74" t="inlineStr">
        <is>
          <t>Julia Figueiredo</t>
        </is>
      </c>
      <c r="C49" s="74" t="n">
        <v>24</v>
      </c>
      <c r="D49" s="70" t="inlineStr">
        <is>
          <t>24h</t>
        </is>
      </c>
      <c r="E49" s="75" t="inlineStr">
        <is>
          <t>seg/ter manhã OU noite (pref. noite); NÃO tarde, qua noite, qui, sex; sem 18h invertido</t>
        </is>
      </c>
      <c r="F49" s="74" t="inlineStr">
        <is>
          <t>sim</t>
        </is>
      </c>
      <c r="G49" s="74" t="inlineStr">
        <is>
          <t>não</t>
        </is>
      </c>
      <c r="H49" s="75" t="inlineStr"/>
      <c r="I49" s="73" t="n">
        <v>24</v>
      </c>
    </row>
    <row r="50" ht="31.1" customHeight="1">
      <c r="A50" s="69" t="inlineStr">
        <is>
          <t>Kozak</t>
        </is>
      </c>
      <c r="B50" s="70" t="inlineStr">
        <is>
          <t>Ana Kozak</t>
        </is>
      </c>
      <c r="C50" s="70" t="n">
        <v>24</v>
      </c>
      <c r="D50" s="70" t="inlineStr">
        <is>
          <t>24h</t>
        </is>
      </c>
      <c r="E50" s="72" t="inlineStr">
        <is>
          <t>fixa TODAS qui noite + sáb noite; NÃO manhãs úteis, NÃO sáb/dom dia (ICDF)</t>
        </is>
      </c>
      <c r="F50" s="70" t="inlineStr">
        <is>
          <t>só quando o marido não está de plantão</t>
        </is>
      </c>
      <c r="G50" s="70" t="inlineStr">
        <is>
          <t>não</t>
        </is>
      </c>
      <c r="H50" s="72" t="inlineStr">
        <is>
          <t>extrapola fds p/ fechar CH · FÉRIAS 05–19/10 · folga sáb 31/10 (niver da filha)</t>
        </is>
      </c>
      <c r="I50" s="69" t="n">
        <v>24</v>
      </c>
    </row>
    <row r="51" ht="18.05" customHeight="1">
      <c r="A51" s="73" t="inlineStr">
        <is>
          <t>Laura</t>
        </is>
      </c>
      <c r="B51" s="74" t="inlineStr">
        <is>
          <t>Laura Haydee</t>
        </is>
      </c>
      <c r="C51" s="74" t="n">
        <v>24</v>
      </c>
      <c r="D51" s="70" t="inlineStr">
        <is>
          <t>24h</t>
        </is>
      </c>
      <c r="E51" s="75" t="inlineStr">
        <is>
          <t>praticamente só manhãs (inclusive fds); sem 12h, sem noturno</t>
        </is>
      </c>
      <c r="F51" s="74" t="inlineStr">
        <is>
          <t>não</t>
        </is>
      </c>
      <c r="G51" s="74" t="inlineStr">
        <is>
          <t>SIM obrigatório</t>
        </is>
      </c>
      <c r="H51" s="75" t="inlineStr">
        <is>
          <t>sem preferências enviadas em out — provisório</t>
        </is>
      </c>
      <c r="I51" s="73" t="n">
        <v>24</v>
      </c>
    </row>
    <row r="52" ht="18.05" customHeight="1">
      <c r="A52" s="69" t="inlineStr">
        <is>
          <t>Leticia</t>
        </is>
      </c>
      <c r="B52" s="70" t="inlineStr">
        <is>
          <t>Letícia Café</t>
        </is>
      </c>
      <c r="C52" s="70" t="n">
        <v>24</v>
      </c>
      <c r="D52" s="70" t="inlineStr">
        <is>
          <t>24h</t>
        </is>
      </c>
      <c r="E52" s="72" t="inlineStr">
        <is>
          <t>fixa ter+qui dia; NÃO seg/qua/sex tarde; sem noturnos</t>
        </is>
      </c>
      <c r="F52" s="70" t="inlineStr">
        <is>
          <t>não</t>
        </is>
      </c>
      <c r="G52" s="70" t="inlineStr">
        <is>
          <t>não</t>
        </is>
      </c>
      <c r="H52" s="72" t="inlineStr">
        <is>
          <t>férias até ~06/10</t>
        </is>
      </c>
      <c r="I52" s="69" t="n">
        <v>24</v>
      </c>
    </row>
    <row r="53" ht="31.1" customHeight="1">
      <c r="A53" s="73" t="inlineStr">
        <is>
          <t>LuCosta</t>
        </is>
      </c>
      <c r="B53" s="74" t="inlineStr">
        <is>
          <t>Luciana Costa</t>
        </is>
      </c>
      <c r="C53" s="74" t="n">
        <v>24</v>
      </c>
      <c r="D53" s="70" t="inlineStr">
        <is>
          <t>24h</t>
        </is>
      </c>
      <c r="E53" s="75" t="inlineStr">
        <is>
          <t>NÃO diurnos em dia útil; noites de semana + fds dia; sem 2 noites seguidas</t>
        </is>
      </c>
      <c r="F53" s="74" t="inlineStr">
        <is>
          <t>não</t>
        </is>
      </c>
      <c r="G53" s="74" t="inlineStr">
        <is>
          <t>não</t>
        </is>
      </c>
      <c r="H53" s="75" t="inlineStr"/>
      <c r="I53" s="73" t="n">
        <v>24</v>
      </c>
    </row>
    <row r="54" ht="31.1" customHeight="1">
      <c r="A54" s="69" t="inlineStr">
        <is>
          <t>Marcia</t>
        </is>
      </c>
      <c r="B54" s="70" t="inlineStr">
        <is>
          <t>Marcia</t>
        </is>
      </c>
      <c r="C54" s="70" t="n">
        <v>24</v>
      </c>
      <c r="D54" s="70" t="inlineStr">
        <is>
          <t>24h</t>
        </is>
      </c>
      <c r="E54" s="72" t="inlineStr">
        <is>
          <t>sexta-noite fixa na 1ª semana; qua noite nas demais; completa com seg dia</t>
        </is>
      </c>
      <c r="F54" s="70" t="inlineStr">
        <is>
          <t>1ª semana</t>
        </is>
      </c>
      <c r="G54" s="70" t="inlineStr">
        <is>
          <t>não</t>
        </is>
      </c>
      <c r="H54" s="72" t="inlineStr"/>
      <c r="I54" s="69" t="n">
        <v>24</v>
      </c>
    </row>
    <row r="55" ht="18.05" customHeight="1">
      <c r="A55" s="73" t="inlineStr">
        <is>
          <t>MayWobido</t>
        </is>
      </c>
      <c r="B55" s="74" t="inlineStr">
        <is>
          <t>Mayara Wobido</t>
        </is>
      </c>
      <c r="C55" s="74" t="n">
        <v>24</v>
      </c>
      <c r="D55" s="70" t="inlineStr">
        <is>
          <t>24h</t>
        </is>
      </c>
      <c r="E55" s="75" t="inlineStr">
        <is>
          <t>tardes e noites; NÃO seg noite, qua manhã; quer fixar qua noite</t>
        </is>
      </c>
      <c r="F55" s="74" t="inlineStr">
        <is>
          <t>sim</t>
        </is>
      </c>
      <c r="G55" s="74" t="inlineStr">
        <is>
          <t>obrigatório +6 fixo</t>
        </is>
      </c>
      <c r="H55" s="75" t="inlineStr">
        <is>
          <t>cota fds 30h · aniversário 31/10, quer o abono</t>
        </is>
      </c>
      <c r="I55" s="73" t="n">
        <v>24</v>
      </c>
    </row>
    <row r="56" ht="18.05" customHeight="1">
      <c r="A56" s="69" t="inlineStr">
        <is>
          <t>Melara</t>
        </is>
      </c>
      <c r="B56" s="70" t="inlineStr">
        <is>
          <t>Luciana Melara</t>
        </is>
      </c>
      <c r="C56" s="70" t="n">
        <v>24</v>
      </c>
      <c r="D56" s="70" t="inlineStr">
        <is>
          <t>24h</t>
        </is>
      </c>
      <c r="E56" s="72" t="inlineStr">
        <is>
          <t>fixa TODOS os domingos (dia ou noite); NÃO 12h seguidas em dia útil</t>
        </is>
      </c>
      <c r="F56" s="70" t="inlineStr">
        <is>
          <t>≥2/mês por preferência</t>
        </is>
      </c>
      <c r="G56" s="70" t="inlineStr">
        <is>
          <t>não</t>
        </is>
      </c>
      <c r="H56" s="72" t="inlineStr">
        <is>
          <t>semana: 2 tardes ou noitinha</t>
        </is>
      </c>
      <c r="I56" s="69" t="n">
        <v>24</v>
      </c>
    </row>
    <row r="57" ht="31.1" customHeight="1">
      <c r="A57" s="73" t="inlineStr">
        <is>
          <t>Moabe</t>
        </is>
      </c>
      <c r="B57" s="74" t="inlineStr">
        <is>
          <t>Moabe</t>
        </is>
      </c>
      <c r="C57" s="74" t="n">
        <v>24</v>
      </c>
      <c r="D57" s="70" t="inlineStr">
        <is>
          <t>24h</t>
        </is>
      </c>
      <c r="E57" s="75" t="inlineStr">
        <is>
          <t>fixa seg dia; NÃO ter dia (ICDF — conferir se é ter ou qua); NÃO 1º fds do mês (pós)</t>
        </is>
      </c>
      <c r="F57" s="74" t="inlineStr">
        <is>
          <t>não</t>
        </is>
      </c>
      <c r="G57" s="74" t="inlineStr">
        <is>
          <t>não</t>
        </is>
      </c>
      <c r="H57" s="75" t="inlineStr">
        <is>
          <t>sem preferências enviadas em out — provisório</t>
        </is>
      </c>
      <c r="I57" s="73" t="n">
        <v>24</v>
      </c>
    </row>
    <row r="58" ht="18.05" customHeight="1">
      <c r="A58" s="69" t="inlineStr">
        <is>
          <t>Nishioka</t>
        </is>
      </c>
      <c r="B58" s="70" t="inlineStr">
        <is>
          <t>Laura Nishioka</t>
        </is>
      </c>
      <c r="C58" s="70" t="n">
        <v>24</v>
      </c>
      <c r="D58" s="70" t="inlineStr">
        <is>
          <t>24h</t>
        </is>
      </c>
      <c r="E58" s="72" t="inlineStr">
        <is>
          <t>fixo ter noite (sai quando faz SN/fds)</t>
        </is>
      </c>
      <c r="F58" s="70" t="inlineStr">
        <is>
          <t>não</t>
        </is>
      </c>
      <c r="G58" s="70" t="inlineStr">
        <is>
          <t>não</t>
        </is>
      </c>
      <c r="H58" s="72" t="inlineStr">
        <is>
          <t>escalar junto com Ricardo</t>
        </is>
      </c>
      <c r="I58" s="69" t="n">
        <v>24</v>
      </c>
    </row>
    <row r="59" ht="18.05" customHeight="1">
      <c r="A59" s="73" t="inlineStr">
        <is>
          <t>Patricia</t>
        </is>
      </c>
      <c r="B59" s="74" t="inlineStr">
        <is>
          <t>Patricia Abreu</t>
        </is>
      </c>
      <c r="C59" s="74" t="n">
        <v>24</v>
      </c>
      <c r="D59" s="70" t="inlineStr">
        <is>
          <t>24h</t>
        </is>
      </c>
      <c r="E59" s="75" t="inlineStr">
        <is>
          <t>diurnos, habitual qui dia</t>
        </is>
      </c>
      <c r="F59" s="74" t="inlineStr">
        <is>
          <t>sim</t>
        </is>
      </c>
      <c r="G59" s="74" t="inlineStr">
        <is>
          <t>não</t>
        </is>
      </c>
      <c r="H59" s="75" t="inlineStr"/>
      <c r="I59" s="73" t="n">
        <v>24</v>
      </c>
    </row>
    <row r="60" ht="18.05" customHeight="1">
      <c r="A60" s="69" t="inlineStr">
        <is>
          <t>Pedro</t>
        </is>
      </c>
      <c r="B60" s="70" t="inlineStr">
        <is>
          <t>Pedro</t>
        </is>
      </c>
      <c r="C60" s="70" t="n">
        <v>24</v>
      </c>
      <c r="D60" s="70" t="inlineStr">
        <is>
          <t>24h</t>
        </is>
      </c>
      <c r="E60" s="72" t="inlineStr">
        <is>
          <t>fixo seg noite, qua tarde, sex tarde; NÃO manhãs</t>
        </is>
      </c>
      <c r="F60" s="70" t="inlineStr">
        <is>
          <t>rodízio</t>
        </is>
      </c>
      <c r="G60" s="70" t="inlineStr">
        <is>
          <t>não</t>
        </is>
      </c>
      <c r="H60" s="72" t="inlineStr"/>
      <c r="I60" s="69" t="n">
        <v>24</v>
      </c>
    </row>
    <row r="61" ht="18.05" customHeight="1">
      <c r="A61" s="73" t="inlineStr">
        <is>
          <t>Pjamile</t>
        </is>
      </c>
      <c r="B61" s="74" t="inlineStr">
        <is>
          <t>Paula Jamile</t>
        </is>
      </c>
      <c r="C61" s="74" t="n">
        <v>24</v>
      </c>
      <c r="D61" s="70" t="inlineStr">
        <is>
          <t>24h</t>
        </is>
      </c>
      <c r="E61" s="75" t="inlineStr">
        <is>
          <t>fixa qua dia + sex dia; NÃO seg, ter tarde, qui tarde</t>
        </is>
      </c>
      <c r="F61" s="74" t="inlineStr">
        <is>
          <t>não</t>
        </is>
      </c>
      <c r="G61" s="74" t="inlineStr">
        <is>
          <t>não</t>
        </is>
      </c>
      <c r="H61" s="75" t="inlineStr"/>
      <c r="I61" s="73" t="n">
        <v>24</v>
      </c>
    </row>
    <row r="62" ht="18.05" customHeight="1">
      <c r="A62" s="69" t="inlineStr">
        <is>
          <t>Raphael</t>
        </is>
      </c>
      <c r="B62" s="70" t="inlineStr">
        <is>
          <t>Raphael Costa</t>
        </is>
      </c>
      <c r="C62" s="70" t="n">
        <v>24</v>
      </c>
      <c r="D62" s="70" t="inlineStr">
        <is>
          <t>24h</t>
        </is>
      </c>
      <c r="E62" s="72" t="inlineStr">
        <is>
          <t>NÃO manhãs seg–sex</t>
        </is>
      </c>
      <c r="F62" s="70" t="inlineStr">
        <is>
          <t>sim</t>
        </is>
      </c>
      <c r="G62" s="70" t="inlineStr">
        <is>
          <t>não</t>
        </is>
      </c>
      <c r="H62" s="72" t="inlineStr"/>
      <c r="I62" s="69" t="n">
        <v>24</v>
      </c>
    </row>
    <row r="63" ht="31.1" customHeight="1">
      <c r="A63" s="73" t="inlineStr">
        <is>
          <t>Raquel</t>
        </is>
      </c>
      <c r="B63" s="74" t="inlineStr">
        <is>
          <t>Raquel Assis</t>
        </is>
      </c>
      <c r="C63" s="74" t="n">
        <v>24</v>
      </c>
      <c r="D63" s="70" t="inlineStr">
        <is>
          <t>24h</t>
        </is>
      </c>
      <c r="E63" s="75" t="inlineStr">
        <is>
          <t>CP (cuidados paliativos, código CP) seg+qua manhã; NÃO tardes, NÃO quintas; máx 1 noturno/semana</t>
        </is>
      </c>
      <c r="F63" s="74" t="inlineStr">
        <is>
          <t>1</t>
        </is>
      </c>
      <c r="G63" s="74" t="inlineStr">
        <is>
          <t>não</t>
        </is>
      </c>
      <c r="H63" s="75" t="inlineStr">
        <is>
          <t>12h CP + 12h plantão + 24h fds · férias 05–19/10</t>
        </is>
      </c>
      <c r="I63" s="73" t="n">
        <v>24</v>
      </c>
    </row>
    <row r="64" ht="18.05" customHeight="1">
      <c r="A64" s="69" t="inlineStr">
        <is>
          <t>Thamyres</t>
        </is>
      </c>
      <c r="B64" s="70" t="inlineStr">
        <is>
          <t>Thamyres</t>
        </is>
      </c>
      <c r="C64" s="70" t="n">
        <v>24</v>
      </c>
      <c r="D64" s="70" t="inlineStr">
        <is>
          <t>24h</t>
        </is>
      </c>
      <c r="E64" s="72" t="inlineStr">
        <is>
          <t>MÁX 1 NOTURNO/MÊS (relatório médico); NÃO seg/ter, qui dia, dom noite</t>
        </is>
      </c>
      <c r="F64" s="70" t="inlineStr">
        <is>
          <t>não</t>
        </is>
      </c>
      <c r="G64" s="70" t="inlineStr">
        <is>
          <t>não</t>
        </is>
      </c>
      <c r="H64" s="72" t="inlineStr">
        <is>
          <t>fds em 12h emendadas</t>
        </is>
      </c>
      <c r="I64" s="69" t="n">
        <v>24</v>
      </c>
    </row>
    <row r="65" ht="18.05" customHeight="1">
      <c r="A65" s="73" t="inlineStr">
        <is>
          <t>Vanessa</t>
        </is>
      </c>
      <c r="B65" s="74" t="inlineStr">
        <is>
          <t>Vanessa</t>
        </is>
      </c>
      <c r="C65" s="74" t="n">
        <v>24</v>
      </c>
      <c r="D65" s="70" t="inlineStr">
        <is>
          <t>24h</t>
        </is>
      </c>
      <c r="E65" s="75" t="inlineStr">
        <is>
          <t>fixa qua dia; máx 1 noturno/semana</t>
        </is>
      </c>
      <c r="F65" s="74" t="inlineStr">
        <is>
          <t>não</t>
        </is>
      </c>
      <c r="G65" s="74" t="inlineStr">
        <is>
          <t>não</t>
        </is>
      </c>
      <c r="H65" s="75" t="inlineStr"/>
      <c r="I65" s="73" t="n">
        <v>24</v>
      </c>
    </row>
    <row r="66" ht="31.1" customHeight="1">
      <c r="A66" s="69" t="inlineStr">
        <is>
          <t>Yuji</t>
        </is>
      </c>
      <c r="B66" s="70" t="inlineStr">
        <is>
          <t>Henrique Yuji</t>
        </is>
      </c>
      <c r="C66" s="70" t="n">
        <v>24</v>
      </c>
      <c r="D66" s="70" t="inlineStr">
        <is>
          <t>24h</t>
        </is>
      </c>
      <c r="E66" s="72" t="inlineStr">
        <is>
          <t>NÃO seg e sex (dia+noite); ter/qua/qui ok; fds coringa de DOMINGOS (não pode sábados)</t>
        </is>
      </c>
      <c r="F66" s="70" t="inlineStr">
        <is>
          <t>não</t>
        </is>
      </c>
      <c r="G66" s="70" t="inlineStr">
        <is>
          <t>não</t>
        </is>
      </c>
      <c r="H66" s="72" t="inlineStr">
        <is>
          <t>licença-paternidade: DPP 09/10, 20 dias</t>
        </is>
      </c>
      <c r="I66" s="69" t="n">
        <v>24</v>
      </c>
    </row>
    <row r="67" ht="18.05" customHeight="1">
      <c r="A67" s="73" t="inlineStr">
        <is>
          <t>JuIsaac</t>
        </is>
      </c>
      <c r="B67" s="74" t="inlineStr">
        <is>
          <t>Julia Isaac</t>
        </is>
      </c>
      <c r="C67" s="74" t="n">
        <v>40</v>
      </c>
      <c r="D67" s="78" t="inlineStr">
        <is>
          <t>administrativo</t>
        </is>
      </c>
      <c r="E67" s="75" t="inlineStr">
        <is>
          <t>código 11 diário</t>
        </is>
      </c>
      <c r="F67" s="74" t="inlineStr">
        <is>
          <t>não</t>
        </is>
      </c>
      <c r="G67" s="74" t="inlineStr">
        <is>
          <t>não</t>
        </is>
      </c>
      <c r="H67" s="75" t="inlineStr">
        <is>
          <t>não pega plantão</t>
        </is>
      </c>
      <c r="I67" s="73" t="n">
        <v>40</v>
      </c>
    </row>
    <row r="68" ht="18.05" customHeight="1">
      <c r="A68" s="69" t="inlineStr">
        <is>
          <t>Stephanie</t>
        </is>
      </c>
      <c r="B68" s="70" t="inlineStr">
        <is>
          <t>Stephanie</t>
        </is>
      </c>
      <c r="C68" s="70" t="n">
        <v>40</v>
      </c>
      <c r="D68" s="78" t="inlineStr">
        <is>
          <t>administrativo</t>
        </is>
      </c>
      <c r="E68" s="72" t="inlineStr">
        <is>
          <t>código 11</t>
        </is>
      </c>
      <c r="F68" s="70" t="inlineStr">
        <is>
          <t>não</t>
        </is>
      </c>
      <c r="G68" s="70" t="inlineStr">
        <is>
          <t>não</t>
        </is>
      </c>
      <c r="H68" s="72" t="inlineStr">
        <is>
          <t>não pega plantão</t>
        </is>
      </c>
      <c r="I68" s="69" t="n">
        <v>40</v>
      </c>
    </row>
    <row r="69" ht="18.05" customHeight="1">
      <c r="A69" s="73" t="inlineStr">
        <is>
          <t>MPinheiro</t>
        </is>
      </c>
      <c r="B69" s="74" t="inlineStr">
        <is>
          <t>Mariana Pinheiro</t>
        </is>
      </c>
      <c r="C69" s="74" t="n">
        <v>40</v>
      </c>
      <c r="D69" s="78" t="inlineStr">
        <is>
          <t>administrativo</t>
        </is>
      </c>
      <c r="E69" s="75" t="inlineStr"/>
      <c r="F69" s="74" t="inlineStr">
        <is>
          <t>não</t>
        </is>
      </c>
      <c r="G69" s="74" t="inlineStr">
        <is>
          <t>não</t>
        </is>
      </c>
      <c r="H69" s="75" t="inlineStr">
        <is>
          <t>não pega plantão desde ago</t>
        </is>
      </c>
      <c r="I69" s="73" t="n">
        <v>40</v>
      </c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</row>
    <row r="71">
      <c r="A71" s="79" t="inlineStr">
        <is>
          <t>Fora do roster</t>
        </is>
      </c>
      <c r="B71" s="39" t="n"/>
      <c r="C71" s="39" t="n"/>
      <c r="D71" s="39" t="n"/>
      <c r="E71" s="39" t="n"/>
      <c r="F71" s="39" t="n"/>
      <c r="G71" s="39" t="n"/>
      <c r="H71" s="39" t="n"/>
      <c r="I71" s="39" t="n"/>
    </row>
    <row r="72">
      <c r="A72" s="80" t="inlineStr">
        <is>
          <t>Dayana</t>
        </is>
      </c>
      <c r="B72" s="81" t="inlineStr">
        <is>
          <t>saiu do hospital (decisão registrada em 17/08/26)</t>
        </is>
      </c>
      <c r="C72" s="39" t="n"/>
      <c r="D72" s="39" t="n"/>
      <c r="E72" s="39" t="n"/>
      <c r="F72" s="39" t="n"/>
      <c r="G72" s="39" t="n"/>
      <c r="H72" s="39" t="n"/>
      <c r="I72" s="39" t="n"/>
    </row>
    <row r="73">
      <c r="A73" s="80" t="inlineStr">
        <is>
          <t>Kairala</t>
        </is>
      </c>
      <c r="B73" s="81" t="inlineStr">
        <is>
          <t>Andréa Kairala — aparece só de fev a abr/26 no histórico</t>
        </is>
      </c>
      <c r="C73" s="39" t="n"/>
      <c r="D73" s="39" t="n"/>
      <c r="E73" s="39" t="n"/>
      <c r="F73" s="39" t="n"/>
      <c r="G73" s="39" t="n"/>
      <c r="H73" s="39" t="n"/>
      <c r="I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4D498"/>
    <outlinePr summaryBelow="1" summaryRight="1"/>
    <pageSetUpPr/>
  </sheetPr>
  <dimension ref="A1:G8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44" customWidth="1" min="6" max="6"/>
    <col width="44" customWidth="1" min="7" max="7"/>
  </cols>
  <sheetData>
    <row r="1">
      <c r="A1" s="38" t="inlineStr">
        <is>
          <t>Config · As regras como dado</t>
        </is>
      </c>
      <c r="B1" s="39" t="n"/>
      <c r="C1" s="39" t="n"/>
      <c r="D1" s="39" t="n"/>
      <c r="E1" s="39" t="n"/>
      <c r="F1" s="39" t="n"/>
      <c r="G1" s="39" t="n"/>
    </row>
    <row r="2">
      <c r="A2" s="67" t="inlineStr">
        <is>
          <t>Mudou aqui, muda na planilha toda</t>
        </is>
      </c>
      <c r="B2" s="39" t="n"/>
      <c r="C2" s="39" t="n"/>
      <c r="D2" s="39" t="n"/>
      <c r="E2" s="39" t="n"/>
      <c r="F2" s="39" t="n"/>
      <c r="G2" s="39" t="n"/>
    </row>
    <row r="3">
      <c r="A3" s="43" t="inlineStr">
        <is>
          <t>Em vigor · de out/26</t>
        </is>
      </c>
      <c r="B3" s="43" t="inlineStr">
        <is>
          <t>Manhã</t>
        </is>
      </c>
      <c r="C3" s="43" t="inlineStr">
        <is>
          <t>Tarde</t>
        </is>
      </c>
      <c r="D3" s="43" t="inlineStr">
        <is>
          <t>Noite</t>
        </is>
      </c>
      <c r="E3" s="39" t="n"/>
      <c r="F3" s="39" t="n"/>
      <c r="G3" s="39" t="n"/>
    </row>
    <row r="4" ht="15" customHeight="1">
      <c r="A4" s="82" t="inlineStr">
        <is>
          <t>útil</t>
        </is>
      </c>
      <c r="B4" s="83" t="n">
        <v>14</v>
      </c>
      <c r="C4" s="83" t="n">
        <v>10</v>
      </c>
      <c r="D4" s="83" t="n">
        <v>7</v>
      </c>
      <c r="E4" s="39" t="n"/>
      <c r="F4" s="63" t="inlineStr">
        <is>
          <t>Regra da Mari de 13/08/26, vale da escala de outubro em diante. Substitui 11/8/7 e 9/7/6. A 10ª da manhã de sábado é sempre a Janaina (8–13h); ela nunca faz domingo. Feriado escala como o dia da semana em que cai.</t>
        </is>
      </c>
      <c r="G4" s="39" t="n"/>
    </row>
    <row r="5" ht="15" customHeight="1">
      <c r="A5" s="82" t="inlineStr">
        <is>
          <t>sábado</t>
        </is>
      </c>
      <c r="B5" s="83" t="n">
        <v>10</v>
      </c>
      <c r="C5" s="83" t="n">
        <v>8</v>
      </c>
      <c r="D5" s="83" t="n">
        <v>7</v>
      </c>
      <c r="E5" s="39" t="n"/>
      <c r="F5" s="39" t="n"/>
      <c r="G5" s="39" t="n"/>
    </row>
    <row r="6" ht="15" customHeight="1">
      <c r="A6" s="82" t="inlineStr">
        <is>
          <t>domingo</t>
        </is>
      </c>
      <c r="B6" s="83" t="n">
        <v>9</v>
      </c>
      <c r="C6" s="83" t="n">
        <v>8</v>
      </c>
      <c r="D6" s="83" t="n">
        <v>7</v>
      </c>
      <c r="E6" s="39" t="n"/>
      <c r="F6" s="39" t="n"/>
      <c r="G6" s="39" t="n"/>
    </row>
    <row r="7" ht="15" customHeight="1">
      <c r="A7" s="39" t="n"/>
      <c r="B7" s="39" t="n"/>
      <c r="C7" s="39" t="n"/>
      <c r="D7" s="39" t="n"/>
      <c r="E7" s="39" t="n"/>
      <c r="F7" s="39" t="n"/>
      <c r="G7" s="39" t="n"/>
    </row>
    <row r="8">
      <c r="A8" s="43" t="inlineStr">
        <is>
          <t>Até set/26 · histórico</t>
        </is>
      </c>
      <c r="B8" s="43" t="inlineStr">
        <is>
          <t>Manhã</t>
        </is>
      </c>
      <c r="C8" s="43" t="inlineStr">
        <is>
          <t>Tarde</t>
        </is>
      </c>
      <c r="D8" s="43" t="inlineStr">
        <is>
          <t>Noite</t>
        </is>
      </c>
      <c r="E8" s="39" t="n"/>
      <c r="F8" s="39" t="n"/>
      <c r="G8" s="39" t="n"/>
    </row>
    <row r="9" ht="15" customHeight="1">
      <c r="A9" s="45" t="inlineStr">
        <is>
          <t>útil</t>
        </is>
      </c>
      <c r="B9" s="84" t="n">
        <v>11</v>
      </c>
      <c r="C9" s="84" t="n">
        <v>8</v>
      </c>
      <c r="D9" s="84" t="n">
        <v>7</v>
      </c>
      <c r="E9" s="39" t="n"/>
      <c r="F9" s="85" t="inlineStr">
        <is>
          <t>Os meses de janeiro a setembro são medidos por ESTA regra. Cobrar deles o mínimo novo seria exigir do passado uma regra que ainda não existia.</t>
        </is>
      </c>
      <c r="G9" s="39" t="n"/>
    </row>
    <row r="10" ht="15" customHeight="1">
      <c r="A10" s="45" t="inlineStr">
        <is>
          <t>sábado</t>
        </is>
      </c>
      <c r="B10" s="84" t="n">
        <v>9</v>
      </c>
      <c r="C10" s="84" t="n">
        <v>7</v>
      </c>
      <c r="D10" s="84" t="n">
        <v>6</v>
      </c>
      <c r="E10" s="39" t="n"/>
      <c r="F10" s="39" t="n"/>
      <c r="G10" s="39" t="n"/>
    </row>
    <row r="11" ht="15" customHeight="1">
      <c r="A11" s="45" t="inlineStr">
        <is>
          <t>domingo</t>
        </is>
      </c>
      <c r="B11" s="84" t="n">
        <v>9</v>
      </c>
      <c r="C11" s="84" t="n">
        <v>7</v>
      </c>
      <c r="D11" s="84" t="n">
        <v>6</v>
      </c>
      <c r="E11" s="39" t="n"/>
      <c r="F11" s="39" t="n"/>
      <c r="G11" s="39" t="n"/>
    </row>
    <row r="12">
      <c r="A12" s="39" t="n"/>
      <c r="B12" s="39" t="n"/>
      <c r="C12" s="39" t="n"/>
      <c r="D12" s="39" t="n"/>
      <c r="E12" s="39" t="n"/>
      <c r="F12" s="39" t="n"/>
      <c r="G12" s="39" t="n"/>
    </row>
    <row r="13">
      <c r="A13" s="40" t="inlineStr">
        <is>
          <t>Tabela de códigos</t>
        </is>
      </c>
      <c r="B13" s="39" t="n"/>
      <c r="C13" s="39" t="n"/>
      <c r="D13" s="39" t="n"/>
      <c r="E13" s="39" t="n"/>
      <c r="F13" s="39" t="n"/>
      <c r="G13" s="39" t="n"/>
    </row>
    <row r="14">
      <c r="A14" s="43" t="inlineStr">
        <is>
          <t>Letra</t>
        </is>
      </c>
      <c r="B14" s="43" t="inlineStr">
        <is>
          <t>Senior</t>
        </is>
      </c>
      <c r="C14" s="43" t="inlineStr">
        <is>
          <t>Horas</t>
        </is>
      </c>
      <c r="D14" s="43" t="inlineStr">
        <is>
          <t>Conta manhã</t>
        </is>
      </c>
      <c r="E14" s="43" t="inlineStr">
        <is>
          <t>Conta tarde</t>
        </is>
      </c>
      <c r="F14" s="43" t="inlineStr">
        <is>
          <t>Conta noite</t>
        </is>
      </c>
      <c r="G14" s="43" t="inlineStr">
        <is>
          <t>Turno</t>
        </is>
      </c>
    </row>
    <row r="15">
      <c r="A15" s="86" t="inlineStr">
        <is>
          <t>M</t>
        </is>
      </c>
      <c r="B15" s="87" t="inlineStr">
        <is>
          <t>2</t>
        </is>
      </c>
      <c r="C15" s="87" t="n">
        <v>6</v>
      </c>
      <c r="D15" s="87" t="n">
        <v>1</v>
      </c>
      <c r="E15" s="87" t="n">
        <v>0</v>
      </c>
      <c r="F15" s="87" t="n">
        <v>0</v>
      </c>
      <c r="G15" s="87" t="inlineStr">
        <is>
          <t>manhã · 07–13h</t>
        </is>
      </c>
    </row>
    <row r="16">
      <c r="A16" s="86" t="inlineStr">
        <is>
          <t>T</t>
        </is>
      </c>
      <c r="B16" s="87" t="inlineStr">
        <is>
          <t>239</t>
        </is>
      </c>
      <c r="C16" s="87" t="n">
        <v>6</v>
      </c>
      <c r="D16" s="87" t="n">
        <v>0</v>
      </c>
      <c r="E16" s="87" t="n">
        <v>1</v>
      </c>
      <c r="F16" s="87" t="n">
        <v>0</v>
      </c>
      <c r="G16" s="87" t="inlineStr">
        <is>
          <t>tarde · 13–19h</t>
        </is>
      </c>
    </row>
    <row r="17">
      <c r="A17" s="86" t="inlineStr">
        <is>
          <t>D</t>
        </is>
      </c>
      <c r="B17" s="87" t="inlineStr">
        <is>
          <t>40</t>
        </is>
      </c>
      <c r="C17" s="87" t="n">
        <v>12</v>
      </c>
      <c r="D17" s="87" t="n">
        <v>1</v>
      </c>
      <c r="E17" s="87" t="n">
        <v>1</v>
      </c>
      <c r="F17" s="87" t="n">
        <v>0</v>
      </c>
      <c r="G17" s="87" t="inlineStr">
        <is>
          <t>dia 12h · 07–19h</t>
        </is>
      </c>
    </row>
    <row r="18">
      <c r="A18" s="86" t="inlineStr">
        <is>
          <t>N</t>
        </is>
      </c>
      <c r="B18" s="87" t="inlineStr">
        <is>
          <t>41</t>
        </is>
      </c>
      <c r="C18" s="87" t="n">
        <v>12</v>
      </c>
      <c r="D18" s="87" t="n">
        <v>0</v>
      </c>
      <c r="E18" s="87" t="n">
        <v>0</v>
      </c>
      <c r="F18" s="87" t="n">
        <v>1</v>
      </c>
      <c r="G18" s="87" t="inlineStr">
        <is>
          <t>noite 12h · 19–07h</t>
        </is>
      </c>
    </row>
    <row r="19">
      <c r="A19" s="86" t="inlineStr">
        <is>
          <t>NT</t>
        </is>
      </c>
      <c r="B19" s="87" t="inlineStr">
        <is>
          <t>349</t>
        </is>
      </c>
      <c r="C19" s="87" t="n">
        <v>6</v>
      </c>
      <c r="D19" s="87" t="n">
        <v>0</v>
      </c>
      <c r="E19" s="87" t="n">
        <v>0</v>
      </c>
      <c r="F19" s="87" t="n">
        <v>1</v>
      </c>
      <c r="G19" s="87" t="inlineStr">
        <is>
          <t>noitinha · 19–01h</t>
        </is>
      </c>
    </row>
    <row r="20">
      <c r="A20" s="86" t="inlineStr">
        <is>
          <t>C</t>
        </is>
      </c>
      <c r="B20" s="87" t="inlineStr">
        <is>
          <t>47</t>
        </is>
      </c>
      <c r="C20" s="87" t="n">
        <v>10</v>
      </c>
      <c r="D20" s="87" t="n">
        <v>1</v>
      </c>
      <c r="E20" s="87" t="n">
        <v>1</v>
      </c>
      <c r="F20" s="87" t="n">
        <v>0</v>
      </c>
      <c r="G20" s="87" t="inlineStr">
        <is>
          <t>10h chefia · 8–12 + 13–19h</t>
        </is>
      </c>
    </row>
    <row r="21">
      <c r="A21" s="86" t="inlineStr">
        <is>
          <t>A</t>
        </is>
      </c>
      <c r="B21" s="87" t="inlineStr">
        <is>
          <t>11</t>
        </is>
      </c>
      <c r="C21" s="87" t="n">
        <v>8</v>
      </c>
      <c r="D21" s="87" t="n">
        <v>0</v>
      </c>
      <c r="E21" s="87" t="n">
        <v>0</v>
      </c>
      <c r="F21" s="87" t="n">
        <v>0</v>
      </c>
      <c r="G21" s="87" t="inlineStr">
        <is>
          <t>administrativo · 8h diurno</t>
        </is>
      </c>
    </row>
    <row r="22">
      <c r="A22" s="86" t="inlineStr">
        <is>
          <t>J</t>
        </is>
      </c>
      <c r="B22" s="87" t="inlineStr">
        <is>
          <t>78</t>
        </is>
      </c>
      <c r="C22" s="87" t="n">
        <v>5</v>
      </c>
      <c r="D22" s="87" t="n">
        <v>1</v>
      </c>
      <c r="E22" s="87" t="n">
        <v>0</v>
      </c>
      <c r="F22" s="87" t="n">
        <v>0</v>
      </c>
      <c r="G22" s="87" t="inlineStr">
        <is>
          <t>5h Janaina · 08–13h</t>
        </is>
      </c>
    </row>
    <row r="23">
      <c r="A23" s="86" t="inlineStr">
        <is>
          <t>CEP</t>
        </is>
      </c>
      <c r="B23" s="87" t="inlineStr">
        <is>
          <t>6</t>
        </is>
      </c>
      <c r="C23" s="87" t="n">
        <v>4</v>
      </c>
      <c r="D23" s="87" t="n">
        <v>1</v>
      </c>
      <c r="E23" s="87" t="n">
        <v>0</v>
      </c>
      <c r="F23" s="87" t="n">
        <v>0</v>
      </c>
      <c r="G23" s="87" t="inlineStr">
        <is>
          <t>4h CEP · 08–12h</t>
        </is>
      </c>
    </row>
    <row r="24">
      <c r="A24" s="86" t="inlineStr">
        <is>
          <t>CP</t>
        </is>
      </c>
      <c r="B24" s="87" t="inlineStr"/>
      <c r="C24" s="87" t="n">
        <v>6</v>
      </c>
      <c r="D24" s="87" t="n">
        <v>0</v>
      </c>
      <c r="E24" s="87" t="n">
        <v>0</v>
      </c>
      <c r="F24" s="87" t="n">
        <v>0</v>
      </c>
      <c r="G24" s="87" t="inlineStr">
        <is>
          <t>CP · cuidados paliativos · 07–13h</t>
        </is>
      </c>
    </row>
    <row r="25">
      <c r="A25" s="86" t="inlineStr">
        <is>
          <t>CRO</t>
        </is>
      </c>
      <c r="B25" s="87" t="inlineStr"/>
      <c r="C25" s="87" t="n">
        <v>6</v>
      </c>
      <c r="D25" s="87" t="n">
        <v>0</v>
      </c>
      <c r="E25" s="87" t="n">
        <v>0</v>
      </c>
      <c r="F25" s="87" t="n">
        <v>0</v>
      </c>
      <c r="G25" s="87" t="inlineStr">
        <is>
          <t>CRO · ambulatório · 13–19h</t>
        </is>
      </c>
    </row>
    <row r="26">
      <c r="A26" s="86" t="inlineStr">
        <is>
          <t>M+</t>
        </is>
      </c>
      <c r="B26" s="87" t="inlineStr"/>
      <c r="C26" s="87" t="n">
        <v>6</v>
      </c>
      <c r="D26" s="87" t="n">
        <v>1</v>
      </c>
      <c r="E26" s="87" t="n">
        <v>0</v>
      </c>
      <c r="F26" s="87" t="n">
        <v>0</v>
      </c>
      <c r="G26" s="87" t="inlineStr">
        <is>
          <t>manhã BHP · 07–13h · banco</t>
        </is>
      </c>
    </row>
    <row r="27">
      <c r="A27" s="86" t="inlineStr">
        <is>
          <t>T+</t>
        </is>
      </c>
      <c r="B27" s="87" t="inlineStr"/>
      <c r="C27" s="87" t="n">
        <v>6</v>
      </c>
      <c r="D27" s="87" t="n">
        <v>0</v>
      </c>
      <c r="E27" s="87" t="n">
        <v>1</v>
      </c>
      <c r="F27" s="87" t="n">
        <v>0</v>
      </c>
      <c r="G27" s="87" t="inlineStr">
        <is>
          <t>tarde BHP · 13–19h · banco</t>
        </is>
      </c>
    </row>
    <row r="28">
      <c r="A28" s="86" t="inlineStr">
        <is>
          <t>D+</t>
        </is>
      </c>
      <c r="B28" s="87" t="inlineStr"/>
      <c r="C28" s="87" t="n">
        <v>12</v>
      </c>
      <c r="D28" s="87" t="n">
        <v>1</v>
      </c>
      <c r="E28" s="87" t="n">
        <v>1</v>
      </c>
      <c r="F28" s="87" t="n">
        <v>0</v>
      </c>
      <c r="G28" s="87" t="inlineStr">
        <is>
          <t>dia BHP · 07–19h · banco</t>
        </is>
      </c>
    </row>
    <row r="29">
      <c r="A29" s="86" t="inlineStr">
        <is>
          <t>N+</t>
        </is>
      </c>
      <c r="B29" s="87" t="inlineStr"/>
      <c r="C29" s="87" t="n">
        <v>12</v>
      </c>
      <c r="D29" s="87" t="n">
        <v>0</v>
      </c>
      <c r="E29" s="87" t="n">
        <v>0</v>
      </c>
      <c r="F29" s="87" t="n">
        <v>1</v>
      </c>
      <c r="G29" s="87" t="inlineStr">
        <is>
          <t>noite BHP · 19–07h · banco</t>
        </is>
      </c>
    </row>
    <row r="30">
      <c r="A30" s="86" t="inlineStr">
        <is>
          <t>Dm+</t>
        </is>
      </c>
      <c r="B30" s="87" t="inlineStr">
        <is>
          <t>239</t>
        </is>
      </c>
      <c r="C30" s="87" t="n">
        <v>12</v>
      </c>
      <c r="D30" s="87" t="n">
        <v>1</v>
      </c>
      <c r="E30" s="87" t="n">
        <v>1</v>
      </c>
      <c r="F30" s="87" t="n">
        <v>0</v>
      </c>
      <c r="G30" s="87" t="inlineStr">
        <is>
          <t>dia · manhã é BHP · 07–19h</t>
        </is>
      </c>
    </row>
    <row r="31">
      <c r="A31" s="86" t="inlineStr">
        <is>
          <t>Dt+</t>
        </is>
      </c>
      <c r="B31" s="87" t="inlineStr">
        <is>
          <t>2</t>
        </is>
      </c>
      <c r="C31" s="87" t="n">
        <v>12</v>
      </c>
      <c r="D31" s="87" t="n">
        <v>1</v>
      </c>
      <c r="E31" s="87" t="n">
        <v>1</v>
      </c>
      <c r="F31" s="87" t="n">
        <v>0</v>
      </c>
      <c r="G31" s="87" t="inlineStr">
        <is>
          <t>dia · tarde é BHP · 07–19h</t>
        </is>
      </c>
    </row>
    <row r="32">
      <c r="A32" s="86" t="inlineStr">
        <is>
          <t>M-</t>
        </is>
      </c>
      <c r="B32" s="87" t="inlineStr">
        <is>
          <t>2</t>
        </is>
      </c>
      <c r="C32" s="87" t="n">
        <v>0</v>
      </c>
      <c r="D32" s="87" t="n">
        <v>0</v>
      </c>
      <c r="E32" s="87" t="n">
        <v>0</v>
      </c>
      <c r="F32" s="87" t="n">
        <v>0</v>
      </c>
      <c r="G32" s="87" t="inlineStr">
        <is>
          <t>BHN da manhã · dispensa</t>
        </is>
      </c>
    </row>
    <row r="33">
      <c r="A33" s="86" t="inlineStr">
        <is>
          <t>T-</t>
        </is>
      </c>
      <c r="B33" s="87" t="inlineStr">
        <is>
          <t>239</t>
        </is>
      </c>
      <c r="C33" s="87" t="n">
        <v>0</v>
      </c>
      <c r="D33" s="87" t="n">
        <v>0</v>
      </c>
      <c r="E33" s="87" t="n">
        <v>0</v>
      </c>
      <c r="F33" s="87" t="n">
        <v>0</v>
      </c>
      <c r="G33" s="87" t="inlineStr">
        <is>
          <t>BHN da tarde · dispensa</t>
        </is>
      </c>
    </row>
    <row r="34">
      <c r="A34" s="86" t="inlineStr">
        <is>
          <t>D-</t>
        </is>
      </c>
      <c r="B34" s="87" t="inlineStr">
        <is>
          <t>40</t>
        </is>
      </c>
      <c r="C34" s="87" t="n">
        <v>0</v>
      </c>
      <c r="D34" s="87" t="n">
        <v>0</v>
      </c>
      <c r="E34" s="87" t="n">
        <v>0</v>
      </c>
      <c r="F34" s="87" t="n">
        <v>0</v>
      </c>
      <c r="G34" s="87" t="inlineStr">
        <is>
          <t>BHN do dia · dispensa</t>
        </is>
      </c>
    </row>
    <row r="35">
      <c r="A35" s="86" t="inlineStr">
        <is>
          <t>N-</t>
        </is>
      </c>
      <c r="B35" s="87" t="inlineStr">
        <is>
          <t>41</t>
        </is>
      </c>
      <c r="C35" s="87" t="n">
        <v>0</v>
      </c>
      <c r="D35" s="87" t="n">
        <v>0</v>
      </c>
      <c r="E35" s="87" t="n">
        <v>0</v>
      </c>
      <c r="F35" s="87" t="n">
        <v>0</v>
      </c>
      <c r="G35" s="87" t="inlineStr">
        <is>
          <t>BHN da noite · dispensa</t>
        </is>
      </c>
    </row>
    <row r="36">
      <c r="A36" s="86" t="inlineStr">
        <is>
          <t>Tm-</t>
        </is>
      </c>
      <c r="B36" s="87" t="inlineStr">
        <is>
          <t>40</t>
        </is>
      </c>
      <c r="C36" s="87" t="n">
        <v>6</v>
      </c>
      <c r="D36" s="87" t="n">
        <v>0</v>
      </c>
      <c r="E36" s="87" t="n">
        <v>1</v>
      </c>
      <c r="F36" s="87" t="n">
        <v>0</v>
      </c>
      <c r="G36" s="87" t="inlineStr">
        <is>
          <t>tarde · manhã é BHN · 13–19h</t>
        </is>
      </c>
    </row>
    <row r="37">
      <c r="A37" s="86" t="inlineStr">
        <is>
          <t>Mt-</t>
        </is>
      </c>
      <c r="B37" s="87" t="inlineStr">
        <is>
          <t>40</t>
        </is>
      </c>
      <c r="C37" s="87" t="n">
        <v>6</v>
      </c>
      <c r="D37" s="87" t="n">
        <v>1</v>
      </c>
      <c r="E37" s="87" t="n">
        <v>0</v>
      </c>
      <c r="F37" s="87" t="n">
        <v>0</v>
      </c>
      <c r="G37" s="87" t="inlineStr">
        <is>
          <t>manhã · tarde é BHN · 07–13h</t>
        </is>
      </c>
    </row>
    <row r="38">
      <c r="A38" s="86" t="inlineStr">
        <is>
          <t>FE</t>
        </is>
      </c>
      <c r="B38" s="87" t="inlineStr">
        <is>
          <t>Férias</t>
        </is>
      </c>
      <c r="C38" s="87" t="n">
        <v>0</v>
      </c>
      <c r="D38" s="87" t="n">
        <v>0</v>
      </c>
      <c r="E38" s="87" t="n">
        <v>0</v>
      </c>
      <c r="F38" s="87" t="n">
        <v>0</v>
      </c>
      <c r="G38" s="87" t="inlineStr">
        <is>
          <t>férias · —</t>
        </is>
      </c>
    </row>
    <row r="39">
      <c r="A39" s="86" t="inlineStr">
        <is>
          <t>LM</t>
        </is>
      </c>
      <c r="B39" s="87" t="inlineStr">
        <is>
          <t>LM</t>
        </is>
      </c>
      <c r="C39" s="87" t="n">
        <v>0</v>
      </c>
      <c r="D39" s="87" t="n">
        <v>0</v>
      </c>
      <c r="E39" s="87" t="n">
        <v>0</v>
      </c>
      <c r="F39" s="87" t="n">
        <v>0</v>
      </c>
      <c r="G39" s="87" t="inlineStr">
        <is>
          <t>licença · —</t>
        </is>
      </c>
    </row>
    <row r="40">
      <c r="A40" s="86" t="inlineStr">
        <is>
          <t>AB</t>
        </is>
      </c>
      <c r="B40" s="87" t="inlineStr"/>
      <c r="C40" s="87" t="n">
        <v>0</v>
      </c>
      <c r="D40" s="87" t="n">
        <v>0</v>
      </c>
      <c r="E40" s="87" t="n">
        <v>0</v>
      </c>
      <c r="F40" s="87" t="n">
        <v>0</v>
      </c>
      <c r="G40" s="87" t="inlineStr">
        <is>
          <t>abono niver · —</t>
        </is>
      </c>
    </row>
    <row r="41">
      <c r="A41" s="39" t="n"/>
      <c r="B41" s="39" t="n"/>
      <c r="C41" s="39" t="n"/>
      <c r="D41" s="39" t="n"/>
      <c r="E41" s="39" t="n"/>
      <c r="F41" s="39" t="n"/>
      <c r="G41" s="39" t="n"/>
    </row>
    <row r="42" ht="15" customHeight="1">
      <c r="A42" s="40" t="inlineStr">
        <is>
          <t>Cota de FDS em mês com férias</t>
        </is>
      </c>
      <c r="B42" s="39" t="n"/>
      <c r="C42" s="39" t="n"/>
      <c r="D42" s="39" t="n"/>
      <c r="E42" s="39" t="n"/>
      <c r="F42" s="88" t="inlineStr">
        <is>
          <t>Em mês de 5 fins de semana a demanda de fds passa da soma das cotas do grupo e zerar o excesso é aritmeticamente impossível. Outubro/26: demanda 1704h contra 1494h de cota somada — 210h que não têm de onde sair. O alvo de cada pessoa passa a ser a cota vezes o fator abaixo, para que o excesso inevitável seja dividido em proporção e não despejado em quem tem menos veto.</t>
        </is>
      </c>
      <c r="G42" s="39" t="n"/>
    </row>
    <row r="43" ht="15" customHeight="1">
      <c r="A43" s="43" t="inlineStr">
        <is>
          <t>CH semanal</t>
        </is>
      </c>
      <c r="B43" s="43" t="inlineStr">
        <is>
          <t>Férias 2 sem</t>
        </is>
      </c>
      <c r="C43" s="43" t="inlineStr">
        <is>
          <t>Férias 1 sem</t>
        </is>
      </c>
      <c r="D43" s="43" t="inlineStr">
        <is>
          <t>Sem férias</t>
        </is>
      </c>
      <c r="E43" s="89" t="inlineStr">
        <is>
          <t>Fator do mês</t>
        </is>
      </c>
      <c r="F43" s="39" t="n"/>
      <c r="G43" s="39" t="n"/>
    </row>
    <row r="44" ht="15" customHeight="1">
      <c r="A44" s="90" t="n">
        <v>36</v>
      </c>
      <c r="B44" s="91" t="n">
        <v>24</v>
      </c>
      <c r="C44" s="91" t="n">
        <v>30</v>
      </c>
      <c r="D44" s="91" t="n">
        <v>36</v>
      </c>
      <c r="E44" s="92" t="n">
        <v>1.141</v>
      </c>
      <c r="F44" s="39" t="n"/>
      <c r="G44" s="39" t="n"/>
    </row>
    <row r="45" ht="15" customHeight="1">
      <c r="A45" s="90" t="n">
        <v>30</v>
      </c>
      <c r="B45" s="91" t="n">
        <v>18</v>
      </c>
      <c r="C45" s="91" t="n">
        <v>24</v>
      </c>
      <c r="D45" s="91" t="n">
        <v>30</v>
      </c>
      <c r="E45" s="39" t="n"/>
      <c r="F45" s="39" t="n"/>
      <c r="G45" s="39" t="n"/>
    </row>
    <row r="46" ht="15" customHeight="1">
      <c r="A46" s="90" t="n">
        <v>24</v>
      </c>
      <c r="B46" s="91" t="n">
        <v>12</v>
      </c>
      <c r="C46" s="91" t="n">
        <v>18</v>
      </c>
      <c r="D46" s="91" t="n">
        <v>24</v>
      </c>
      <c r="E46" s="39" t="n"/>
      <c r="F46" s="39" t="n"/>
      <c r="G46" s="39" t="n"/>
    </row>
    <row r="47">
      <c r="A47" s="39" t="n"/>
      <c r="B47" s="39" t="n"/>
      <c r="C47" s="39" t="n"/>
      <c r="D47" s="39" t="n"/>
      <c r="E47" s="39" t="n"/>
      <c r="F47" s="39" t="n"/>
      <c r="G47" s="39" t="n"/>
    </row>
    <row r="48" ht="17.5625" customHeight="1">
      <c r="A48" s="40" t="inlineStr">
        <is>
          <t>Alvo semanal e banco de horas</t>
        </is>
      </c>
      <c r="B48" s="39" t="n"/>
      <c r="C48" s="39" t="n"/>
      <c r="D48" s="39" t="n"/>
      <c r="E48" s="39" t="n"/>
      <c r="F48" s="63" t="inlineStr">
        <is>
          <t>Alvo semanal = carga contratada por semana civil (segunda a domingo), contando os dias do mês vizinho que fecham a semana. 40h → alvo 42 com UMA semana de 36 no mês (a que aparece com −6). Cada dia de férias/licença/abono na semana desconta 6h do alvo. O BH da semana é horas − alvo: positivo é BHP (fica no banco), negativo é BHN (faltou ou foi dispensa). Marque o BHP/BHN na própria célula com os códigos + e − para a conferência bater.</t>
        </is>
      </c>
      <c r="G48" s="39" t="n"/>
    </row>
    <row r="49" ht="17.5625" customHeight="1">
      <c r="A49" s="43" t="inlineStr">
        <is>
          <t>Parâmetro</t>
        </is>
      </c>
      <c r="B49" s="43" t="inlineStr">
        <is>
          <t>Valor</t>
        </is>
      </c>
      <c r="C49" s="39" t="n"/>
      <c r="D49" s="39" t="n"/>
      <c r="E49" s="39" t="n"/>
      <c r="F49" s="39" t="n"/>
      <c r="G49" s="39" t="n"/>
    </row>
    <row r="50" ht="17.5625" customHeight="1">
      <c r="A50" s="89" t="inlineStr">
        <is>
          <t>Desconto por dia de férias/licença/abono na semana (h)</t>
        </is>
      </c>
      <c r="B50" s="83" t="n">
        <v>6</v>
      </c>
      <c r="C50" s="39" t="n"/>
      <c r="D50" s="39" t="n"/>
      <c r="E50" s="39" t="n"/>
      <c r="F50" s="39" t="n"/>
      <c r="G50" s="39" t="n"/>
    </row>
    <row r="51" ht="17.5625" customHeight="1">
      <c r="A51" s="67" t="inlineStr">
        <is>
          <t>Alvo por pessoa: CADASTRO, coluna Alvo/sem</t>
        </is>
      </c>
      <c r="B51" s="39" t="n"/>
      <c r="C51" s="39" t="n"/>
      <c r="D51" s="39" t="n"/>
      <c r="E51" s="39" t="n"/>
      <c r="F51" s="39" t="n"/>
      <c r="G51" s="39" t="n"/>
    </row>
    <row r="52">
      <c r="A52" s="39" t="n"/>
      <c r="B52" s="39" t="n"/>
      <c r="C52" s="39" t="n"/>
      <c r="D52" s="39" t="n"/>
      <c r="E52" s="39" t="n"/>
      <c r="F52" s="39" t="n"/>
      <c r="G52" s="39" t="n"/>
    </row>
    <row r="53" ht="15" customHeight="1">
      <c r="A53" s="40" t="inlineStr">
        <is>
          <t>Feriados de 2026</t>
        </is>
      </c>
      <c r="B53" s="39" t="n"/>
      <c r="C53" s="39" t="n"/>
      <c r="D53" s="39" t="n"/>
      <c r="E53" s="63" t="inlineStr">
        <is>
          <t>Feriado escala como o DIA DA SEMANA em que cai — não reduz a lotação exigida (doc de referência §2). Confirmado na prática: nos sete feriados de 2026 até setembro a manhã rodou com 15 a 20 pessoas, e a rotina/chefia trabalhou em todos eles (4 a 6 pessoas). O que muda no feriado é a contabilidade, que tem coluna própria e equalização anual.</t>
        </is>
      </c>
      <c r="F53" s="39" t="n"/>
      <c r="G53" s="39" t="n"/>
    </row>
    <row r="54" ht="15" customHeight="1">
      <c r="A54" s="43" t="inlineStr">
        <is>
          <t>Data</t>
        </is>
      </c>
      <c r="B54" s="43" t="inlineStr">
        <is>
          <t>Sigla</t>
        </is>
      </c>
      <c r="C54" s="43" t="inlineStr">
        <is>
          <t>Feriado</t>
        </is>
      </c>
      <c r="D54" s="39" t="n"/>
      <c r="E54" s="39" t="n"/>
      <c r="F54" s="39" t="n"/>
      <c r="G54" s="39" t="n"/>
    </row>
    <row r="55" ht="15" customHeight="1">
      <c r="A55" s="86" t="inlineStr">
        <is>
          <t>01/01 (qui)</t>
        </is>
      </c>
      <c r="B55" s="93" t="inlineStr">
        <is>
          <t>1ºjan</t>
        </is>
      </c>
      <c r="C55" s="94" t="inlineStr">
        <is>
          <t>Confraternização</t>
        </is>
      </c>
      <c r="D55" s="39" t="n"/>
      <c r="E55" s="39" t="n"/>
      <c r="F55" s="39" t="n"/>
      <c r="G55" s="39" t="n"/>
    </row>
    <row r="56" ht="15" customHeight="1">
      <c r="A56" s="86" t="inlineStr">
        <is>
          <t>16/02 (seg)</t>
        </is>
      </c>
      <c r="B56" s="93" t="inlineStr">
        <is>
          <t>carn</t>
        </is>
      </c>
      <c r="C56" s="94" t="inlineStr">
        <is>
          <t>Carnaval</t>
        </is>
      </c>
      <c r="D56" s="39" t="n"/>
      <c r="E56" s="39" t="n"/>
      <c r="F56" s="39" t="n"/>
      <c r="G56" s="39" t="n"/>
    </row>
    <row r="57" ht="15" customHeight="1">
      <c r="A57" s="86" t="inlineStr">
        <is>
          <t>17/02 (ter)</t>
        </is>
      </c>
      <c r="B57" s="93" t="inlineStr">
        <is>
          <t>carn</t>
        </is>
      </c>
      <c r="C57" s="94" t="inlineStr">
        <is>
          <t>Carnaval</t>
        </is>
      </c>
      <c r="D57" s="39" t="n"/>
      <c r="E57" s="39" t="n"/>
      <c r="F57" s="39" t="n"/>
      <c r="G57" s="39" t="n"/>
    </row>
    <row r="58" ht="15" customHeight="1">
      <c r="A58" s="86" t="inlineStr">
        <is>
          <t>03/04 (sex)</t>
        </is>
      </c>
      <c r="B58" s="93" t="inlineStr">
        <is>
          <t>paix</t>
        </is>
      </c>
      <c r="C58" s="94" t="inlineStr">
        <is>
          <t>Paixão</t>
        </is>
      </c>
      <c r="D58" s="39" t="n"/>
      <c r="E58" s="39" t="n"/>
      <c r="F58" s="39" t="n"/>
      <c r="G58" s="39" t="n"/>
    </row>
    <row r="59">
      <c r="A59" s="86" t="inlineStr">
        <is>
          <t>21/04 (ter)</t>
        </is>
      </c>
      <c r="B59" s="93" t="inlineStr">
        <is>
          <t>tira</t>
        </is>
      </c>
      <c r="C59" s="94" t="inlineStr">
        <is>
          <t>Tiradentes</t>
        </is>
      </c>
      <c r="D59" s="39" t="n"/>
      <c r="E59" s="39" t="n"/>
      <c r="F59" s="39" t="n"/>
      <c r="G59" s="39" t="n"/>
    </row>
    <row r="60">
      <c r="A60" s="86" t="inlineStr">
        <is>
          <t>01/05 (sex)</t>
        </is>
      </c>
      <c r="B60" s="93" t="inlineStr">
        <is>
          <t>trab</t>
        </is>
      </c>
      <c r="C60" s="94" t="inlineStr">
        <is>
          <t>Dia do Trabalhador</t>
        </is>
      </c>
      <c r="D60" s="39" t="n"/>
      <c r="E60" s="39" t="n"/>
      <c r="F60" s="39" t="n"/>
      <c r="G60" s="39" t="n"/>
    </row>
    <row r="61">
      <c r="A61" s="86" t="inlineStr">
        <is>
          <t>04/06 (qui)</t>
        </is>
      </c>
      <c r="B61" s="93" t="inlineStr">
        <is>
          <t>corp</t>
        </is>
      </c>
      <c r="C61" s="94" t="inlineStr">
        <is>
          <t>Corpus Christi</t>
        </is>
      </c>
      <c r="D61" s="39" t="n"/>
      <c r="E61" s="39" t="n"/>
      <c r="F61" s="39" t="n"/>
      <c r="G61" s="39" t="n"/>
    </row>
    <row r="62">
      <c r="A62" s="86" t="inlineStr">
        <is>
          <t>07/09 (seg)</t>
        </is>
      </c>
      <c r="B62" s="93" t="inlineStr">
        <is>
          <t>indep</t>
        </is>
      </c>
      <c r="C62" s="94" t="inlineStr">
        <is>
          <t>Independência</t>
        </is>
      </c>
      <c r="D62" s="39" t="n"/>
      <c r="E62" s="39" t="n"/>
      <c r="F62" s="39" t="n"/>
      <c r="G62" s="39" t="n"/>
    </row>
    <row r="63">
      <c r="A63" s="86" t="inlineStr">
        <is>
          <t>12/10 (seg)</t>
        </is>
      </c>
      <c r="B63" s="93" t="inlineStr">
        <is>
          <t>N.Sra</t>
        </is>
      </c>
      <c r="C63" s="94" t="inlineStr">
        <is>
          <t>N. Sra. Aparecida</t>
        </is>
      </c>
      <c r="D63" s="39" t="n"/>
      <c r="E63" s="39" t="n"/>
      <c r="F63" s="39" t="n"/>
      <c r="G63" s="39" t="n"/>
    </row>
    <row r="64">
      <c r="A64" s="86" t="inlineStr">
        <is>
          <t>02/11 (seg)</t>
        </is>
      </c>
      <c r="B64" s="93" t="inlineStr">
        <is>
          <t>finad</t>
        </is>
      </c>
      <c r="C64" s="94" t="inlineStr">
        <is>
          <t>Finados</t>
        </is>
      </c>
      <c r="D64" s="39" t="n"/>
      <c r="E64" s="39" t="n"/>
      <c r="F64" s="39" t="n"/>
      <c r="G64" s="39" t="n"/>
    </row>
    <row r="65">
      <c r="A65" s="86" t="inlineStr">
        <is>
          <t>15/11 (dom)</t>
        </is>
      </c>
      <c r="B65" s="93" t="inlineStr">
        <is>
          <t>repúb</t>
        </is>
      </c>
      <c r="C65" s="94" t="inlineStr">
        <is>
          <t>Proclamação da República</t>
        </is>
      </c>
      <c r="D65" s="39" t="n"/>
      <c r="E65" s="39" t="n"/>
      <c r="F65" s="39" t="n"/>
      <c r="G65" s="39" t="n"/>
    </row>
    <row r="66">
      <c r="A66" s="86" t="inlineStr">
        <is>
          <t>20/11 (sex)</t>
        </is>
      </c>
      <c r="B66" s="93" t="inlineStr">
        <is>
          <t>consc</t>
        </is>
      </c>
      <c r="C66" s="94" t="inlineStr">
        <is>
          <t>Consciência Negra</t>
        </is>
      </c>
      <c r="D66" s="39" t="n"/>
      <c r="E66" s="39" t="n"/>
      <c r="F66" s="39" t="n"/>
      <c r="G66" s="39" t="n"/>
    </row>
    <row r="67">
      <c r="A67" s="86" t="inlineStr">
        <is>
          <t>25/12 (sex)</t>
        </is>
      </c>
      <c r="B67" s="93" t="inlineStr">
        <is>
          <t>natal</t>
        </is>
      </c>
      <c r="C67" s="94" t="inlineStr">
        <is>
          <t>Natal</t>
        </is>
      </c>
      <c r="D67" s="39" t="n"/>
      <c r="E67" s="39" t="n"/>
      <c r="F67" s="39" t="n"/>
      <c r="G67" s="39" t="n"/>
    </row>
    <row r="68">
      <c r="A68" s="39" t="n"/>
      <c r="B68" s="39" t="n"/>
      <c r="C68" s="39" t="n"/>
      <c r="D68" s="39" t="n"/>
      <c r="E68" s="39" t="n"/>
      <c r="F68" s="39" t="n"/>
      <c r="G68" s="39" t="n"/>
    </row>
    <row r="69">
      <c r="A69" s="40" t="inlineStr">
        <is>
          <t>Regras duras</t>
        </is>
      </c>
      <c r="B69" s="39" t="n"/>
      <c r="C69" s="39" t="n"/>
      <c r="D69" s="39" t="n"/>
      <c r="E69" s="39" t="n"/>
      <c r="F69" s="39" t="n"/>
      <c r="G69" s="39" t="n"/>
    </row>
    <row r="70">
      <c r="A70" s="43" t="inlineStr">
        <is>
          <t>Regra</t>
        </is>
      </c>
      <c r="B70" s="43" t="inlineStr">
        <is>
          <t>o que é</t>
        </is>
      </c>
      <c r="C70" s="43" t="inlineStr">
        <is>
          <t>Base</t>
        </is>
      </c>
      <c r="D70" s="43" t="inlineStr">
        <is>
          <t>Tratamento</t>
        </is>
      </c>
      <c r="E70" s="43" t="inlineStr">
        <is>
          <t>Nota</t>
        </is>
      </c>
      <c r="F70" s="39" t="n"/>
      <c r="G70" s="39" t="n"/>
    </row>
    <row r="71" ht="109.4" customHeight="1">
      <c r="A71" s="89" t="inlineStr">
        <is>
          <t>rotina só manhã</t>
        </is>
      </c>
      <c r="B71" s="63" t="inlineStr">
        <is>
          <t>Fred, Milena, Pabdo, MSalomão, DebAlves, Vinicius, Amelio e Murilo: dias úteis apenas pela manhã, e nunca aos fins de semana</t>
        </is>
      </c>
      <c r="C71" s="63" t="inlineStr">
        <is>
          <t>decisão Marcos 18/08/26</t>
        </is>
      </c>
      <c r="D71" s="95" t="inlineStr">
        <is>
          <t>ALERTA</t>
        </is>
      </c>
      <c r="E71" s="63" t="inlineStr">
        <is>
          <t>Revoga o rodízio 15/15 MSalomão↔Vinicius, o sábado noturno 15/15 do Murilo, o bloqueio 42/42/36 e as tardes de completude da DebAlves. O feriado segue a política própria (contagem anual). Janaina NÃO é rotina: seg–sáb 8–13h dela continua, e a 10ª manhã de sábado é dela por regra de cobertura.</t>
        </is>
      </c>
      <c r="F71" s="39" t="n"/>
      <c r="G71" s="39" t="n"/>
    </row>
    <row r="72" ht="57.2" customHeight="1">
      <c r="A72" s="89" t="inlineStr">
        <is>
          <t>interjornada</t>
        </is>
      </c>
      <c r="B72" s="63" t="inlineStr">
        <is>
          <t>11h entre o fim de uma jornada e o início da seguinte</t>
        </is>
      </c>
      <c r="C72" s="63" t="inlineStr">
        <is>
          <t>art. 66 CLT</t>
        </is>
      </c>
      <c r="D72" s="95" t="inlineStr">
        <is>
          <t>ALERTA</t>
        </is>
      </c>
      <c r="E72" s="63" t="inlineStr">
        <is>
          <t>Descanso abaixo de 11h gera hora extra indenizável e autuação do MTE.</t>
        </is>
      </c>
      <c r="F72" s="39" t="n"/>
      <c r="G72" s="39" t="n"/>
    </row>
    <row r="73" ht="57.2" customHeight="1">
      <c r="A73" s="89" t="inlineStr">
        <is>
          <t>18h no mesmo dia</t>
        </is>
      </c>
      <c r="B73" s="63" t="inlineStr">
        <is>
          <t>dia inteiro (07–19h) + noite (19–07h) = 24h seguidas</t>
        </is>
      </c>
      <c r="C73" s="63" t="inlineStr">
        <is>
          <t>art. 66 CLT</t>
        </is>
      </c>
      <c r="D73" s="95" t="inlineStr">
        <is>
          <t>ALERTA</t>
        </is>
      </c>
      <c r="E73" s="63" t="inlineStr">
        <is>
          <t>Nunca lançar.</t>
        </is>
      </c>
      <c r="F73" s="39" t="n"/>
      <c r="G73" s="39" t="n"/>
    </row>
    <row r="74" ht="57.2" customHeight="1">
      <c r="A74" s="89" t="inlineStr">
        <is>
          <t>18h invertido</t>
        </is>
      </c>
      <c r="B74" s="63" t="inlineStr">
        <is>
          <t>noite 19–07h emendando manhã 07–13h — zero descanso</t>
        </is>
      </c>
      <c r="C74" s="63" t="inlineStr">
        <is>
          <t>art. 66 CLT</t>
        </is>
      </c>
      <c r="D74" s="95" t="inlineStr">
        <is>
          <t>ALERTA</t>
        </is>
      </c>
      <c r="E74" s="63" t="inlineStr">
        <is>
          <t>Era 15 casos/mês no 1º trimestre/26 e caiu pra ~2 depois da mudança de abril. O alvo é zero; o validador segura a linha.</t>
        </is>
      </c>
      <c r="F74" s="39" t="n"/>
      <c r="G74" s="39" t="n"/>
    </row>
    <row r="75" ht="57.2" customHeight="1">
      <c r="A75" s="89" t="inlineStr">
        <is>
          <t>noite + tarde seguinte</t>
        </is>
      </c>
      <c r="B75" s="63" t="inlineStr">
        <is>
          <t>noite 19–07h + tarde 13–19h = 18h com 6h de pausa</t>
        </is>
      </c>
      <c r="C75" s="63" t="inlineStr">
        <is>
          <t>art. 66 CLT</t>
        </is>
      </c>
      <c r="D75" s="96" t="inlineStr">
        <is>
          <t>REGISTRO</t>
        </is>
      </c>
      <c r="E75" s="63" t="inlineStr">
        <is>
          <t>Prática estabelecida do serviço (90 casos em 6 meses, 26 pessoas, sem queda no ano). Decisão de 17/08/26: continua, fica registrado sem alarme.</t>
        </is>
      </c>
      <c r="F75" s="39" t="n"/>
      <c r="G75" s="39" t="n"/>
    </row>
    <row r="76" ht="44.15" customHeight="1">
      <c r="A76" s="89" t="inlineStr">
        <is>
          <t>DSR</t>
        </is>
      </c>
      <c r="B76" s="63" t="inlineStr">
        <is>
          <t>24h consecutivas de folga por semana</t>
        </is>
      </c>
      <c r="C76" s="63" t="inlineStr">
        <is>
          <t>art. 67 CLT</t>
        </is>
      </c>
      <c r="D76" s="95" t="inlineStr">
        <is>
          <t>ALERTA</t>
        </is>
      </c>
      <c r="E76" s="63" t="inlineStr">
        <is>
          <t>Quem faz 6h de manhã todo dia tem folga de 18h (13h→07h) e nunca alcança as 24h — isso é ESTRUTURAL da rotina/chefia, sinalizado uma vez, não por dia.</t>
        </is>
      </c>
      <c r="F76" s="39" t="n"/>
      <c r="G76" s="39" t="n"/>
    </row>
    <row r="77" ht="57.2" customHeight="1">
      <c r="A77" s="89" t="inlineStr">
        <is>
          <t>adicional noturno</t>
        </is>
      </c>
      <c r="B77" s="63" t="inlineStr">
        <is>
          <t>horas entre 22h e 05h; hora noturna vale 52min30s</t>
        </is>
      </c>
      <c r="C77" s="63" t="inlineStr">
        <is>
          <t>art. 73 CLT</t>
        </is>
      </c>
      <c r="D77" s="97" t="inlineStr">
        <is>
          <t>CÁLCULO</t>
        </is>
      </c>
      <c r="E77" s="63" t="inlineStr">
        <is>
          <t>Sai por pessoa/mês pra folha. Noite 19–07h cai integralmente na janela.</t>
        </is>
      </c>
      <c r="F77" s="39" t="n"/>
      <c r="G77" s="39" t="n"/>
    </row>
    <row r="78" ht="57.2" customHeight="1">
      <c r="A78" s="89" t="inlineStr">
        <is>
          <t>aniversário</t>
        </is>
      </c>
      <c r="B78" s="63" t="inlineStr">
        <is>
          <t>6h de folga na semana, só pra quem marcou SIM na ficha</t>
        </is>
      </c>
      <c r="C78" s="63" t="inlineStr">
        <is>
          <t>interno</t>
        </is>
      </c>
      <c r="D78" s="63" t="inlineStr">
        <is>
          <t>PREFERÊNCIA</t>
        </is>
      </c>
      <c r="E78" s="63" t="inlineStr"/>
      <c r="F78" s="39" t="n"/>
      <c r="G78" s="39" t="n"/>
    </row>
    <row r="79">
      <c r="A79" s="39" t="n"/>
      <c r="B79" s="39" t="n"/>
      <c r="C79" s="39" t="n"/>
      <c r="D79" s="39" t="n"/>
      <c r="E79" s="39" t="n"/>
      <c r="F79" s="39" t="n"/>
      <c r="G79" s="39" t="n"/>
    </row>
    <row r="80">
      <c r="A80" s="39" t="n"/>
      <c r="B80" s="39" t="n"/>
      <c r="C80" s="39" t="n"/>
      <c r="D80" s="39" t="n"/>
      <c r="E80" s="39" t="n"/>
      <c r="F80" s="39" t="n"/>
      <c r="G80" s="39" t="n"/>
    </row>
    <row r="81">
      <c r="A81" s="39" t="n"/>
      <c r="B81" s="39" t="n"/>
      <c r="C81" s="39" t="n"/>
      <c r="D81" s="39" t="n"/>
      <c r="E81" s="39" t="n"/>
      <c r="F81" s="39" t="n"/>
      <c r="G81" s="39" t="n"/>
    </row>
  </sheetData>
  <mergeCells count="13">
    <mergeCell ref="E77:G77"/>
    <mergeCell ref="E72:G72"/>
    <mergeCell ref="E75:G75"/>
    <mergeCell ref="F42:G46"/>
    <mergeCell ref="F48:G51"/>
    <mergeCell ref="E76:G76"/>
    <mergeCell ref="E73:G73"/>
    <mergeCell ref="F9:G11"/>
    <mergeCell ref="E74:G74"/>
    <mergeCell ref="E78:G78"/>
    <mergeCell ref="E53:G58"/>
    <mergeCell ref="F4:G7"/>
    <mergeCell ref="E71:G7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Janeiro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1" t="inlineStr">
        <is>
          <t>29/12</t>
        </is>
      </c>
      <c r="G2" s="101" t="inlineStr">
        <is>
          <t>30/12</t>
        </is>
      </c>
      <c r="H2" s="101" t="inlineStr">
        <is>
          <t>31/12</t>
        </is>
      </c>
      <c r="I2" s="102" t="n">
        <v>1</v>
      </c>
      <c r="J2" s="103" t="n">
        <v>2</v>
      </c>
      <c r="K2" s="104" t="n">
        <v>3</v>
      </c>
      <c r="L2" s="104" t="n">
        <v>4</v>
      </c>
      <c r="M2" s="103" t="n">
        <v>5</v>
      </c>
      <c r="N2" s="103" t="n">
        <v>6</v>
      </c>
      <c r="O2" s="103" t="n">
        <v>7</v>
      </c>
      <c r="P2" s="103" t="n">
        <v>8</v>
      </c>
      <c r="Q2" s="103" t="n">
        <v>9</v>
      </c>
      <c r="R2" s="104" t="n">
        <v>10</v>
      </c>
      <c r="S2" s="104" t="n">
        <v>11</v>
      </c>
      <c r="T2" s="103" t="n">
        <v>12</v>
      </c>
      <c r="U2" s="103" t="n">
        <v>13</v>
      </c>
      <c r="V2" s="103" t="n">
        <v>14</v>
      </c>
      <c r="W2" s="103" t="n">
        <v>15</v>
      </c>
      <c r="X2" s="103" t="n">
        <v>16</v>
      </c>
      <c r="Y2" s="104" t="n">
        <v>17</v>
      </c>
      <c r="Z2" s="104" t="n">
        <v>18</v>
      </c>
      <c r="AA2" s="103" t="n">
        <v>19</v>
      </c>
      <c r="AB2" s="103" t="n">
        <v>20</v>
      </c>
      <c r="AC2" s="103" t="n">
        <v>21</v>
      </c>
      <c r="AD2" s="103" t="n">
        <v>22</v>
      </c>
      <c r="AE2" s="103" t="n">
        <v>23</v>
      </c>
      <c r="AF2" s="104" t="n">
        <v>24</v>
      </c>
      <c r="AG2" s="104" t="n">
        <v>25</v>
      </c>
      <c r="AH2" s="103" t="n">
        <v>26</v>
      </c>
      <c r="AI2" s="103" t="n">
        <v>27</v>
      </c>
      <c r="AJ2" s="103" t="n">
        <v>28</v>
      </c>
      <c r="AK2" s="103" t="n">
        <v>29</v>
      </c>
      <c r="AL2" s="103" t="n">
        <v>30</v>
      </c>
      <c r="AM2" s="104" t="n">
        <v>31</v>
      </c>
      <c r="AN2" s="105" t="inlineStr">
        <is>
          <t>01/02</t>
        </is>
      </c>
      <c r="AO2" s="100" t="n"/>
      <c r="AP2" s="100" t="n"/>
      <c r="AQ2" s="100" t="n"/>
      <c r="AR2" s="100" t="n"/>
      <c r="AS2" s="100" t="n"/>
      <c r="AT2" s="106" t="inlineStr">
        <is>
          <t>29/12–04/01</t>
        </is>
      </c>
      <c r="AU2" s="39" t="n"/>
      <c r="AV2" s="106" t="inlineStr">
        <is>
          <t>05/01–11/01</t>
        </is>
      </c>
      <c r="AW2" s="39" t="n"/>
      <c r="AX2" s="106" t="inlineStr">
        <is>
          <t>12/01–18/01</t>
        </is>
      </c>
      <c r="AY2" s="39" t="n"/>
      <c r="AZ2" s="106" t="inlineStr">
        <is>
          <t>19/01–25/01</t>
        </is>
      </c>
      <c r="BA2" s="39" t="n"/>
      <c r="BB2" s="106" t="inlineStr">
        <is>
          <t>26/01–01/02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7" t="inlineStr">
        <is>
          <t>seg</t>
        </is>
      </c>
      <c r="G3" s="107" t="inlineStr">
        <is>
          <t>ter</t>
        </is>
      </c>
      <c r="H3" s="107" t="inlineStr">
        <is>
          <t>qua</t>
        </is>
      </c>
      <c r="I3" s="108" t="inlineStr">
        <is>
          <t>1ºjan</t>
        </is>
      </c>
      <c r="J3" s="107" t="inlineStr">
        <is>
          <t>sex</t>
        </is>
      </c>
      <c r="K3" s="109" t="inlineStr">
        <is>
          <t>sáb</t>
        </is>
      </c>
      <c r="L3" s="109" t="inlineStr">
        <is>
          <t>dom</t>
        </is>
      </c>
      <c r="M3" s="107" t="inlineStr">
        <is>
          <t>seg</t>
        </is>
      </c>
      <c r="N3" s="107" t="inlineStr">
        <is>
          <t>ter</t>
        </is>
      </c>
      <c r="O3" s="107" t="inlineStr">
        <is>
          <t>qua</t>
        </is>
      </c>
      <c r="P3" s="107" t="inlineStr">
        <is>
          <t>qui</t>
        </is>
      </c>
      <c r="Q3" s="107" t="inlineStr">
        <is>
          <t>sex</t>
        </is>
      </c>
      <c r="R3" s="109" t="inlineStr">
        <is>
          <t>sáb</t>
        </is>
      </c>
      <c r="S3" s="109" t="inlineStr">
        <is>
          <t>dom</t>
        </is>
      </c>
      <c r="T3" s="107" t="inlineStr">
        <is>
          <t>seg</t>
        </is>
      </c>
      <c r="U3" s="107" t="inlineStr">
        <is>
          <t>ter</t>
        </is>
      </c>
      <c r="V3" s="107" t="inlineStr">
        <is>
          <t>qua</t>
        </is>
      </c>
      <c r="W3" s="107" t="inlineStr">
        <is>
          <t>qui</t>
        </is>
      </c>
      <c r="X3" s="107" t="inlineStr">
        <is>
          <t>sex</t>
        </is>
      </c>
      <c r="Y3" s="109" t="inlineStr">
        <is>
          <t>sáb</t>
        </is>
      </c>
      <c r="Z3" s="109" t="inlineStr">
        <is>
          <t>dom</t>
        </is>
      </c>
      <c r="AA3" s="107" t="inlineStr">
        <is>
          <t>seg</t>
        </is>
      </c>
      <c r="AB3" s="107" t="inlineStr">
        <is>
          <t>ter</t>
        </is>
      </c>
      <c r="AC3" s="107" t="inlineStr">
        <is>
          <t>qua</t>
        </is>
      </c>
      <c r="AD3" s="107" t="inlineStr">
        <is>
          <t>qui</t>
        </is>
      </c>
      <c r="AE3" s="107" t="inlineStr">
        <is>
          <t>sex</t>
        </is>
      </c>
      <c r="AF3" s="109" t="inlineStr">
        <is>
          <t>sáb</t>
        </is>
      </c>
      <c r="AG3" s="109" t="inlineStr">
        <is>
          <t>dom</t>
        </is>
      </c>
      <c r="AH3" s="107" t="inlineStr">
        <is>
          <t>seg</t>
        </is>
      </c>
      <c r="AI3" s="107" t="inlineStr">
        <is>
          <t>ter</t>
        </is>
      </c>
      <c r="AJ3" s="107" t="inlineStr">
        <is>
          <t>qua</t>
        </is>
      </c>
      <c r="AK3" s="107" t="inlineStr">
        <is>
          <t>qui</t>
        </is>
      </c>
      <c r="AL3" s="107" t="inlineStr">
        <is>
          <t>sex</t>
        </is>
      </c>
      <c r="AM3" s="109" t="inlineStr">
        <is>
          <t>sáb</t>
        </is>
      </c>
      <c r="AN3" s="109" t="inlineStr">
        <is>
          <t>dom</t>
        </is>
      </c>
      <c r="AO3" s="100" t="n"/>
      <c r="AP3" s="100" t="n"/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1</v>
      </c>
      <c r="L4" s="39" t="n">
        <v>1</v>
      </c>
      <c r="M4" s="39" t="n">
        <v>0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1</v>
      </c>
      <c r="S4" s="39" t="n">
        <v>1</v>
      </c>
      <c r="T4" s="39" t="n">
        <v>0</v>
      </c>
      <c r="U4" s="39" t="n">
        <v>0</v>
      </c>
      <c r="V4" s="39" t="n">
        <v>0</v>
      </c>
      <c r="W4" s="39" t="n">
        <v>0</v>
      </c>
      <c r="X4" s="39" t="n">
        <v>0</v>
      </c>
      <c r="Y4" s="39" t="n">
        <v>1</v>
      </c>
      <c r="Z4" s="39" t="n">
        <v>1</v>
      </c>
      <c r="AA4" s="39" t="n">
        <v>0</v>
      </c>
      <c r="AB4" s="39" t="n">
        <v>0</v>
      </c>
      <c r="AC4" s="39" t="n">
        <v>0</v>
      </c>
      <c r="AD4" s="39" t="n">
        <v>0</v>
      </c>
      <c r="AE4" s="39" t="n">
        <v>0</v>
      </c>
      <c r="AF4" s="39" t="n">
        <v>1</v>
      </c>
      <c r="AG4" s="39" t="n">
        <v>1</v>
      </c>
      <c r="AH4" s="39" t="n">
        <v>0</v>
      </c>
      <c r="AI4" s="39" t="n">
        <v>0</v>
      </c>
      <c r="AJ4" s="39" t="n">
        <v>0</v>
      </c>
      <c r="AK4" s="39" t="n">
        <v>0</v>
      </c>
      <c r="AL4" s="39" t="n">
        <v>0</v>
      </c>
      <c r="AM4" s="39" t="n">
        <v>1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1</v>
      </c>
      <c r="K5" s="39" t="n">
        <v>0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1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1</v>
      </c>
      <c r="Y5" s="39" t="n">
        <v>0</v>
      </c>
      <c r="Z5" s="39" t="n">
        <v>0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1</v>
      </c>
      <c r="AF5" s="39" t="n">
        <v>0</v>
      </c>
      <c r="AG5" s="39" t="n">
        <v>0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1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1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00" t="n"/>
      <c r="H8" s="100" t="n"/>
      <c r="I8" s="114" t="n"/>
      <c r="J8" s="115" t="inlineStr">
        <is>
          <t>M</t>
        </is>
      </c>
      <c r="K8" s="114" t="n"/>
      <c r="L8" s="114" t="n"/>
      <c r="M8" s="115" t="inlineStr">
        <is>
          <t>M</t>
        </is>
      </c>
      <c r="N8" s="115" t="inlineStr">
        <is>
          <t>M</t>
        </is>
      </c>
      <c r="O8" s="115" t="inlineStr">
        <is>
          <t>M</t>
        </is>
      </c>
      <c r="P8" s="115" t="inlineStr">
        <is>
          <t>M</t>
        </is>
      </c>
      <c r="Q8" s="115" t="inlineStr">
        <is>
          <t>M</t>
        </is>
      </c>
      <c r="R8" s="114" t="n"/>
      <c r="S8" s="114" t="n"/>
      <c r="T8" s="115" t="inlineStr">
        <is>
          <t>M</t>
        </is>
      </c>
      <c r="U8" s="115" t="inlineStr">
        <is>
          <t>M</t>
        </is>
      </c>
      <c r="V8" s="115" t="inlineStr">
        <is>
          <t>M</t>
        </is>
      </c>
      <c r="W8" s="115" t="inlineStr">
        <is>
          <t>M</t>
        </is>
      </c>
      <c r="X8" s="115" t="inlineStr">
        <is>
          <t>M</t>
        </is>
      </c>
      <c r="Y8" s="114" t="n"/>
      <c r="Z8" s="114" t="n"/>
      <c r="AA8" s="115" t="inlineStr">
        <is>
          <t>M</t>
        </is>
      </c>
      <c r="AB8" s="115" t="inlineStr">
        <is>
          <t>M</t>
        </is>
      </c>
      <c r="AC8" s="115" t="inlineStr">
        <is>
          <t>M</t>
        </is>
      </c>
      <c r="AD8" s="115" t="inlineStr">
        <is>
          <t>M</t>
        </is>
      </c>
      <c r="AE8" s="115" t="inlineStr">
        <is>
          <t>M</t>
        </is>
      </c>
      <c r="AF8" s="114" t="n"/>
      <c r="AG8" s="114" t="n"/>
      <c r="AH8" s="114" t="n"/>
      <c r="AI8" s="114" t="n"/>
      <c r="AJ8" s="114" t="n"/>
      <c r="AK8" s="114" t="n"/>
      <c r="AL8" s="114" t="n"/>
      <c r="AM8" s="114" t="n"/>
      <c r="AN8" s="116">
        <f>IFERROR(INDEX(FEV!I$8:I$73,MATCH($A8,FEV!$A$8:$A$73,0))&amp;"","")</f>
        <v/>
      </c>
      <c r="AO8" s="100" t="n"/>
      <c r="AP8" s="100" t="n"/>
      <c r="AQ8" s="100" t="n"/>
      <c r="AR8" s="100" t="n"/>
      <c r="AS8" s="100" t="n"/>
      <c r="AT8" s="117">
        <f>SUMPRODUCT(($F8:$L8="M")*6+($F8:$L8="T")*6+($F8:$L8="D")*12+($F8:$L8="N")*12+($F8:$L8="NT")*6+($F8:$L8="C")*10+($F8:$L8="A")*8+($F8:$L8="J")*5+($F8:$L8="CEP")*4+($F8:$L8="CP")*6+($F8:$L8="CRO")*6+($F8:$L8="M+")*6+($F8:$L8="T+")*6+($F8:$L8="D+")*12+($F8:$L8="N+")*12+($F8:$L8="Dm+")*12+($F8:$L8="Dt+")*12+($F8:$L8="Tm-")*6+($F8:$L8="Mt-")*6)</f>
        <v/>
      </c>
      <c r="AU8" s="118">
        <f>AT8-MAX(0,IFERROR(INDEX(CADASTRO!$I$4:$I$80,MATCH($A8,CADASTRO!$A$4:$A$80,0)),$B8)-CONFIG!$B$50*(COUNTIF($F8:$L8,"AB")+COUNTIF($F8:$L8,"FE")+COUNTIF($F8:$L8,"LM")))</f>
        <v/>
      </c>
      <c r="AV8" s="117">
        <f>SUMPRODUCT(($M8:$S8="M")*6+($M8:$S8="T")*6+($M8:$S8="D")*12+($M8:$S8="N")*12+($M8:$S8="NT")*6+($M8:$S8="C")*10+($M8:$S8="A")*8+($M8:$S8="J")*5+($M8:$S8="CEP")*4+($M8:$S8="CP")*6+($M8:$S8="CRO")*6+($M8:$S8="M+")*6+($M8:$S8="T+")*6+($M8:$S8="D+")*12+($M8:$S8="N+")*12+($M8:$S8="Dm+")*12+($M8:$S8="Dt+")*12+($M8:$S8="Tm-")*6+($M8:$S8="Mt-")*6)</f>
        <v/>
      </c>
      <c r="AW8" s="118">
        <f>AV8-MAX(0,IFERROR(INDEX(CADASTRO!$I$4:$I$80,MATCH($A8,CADASTRO!$A$4:$A$80,0)),$B8)-CONFIG!$B$50*(COUNTIF($M8:$S8,"AB")+COUNTIF($M8:$S8,"FE")+COUNTIF($M8:$S8,"LM")))</f>
        <v/>
      </c>
      <c r="AX8" s="117">
        <f>SUMPRODUCT(($T8:$Z8="M")*6+($T8:$Z8="T")*6+($T8:$Z8="D")*12+($T8:$Z8="N")*12+($T8:$Z8="NT")*6+($T8:$Z8="C")*10+($T8:$Z8="A")*8+($T8:$Z8="J")*5+($T8:$Z8="CEP")*4+($T8:$Z8="CP")*6+($T8:$Z8="CRO")*6+($T8:$Z8="M+")*6+($T8:$Z8="T+")*6+($T8:$Z8="D+")*12+($T8:$Z8="N+")*12+($T8:$Z8="Dm+")*12+($T8:$Z8="Dt+")*12+($T8:$Z8="Tm-")*6+($T8:$Z8="Mt-")*6)</f>
        <v/>
      </c>
      <c r="AY8" s="118">
        <f>AX8-MAX(0,IFERROR(INDEX(CADASTRO!$I$4:$I$80,MATCH($A8,CADASTRO!$A$4:$A$80,0)),$B8)-CONFIG!$B$50*(COUNTIF($T8:$Z8,"AB")+COUNTIF($T8:$Z8,"FE")+COUNTIF($T8:$Z8,"LM")))</f>
        <v/>
      </c>
      <c r="AZ8" s="117">
        <f>SUMPRODUCT(($AA8:$AG8="M")*6+($AA8:$AG8="T")*6+($AA8:$AG8="D")*12+($AA8:$AG8="N")*12+($AA8:$AG8="NT")*6+($AA8:$AG8="C")*10+($AA8:$AG8="A")*8+($AA8:$AG8="J")*5+($AA8:$AG8="CEP")*4+($AA8:$AG8="CP")*6+($AA8:$AG8="CRO")*6+($AA8:$AG8="M+")*6+($AA8:$AG8="T+")*6+($AA8:$AG8="D+")*12+($AA8:$AG8="N+")*12+($AA8:$AG8="Dm+")*12+($AA8:$AG8="Dt+")*12+($AA8:$AG8="Tm-")*6+($AA8:$AG8="Mt-")*6)</f>
        <v/>
      </c>
      <c r="BA8" s="118">
        <f>AZ8-MAX(0,IFERROR(INDEX(CADASTRO!$I$4:$I$80,MATCH($A8,CADASTRO!$A$4:$A$80,0)),$B8)-CONFIG!$B$50*(COUNTIF($AA8:$AG8,"AB")+COUNTIF($AA8:$AG8,"FE")+COUNTIF($AA8:$AG8,"LM")))</f>
        <v/>
      </c>
      <c r="BB8" s="117">
        <f>SUMPRODUCT(($AH8:$AM8="M")*6+($AH8:$AM8="T")*6+($AH8:$AM8="D")*12+($AH8:$AM8="N")*12+($AH8:$AM8="NT")*6+($AH8:$AM8="C")*10+($AH8:$AM8="A")*8+($AH8:$AM8="J")*5+($AH8:$AM8="CEP")*4+($AH8:$AM8="CP")*6+($AH8:$AM8="CRO")*6+($AH8:$AM8="M+")*6+($AH8:$AM8="T+")*6+($AH8:$AM8="D+")*12+($AH8:$AM8="N+")*12+($AH8:$AM8="Dm+")*12+($AH8:$AM8="Dt+")*12+($AH8:$AM8="Tm-")*6+($AH8:$AM8="Mt-")*6)+SUMPRODUCT(($AN8:$AN8="M")*6+($AN8:$AN8="T")*6+($AN8:$AN8="D")*12+($AN8:$AN8="N")*12+($AN8:$AN8="NT")*6+($AN8:$AN8="C")*10+($AN8:$AN8="A")*8+($AN8:$AN8="J")*5+($AN8:$AN8="CEP")*4+($AN8:$AN8="CP")*6+($AN8:$AN8="CRO")*6+($AN8:$AN8="M+")*6+($AN8:$AN8="T+")*6+($AN8:$AN8="D+")*12+($AN8:$AN8="N+")*12+($AN8:$AN8="Dm+")*12+($AN8:$AN8="Dt+")*12+($AN8:$AN8="Tm-")*6+($AN8:$AN8="Mt-")*6)</f>
        <v/>
      </c>
      <c r="BC8" s="118">
        <f>BB8-MAX(0,IFERROR(INDEX(CADASTRO!$I$4:$I$80,MATCH($A8,CADASTRO!$A$4:$A$80,0)),$B8)-CONFIG!$B$50*(COUNTIF($AH8:$AM8,"AB")+COUNTIF($AH8:$AM8,"FE")+COUNTIF($AH8:$AM8,"LM")+COUNTIF($AN8:$AN8,"AB")+COUNTIF($AN8:$AN8,"FE")+COUNTIF($AN8:$AN8,"LM")))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00" t="n"/>
      <c r="H9" s="100" t="n"/>
      <c r="I9" s="114" t="n"/>
      <c r="J9" s="115" t="inlineStr">
        <is>
          <t>M</t>
        </is>
      </c>
      <c r="K9" s="114" t="n"/>
      <c r="L9" s="114" t="n"/>
      <c r="M9" s="115" t="inlineStr">
        <is>
          <t>M</t>
        </is>
      </c>
      <c r="N9" s="115" t="inlineStr">
        <is>
          <t>M</t>
        </is>
      </c>
      <c r="O9" s="115" t="inlineStr">
        <is>
          <t>M</t>
        </is>
      </c>
      <c r="P9" s="115" t="inlineStr">
        <is>
          <t>M</t>
        </is>
      </c>
      <c r="Q9" s="115" t="inlineStr">
        <is>
          <t>M</t>
        </is>
      </c>
      <c r="R9" s="114" t="n"/>
      <c r="S9" s="114" t="n"/>
      <c r="T9" s="115" t="inlineStr">
        <is>
          <t>M</t>
        </is>
      </c>
      <c r="U9" s="115" t="inlineStr">
        <is>
          <t>M</t>
        </is>
      </c>
      <c r="V9" s="115" t="inlineStr">
        <is>
          <t>M</t>
        </is>
      </c>
      <c r="W9" s="115" t="inlineStr">
        <is>
          <t>M</t>
        </is>
      </c>
      <c r="X9" s="115" t="inlineStr">
        <is>
          <t>M</t>
        </is>
      </c>
      <c r="Y9" s="114" t="n"/>
      <c r="Z9" s="114" t="n"/>
      <c r="AA9" s="115" t="inlineStr">
        <is>
          <t>M</t>
        </is>
      </c>
      <c r="AB9" s="115" t="inlineStr">
        <is>
          <t>M</t>
        </is>
      </c>
      <c r="AC9" s="115" t="inlineStr">
        <is>
          <t>M</t>
        </is>
      </c>
      <c r="AD9" s="115" t="inlineStr">
        <is>
          <t>M</t>
        </is>
      </c>
      <c r="AE9" s="115" t="inlineStr">
        <is>
          <t>M</t>
        </is>
      </c>
      <c r="AF9" s="114" t="n"/>
      <c r="AG9" s="114" t="n"/>
      <c r="AH9" s="115" t="inlineStr">
        <is>
          <t>M</t>
        </is>
      </c>
      <c r="AI9" s="115" t="inlineStr">
        <is>
          <t>M</t>
        </is>
      </c>
      <c r="AJ9" s="115" t="inlineStr">
        <is>
          <t>M</t>
        </is>
      </c>
      <c r="AK9" s="115" t="inlineStr">
        <is>
          <t>M</t>
        </is>
      </c>
      <c r="AL9" s="115" t="inlineStr">
        <is>
          <t>M</t>
        </is>
      </c>
      <c r="AM9" s="114" t="n"/>
      <c r="AN9" s="116">
        <f>IFERROR(INDEX(FEV!I$8:I$73,MATCH($A9,FEV!$A$8:$A$73,0))&amp;"","")</f>
        <v/>
      </c>
      <c r="AO9" s="100" t="n"/>
      <c r="AP9" s="100" t="n"/>
      <c r="AQ9" s="100" t="n"/>
      <c r="AR9" s="100" t="n"/>
      <c r="AS9" s="100" t="n"/>
      <c r="AT9" s="117">
        <f>SUMPRODUCT(($F9:$L9="M")*6+($F9:$L9="T")*6+($F9:$L9="D")*12+($F9:$L9="N")*12+($F9:$L9="NT")*6+($F9:$L9="C")*10+($F9:$L9="A")*8+($F9:$L9="J")*5+($F9:$L9="CEP")*4+($F9:$L9="CP")*6+($F9:$L9="CRO")*6+($F9:$L9="M+")*6+($F9:$L9="T+")*6+($F9:$L9="D+")*12+($F9:$L9="N+")*12+($F9:$L9="Dm+")*12+($F9:$L9="Dt+")*12+($F9:$L9="Tm-")*6+($F9:$L9="Mt-")*6)</f>
        <v/>
      </c>
      <c r="AU9" s="118">
        <f>AT9-MAX(0,IFERROR(INDEX(CADASTRO!$I$4:$I$80,MATCH($A9,CADASTRO!$A$4:$A$80,0)),$B9)-CONFIG!$B$50*(COUNTIF($F9:$L9,"AB")+COUNTIF($F9:$L9,"FE")+COUNTIF($F9:$L9,"LM")))</f>
        <v/>
      </c>
      <c r="AV9" s="117">
        <f>SUMPRODUCT(($M9:$S9="M")*6+($M9:$S9="T")*6+($M9:$S9="D")*12+($M9:$S9="N")*12+($M9:$S9="NT")*6+($M9:$S9="C")*10+($M9:$S9="A")*8+($M9:$S9="J")*5+($M9:$S9="CEP")*4+($M9:$S9="CP")*6+($M9:$S9="CRO")*6+($M9:$S9="M+")*6+($M9:$S9="T+")*6+($M9:$S9="D+")*12+($M9:$S9="N+")*12+($M9:$S9="Dm+")*12+($M9:$S9="Dt+")*12+($M9:$S9="Tm-")*6+($M9:$S9="Mt-")*6)</f>
        <v/>
      </c>
      <c r="AW9" s="118">
        <f>AV9-MAX(0,IFERROR(INDEX(CADASTRO!$I$4:$I$80,MATCH($A9,CADASTRO!$A$4:$A$80,0)),$B9)-CONFIG!$B$50*(COUNTIF($M9:$S9,"AB")+COUNTIF($M9:$S9,"FE")+COUNTIF($M9:$S9,"LM")))</f>
        <v/>
      </c>
      <c r="AX9" s="117">
        <f>SUMPRODUCT(($T9:$Z9="M")*6+($T9:$Z9="T")*6+($T9:$Z9="D")*12+($T9:$Z9="N")*12+($T9:$Z9="NT")*6+($T9:$Z9="C")*10+($T9:$Z9="A")*8+($T9:$Z9="J")*5+($T9:$Z9="CEP")*4+($T9:$Z9="CP")*6+($T9:$Z9="CRO")*6+($T9:$Z9="M+")*6+($T9:$Z9="T+")*6+($T9:$Z9="D+")*12+($T9:$Z9="N+")*12+($T9:$Z9="Dm+")*12+($T9:$Z9="Dt+")*12+($T9:$Z9="Tm-")*6+($T9:$Z9="Mt-")*6)</f>
        <v/>
      </c>
      <c r="AY9" s="118">
        <f>AX9-MAX(0,IFERROR(INDEX(CADASTRO!$I$4:$I$80,MATCH($A9,CADASTRO!$A$4:$A$80,0)),$B9)-CONFIG!$B$50*(COUNTIF($T9:$Z9,"AB")+COUNTIF($T9:$Z9,"FE")+COUNTIF($T9:$Z9,"LM")))</f>
        <v/>
      </c>
      <c r="AZ9" s="117">
        <f>SUMPRODUCT(($AA9:$AG9="M")*6+($AA9:$AG9="T")*6+($AA9:$AG9="D")*12+($AA9:$AG9="N")*12+($AA9:$AG9="NT")*6+($AA9:$AG9="C")*10+($AA9:$AG9="A")*8+($AA9:$AG9="J")*5+($AA9:$AG9="CEP")*4+($AA9:$AG9="CP")*6+($AA9:$AG9="CRO")*6+($AA9:$AG9="M+")*6+($AA9:$AG9="T+")*6+($AA9:$AG9="D+")*12+($AA9:$AG9="N+")*12+($AA9:$AG9="Dm+")*12+($AA9:$AG9="Dt+")*12+($AA9:$AG9="Tm-")*6+($AA9:$AG9="Mt-")*6)</f>
        <v/>
      </c>
      <c r="BA9" s="118">
        <f>AZ9-MAX(0,IFERROR(INDEX(CADASTRO!$I$4:$I$80,MATCH($A9,CADASTRO!$A$4:$A$80,0)),$B9)-CONFIG!$B$50*(COUNTIF($AA9:$AG9,"AB")+COUNTIF($AA9:$AG9,"FE")+COUNTIF($AA9:$AG9,"LM")))</f>
        <v/>
      </c>
      <c r="BB9" s="117">
        <f>SUMPRODUCT(($AH9:$AM9="M")*6+($AH9:$AM9="T")*6+($AH9:$AM9="D")*12+($AH9:$AM9="N")*12+($AH9:$AM9="NT")*6+($AH9:$AM9="C")*10+($AH9:$AM9="A")*8+($AH9:$AM9="J")*5+($AH9:$AM9="CEP")*4+($AH9:$AM9="CP")*6+($AH9:$AM9="CRO")*6+($AH9:$AM9="M+")*6+($AH9:$AM9="T+")*6+($AH9:$AM9="D+")*12+($AH9:$AM9="N+")*12+($AH9:$AM9="Dm+")*12+($AH9:$AM9="Dt+")*12+($AH9:$AM9="Tm-")*6+($AH9:$AM9="Mt-")*6)+SUMPRODUCT(($AN9:$AN9="M")*6+($AN9:$AN9="T")*6+($AN9:$AN9="D")*12+($AN9:$AN9="N")*12+($AN9:$AN9="NT")*6+($AN9:$AN9="C")*10+($AN9:$AN9="A")*8+($AN9:$AN9="J")*5+($AN9:$AN9="CEP")*4+($AN9:$AN9="CP")*6+($AN9:$AN9="CRO")*6+($AN9:$AN9="M+")*6+($AN9:$AN9="T+")*6+($AN9:$AN9="D+")*12+($AN9:$AN9="N+")*12+($AN9:$AN9="Dm+")*12+($AN9:$AN9="Dt+")*12+($AN9:$AN9="Tm-")*6+($AN9:$AN9="Mt-")*6)</f>
        <v/>
      </c>
      <c r="BC9" s="118">
        <f>BB9-MAX(0,IFERROR(INDEX(CADASTRO!$I$4:$I$80,MATCH($A9,CADASTRO!$A$4:$A$80,0)),$B9)-CONFIG!$B$50*(COUNTIF($AH9:$AM9,"AB")+COUNTIF($AH9:$AM9,"FE")+COUNTIF($AH9:$AM9,"LM")+COUNTIF($AN9:$AN9,"AB")+COUNTIF($AN9:$AN9,"FE")+COUNTIF($AN9:$AN9,"LM")))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00" t="n"/>
      <c r="H10" s="100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14" t="n"/>
      <c r="AN10" s="116">
        <f>IFERROR(INDEX(FEV!I$8:I$73,MATCH($A10,FEV!$A$8:$A$73,0))&amp;"","")</f>
        <v/>
      </c>
      <c r="AO10" s="100" t="n"/>
      <c r="AP10" s="100" t="n"/>
      <c r="AQ10" s="100" t="n"/>
      <c r="AR10" s="100" t="n"/>
      <c r="AS10" s="100" t="n"/>
      <c r="AT10" s="117">
        <f>SUMPRODUCT(($F10:$L10="M")*6+($F10:$L10="T")*6+($F10:$L10="D")*12+($F10:$L10="N")*12+($F10:$L10="NT")*6+($F10:$L10="C")*10+($F10:$L10="A")*8+($F10:$L10="J")*5+($F10:$L10="CEP")*4+($F10:$L10="CP")*6+($F10:$L10="CRO")*6+($F10:$L10="M+")*6+($F10:$L10="T+")*6+($F10:$L10="D+")*12+($F10:$L10="N+")*12+($F10:$L10="Dm+")*12+($F10:$L10="Dt+")*12+($F10:$L10="Tm-")*6+($F10:$L10="Mt-")*6)</f>
        <v/>
      </c>
      <c r="AU10" s="118">
        <f>AT10-MAX(0,IFERROR(INDEX(CADASTRO!$I$4:$I$80,MATCH($A10,CADASTRO!$A$4:$A$80,0)),$B10)-CONFIG!$B$50*(COUNTIF($F10:$L10,"AB")+COUNTIF($F10:$L10,"FE")+COUNTIF($F10:$L10,"LM")))</f>
        <v/>
      </c>
      <c r="AV10" s="117">
        <f>SUMPRODUCT(($M10:$S10="M")*6+($M10:$S10="T")*6+($M10:$S10="D")*12+($M10:$S10="N")*12+($M10:$S10="NT")*6+($M10:$S10="C")*10+($M10:$S10="A")*8+($M10:$S10="J")*5+($M10:$S10="CEP")*4+($M10:$S10="CP")*6+($M10:$S10="CRO")*6+($M10:$S10="M+")*6+($M10:$S10="T+")*6+($M10:$S10="D+")*12+($M10:$S10="N+")*12+($M10:$S10="Dm+")*12+($M10:$S10="Dt+")*12+($M10:$S10="Tm-")*6+($M10:$S10="Mt-")*6)</f>
        <v/>
      </c>
      <c r="AW10" s="118">
        <f>AV10-MAX(0,IFERROR(INDEX(CADASTRO!$I$4:$I$80,MATCH($A10,CADASTRO!$A$4:$A$80,0)),$B10)-CONFIG!$B$50*(COUNTIF($M10:$S10,"AB")+COUNTIF($M10:$S10,"FE")+COUNTIF($M10:$S10,"LM")))</f>
        <v/>
      </c>
      <c r="AX10" s="117">
        <f>SUMPRODUCT(($T10:$Z10="M")*6+($T10:$Z10="T")*6+($T10:$Z10="D")*12+($T10:$Z10="N")*12+($T10:$Z10="NT")*6+($T10:$Z10="C")*10+($T10:$Z10="A")*8+($T10:$Z10="J")*5+($T10:$Z10="CEP")*4+($T10:$Z10="CP")*6+($T10:$Z10="CRO")*6+($T10:$Z10="M+")*6+($T10:$Z10="T+")*6+($T10:$Z10="D+")*12+($T10:$Z10="N+")*12+($T10:$Z10="Dm+")*12+($T10:$Z10="Dt+")*12+($T10:$Z10="Tm-")*6+($T10:$Z10="Mt-")*6)</f>
        <v/>
      </c>
      <c r="AY10" s="118">
        <f>AX10-MAX(0,IFERROR(INDEX(CADASTRO!$I$4:$I$80,MATCH($A10,CADASTRO!$A$4:$A$80,0)),$B10)-CONFIG!$B$50*(COUNTIF($T10:$Z10,"AB")+COUNTIF($T10:$Z10,"FE")+COUNTIF($T10:$Z10,"LM")))</f>
        <v/>
      </c>
      <c r="AZ10" s="117">
        <f>SUMPRODUCT(($AA10:$AG10="M")*6+($AA10:$AG10="T")*6+($AA10:$AG10="D")*12+($AA10:$AG10="N")*12+($AA10:$AG10="NT")*6+($AA10:$AG10="C")*10+($AA10:$AG10="A")*8+($AA10:$AG10="J")*5+($AA10:$AG10="CEP")*4+($AA10:$AG10="CP")*6+($AA10:$AG10="CRO")*6+($AA10:$AG10="M+")*6+($AA10:$AG10="T+")*6+($AA10:$AG10="D+")*12+($AA10:$AG10="N+")*12+($AA10:$AG10="Dm+")*12+($AA10:$AG10="Dt+")*12+($AA10:$AG10="Tm-")*6+($AA10:$AG10="Mt-")*6)</f>
        <v/>
      </c>
      <c r="BA10" s="118">
        <f>AZ10-MAX(0,IFERROR(INDEX(CADASTRO!$I$4:$I$80,MATCH($A10,CADASTRO!$A$4:$A$80,0)),$B10)-CONFIG!$B$50*(COUNTIF($AA10:$AG10,"AB")+COUNTIF($AA10:$AG10,"FE")+COUNTIF($AA10:$AG10,"LM")))</f>
        <v/>
      </c>
      <c r="BB10" s="117">
        <f>SUMPRODUCT(($AH10:$AM10="M")*6+($AH10:$AM10="T")*6+($AH10:$AM10="D")*12+($AH10:$AM10="N")*12+($AH10:$AM10="NT")*6+($AH10:$AM10="C")*10+($AH10:$AM10="A")*8+($AH10:$AM10="J")*5+($AH10:$AM10="CEP")*4+($AH10:$AM10="CP")*6+($AH10:$AM10="CRO")*6+($AH10:$AM10="M+")*6+($AH10:$AM10="T+")*6+($AH10:$AM10="D+")*12+($AH10:$AM10="N+")*12+($AH10:$AM10="Dm+")*12+($AH10:$AM10="Dt+")*12+($AH10:$AM10="Tm-")*6+($AH10:$AM10="Mt-")*6)+SUMPRODUCT(($AN10:$AN10="M")*6+($AN10:$AN10="T")*6+($AN10:$AN10="D")*12+($AN10:$AN10="N")*12+($AN10:$AN10="NT")*6+($AN10:$AN10="C")*10+($AN10:$AN10="A")*8+($AN10:$AN10="J")*5+($AN10:$AN10="CEP")*4+($AN10:$AN10="CP")*6+($AN10:$AN10="CRO")*6+($AN10:$AN10="M+")*6+($AN10:$AN10="T+")*6+($AN10:$AN10="D+")*12+($AN10:$AN10="N+")*12+($AN10:$AN10="Dm+")*12+($AN10:$AN10="Dt+")*12+($AN10:$AN10="Tm-")*6+($AN10:$AN10="Mt-")*6)</f>
        <v/>
      </c>
      <c r="BC10" s="118">
        <f>BB10-MAX(0,IFERROR(INDEX(CADASTRO!$I$4:$I$80,MATCH($A10,CADASTRO!$A$4:$A$80,0)),$B10)-CONFIG!$B$50*(COUNTIF($AH10:$AM10,"AB")+COUNTIF($AH10:$AM10,"FE")+COUNTIF($AH10:$AM10,"LM")+COUNTIF($AN10:$AN10,"AB")+COUNTIF($AN10:$AN10,"FE")+COUNTIF($AN10:$AN10,"LM")))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00" t="n"/>
      <c r="H11" s="100" t="n"/>
      <c r="I11" s="114" t="n"/>
      <c r="J11" s="123" t="inlineStr">
        <is>
          <t>Dm+</t>
        </is>
      </c>
      <c r="K11" s="114" t="n"/>
      <c r="L11" s="115" t="inlineStr">
        <is>
          <t>M</t>
        </is>
      </c>
      <c r="M11" s="115" t="inlineStr">
        <is>
          <t>M</t>
        </is>
      </c>
      <c r="N11" s="124" t="inlineStr">
        <is>
          <t>D</t>
        </is>
      </c>
      <c r="O11" s="115" t="inlineStr">
        <is>
          <t>M</t>
        </is>
      </c>
      <c r="P11" s="115" t="inlineStr">
        <is>
          <t>M</t>
        </is>
      </c>
      <c r="Q11" s="115" t="inlineStr">
        <is>
          <t>M</t>
        </is>
      </c>
      <c r="R11" s="114" t="n"/>
      <c r="S11" s="114" t="n"/>
      <c r="T11" s="115" t="inlineStr">
        <is>
          <t>M</t>
        </is>
      </c>
      <c r="U11" s="115" t="inlineStr">
        <is>
          <t>M</t>
        </is>
      </c>
      <c r="V11" s="115" t="inlineStr">
        <is>
          <t>M</t>
        </is>
      </c>
      <c r="W11" s="115" t="inlineStr">
        <is>
          <t>M</t>
        </is>
      </c>
      <c r="X11" s="115" t="inlineStr">
        <is>
          <t>M</t>
        </is>
      </c>
      <c r="Y11" s="114" t="n"/>
      <c r="Z11" s="125" t="inlineStr">
        <is>
          <t>N</t>
        </is>
      </c>
      <c r="AA11" s="115" t="inlineStr">
        <is>
          <t>M</t>
        </is>
      </c>
      <c r="AB11" s="124" t="inlineStr">
        <is>
          <t>D</t>
        </is>
      </c>
      <c r="AC11" s="115" t="inlineStr">
        <is>
          <t>M</t>
        </is>
      </c>
      <c r="AD11" s="124" t="inlineStr">
        <is>
          <t>D</t>
        </is>
      </c>
      <c r="AE11" s="115" t="inlineStr">
        <is>
          <t>M</t>
        </is>
      </c>
      <c r="AF11" s="114" t="n"/>
      <c r="AG11" s="114" t="n"/>
      <c r="AH11" s="115" t="inlineStr">
        <is>
          <t>M</t>
        </is>
      </c>
      <c r="AI11" s="115" t="inlineStr">
        <is>
          <t>M</t>
        </is>
      </c>
      <c r="AJ11" s="115" t="inlineStr">
        <is>
          <t>M</t>
        </is>
      </c>
      <c r="AK11" s="115" t="inlineStr">
        <is>
          <t>M</t>
        </is>
      </c>
      <c r="AL11" s="115" t="inlineStr">
        <is>
          <t>M</t>
        </is>
      </c>
      <c r="AM11" s="125" t="inlineStr">
        <is>
          <t>N</t>
        </is>
      </c>
      <c r="AN11" s="116">
        <f>IFERROR(INDEX(FEV!I$8:I$73,MATCH($A11,FEV!$A$8:$A$73,0))&amp;"","")</f>
        <v/>
      </c>
      <c r="AO11" s="100" t="n"/>
      <c r="AP11" s="100" t="n"/>
      <c r="AQ11" s="100" t="n"/>
      <c r="AR11" s="100" t="n"/>
      <c r="AS11" s="100" t="n"/>
      <c r="AT11" s="117">
        <f>SUMPRODUCT(($F11:$L11="M")*6+($F11:$L11="T")*6+($F11:$L11="D")*12+($F11:$L11="N")*12+($F11:$L11="NT")*6+($F11:$L11="C")*10+($F11:$L11="A")*8+($F11:$L11="J")*5+($F11:$L11="CEP")*4+($F11:$L11="CP")*6+($F11:$L11="CRO")*6+($F11:$L11="M+")*6+($F11:$L11="T+")*6+($F11:$L11="D+")*12+($F11:$L11="N+")*12+($F11:$L11="Dm+")*12+($F11:$L11="Dt+")*12+($F11:$L11="Tm-")*6+($F11:$L11="Mt-")*6)</f>
        <v/>
      </c>
      <c r="AU11" s="118">
        <f>AT11-MAX(0,IFERROR(INDEX(CADASTRO!$I$4:$I$80,MATCH($A11,CADASTRO!$A$4:$A$80,0)),$B11)-CONFIG!$B$50*(COUNTIF($F11:$L11,"AB")+COUNTIF($F11:$L11,"FE")+COUNTIF($F11:$L11,"LM")))</f>
        <v/>
      </c>
      <c r="AV11" s="117">
        <f>SUMPRODUCT(($M11:$S11="M")*6+($M11:$S11="T")*6+($M11:$S11="D")*12+($M11:$S11="N")*12+($M11:$S11="NT")*6+($M11:$S11="C")*10+($M11:$S11="A")*8+($M11:$S11="J")*5+($M11:$S11="CEP")*4+($M11:$S11="CP")*6+($M11:$S11="CRO")*6+($M11:$S11="M+")*6+($M11:$S11="T+")*6+($M11:$S11="D+")*12+($M11:$S11="N+")*12+($M11:$S11="Dm+")*12+($M11:$S11="Dt+")*12+($M11:$S11="Tm-")*6+($M11:$S11="Mt-")*6)</f>
        <v/>
      </c>
      <c r="AW11" s="118">
        <f>AV11-MAX(0,IFERROR(INDEX(CADASTRO!$I$4:$I$80,MATCH($A11,CADASTRO!$A$4:$A$80,0)),$B11)-CONFIG!$B$50*(COUNTIF($M11:$S11,"AB")+COUNTIF($M11:$S11,"FE")+COUNTIF($M11:$S11,"LM")))</f>
        <v/>
      </c>
      <c r="AX11" s="117">
        <f>SUMPRODUCT(($T11:$Z11="M")*6+($T11:$Z11="T")*6+($T11:$Z11="D")*12+($T11:$Z11="N")*12+($T11:$Z11="NT")*6+($T11:$Z11="C")*10+($T11:$Z11="A")*8+($T11:$Z11="J")*5+($T11:$Z11="CEP")*4+($T11:$Z11="CP")*6+($T11:$Z11="CRO")*6+($T11:$Z11="M+")*6+($T11:$Z11="T+")*6+($T11:$Z11="D+")*12+($T11:$Z11="N+")*12+($T11:$Z11="Dm+")*12+($T11:$Z11="Dt+")*12+($T11:$Z11="Tm-")*6+($T11:$Z11="Mt-")*6)</f>
        <v/>
      </c>
      <c r="AY11" s="118">
        <f>AX11-MAX(0,IFERROR(INDEX(CADASTRO!$I$4:$I$80,MATCH($A11,CADASTRO!$A$4:$A$80,0)),$B11)-CONFIG!$B$50*(COUNTIF($T11:$Z11,"AB")+COUNTIF($T11:$Z11,"FE")+COUNTIF($T11:$Z11,"LM")))</f>
        <v/>
      </c>
      <c r="AZ11" s="117">
        <f>SUMPRODUCT(($AA11:$AG11="M")*6+($AA11:$AG11="T")*6+($AA11:$AG11="D")*12+($AA11:$AG11="N")*12+($AA11:$AG11="NT")*6+($AA11:$AG11="C")*10+($AA11:$AG11="A")*8+($AA11:$AG11="J")*5+($AA11:$AG11="CEP")*4+($AA11:$AG11="CP")*6+($AA11:$AG11="CRO")*6+($AA11:$AG11="M+")*6+($AA11:$AG11="T+")*6+($AA11:$AG11="D+")*12+($AA11:$AG11="N+")*12+($AA11:$AG11="Dm+")*12+($AA11:$AG11="Dt+")*12+($AA11:$AG11="Tm-")*6+($AA11:$AG11="Mt-")*6)</f>
        <v/>
      </c>
      <c r="BA11" s="118">
        <f>AZ11-MAX(0,IFERROR(INDEX(CADASTRO!$I$4:$I$80,MATCH($A11,CADASTRO!$A$4:$A$80,0)),$B11)-CONFIG!$B$50*(COUNTIF($AA11:$AG11,"AB")+COUNTIF($AA11:$AG11,"FE")+COUNTIF($AA11:$AG11,"LM")))</f>
        <v/>
      </c>
      <c r="BB11" s="117">
        <f>SUMPRODUCT(($AH11:$AM11="M")*6+($AH11:$AM11="T")*6+($AH11:$AM11="D")*12+($AH11:$AM11="N")*12+($AH11:$AM11="NT")*6+($AH11:$AM11="C")*10+($AH11:$AM11="A")*8+($AH11:$AM11="J")*5+($AH11:$AM11="CEP")*4+($AH11:$AM11="CP")*6+($AH11:$AM11="CRO")*6+($AH11:$AM11="M+")*6+($AH11:$AM11="T+")*6+($AH11:$AM11="D+")*12+($AH11:$AM11="N+")*12+($AH11:$AM11="Dm+")*12+($AH11:$AM11="Dt+")*12+($AH11:$AM11="Tm-")*6+($AH11:$AM11="Mt-")*6)+SUMPRODUCT(($AN11:$AN11="M")*6+($AN11:$AN11="T")*6+($AN11:$AN11="D")*12+($AN11:$AN11="N")*12+($AN11:$AN11="NT")*6+($AN11:$AN11="C")*10+($AN11:$AN11="A")*8+($AN11:$AN11="J")*5+($AN11:$AN11="CEP")*4+($AN11:$AN11="CP")*6+($AN11:$AN11="CRO")*6+($AN11:$AN11="M+")*6+($AN11:$AN11="T+")*6+($AN11:$AN11="D+")*12+($AN11:$AN11="N+")*12+($AN11:$AN11="Dm+")*12+($AN11:$AN11="Dt+")*12+($AN11:$AN11="Tm-")*6+($AN11:$AN11="Mt-")*6)</f>
        <v/>
      </c>
      <c r="BC11" s="118">
        <f>BB11-MAX(0,IFERROR(INDEX(CADASTRO!$I$4:$I$80,MATCH($A11,CADASTRO!$A$4:$A$80,0)),$B11)-CONFIG!$B$50*(COUNTIF($AH11:$AM11,"AB")+COUNTIF($AH11:$AM11,"FE")+COUNTIF($AH11:$AM11,"LM")+COUNTIF($AN11:$AN11,"AB")+COUNTIF($AN11:$AN11,"FE")+COUNTIF($AN11:$AN11,"LM")))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00" t="n"/>
      <c r="H12" s="100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5" t="inlineStr">
        <is>
          <t>M</t>
        </is>
      </c>
      <c r="V12" s="115" t="inlineStr">
        <is>
          <t>M</t>
        </is>
      </c>
      <c r="W12" s="124" t="inlineStr">
        <is>
          <t>D</t>
        </is>
      </c>
      <c r="X12" s="115" t="inlineStr">
        <is>
          <t>M</t>
        </is>
      </c>
      <c r="Y12" s="126" t="inlineStr">
        <is>
          <t>T</t>
        </is>
      </c>
      <c r="Z12" s="114" t="n"/>
      <c r="AA12" s="115" t="inlineStr">
        <is>
          <t>M</t>
        </is>
      </c>
      <c r="AB12" s="115" t="inlineStr">
        <is>
          <t>M</t>
        </is>
      </c>
      <c r="AC12" s="115" t="inlineStr">
        <is>
          <t>M</t>
        </is>
      </c>
      <c r="AD12" s="115" t="inlineStr">
        <is>
          <t>M</t>
        </is>
      </c>
      <c r="AE12" s="115" t="inlineStr">
        <is>
          <t>M</t>
        </is>
      </c>
      <c r="AF12" s="114" t="n"/>
      <c r="AG12" s="124" t="inlineStr">
        <is>
          <t>D</t>
        </is>
      </c>
      <c r="AH12" s="115" t="inlineStr">
        <is>
          <t>M</t>
        </is>
      </c>
      <c r="AI12" s="124" t="inlineStr">
        <is>
          <t>D</t>
        </is>
      </c>
      <c r="AJ12" s="115" t="inlineStr">
        <is>
          <t>M</t>
        </is>
      </c>
      <c r="AK12" s="124" t="inlineStr">
        <is>
          <t>D</t>
        </is>
      </c>
      <c r="AL12" s="115" t="inlineStr">
        <is>
          <t>M</t>
        </is>
      </c>
      <c r="AM12" s="114" t="n"/>
      <c r="AN12" s="116">
        <f>IFERROR(INDEX(FEV!I$8:I$73,MATCH($A12,FEV!$A$8:$A$73,0))&amp;"","")</f>
        <v/>
      </c>
      <c r="AO12" s="100" t="n"/>
      <c r="AP12" s="100" t="n"/>
      <c r="AQ12" s="100" t="n"/>
      <c r="AR12" s="100" t="n"/>
      <c r="AS12" s="100" t="n"/>
      <c r="AT12" s="117">
        <f>SUMPRODUCT(($F12:$L12="M")*6+($F12:$L12="T")*6+($F12:$L12="D")*12+($F12:$L12="N")*12+($F12:$L12="NT")*6+($F12:$L12="C")*10+($F12:$L12="A")*8+($F12:$L12="J")*5+($F12:$L12="CEP")*4+($F12:$L12="CP")*6+($F12:$L12="CRO")*6+($F12:$L12="M+")*6+($F12:$L12="T+")*6+($F12:$L12="D+")*12+($F12:$L12="N+")*12+($F12:$L12="Dm+")*12+($F12:$L12="Dt+")*12+($F12:$L12="Tm-")*6+($F12:$L12="Mt-")*6)</f>
        <v/>
      </c>
      <c r="AU12" s="118">
        <f>AT12-MAX(0,IFERROR(INDEX(CADASTRO!$I$4:$I$80,MATCH($A12,CADASTRO!$A$4:$A$80,0)),$B12)-CONFIG!$B$50*(COUNTIF($F12:$L12,"AB")+COUNTIF($F12:$L12,"FE")+COUNTIF($F12:$L12,"LM")))</f>
        <v/>
      </c>
      <c r="AV12" s="117">
        <f>SUMPRODUCT(($M12:$S12="M")*6+($M12:$S12="T")*6+($M12:$S12="D")*12+($M12:$S12="N")*12+($M12:$S12="NT")*6+($M12:$S12="C")*10+($M12:$S12="A")*8+($M12:$S12="J")*5+($M12:$S12="CEP")*4+($M12:$S12="CP")*6+($M12:$S12="CRO")*6+($M12:$S12="M+")*6+($M12:$S12="T+")*6+($M12:$S12="D+")*12+($M12:$S12="N+")*12+($M12:$S12="Dm+")*12+($M12:$S12="Dt+")*12+($M12:$S12="Tm-")*6+($M12:$S12="Mt-")*6)</f>
        <v/>
      </c>
      <c r="AW12" s="118">
        <f>AV12-MAX(0,IFERROR(INDEX(CADASTRO!$I$4:$I$80,MATCH($A12,CADASTRO!$A$4:$A$80,0)),$B12)-CONFIG!$B$50*(COUNTIF($M12:$S12,"AB")+COUNTIF($M12:$S12,"FE")+COUNTIF($M12:$S12,"LM")))</f>
        <v/>
      </c>
      <c r="AX12" s="117">
        <f>SUMPRODUCT(($T12:$Z12="M")*6+($T12:$Z12="T")*6+($T12:$Z12="D")*12+($T12:$Z12="N")*12+($T12:$Z12="NT")*6+($T12:$Z12="C")*10+($T12:$Z12="A")*8+($T12:$Z12="J")*5+($T12:$Z12="CEP")*4+($T12:$Z12="CP")*6+($T12:$Z12="CRO")*6+($T12:$Z12="M+")*6+($T12:$Z12="T+")*6+($T12:$Z12="D+")*12+($T12:$Z12="N+")*12+($T12:$Z12="Dm+")*12+($T12:$Z12="Dt+")*12+($T12:$Z12="Tm-")*6+($T12:$Z12="Mt-")*6)</f>
        <v/>
      </c>
      <c r="AY12" s="118">
        <f>AX12-MAX(0,IFERROR(INDEX(CADASTRO!$I$4:$I$80,MATCH($A12,CADASTRO!$A$4:$A$80,0)),$B12)-CONFIG!$B$50*(COUNTIF($T12:$Z12,"AB")+COUNTIF($T12:$Z12,"FE")+COUNTIF($T12:$Z12,"LM")))</f>
        <v/>
      </c>
      <c r="AZ12" s="117">
        <f>SUMPRODUCT(($AA12:$AG12="M")*6+($AA12:$AG12="T")*6+($AA12:$AG12="D")*12+($AA12:$AG12="N")*12+($AA12:$AG12="NT")*6+($AA12:$AG12="C")*10+($AA12:$AG12="A")*8+($AA12:$AG12="J")*5+($AA12:$AG12="CEP")*4+($AA12:$AG12="CP")*6+($AA12:$AG12="CRO")*6+($AA12:$AG12="M+")*6+($AA12:$AG12="T+")*6+($AA12:$AG12="D+")*12+($AA12:$AG12="N+")*12+($AA12:$AG12="Dm+")*12+($AA12:$AG12="Dt+")*12+($AA12:$AG12="Tm-")*6+($AA12:$AG12="Mt-")*6)</f>
        <v/>
      </c>
      <c r="BA12" s="118">
        <f>AZ12-MAX(0,IFERROR(INDEX(CADASTRO!$I$4:$I$80,MATCH($A12,CADASTRO!$A$4:$A$80,0)),$B12)-CONFIG!$B$50*(COUNTIF($AA12:$AG12,"AB")+COUNTIF($AA12:$AG12,"FE")+COUNTIF($AA12:$AG12,"LM")))</f>
        <v/>
      </c>
      <c r="BB12" s="117">
        <f>SUMPRODUCT(($AH12:$AM12="M")*6+($AH12:$AM12="T")*6+($AH12:$AM12="D")*12+($AH12:$AM12="N")*12+($AH12:$AM12="NT")*6+($AH12:$AM12="C")*10+($AH12:$AM12="A")*8+($AH12:$AM12="J")*5+($AH12:$AM12="CEP")*4+($AH12:$AM12="CP")*6+($AH12:$AM12="CRO")*6+($AH12:$AM12="M+")*6+($AH12:$AM12="T+")*6+($AH12:$AM12="D+")*12+($AH12:$AM12="N+")*12+($AH12:$AM12="Dm+")*12+($AH12:$AM12="Dt+")*12+($AH12:$AM12="Tm-")*6+($AH12:$AM12="Mt-")*6)+SUMPRODUCT(($AN12:$AN12="M")*6+($AN12:$AN12="T")*6+($AN12:$AN12="D")*12+($AN12:$AN12="N")*12+($AN12:$AN12="NT")*6+($AN12:$AN12="C")*10+($AN12:$AN12="A")*8+($AN12:$AN12="J")*5+($AN12:$AN12="CEP")*4+($AN12:$AN12="CP")*6+($AN12:$AN12="CRO")*6+($AN12:$AN12="M+")*6+($AN12:$AN12="T+")*6+($AN12:$AN12="D+")*12+($AN12:$AN12="N+")*12+($AN12:$AN12="Dm+")*12+($AN12:$AN12="Dt+")*12+($AN12:$AN12="Tm-")*6+($AN12:$AN12="Mt-")*6)</f>
        <v/>
      </c>
      <c r="BC12" s="118">
        <f>BB12-MAX(0,IFERROR(INDEX(CADASTRO!$I$4:$I$80,MATCH($A12,CADASTRO!$A$4:$A$80,0)),$B12)-CONFIG!$B$50*(COUNTIF($AH12:$AM12,"AB")+COUNTIF($AH12:$AM12,"FE")+COUNTIF($AH12:$AM12,"LM")+COUNTIF($AN12:$AN12,"AB")+COUNTIF($AN12:$AN12,"FE")+COUNTIF($AN12:$AN12,"LM")))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00" t="n"/>
      <c r="H13" s="100" t="n"/>
      <c r="I13" s="114" t="n"/>
      <c r="J13" s="114" t="n"/>
      <c r="K13" s="114" t="n"/>
      <c r="L13" s="115" t="inlineStr">
        <is>
          <t>M</t>
        </is>
      </c>
      <c r="M13" s="115" t="inlineStr">
        <is>
          <t>M</t>
        </is>
      </c>
      <c r="N13" s="115" t="inlineStr">
        <is>
          <t>M</t>
        </is>
      </c>
      <c r="O13" s="115" t="inlineStr">
        <is>
          <t>M</t>
        </is>
      </c>
      <c r="P13" s="115" t="inlineStr">
        <is>
          <t>M</t>
        </is>
      </c>
      <c r="Q13" s="115" t="inlineStr">
        <is>
          <t>M</t>
        </is>
      </c>
      <c r="R13" s="114" t="n"/>
      <c r="S13" s="125" t="inlineStr">
        <is>
          <t>N</t>
        </is>
      </c>
      <c r="T13" s="115" t="inlineStr">
        <is>
          <t>M</t>
        </is>
      </c>
      <c r="U13" s="115" t="inlineStr">
        <is>
          <t>M</t>
        </is>
      </c>
      <c r="V13" s="115" t="inlineStr">
        <is>
          <t>M</t>
        </is>
      </c>
      <c r="W13" s="115" t="inlineStr">
        <is>
          <t>M</t>
        </is>
      </c>
      <c r="X13" s="115" t="inlineStr">
        <is>
          <t>M</t>
        </is>
      </c>
      <c r="Y13" s="114" t="n"/>
      <c r="Z13" s="114" t="n"/>
      <c r="AA13" s="115" t="inlineStr">
        <is>
          <t>M</t>
        </is>
      </c>
      <c r="AB13" s="115" t="inlineStr">
        <is>
          <t>M</t>
        </is>
      </c>
      <c r="AC13" s="115" t="inlineStr">
        <is>
          <t>M</t>
        </is>
      </c>
      <c r="AD13" s="115" t="inlineStr">
        <is>
          <t>M</t>
        </is>
      </c>
      <c r="AE13" s="115" t="inlineStr">
        <is>
          <t>M</t>
        </is>
      </c>
      <c r="AF13" s="125" t="inlineStr">
        <is>
          <t>N</t>
        </is>
      </c>
      <c r="AG13" s="114" t="n"/>
      <c r="AH13" s="115" t="inlineStr">
        <is>
          <t>M</t>
        </is>
      </c>
      <c r="AI13" s="115" t="inlineStr">
        <is>
          <t>M</t>
        </is>
      </c>
      <c r="AJ13" s="115" t="inlineStr">
        <is>
          <t>M</t>
        </is>
      </c>
      <c r="AK13" s="115" t="inlineStr">
        <is>
          <t>M</t>
        </is>
      </c>
      <c r="AL13" s="115" t="inlineStr">
        <is>
          <t>M</t>
        </is>
      </c>
      <c r="AM13" s="114" t="n"/>
      <c r="AN13" s="116">
        <f>IFERROR(INDEX(FEV!I$8:I$73,MATCH($A13,FEV!$A$8:$A$73,0))&amp;"","")</f>
        <v/>
      </c>
      <c r="AO13" s="100" t="n"/>
      <c r="AP13" s="100" t="n"/>
      <c r="AQ13" s="100" t="n"/>
      <c r="AR13" s="100" t="n"/>
      <c r="AS13" s="100" t="n"/>
      <c r="AT13" s="117">
        <f>SUMPRODUCT(($F13:$L13="M")*6+($F13:$L13="T")*6+($F13:$L13="D")*12+($F13:$L13="N")*12+($F13:$L13="NT")*6+($F13:$L13="C")*10+($F13:$L13="A")*8+($F13:$L13="J")*5+($F13:$L13="CEP")*4+($F13:$L13="CP")*6+($F13:$L13="CRO")*6+($F13:$L13="M+")*6+($F13:$L13="T+")*6+($F13:$L13="D+")*12+($F13:$L13="N+")*12+($F13:$L13="Dm+")*12+($F13:$L13="Dt+")*12+($F13:$L13="Tm-")*6+($F13:$L13="Mt-")*6)</f>
        <v/>
      </c>
      <c r="AU13" s="118">
        <f>AT13-MAX(0,IFERROR(INDEX(CADASTRO!$I$4:$I$80,MATCH($A13,CADASTRO!$A$4:$A$80,0)),$B13)-CONFIG!$B$50*(COUNTIF($F13:$L13,"AB")+COUNTIF($F13:$L13,"FE")+COUNTIF($F13:$L13,"LM")))</f>
        <v/>
      </c>
      <c r="AV13" s="117">
        <f>SUMPRODUCT(($M13:$S13="M")*6+($M13:$S13="T")*6+($M13:$S13="D")*12+($M13:$S13="N")*12+($M13:$S13="NT")*6+($M13:$S13="C")*10+($M13:$S13="A")*8+($M13:$S13="J")*5+($M13:$S13="CEP")*4+($M13:$S13="CP")*6+($M13:$S13="CRO")*6+($M13:$S13="M+")*6+($M13:$S13="T+")*6+($M13:$S13="D+")*12+($M13:$S13="N+")*12+($M13:$S13="Dm+")*12+($M13:$S13="Dt+")*12+($M13:$S13="Tm-")*6+($M13:$S13="Mt-")*6)</f>
        <v/>
      </c>
      <c r="AW13" s="118">
        <f>AV13-MAX(0,IFERROR(INDEX(CADASTRO!$I$4:$I$80,MATCH($A13,CADASTRO!$A$4:$A$80,0)),$B13)-CONFIG!$B$50*(COUNTIF($M13:$S13,"AB")+COUNTIF($M13:$S13,"FE")+COUNTIF($M13:$S13,"LM")))</f>
        <v/>
      </c>
      <c r="AX13" s="117">
        <f>SUMPRODUCT(($T13:$Z13="M")*6+($T13:$Z13="T")*6+($T13:$Z13="D")*12+($T13:$Z13="N")*12+($T13:$Z13="NT")*6+($T13:$Z13="C")*10+($T13:$Z13="A")*8+($T13:$Z13="J")*5+($T13:$Z13="CEP")*4+($T13:$Z13="CP")*6+($T13:$Z13="CRO")*6+($T13:$Z13="M+")*6+($T13:$Z13="T+")*6+($T13:$Z13="D+")*12+($T13:$Z13="N+")*12+($T13:$Z13="Dm+")*12+($T13:$Z13="Dt+")*12+($T13:$Z13="Tm-")*6+($T13:$Z13="Mt-")*6)</f>
        <v/>
      </c>
      <c r="AY13" s="118">
        <f>AX13-MAX(0,IFERROR(INDEX(CADASTRO!$I$4:$I$80,MATCH($A13,CADASTRO!$A$4:$A$80,0)),$B13)-CONFIG!$B$50*(COUNTIF($T13:$Z13,"AB")+COUNTIF($T13:$Z13,"FE")+COUNTIF($T13:$Z13,"LM")))</f>
        <v/>
      </c>
      <c r="AZ13" s="117">
        <f>SUMPRODUCT(($AA13:$AG13="M")*6+($AA13:$AG13="T")*6+($AA13:$AG13="D")*12+($AA13:$AG13="N")*12+($AA13:$AG13="NT")*6+($AA13:$AG13="C")*10+($AA13:$AG13="A")*8+($AA13:$AG13="J")*5+($AA13:$AG13="CEP")*4+($AA13:$AG13="CP")*6+($AA13:$AG13="CRO")*6+($AA13:$AG13="M+")*6+($AA13:$AG13="T+")*6+($AA13:$AG13="D+")*12+($AA13:$AG13="N+")*12+($AA13:$AG13="Dm+")*12+($AA13:$AG13="Dt+")*12+($AA13:$AG13="Tm-")*6+($AA13:$AG13="Mt-")*6)</f>
        <v/>
      </c>
      <c r="BA13" s="118">
        <f>AZ13-MAX(0,IFERROR(INDEX(CADASTRO!$I$4:$I$80,MATCH($A13,CADASTRO!$A$4:$A$80,0)),$B13)-CONFIG!$B$50*(COUNTIF($AA13:$AG13,"AB")+COUNTIF($AA13:$AG13,"FE")+COUNTIF($AA13:$AG13,"LM")))</f>
        <v/>
      </c>
      <c r="BB13" s="117">
        <f>SUMPRODUCT(($AH13:$AM13="M")*6+($AH13:$AM13="T")*6+($AH13:$AM13="D")*12+($AH13:$AM13="N")*12+($AH13:$AM13="NT")*6+($AH13:$AM13="C")*10+($AH13:$AM13="A")*8+($AH13:$AM13="J")*5+($AH13:$AM13="CEP")*4+($AH13:$AM13="CP")*6+($AH13:$AM13="CRO")*6+($AH13:$AM13="M+")*6+($AH13:$AM13="T+")*6+($AH13:$AM13="D+")*12+($AH13:$AM13="N+")*12+($AH13:$AM13="Dm+")*12+($AH13:$AM13="Dt+")*12+($AH13:$AM13="Tm-")*6+($AH13:$AM13="Mt-")*6)+SUMPRODUCT(($AN13:$AN13="M")*6+($AN13:$AN13="T")*6+($AN13:$AN13="D")*12+($AN13:$AN13="N")*12+($AN13:$AN13="NT")*6+($AN13:$AN13="C")*10+($AN13:$AN13="A")*8+($AN13:$AN13="J")*5+($AN13:$AN13="CEP")*4+($AN13:$AN13="CP")*6+($AN13:$AN13="CRO")*6+($AN13:$AN13="M+")*6+($AN13:$AN13="T+")*6+($AN13:$AN13="D+")*12+($AN13:$AN13="N+")*12+($AN13:$AN13="Dm+")*12+($AN13:$AN13="Dt+")*12+($AN13:$AN13="Tm-")*6+($AN13:$AN13="Mt-")*6)</f>
        <v/>
      </c>
      <c r="BC13" s="118">
        <f>BB13-MAX(0,IFERROR(INDEX(CADASTRO!$I$4:$I$80,MATCH($A13,CADASTRO!$A$4:$A$80,0)),$B13)-CONFIG!$B$50*(COUNTIF($AH13:$AM13,"AB")+COUNTIF($AH13:$AM13,"FE")+COUNTIF($AH13:$AM13,"LM")+COUNTIF($AN13:$AN13,"AB")+COUNTIF($AN13:$AN13,"FE")+COUNTIF($AN13:$AN13,"LM")))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00" t="n"/>
      <c r="H14" s="100" t="n"/>
      <c r="I14" s="114" t="n"/>
      <c r="J14" s="124" t="inlineStr">
        <is>
          <t>D</t>
        </is>
      </c>
      <c r="K14" s="114" t="n"/>
      <c r="L14" s="114" t="n"/>
      <c r="M14" s="126" t="inlineStr">
        <is>
          <t>T</t>
        </is>
      </c>
      <c r="N14" s="114" t="n"/>
      <c r="O14" s="126" t="inlineStr">
        <is>
          <t>T</t>
        </is>
      </c>
      <c r="P14" s="124" t="inlineStr">
        <is>
          <t>D</t>
        </is>
      </c>
      <c r="Q14" s="114" t="n"/>
      <c r="R14" s="125" t="inlineStr">
        <is>
          <t>N</t>
        </is>
      </c>
      <c r="S14" s="114" t="n"/>
      <c r="T14" s="126" t="inlineStr">
        <is>
          <t>T</t>
        </is>
      </c>
      <c r="U14" s="114" t="n"/>
      <c r="V14" s="126" t="inlineStr">
        <is>
          <t>T</t>
        </is>
      </c>
      <c r="W14" s="125" t="inlineStr">
        <is>
          <t>N</t>
        </is>
      </c>
      <c r="X14" s="126" t="inlineStr">
        <is>
          <t>T</t>
        </is>
      </c>
      <c r="Y14" s="114" t="n"/>
      <c r="Z14" s="114" t="n"/>
      <c r="AA14" s="126" t="inlineStr">
        <is>
          <t>T</t>
        </is>
      </c>
      <c r="AB14" s="114" t="n"/>
      <c r="AC14" s="114" t="n"/>
      <c r="AD14" s="124" t="inlineStr">
        <is>
          <t>D</t>
        </is>
      </c>
      <c r="AE14" s="126" t="inlineStr">
        <is>
          <t>T</t>
        </is>
      </c>
      <c r="AF14" s="125" t="inlineStr">
        <is>
          <t>N</t>
        </is>
      </c>
      <c r="AG14" s="126" t="inlineStr">
        <is>
          <t>T</t>
        </is>
      </c>
      <c r="AH14" s="114" t="n"/>
      <c r="AI14" s="114" t="n"/>
      <c r="AJ14" s="114" t="n"/>
      <c r="AK14" s="124" t="inlineStr">
        <is>
          <t>D</t>
        </is>
      </c>
      <c r="AL14" s="125" t="inlineStr">
        <is>
          <t>N</t>
        </is>
      </c>
      <c r="AM14" s="126" t="inlineStr">
        <is>
          <t>T</t>
        </is>
      </c>
      <c r="AN14" s="116">
        <f>IFERROR(INDEX(FEV!I$8:I$73,MATCH($A14,FEV!$A$8:$A$73,0))&amp;"","")</f>
        <v/>
      </c>
      <c r="AO14" s="100" t="n"/>
      <c r="AP14" s="100" t="n"/>
      <c r="AQ14" s="100" t="n"/>
      <c r="AR14" s="100" t="n"/>
      <c r="AS14" s="100" t="n"/>
      <c r="AT14" s="117">
        <f>SUMPRODUCT(($F14:$L14="M")*6+($F14:$L14="T")*6+($F14:$L14="D")*12+($F14:$L14="N")*12+($F14:$L14="NT")*6+($F14:$L14="C")*10+($F14:$L14="A")*8+($F14:$L14="J")*5+($F14:$L14="CEP")*4+($F14:$L14="CP")*6+($F14:$L14="CRO")*6+($F14:$L14="M+")*6+($F14:$L14="T+")*6+($F14:$L14="D+")*12+($F14:$L14="N+")*12+($F14:$L14="Dm+")*12+($F14:$L14="Dt+")*12+($F14:$L14="Tm-")*6+($F14:$L14="Mt-")*6)</f>
        <v/>
      </c>
      <c r="AU14" s="118">
        <f>AT14-MAX(0,IFERROR(INDEX(CADASTRO!$I$4:$I$80,MATCH($A14,CADASTRO!$A$4:$A$80,0)),$B14)-CONFIG!$B$50*(COUNTIF($F14:$L14,"AB")+COUNTIF($F14:$L14,"FE")+COUNTIF($F14:$L14,"LM")))</f>
        <v/>
      </c>
      <c r="AV14" s="117">
        <f>SUMPRODUCT(($M14:$S14="M")*6+($M14:$S14="T")*6+($M14:$S14="D")*12+($M14:$S14="N")*12+($M14:$S14="NT")*6+($M14:$S14="C")*10+($M14:$S14="A")*8+($M14:$S14="J")*5+($M14:$S14="CEP")*4+($M14:$S14="CP")*6+($M14:$S14="CRO")*6+($M14:$S14="M+")*6+($M14:$S14="T+")*6+($M14:$S14="D+")*12+($M14:$S14="N+")*12+($M14:$S14="Dm+")*12+($M14:$S14="Dt+")*12+($M14:$S14="Tm-")*6+($M14:$S14="Mt-")*6)</f>
        <v/>
      </c>
      <c r="AW14" s="118">
        <f>AV14-MAX(0,IFERROR(INDEX(CADASTRO!$I$4:$I$80,MATCH($A14,CADASTRO!$A$4:$A$80,0)),$B14)-CONFIG!$B$50*(COUNTIF($M14:$S14,"AB")+COUNTIF($M14:$S14,"FE")+COUNTIF($M14:$S14,"LM")))</f>
        <v/>
      </c>
      <c r="AX14" s="117">
        <f>SUMPRODUCT(($T14:$Z14="M")*6+($T14:$Z14="T")*6+($T14:$Z14="D")*12+($T14:$Z14="N")*12+($T14:$Z14="NT")*6+($T14:$Z14="C")*10+($T14:$Z14="A")*8+($T14:$Z14="J")*5+($T14:$Z14="CEP")*4+($T14:$Z14="CP")*6+($T14:$Z14="CRO")*6+($T14:$Z14="M+")*6+($T14:$Z14="T+")*6+($T14:$Z14="D+")*12+($T14:$Z14="N+")*12+($T14:$Z14="Dm+")*12+($T14:$Z14="Dt+")*12+($T14:$Z14="Tm-")*6+($T14:$Z14="Mt-")*6)</f>
        <v/>
      </c>
      <c r="AY14" s="118">
        <f>AX14-MAX(0,IFERROR(INDEX(CADASTRO!$I$4:$I$80,MATCH($A14,CADASTRO!$A$4:$A$80,0)),$B14)-CONFIG!$B$50*(COUNTIF($T14:$Z14,"AB")+COUNTIF($T14:$Z14,"FE")+COUNTIF($T14:$Z14,"LM")))</f>
        <v/>
      </c>
      <c r="AZ14" s="117">
        <f>SUMPRODUCT(($AA14:$AG14="M")*6+($AA14:$AG14="T")*6+($AA14:$AG14="D")*12+($AA14:$AG14="N")*12+($AA14:$AG14="NT")*6+($AA14:$AG14="C")*10+($AA14:$AG14="A")*8+($AA14:$AG14="J")*5+($AA14:$AG14="CEP")*4+($AA14:$AG14="CP")*6+($AA14:$AG14="CRO")*6+($AA14:$AG14="M+")*6+($AA14:$AG14="T+")*6+($AA14:$AG14="D+")*12+($AA14:$AG14="N+")*12+($AA14:$AG14="Dm+")*12+($AA14:$AG14="Dt+")*12+($AA14:$AG14="Tm-")*6+($AA14:$AG14="Mt-")*6)</f>
        <v/>
      </c>
      <c r="BA14" s="118">
        <f>AZ14-MAX(0,IFERROR(INDEX(CADASTRO!$I$4:$I$80,MATCH($A14,CADASTRO!$A$4:$A$80,0)),$B14)-CONFIG!$B$50*(COUNTIF($AA14:$AG14,"AB")+COUNTIF($AA14:$AG14,"FE")+COUNTIF($AA14:$AG14,"LM")))</f>
        <v/>
      </c>
      <c r="BB14" s="117">
        <f>SUMPRODUCT(($AH14:$AM14="M")*6+($AH14:$AM14="T")*6+($AH14:$AM14="D")*12+($AH14:$AM14="N")*12+($AH14:$AM14="NT")*6+($AH14:$AM14="C")*10+($AH14:$AM14="A")*8+($AH14:$AM14="J")*5+($AH14:$AM14="CEP")*4+($AH14:$AM14="CP")*6+($AH14:$AM14="CRO")*6+($AH14:$AM14="M+")*6+($AH14:$AM14="T+")*6+($AH14:$AM14="D+")*12+($AH14:$AM14="N+")*12+($AH14:$AM14="Dm+")*12+($AH14:$AM14="Dt+")*12+($AH14:$AM14="Tm-")*6+($AH14:$AM14="Mt-")*6)+SUMPRODUCT(($AN14:$AN14="M")*6+($AN14:$AN14="T")*6+($AN14:$AN14="D")*12+($AN14:$AN14="N")*12+($AN14:$AN14="NT")*6+($AN14:$AN14="C")*10+($AN14:$AN14="A")*8+($AN14:$AN14="J")*5+($AN14:$AN14="CEP")*4+($AN14:$AN14="CP")*6+($AN14:$AN14="CRO")*6+($AN14:$AN14="M+")*6+($AN14:$AN14="T+")*6+($AN14:$AN14="D+")*12+($AN14:$AN14="N+")*12+($AN14:$AN14="Dm+")*12+($AN14:$AN14="Dt+")*12+($AN14:$AN14="Tm-")*6+($AN14:$AN14="Mt-")*6)</f>
        <v/>
      </c>
      <c r="BC14" s="118">
        <f>BB14-MAX(0,IFERROR(INDEX(CADASTRO!$I$4:$I$80,MATCH($A14,CADASTRO!$A$4:$A$80,0)),$B14)-CONFIG!$B$50*(COUNTIF($AH14:$AM14,"AB")+COUNTIF($AH14:$AM14,"FE")+COUNTIF($AH14:$AM14,"LM")+COUNTIF($AN14:$AN14,"AB")+COUNTIF($AN14:$AN14,"FE")+COUNTIF($AN14:$AN14,"LM")))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00" t="n"/>
      <c r="H15" s="100" t="n"/>
      <c r="I15" s="114" t="n"/>
      <c r="J15" s="127" t="inlineStr">
        <is>
          <t>Mt-</t>
        </is>
      </c>
      <c r="K15" s="114" t="n"/>
      <c r="L15" s="114" t="n"/>
      <c r="M15" s="115" t="inlineStr">
        <is>
          <t>M</t>
        </is>
      </c>
      <c r="N15" s="115" t="inlineStr">
        <is>
          <t>M</t>
        </is>
      </c>
      <c r="O15" s="115" t="inlineStr">
        <is>
          <t>M</t>
        </is>
      </c>
      <c r="P15" s="115" t="inlineStr">
        <is>
          <t>M</t>
        </is>
      </c>
      <c r="Q15" s="115" t="inlineStr">
        <is>
          <t>M</t>
        </is>
      </c>
      <c r="R15" s="125" t="inlineStr">
        <is>
          <t>N</t>
        </is>
      </c>
      <c r="S15" s="114" t="n"/>
      <c r="T15" s="115" t="inlineStr">
        <is>
          <t>M</t>
        </is>
      </c>
      <c r="U15" s="115" t="inlineStr">
        <is>
          <t>M</t>
        </is>
      </c>
      <c r="V15" s="115" t="inlineStr">
        <is>
          <t>M</t>
        </is>
      </c>
      <c r="W15" s="115" t="inlineStr">
        <is>
          <t>M</t>
        </is>
      </c>
      <c r="X15" s="115" t="inlineStr">
        <is>
          <t>M</t>
        </is>
      </c>
      <c r="Y15" s="128" t="inlineStr">
        <is>
          <t>NT</t>
        </is>
      </c>
      <c r="Z15" s="114" t="n"/>
      <c r="AA15" s="115" t="inlineStr">
        <is>
          <t>M</t>
        </is>
      </c>
      <c r="AB15" s="115" t="inlineStr">
        <is>
          <t>M</t>
        </is>
      </c>
      <c r="AC15" s="115" t="inlineStr">
        <is>
          <t>M</t>
        </is>
      </c>
      <c r="AD15" s="115" t="inlineStr">
        <is>
          <t>M</t>
        </is>
      </c>
      <c r="AE15" s="115" t="inlineStr">
        <is>
          <t>M</t>
        </is>
      </c>
      <c r="AF15" s="125" t="inlineStr">
        <is>
          <t>N</t>
        </is>
      </c>
      <c r="AG15" s="114" t="n"/>
      <c r="AH15" s="115" t="inlineStr">
        <is>
          <t>M</t>
        </is>
      </c>
      <c r="AI15" s="115" t="inlineStr">
        <is>
          <t>M</t>
        </is>
      </c>
      <c r="AJ15" s="115" t="inlineStr">
        <is>
          <t>M</t>
        </is>
      </c>
      <c r="AK15" s="124" t="inlineStr">
        <is>
          <t>D</t>
        </is>
      </c>
      <c r="AL15" s="115" t="inlineStr">
        <is>
          <t>M</t>
        </is>
      </c>
      <c r="AM15" s="114" t="n"/>
      <c r="AN15" s="116">
        <f>IFERROR(INDEX(FEV!I$8:I$73,MATCH($A15,FEV!$A$8:$A$73,0))&amp;"","")</f>
        <v/>
      </c>
      <c r="AO15" s="100" t="n"/>
      <c r="AP15" s="100" t="n"/>
      <c r="AQ15" s="100" t="n"/>
      <c r="AR15" s="100" t="n"/>
      <c r="AS15" s="100" t="n"/>
      <c r="AT15" s="117">
        <f>SUMPRODUCT(($F15:$L15="M")*6+($F15:$L15="T")*6+($F15:$L15="D")*12+($F15:$L15="N")*12+($F15:$L15="NT")*6+($F15:$L15="C")*10+($F15:$L15="A")*8+($F15:$L15="J")*5+($F15:$L15="CEP")*4+($F15:$L15="CP")*6+($F15:$L15="CRO")*6+($F15:$L15="M+")*6+($F15:$L15="T+")*6+($F15:$L15="D+")*12+($F15:$L15="N+")*12+($F15:$L15="Dm+")*12+($F15:$L15="Dt+")*12+($F15:$L15="Tm-")*6+($F15:$L15="Mt-")*6)</f>
        <v/>
      </c>
      <c r="AU15" s="118">
        <f>AT15-MAX(0,IFERROR(INDEX(CADASTRO!$I$4:$I$80,MATCH($A15,CADASTRO!$A$4:$A$80,0)),$B15)-CONFIG!$B$50*(COUNTIF($F15:$L15,"AB")+COUNTIF($F15:$L15,"FE")+COUNTIF($F15:$L15,"LM")))</f>
        <v/>
      </c>
      <c r="AV15" s="117">
        <f>SUMPRODUCT(($M15:$S15="M")*6+($M15:$S15="T")*6+($M15:$S15="D")*12+($M15:$S15="N")*12+($M15:$S15="NT")*6+($M15:$S15="C")*10+($M15:$S15="A")*8+($M15:$S15="J")*5+($M15:$S15="CEP")*4+($M15:$S15="CP")*6+($M15:$S15="CRO")*6+($M15:$S15="M+")*6+($M15:$S15="T+")*6+($M15:$S15="D+")*12+($M15:$S15="N+")*12+($M15:$S15="Dm+")*12+($M15:$S15="Dt+")*12+($M15:$S15="Tm-")*6+($M15:$S15="Mt-")*6)</f>
        <v/>
      </c>
      <c r="AW15" s="118">
        <f>AV15-MAX(0,IFERROR(INDEX(CADASTRO!$I$4:$I$80,MATCH($A15,CADASTRO!$A$4:$A$80,0)),$B15)-CONFIG!$B$50*(COUNTIF($M15:$S15,"AB")+COUNTIF($M15:$S15,"FE")+COUNTIF($M15:$S15,"LM")))</f>
        <v/>
      </c>
      <c r="AX15" s="117">
        <f>SUMPRODUCT(($T15:$Z15="M")*6+($T15:$Z15="T")*6+($T15:$Z15="D")*12+($T15:$Z15="N")*12+($T15:$Z15="NT")*6+($T15:$Z15="C")*10+($T15:$Z15="A")*8+($T15:$Z15="J")*5+($T15:$Z15="CEP")*4+($T15:$Z15="CP")*6+($T15:$Z15="CRO")*6+($T15:$Z15="M+")*6+($T15:$Z15="T+")*6+($T15:$Z15="D+")*12+($T15:$Z15="N+")*12+($T15:$Z15="Dm+")*12+($T15:$Z15="Dt+")*12+($T15:$Z15="Tm-")*6+($T15:$Z15="Mt-")*6)</f>
        <v/>
      </c>
      <c r="AY15" s="118">
        <f>AX15-MAX(0,IFERROR(INDEX(CADASTRO!$I$4:$I$80,MATCH($A15,CADASTRO!$A$4:$A$80,0)),$B15)-CONFIG!$B$50*(COUNTIF($T15:$Z15,"AB")+COUNTIF($T15:$Z15,"FE")+COUNTIF($T15:$Z15,"LM")))</f>
        <v/>
      </c>
      <c r="AZ15" s="117">
        <f>SUMPRODUCT(($AA15:$AG15="M")*6+($AA15:$AG15="T")*6+($AA15:$AG15="D")*12+($AA15:$AG15="N")*12+($AA15:$AG15="NT")*6+($AA15:$AG15="C")*10+($AA15:$AG15="A")*8+($AA15:$AG15="J")*5+($AA15:$AG15="CEP")*4+($AA15:$AG15="CP")*6+($AA15:$AG15="CRO")*6+($AA15:$AG15="M+")*6+($AA15:$AG15="T+")*6+($AA15:$AG15="D+")*12+($AA15:$AG15="N+")*12+($AA15:$AG15="Dm+")*12+($AA15:$AG15="Dt+")*12+($AA15:$AG15="Tm-")*6+($AA15:$AG15="Mt-")*6)</f>
        <v/>
      </c>
      <c r="BA15" s="118">
        <f>AZ15-MAX(0,IFERROR(INDEX(CADASTRO!$I$4:$I$80,MATCH($A15,CADASTRO!$A$4:$A$80,0)),$B15)-CONFIG!$B$50*(COUNTIF($AA15:$AG15,"AB")+COUNTIF($AA15:$AG15,"FE")+COUNTIF($AA15:$AG15,"LM")))</f>
        <v/>
      </c>
      <c r="BB15" s="117">
        <f>SUMPRODUCT(($AH15:$AM15="M")*6+($AH15:$AM15="T")*6+($AH15:$AM15="D")*12+($AH15:$AM15="N")*12+($AH15:$AM15="NT")*6+($AH15:$AM15="C")*10+($AH15:$AM15="A")*8+($AH15:$AM15="J")*5+($AH15:$AM15="CEP")*4+($AH15:$AM15="CP")*6+($AH15:$AM15="CRO")*6+($AH15:$AM15="M+")*6+($AH15:$AM15="T+")*6+($AH15:$AM15="D+")*12+($AH15:$AM15="N+")*12+($AH15:$AM15="Dm+")*12+($AH15:$AM15="Dt+")*12+($AH15:$AM15="Tm-")*6+($AH15:$AM15="Mt-")*6)+SUMPRODUCT(($AN15:$AN15="M")*6+($AN15:$AN15="T")*6+($AN15:$AN15="D")*12+($AN15:$AN15="N")*12+($AN15:$AN15="NT")*6+($AN15:$AN15="C")*10+($AN15:$AN15="A")*8+($AN15:$AN15="J")*5+($AN15:$AN15="CEP")*4+($AN15:$AN15="CP")*6+($AN15:$AN15="CRO")*6+($AN15:$AN15="M+")*6+($AN15:$AN15="T+")*6+($AN15:$AN15="D+")*12+($AN15:$AN15="N+")*12+($AN15:$AN15="Dm+")*12+($AN15:$AN15="Dt+")*12+($AN15:$AN15="Tm-")*6+($AN15:$AN15="Mt-")*6)</f>
        <v/>
      </c>
      <c r="BC15" s="118">
        <f>BB15-MAX(0,IFERROR(INDEX(CADASTRO!$I$4:$I$80,MATCH($A15,CADASTRO!$A$4:$A$80,0)),$B15)-CONFIG!$B$50*(COUNTIF($AH15:$AM15,"AB")+COUNTIF($AH15:$AM15,"FE")+COUNTIF($AH15:$AM15,"LM")+COUNTIF($AN15:$AN15,"AB")+COUNTIF($AN15:$AN15,"FE")+COUNTIF($AN15:$AN15,"LM")))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00" t="n"/>
      <c r="H16" s="100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4" t="n"/>
      <c r="AI16" s="114" t="n"/>
      <c r="AJ16" s="114" t="n"/>
      <c r="AK16" s="114" t="n"/>
      <c r="AL16" s="114" t="n"/>
      <c r="AM16" s="114" t="n"/>
      <c r="AN16" s="116">
        <f>IFERROR(INDEX(FEV!I$8:I$73,MATCH($A16,FEV!$A$8:$A$73,0))&amp;"","")</f>
        <v/>
      </c>
      <c r="AO16" s="100" t="n"/>
      <c r="AP16" s="100" t="n"/>
      <c r="AQ16" s="100" t="n"/>
      <c r="AR16" s="100" t="n"/>
      <c r="AS16" s="100" t="n"/>
      <c r="AT16" s="117">
        <f>SUMPRODUCT(($F16:$L16="M")*6+($F16:$L16="T")*6+($F16:$L16="D")*12+($F16:$L16="N")*12+($F16:$L16="NT")*6+($F16:$L16="C")*10+($F16:$L16="A")*8+($F16:$L16="J")*5+($F16:$L16="CEP")*4+($F16:$L16="CP")*6+($F16:$L16="CRO")*6+($F16:$L16="M+")*6+($F16:$L16="T+")*6+($F16:$L16="D+")*12+($F16:$L16="N+")*12+($F16:$L16="Dm+")*12+($F16:$L16="Dt+")*12+($F16:$L16="Tm-")*6+($F16:$L16="Mt-")*6)</f>
        <v/>
      </c>
      <c r="AU16" s="118">
        <f>AT16-MAX(0,IFERROR(INDEX(CADASTRO!$I$4:$I$80,MATCH($A16,CADASTRO!$A$4:$A$80,0)),$B16)-CONFIG!$B$50*(COUNTIF($F16:$L16,"AB")+COUNTIF($F16:$L16,"FE")+COUNTIF($F16:$L16,"LM")))</f>
        <v/>
      </c>
      <c r="AV16" s="117">
        <f>SUMPRODUCT(($M16:$S16="M")*6+($M16:$S16="T")*6+($M16:$S16="D")*12+($M16:$S16="N")*12+($M16:$S16="NT")*6+($M16:$S16="C")*10+($M16:$S16="A")*8+($M16:$S16="J")*5+($M16:$S16="CEP")*4+($M16:$S16="CP")*6+($M16:$S16="CRO")*6+($M16:$S16="M+")*6+($M16:$S16="T+")*6+($M16:$S16="D+")*12+($M16:$S16="N+")*12+($M16:$S16="Dm+")*12+($M16:$S16="Dt+")*12+($M16:$S16="Tm-")*6+($M16:$S16="Mt-")*6)</f>
        <v/>
      </c>
      <c r="AW16" s="118">
        <f>AV16-MAX(0,IFERROR(INDEX(CADASTRO!$I$4:$I$80,MATCH($A16,CADASTRO!$A$4:$A$80,0)),$B16)-CONFIG!$B$50*(COUNTIF($M16:$S16,"AB")+COUNTIF($M16:$S16,"FE")+COUNTIF($M16:$S16,"LM")))</f>
        <v/>
      </c>
      <c r="AX16" s="117">
        <f>SUMPRODUCT(($T16:$Z16="M")*6+($T16:$Z16="T")*6+($T16:$Z16="D")*12+($T16:$Z16="N")*12+($T16:$Z16="NT")*6+($T16:$Z16="C")*10+($T16:$Z16="A")*8+($T16:$Z16="J")*5+($T16:$Z16="CEP")*4+($T16:$Z16="CP")*6+($T16:$Z16="CRO")*6+($T16:$Z16="M+")*6+($T16:$Z16="T+")*6+($T16:$Z16="D+")*12+($T16:$Z16="N+")*12+($T16:$Z16="Dm+")*12+($T16:$Z16="Dt+")*12+($T16:$Z16="Tm-")*6+($T16:$Z16="Mt-")*6)</f>
        <v/>
      </c>
      <c r="AY16" s="118">
        <f>AX16-MAX(0,IFERROR(INDEX(CADASTRO!$I$4:$I$80,MATCH($A16,CADASTRO!$A$4:$A$80,0)),$B16)-CONFIG!$B$50*(COUNTIF($T16:$Z16,"AB")+COUNTIF($T16:$Z16,"FE")+COUNTIF($T16:$Z16,"LM")))</f>
        <v/>
      </c>
      <c r="AZ16" s="117">
        <f>SUMPRODUCT(($AA16:$AG16="M")*6+($AA16:$AG16="T")*6+($AA16:$AG16="D")*12+($AA16:$AG16="N")*12+($AA16:$AG16="NT")*6+($AA16:$AG16="C")*10+($AA16:$AG16="A")*8+($AA16:$AG16="J")*5+($AA16:$AG16="CEP")*4+($AA16:$AG16="CP")*6+($AA16:$AG16="CRO")*6+($AA16:$AG16="M+")*6+($AA16:$AG16="T+")*6+($AA16:$AG16="D+")*12+($AA16:$AG16="N+")*12+($AA16:$AG16="Dm+")*12+($AA16:$AG16="Dt+")*12+($AA16:$AG16="Tm-")*6+($AA16:$AG16="Mt-")*6)</f>
        <v/>
      </c>
      <c r="BA16" s="118">
        <f>AZ16-MAX(0,IFERROR(INDEX(CADASTRO!$I$4:$I$80,MATCH($A16,CADASTRO!$A$4:$A$80,0)),$B16)-CONFIG!$B$50*(COUNTIF($AA16:$AG16,"AB")+COUNTIF($AA16:$AG16,"FE")+COUNTIF($AA16:$AG16,"LM")))</f>
        <v/>
      </c>
      <c r="BB16" s="117">
        <f>SUMPRODUCT(($AH16:$AM16="M")*6+($AH16:$AM16="T")*6+($AH16:$AM16="D")*12+($AH16:$AM16="N")*12+($AH16:$AM16="NT")*6+($AH16:$AM16="C")*10+($AH16:$AM16="A")*8+($AH16:$AM16="J")*5+($AH16:$AM16="CEP")*4+($AH16:$AM16="CP")*6+($AH16:$AM16="CRO")*6+($AH16:$AM16="M+")*6+($AH16:$AM16="T+")*6+($AH16:$AM16="D+")*12+($AH16:$AM16="N+")*12+($AH16:$AM16="Dm+")*12+($AH16:$AM16="Dt+")*12+($AH16:$AM16="Tm-")*6+($AH16:$AM16="Mt-")*6)+SUMPRODUCT(($AN16:$AN16="M")*6+($AN16:$AN16="T")*6+($AN16:$AN16="D")*12+($AN16:$AN16="N")*12+($AN16:$AN16="NT")*6+($AN16:$AN16="C")*10+($AN16:$AN16="A")*8+($AN16:$AN16="J")*5+($AN16:$AN16="CEP")*4+($AN16:$AN16="CP")*6+($AN16:$AN16="CRO")*6+($AN16:$AN16="M+")*6+($AN16:$AN16="T+")*6+($AN16:$AN16="D+")*12+($AN16:$AN16="N+")*12+($AN16:$AN16="Dm+")*12+($AN16:$AN16="Dt+")*12+($AN16:$AN16="Tm-")*6+($AN16:$AN16="Mt-")*6)</f>
        <v/>
      </c>
      <c r="BC16" s="118">
        <f>BB16-MAX(0,IFERROR(INDEX(CADASTRO!$I$4:$I$80,MATCH($A16,CADASTRO!$A$4:$A$80,0)),$B16)-CONFIG!$B$50*(COUNTIF($AH16:$AM16,"AB")+COUNTIF($AH16:$AM16,"FE")+COUNTIF($AH16:$AM16,"LM")+COUNTIF($AN16:$AN16,"AB")+COUNTIF($AN16:$AN16,"FE")+COUNTIF($AN16:$AN16,"LM")))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00" t="n"/>
      <c r="H17" s="100" t="n"/>
      <c r="I17" s="114" t="n"/>
      <c r="J17" s="129" t="inlineStr">
        <is>
          <t>CEP</t>
        </is>
      </c>
      <c r="K17" s="126" t="inlineStr">
        <is>
          <t>T</t>
        </is>
      </c>
      <c r="L17" s="114" t="n"/>
      <c r="M17" s="126" t="inlineStr">
        <is>
          <t>T</t>
        </is>
      </c>
      <c r="N17" s="129" t="inlineStr">
        <is>
          <t>CEP</t>
        </is>
      </c>
      <c r="O17" s="126" t="inlineStr">
        <is>
          <t>T</t>
        </is>
      </c>
      <c r="P17" s="126" t="inlineStr">
        <is>
          <t>T</t>
        </is>
      </c>
      <c r="Q17" s="125" t="inlineStr">
        <is>
          <t>N</t>
        </is>
      </c>
      <c r="R17" s="114" t="n"/>
      <c r="S17" s="114" t="n"/>
      <c r="T17" s="125" t="inlineStr">
        <is>
          <t>N</t>
        </is>
      </c>
      <c r="U17" s="129" t="inlineStr">
        <is>
          <t>CEP</t>
        </is>
      </c>
      <c r="V17" s="126" t="inlineStr">
        <is>
          <t>T</t>
        </is>
      </c>
      <c r="W17" s="125" t="inlineStr">
        <is>
          <t>N</t>
        </is>
      </c>
      <c r="X17" s="114" t="n"/>
      <c r="Y17" s="114" t="n"/>
      <c r="Z17" s="114" t="n"/>
      <c r="AA17" s="126" t="inlineStr">
        <is>
          <t>T</t>
        </is>
      </c>
      <c r="AB17" s="125" t="inlineStr">
        <is>
          <t>N</t>
        </is>
      </c>
      <c r="AC17" s="129" t="inlineStr">
        <is>
          <t>CEP</t>
        </is>
      </c>
      <c r="AD17" s="114" t="n"/>
      <c r="AE17" s="114" t="n"/>
      <c r="AF17" s="115" t="inlineStr">
        <is>
          <t>M</t>
        </is>
      </c>
      <c r="AG17" s="125" t="inlineStr">
        <is>
          <t>N</t>
        </is>
      </c>
      <c r="AH17" s="129" t="inlineStr">
        <is>
          <t>CEP</t>
        </is>
      </c>
      <c r="AI17" s="125" t="inlineStr">
        <is>
          <t>N</t>
        </is>
      </c>
      <c r="AJ17" s="126" t="inlineStr">
        <is>
          <t>T</t>
        </is>
      </c>
      <c r="AK17" s="125" t="inlineStr">
        <is>
          <t>N</t>
        </is>
      </c>
      <c r="AL17" s="114" t="n"/>
      <c r="AM17" s="114" t="n"/>
      <c r="AN17" s="116">
        <f>IFERROR(INDEX(FEV!I$8:I$73,MATCH($A17,FEV!$A$8:$A$73,0))&amp;"","")</f>
        <v/>
      </c>
      <c r="AO17" s="100" t="n"/>
      <c r="AP17" s="100" t="n"/>
      <c r="AQ17" s="100" t="n"/>
      <c r="AR17" s="100" t="n"/>
      <c r="AS17" s="100" t="n"/>
      <c r="AT17" s="117">
        <f>SUMPRODUCT(($F17:$L17="M")*6+($F17:$L17="T")*6+($F17:$L17="D")*12+($F17:$L17="N")*12+($F17:$L17="NT")*6+($F17:$L17="C")*10+($F17:$L17="A")*8+($F17:$L17="J")*5+($F17:$L17="CEP")*4+($F17:$L17="CP")*6+($F17:$L17="CRO")*6+($F17:$L17="M+")*6+($F17:$L17="T+")*6+($F17:$L17="D+")*12+($F17:$L17="N+")*12+($F17:$L17="Dm+")*12+($F17:$L17="Dt+")*12+($F17:$L17="Tm-")*6+($F17:$L17="Mt-")*6)</f>
        <v/>
      </c>
      <c r="AU17" s="118">
        <f>AT17-MAX(0,IFERROR(INDEX(CADASTRO!$I$4:$I$80,MATCH($A17,CADASTRO!$A$4:$A$80,0)),$B17)-CONFIG!$B$50*(COUNTIF($F17:$L17,"AB")+COUNTIF($F17:$L17,"FE")+COUNTIF($F17:$L17,"LM")))</f>
        <v/>
      </c>
      <c r="AV17" s="117">
        <f>SUMPRODUCT(($M17:$S17="M")*6+($M17:$S17="T")*6+($M17:$S17="D")*12+($M17:$S17="N")*12+($M17:$S17="NT")*6+($M17:$S17="C")*10+($M17:$S17="A")*8+($M17:$S17="J")*5+($M17:$S17="CEP")*4+($M17:$S17="CP")*6+($M17:$S17="CRO")*6+($M17:$S17="M+")*6+($M17:$S17="T+")*6+($M17:$S17="D+")*12+($M17:$S17="N+")*12+($M17:$S17="Dm+")*12+($M17:$S17="Dt+")*12+($M17:$S17="Tm-")*6+($M17:$S17="Mt-")*6)</f>
        <v/>
      </c>
      <c r="AW17" s="118">
        <f>AV17-MAX(0,IFERROR(INDEX(CADASTRO!$I$4:$I$80,MATCH($A17,CADASTRO!$A$4:$A$80,0)),$B17)-CONFIG!$B$50*(COUNTIF($M17:$S17,"AB")+COUNTIF($M17:$S17,"FE")+COUNTIF($M17:$S17,"LM")))</f>
        <v/>
      </c>
      <c r="AX17" s="117">
        <f>SUMPRODUCT(($T17:$Z17="M")*6+($T17:$Z17="T")*6+($T17:$Z17="D")*12+($T17:$Z17="N")*12+($T17:$Z17="NT")*6+($T17:$Z17="C")*10+($T17:$Z17="A")*8+($T17:$Z17="J")*5+($T17:$Z17="CEP")*4+($T17:$Z17="CP")*6+($T17:$Z17="CRO")*6+($T17:$Z17="M+")*6+($T17:$Z17="T+")*6+($T17:$Z17="D+")*12+($T17:$Z17="N+")*12+($T17:$Z17="Dm+")*12+($T17:$Z17="Dt+")*12+($T17:$Z17="Tm-")*6+($T17:$Z17="Mt-")*6)</f>
        <v/>
      </c>
      <c r="AY17" s="118">
        <f>AX17-MAX(0,IFERROR(INDEX(CADASTRO!$I$4:$I$80,MATCH($A17,CADASTRO!$A$4:$A$80,0)),$B17)-CONFIG!$B$50*(COUNTIF($T17:$Z17,"AB")+COUNTIF($T17:$Z17,"FE")+COUNTIF($T17:$Z17,"LM")))</f>
        <v/>
      </c>
      <c r="AZ17" s="117">
        <f>SUMPRODUCT(($AA17:$AG17="M")*6+($AA17:$AG17="T")*6+($AA17:$AG17="D")*12+($AA17:$AG17="N")*12+($AA17:$AG17="NT")*6+($AA17:$AG17="C")*10+($AA17:$AG17="A")*8+($AA17:$AG17="J")*5+($AA17:$AG17="CEP")*4+($AA17:$AG17="CP")*6+($AA17:$AG17="CRO")*6+($AA17:$AG17="M+")*6+($AA17:$AG17="T+")*6+($AA17:$AG17="D+")*12+($AA17:$AG17="N+")*12+($AA17:$AG17="Dm+")*12+($AA17:$AG17="Dt+")*12+($AA17:$AG17="Tm-")*6+($AA17:$AG17="Mt-")*6)</f>
        <v/>
      </c>
      <c r="BA17" s="118">
        <f>AZ17-MAX(0,IFERROR(INDEX(CADASTRO!$I$4:$I$80,MATCH($A17,CADASTRO!$A$4:$A$80,0)),$B17)-CONFIG!$B$50*(COUNTIF($AA17:$AG17,"AB")+COUNTIF($AA17:$AG17,"FE")+COUNTIF($AA17:$AG17,"LM")))</f>
        <v/>
      </c>
      <c r="BB17" s="117">
        <f>SUMPRODUCT(($AH17:$AM17="M")*6+($AH17:$AM17="T")*6+($AH17:$AM17="D")*12+($AH17:$AM17="N")*12+($AH17:$AM17="NT")*6+($AH17:$AM17="C")*10+($AH17:$AM17="A")*8+($AH17:$AM17="J")*5+($AH17:$AM17="CEP")*4+($AH17:$AM17="CP")*6+($AH17:$AM17="CRO")*6+($AH17:$AM17="M+")*6+($AH17:$AM17="T+")*6+($AH17:$AM17="D+")*12+($AH17:$AM17="N+")*12+($AH17:$AM17="Dm+")*12+($AH17:$AM17="Dt+")*12+($AH17:$AM17="Tm-")*6+($AH17:$AM17="Mt-")*6)+SUMPRODUCT(($AN17:$AN17="M")*6+($AN17:$AN17="T")*6+($AN17:$AN17="D")*12+($AN17:$AN17="N")*12+($AN17:$AN17="NT")*6+($AN17:$AN17="C")*10+($AN17:$AN17="A")*8+($AN17:$AN17="J")*5+($AN17:$AN17="CEP")*4+($AN17:$AN17="CP")*6+($AN17:$AN17="CRO")*6+($AN17:$AN17="M+")*6+($AN17:$AN17="T+")*6+($AN17:$AN17="D+")*12+($AN17:$AN17="N+")*12+($AN17:$AN17="Dm+")*12+($AN17:$AN17="Dt+")*12+($AN17:$AN17="Tm-")*6+($AN17:$AN17="Mt-")*6)</f>
        <v/>
      </c>
      <c r="BC17" s="118">
        <f>BB17-MAX(0,IFERROR(INDEX(CADASTRO!$I$4:$I$80,MATCH($A17,CADASTRO!$A$4:$A$80,0)),$B17)-CONFIG!$B$50*(COUNTIF($AH17:$AM17,"AB")+COUNTIF($AH17:$AM17,"FE")+COUNTIF($AH17:$AM17,"LM")+COUNTIF($AN17:$AN17,"AB")+COUNTIF($AN17:$AN17,"FE")+COUNTIF($AN17:$AN17,"LM")))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00" t="n"/>
      <c r="H18" s="100" t="n"/>
      <c r="I18" s="114" t="n"/>
      <c r="J18" s="125" t="inlineStr">
        <is>
          <t>N</t>
        </is>
      </c>
      <c r="K18" s="114" t="n"/>
      <c r="L18" s="124" t="inlineStr">
        <is>
          <t>D</t>
        </is>
      </c>
      <c r="M18" s="124" t="inlineStr">
        <is>
          <t>D</t>
        </is>
      </c>
      <c r="N18" s="114" t="n"/>
      <c r="O18" s="124" t="inlineStr">
        <is>
          <t>D</t>
        </is>
      </c>
      <c r="P18" s="114" t="n"/>
      <c r="Q18" s="125" t="inlineStr">
        <is>
          <t>N</t>
        </is>
      </c>
      <c r="R18" s="114" t="n"/>
      <c r="S18" s="114" t="n"/>
      <c r="T18" s="124" t="inlineStr">
        <is>
          <t>D</t>
        </is>
      </c>
      <c r="U18" s="114" t="n"/>
      <c r="V18" s="124" t="inlineStr">
        <is>
          <t>D</t>
        </is>
      </c>
      <c r="W18" s="114" t="n"/>
      <c r="X18" s="114" t="n"/>
      <c r="Y18" s="124" t="inlineStr">
        <is>
          <t>D</t>
        </is>
      </c>
      <c r="Z18" s="114" t="n"/>
      <c r="AA18" s="114" t="n"/>
      <c r="AB18" s="114" t="n"/>
      <c r="AC18" s="114" t="n"/>
      <c r="AD18" s="114" t="n"/>
      <c r="AE18" s="114" t="n"/>
      <c r="AF18" s="114" t="n"/>
      <c r="AG18" s="114" t="n"/>
      <c r="AH18" s="114" t="n"/>
      <c r="AI18" s="114" t="n"/>
      <c r="AJ18" s="114" t="n"/>
      <c r="AK18" s="114" t="n"/>
      <c r="AL18" s="114" t="n"/>
      <c r="AM18" s="114" t="n"/>
      <c r="AN18" s="116">
        <f>IFERROR(INDEX(FEV!I$8:I$73,MATCH($A18,FEV!$A$8:$A$73,0))&amp;"","")</f>
        <v/>
      </c>
      <c r="AO18" s="100" t="n"/>
      <c r="AP18" s="100" t="n"/>
      <c r="AQ18" s="100" t="n"/>
      <c r="AR18" s="100" t="n"/>
      <c r="AS18" s="100" t="n"/>
      <c r="AT18" s="117">
        <f>SUMPRODUCT(($F18:$L18="M")*6+($F18:$L18="T")*6+($F18:$L18="D")*12+($F18:$L18="N")*12+($F18:$L18="NT")*6+($F18:$L18="C")*10+($F18:$L18="A")*8+($F18:$L18="J")*5+($F18:$L18="CEP")*4+($F18:$L18="CP")*6+($F18:$L18="CRO")*6+($F18:$L18="M+")*6+($F18:$L18="T+")*6+($F18:$L18="D+")*12+($F18:$L18="N+")*12+($F18:$L18="Dm+")*12+($F18:$L18="Dt+")*12+($F18:$L18="Tm-")*6+($F18:$L18="Mt-")*6)</f>
        <v/>
      </c>
      <c r="AU18" s="118">
        <f>AT18-MAX(0,IFERROR(INDEX(CADASTRO!$I$4:$I$80,MATCH($A18,CADASTRO!$A$4:$A$80,0)),$B18)-CONFIG!$B$50*(COUNTIF($F18:$L18,"AB")+COUNTIF($F18:$L18,"FE")+COUNTIF($F18:$L18,"LM")))</f>
        <v/>
      </c>
      <c r="AV18" s="117">
        <f>SUMPRODUCT(($M18:$S18="M")*6+($M18:$S18="T")*6+($M18:$S18="D")*12+($M18:$S18="N")*12+($M18:$S18="NT")*6+($M18:$S18="C")*10+($M18:$S18="A")*8+($M18:$S18="J")*5+($M18:$S18="CEP")*4+($M18:$S18="CP")*6+($M18:$S18="CRO")*6+($M18:$S18="M+")*6+($M18:$S18="T+")*6+($M18:$S18="D+")*12+($M18:$S18="N+")*12+($M18:$S18="Dm+")*12+($M18:$S18="Dt+")*12+($M18:$S18="Tm-")*6+($M18:$S18="Mt-")*6)</f>
        <v/>
      </c>
      <c r="AW18" s="118">
        <f>AV18-MAX(0,IFERROR(INDEX(CADASTRO!$I$4:$I$80,MATCH($A18,CADASTRO!$A$4:$A$80,0)),$B18)-CONFIG!$B$50*(COUNTIF($M18:$S18,"AB")+COUNTIF($M18:$S18,"FE")+COUNTIF($M18:$S18,"LM")))</f>
        <v/>
      </c>
      <c r="AX18" s="117">
        <f>SUMPRODUCT(($T18:$Z18="M")*6+($T18:$Z18="T")*6+($T18:$Z18="D")*12+($T18:$Z18="N")*12+($T18:$Z18="NT")*6+($T18:$Z18="C")*10+($T18:$Z18="A")*8+($T18:$Z18="J")*5+($T18:$Z18="CEP")*4+($T18:$Z18="CP")*6+($T18:$Z18="CRO")*6+($T18:$Z18="M+")*6+($T18:$Z18="T+")*6+($T18:$Z18="D+")*12+($T18:$Z18="N+")*12+($T18:$Z18="Dm+")*12+($T18:$Z18="Dt+")*12+($T18:$Z18="Tm-")*6+($T18:$Z18="Mt-")*6)</f>
        <v/>
      </c>
      <c r="AY18" s="118">
        <f>AX18-MAX(0,IFERROR(INDEX(CADASTRO!$I$4:$I$80,MATCH($A18,CADASTRO!$A$4:$A$80,0)),$B18)-CONFIG!$B$50*(COUNTIF($T18:$Z18,"AB")+COUNTIF($T18:$Z18,"FE")+COUNTIF($T18:$Z18,"LM")))</f>
        <v/>
      </c>
      <c r="AZ18" s="117">
        <f>SUMPRODUCT(($AA18:$AG18="M")*6+($AA18:$AG18="T")*6+($AA18:$AG18="D")*12+($AA18:$AG18="N")*12+($AA18:$AG18="NT")*6+($AA18:$AG18="C")*10+($AA18:$AG18="A")*8+($AA18:$AG18="J")*5+($AA18:$AG18="CEP")*4+($AA18:$AG18="CP")*6+($AA18:$AG18="CRO")*6+($AA18:$AG18="M+")*6+($AA18:$AG18="T+")*6+($AA18:$AG18="D+")*12+($AA18:$AG18="N+")*12+($AA18:$AG18="Dm+")*12+($AA18:$AG18="Dt+")*12+($AA18:$AG18="Tm-")*6+($AA18:$AG18="Mt-")*6)</f>
        <v/>
      </c>
      <c r="BA18" s="118">
        <f>AZ18-MAX(0,IFERROR(INDEX(CADASTRO!$I$4:$I$80,MATCH($A18,CADASTRO!$A$4:$A$80,0)),$B18)-CONFIG!$B$50*(COUNTIF($AA18:$AG18,"AB")+COUNTIF($AA18:$AG18,"FE")+COUNTIF($AA18:$AG18,"LM")))</f>
        <v/>
      </c>
      <c r="BB18" s="117">
        <f>SUMPRODUCT(($AH18:$AM18="M")*6+($AH18:$AM18="T")*6+($AH18:$AM18="D")*12+($AH18:$AM18="N")*12+($AH18:$AM18="NT")*6+($AH18:$AM18="C")*10+($AH18:$AM18="A")*8+($AH18:$AM18="J")*5+($AH18:$AM18="CEP")*4+($AH18:$AM18="CP")*6+($AH18:$AM18="CRO")*6+($AH18:$AM18="M+")*6+($AH18:$AM18="T+")*6+($AH18:$AM18="D+")*12+($AH18:$AM18="N+")*12+($AH18:$AM18="Dm+")*12+($AH18:$AM18="Dt+")*12+($AH18:$AM18="Tm-")*6+($AH18:$AM18="Mt-")*6)+SUMPRODUCT(($AN18:$AN18="M")*6+($AN18:$AN18="T")*6+($AN18:$AN18="D")*12+($AN18:$AN18="N")*12+($AN18:$AN18="NT")*6+($AN18:$AN18="C")*10+($AN18:$AN18="A")*8+($AN18:$AN18="J")*5+($AN18:$AN18="CEP")*4+($AN18:$AN18="CP")*6+($AN18:$AN18="CRO")*6+($AN18:$AN18="M+")*6+($AN18:$AN18="T+")*6+($AN18:$AN18="D+")*12+($AN18:$AN18="N+")*12+($AN18:$AN18="Dm+")*12+($AN18:$AN18="Dt+")*12+($AN18:$AN18="Tm-")*6+($AN18:$AN18="Mt-")*6)</f>
        <v/>
      </c>
      <c r="BC18" s="118">
        <f>BB18-MAX(0,IFERROR(INDEX(CADASTRO!$I$4:$I$80,MATCH($A18,CADASTRO!$A$4:$A$80,0)),$B18)-CONFIG!$B$50*(COUNTIF($AH18:$AM18,"AB")+COUNTIF($AH18:$AM18,"FE")+COUNTIF($AH18:$AM18,"LM")+COUNTIF($AN18:$AN18,"AB")+COUNTIF($AN18:$AN18,"FE")+COUNTIF($AN18:$AN18,"LM")))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00" t="n"/>
      <c r="H19" s="100" t="n"/>
      <c r="I19" s="114" t="n"/>
      <c r="J19" s="114" t="n"/>
      <c r="K19" s="114" t="n"/>
      <c r="L19" s="114" t="n"/>
      <c r="M19" s="126" t="inlineStr">
        <is>
          <t>T</t>
        </is>
      </c>
      <c r="N19" s="114" t="n"/>
      <c r="O19" s="128" t="inlineStr">
        <is>
          <t>NT</t>
        </is>
      </c>
      <c r="P19" s="125" t="inlineStr">
        <is>
          <t>N</t>
        </is>
      </c>
      <c r="Q19" s="114" t="n"/>
      <c r="R19" s="114" t="n"/>
      <c r="S19" s="125" t="inlineStr">
        <is>
          <t>N</t>
        </is>
      </c>
      <c r="T19" s="125" t="inlineStr">
        <is>
          <t>N</t>
        </is>
      </c>
      <c r="U19" s="114" t="n"/>
      <c r="V19" s="125" t="inlineStr">
        <is>
          <t>N</t>
        </is>
      </c>
      <c r="W19" s="114" t="n"/>
      <c r="X19" s="114" t="n"/>
      <c r="Y19" s="125" t="inlineStr">
        <is>
          <t>N</t>
        </is>
      </c>
      <c r="Z19" s="114" t="n"/>
      <c r="AA19" s="114" t="n"/>
      <c r="AB19" s="114" t="n"/>
      <c r="AC19" s="125" t="inlineStr">
        <is>
          <t>N</t>
        </is>
      </c>
      <c r="AD19" s="114" t="n"/>
      <c r="AE19" s="125" t="inlineStr">
        <is>
          <t>N</t>
        </is>
      </c>
      <c r="AF19" s="114" t="n"/>
      <c r="AG19" s="125" t="inlineStr">
        <is>
          <t>N</t>
        </is>
      </c>
      <c r="AH19" s="114" t="n"/>
      <c r="AI19" s="114" t="n"/>
      <c r="AJ19" s="125" t="inlineStr">
        <is>
          <t>N</t>
        </is>
      </c>
      <c r="AK19" s="125" t="inlineStr">
        <is>
          <t>N</t>
        </is>
      </c>
      <c r="AL19" s="114" t="n"/>
      <c r="AM19" s="114" t="n"/>
      <c r="AN19" s="116">
        <f>IFERROR(INDEX(FEV!I$8:I$73,MATCH($A19,FEV!$A$8:$A$73,0))&amp;"","")</f>
        <v/>
      </c>
      <c r="AO19" s="100" t="n"/>
      <c r="AP19" s="100" t="n"/>
      <c r="AQ19" s="100" t="n"/>
      <c r="AR19" s="100" t="n"/>
      <c r="AS19" s="100" t="n"/>
      <c r="AT19" s="117">
        <f>SUMPRODUCT(($F19:$L19="M")*6+($F19:$L19="T")*6+($F19:$L19="D")*12+($F19:$L19="N")*12+($F19:$L19="NT")*6+($F19:$L19="C")*10+($F19:$L19="A")*8+($F19:$L19="J")*5+($F19:$L19="CEP")*4+($F19:$L19="CP")*6+($F19:$L19="CRO")*6+($F19:$L19="M+")*6+($F19:$L19="T+")*6+($F19:$L19="D+")*12+($F19:$L19="N+")*12+($F19:$L19="Dm+")*12+($F19:$L19="Dt+")*12+($F19:$L19="Tm-")*6+($F19:$L19="Mt-")*6)</f>
        <v/>
      </c>
      <c r="AU19" s="118">
        <f>AT19-MAX(0,IFERROR(INDEX(CADASTRO!$I$4:$I$80,MATCH($A19,CADASTRO!$A$4:$A$80,0)),$B19)-CONFIG!$B$50*(COUNTIF($F19:$L19,"AB")+COUNTIF($F19:$L19,"FE")+COUNTIF($F19:$L19,"LM")))</f>
        <v/>
      </c>
      <c r="AV19" s="117">
        <f>SUMPRODUCT(($M19:$S19="M")*6+($M19:$S19="T")*6+($M19:$S19="D")*12+($M19:$S19="N")*12+($M19:$S19="NT")*6+($M19:$S19="C")*10+($M19:$S19="A")*8+($M19:$S19="J")*5+($M19:$S19="CEP")*4+($M19:$S19="CP")*6+($M19:$S19="CRO")*6+($M19:$S19="M+")*6+($M19:$S19="T+")*6+($M19:$S19="D+")*12+($M19:$S19="N+")*12+($M19:$S19="Dm+")*12+($M19:$S19="Dt+")*12+($M19:$S19="Tm-")*6+($M19:$S19="Mt-")*6)</f>
        <v/>
      </c>
      <c r="AW19" s="118">
        <f>AV19-MAX(0,IFERROR(INDEX(CADASTRO!$I$4:$I$80,MATCH($A19,CADASTRO!$A$4:$A$80,0)),$B19)-CONFIG!$B$50*(COUNTIF($M19:$S19,"AB")+COUNTIF($M19:$S19,"FE")+COUNTIF($M19:$S19,"LM")))</f>
        <v/>
      </c>
      <c r="AX19" s="117">
        <f>SUMPRODUCT(($T19:$Z19="M")*6+($T19:$Z19="T")*6+($T19:$Z19="D")*12+($T19:$Z19="N")*12+($T19:$Z19="NT")*6+($T19:$Z19="C")*10+($T19:$Z19="A")*8+($T19:$Z19="J")*5+($T19:$Z19="CEP")*4+($T19:$Z19="CP")*6+($T19:$Z19="CRO")*6+($T19:$Z19="M+")*6+($T19:$Z19="T+")*6+($T19:$Z19="D+")*12+($T19:$Z19="N+")*12+($T19:$Z19="Dm+")*12+($T19:$Z19="Dt+")*12+($T19:$Z19="Tm-")*6+($T19:$Z19="Mt-")*6)</f>
        <v/>
      </c>
      <c r="AY19" s="118">
        <f>AX19-MAX(0,IFERROR(INDEX(CADASTRO!$I$4:$I$80,MATCH($A19,CADASTRO!$A$4:$A$80,0)),$B19)-CONFIG!$B$50*(COUNTIF($T19:$Z19,"AB")+COUNTIF($T19:$Z19,"FE")+COUNTIF($T19:$Z19,"LM")))</f>
        <v/>
      </c>
      <c r="AZ19" s="117">
        <f>SUMPRODUCT(($AA19:$AG19="M")*6+($AA19:$AG19="T")*6+($AA19:$AG19="D")*12+($AA19:$AG19="N")*12+($AA19:$AG19="NT")*6+($AA19:$AG19="C")*10+($AA19:$AG19="A")*8+($AA19:$AG19="J")*5+($AA19:$AG19="CEP")*4+($AA19:$AG19="CP")*6+($AA19:$AG19="CRO")*6+($AA19:$AG19="M+")*6+($AA19:$AG19="T+")*6+($AA19:$AG19="D+")*12+($AA19:$AG19="N+")*12+($AA19:$AG19="Dm+")*12+($AA19:$AG19="Dt+")*12+($AA19:$AG19="Tm-")*6+($AA19:$AG19="Mt-")*6)</f>
        <v/>
      </c>
      <c r="BA19" s="118">
        <f>AZ19-MAX(0,IFERROR(INDEX(CADASTRO!$I$4:$I$80,MATCH($A19,CADASTRO!$A$4:$A$80,0)),$B19)-CONFIG!$B$50*(COUNTIF($AA19:$AG19,"AB")+COUNTIF($AA19:$AG19,"FE")+COUNTIF($AA19:$AG19,"LM")))</f>
        <v/>
      </c>
      <c r="BB19" s="117">
        <f>SUMPRODUCT(($AH19:$AM19="M")*6+($AH19:$AM19="T")*6+($AH19:$AM19="D")*12+($AH19:$AM19="N")*12+($AH19:$AM19="NT")*6+($AH19:$AM19="C")*10+($AH19:$AM19="A")*8+($AH19:$AM19="J")*5+($AH19:$AM19="CEP")*4+($AH19:$AM19="CP")*6+($AH19:$AM19="CRO")*6+($AH19:$AM19="M+")*6+($AH19:$AM19="T+")*6+($AH19:$AM19="D+")*12+($AH19:$AM19="N+")*12+($AH19:$AM19="Dm+")*12+($AH19:$AM19="Dt+")*12+($AH19:$AM19="Tm-")*6+($AH19:$AM19="Mt-")*6)+SUMPRODUCT(($AN19:$AN19="M")*6+($AN19:$AN19="T")*6+($AN19:$AN19="D")*12+($AN19:$AN19="N")*12+($AN19:$AN19="NT")*6+($AN19:$AN19="C")*10+($AN19:$AN19="A")*8+($AN19:$AN19="J")*5+($AN19:$AN19="CEP")*4+($AN19:$AN19="CP")*6+($AN19:$AN19="CRO")*6+($AN19:$AN19="M+")*6+($AN19:$AN19="T+")*6+($AN19:$AN19="D+")*12+($AN19:$AN19="N+")*12+($AN19:$AN19="Dm+")*12+($AN19:$AN19="Dt+")*12+($AN19:$AN19="Tm-")*6+($AN19:$AN19="Mt-")*6)</f>
        <v/>
      </c>
      <c r="BC19" s="118">
        <f>BB19-MAX(0,IFERROR(INDEX(CADASTRO!$I$4:$I$80,MATCH($A19,CADASTRO!$A$4:$A$80,0)),$B19)-CONFIG!$B$50*(COUNTIF($AH19:$AM19,"AB")+COUNTIF($AH19:$AM19,"FE")+COUNTIF($AH19:$AM19,"LM")+COUNTIF($AN19:$AN19,"AB")+COUNTIF($AN19:$AN19,"FE")+COUNTIF($AN19:$AN19,"LM")))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00" t="n"/>
      <c r="H20" s="100" t="n"/>
      <c r="I20" s="114" t="n"/>
      <c r="J20" s="125" t="inlineStr">
        <is>
          <t>N</t>
        </is>
      </c>
      <c r="K20" s="114" t="n"/>
      <c r="L20" s="114" t="n"/>
      <c r="M20" s="114" t="n"/>
      <c r="N20" s="114" t="n"/>
      <c r="O20" s="125" t="inlineStr">
        <is>
          <t>N</t>
        </is>
      </c>
      <c r="P20" s="125" t="inlineStr">
        <is>
          <t>N</t>
        </is>
      </c>
      <c r="Q20" s="114" t="n"/>
      <c r="R20" s="125" t="inlineStr">
        <is>
          <t>N</t>
        </is>
      </c>
      <c r="S20" s="114" t="n"/>
      <c r="T20" s="114" t="n"/>
      <c r="U20" s="114" t="n"/>
      <c r="V20" s="125" t="inlineStr">
        <is>
          <t>N</t>
        </is>
      </c>
      <c r="W20" s="125" t="inlineStr">
        <is>
          <t>N</t>
        </is>
      </c>
      <c r="X20" s="114" t="n"/>
      <c r="Y20" s="114" t="n"/>
      <c r="Z20" s="125" t="inlineStr">
        <is>
          <t>N</t>
        </is>
      </c>
      <c r="AA20" s="114" t="n"/>
      <c r="AB20" s="114" t="n"/>
      <c r="AC20" s="125" t="inlineStr">
        <is>
          <t>N</t>
        </is>
      </c>
      <c r="AD20" s="125" t="inlineStr">
        <is>
          <t>N</t>
        </is>
      </c>
      <c r="AE20" s="125" t="inlineStr">
        <is>
          <t>N</t>
        </is>
      </c>
      <c r="AF20" s="114" t="n"/>
      <c r="AG20" s="114" t="n"/>
      <c r="AH20" s="114" t="n"/>
      <c r="AI20" s="114" t="n"/>
      <c r="AJ20" s="125" t="inlineStr">
        <is>
          <t>N</t>
        </is>
      </c>
      <c r="AK20" s="114" t="n"/>
      <c r="AL20" s="114" t="n"/>
      <c r="AM20" s="125" t="inlineStr">
        <is>
          <t>N</t>
        </is>
      </c>
      <c r="AN20" s="116">
        <f>IFERROR(INDEX(FEV!I$8:I$73,MATCH($A20,FEV!$A$8:$A$73,0))&amp;"","")</f>
        <v/>
      </c>
      <c r="AO20" s="100" t="n"/>
      <c r="AP20" s="100" t="n"/>
      <c r="AQ20" s="100" t="n"/>
      <c r="AR20" s="100" t="n"/>
      <c r="AS20" s="100" t="n"/>
      <c r="AT20" s="117">
        <f>SUMPRODUCT(($F20:$L20="M")*6+($F20:$L20="T")*6+($F20:$L20="D")*12+($F20:$L20="N")*12+($F20:$L20="NT")*6+($F20:$L20="C")*10+($F20:$L20="A")*8+($F20:$L20="J")*5+($F20:$L20="CEP")*4+($F20:$L20="CP")*6+($F20:$L20="CRO")*6+($F20:$L20="M+")*6+($F20:$L20="T+")*6+($F20:$L20="D+")*12+($F20:$L20="N+")*12+($F20:$L20="Dm+")*12+($F20:$L20="Dt+")*12+($F20:$L20="Tm-")*6+($F20:$L20="Mt-")*6)</f>
        <v/>
      </c>
      <c r="AU20" s="118">
        <f>AT20-MAX(0,IFERROR(INDEX(CADASTRO!$I$4:$I$80,MATCH($A20,CADASTRO!$A$4:$A$80,0)),$B20)-CONFIG!$B$50*(COUNTIF($F20:$L20,"AB")+COUNTIF($F20:$L20,"FE")+COUNTIF($F20:$L20,"LM")))</f>
        <v/>
      </c>
      <c r="AV20" s="117">
        <f>SUMPRODUCT(($M20:$S20="M")*6+($M20:$S20="T")*6+($M20:$S20="D")*12+($M20:$S20="N")*12+($M20:$S20="NT")*6+($M20:$S20="C")*10+($M20:$S20="A")*8+($M20:$S20="J")*5+($M20:$S20="CEP")*4+($M20:$S20="CP")*6+($M20:$S20="CRO")*6+($M20:$S20="M+")*6+($M20:$S20="T+")*6+($M20:$S20="D+")*12+($M20:$S20="N+")*12+($M20:$S20="Dm+")*12+($M20:$S20="Dt+")*12+($M20:$S20="Tm-")*6+($M20:$S20="Mt-")*6)</f>
        <v/>
      </c>
      <c r="AW20" s="118">
        <f>AV20-MAX(0,IFERROR(INDEX(CADASTRO!$I$4:$I$80,MATCH($A20,CADASTRO!$A$4:$A$80,0)),$B20)-CONFIG!$B$50*(COUNTIF($M20:$S20,"AB")+COUNTIF($M20:$S20,"FE")+COUNTIF($M20:$S20,"LM")))</f>
        <v/>
      </c>
      <c r="AX20" s="117">
        <f>SUMPRODUCT(($T20:$Z20="M")*6+($T20:$Z20="T")*6+($T20:$Z20="D")*12+($T20:$Z20="N")*12+($T20:$Z20="NT")*6+($T20:$Z20="C")*10+($T20:$Z20="A")*8+($T20:$Z20="J")*5+($T20:$Z20="CEP")*4+($T20:$Z20="CP")*6+($T20:$Z20="CRO")*6+($T20:$Z20="M+")*6+($T20:$Z20="T+")*6+($T20:$Z20="D+")*12+($T20:$Z20="N+")*12+($T20:$Z20="Dm+")*12+($T20:$Z20="Dt+")*12+($T20:$Z20="Tm-")*6+($T20:$Z20="Mt-")*6)</f>
        <v/>
      </c>
      <c r="AY20" s="118">
        <f>AX20-MAX(0,IFERROR(INDEX(CADASTRO!$I$4:$I$80,MATCH($A20,CADASTRO!$A$4:$A$80,0)),$B20)-CONFIG!$B$50*(COUNTIF($T20:$Z20,"AB")+COUNTIF($T20:$Z20,"FE")+COUNTIF($T20:$Z20,"LM")))</f>
        <v/>
      </c>
      <c r="AZ20" s="117">
        <f>SUMPRODUCT(($AA20:$AG20="M")*6+($AA20:$AG20="T")*6+($AA20:$AG20="D")*12+($AA20:$AG20="N")*12+($AA20:$AG20="NT")*6+($AA20:$AG20="C")*10+($AA20:$AG20="A")*8+($AA20:$AG20="J")*5+($AA20:$AG20="CEP")*4+($AA20:$AG20="CP")*6+($AA20:$AG20="CRO")*6+($AA20:$AG20="M+")*6+($AA20:$AG20="T+")*6+($AA20:$AG20="D+")*12+($AA20:$AG20="N+")*12+($AA20:$AG20="Dm+")*12+($AA20:$AG20="Dt+")*12+($AA20:$AG20="Tm-")*6+($AA20:$AG20="Mt-")*6)</f>
        <v/>
      </c>
      <c r="BA20" s="118">
        <f>AZ20-MAX(0,IFERROR(INDEX(CADASTRO!$I$4:$I$80,MATCH($A20,CADASTRO!$A$4:$A$80,0)),$B20)-CONFIG!$B$50*(COUNTIF($AA20:$AG20,"AB")+COUNTIF($AA20:$AG20,"FE")+COUNTIF($AA20:$AG20,"LM")))</f>
        <v/>
      </c>
      <c r="BB20" s="117">
        <f>SUMPRODUCT(($AH20:$AM20="M")*6+($AH20:$AM20="T")*6+($AH20:$AM20="D")*12+($AH20:$AM20="N")*12+($AH20:$AM20="NT")*6+($AH20:$AM20="C")*10+($AH20:$AM20="A")*8+($AH20:$AM20="J")*5+($AH20:$AM20="CEP")*4+($AH20:$AM20="CP")*6+($AH20:$AM20="CRO")*6+($AH20:$AM20="M+")*6+($AH20:$AM20="T+")*6+($AH20:$AM20="D+")*12+($AH20:$AM20="N+")*12+($AH20:$AM20="Dm+")*12+($AH20:$AM20="Dt+")*12+($AH20:$AM20="Tm-")*6+($AH20:$AM20="Mt-")*6)+SUMPRODUCT(($AN20:$AN20="M")*6+($AN20:$AN20="T")*6+($AN20:$AN20="D")*12+($AN20:$AN20="N")*12+($AN20:$AN20="NT")*6+($AN20:$AN20="C")*10+($AN20:$AN20="A")*8+($AN20:$AN20="J")*5+($AN20:$AN20="CEP")*4+($AN20:$AN20="CP")*6+($AN20:$AN20="CRO")*6+($AN20:$AN20="M+")*6+($AN20:$AN20="T+")*6+($AN20:$AN20="D+")*12+($AN20:$AN20="N+")*12+($AN20:$AN20="Dm+")*12+($AN20:$AN20="Dt+")*12+($AN20:$AN20="Tm-")*6+($AN20:$AN20="Mt-")*6)</f>
        <v/>
      </c>
      <c r="BC20" s="118">
        <f>BB20-MAX(0,IFERROR(INDEX(CADASTRO!$I$4:$I$80,MATCH($A20,CADASTRO!$A$4:$A$80,0)),$B20)-CONFIG!$B$50*(COUNTIF($AH20:$AM20,"AB")+COUNTIF($AH20:$AM20,"FE")+COUNTIF($AH20:$AM20,"LM")+COUNTIF($AN20:$AN20,"AB")+COUNTIF($AN20:$AN20,"FE")+COUNTIF($AN20:$AN20,"LM")))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00" t="n"/>
      <c r="H21" s="100" t="n"/>
      <c r="I21" s="114" t="n"/>
      <c r="J21" s="123" t="inlineStr">
        <is>
          <t>T+</t>
        </is>
      </c>
      <c r="K21" s="124" t="inlineStr">
        <is>
          <t>D</t>
        </is>
      </c>
      <c r="L21" s="115" t="inlineStr">
        <is>
          <t>M</t>
        </is>
      </c>
      <c r="M21" s="126" t="inlineStr">
        <is>
          <t>T</t>
        </is>
      </c>
      <c r="N21" s="114" t="n"/>
      <c r="O21" s="115" t="inlineStr">
        <is>
          <t>M</t>
        </is>
      </c>
      <c r="P21" s="115" t="inlineStr">
        <is>
          <t>M</t>
        </is>
      </c>
      <c r="Q21" s="114" t="n"/>
      <c r="R21" s="115" t="inlineStr">
        <is>
          <t>M</t>
        </is>
      </c>
      <c r="S21" s="125" t="inlineStr">
        <is>
          <t>N</t>
        </is>
      </c>
      <c r="T21" s="126" t="inlineStr">
        <is>
          <t>T</t>
        </is>
      </c>
      <c r="U21" s="125" t="inlineStr">
        <is>
          <t>N</t>
        </is>
      </c>
      <c r="V21" s="114" t="n"/>
      <c r="W21" s="115" t="inlineStr">
        <is>
          <t>M</t>
        </is>
      </c>
      <c r="X21" s="124" t="inlineStr">
        <is>
          <t>D</t>
        </is>
      </c>
      <c r="Y21" s="114" t="n"/>
      <c r="Z21" s="114" t="n"/>
      <c r="AA21" s="126" t="inlineStr">
        <is>
          <t>T</t>
        </is>
      </c>
      <c r="AB21" s="124" t="inlineStr">
        <is>
          <t>D</t>
        </is>
      </c>
      <c r="AC21" s="114" t="n"/>
      <c r="AD21" s="114" t="n"/>
      <c r="AE21" s="124" t="inlineStr">
        <is>
          <t>D</t>
        </is>
      </c>
      <c r="AF21" s="114" t="n"/>
      <c r="AG21" s="114" t="n"/>
      <c r="AH21" s="126" t="inlineStr">
        <is>
          <t>T</t>
        </is>
      </c>
      <c r="AI21" s="124" t="inlineStr">
        <is>
          <t>D</t>
        </is>
      </c>
      <c r="AJ21" s="115" t="inlineStr">
        <is>
          <t>M</t>
        </is>
      </c>
      <c r="AK21" s="125" t="inlineStr">
        <is>
          <t>N</t>
        </is>
      </c>
      <c r="AL21" s="114" t="n"/>
      <c r="AM21" s="114" t="n"/>
      <c r="AN21" s="116">
        <f>IFERROR(INDEX(FEV!I$8:I$73,MATCH($A21,FEV!$A$8:$A$73,0))&amp;"","")</f>
        <v/>
      </c>
      <c r="AO21" s="100" t="n"/>
      <c r="AP21" s="100" t="n"/>
      <c r="AQ21" s="100" t="n"/>
      <c r="AR21" s="100" t="n"/>
      <c r="AS21" s="100" t="n"/>
      <c r="AT21" s="117">
        <f>SUMPRODUCT(($F21:$L21="M")*6+($F21:$L21="T")*6+($F21:$L21="D")*12+($F21:$L21="N")*12+($F21:$L21="NT")*6+($F21:$L21="C")*10+($F21:$L21="A")*8+($F21:$L21="J")*5+($F21:$L21="CEP")*4+($F21:$L21="CP")*6+($F21:$L21="CRO")*6+($F21:$L21="M+")*6+($F21:$L21="T+")*6+($F21:$L21="D+")*12+($F21:$L21="N+")*12+($F21:$L21="Dm+")*12+($F21:$L21="Dt+")*12+($F21:$L21="Tm-")*6+($F21:$L21="Mt-")*6)</f>
        <v/>
      </c>
      <c r="AU21" s="118">
        <f>AT21-MAX(0,IFERROR(INDEX(CADASTRO!$I$4:$I$80,MATCH($A21,CADASTRO!$A$4:$A$80,0)),$B21)-CONFIG!$B$50*(COUNTIF($F21:$L21,"AB")+COUNTIF($F21:$L21,"FE")+COUNTIF($F21:$L21,"LM")))</f>
        <v/>
      </c>
      <c r="AV21" s="117">
        <f>SUMPRODUCT(($M21:$S21="M")*6+($M21:$S21="T")*6+($M21:$S21="D")*12+($M21:$S21="N")*12+($M21:$S21="NT")*6+($M21:$S21="C")*10+($M21:$S21="A")*8+($M21:$S21="J")*5+($M21:$S21="CEP")*4+($M21:$S21="CP")*6+($M21:$S21="CRO")*6+($M21:$S21="M+")*6+($M21:$S21="T+")*6+($M21:$S21="D+")*12+($M21:$S21="N+")*12+($M21:$S21="Dm+")*12+($M21:$S21="Dt+")*12+($M21:$S21="Tm-")*6+($M21:$S21="Mt-")*6)</f>
        <v/>
      </c>
      <c r="AW21" s="118">
        <f>AV21-MAX(0,IFERROR(INDEX(CADASTRO!$I$4:$I$80,MATCH($A21,CADASTRO!$A$4:$A$80,0)),$B21)-CONFIG!$B$50*(COUNTIF($M21:$S21,"AB")+COUNTIF($M21:$S21,"FE")+COUNTIF($M21:$S21,"LM")))</f>
        <v/>
      </c>
      <c r="AX21" s="117">
        <f>SUMPRODUCT(($T21:$Z21="M")*6+($T21:$Z21="T")*6+($T21:$Z21="D")*12+($T21:$Z21="N")*12+($T21:$Z21="NT")*6+($T21:$Z21="C")*10+($T21:$Z21="A")*8+($T21:$Z21="J")*5+($T21:$Z21="CEP")*4+($T21:$Z21="CP")*6+($T21:$Z21="CRO")*6+($T21:$Z21="M+")*6+($T21:$Z21="T+")*6+($T21:$Z21="D+")*12+($T21:$Z21="N+")*12+($T21:$Z21="Dm+")*12+($T21:$Z21="Dt+")*12+($T21:$Z21="Tm-")*6+($T21:$Z21="Mt-")*6)</f>
        <v/>
      </c>
      <c r="AY21" s="118">
        <f>AX21-MAX(0,IFERROR(INDEX(CADASTRO!$I$4:$I$80,MATCH($A21,CADASTRO!$A$4:$A$80,0)),$B21)-CONFIG!$B$50*(COUNTIF($T21:$Z21,"AB")+COUNTIF($T21:$Z21,"FE")+COUNTIF($T21:$Z21,"LM")))</f>
        <v/>
      </c>
      <c r="AZ21" s="117">
        <f>SUMPRODUCT(($AA21:$AG21="M")*6+($AA21:$AG21="T")*6+($AA21:$AG21="D")*12+($AA21:$AG21="N")*12+($AA21:$AG21="NT")*6+($AA21:$AG21="C")*10+($AA21:$AG21="A")*8+($AA21:$AG21="J")*5+($AA21:$AG21="CEP")*4+($AA21:$AG21="CP")*6+($AA21:$AG21="CRO")*6+($AA21:$AG21="M+")*6+($AA21:$AG21="T+")*6+($AA21:$AG21="D+")*12+($AA21:$AG21="N+")*12+($AA21:$AG21="Dm+")*12+($AA21:$AG21="Dt+")*12+($AA21:$AG21="Tm-")*6+($AA21:$AG21="Mt-")*6)</f>
        <v/>
      </c>
      <c r="BA21" s="118">
        <f>AZ21-MAX(0,IFERROR(INDEX(CADASTRO!$I$4:$I$80,MATCH($A21,CADASTRO!$A$4:$A$80,0)),$B21)-CONFIG!$B$50*(COUNTIF($AA21:$AG21,"AB")+COUNTIF($AA21:$AG21,"FE")+COUNTIF($AA21:$AG21,"LM")))</f>
        <v/>
      </c>
      <c r="BB21" s="117">
        <f>SUMPRODUCT(($AH21:$AM21="M")*6+($AH21:$AM21="T")*6+($AH21:$AM21="D")*12+($AH21:$AM21="N")*12+($AH21:$AM21="NT")*6+($AH21:$AM21="C")*10+($AH21:$AM21="A")*8+($AH21:$AM21="J")*5+($AH21:$AM21="CEP")*4+($AH21:$AM21="CP")*6+($AH21:$AM21="CRO")*6+($AH21:$AM21="M+")*6+($AH21:$AM21="T+")*6+($AH21:$AM21="D+")*12+($AH21:$AM21="N+")*12+($AH21:$AM21="Dm+")*12+($AH21:$AM21="Dt+")*12+($AH21:$AM21="Tm-")*6+($AH21:$AM21="Mt-")*6)+SUMPRODUCT(($AN21:$AN21="M")*6+($AN21:$AN21="T")*6+($AN21:$AN21="D")*12+($AN21:$AN21="N")*12+($AN21:$AN21="NT")*6+($AN21:$AN21="C")*10+($AN21:$AN21="A")*8+($AN21:$AN21="J")*5+($AN21:$AN21="CEP")*4+($AN21:$AN21="CP")*6+($AN21:$AN21="CRO")*6+($AN21:$AN21="M+")*6+($AN21:$AN21="T+")*6+($AN21:$AN21="D+")*12+($AN21:$AN21="N+")*12+($AN21:$AN21="Dm+")*12+($AN21:$AN21="Dt+")*12+($AN21:$AN21="Tm-")*6+($AN21:$AN21="Mt-")*6)</f>
        <v/>
      </c>
      <c r="BC21" s="118">
        <f>BB21-MAX(0,IFERROR(INDEX(CADASTRO!$I$4:$I$80,MATCH($A21,CADASTRO!$A$4:$A$80,0)),$B21)-CONFIG!$B$50*(COUNTIF($AH21:$AM21,"AB")+COUNTIF($AH21:$AM21,"FE")+COUNTIF($AH21:$AM21,"LM")+COUNTIF($AN21:$AN21,"AB")+COUNTIF($AN21:$AN21,"FE")+COUNTIF($AN21:$AN21,"LM")))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00" t="n"/>
      <c r="H22" s="100" t="n"/>
      <c r="I22" s="114" t="n"/>
      <c r="J22" s="124" t="inlineStr">
        <is>
          <t>D</t>
        </is>
      </c>
      <c r="K22" s="126" t="inlineStr">
        <is>
          <t>T</t>
        </is>
      </c>
      <c r="L22" s="124" t="inlineStr">
        <is>
          <t>D</t>
        </is>
      </c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24" t="inlineStr">
        <is>
          <t>D</t>
        </is>
      </c>
      <c r="AC22" s="114" t="n"/>
      <c r="AD22" s="126" t="inlineStr">
        <is>
          <t>T</t>
        </is>
      </c>
      <c r="AE22" s="125" t="inlineStr">
        <is>
          <t>N</t>
        </is>
      </c>
      <c r="AF22" s="114" t="n"/>
      <c r="AG22" s="114" t="n"/>
      <c r="AH22" s="114" t="n"/>
      <c r="AI22" s="124" t="inlineStr">
        <is>
          <t>D</t>
        </is>
      </c>
      <c r="AJ22" s="124" t="inlineStr">
        <is>
          <t>D</t>
        </is>
      </c>
      <c r="AK22" s="115" t="inlineStr">
        <is>
          <t>M</t>
        </is>
      </c>
      <c r="AL22" s="114" t="n"/>
      <c r="AM22" s="115" t="inlineStr">
        <is>
          <t>M</t>
        </is>
      </c>
      <c r="AN22" s="116">
        <f>IFERROR(INDEX(FEV!I$8:I$73,MATCH($A22,FEV!$A$8:$A$73,0))&amp;"","")</f>
        <v/>
      </c>
      <c r="AO22" s="100" t="n"/>
      <c r="AP22" s="100" t="n"/>
      <c r="AQ22" s="100" t="n"/>
      <c r="AR22" s="100" t="n"/>
      <c r="AS22" s="100" t="n"/>
      <c r="AT22" s="117">
        <f>SUMPRODUCT(($F22:$L22="M")*6+($F22:$L22="T")*6+($F22:$L22="D")*12+($F22:$L22="N")*12+($F22:$L22="NT")*6+($F22:$L22="C")*10+($F22:$L22="A")*8+($F22:$L22="J")*5+($F22:$L22="CEP")*4+($F22:$L22="CP")*6+($F22:$L22="CRO")*6+($F22:$L22="M+")*6+($F22:$L22="T+")*6+($F22:$L22="D+")*12+($F22:$L22="N+")*12+($F22:$L22="Dm+")*12+($F22:$L22="Dt+")*12+($F22:$L22="Tm-")*6+($F22:$L22="Mt-")*6)</f>
        <v/>
      </c>
      <c r="AU22" s="118">
        <f>AT22-MAX(0,IFERROR(INDEX(CADASTRO!$I$4:$I$80,MATCH($A22,CADASTRO!$A$4:$A$80,0)),$B22)-CONFIG!$B$50*(COUNTIF($F22:$L22,"AB")+COUNTIF($F22:$L22,"FE")+COUNTIF($F22:$L22,"LM")))</f>
        <v/>
      </c>
      <c r="AV22" s="117">
        <f>SUMPRODUCT(($M22:$S22="M")*6+($M22:$S22="T")*6+($M22:$S22="D")*12+($M22:$S22="N")*12+($M22:$S22="NT")*6+($M22:$S22="C")*10+($M22:$S22="A")*8+($M22:$S22="J")*5+($M22:$S22="CEP")*4+($M22:$S22="CP")*6+($M22:$S22="CRO")*6+($M22:$S22="M+")*6+($M22:$S22="T+")*6+($M22:$S22="D+")*12+($M22:$S22="N+")*12+($M22:$S22="Dm+")*12+($M22:$S22="Dt+")*12+($M22:$S22="Tm-")*6+($M22:$S22="Mt-")*6)</f>
        <v/>
      </c>
      <c r="AW22" s="118">
        <f>AV22-MAX(0,IFERROR(INDEX(CADASTRO!$I$4:$I$80,MATCH($A22,CADASTRO!$A$4:$A$80,0)),$B22)-CONFIG!$B$50*(COUNTIF($M22:$S22,"AB")+COUNTIF($M22:$S22,"FE")+COUNTIF($M22:$S22,"LM")))</f>
        <v/>
      </c>
      <c r="AX22" s="117">
        <f>SUMPRODUCT(($T22:$Z22="M")*6+($T22:$Z22="T")*6+($T22:$Z22="D")*12+($T22:$Z22="N")*12+($T22:$Z22="NT")*6+($T22:$Z22="C")*10+($T22:$Z22="A")*8+($T22:$Z22="J")*5+($T22:$Z22="CEP")*4+($T22:$Z22="CP")*6+($T22:$Z22="CRO")*6+($T22:$Z22="M+")*6+($T22:$Z22="T+")*6+($T22:$Z22="D+")*12+($T22:$Z22="N+")*12+($T22:$Z22="Dm+")*12+($T22:$Z22="Dt+")*12+($T22:$Z22="Tm-")*6+($T22:$Z22="Mt-")*6)</f>
        <v/>
      </c>
      <c r="AY22" s="118">
        <f>AX22-MAX(0,IFERROR(INDEX(CADASTRO!$I$4:$I$80,MATCH($A22,CADASTRO!$A$4:$A$80,0)),$B22)-CONFIG!$B$50*(COUNTIF($T22:$Z22,"AB")+COUNTIF($T22:$Z22,"FE")+COUNTIF($T22:$Z22,"LM")))</f>
        <v/>
      </c>
      <c r="AZ22" s="117">
        <f>SUMPRODUCT(($AA22:$AG22="M")*6+($AA22:$AG22="T")*6+($AA22:$AG22="D")*12+($AA22:$AG22="N")*12+($AA22:$AG22="NT")*6+($AA22:$AG22="C")*10+($AA22:$AG22="A")*8+($AA22:$AG22="J")*5+($AA22:$AG22="CEP")*4+($AA22:$AG22="CP")*6+($AA22:$AG22="CRO")*6+($AA22:$AG22="M+")*6+($AA22:$AG22="T+")*6+($AA22:$AG22="D+")*12+($AA22:$AG22="N+")*12+($AA22:$AG22="Dm+")*12+($AA22:$AG22="Dt+")*12+($AA22:$AG22="Tm-")*6+($AA22:$AG22="Mt-")*6)</f>
        <v/>
      </c>
      <c r="BA22" s="118">
        <f>AZ22-MAX(0,IFERROR(INDEX(CADASTRO!$I$4:$I$80,MATCH($A22,CADASTRO!$A$4:$A$80,0)),$B22)-CONFIG!$B$50*(COUNTIF($AA22:$AG22,"AB")+COUNTIF($AA22:$AG22,"FE")+COUNTIF($AA22:$AG22,"LM")))</f>
        <v/>
      </c>
      <c r="BB22" s="117">
        <f>SUMPRODUCT(($AH22:$AM22="M")*6+($AH22:$AM22="T")*6+($AH22:$AM22="D")*12+($AH22:$AM22="N")*12+($AH22:$AM22="NT")*6+($AH22:$AM22="C")*10+($AH22:$AM22="A")*8+($AH22:$AM22="J")*5+($AH22:$AM22="CEP")*4+($AH22:$AM22="CP")*6+($AH22:$AM22="CRO")*6+($AH22:$AM22="M+")*6+($AH22:$AM22="T+")*6+($AH22:$AM22="D+")*12+($AH22:$AM22="N+")*12+($AH22:$AM22="Dm+")*12+($AH22:$AM22="Dt+")*12+($AH22:$AM22="Tm-")*6+($AH22:$AM22="Mt-")*6)+SUMPRODUCT(($AN22:$AN22="M")*6+($AN22:$AN22="T")*6+($AN22:$AN22="D")*12+($AN22:$AN22="N")*12+($AN22:$AN22="NT")*6+($AN22:$AN22="C")*10+($AN22:$AN22="A")*8+($AN22:$AN22="J")*5+($AN22:$AN22="CEP")*4+($AN22:$AN22="CP")*6+($AN22:$AN22="CRO")*6+($AN22:$AN22="M+")*6+($AN22:$AN22="T+")*6+($AN22:$AN22="D+")*12+($AN22:$AN22="N+")*12+($AN22:$AN22="Dm+")*12+($AN22:$AN22="Dt+")*12+($AN22:$AN22="Tm-")*6+($AN22:$AN22="Mt-")*6)</f>
        <v/>
      </c>
      <c r="BC22" s="118">
        <f>BB22-MAX(0,IFERROR(INDEX(CADASTRO!$I$4:$I$80,MATCH($A22,CADASTRO!$A$4:$A$80,0)),$B22)-CONFIG!$B$50*(COUNTIF($AH22:$AM22,"AB")+COUNTIF($AH22:$AM22,"FE")+COUNTIF($AH22:$AM22,"LM")+COUNTIF($AN22:$AN22,"AB")+COUNTIF($AN22:$AN22,"FE")+COUNTIF($AN22:$AN22,"LM")))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00" t="n"/>
      <c r="H23" s="100" t="n"/>
      <c r="I23" s="114" t="n"/>
      <c r="J23" s="115" t="inlineStr">
        <is>
          <t>M</t>
        </is>
      </c>
      <c r="K23" s="114" t="n"/>
      <c r="L23" s="114" t="n"/>
      <c r="M23" s="124" t="inlineStr">
        <is>
          <t>D</t>
        </is>
      </c>
      <c r="N23" s="126" t="inlineStr">
        <is>
          <t>T</t>
        </is>
      </c>
      <c r="O23" s="114" t="n"/>
      <c r="P23" s="114" t="n"/>
      <c r="Q23" s="114" t="n"/>
      <c r="R23" s="124" t="inlineStr">
        <is>
          <t>D</t>
        </is>
      </c>
      <c r="S23" s="124" t="inlineStr">
        <is>
          <t>D</t>
        </is>
      </c>
      <c r="T23" s="126" t="inlineStr">
        <is>
          <t>T</t>
        </is>
      </c>
      <c r="U23" s="124" t="inlineStr">
        <is>
          <t>D</t>
        </is>
      </c>
      <c r="V23" s="114" t="n"/>
      <c r="W23" s="124" t="inlineStr">
        <is>
          <t>D</t>
        </is>
      </c>
      <c r="X23" s="114" t="n"/>
      <c r="Y23" s="114" t="n"/>
      <c r="Z23" s="114" t="n"/>
      <c r="AA23" s="124" t="inlineStr">
        <is>
          <t>D</t>
        </is>
      </c>
      <c r="AB23" s="124" t="inlineStr">
        <is>
          <t>D</t>
        </is>
      </c>
      <c r="AC23" s="114" t="n"/>
      <c r="AD23" s="124" t="inlineStr">
        <is>
          <t>D</t>
        </is>
      </c>
      <c r="AE23" s="114" t="n"/>
      <c r="AF23" s="114" t="n"/>
      <c r="AG23" s="114" t="n"/>
      <c r="AH23" s="124" t="inlineStr">
        <is>
          <t>D</t>
        </is>
      </c>
      <c r="AI23" s="124" t="inlineStr">
        <is>
          <t>D</t>
        </is>
      </c>
      <c r="AJ23" s="114" t="n"/>
      <c r="AK23" s="114" t="n"/>
      <c r="AL23" s="114" t="n"/>
      <c r="AM23" s="124" t="inlineStr">
        <is>
          <t>D</t>
        </is>
      </c>
      <c r="AN23" s="116">
        <f>IFERROR(INDEX(FEV!I$8:I$73,MATCH($A23,FEV!$A$8:$A$73,0))&amp;"","")</f>
        <v/>
      </c>
      <c r="AO23" s="100" t="n"/>
      <c r="AP23" s="100" t="n"/>
      <c r="AQ23" s="100" t="n"/>
      <c r="AR23" s="100" t="n"/>
      <c r="AS23" s="100" t="n"/>
      <c r="AT23" s="117">
        <f>SUMPRODUCT(($F23:$L23="M")*6+($F23:$L23="T")*6+($F23:$L23="D")*12+($F23:$L23="N")*12+($F23:$L23="NT")*6+($F23:$L23="C")*10+($F23:$L23="A")*8+($F23:$L23="J")*5+($F23:$L23="CEP")*4+($F23:$L23="CP")*6+($F23:$L23="CRO")*6+($F23:$L23="M+")*6+($F23:$L23="T+")*6+($F23:$L23="D+")*12+($F23:$L23="N+")*12+($F23:$L23="Dm+")*12+($F23:$L23="Dt+")*12+($F23:$L23="Tm-")*6+($F23:$L23="Mt-")*6)</f>
        <v/>
      </c>
      <c r="AU23" s="118">
        <f>AT23-MAX(0,IFERROR(INDEX(CADASTRO!$I$4:$I$80,MATCH($A23,CADASTRO!$A$4:$A$80,0)),$B23)-CONFIG!$B$50*(COUNTIF($F23:$L23,"AB")+COUNTIF($F23:$L23,"FE")+COUNTIF($F23:$L23,"LM")))</f>
        <v/>
      </c>
      <c r="AV23" s="117">
        <f>SUMPRODUCT(($M23:$S23="M")*6+($M23:$S23="T")*6+($M23:$S23="D")*12+($M23:$S23="N")*12+($M23:$S23="NT")*6+($M23:$S23="C")*10+($M23:$S23="A")*8+($M23:$S23="J")*5+($M23:$S23="CEP")*4+($M23:$S23="CP")*6+($M23:$S23="CRO")*6+($M23:$S23="M+")*6+($M23:$S23="T+")*6+($M23:$S23="D+")*12+($M23:$S23="N+")*12+($M23:$S23="Dm+")*12+($M23:$S23="Dt+")*12+($M23:$S23="Tm-")*6+($M23:$S23="Mt-")*6)</f>
        <v/>
      </c>
      <c r="AW23" s="118">
        <f>AV23-MAX(0,IFERROR(INDEX(CADASTRO!$I$4:$I$80,MATCH($A23,CADASTRO!$A$4:$A$80,0)),$B23)-CONFIG!$B$50*(COUNTIF($M23:$S23,"AB")+COUNTIF($M23:$S23,"FE")+COUNTIF($M23:$S23,"LM")))</f>
        <v/>
      </c>
      <c r="AX23" s="117">
        <f>SUMPRODUCT(($T23:$Z23="M")*6+($T23:$Z23="T")*6+($T23:$Z23="D")*12+($T23:$Z23="N")*12+($T23:$Z23="NT")*6+($T23:$Z23="C")*10+($T23:$Z23="A")*8+($T23:$Z23="J")*5+($T23:$Z23="CEP")*4+($T23:$Z23="CP")*6+($T23:$Z23="CRO")*6+($T23:$Z23="M+")*6+($T23:$Z23="T+")*6+($T23:$Z23="D+")*12+($T23:$Z23="N+")*12+($T23:$Z23="Dm+")*12+($T23:$Z23="Dt+")*12+($T23:$Z23="Tm-")*6+($T23:$Z23="Mt-")*6)</f>
        <v/>
      </c>
      <c r="AY23" s="118">
        <f>AX23-MAX(0,IFERROR(INDEX(CADASTRO!$I$4:$I$80,MATCH($A23,CADASTRO!$A$4:$A$80,0)),$B23)-CONFIG!$B$50*(COUNTIF($T23:$Z23,"AB")+COUNTIF($T23:$Z23,"FE")+COUNTIF($T23:$Z23,"LM")))</f>
        <v/>
      </c>
      <c r="AZ23" s="117">
        <f>SUMPRODUCT(($AA23:$AG23="M")*6+($AA23:$AG23="T")*6+($AA23:$AG23="D")*12+($AA23:$AG23="N")*12+($AA23:$AG23="NT")*6+($AA23:$AG23="C")*10+($AA23:$AG23="A")*8+($AA23:$AG23="J")*5+($AA23:$AG23="CEP")*4+($AA23:$AG23="CP")*6+($AA23:$AG23="CRO")*6+($AA23:$AG23="M+")*6+($AA23:$AG23="T+")*6+($AA23:$AG23="D+")*12+($AA23:$AG23="N+")*12+($AA23:$AG23="Dm+")*12+($AA23:$AG23="Dt+")*12+($AA23:$AG23="Tm-")*6+($AA23:$AG23="Mt-")*6)</f>
        <v/>
      </c>
      <c r="BA23" s="118">
        <f>AZ23-MAX(0,IFERROR(INDEX(CADASTRO!$I$4:$I$80,MATCH($A23,CADASTRO!$A$4:$A$80,0)),$B23)-CONFIG!$B$50*(COUNTIF($AA23:$AG23,"AB")+COUNTIF($AA23:$AG23,"FE")+COUNTIF($AA23:$AG23,"LM")))</f>
        <v/>
      </c>
      <c r="BB23" s="117">
        <f>SUMPRODUCT(($AH23:$AM23="M")*6+($AH23:$AM23="T")*6+($AH23:$AM23="D")*12+($AH23:$AM23="N")*12+($AH23:$AM23="NT")*6+($AH23:$AM23="C")*10+($AH23:$AM23="A")*8+($AH23:$AM23="J")*5+($AH23:$AM23="CEP")*4+($AH23:$AM23="CP")*6+($AH23:$AM23="CRO")*6+($AH23:$AM23="M+")*6+($AH23:$AM23="T+")*6+($AH23:$AM23="D+")*12+($AH23:$AM23="N+")*12+($AH23:$AM23="Dm+")*12+($AH23:$AM23="Dt+")*12+($AH23:$AM23="Tm-")*6+($AH23:$AM23="Mt-")*6)+SUMPRODUCT(($AN23:$AN23="M")*6+($AN23:$AN23="T")*6+($AN23:$AN23="D")*12+($AN23:$AN23="N")*12+($AN23:$AN23="NT")*6+($AN23:$AN23="C")*10+($AN23:$AN23="A")*8+($AN23:$AN23="J")*5+($AN23:$AN23="CEP")*4+($AN23:$AN23="CP")*6+($AN23:$AN23="CRO")*6+($AN23:$AN23="M+")*6+($AN23:$AN23="T+")*6+($AN23:$AN23="D+")*12+($AN23:$AN23="N+")*12+($AN23:$AN23="Dm+")*12+($AN23:$AN23="Dt+")*12+($AN23:$AN23="Tm-")*6+($AN23:$AN23="Mt-")*6)</f>
        <v/>
      </c>
      <c r="BC23" s="118">
        <f>BB23-MAX(0,IFERROR(INDEX(CADASTRO!$I$4:$I$80,MATCH($A23,CADASTRO!$A$4:$A$80,0)),$B23)-CONFIG!$B$50*(COUNTIF($AH23:$AM23,"AB")+COUNTIF($AH23:$AM23,"FE")+COUNTIF($AH23:$AM23,"LM")+COUNTIF($AN23:$AN23,"AB")+COUNTIF($AN23:$AN23,"FE")+COUNTIF($AN23:$AN23,"LM")))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00" t="n"/>
      <c r="H24" s="100" t="n"/>
      <c r="I24" s="114" t="n"/>
      <c r="J24" s="114" t="n"/>
      <c r="K24" s="124" t="inlineStr">
        <is>
          <t>D</t>
        </is>
      </c>
      <c r="L24" s="114" t="n"/>
      <c r="M24" s="124" t="inlineStr">
        <is>
          <t>D</t>
        </is>
      </c>
      <c r="N24" s="114" t="n"/>
      <c r="O24" s="125" t="inlineStr">
        <is>
          <t>N</t>
        </is>
      </c>
      <c r="P24" s="114" t="n"/>
      <c r="Q24" s="114" t="n"/>
      <c r="R24" s="125" t="inlineStr">
        <is>
          <t>N</t>
        </is>
      </c>
      <c r="S24" s="114" t="n"/>
      <c r="T24" s="115" t="inlineStr">
        <is>
          <t>M</t>
        </is>
      </c>
      <c r="U24" s="124" t="inlineStr">
        <is>
          <t>D</t>
        </is>
      </c>
      <c r="V24" s="115" t="inlineStr">
        <is>
          <t>M</t>
        </is>
      </c>
      <c r="W24" s="114" t="n"/>
      <c r="X24" s="125" t="inlineStr">
        <is>
          <t>N</t>
        </is>
      </c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4" t="n"/>
      <c r="AJ24" s="114" t="n"/>
      <c r="AK24" s="114" t="n"/>
      <c r="AL24" s="114" t="n"/>
      <c r="AM24" s="114" t="n"/>
      <c r="AN24" s="116">
        <f>IFERROR(INDEX(FEV!I$8:I$73,MATCH($A24,FEV!$A$8:$A$73,0))&amp;"","")</f>
        <v/>
      </c>
      <c r="AO24" s="100" t="n"/>
      <c r="AP24" s="100" t="n"/>
      <c r="AQ24" s="100" t="n"/>
      <c r="AR24" s="100" t="n"/>
      <c r="AS24" s="100" t="n"/>
      <c r="AT24" s="117">
        <f>SUMPRODUCT(($F24:$L24="M")*6+($F24:$L24="T")*6+($F24:$L24="D")*12+($F24:$L24="N")*12+($F24:$L24="NT")*6+($F24:$L24="C")*10+($F24:$L24="A")*8+($F24:$L24="J")*5+($F24:$L24="CEP")*4+($F24:$L24="CP")*6+($F24:$L24="CRO")*6+($F24:$L24="M+")*6+($F24:$L24="T+")*6+($F24:$L24="D+")*12+($F24:$L24="N+")*12+($F24:$L24="Dm+")*12+($F24:$L24="Dt+")*12+($F24:$L24="Tm-")*6+($F24:$L24="Mt-")*6)</f>
        <v/>
      </c>
      <c r="AU24" s="118">
        <f>AT24-MAX(0,IFERROR(INDEX(CADASTRO!$I$4:$I$80,MATCH($A24,CADASTRO!$A$4:$A$80,0)),$B24)-CONFIG!$B$50*(COUNTIF($F24:$L24,"AB")+COUNTIF($F24:$L24,"FE")+COUNTIF($F24:$L24,"LM")))</f>
        <v/>
      </c>
      <c r="AV24" s="117">
        <f>SUMPRODUCT(($M24:$S24="M")*6+($M24:$S24="T")*6+($M24:$S24="D")*12+($M24:$S24="N")*12+($M24:$S24="NT")*6+($M24:$S24="C")*10+($M24:$S24="A")*8+($M24:$S24="J")*5+($M24:$S24="CEP")*4+($M24:$S24="CP")*6+($M24:$S24="CRO")*6+($M24:$S24="M+")*6+($M24:$S24="T+")*6+($M24:$S24="D+")*12+($M24:$S24="N+")*12+($M24:$S24="Dm+")*12+($M24:$S24="Dt+")*12+($M24:$S24="Tm-")*6+($M24:$S24="Mt-")*6)</f>
        <v/>
      </c>
      <c r="AW24" s="118">
        <f>AV24-MAX(0,IFERROR(INDEX(CADASTRO!$I$4:$I$80,MATCH($A24,CADASTRO!$A$4:$A$80,0)),$B24)-CONFIG!$B$50*(COUNTIF($M24:$S24,"AB")+COUNTIF($M24:$S24,"FE")+COUNTIF($M24:$S24,"LM")))</f>
        <v/>
      </c>
      <c r="AX24" s="117">
        <f>SUMPRODUCT(($T24:$Z24="M")*6+($T24:$Z24="T")*6+($T24:$Z24="D")*12+($T24:$Z24="N")*12+($T24:$Z24="NT")*6+($T24:$Z24="C")*10+($T24:$Z24="A")*8+($T24:$Z24="J")*5+($T24:$Z24="CEP")*4+($T24:$Z24="CP")*6+($T24:$Z24="CRO")*6+($T24:$Z24="M+")*6+($T24:$Z24="T+")*6+($T24:$Z24="D+")*12+($T24:$Z24="N+")*12+($T24:$Z24="Dm+")*12+($T24:$Z24="Dt+")*12+($T24:$Z24="Tm-")*6+($T24:$Z24="Mt-")*6)</f>
        <v/>
      </c>
      <c r="AY24" s="118">
        <f>AX24-MAX(0,IFERROR(INDEX(CADASTRO!$I$4:$I$80,MATCH($A24,CADASTRO!$A$4:$A$80,0)),$B24)-CONFIG!$B$50*(COUNTIF($T24:$Z24,"AB")+COUNTIF($T24:$Z24,"FE")+COUNTIF($T24:$Z24,"LM")))</f>
        <v/>
      </c>
      <c r="AZ24" s="117">
        <f>SUMPRODUCT(($AA24:$AG24="M")*6+($AA24:$AG24="T")*6+($AA24:$AG24="D")*12+($AA24:$AG24="N")*12+($AA24:$AG24="NT")*6+($AA24:$AG24="C")*10+($AA24:$AG24="A")*8+($AA24:$AG24="J")*5+($AA24:$AG24="CEP")*4+($AA24:$AG24="CP")*6+($AA24:$AG24="CRO")*6+($AA24:$AG24="M+")*6+($AA24:$AG24="T+")*6+($AA24:$AG24="D+")*12+($AA24:$AG24="N+")*12+($AA24:$AG24="Dm+")*12+($AA24:$AG24="Dt+")*12+($AA24:$AG24="Tm-")*6+($AA24:$AG24="Mt-")*6)</f>
        <v/>
      </c>
      <c r="BA24" s="118">
        <f>AZ24-MAX(0,IFERROR(INDEX(CADASTRO!$I$4:$I$80,MATCH($A24,CADASTRO!$A$4:$A$80,0)),$B24)-CONFIG!$B$50*(COUNTIF($AA24:$AG24,"AB")+COUNTIF($AA24:$AG24,"FE")+COUNTIF($AA24:$AG24,"LM")))</f>
        <v/>
      </c>
      <c r="BB24" s="117">
        <f>SUMPRODUCT(($AH24:$AM24="M")*6+($AH24:$AM24="T")*6+($AH24:$AM24="D")*12+($AH24:$AM24="N")*12+($AH24:$AM24="NT")*6+($AH24:$AM24="C")*10+($AH24:$AM24="A")*8+($AH24:$AM24="J")*5+($AH24:$AM24="CEP")*4+($AH24:$AM24="CP")*6+($AH24:$AM24="CRO")*6+($AH24:$AM24="M+")*6+($AH24:$AM24="T+")*6+($AH24:$AM24="D+")*12+($AH24:$AM24="N+")*12+($AH24:$AM24="Dm+")*12+($AH24:$AM24="Dt+")*12+($AH24:$AM24="Tm-")*6+($AH24:$AM24="Mt-")*6)+SUMPRODUCT(($AN24:$AN24="M")*6+($AN24:$AN24="T")*6+($AN24:$AN24="D")*12+($AN24:$AN24="N")*12+($AN24:$AN24="NT")*6+($AN24:$AN24="C")*10+($AN24:$AN24="A")*8+($AN24:$AN24="J")*5+($AN24:$AN24="CEP")*4+($AN24:$AN24="CP")*6+($AN24:$AN24="CRO")*6+($AN24:$AN24="M+")*6+($AN24:$AN24="T+")*6+($AN24:$AN24="D+")*12+($AN24:$AN24="N+")*12+($AN24:$AN24="Dm+")*12+($AN24:$AN24="Dt+")*12+($AN24:$AN24="Tm-")*6+($AN24:$AN24="Mt-")*6)</f>
        <v/>
      </c>
      <c r="BC24" s="118">
        <f>BB24-MAX(0,IFERROR(INDEX(CADASTRO!$I$4:$I$80,MATCH($A24,CADASTRO!$A$4:$A$80,0)),$B24)-CONFIG!$B$50*(COUNTIF($AH24:$AM24,"AB")+COUNTIF($AH24:$AM24,"FE")+COUNTIF($AH24:$AM24,"LM")+COUNTIF($AN24:$AN24,"AB")+COUNTIF($AN24:$AN24,"FE")+COUNTIF($AN24:$AN24,"LM")))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00" t="n"/>
      <c r="H25" s="100" t="n"/>
      <c r="I25" s="114" t="n"/>
      <c r="J25" s="114" t="n"/>
      <c r="K25" s="114" t="n"/>
      <c r="L25" s="125" t="inlineStr">
        <is>
          <t>N</t>
        </is>
      </c>
      <c r="M25" s="114" t="n"/>
      <c r="N25" s="125" t="inlineStr">
        <is>
          <t>N</t>
        </is>
      </c>
      <c r="O25" s="125" t="inlineStr">
        <is>
          <t>N</t>
        </is>
      </c>
      <c r="P25" s="114" t="n"/>
      <c r="Q25" s="114" t="n"/>
      <c r="R25" s="114" t="n"/>
      <c r="S25" s="125" t="inlineStr">
        <is>
          <t>N</t>
        </is>
      </c>
      <c r="T25" s="114" t="n"/>
      <c r="U25" s="125" t="inlineStr">
        <is>
          <t>N</t>
        </is>
      </c>
      <c r="V25" s="125" t="inlineStr">
        <is>
          <t>N</t>
        </is>
      </c>
      <c r="W25" s="114" t="n"/>
      <c r="X25" s="114" t="n"/>
      <c r="Y25" s="114" t="n"/>
      <c r="Z25" s="125" t="inlineStr">
        <is>
          <t>N</t>
        </is>
      </c>
      <c r="AA25" s="125" t="inlineStr">
        <is>
          <t>N</t>
        </is>
      </c>
      <c r="AB25" s="125" t="inlineStr">
        <is>
          <t>N</t>
        </is>
      </c>
      <c r="AC25" s="125" t="inlineStr">
        <is>
          <t>N</t>
        </is>
      </c>
      <c r="AD25" s="114" t="n"/>
      <c r="AE25" s="114" t="n"/>
      <c r="AF25" s="114" t="n"/>
      <c r="AG25" s="114" t="n"/>
      <c r="AH25" s="125" t="inlineStr">
        <is>
          <t>N</t>
        </is>
      </c>
      <c r="AI25" s="125" t="inlineStr">
        <is>
          <t>N</t>
        </is>
      </c>
      <c r="AJ25" s="125" t="inlineStr">
        <is>
          <t>N</t>
        </is>
      </c>
      <c r="AK25" s="114" t="n"/>
      <c r="AL25" s="114" t="n"/>
      <c r="AM25" s="114" t="n"/>
      <c r="AN25" s="116">
        <f>IFERROR(INDEX(FEV!I$8:I$73,MATCH($A25,FEV!$A$8:$A$73,0))&amp;"","")</f>
        <v/>
      </c>
      <c r="AO25" s="100" t="n"/>
      <c r="AP25" s="100" t="n"/>
      <c r="AQ25" s="100" t="n"/>
      <c r="AR25" s="100" t="n"/>
      <c r="AS25" s="100" t="n"/>
      <c r="AT25" s="117">
        <f>SUMPRODUCT(($F25:$L25="M")*6+($F25:$L25="T")*6+($F25:$L25="D")*12+($F25:$L25="N")*12+($F25:$L25="NT")*6+($F25:$L25="C")*10+($F25:$L25="A")*8+($F25:$L25="J")*5+($F25:$L25="CEP")*4+($F25:$L25="CP")*6+($F25:$L25="CRO")*6+($F25:$L25="M+")*6+($F25:$L25="T+")*6+($F25:$L25="D+")*12+($F25:$L25="N+")*12+($F25:$L25="Dm+")*12+($F25:$L25="Dt+")*12+($F25:$L25="Tm-")*6+($F25:$L25="Mt-")*6)</f>
        <v/>
      </c>
      <c r="AU25" s="118">
        <f>AT25-MAX(0,IFERROR(INDEX(CADASTRO!$I$4:$I$80,MATCH($A25,CADASTRO!$A$4:$A$80,0)),$B25)-CONFIG!$B$50*(COUNTIF($F25:$L25,"AB")+COUNTIF($F25:$L25,"FE")+COUNTIF($F25:$L25,"LM")))</f>
        <v/>
      </c>
      <c r="AV25" s="117">
        <f>SUMPRODUCT(($M25:$S25="M")*6+($M25:$S25="T")*6+($M25:$S25="D")*12+($M25:$S25="N")*12+($M25:$S25="NT")*6+($M25:$S25="C")*10+($M25:$S25="A")*8+($M25:$S25="J")*5+($M25:$S25="CEP")*4+($M25:$S25="CP")*6+($M25:$S25="CRO")*6+($M25:$S25="M+")*6+($M25:$S25="T+")*6+($M25:$S25="D+")*12+($M25:$S25="N+")*12+($M25:$S25="Dm+")*12+($M25:$S25="Dt+")*12+($M25:$S25="Tm-")*6+($M25:$S25="Mt-")*6)</f>
        <v/>
      </c>
      <c r="AW25" s="118">
        <f>AV25-MAX(0,IFERROR(INDEX(CADASTRO!$I$4:$I$80,MATCH($A25,CADASTRO!$A$4:$A$80,0)),$B25)-CONFIG!$B$50*(COUNTIF($M25:$S25,"AB")+COUNTIF($M25:$S25,"FE")+COUNTIF($M25:$S25,"LM")))</f>
        <v/>
      </c>
      <c r="AX25" s="117">
        <f>SUMPRODUCT(($T25:$Z25="M")*6+($T25:$Z25="T")*6+($T25:$Z25="D")*12+($T25:$Z25="N")*12+($T25:$Z25="NT")*6+($T25:$Z25="C")*10+($T25:$Z25="A")*8+($T25:$Z25="J")*5+($T25:$Z25="CEP")*4+($T25:$Z25="CP")*6+($T25:$Z25="CRO")*6+($T25:$Z25="M+")*6+($T25:$Z25="T+")*6+($T25:$Z25="D+")*12+($T25:$Z25="N+")*12+($T25:$Z25="Dm+")*12+($T25:$Z25="Dt+")*12+($T25:$Z25="Tm-")*6+($T25:$Z25="Mt-")*6)</f>
        <v/>
      </c>
      <c r="AY25" s="118">
        <f>AX25-MAX(0,IFERROR(INDEX(CADASTRO!$I$4:$I$80,MATCH($A25,CADASTRO!$A$4:$A$80,0)),$B25)-CONFIG!$B$50*(COUNTIF($T25:$Z25,"AB")+COUNTIF($T25:$Z25,"FE")+COUNTIF($T25:$Z25,"LM")))</f>
        <v/>
      </c>
      <c r="AZ25" s="117">
        <f>SUMPRODUCT(($AA25:$AG25="M")*6+($AA25:$AG25="T")*6+($AA25:$AG25="D")*12+($AA25:$AG25="N")*12+($AA25:$AG25="NT")*6+($AA25:$AG25="C")*10+($AA25:$AG25="A")*8+($AA25:$AG25="J")*5+($AA25:$AG25="CEP")*4+($AA25:$AG25="CP")*6+($AA25:$AG25="CRO")*6+($AA25:$AG25="M+")*6+($AA25:$AG25="T+")*6+($AA25:$AG25="D+")*12+($AA25:$AG25="N+")*12+($AA25:$AG25="Dm+")*12+($AA25:$AG25="Dt+")*12+($AA25:$AG25="Tm-")*6+($AA25:$AG25="Mt-")*6)</f>
        <v/>
      </c>
      <c r="BA25" s="118">
        <f>AZ25-MAX(0,IFERROR(INDEX(CADASTRO!$I$4:$I$80,MATCH($A25,CADASTRO!$A$4:$A$80,0)),$B25)-CONFIG!$B$50*(COUNTIF($AA25:$AG25,"AB")+COUNTIF($AA25:$AG25,"FE")+COUNTIF($AA25:$AG25,"LM")))</f>
        <v/>
      </c>
      <c r="BB25" s="117">
        <f>SUMPRODUCT(($AH25:$AM25="M")*6+($AH25:$AM25="T")*6+($AH25:$AM25="D")*12+($AH25:$AM25="N")*12+($AH25:$AM25="NT")*6+($AH25:$AM25="C")*10+($AH25:$AM25="A")*8+($AH25:$AM25="J")*5+($AH25:$AM25="CEP")*4+($AH25:$AM25="CP")*6+($AH25:$AM25="CRO")*6+($AH25:$AM25="M+")*6+($AH25:$AM25="T+")*6+($AH25:$AM25="D+")*12+($AH25:$AM25="N+")*12+($AH25:$AM25="Dm+")*12+($AH25:$AM25="Dt+")*12+($AH25:$AM25="Tm-")*6+($AH25:$AM25="Mt-")*6)+SUMPRODUCT(($AN25:$AN25="M")*6+($AN25:$AN25="T")*6+($AN25:$AN25="D")*12+($AN25:$AN25="N")*12+($AN25:$AN25="NT")*6+($AN25:$AN25="C")*10+($AN25:$AN25="A")*8+($AN25:$AN25="J")*5+($AN25:$AN25="CEP")*4+($AN25:$AN25="CP")*6+($AN25:$AN25="CRO")*6+($AN25:$AN25="M+")*6+($AN25:$AN25="T+")*6+($AN25:$AN25="D+")*12+($AN25:$AN25="N+")*12+($AN25:$AN25="Dm+")*12+($AN25:$AN25="Dt+")*12+($AN25:$AN25="Tm-")*6+($AN25:$AN25="Mt-")*6)</f>
        <v/>
      </c>
      <c r="BC25" s="118">
        <f>BB25-MAX(0,IFERROR(INDEX(CADASTRO!$I$4:$I$80,MATCH($A25,CADASTRO!$A$4:$A$80,0)),$B25)-CONFIG!$B$50*(COUNTIF($AH25:$AM25,"AB")+COUNTIF($AH25:$AM25,"FE")+COUNTIF($AH25:$AM25,"LM")+COUNTIF($AN25:$AN25,"AB")+COUNTIF($AN25:$AN25,"FE")+COUNTIF($AN25:$AN25,"LM")))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00" t="n"/>
      <c r="H26" s="100" t="n"/>
      <c r="I26" s="114" t="n"/>
      <c r="J26" s="124" t="inlineStr">
        <is>
          <t>D</t>
        </is>
      </c>
      <c r="K26" s="115" t="inlineStr">
        <is>
          <t>M</t>
        </is>
      </c>
      <c r="L26" s="114" t="n"/>
      <c r="M26" s="115" t="inlineStr">
        <is>
          <t>M</t>
        </is>
      </c>
      <c r="N26" s="125" t="inlineStr">
        <is>
          <t>N</t>
        </is>
      </c>
      <c r="O26" s="126" t="inlineStr">
        <is>
          <t>T</t>
        </is>
      </c>
      <c r="P26" s="124" t="inlineStr">
        <is>
          <t>D</t>
        </is>
      </c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  <c r="AB26" s="114" t="n"/>
      <c r="AC26" s="114" t="n"/>
      <c r="AD26" s="114" t="n"/>
      <c r="AE26" s="114" t="n"/>
      <c r="AF26" s="114" t="n"/>
      <c r="AG26" s="114" t="n"/>
      <c r="AH26" s="114" t="n"/>
      <c r="AI26" s="114" t="n"/>
      <c r="AJ26" s="114" t="n"/>
      <c r="AK26" s="114" t="n"/>
      <c r="AL26" s="124" t="inlineStr">
        <is>
          <t>D</t>
        </is>
      </c>
      <c r="AM26" s="115" t="inlineStr">
        <is>
          <t>M</t>
        </is>
      </c>
      <c r="AN26" s="116">
        <f>IFERROR(INDEX(FEV!I$8:I$73,MATCH($A26,FEV!$A$8:$A$73,0))&amp;"","")</f>
        <v/>
      </c>
      <c r="AO26" s="100" t="n"/>
      <c r="AP26" s="100" t="n"/>
      <c r="AQ26" s="100" t="n"/>
      <c r="AR26" s="100" t="n"/>
      <c r="AS26" s="100" t="n"/>
      <c r="AT26" s="117">
        <f>SUMPRODUCT(($F26:$L26="M")*6+($F26:$L26="T")*6+($F26:$L26="D")*12+($F26:$L26="N")*12+($F26:$L26="NT")*6+($F26:$L26="C")*10+($F26:$L26="A")*8+($F26:$L26="J")*5+($F26:$L26="CEP")*4+($F26:$L26="CP")*6+($F26:$L26="CRO")*6+($F26:$L26="M+")*6+($F26:$L26="T+")*6+($F26:$L26="D+")*12+($F26:$L26="N+")*12+($F26:$L26="Dm+")*12+($F26:$L26="Dt+")*12+($F26:$L26="Tm-")*6+($F26:$L26="Mt-")*6)</f>
        <v/>
      </c>
      <c r="AU26" s="118">
        <f>AT26-MAX(0,IFERROR(INDEX(CADASTRO!$I$4:$I$80,MATCH($A26,CADASTRO!$A$4:$A$80,0)),$B26)-CONFIG!$B$50*(COUNTIF($F26:$L26,"AB")+COUNTIF($F26:$L26,"FE")+COUNTIF($F26:$L26,"LM")))</f>
        <v/>
      </c>
      <c r="AV26" s="117">
        <f>SUMPRODUCT(($M26:$S26="M")*6+($M26:$S26="T")*6+($M26:$S26="D")*12+($M26:$S26="N")*12+($M26:$S26="NT")*6+($M26:$S26="C")*10+($M26:$S26="A")*8+($M26:$S26="J")*5+($M26:$S26="CEP")*4+($M26:$S26="CP")*6+($M26:$S26="CRO")*6+($M26:$S26="M+")*6+($M26:$S26="T+")*6+($M26:$S26="D+")*12+($M26:$S26="N+")*12+($M26:$S26="Dm+")*12+($M26:$S26="Dt+")*12+($M26:$S26="Tm-")*6+($M26:$S26="Mt-")*6)</f>
        <v/>
      </c>
      <c r="AW26" s="118">
        <f>AV26-MAX(0,IFERROR(INDEX(CADASTRO!$I$4:$I$80,MATCH($A26,CADASTRO!$A$4:$A$80,0)),$B26)-CONFIG!$B$50*(COUNTIF($M26:$S26,"AB")+COUNTIF($M26:$S26,"FE")+COUNTIF($M26:$S26,"LM")))</f>
        <v/>
      </c>
      <c r="AX26" s="117">
        <f>SUMPRODUCT(($T26:$Z26="M")*6+($T26:$Z26="T")*6+($T26:$Z26="D")*12+($T26:$Z26="N")*12+($T26:$Z26="NT")*6+($T26:$Z26="C")*10+($T26:$Z26="A")*8+($T26:$Z26="J")*5+($T26:$Z26="CEP")*4+($T26:$Z26="CP")*6+($T26:$Z26="CRO")*6+($T26:$Z26="M+")*6+($T26:$Z26="T+")*6+($T26:$Z26="D+")*12+($T26:$Z26="N+")*12+($T26:$Z26="Dm+")*12+($T26:$Z26="Dt+")*12+($T26:$Z26="Tm-")*6+($T26:$Z26="Mt-")*6)</f>
        <v/>
      </c>
      <c r="AY26" s="118">
        <f>AX26-MAX(0,IFERROR(INDEX(CADASTRO!$I$4:$I$80,MATCH($A26,CADASTRO!$A$4:$A$80,0)),$B26)-CONFIG!$B$50*(COUNTIF($T26:$Z26,"AB")+COUNTIF($T26:$Z26,"FE")+COUNTIF($T26:$Z26,"LM")))</f>
        <v/>
      </c>
      <c r="AZ26" s="117">
        <f>SUMPRODUCT(($AA26:$AG26="M")*6+($AA26:$AG26="T")*6+($AA26:$AG26="D")*12+($AA26:$AG26="N")*12+($AA26:$AG26="NT")*6+($AA26:$AG26="C")*10+($AA26:$AG26="A")*8+($AA26:$AG26="J")*5+($AA26:$AG26="CEP")*4+($AA26:$AG26="CP")*6+($AA26:$AG26="CRO")*6+($AA26:$AG26="M+")*6+($AA26:$AG26="T+")*6+($AA26:$AG26="D+")*12+($AA26:$AG26="N+")*12+($AA26:$AG26="Dm+")*12+($AA26:$AG26="Dt+")*12+($AA26:$AG26="Tm-")*6+($AA26:$AG26="Mt-")*6)</f>
        <v/>
      </c>
      <c r="BA26" s="118">
        <f>AZ26-MAX(0,IFERROR(INDEX(CADASTRO!$I$4:$I$80,MATCH($A26,CADASTRO!$A$4:$A$80,0)),$B26)-CONFIG!$B$50*(COUNTIF($AA26:$AG26,"AB")+COUNTIF($AA26:$AG26,"FE")+COUNTIF($AA26:$AG26,"LM")))</f>
        <v/>
      </c>
      <c r="BB26" s="117">
        <f>SUMPRODUCT(($AH26:$AM26="M")*6+($AH26:$AM26="T")*6+($AH26:$AM26="D")*12+($AH26:$AM26="N")*12+($AH26:$AM26="NT")*6+($AH26:$AM26="C")*10+($AH26:$AM26="A")*8+($AH26:$AM26="J")*5+($AH26:$AM26="CEP")*4+($AH26:$AM26="CP")*6+($AH26:$AM26="CRO")*6+($AH26:$AM26="M+")*6+($AH26:$AM26="T+")*6+($AH26:$AM26="D+")*12+($AH26:$AM26="N+")*12+($AH26:$AM26="Dm+")*12+($AH26:$AM26="Dt+")*12+($AH26:$AM26="Tm-")*6+($AH26:$AM26="Mt-")*6)+SUMPRODUCT(($AN26:$AN26="M")*6+($AN26:$AN26="T")*6+($AN26:$AN26="D")*12+($AN26:$AN26="N")*12+($AN26:$AN26="NT")*6+($AN26:$AN26="C")*10+($AN26:$AN26="A")*8+($AN26:$AN26="J")*5+($AN26:$AN26="CEP")*4+($AN26:$AN26="CP")*6+($AN26:$AN26="CRO")*6+($AN26:$AN26="M+")*6+($AN26:$AN26="T+")*6+($AN26:$AN26="D+")*12+($AN26:$AN26="N+")*12+($AN26:$AN26="Dm+")*12+($AN26:$AN26="Dt+")*12+($AN26:$AN26="Tm-")*6+($AN26:$AN26="Mt-")*6)</f>
        <v/>
      </c>
      <c r="BC26" s="118">
        <f>BB26-MAX(0,IFERROR(INDEX(CADASTRO!$I$4:$I$80,MATCH($A26,CADASTRO!$A$4:$A$80,0)),$B26)-CONFIG!$B$50*(COUNTIF($AH26:$AM26,"AB")+COUNTIF($AH26:$AM26,"FE")+COUNTIF($AH26:$AM26,"LM")+COUNTIF($AN26:$AN26,"AB")+COUNTIF($AN26:$AN26,"FE")+COUNTIF($AN26:$AN26,"LM")))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00" t="n"/>
      <c r="H27" s="100" t="n"/>
      <c r="I27" s="114" t="n"/>
      <c r="J27" s="114" t="n"/>
      <c r="K27" s="125" t="inlineStr">
        <is>
          <t>N</t>
        </is>
      </c>
      <c r="L27" s="114" t="n"/>
      <c r="M27" s="114" t="n"/>
      <c r="N27" s="125" t="inlineStr">
        <is>
          <t>N</t>
        </is>
      </c>
      <c r="O27" s="114" t="n"/>
      <c r="P27" s="125" t="inlineStr">
        <is>
          <t>N</t>
        </is>
      </c>
      <c r="Q27" s="114" t="n"/>
      <c r="R27" s="114" t="n"/>
      <c r="S27" s="114" t="n"/>
      <c r="T27" s="114" t="n"/>
      <c r="U27" s="125" t="inlineStr">
        <is>
          <t>N</t>
        </is>
      </c>
      <c r="V27" s="114" t="n"/>
      <c r="W27" s="130" t="inlineStr">
        <is>
          <t>CRO</t>
        </is>
      </c>
      <c r="X27" s="114" t="n"/>
      <c r="Y27" s="125" t="inlineStr">
        <is>
          <t>N</t>
        </is>
      </c>
      <c r="Z27" s="114" t="n"/>
      <c r="AA27" s="114" t="n"/>
      <c r="AB27" s="125" t="inlineStr">
        <is>
          <t>N</t>
        </is>
      </c>
      <c r="AC27" s="114" t="n"/>
      <c r="AD27" s="125" t="inlineStr">
        <is>
          <t>N</t>
        </is>
      </c>
      <c r="AE27" s="114" t="n"/>
      <c r="AF27" s="125" t="inlineStr">
        <is>
          <t>N</t>
        </is>
      </c>
      <c r="AG27" s="114" t="n"/>
      <c r="AH27" s="114" t="n"/>
      <c r="AI27" s="125" t="inlineStr">
        <is>
          <t>N</t>
        </is>
      </c>
      <c r="AJ27" s="130" t="inlineStr">
        <is>
          <t>CRO</t>
        </is>
      </c>
      <c r="AK27" s="125" t="inlineStr">
        <is>
          <t>N</t>
        </is>
      </c>
      <c r="AL27" s="114" t="n"/>
      <c r="AM27" s="114" t="n"/>
      <c r="AN27" s="116">
        <f>IFERROR(INDEX(FEV!I$8:I$73,MATCH($A27,FEV!$A$8:$A$73,0))&amp;"","")</f>
        <v/>
      </c>
      <c r="AO27" s="100" t="n"/>
      <c r="AP27" s="100" t="n"/>
      <c r="AQ27" s="100" t="n"/>
      <c r="AR27" s="100" t="n"/>
      <c r="AS27" s="100" t="n"/>
      <c r="AT27" s="117">
        <f>SUMPRODUCT(($F27:$L27="M")*6+($F27:$L27="T")*6+($F27:$L27="D")*12+($F27:$L27="N")*12+($F27:$L27="NT")*6+($F27:$L27="C")*10+($F27:$L27="A")*8+($F27:$L27="J")*5+($F27:$L27="CEP")*4+($F27:$L27="CP")*6+($F27:$L27="CRO")*6+($F27:$L27="M+")*6+($F27:$L27="T+")*6+($F27:$L27="D+")*12+($F27:$L27="N+")*12+($F27:$L27="Dm+")*12+($F27:$L27="Dt+")*12+($F27:$L27="Tm-")*6+($F27:$L27="Mt-")*6)</f>
        <v/>
      </c>
      <c r="AU27" s="118">
        <f>AT27-MAX(0,IFERROR(INDEX(CADASTRO!$I$4:$I$80,MATCH($A27,CADASTRO!$A$4:$A$80,0)),$B27)-CONFIG!$B$50*(COUNTIF($F27:$L27,"AB")+COUNTIF($F27:$L27,"FE")+COUNTIF($F27:$L27,"LM")))</f>
        <v/>
      </c>
      <c r="AV27" s="117">
        <f>SUMPRODUCT(($M27:$S27="M")*6+($M27:$S27="T")*6+($M27:$S27="D")*12+($M27:$S27="N")*12+($M27:$S27="NT")*6+($M27:$S27="C")*10+($M27:$S27="A")*8+($M27:$S27="J")*5+($M27:$S27="CEP")*4+($M27:$S27="CP")*6+($M27:$S27="CRO")*6+($M27:$S27="M+")*6+($M27:$S27="T+")*6+($M27:$S27="D+")*12+($M27:$S27="N+")*12+($M27:$S27="Dm+")*12+($M27:$S27="Dt+")*12+($M27:$S27="Tm-")*6+($M27:$S27="Mt-")*6)</f>
        <v/>
      </c>
      <c r="AW27" s="118">
        <f>AV27-MAX(0,IFERROR(INDEX(CADASTRO!$I$4:$I$80,MATCH($A27,CADASTRO!$A$4:$A$80,0)),$B27)-CONFIG!$B$50*(COUNTIF($M27:$S27,"AB")+COUNTIF($M27:$S27,"FE")+COUNTIF($M27:$S27,"LM")))</f>
        <v/>
      </c>
      <c r="AX27" s="117">
        <f>SUMPRODUCT(($T27:$Z27="M")*6+($T27:$Z27="T")*6+($T27:$Z27="D")*12+($T27:$Z27="N")*12+($T27:$Z27="NT")*6+($T27:$Z27="C")*10+($T27:$Z27="A")*8+($T27:$Z27="J")*5+($T27:$Z27="CEP")*4+($T27:$Z27="CP")*6+($T27:$Z27="CRO")*6+($T27:$Z27="M+")*6+($T27:$Z27="T+")*6+($T27:$Z27="D+")*12+($T27:$Z27="N+")*12+($T27:$Z27="Dm+")*12+($T27:$Z27="Dt+")*12+($T27:$Z27="Tm-")*6+($T27:$Z27="Mt-")*6)</f>
        <v/>
      </c>
      <c r="AY27" s="118">
        <f>AX27-MAX(0,IFERROR(INDEX(CADASTRO!$I$4:$I$80,MATCH($A27,CADASTRO!$A$4:$A$80,0)),$B27)-CONFIG!$B$50*(COUNTIF($T27:$Z27,"AB")+COUNTIF($T27:$Z27,"FE")+COUNTIF($T27:$Z27,"LM")))</f>
        <v/>
      </c>
      <c r="AZ27" s="117">
        <f>SUMPRODUCT(($AA27:$AG27="M")*6+($AA27:$AG27="T")*6+($AA27:$AG27="D")*12+($AA27:$AG27="N")*12+($AA27:$AG27="NT")*6+($AA27:$AG27="C")*10+($AA27:$AG27="A")*8+($AA27:$AG27="J")*5+($AA27:$AG27="CEP")*4+($AA27:$AG27="CP")*6+($AA27:$AG27="CRO")*6+($AA27:$AG27="M+")*6+($AA27:$AG27="T+")*6+($AA27:$AG27="D+")*12+($AA27:$AG27="N+")*12+($AA27:$AG27="Dm+")*12+($AA27:$AG27="Dt+")*12+($AA27:$AG27="Tm-")*6+($AA27:$AG27="Mt-")*6)</f>
        <v/>
      </c>
      <c r="BA27" s="118">
        <f>AZ27-MAX(0,IFERROR(INDEX(CADASTRO!$I$4:$I$80,MATCH($A27,CADASTRO!$A$4:$A$80,0)),$B27)-CONFIG!$B$50*(COUNTIF($AA27:$AG27,"AB")+COUNTIF($AA27:$AG27,"FE")+COUNTIF($AA27:$AG27,"LM")))</f>
        <v/>
      </c>
      <c r="BB27" s="117">
        <f>SUMPRODUCT(($AH27:$AM27="M")*6+($AH27:$AM27="T")*6+($AH27:$AM27="D")*12+($AH27:$AM27="N")*12+($AH27:$AM27="NT")*6+($AH27:$AM27="C")*10+($AH27:$AM27="A")*8+($AH27:$AM27="J")*5+($AH27:$AM27="CEP")*4+($AH27:$AM27="CP")*6+($AH27:$AM27="CRO")*6+($AH27:$AM27="M+")*6+($AH27:$AM27="T+")*6+($AH27:$AM27="D+")*12+($AH27:$AM27="N+")*12+($AH27:$AM27="Dm+")*12+($AH27:$AM27="Dt+")*12+($AH27:$AM27="Tm-")*6+($AH27:$AM27="Mt-")*6)+SUMPRODUCT(($AN27:$AN27="M")*6+($AN27:$AN27="T")*6+($AN27:$AN27="D")*12+($AN27:$AN27="N")*12+($AN27:$AN27="NT")*6+($AN27:$AN27="C")*10+($AN27:$AN27="A")*8+($AN27:$AN27="J")*5+($AN27:$AN27="CEP")*4+($AN27:$AN27="CP")*6+($AN27:$AN27="CRO")*6+($AN27:$AN27="M+")*6+($AN27:$AN27="T+")*6+($AN27:$AN27="D+")*12+($AN27:$AN27="N+")*12+($AN27:$AN27="Dm+")*12+($AN27:$AN27="Dt+")*12+($AN27:$AN27="Tm-")*6+($AN27:$AN27="Mt-")*6)</f>
        <v/>
      </c>
      <c r="BC27" s="118">
        <f>BB27-MAX(0,IFERROR(INDEX(CADASTRO!$I$4:$I$80,MATCH($A27,CADASTRO!$A$4:$A$80,0)),$B27)-CONFIG!$B$50*(COUNTIF($AH27:$AM27,"AB")+COUNTIF($AH27:$AM27,"FE")+COUNTIF($AH27:$AM27,"LM")+COUNTIF($AN27:$AN27,"AB")+COUNTIF($AN27:$AN27,"FE")+COUNTIF($AN27:$AN27,"LM")))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00" t="n"/>
      <c r="H28" s="100" t="n"/>
      <c r="I28" s="114" t="n"/>
      <c r="J28" s="123" t="inlineStr">
        <is>
          <t>Dt+</t>
        </is>
      </c>
      <c r="K28" s="124" t="inlineStr">
        <is>
          <t>D</t>
        </is>
      </c>
      <c r="L28" s="124" t="inlineStr">
        <is>
          <t>D</t>
        </is>
      </c>
      <c r="M28" s="114" t="n"/>
      <c r="N28" s="126" t="inlineStr">
        <is>
          <t>T</t>
        </is>
      </c>
      <c r="O28" s="115" t="inlineStr">
        <is>
          <t>M</t>
        </is>
      </c>
      <c r="P28" s="124" t="inlineStr">
        <is>
          <t>D</t>
        </is>
      </c>
      <c r="Q28" s="114" t="n"/>
      <c r="R28" s="114" t="n"/>
      <c r="S28" s="115" t="inlineStr">
        <is>
          <t>M</t>
        </is>
      </c>
      <c r="T28" s="125" t="inlineStr">
        <is>
          <t>N</t>
        </is>
      </c>
      <c r="U28" s="126" t="inlineStr">
        <is>
          <t>T</t>
        </is>
      </c>
      <c r="V28" s="124" t="inlineStr">
        <is>
          <t>D</t>
        </is>
      </c>
      <c r="W28" s="114" t="n"/>
      <c r="X28" s="114" t="n"/>
      <c r="Y28" s="114" t="n"/>
      <c r="Z28" s="114" t="n"/>
      <c r="AA28" s="114" t="n"/>
      <c r="AB28" s="114" t="n"/>
      <c r="AC28" s="124" t="inlineStr">
        <is>
          <t>D</t>
        </is>
      </c>
      <c r="AD28" s="125" t="inlineStr">
        <is>
          <t>N</t>
        </is>
      </c>
      <c r="AE28" s="114" t="n"/>
      <c r="AF28" s="128" t="inlineStr">
        <is>
          <t>NT</t>
        </is>
      </c>
      <c r="AG28" s="114" t="n"/>
      <c r="AH28" s="115" t="inlineStr">
        <is>
          <t>M</t>
        </is>
      </c>
      <c r="AI28" s="114" t="n"/>
      <c r="AJ28" s="124" t="inlineStr">
        <is>
          <t>D</t>
        </is>
      </c>
      <c r="AK28" s="114" t="n"/>
      <c r="AL28" s="125" t="inlineStr">
        <is>
          <t>N</t>
        </is>
      </c>
      <c r="AM28" s="114" t="n"/>
      <c r="AN28" s="116">
        <f>IFERROR(INDEX(FEV!I$8:I$73,MATCH($A28,FEV!$A$8:$A$73,0))&amp;"","")</f>
        <v/>
      </c>
      <c r="AO28" s="100" t="n"/>
      <c r="AP28" s="100" t="n"/>
      <c r="AQ28" s="100" t="n"/>
      <c r="AR28" s="100" t="n"/>
      <c r="AS28" s="100" t="n"/>
      <c r="AT28" s="117">
        <f>SUMPRODUCT(($F28:$L28="M")*6+($F28:$L28="T")*6+($F28:$L28="D")*12+($F28:$L28="N")*12+($F28:$L28="NT")*6+($F28:$L28="C")*10+($F28:$L28="A")*8+($F28:$L28="J")*5+($F28:$L28="CEP")*4+($F28:$L28="CP")*6+($F28:$L28="CRO")*6+($F28:$L28="M+")*6+($F28:$L28="T+")*6+($F28:$L28="D+")*12+($F28:$L28="N+")*12+($F28:$L28="Dm+")*12+($F28:$L28="Dt+")*12+($F28:$L28="Tm-")*6+($F28:$L28="Mt-")*6)</f>
        <v/>
      </c>
      <c r="AU28" s="118">
        <f>AT28-MAX(0,IFERROR(INDEX(CADASTRO!$I$4:$I$80,MATCH($A28,CADASTRO!$A$4:$A$80,0)),$B28)-CONFIG!$B$50*(COUNTIF($F28:$L28,"AB")+COUNTIF($F28:$L28,"FE")+COUNTIF($F28:$L28,"LM")))</f>
        <v/>
      </c>
      <c r="AV28" s="117">
        <f>SUMPRODUCT(($M28:$S28="M")*6+($M28:$S28="T")*6+($M28:$S28="D")*12+($M28:$S28="N")*12+($M28:$S28="NT")*6+($M28:$S28="C")*10+($M28:$S28="A")*8+($M28:$S28="J")*5+($M28:$S28="CEP")*4+($M28:$S28="CP")*6+($M28:$S28="CRO")*6+($M28:$S28="M+")*6+($M28:$S28="T+")*6+($M28:$S28="D+")*12+($M28:$S28="N+")*12+($M28:$S28="Dm+")*12+($M28:$S28="Dt+")*12+($M28:$S28="Tm-")*6+($M28:$S28="Mt-")*6)</f>
        <v/>
      </c>
      <c r="AW28" s="118">
        <f>AV28-MAX(0,IFERROR(INDEX(CADASTRO!$I$4:$I$80,MATCH($A28,CADASTRO!$A$4:$A$80,0)),$B28)-CONFIG!$B$50*(COUNTIF($M28:$S28,"AB")+COUNTIF($M28:$S28,"FE")+COUNTIF($M28:$S28,"LM")))</f>
        <v/>
      </c>
      <c r="AX28" s="117">
        <f>SUMPRODUCT(($T28:$Z28="M")*6+($T28:$Z28="T")*6+($T28:$Z28="D")*12+($T28:$Z28="N")*12+($T28:$Z28="NT")*6+($T28:$Z28="C")*10+($T28:$Z28="A")*8+($T28:$Z28="J")*5+($T28:$Z28="CEP")*4+($T28:$Z28="CP")*6+($T28:$Z28="CRO")*6+($T28:$Z28="M+")*6+($T28:$Z28="T+")*6+($T28:$Z28="D+")*12+($T28:$Z28="N+")*12+($T28:$Z28="Dm+")*12+($T28:$Z28="Dt+")*12+($T28:$Z28="Tm-")*6+($T28:$Z28="Mt-")*6)</f>
        <v/>
      </c>
      <c r="AY28" s="118">
        <f>AX28-MAX(0,IFERROR(INDEX(CADASTRO!$I$4:$I$80,MATCH($A28,CADASTRO!$A$4:$A$80,0)),$B28)-CONFIG!$B$50*(COUNTIF($T28:$Z28,"AB")+COUNTIF($T28:$Z28,"FE")+COUNTIF($T28:$Z28,"LM")))</f>
        <v/>
      </c>
      <c r="AZ28" s="117">
        <f>SUMPRODUCT(($AA28:$AG28="M")*6+($AA28:$AG28="T")*6+($AA28:$AG28="D")*12+($AA28:$AG28="N")*12+($AA28:$AG28="NT")*6+($AA28:$AG28="C")*10+($AA28:$AG28="A")*8+($AA28:$AG28="J")*5+($AA28:$AG28="CEP")*4+($AA28:$AG28="CP")*6+($AA28:$AG28="CRO")*6+($AA28:$AG28="M+")*6+($AA28:$AG28="T+")*6+($AA28:$AG28="D+")*12+($AA28:$AG28="N+")*12+($AA28:$AG28="Dm+")*12+($AA28:$AG28="Dt+")*12+($AA28:$AG28="Tm-")*6+($AA28:$AG28="Mt-")*6)</f>
        <v/>
      </c>
      <c r="BA28" s="118">
        <f>AZ28-MAX(0,IFERROR(INDEX(CADASTRO!$I$4:$I$80,MATCH($A28,CADASTRO!$A$4:$A$80,0)),$B28)-CONFIG!$B$50*(COUNTIF($AA28:$AG28,"AB")+COUNTIF($AA28:$AG28,"FE")+COUNTIF($AA28:$AG28,"LM")))</f>
        <v/>
      </c>
      <c r="BB28" s="117">
        <f>SUMPRODUCT(($AH28:$AM28="M")*6+($AH28:$AM28="T")*6+($AH28:$AM28="D")*12+($AH28:$AM28="N")*12+($AH28:$AM28="NT")*6+($AH28:$AM28="C")*10+($AH28:$AM28="A")*8+($AH28:$AM28="J")*5+($AH28:$AM28="CEP")*4+($AH28:$AM28="CP")*6+($AH28:$AM28="CRO")*6+($AH28:$AM28="M+")*6+($AH28:$AM28="T+")*6+($AH28:$AM28="D+")*12+($AH28:$AM28="N+")*12+($AH28:$AM28="Dm+")*12+($AH28:$AM28="Dt+")*12+($AH28:$AM28="Tm-")*6+($AH28:$AM28="Mt-")*6)+SUMPRODUCT(($AN28:$AN28="M")*6+($AN28:$AN28="T")*6+($AN28:$AN28="D")*12+($AN28:$AN28="N")*12+($AN28:$AN28="NT")*6+($AN28:$AN28="C")*10+($AN28:$AN28="A")*8+($AN28:$AN28="J")*5+($AN28:$AN28="CEP")*4+($AN28:$AN28="CP")*6+($AN28:$AN28="CRO")*6+($AN28:$AN28="M+")*6+($AN28:$AN28="T+")*6+($AN28:$AN28="D+")*12+($AN28:$AN28="N+")*12+($AN28:$AN28="Dm+")*12+($AN28:$AN28="Dt+")*12+($AN28:$AN28="Tm-")*6+($AN28:$AN28="Mt-")*6)</f>
        <v/>
      </c>
      <c r="BC28" s="118">
        <f>BB28-MAX(0,IFERROR(INDEX(CADASTRO!$I$4:$I$80,MATCH($A28,CADASTRO!$A$4:$A$80,0)),$B28)-CONFIG!$B$50*(COUNTIF($AH28:$AM28,"AB")+COUNTIF($AH28:$AM28,"FE")+COUNTIF($AH28:$AM28,"LM")+COUNTIF($AN28:$AN28,"AB")+COUNTIF($AN28:$AN28,"FE")+COUNTIF($AN28:$AN28,"LM")))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00" t="n"/>
      <c r="H29" s="100" t="n"/>
      <c r="I29" s="114" t="n"/>
      <c r="J29" s="115" t="inlineStr">
        <is>
          <t>M</t>
        </is>
      </c>
      <c r="K29" s="115" t="inlineStr">
        <is>
          <t>M</t>
        </is>
      </c>
      <c r="L29" s="114" t="n"/>
      <c r="M29" s="125" t="inlineStr">
        <is>
          <t>N</t>
        </is>
      </c>
      <c r="N29" s="114" t="n"/>
      <c r="O29" s="115" t="inlineStr">
        <is>
          <t>M</t>
        </is>
      </c>
      <c r="P29" s="115" t="inlineStr">
        <is>
          <t>M</t>
        </is>
      </c>
      <c r="Q29" s="114" t="n"/>
      <c r="R29" s="115" t="inlineStr">
        <is>
          <t>M</t>
        </is>
      </c>
      <c r="S29" s="114" t="n"/>
      <c r="T29" s="125" t="inlineStr">
        <is>
          <t>N</t>
        </is>
      </c>
      <c r="U29" s="114" t="n"/>
      <c r="V29" s="115" t="inlineStr">
        <is>
          <t>M</t>
        </is>
      </c>
      <c r="W29" s="115" t="inlineStr">
        <is>
          <t>M</t>
        </is>
      </c>
      <c r="X29" s="114" t="n"/>
      <c r="Y29" s="115" t="inlineStr">
        <is>
          <t>M</t>
        </is>
      </c>
      <c r="Z29" s="114" t="n"/>
      <c r="AA29" s="125" t="inlineStr">
        <is>
          <t>N</t>
        </is>
      </c>
      <c r="AB29" s="114" t="n"/>
      <c r="AC29" s="115" t="inlineStr">
        <is>
          <t>M</t>
        </is>
      </c>
      <c r="AD29" s="115" t="inlineStr">
        <is>
          <t>M</t>
        </is>
      </c>
      <c r="AE29" s="114" t="n"/>
      <c r="AF29" s="115" t="inlineStr">
        <is>
          <t>M</t>
        </is>
      </c>
      <c r="AG29" s="114" t="n"/>
      <c r="AH29" s="125" t="inlineStr">
        <is>
          <t>N</t>
        </is>
      </c>
      <c r="AI29" s="114" t="n"/>
      <c r="AJ29" s="115" t="inlineStr">
        <is>
          <t>M</t>
        </is>
      </c>
      <c r="AK29" s="115" t="inlineStr">
        <is>
          <t>M</t>
        </is>
      </c>
      <c r="AL29" s="114" t="n"/>
      <c r="AM29" s="115" t="inlineStr">
        <is>
          <t>M</t>
        </is>
      </c>
      <c r="AN29" s="116">
        <f>IFERROR(INDEX(FEV!I$8:I$73,MATCH($A29,FEV!$A$8:$A$73,0))&amp;"","")</f>
        <v/>
      </c>
      <c r="AO29" s="100" t="n"/>
      <c r="AP29" s="100" t="n"/>
      <c r="AQ29" s="100" t="n"/>
      <c r="AR29" s="100" t="n"/>
      <c r="AS29" s="100" t="n"/>
      <c r="AT29" s="117">
        <f>SUMPRODUCT(($F29:$L29="M")*6+($F29:$L29="T")*6+($F29:$L29="D")*12+($F29:$L29="N")*12+($F29:$L29="NT")*6+($F29:$L29="C")*10+($F29:$L29="A")*8+($F29:$L29="J")*5+($F29:$L29="CEP")*4+($F29:$L29="CP")*6+($F29:$L29="CRO")*6+($F29:$L29="M+")*6+($F29:$L29="T+")*6+($F29:$L29="D+")*12+($F29:$L29="N+")*12+($F29:$L29="Dm+")*12+($F29:$L29="Dt+")*12+($F29:$L29="Tm-")*6+($F29:$L29="Mt-")*6)</f>
        <v/>
      </c>
      <c r="AU29" s="118">
        <f>AT29-MAX(0,IFERROR(INDEX(CADASTRO!$I$4:$I$80,MATCH($A29,CADASTRO!$A$4:$A$80,0)),$B29)-CONFIG!$B$50*(COUNTIF($F29:$L29,"AB")+COUNTIF($F29:$L29,"FE")+COUNTIF($F29:$L29,"LM")))</f>
        <v/>
      </c>
      <c r="AV29" s="117">
        <f>SUMPRODUCT(($M29:$S29="M")*6+($M29:$S29="T")*6+($M29:$S29="D")*12+($M29:$S29="N")*12+($M29:$S29="NT")*6+($M29:$S29="C")*10+($M29:$S29="A")*8+($M29:$S29="J")*5+($M29:$S29="CEP")*4+($M29:$S29="CP")*6+($M29:$S29="CRO")*6+($M29:$S29="M+")*6+($M29:$S29="T+")*6+($M29:$S29="D+")*12+($M29:$S29="N+")*12+($M29:$S29="Dm+")*12+($M29:$S29="Dt+")*12+($M29:$S29="Tm-")*6+($M29:$S29="Mt-")*6)</f>
        <v/>
      </c>
      <c r="AW29" s="118">
        <f>AV29-MAX(0,IFERROR(INDEX(CADASTRO!$I$4:$I$80,MATCH($A29,CADASTRO!$A$4:$A$80,0)),$B29)-CONFIG!$B$50*(COUNTIF($M29:$S29,"AB")+COUNTIF($M29:$S29,"FE")+COUNTIF($M29:$S29,"LM")))</f>
        <v/>
      </c>
      <c r="AX29" s="117">
        <f>SUMPRODUCT(($T29:$Z29="M")*6+($T29:$Z29="T")*6+($T29:$Z29="D")*12+($T29:$Z29="N")*12+($T29:$Z29="NT")*6+($T29:$Z29="C")*10+($T29:$Z29="A")*8+($T29:$Z29="J")*5+($T29:$Z29="CEP")*4+($T29:$Z29="CP")*6+($T29:$Z29="CRO")*6+($T29:$Z29="M+")*6+($T29:$Z29="T+")*6+($T29:$Z29="D+")*12+($T29:$Z29="N+")*12+($T29:$Z29="Dm+")*12+($T29:$Z29="Dt+")*12+($T29:$Z29="Tm-")*6+($T29:$Z29="Mt-")*6)</f>
        <v/>
      </c>
      <c r="AY29" s="118">
        <f>AX29-MAX(0,IFERROR(INDEX(CADASTRO!$I$4:$I$80,MATCH($A29,CADASTRO!$A$4:$A$80,0)),$B29)-CONFIG!$B$50*(COUNTIF($T29:$Z29,"AB")+COUNTIF($T29:$Z29,"FE")+COUNTIF($T29:$Z29,"LM")))</f>
        <v/>
      </c>
      <c r="AZ29" s="117">
        <f>SUMPRODUCT(($AA29:$AG29="M")*6+($AA29:$AG29="T")*6+($AA29:$AG29="D")*12+($AA29:$AG29="N")*12+($AA29:$AG29="NT")*6+($AA29:$AG29="C")*10+($AA29:$AG29="A")*8+($AA29:$AG29="J")*5+($AA29:$AG29="CEP")*4+($AA29:$AG29="CP")*6+($AA29:$AG29="CRO")*6+($AA29:$AG29="M+")*6+($AA29:$AG29="T+")*6+($AA29:$AG29="D+")*12+($AA29:$AG29="N+")*12+($AA29:$AG29="Dm+")*12+($AA29:$AG29="Dt+")*12+($AA29:$AG29="Tm-")*6+($AA29:$AG29="Mt-")*6)</f>
        <v/>
      </c>
      <c r="BA29" s="118">
        <f>AZ29-MAX(0,IFERROR(INDEX(CADASTRO!$I$4:$I$80,MATCH($A29,CADASTRO!$A$4:$A$80,0)),$B29)-CONFIG!$B$50*(COUNTIF($AA29:$AG29,"AB")+COUNTIF($AA29:$AG29,"FE")+COUNTIF($AA29:$AG29,"LM")))</f>
        <v/>
      </c>
      <c r="BB29" s="117">
        <f>SUMPRODUCT(($AH29:$AM29="M")*6+($AH29:$AM29="T")*6+($AH29:$AM29="D")*12+($AH29:$AM29="N")*12+($AH29:$AM29="NT")*6+($AH29:$AM29="C")*10+($AH29:$AM29="A")*8+($AH29:$AM29="J")*5+($AH29:$AM29="CEP")*4+($AH29:$AM29="CP")*6+($AH29:$AM29="CRO")*6+($AH29:$AM29="M+")*6+($AH29:$AM29="T+")*6+($AH29:$AM29="D+")*12+($AH29:$AM29="N+")*12+($AH29:$AM29="Dm+")*12+($AH29:$AM29="Dt+")*12+($AH29:$AM29="Tm-")*6+($AH29:$AM29="Mt-")*6)+SUMPRODUCT(($AN29:$AN29="M")*6+($AN29:$AN29="T")*6+($AN29:$AN29="D")*12+($AN29:$AN29="N")*12+($AN29:$AN29="NT")*6+($AN29:$AN29="C")*10+($AN29:$AN29="A")*8+($AN29:$AN29="J")*5+($AN29:$AN29="CEP")*4+($AN29:$AN29="CP")*6+($AN29:$AN29="CRO")*6+($AN29:$AN29="M+")*6+($AN29:$AN29="T+")*6+($AN29:$AN29="D+")*12+($AN29:$AN29="N+")*12+($AN29:$AN29="Dm+")*12+($AN29:$AN29="Dt+")*12+($AN29:$AN29="Tm-")*6+($AN29:$AN29="Mt-")*6)</f>
        <v/>
      </c>
      <c r="BC29" s="118">
        <f>BB29-MAX(0,IFERROR(INDEX(CADASTRO!$I$4:$I$80,MATCH($A29,CADASTRO!$A$4:$A$80,0)),$B29)-CONFIG!$B$50*(COUNTIF($AH29:$AM29,"AB")+COUNTIF($AH29:$AM29,"FE")+COUNTIF($AH29:$AM29,"LM")+COUNTIF($AN29:$AN29,"AB")+COUNTIF($AN29:$AN29,"FE")+COUNTIF($AN29:$AN29,"LM")))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00" t="n"/>
      <c r="H30" s="100" t="n"/>
      <c r="I30" s="114" t="n"/>
      <c r="J30" s="114" t="n"/>
      <c r="K30" s="125" t="inlineStr">
        <is>
          <t>N</t>
        </is>
      </c>
      <c r="L30" s="114" t="n"/>
      <c r="M30" s="114" t="n"/>
      <c r="N30" s="125" t="inlineStr">
        <is>
          <t>N</t>
        </is>
      </c>
      <c r="O30" s="126" t="inlineStr">
        <is>
          <t>T</t>
        </is>
      </c>
      <c r="P30" s="114" t="n"/>
      <c r="Q30" s="126" t="inlineStr">
        <is>
          <t>T</t>
        </is>
      </c>
      <c r="R30" s="114" t="n"/>
      <c r="S30" s="114" t="n"/>
      <c r="T30" s="114" t="n"/>
      <c r="U30" s="125" t="inlineStr">
        <is>
          <t>N</t>
        </is>
      </c>
      <c r="V30" s="114" t="n"/>
      <c r="W30" s="114" t="n"/>
      <c r="X30" s="125" t="inlineStr">
        <is>
          <t>N</t>
        </is>
      </c>
      <c r="Y30" s="114" t="n"/>
      <c r="Z30" s="124" t="inlineStr">
        <is>
          <t>D</t>
        </is>
      </c>
      <c r="AA30" s="114" t="n"/>
      <c r="AB30" s="125" t="inlineStr">
        <is>
          <t>N</t>
        </is>
      </c>
      <c r="AC30" s="126" t="inlineStr">
        <is>
          <t>T</t>
        </is>
      </c>
      <c r="AD30" s="114" t="n"/>
      <c r="AE30" s="114" t="n"/>
      <c r="AF30" s="114" t="n"/>
      <c r="AG30" s="125" t="inlineStr">
        <is>
          <t>N</t>
        </is>
      </c>
      <c r="AH30" s="114" t="n"/>
      <c r="AI30" s="125" t="inlineStr">
        <is>
          <t>N</t>
        </is>
      </c>
      <c r="AJ30" s="126" t="inlineStr">
        <is>
          <t>T</t>
        </is>
      </c>
      <c r="AK30" s="114" t="n"/>
      <c r="AL30" s="114" t="n"/>
      <c r="AM30" s="114" t="n"/>
      <c r="AN30" s="116">
        <f>IFERROR(INDEX(FEV!I$8:I$73,MATCH($A30,FEV!$A$8:$A$73,0))&amp;"","")</f>
        <v/>
      </c>
      <c r="AO30" s="100" t="n"/>
      <c r="AP30" s="100" t="n"/>
      <c r="AQ30" s="100" t="n"/>
      <c r="AR30" s="100" t="n"/>
      <c r="AS30" s="100" t="n"/>
      <c r="AT30" s="117">
        <f>SUMPRODUCT(($F30:$L30="M")*6+($F30:$L30="T")*6+($F30:$L30="D")*12+($F30:$L30="N")*12+($F30:$L30="NT")*6+($F30:$L30="C")*10+($F30:$L30="A")*8+($F30:$L30="J")*5+($F30:$L30="CEP")*4+($F30:$L30="CP")*6+($F30:$L30="CRO")*6+($F30:$L30="M+")*6+($F30:$L30="T+")*6+($F30:$L30="D+")*12+($F30:$L30="N+")*12+($F30:$L30="Dm+")*12+($F30:$L30="Dt+")*12+($F30:$L30="Tm-")*6+($F30:$L30="Mt-")*6)</f>
        <v/>
      </c>
      <c r="AU30" s="118">
        <f>AT30-MAX(0,IFERROR(INDEX(CADASTRO!$I$4:$I$80,MATCH($A30,CADASTRO!$A$4:$A$80,0)),$B30)-CONFIG!$B$50*(COUNTIF($F30:$L30,"AB")+COUNTIF($F30:$L30,"FE")+COUNTIF($F30:$L30,"LM")))</f>
        <v/>
      </c>
      <c r="AV30" s="117">
        <f>SUMPRODUCT(($M30:$S30="M")*6+($M30:$S30="T")*6+($M30:$S30="D")*12+($M30:$S30="N")*12+($M30:$S30="NT")*6+($M30:$S30="C")*10+($M30:$S30="A")*8+($M30:$S30="J")*5+($M30:$S30="CEP")*4+($M30:$S30="CP")*6+($M30:$S30="CRO")*6+($M30:$S30="M+")*6+($M30:$S30="T+")*6+($M30:$S30="D+")*12+($M30:$S30="N+")*12+($M30:$S30="Dm+")*12+($M30:$S30="Dt+")*12+($M30:$S30="Tm-")*6+($M30:$S30="Mt-")*6)</f>
        <v/>
      </c>
      <c r="AW30" s="118">
        <f>AV30-MAX(0,IFERROR(INDEX(CADASTRO!$I$4:$I$80,MATCH($A30,CADASTRO!$A$4:$A$80,0)),$B30)-CONFIG!$B$50*(COUNTIF($M30:$S30,"AB")+COUNTIF($M30:$S30,"FE")+COUNTIF($M30:$S30,"LM")))</f>
        <v/>
      </c>
      <c r="AX30" s="117">
        <f>SUMPRODUCT(($T30:$Z30="M")*6+($T30:$Z30="T")*6+($T30:$Z30="D")*12+($T30:$Z30="N")*12+($T30:$Z30="NT")*6+($T30:$Z30="C")*10+($T30:$Z30="A")*8+($T30:$Z30="J")*5+($T30:$Z30="CEP")*4+($T30:$Z30="CP")*6+($T30:$Z30="CRO")*6+($T30:$Z30="M+")*6+($T30:$Z30="T+")*6+($T30:$Z30="D+")*12+($T30:$Z30="N+")*12+($T30:$Z30="Dm+")*12+($T30:$Z30="Dt+")*12+($T30:$Z30="Tm-")*6+($T30:$Z30="Mt-")*6)</f>
        <v/>
      </c>
      <c r="AY30" s="118">
        <f>AX30-MAX(0,IFERROR(INDEX(CADASTRO!$I$4:$I$80,MATCH($A30,CADASTRO!$A$4:$A$80,0)),$B30)-CONFIG!$B$50*(COUNTIF($T30:$Z30,"AB")+COUNTIF($T30:$Z30,"FE")+COUNTIF($T30:$Z30,"LM")))</f>
        <v/>
      </c>
      <c r="AZ30" s="117">
        <f>SUMPRODUCT(($AA30:$AG30="M")*6+($AA30:$AG30="T")*6+($AA30:$AG30="D")*12+($AA30:$AG30="N")*12+($AA30:$AG30="NT")*6+($AA30:$AG30="C")*10+($AA30:$AG30="A")*8+($AA30:$AG30="J")*5+($AA30:$AG30="CEP")*4+($AA30:$AG30="CP")*6+($AA30:$AG30="CRO")*6+($AA30:$AG30="M+")*6+($AA30:$AG30="T+")*6+($AA30:$AG30="D+")*12+($AA30:$AG30="N+")*12+($AA30:$AG30="Dm+")*12+($AA30:$AG30="Dt+")*12+($AA30:$AG30="Tm-")*6+($AA30:$AG30="Mt-")*6)</f>
        <v/>
      </c>
      <c r="BA30" s="118">
        <f>AZ30-MAX(0,IFERROR(INDEX(CADASTRO!$I$4:$I$80,MATCH($A30,CADASTRO!$A$4:$A$80,0)),$B30)-CONFIG!$B$50*(COUNTIF($AA30:$AG30,"AB")+COUNTIF($AA30:$AG30,"FE")+COUNTIF($AA30:$AG30,"LM")))</f>
        <v/>
      </c>
      <c r="BB30" s="117">
        <f>SUMPRODUCT(($AH30:$AM30="M")*6+($AH30:$AM30="T")*6+($AH30:$AM30="D")*12+($AH30:$AM30="N")*12+($AH30:$AM30="NT")*6+($AH30:$AM30="C")*10+($AH30:$AM30="A")*8+($AH30:$AM30="J")*5+($AH30:$AM30="CEP")*4+($AH30:$AM30="CP")*6+($AH30:$AM30="CRO")*6+($AH30:$AM30="M+")*6+($AH30:$AM30="T+")*6+($AH30:$AM30="D+")*12+($AH30:$AM30="N+")*12+($AH30:$AM30="Dm+")*12+($AH30:$AM30="Dt+")*12+($AH30:$AM30="Tm-")*6+($AH30:$AM30="Mt-")*6)+SUMPRODUCT(($AN30:$AN30="M")*6+($AN30:$AN30="T")*6+($AN30:$AN30="D")*12+($AN30:$AN30="N")*12+($AN30:$AN30="NT")*6+($AN30:$AN30="C")*10+($AN30:$AN30="A")*8+($AN30:$AN30="J")*5+($AN30:$AN30="CEP")*4+($AN30:$AN30="CP")*6+($AN30:$AN30="CRO")*6+($AN30:$AN30="M+")*6+($AN30:$AN30="T+")*6+($AN30:$AN30="D+")*12+($AN30:$AN30="N+")*12+($AN30:$AN30="Dm+")*12+($AN30:$AN30="Dt+")*12+($AN30:$AN30="Tm-")*6+($AN30:$AN30="Mt-")*6)</f>
        <v/>
      </c>
      <c r="BC30" s="118">
        <f>BB30-MAX(0,IFERROR(INDEX(CADASTRO!$I$4:$I$80,MATCH($A30,CADASTRO!$A$4:$A$80,0)),$B30)-CONFIG!$B$50*(COUNTIF($AH30:$AM30,"AB")+COUNTIF($AH30:$AM30,"FE")+COUNTIF($AH30:$AM30,"LM")+COUNTIF($AN30:$AN30,"AB")+COUNTIF($AN30:$AN30,"FE")+COUNTIF($AN30:$AN30,"LM")))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00" t="n"/>
      <c r="H31" s="100" t="n"/>
      <c r="I31" s="114" t="n"/>
      <c r="J31" s="115" t="inlineStr">
        <is>
          <t>M</t>
        </is>
      </c>
      <c r="K31" s="125" t="inlineStr">
        <is>
          <t>N</t>
        </is>
      </c>
      <c r="L31" s="114" t="n"/>
      <c r="M31" s="126" t="inlineStr">
        <is>
          <t>T</t>
        </is>
      </c>
      <c r="N31" s="124" t="inlineStr">
        <is>
          <t>D</t>
        </is>
      </c>
      <c r="O31" s="124" t="inlineStr">
        <is>
          <t>D</t>
        </is>
      </c>
      <c r="P31" s="114" t="n"/>
      <c r="Q31" s="114" t="n"/>
      <c r="R31" s="114" t="n"/>
      <c r="S31" s="126" t="inlineStr">
        <is>
          <t>T</t>
        </is>
      </c>
      <c r="T31" s="124" t="inlineStr">
        <is>
          <t>D</t>
        </is>
      </c>
      <c r="U31" s="114" t="n"/>
      <c r="V31" s="126" t="inlineStr">
        <is>
          <t>T</t>
        </is>
      </c>
      <c r="W31" s="114" t="n"/>
      <c r="X31" s="115" t="inlineStr">
        <is>
          <t>M</t>
        </is>
      </c>
      <c r="Y31" s="125" t="inlineStr">
        <is>
          <t>N</t>
        </is>
      </c>
      <c r="Z31" s="114" t="n"/>
      <c r="AA31" s="124" t="inlineStr">
        <is>
          <t>D</t>
        </is>
      </c>
      <c r="AB31" s="115" t="inlineStr">
        <is>
          <t>M</t>
        </is>
      </c>
      <c r="AC31" s="124" t="inlineStr">
        <is>
          <t>D</t>
        </is>
      </c>
      <c r="AD31" s="114" t="n"/>
      <c r="AE31" s="115" t="inlineStr">
        <is>
          <t>M</t>
        </is>
      </c>
      <c r="AF31" s="114" t="n"/>
      <c r="AG31" s="114" t="n"/>
      <c r="AH31" s="124" t="inlineStr">
        <is>
          <t>D</t>
        </is>
      </c>
      <c r="AI31" s="114" t="n"/>
      <c r="AJ31" s="124" t="inlineStr">
        <is>
          <t>D</t>
        </is>
      </c>
      <c r="AK31" s="114" t="n"/>
      <c r="AL31" s="115" t="inlineStr">
        <is>
          <t>M</t>
        </is>
      </c>
      <c r="AM31" s="115" t="inlineStr">
        <is>
          <t>M</t>
        </is>
      </c>
      <c r="AN31" s="116">
        <f>IFERROR(INDEX(FEV!I$8:I$73,MATCH($A31,FEV!$A$8:$A$73,0))&amp;"","")</f>
        <v/>
      </c>
      <c r="AO31" s="100" t="n"/>
      <c r="AP31" s="100" t="n"/>
      <c r="AQ31" s="100" t="n"/>
      <c r="AR31" s="100" t="n"/>
      <c r="AS31" s="100" t="n"/>
      <c r="AT31" s="117">
        <f>SUMPRODUCT(($F31:$L31="M")*6+($F31:$L31="T")*6+($F31:$L31="D")*12+($F31:$L31="N")*12+($F31:$L31="NT")*6+($F31:$L31="C")*10+($F31:$L31="A")*8+($F31:$L31="J")*5+($F31:$L31="CEP")*4+($F31:$L31="CP")*6+($F31:$L31="CRO")*6+($F31:$L31="M+")*6+($F31:$L31="T+")*6+($F31:$L31="D+")*12+($F31:$L31="N+")*12+($F31:$L31="Dm+")*12+($F31:$L31="Dt+")*12+($F31:$L31="Tm-")*6+($F31:$L31="Mt-")*6)</f>
        <v/>
      </c>
      <c r="AU31" s="118">
        <f>AT31-MAX(0,IFERROR(INDEX(CADASTRO!$I$4:$I$80,MATCH($A31,CADASTRO!$A$4:$A$80,0)),$B31)-CONFIG!$B$50*(COUNTIF($F31:$L31,"AB")+COUNTIF($F31:$L31,"FE")+COUNTIF($F31:$L31,"LM")))</f>
        <v/>
      </c>
      <c r="AV31" s="117">
        <f>SUMPRODUCT(($M31:$S31="M")*6+($M31:$S31="T")*6+($M31:$S31="D")*12+($M31:$S31="N")*12+($M31:$S31="NT")*6+($M31:$S31="C")*10+($M31:$S31="A")*8+($M31:$S31="J")*5+($M31:$S31="CEP")*4+($M31:$S31="CP")*6+($M31:$S31="CRO")*6+($M31:$S31="M+")*6+($M31:$S31="T+")*6+($M31:$S31="D+")*12+($M31:$S31="N+")*12+($M31:$S31="Dm+")*12+($M31:$S31="Dt+")*12+($M31:$S31="Tm-")*6+($M31:$S31="Mt-")*6)</f>
        <v/>
      </c>
      <c r="AW31" s="118">
        <f>AV31-MAX(0,IFERROR(INDEX(CADASTRO!$I$4:$I$80,MATCH($A31,CADASTRO!$A$4:$A$80,0)),$B31)-CONFIG!$B$50*(COUNTIF($M31:$S31,"AB")+COUNTIF($M31:$S31,"FE")+COUNTIF($M31:$S31,"LM")))</f>
        <v/>
      </c>
      <c r="AX31" s="117">
        <f>SUMPRODUCT(($T31:$Z31="M")*6+($T31:$Z31="T")*6+($T31:$Z31="D")*12+($T31:$Z31="N")*12+($T31:$Z31="NT")*6+($T31:$Z31="C")*10+($T31:$Z31="A")*8+($T31:$Z31="J")*5+($T31:$Z31="CEP")*4+($T31:$Z31="CP")*6+($T31:$Z31="CRO")*6+($T31:$Z31="M+")*6+($T31:$Z31="T+")*6+($T31:$Z31="D+")*12+($T31:$Z31="N+")*12+($T31:$Z31="Dm+")*12+($T31:$Z31="Dt+")*12+($T31:$Z31="Tm-")*6+($T31:$Z31="Mt-")*6)</f>
        <v/>
      </c>
      <c r="AY31" s="118">
        <f>AX31-MAX(0,IFERROR(INDEX(CADASTRO!$I$4:$I$80,MATCH($A31,CADASTRO!$A$4:$A$80,0)),$B31)-CONFIG!$B$50*(COUNTIF($T31:$Z31,"AB")+COUNTIF($T31:$Z31,"FE")+COUNTIF($T31:$Z31,"LM")))</f>
        <v/>
      </c>
      <c r="AZ31" s="117">
        <f>SUMPRODUCT(($AA31:$AG31="M")*6+($AA31:$AG31="T")*6+($AA31:$AG31="D")*12+($AA31:$AG31="N")*12+($AA31:$AG31="NT")*6+($AA31:$AG31="C")*10+($AA31:$AG31="A")*8+($AA31:$AG31="J")*5+($AA31:$AG31="CEP")*4+($AA31:$AG31="CP")*6+($AA31:$AG31="CRO")*6+($AA31:$AG31="M+")*6+($AA31:$AG31="T+")*6+($AA31:$AG31="D+")*12+($AA31:$AG31="N+")*12+($AA31:$AG31="Dm+")*12+($AA31:$AG31="Dt+")*12+($AA31:$AG31="Tm-")*6+($AA31:$AG31="Mt-")*6)</f>
        <v/>
      </c>
      <c r="BA31" s="118">
        <f>AZ31-MAX(0,IFERROR(INDEX(CADASTRO!$I$4:$I$80,MATCH($A31,CADASTRO!$A$4:$A$80,0)),$B31)-CONFIG!$B$50*(COUNTIF($AA31:$AG31,"AB")+COUNTIF($AA31:$AG31,"FE")+COUNTIF($AA31:$AG31,"LM")))</f>
        <v/>
      </c>
      <c r="BB31" s="117">
        <f>SUMPRODUCT(($AH31:$AM31="M")*6+($AH31:$AM31="T")*6+($AH31:$AM31="D")*12+($AH31:$AM31="N")*12+($AH31:$AM31="NT")*6+($AH31:$AM31="C")*10+($AH31:$AM31="A")*8+($AH31:$AM31="J")*5+($AH31:$AM31="CEP")*4+($AH31:$AM31="CP")*6+($AH31:$AM31="CRO")*6+($AH31:$AM31="M+")*6+($AH31:$AM31="T+")*6+($AH31:$AM31="D+")*12+($AH31:$AM31="N+")*12+($AH31:$AM31="Dm+")*12+($AH31:$AM31="Dt+")*12+($AH31:$AM31="Tm-")*6+($AH31:$AM31="Mt-")*6)+SUMPRODUCT(($AN31:$AN31="M")*6+($AN31:$AN31="T")*6+($AN31:$AN31="D")*12+($AN31:$AN31="N")*12+($AN31:$AN31="NT")*6+($AN31:$AN31="C")*10+($AN31:$AN31="A")*8+($AN31:$AN31="J")*5+($AN31:$AN31="CEP")*4+($AN31:$AN31="CP")*6+($AN31:$AN31="CRO")*6+($AN31:$AN31="M+")*6+($AN31:$AN31="T+")*6+($AN31:$AN31="D+")*12+($AN31:$AN31="N+")*12+($AN31:$AN31="Dm+")*12+($AN31:$AN31="Dt+")*12+($AN31:$AN31="Tm-")*6+($AN31:$AN31="Mt-")*6)</f>
        <v/>
      </c>
      <c r="BC31" s="118">
        <f>BB31-MAX(0,IFERROR(INDEX(CADASTRO!$I$4:$I$80,MATCH($A31,CADASTRO!$A$4:$A$80,0)),$B31)-CONFIG!$B$50*(COUNTIF($AH31:$AM31,"AB")+COUNTIF($AH31:$AM31,"FE")+COUNTIF($AH31:$AM31,"LM")+COUNTIF($AN31:$AN31,"AB")+COUNTIF($AN31:$AN31,"FE")+COUNTIF($AN31:$AN31,"LM")))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00" t="n"/>
      <c r="H32" s="100" t="n"/>
      <c r="I32" s="114" t="n"/>
      <c r="J32" s="125" t="inlineStr">
        <is>
          <t>N</t>
        </is>
      </c>
      <c r="K32" s="114" t="n"/>
      <c r="L32" s="115" t="inlineStr">
        <is>
          <t>M</t>
        </is>
      </c>
      <c r="M32" s="125" t="inlineStr">
        <is>
          <t>N</t>
        </is>
      </c>
      <c r="N32" s="114" t="n"/>
      <c r="O32" s="114" t="n"/>
      <c r="P32" s="114" t="n"/>
      <c r="Q32" s="125" t="inlineStr">
        <is>
          <t>N</t>
        </is>
      </c>
      <c r="R32" s="114" t="n"/>
      <c r="S32" s="124" t="inlineStr">
        <is>
          <t>D</t>
        </is>
      </c>
      <c r="T32" s="124" t="inlineStr">
        <is>
          <t>D</t>
        </is>
      </c>
      <c r="U32" s="114" t="n"/>
      <c r="V32" s="114" t="n"/>
      <c r="W32" s="126" t="inlineStr">
        <is>
          <t>T</t>
        </is>
      </c>
      <c r="X32" s="114" t="n"/>
      <c r="Y32" s="114" t="n"/>
      <c r="Z32" s="115" t="inlineStr">
        <is>
          <t>M</t>
        </is>
      </c>
      <c r="AA32" s="125" t="inlineStr">
        <is>
          <t>N</t>
        </is>
      </c>
      <c r="AB32" s="114" t="n"/>
      <c r="AC32" s="114" t="n"/>
      <c r="AD32" s="114" t="n"/>
      <c r="AE32" s="114" t="n"/>
      <c r="AF32" s="115" t="inlineStr">
        <is>
          <t>M</t>
        </is>
      </c>
      <c r="AG32" s="115" t="inlineStr">
        <is>
          <t>M</t>
        </is>
      </c>
      <c r="AH32" s="114" t="n"/>
      <c r="AI32" s="114" t="n"/>
      <c r="AJ32" s="125" t="inlineStr">
        <is>
          <t>N</t>
        </is>
      </c>
      <c r="AK32" s="114" t="n"/>
      <c r="AL32" s="126" t="inlineStr">
        <is>
          <t>T</t>
        </is>
      </c>
      <c r="AM32" s="114" t="n"/>
      <c r="AN32" s="116">
        <f>IFERROR(INDEX(FEV!I$8:I$73,MATCH($A32,FEV!$A$8:$A$73,0))&amp;"","")</f>
        <v/>
      </c>
      <c r="AO32" s="100" t="n"/>
      <c r="AP32" s="100" t="n"/>
      <c r="AQ32" s="100" t="n"/>
      <c r="AR32" s="100" t="n"/>
      <c r="AS32" s="100" t="n"/>
      <c r="AT32" s="117">
        <f>SUMPRODUCT(($F32:$L32="M")*6+($F32:$L32="T")*6+($F32:$L32="D")*12+($F32:$L32="N")*12+($F32:$L32="NT")*6+($F32:$L32="C")*10+($F32:$L32="A")*8+($F32:$L32="J")*5+($F32:$L32="CEP")*4+($F32:$L32="CP")*6+($F32:$L32="CRO")*6+($F32:$L32="M+")*6+($F32:$L32="T+")*6+($F32:$L32="D+")*12+($F32:$L32="N+")*12+($F32:$L32="Dm+")*12+($F32:$L32="Dt+")*12+($F32:$L32="Tm-")*6+($F32:$L32="Mt-")*6)</f>
        <v/>
      </c>
      <c r="AU32" s="118">
        <f>AT32-MAX(0,IFERROR(INDEX(CADASTRO!$I$4:$I$80,MATCH($A32,CADASTRO!$A$4:$A$80,0)),$B32)-CONFIG!$B$50*(COUNTIF($F32:$L32,"AB")+COUNTIF($F32:$L32,"FE")+COUNTIF($F32:$L32,"LM")))</f>
        <v/>
      </c>
      <c r="AV32" s="117">
        <f>SUMPRODUCT(($M32:$S32="M")*6+($M32:$S32="T")*6+($M32:$S32="D")*12+($M32:$S32="N")*12+($M32:$S32="NT")*6+($M32:$S32="C")*10+($M32:$S32="A")*8+($M32:$S32="J")*5+($M32:$S32="CEP")*4+($M32:$S32="CP")*6+($M32:$S32="CRO")*6+($M32:$S32="M+")*6+($M32:$S32="T+")*6+($M32:$S32="D+")*12+($M32:$S32="N+")*12+($M32:$S32="Dm+")*12+($M32:$S32="Dt+")*12+($M32:$S32="Tm-")*6+($M32:$S32="Mt-")*6)</f>
        <v/>
      </c>
      <c r="AW32" s="118">
        <f>AV32-MAX(0,IFERROR(INDEX(CADASTRO!$I$4:$I$80,MATCH($A32,CADASTRO!$A$4:$A$80,0)),$B32)-CONFIG!$B$50*(COUNTIF($M32:$S32,"AB")+COUNTIF($M32:$S32,"FE")+COUNTIF($M32:$S32,"LM")))</f>
        <v/>
      </c>
      <c r="AX32" s="117">
        <f>SUMPRODUCT(($T32:$Z32="M")*6+($T32:$Z32="T")*6+($T32:$Z32="D")*12+($T32:$Z32="N")*12+($T32:$Z32="NT")*6+($T32:$Z32="C")*10+($T32:$Z32="A")*8+($T32:$Z32="J")*5+($T32:$Z32="CEP")*4+($T32:$Z32="CP")*6+($T32:$Z32="CRO")*6+($T32:$Z32="M+")*6+($T32:$Z32="T+")*6+($T32:$Z32="D+")*12+($T32:$Z32="N+")*12+($T32:$Z32="Dm+")*12+($T32:$Z32="Dt+")*12+($T32:$Z32="Tm-")*6+($T32:$Z32="Mt-")*6)</f>
        <v/>
      </c>
      <c r="AY32" s="118">
        <f>AX32-MAX(0,IFERROR(INDEX(CADASTRO!$I$4:$I$80,MATCH($A32,CADASTRO!$A$4:$A$80,0)),$B32)-CONFIG!$B$50*(COUNTIF($T32:$Z32,"AB")+COUNTIF($T32:$Z32,"FE")+COUNTIF($T32:$Z32,"LM")))</f>
        <v/>
      </c>
      <c r="AZ32" s="117">
        <f>SUMPRODUCT(($AA32:$AG32="M")*6+($AA32:$AG32="T")*6+($AA32:$AG32="D")*12+($AA32:$AG32="N")*12+($AA32:$AG32="NT")*6+($AA32:$AG32="C")*10+($AA32:$AG32="A")*8+($AA32:$AG32="J")*5+($AA32:$AG32="CEP")*4+($AA32:$AG32="CP")*6+($AA32:$AG32="CRO")*6+($AA32:$AG32="M+")*6+($AA32:$AG32="T+")*6+($AA32:$AG32="D+")*12+($AA32:$AG32="N+")*12+($AA32:$AG32="Dm+")*12+($AA32:$AG32="Dt+")*12+($AA32:$AG32="Tm-")*6+($AA32:$AG32="Mt-")*6)</f>
        <v/>
      </c>
      <c r="BA32" s="118">
        <f>AZ32-MAX(0,IFERROR(INDEX(CADASTRO!$I$4:$I$80,MATCH($A32,CADASTRO!$A$4:$A$80,0)),$B32)-CONFIG!$B$50*(COUNTIF($AA32:$AG32,"AB")+COUNTIF($AA32:$AG32,"FE")+COUNTIF($AA32:$AG32,"LM")))</f>
        <v/>
      </c>
      <c r="BB32" s="117">
        <f>SUMPRODUCT(($AH32:$AM32="M")*6+($AH32:$AM32="T")*6+($AH32:$AM32="D")*12+($AH32:$AM32="N")*12+($AH32:$AM32="NT")*6+($AH32:$AM32="C")*10+($AH32:$AM32="A")*8+($AH32:$AM32="J")*5+($AH32:$AM32="CEP")*4+($AH32:$AM32="CP")*6+($AH32:$AM32="CRO")*6+($AH32:$AM32="M+")*6+($AH32:$AM32="T+")*6+($AH32:$AM32="D+")*12+($AH32:$AM32="N+")*12+($AH32:$AM32="Dm+")*12+($AH32:$AM32="Dt+")*12+($AH32:$AM32="Tm-")*6+($AH32:$AM32="Mt-")*6)+SUMPRODUCT(($AN32:$AN32="M")*6+($AN32:$AN32="T")*6+($AN32:$AN32="D")*12+($AN32:$AN32="N")*12+($AN32:$AN32="NT")*6+($AN32:$AN32="C")*10+($AN32:$AN32="A")*8+($AN32:$AN32="J")*5+($AN32:$AN32="CEP")*4+($AN32:$AN32="CP")*6+($AN32:$AN32="CRO")*6+($AN32:$AN32="M+")*6+($AN32:$AN32="T+")*6+($AN32:$AN32="D+")*12+($AN32:$AN32="N+")*12+($AN32:$AN32="Dm+")*12+($AN32:$AN32="Dt+")*12+($AN32:$AN32="Tm-")*6+($AN32:$AN32="Mt-")*6)</f>
        <v/>
      </c>
      <c r="BC32" s="118">
        <f>BB32-MAX(0,IFERROR(INDEX(CADASTRO!$I$4:$I$80,MATCH($A32,CADASTRO!$A$4:$A$80,0)),$B32)-CONFIG!$B$50*(COUNTIF($AH32:$AM32,"AB")+COUNTIF($AH32:$AM32,"FE")+COUNTIF($AH32:$AM32,"LM")+COUNTIF($AN32:$AN32,"AB")+COUNTIF($AN32:$AN32,"FE")+COUNTIF($AN32:$AN32,"LM")))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00" t="n"/>
      <c r="H33" s="100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14" t="n"/>
      <c r="AN33" s="116">
        <f>IFERROR(INDEX(FEV!I$8:I$73,MATCH($A33,FEV!$A$8:$A$73,0))&amp;"","")</f>
        <v/>
      </c>
      <c r="AO33" s="100" t="n"/>
      <c r="AP33" s="100" t="n"/>
      <c r="AQ33" s="100" t="n"/>
      <c r="AR33" s="100" t="n"/>
      <c r="AS33" s="100" t="n"/>
      <c r="AT33" s="117">
        <f>SUMPRODUCT(($F33:$L33="M")*6+($F33:$L33="T")*6+($F33:$L33="D")*12+($F33:$L33="N")*12+($F33:$L33="NT")*6+($F33:$L33="C")*10+($F33:$L33="A")*8+($F33:$L33="J")*5+($F33:$L33="CEP")*4+($F33:$L33="CP")*6+($F33:$L33="CRO")*6+($F33:$L33="M+")*6+($F33:$L33="T+")*6+($F33:$L33="D+")*12+($F33:$L33="N+")*12+($F33:$L33="Dm+")*12+($F33:$L33="Dt+")*12+($F33:$L33="Tm-")*6+($F33:$L33="Mt-")*6)</f>
        <v/>
      </c>
      <c r="AU33" s="118">
        <f>AT33-MAX(0,IFERROR(INDEX(CADASTRO!$I$4:$I$80,MATCH($A33,CADASTRO!$A$4:$A$80,0)),$B33)-CONFIG!$B$50*(COUNTIF($F33:$L33,"AB")+COUNTIF($F33:$L33,"FE")+COUNTIF($F33:$L33,"LM")))</f>
        <v/>
      </c>
      <c r="AV33" s="117">
        <f>SUMPRODUCT(($M33:$S33="M")*6+($M33:$S33="T")*6+($M33:$S33="D")*12+($M33:$S33="N")*12+($M33:$S33="NT")*6+($M33:$S33="C")*10+($M33:$S33="A")*8+($M33:$S33="J")*5+($M33:$S33="CEP")*4+($M33:$S33="CP")*6+($M33:$S33="CRO")*6+($M33:$S33="M+")*6+($M33:$S33="T+")*6+($M33:$S33="D+")*12+($M33:$S33="N+")*12+($M33:$S33="Dm+")*12+($M33:$S33="Dt+")*12+($M33:$S33="Tm-")*6+($M33:$S33="Mt-")*6)</f>
        <v/>
      </c>
      <c r="AW33" s="118">
        <f>AV33-MAX(0,IFERROR(INDEX(CADASTRO!$I$4:$I$80,MATCH($A33,CADASTRO!$A$4:$A$80,0)),$B33)-CONFIG!$B$50*(COUNTIF($M33:$S33,"AB")+COUNTIF($M33:$S33,"FE")+COUNTIF($M33:$S33,"LM")))</f>
        <v/>
      </c>
      <c r="AX33" s="117">
        <f>SUMPRODUCT(($T33:$Z33="M")*6+($T33:$Z33="T")*6+($T33:$Z33="D")*12+($T33:$Z33="N")*12+($T33:$Z33="NT")*6+($T33:$Z33="C")*10+($T33:$Z33="A")*8+($T33:$Z33="J")*5+($T33:$Z33="CEP")*4+($T33:$Z33="CP")*6+($T33:$Z33="CRO")*6+($T33:$Z33="M+")*6+($T33:$Z33="T+")*6+($T33:$Z33="D+")*12+($T33:$Z33="N+")*12+($T33:$Z33="Dm+")*12+($T33:$Z33="Dt+")*12+($T33:$Z33="Tm-")*6+($T33:$Z33="Mt-")*6)</f>
        <v/>
      </c>
      <c r="AY33" s="118">
        <f>AX33-MAX(0,IFERROR(INDEX(CADASTRO!$I$4:$I$80,MATCH($A33,CADASTRO!$A$4:$A$80,0)),$B33)-CONFIG!$B$50*(COUNTIF($T33:$Z33,"AB")+COUNTIF($T33:$Z33,"FE")+COUNTIF($T33:$Z33,"LM")))</f>
        <v/>
      </c>
      <c r="AZ33" s="117">
        <f>SUMPRODUCT(($AA33:$AG33="M")*6+($AA33:$AG33="T")*6+($AA33:$AG33="D")*12+($AA33:$AG33="N")*12+($AA33:$AG33="NT")*6+($AA33:$AG33="C")*10+($AA33:$AG33="A")*8+($AA33:$AG33="J")*5+($AA33:$AG33="CEP")*4+($AA33:$AG33="CP")*6+($AA33:$AG33="CRO")*6+($AA33:$AG33="M+")*6+($AA33:$AG33="T+")*6+($AA33:$AG33="D+")*12+($AA33:$AG33="N+")*12+($AA33:$AG33="Dm+")*12+($AA33:$AG33="Dt+")*12+($AA33:$AG33="Tm-")*6+($AA33:$AG33="Mt-")*6)</f>
        <v/>
      </c>
      <c r="BA33" s="118">
        <f>AZ33-MAX(0,IFERROR(INDEX(CADASTRO!$I$4:$I$80,MATCH($A33,CADASTRO!$A$4:$A$80,0)),$B33)-CONFIG!$B$50*(COUNTIF($AA33:$AG33,"AB")+COUNTIF($AA33:$AG33,"FE")+COUNTIF($AA33:$AG33,"LM")))</f>
        <v/>
      </c>
      <c r="BB33" s="117">
        <f>SUMPRODUCT(($AH33:$AM33="M")*6+($AH33:$AM33="T")*6+($AH33:$AM33="D")*12+($AH33:$AM33="N")*12+($AH33:$AM33="NT")*6+($AH33:$AM33="C")*10+($AH33:$AM33="A")*8+($AH33:$AM33="J")*5+($AH33:$AM33="CEP")*4+($AH33:$AM33="CP")*6+($AH33:$AM33="CRO")*6+($AH33:$AM33="M+")*6+($AH33:$AM33="T+")*6+($AH33:$AM33="D+")*12+($AH33:$AM33="N+")*12+($AH33:$AM33="Dm+")*12+($AH33:$AM33="Dt+")*12+($AH33:$AM33="Tm-")*6+($AH33:$AM33="Mt-")*6)+SUMPRODUCT(($AN33:$AN33="M")*6+($AN33:$AN33="T")*6+($AN33:$AN33="D")*12+($AN33:$AN33="N")*12+($AN33:$AN33="NT")*6+($AN33:$AN33="C")*10+($AN33:$AN33="A")*8+($AN33:$AN33="J")*5+($AN33:$AN33="CEP")*4+($AN33:$AN33="CP")*6+($AN33:$AN33="CRO")*6+($AN33:$AN33="M+")*6+($AN33:$AN33="T+")*6+($AN33:$AN33="D+")*12+($AN33:$AN33="N+")*12+($AN33:$AN33="Dm+")*12+($AN33:$AN33="Dt+")*12+($AN33:$AN33="Tm-")*6+($AN33:$AN33="Mt-")*6)</f>
        <v/>
      </c>
      <c r="BC33" s="118">
        <f>BB33-MAX(0,IFERROR(INDEX(CADASTRO!$I$4:$I$80,MATCH($A33,CADASTRO!$A$4:$A$80,0)),$B33)-CONFIG!$B$50*(COUNTIF($AH33:$AM33,"AB")+COUNTIF($AH33:$AM33,"FE")+COUNTIF($AH33:$AM33,"LM")+COUNTIF($AN33:$AN33,"AB")+COUNTIF($AN33:$AN33,"FE")+COUNTIF($AN33:$AN33,"LM")))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00" t="n"/>
      <c r="H34" s="100" t="n"/>
      <c r="I34" s="114" t="n"/>
      <c r="J34" s="124" t="inlineStr">
        <is>
          <t>D</t>
        </is>
      </c>
      <c r="K34" s="114" t="n"/>
      <c r="L34" s="114" t="n"/>
      <c r="M34" s="114" t="n"/>
      <c r="N34" s="114" t="n"/>
      <c r="O34" s="124" t="inlineStr">
        <is>
          <t>D</t>
        </is>
      </c>
      <c r="P34" s="114" t="n"/>
      <c r="Q34" s="114" t="n"/>
      <c r="R34" s="124" t="inlineStr">
        <is>
          <t>D</t>
        </is>
      </c>
      <c r="S34" s="115" t="inlineStr">
        <is>
          <t>M</t>
        </is>
      </c>
      <c r="T34" s="114" t="n"/>
      <c r="U34" s="124" t="inlineStr">
        <is>
          <t>D</t>
        </is>
      </c>
      <c r="V34" s="115" t="inlineStr">
        <is>
          <t>M</t>
        </is>
      </c>
      <c r="W34" s="114" t="n"/>
      <c r="X34" s="125" t="inlineStr">
        <is>
          <t>N</t>
        </is>
      </c>
      <c r="Y34" s="114" t="n"/>
      <c r="Z34" s="114" t="n"/>
      <c r="AA34" s="114" t="n"/>
      <c r="AB34" s="114" t="n"/>
      <c r="AC34" s="124" t="inlineStr">
        <is>
          <t>D</t>
        </is>
      </c>
      <c r="AD34" s="115" t="inlineStr">
        <is>
          <t>M</t>
        </is>
      </c>
      <c r="AE34" s="114" t="n"/>
      <c r="AF34" s="114" t="n"/>
      <c r="AG34" s="124" t="inlineStr">
        <is>
          <t>D</t>
        </is>
      </c>
      <c r="AH34" s="114" t="n"/>
      <c r="AI34" s="124" t="inlineStr">
        <is>
          <t>D</t>
        </is>
      </c>
      <c r="AJ34" s="115" t="inlineStr">
        <is>
          <t>M</t>
        </is>
      </c>
      <c r="AK34" s="124" t="inlineStr">
        <is>
          <t>D</t>
        </is>
      </c>
      <c r="AL34" s="114" t="n"/>
      <c r="AM34" s="114" t="n"/>
      <c r="AN34" s="116">
        <f>IFERROR(INDEX(FEV!I$8:I$73,MATCH($A34,FEV!$A$8:$A$73,0))&amp;"","")</f>
        <v/>
      </c>
      <c r="AO34" s="100" t="n"/>
      <c r="AP34" s="100" t="n"/>
      <c r="AQ34" s="100" t="n"/>
      <c r="AR34" s="100" t="n"/>
      <c r="AS34" s="100" t="n"/>
      <c r="AT34" s="117">
        <f>SUMPRODUCT(($F34:$L34="M")*6+($F34:$L34="T")*6+($F34:$L34="D")*12+($F34:$L34="N")*12+($F34:$L34="NT")*6+($F34:$L34="C")*10+($F34:$L34="A")*8+($F34:$L34="J")*5+($F34:$L34="CEP")*4+($F34:$L34="CP")*6+($F34:$L34="CRO")*6+($F34:$L34="M+")*6+($F34:$L34="T+")*6+($F34:$L34="D+")*12+($F34:$L34="N+")*12+($F34:$L34="Dm+")*12+($F34:$L34="Dt+")*12+($F34:$L34="Tm-")*6+($F34:$L34="Mt-")*6)</f>
        <v/>
      </c>
      <c r="AU34" s="118">
        <f>AT34-MAX(0,IFERROR(INDEX(CADASTRO!$I$4:$I$80,MATCH($A34,CADASTRO!$A$4:$A$80,0)),$B34)-CONFIG!$B$50*(COUNTIF($F34:$L34,"AB")+COUNTIF($F34:$L34,"FE")+COUNTIF($F34:$L34,"LM")))</f>
        <v/>
      </c>
      <c r="AV34" s="117">
        <f>SUMPRODUCT(($M34:$S34="M")*6+($M34:$S34="T")*6+($M34:$S34="D")*12+($M34:$S34="N")*12+($M34:$S34="NT")*6+($M34:$S34="C")*10+($M34:$S34="A")*8+($M34:$S34="J")*5+($M34:$S34="CEP")*4+($M34:$S34="CP")*6+($M34:$S34="CRO")*6+($M34:$S34="M+")*6+($M34:$S34="T+")*6+($M34:$S34="D+")*12+($M34:$S34="N+")*12+($M34:$S34="Dm+")*12+($M34:$S34="Dt+")*12+($M34:$S34="Tm-")*6+($M34:$S34="Mt-")*6)</f>
        <v/>
      </c>
      <c r="AW34" s="118">
        <f>AV34-MAX(0,IFERROR(INDEX(CADASTRO!$I$4:$I$80,MATCH($A34,CADASTRO!$A$4:$A$80,0)),$B34)-CONFIG!$B$50*(COUNTIF($M34:$S34,"AB")+COUNTIF($M34:$S34,"FE")+COUNTIF($M34:$S34,"LM")))</f>
        <v/>
      </c>
      <c r="AX34" s="117">
        <f>SUMPRODUCT(($T34:$Z34="M")*6+($T34:$Z34="T")*6+($T34:$Z34="D")*12+($T34:$Z34="N")*12+($T34:$Z34="NT")*6+($T34:$Z34="C")*10+($T34:$Z34="A")*8+($T34:$Z34="J")*5+($T34:$Z34="CEP")*4+($T34:$Z34="CP")*6+($T34:$Z34="CRO")*6+($T34:$Z34="M+")*6+($T34:$Z34="T+")*6+($T34:$Z34="D+")*12+($T34:$Z34="N+")*12+($T34:$Z34="Dm+")*12+($T34:$Z34="Dt+")*12+($T34:$Z34="Tm-")*6+($T34:$Z34="Mt-")*6)</f>
        <v/>
      </c>
      <c r="AY34" s="118">
        <f>AX34-MAX(0,IFERROR(INDEX(CADASTRO!$I$4:$I$80,MATCH($A34,CADASTRO!$A$4:$A$80,0)),$B34)-CONFIG!$B$50*(COUNTIF($T34:$Z34,"AB")+COUNTIF($T34:$Z34,"FE")+COUNTIF($T34:$Z34,"LM")))</f>
        <v/>
      </c>
      <c r="AZ34" s="117">
        <f>SUMPRODUCT(($AA34:$AG34="M")*6+($AA34:$AG34="T")*6+($AA34:$AG34="D")*12+($AA34:$AG34="N")*12+($AA34:$AG34="NT")*6+($AA34:$AG34="C")*10+($AA34:$AG34="A")*8+($AA34:$AG34="J")*5+($AA34:$AG34="CEP")*4+($AA34:$AG34="CP")*6+($AA34:$AG34="CRO")*6+($AA34:$AG34="M+")*6+($AA34:$AG34="T+")*6+($AA34:$AG34="D+")*12+($AA34:$AG34="N+")*12+($AA34:$AG34="Dm+")*12+($AA34:$AG34="Dt+")*12+($AA34:$AG34="Tm-")*6+($AA34:$AG34="Mt-")*6)</f>
        <v/>
      </c>
      <c r="BA34" s="118">
        <f>AZ34-MAX(0,IFERROR(INDEX(CADASTRO!$I$4:$I$80,MATCH($A34,CADASTRO!$A$4:$A$80,0)),$B34)-CONFIG!$B$50*(COUNTIF($AA34:$AG34,"AB")+COUNTIF($AA34:$AG34,"FE")+COUNTIF($AA34:$AG34,"LM")))</f>
        <v/>
      </c>
      <c r="BB34" s="117">
        <f>SUMPRODUCT(($AH34:$AM34="M")*6+($AH34:$AM34="T")*6+($AH34:$AM34="D")*12+($AH34:$AM34="N")*12+($AH34:$AM34="NT")*6+($AH34:$AM34="C")*10+($AH34:$AM34="A")*8+($AH34:$AM34="J")*5+($AH34:$AM34="CEP")*4+($AH34:$AM34="CP")*6+($AH34:$AM34="CRO")*6+($AH34:$AM34="M+")*6+($AH34:$AM34="T+")*6+($AH34:$AM34="D+")*12+($AH34:$AM34="N+")*12+($AH34:$AM34="Dm+")*12+($AH34:$AM34="Dt+")*12+($AH34:$AM34="Tm-")*6+($AH34:$AM34="Mt-")*6)+SUMPRODUCT(($AN34:$AN34="M")*6+($AN34:$AN34="T")*6+($AN34:$AN34="D")*12+($AN34:$AN34="N")*12+($AN34:$AN34="NT")*6+($AN34:$AN34="C")*10+($AN34:$AN34="A")*8+($AN34:$AN34="J")*5+($AN34:$AN34="CEP")*4+($AN34:$AN34="CP")*6+($AN34:$AN34="CRO")*6+($AN34:$AN34="M+")*6+($AN34:$AN34="T+")*6+($AN34:$AN34="D+")*12+($AN34:$AN34="N+")*12+($AN34:$AN34="Dm+")*12+($AN34:$AN34="Dt+")*12+($AN34:$AN34="Tm-")*6+($AN34:$AN34="Mt-")*6)</f>
        <v/>
      </c>
      <c r="BC34" s="118">
        <f>BB34-MAX(0,IFERROR(INDEX(CADASTRO!$I$4:$I$80,MATCH($A34,CADASTRO!$A$4:$A$80,0)),$B34)-CONFIG!$B$50*(COUNTIF($AH34:$AM34,"AB")+COUNTIF($AH34:$AM34,"FE")+COUNTIF($AH34:$AM34,"LM")+COUNTIF($AN34:$AN34,"AB")+COUNTIF($AN34:$AN34,"FE")+COUNTIF($AN34:$AN34,"LM")))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00" t="n"/>
      <c r="H35" s="100" t="n"/>
      <c r="I35" s="114" t="n"/>
      <c r="J35" s="114" t="n"/>
      <c r="K35" s="114" t="n"/>
      <c r="L35" s="124" t="inlineStr">
        <is>
          <t>D</t>
        </is>
      </c>
      <c r="M35" s="125" t="inlineStr">
        <is>
          <t>N</t>
        </is>
      </c>
      <c r="N35" s="114" t="n"/>
      <c r="O35" s="124" t="inlineStr">
        <is>
          <t>D</t>
        </is>
      </c>
      <c r="P35" s="114" t="n"/>
      <c r="Q35" s="114" t="n"/>
      <c r="R35" s="115" t="inlineStr">
        <is>
          <t>M</t>
        </is>
      </c>
      <c r="S35" s="114" t="n"/>
      <c r="T35" s="114" t="n"/>
      <c r="U35" s="115" t="inlineStr">
        <is>
          <t>M</t>
        </is>
      </c>
      <c r="V35" s="114" t="n"/>
      <c r="W35" s="125" t="inlineStr">
        <is>
          <t>N</t>
        </is>
      </c>
      <c r="X35" s="114" t="n"/>
      <c r="Y35" s="125" t="inlineStr">
        <is>
          <t>N</t>
        </is>
      </c>
      <c r="Z35" s="114" t="n"/>
      <c r="AA35" s="125" t="inlineStr">
        <is>
          <t>N</t>
        </is>
      </c>
      <c r="AB35" s="114" t="n"/>
      <c r="AC35" s="126" t="inlineStr">
        <is>
          <t>T</t>
        </is>
      </c>
      <c r="AD35" s="114" t="n"/>
      <c r="AE35" s="125" t="inlineStr">
        <is>
          <t>N</t>
        </is>
      </c>
      <c r="AF35" s="114" t="n"/>
      <c r="AG35" s="114" t="n"/>
      <c r="AH35" s="125" t="inlineStr">
        <is>
          <t>N</t>
        </is>
      </c>
      <c r="AI35" s="115" t="inlineStr">
        <is>
          <t>M</t>
        </is>
      </c>
      <c r="AJ35" s="114" t="n"/>
      <c r="AK35" s="125" t="inlineStr">
        <is>
          <t>N</t>
        </is>
      </c>
      <c r="AL35" s="114" t="n"/>
      <c r="AM35" s="114" t="n"/>
      <c r="AN35" s="116">
        <f>IFERROR(INDEX(FEV!I$8:I$73,MATCH($A35,FEV!$A$8:$A$73,0))&amp;"","")</f>
        <v/>
      </c>
      <c r="AO35" s="100" t="n"/>
      <c r="AP35" s="100" t="n"/>
      <c r="AQ35" s="100" t="n"/>
      <c r="AR35" s="100" t="n"/>
      <c r="AS35" s="100" t="n"/>
      <c r="AT35" s="117">
        <f>SUMPRODUCT(($F35:$L35="M")*6+($F35:$L35="T")*6+($F35:$L35="D")*12+($F35:$L35="N")*12+($F35:$L35="NT")*6+($F35:$L35="C")*10+($F35:$L35="A")*8+($F35:$L35="J")*5+($F35:$L35="CEP")*4+($F35:$L35="CP")*6+($F35:$L35="CRO")*6+($F35:$L35="M+")*6+($F35:$L35="T+")*6+($F35:$L35="D+")*12+($F35:$L35="N+")*12+($F35:$L35="Dm+")*12+($F35:$L35="Dt+")*12+($F35:$L35="Tm-")*6+($F35:$L35="Mt-")*6)</f>
        <v/>
      </c>
      <c r="AU35" s="118">
        <f>AT35-MAX(0,IFERROR(INDEX(CADASTRO!$I$4:$I$80,MATCH($A35,CADASTRO!$A$4:$A$80,0)),$B35)-CONFIG!$B$50*(COUNTIF($F35:$L35,"AB")+COUNTIF($F35:$L35,"FE")+COUNTIF($F35:$L35,"LM")))</f>
        <v/>
      </c>
      <c r="AV35" s="117">
        <f>SUMPRODUCT(($M35:$S35="M")*6+($M35:$S35="T")*6+($M35:$S35="D")*12+($M35:$S35="N")*12+($M35:$S35="NT")*6+($M35:$S35="C")*10+($M35:$S35="A")*8+($M35:$S35="J")*5+($M35:$S35="CEP")*4+($M35:$S35="CP")*6+($M35:$S35="CRO")*6+($M35:$S35="M+")*6+($M35:$S35="T+")*6+($M35:$S35="D+")*12+($M35:$S35="N+")*12+($M35:$S35="Dm+")*12+($M35:$S35="Dt+")*12+($M35:$S35="Tm-")*6+($M35:$S35="Mt-")*6)</f>
        <v/>
      </c>
      <c r="AW35" s="118">
        <f>AV35-MAX(0,IFERROR(INDEX(CADASTRO!$I$4:$I$80,MATCH($A35,CADASTRO!$A$4:$A$80,0)),$B35)-CONFIG!$B$50*(COUNTIF($M35:$S35,"AB")+COUNTIF($M35:$S35,"FE")+COUNTIF($M35:$S35,"LM")))</f>
        <v/>
      </c>
      <c r="AX35" s="117">
        <f>SUMPRODUCT(($T35:$Z35="M")*6+($T35:$Z35="T")*6+($T35:$Z35="D")*12+($T35:$Z35="N")*12+($T35:$Z35="NT")*6+($T35:$Z35="C")*10+($T35:$Z35="A")*8+($T35:$Z35="J")*5+($T35:$Z35="CEP")*4+($T35:$Z35="CP")*6+($T35:$Z35="CRO")*6+($T35:$Z35="M+")*6+($T35:$Z35="T+")*6+($T35:$Z35="D+")*12+($T35:$Z35="N+")*12+($T35:$Z35="Dm+")*12+($T35:$Z35="Dt+")*12+($T35:$Z35="Tm-")*6+($T35:$Z35="Mt-")*6)</f>
        <v/>
      </c>
      <c r="AY35" s="118">
        <f>AX35-MAX(0,IFERROR(INDEX(CADASTRO!$I$4:$I$80,MATCH($A35,CADASTRO!$A$4:$A$80,0)),$B35)-CONFIG!$B$50*(COUNTIF($T35:$Z35,"AB")+COUNTIF($T35:$Z35,"FE")+COUNTIF($T35:$Z35,"LM")))</f>
        <v/>
      </c>
      <c r="AZ35" s="117">
        <f>SUMPRODUCT(($AA35:$AG35="M")*6+($AA35:$AG35="T")*6+($AA35:$AG35="D")*12+($AA35:$AG35="N")*12+($AA35:$AG35="NT")*6+($AA35:$AG35="C")*10+($AA35:$AG35="A")*8+($AA35:$AG35="J")*5+($AA35:$AG35="CEP")*4+($AA35:$AG35="CP")*6+($AA35:$AG35="CRO")*6+($AA35:$AG35="M+")*6+($AA35:$AG35="T+")*6+($AA35:$AG35="D+")*12+($AA35:$AG35="N+")*12+($AA35:$AG35="Dm+")*12+($AA35:$AG35="Dt+")*12+($AA35:$AG35="Tm-")*6+($AA35:$AG35="Mt-")*6)</f>
        <v/>
      </c>
      <c r="BA35" s="118">
        <f>AZ35-MAX(0,IFERROR(INDEX(CADASTRO!$I$4:$I$80,MATCH($A35,CADASTRO!$A$4:$A$80,0)),$B35)-CONFIG!$B$50*(COUNTIF($AA35:$AG35,"AB")+COUNTIF($AA35:$AG35,"FE")+COUNTIF($AA35:$AG35,"LM")))</f>
        <v/>
      </c>
      <c r="BB35" s="117">
        <f>SUMPRODUCT(($AH35:$AM35="M")*6+($AH35:$AM35="T")*6+($AH35:$AM35="D")*12+($AH35:$AM35="N")*12+($AH35:$AM35="NT")*6+($AH35:$AM35="C")*10+($AH35:$AM35="A")*8+($AH35:$AM35="J")*5+($AH35:$AM35="CEP")*4+($AH35:$AM35="CP")*6+($AH35:$AM35="CRO")*6+($AH35:$AM35="M+")*6+($AH35:$AM35="T+")*6+($AH35:$AM35="D+")*12+($AH35:$AM35="N+")*12+($AH35:$AM35="Dm+")*12+($AH35:$AM35="Dt+")*12+($AH35:$AM35="Tm-")*6+($AH35:$AM35="Mt-")*6)+SUMPRODUCT(($AN35:$AN35="M")*6+($AN35:$AN35="T")*6+($AN35:$AN35="D")*12+($AN35:$AN35="N")*12+($AN35:$AN35="NT")*6+($AN35:$AN35="C")*10+($AN35:$AN35="A")*8+($AN35:$AN35="J")*5+($AN35:$AN35="CEP")*4+($AN35:$AN35="CP")*6+($AN35:$AN35="CRO")*6+($AN35:$AN35="M+")*6+($AN35:$AN35="T+")*6+($AN35:$AN35="D+")*12+($AN35:$AN35="N+")*12+($AN35:$AN35="Dm+")*12+($AN35:$AN35="Dt+")*12+($AN35:$AN35="Tm-")*6+($AN35:$AN35="Mt-")*6)</f>
        <v/>
      </c>
      <c r="BC35" s="118">
        <f>BB35-MAX(0,IFERROR(INDEX(CADASTRO!$I$4:$I$80,MATCH($A35,CADASTRO!$A$4:$A$80,0)),$B35)-CONFIG!$B$50*(COUNTIF($AH35:$AM35,"AB")+COUNTIF($AH35:$AM35,"FE")+COUNTIF($AH35:$AM35,"LM")+COUNTIF($AN35:$AN35,"AB")+COUNTIF($AN35:$AN35,"FE")+COUNTIF($AN35:$AN35,"LM")))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00" t="n"/>
      <c r="H36" s="100" t="n"/>
      <c r="I36" s="114" t="n"/>
      <c r="J36" s="123" t="inlineStr">
        <is>
          <t>D+</t>
        </is>
      </c>
      <c r="K36" s="126" t="inlineStr">
        <is>
          <t>T</t>
        </is>
      </c>
      <c r="L36" s="126" t="inlineStr">
        <is>
          <t>T</t>
        </is>
      </c>
      <c r="M36" s="114" t="n"/>
      <c r="N36" s="125" t="inlineStr">
        <is>
          <t>N</t>
        </is>
      </c>
      <c r="O36" s="114" t="n"/>
      <c r="P36" s="115" t="inlineStr">
        <is>
          <t>M</t>
        </is>
      </c>
      <c r="Q36" s="124" t="inlineStr">
        <is>
          <t>D</t>
        </is>
      </c>
      <c r="R36" s="114" t="n"/>
      <c r="S36" s="114" t="n"/>
      <c r="T36" s="114" t="n"/>
      <c r="U36" s="128" t="inlineStr">
        <is>
          <t>NT</t>
        </is>
      </c>
      <c r="V36" s="114" t="n"/>
      <c r="W36" s="114" t="n"/>
      <c r="X36" s="115" t="inlineStr">
        <is>
          <t>M</t>
        </is>
      </c>
      <c r="Y36" s="124" t="inlineStr">
        <is>
          <t>D</t>
        </is>
      </c>
      <c r="Z36" s="115" t="inlineStr">
        <is>
          <t>M</t>
        </is>
      </c>
      <c r="AA36" s="114" t="n"/>
      <c r="AB36" s="125" t="inlineStr">
        <is>
          <t>N</t>
        </is>
      </c>
      <c r="AC36" s="114" t="n"/>
      <c r="AD36" s="115" t="inlineStr">
        <is>
          <t>M</t>
        </is>
      </c>
      <c r="AE36" s="124" t="inlineStr">
        <is>
          <t>D</t>
        </is>
      </c>
      <c r="AF36" s="114" t="n"/>
      <c r="AG36" s="114" t="n"/>
      <c r="AH36" s="115" t="inlineStr">
        <is>
          <t>M</t>
        </is>
      </c>
      <c r="AI36" s="125" t="inlineStr">
        <is>
          <t>N</t>
        </is>
      </c>
      <c r="AJ36" s="114" t="n"/>
      <c r="AK36" s="114" t="n"/>
      <c r="AL36" s="124" t="inlineStr">
        <is>
          <t>D</t>
        </is>
      </c>
      <c r="AM36" s="114" t="n"/>
      <c r="AN36" s="116">
        <f>IFERROR(INDEX(FEV!I$8:I$73,MATCH($A36,FEV!$A$8:$A$73,0))&amp;"","")</f>
        <v/>
      </c>
      <c r="AO36" s="100" t="n"/>
      <c r="AP36" s="100" t="n"/>
      <c r="AQ36" s="100" t="n"/>
      <c r="AR36" s="100" t="n"/>
      <c r="AS36" s="100" t="n"/>
      <c r="AT36" s="117">
        <f>SUMPRODUCT(($F36:$L36="M")*6+($F36:$L36="T")*6+($F36:$L36="D")*12+($F36:$L36="N")*12+($F36:$L36="NT")*6+($F36:$L36="C")*10+($F36:$L36="A")*8+($F36:$L36="J")*5+($F36:$L36="CEP")*4+($F36:$L36="CP")*6+($F36:$L36="CRO")*6+($F36:$L36="M+")*6+($F36:$L36="T+")*6+($F36:$L36="D+")*12+($F36:$L36="N+")*12+($F36:$L36="Dm+")*12+($F36:$L36="Dt+")*12+($F36:$L36="Tm-")*6+($F36:$L36="Mt-")*6)</f>
        <v/>
      </c>
      <c r="AU36" s="118">
        <f>AT36-MAX(0,IFERROR(INDEX(CADASTRO!$I$4:$I$80,MATCH($A36,CADASTRO!$A$4:$A$80,0)),$B36)-CONFIG!$B$50*(COUNTIF($F36:$L36,"AB")+COUNTIF($F36:$L36,"FE")+COUNTIF($F36:$L36,"LM")))</f>
        <v/>
      </c>
      <c r="AV36" s="117">
        <f>SUMPRODUCT(($M36:$S36="M")*6+($M36:$S36="T")*6+($M36:$S36="D")*12+($M36:$S36="N")*12+($M36:$S36="NT")*6+($M36:$S36="C")*10+($M36:$S36="A")*8+($M36:$S36="J")*5+($M36:$S36="CEP")*4+($M36:$S36="CP")*6+($M36:$S36="CRO")*6+($M36:$S36="M+")*6+($M36:$S36="T+")*6+($M36:$S36="D+")*12+($M36:$S36="N+")*12+($M36:$S36="Dm+")*12+($M36:$S36="Dt+")*12+($M36:$S36="Tm-")*6+($M36:$S36="Mt-")*6)</f>
        <v/>
      </c>
      <c r="AW36" s="118">
        <f>AV36-MAX(0,IFERROR(INDEX(CADASTRO!$I$4:$I$80,MATCH($A36,CADASTRO!$A$4:$A$80,0)),$B36)-CONFIG!$B$50*(COUNTIF($M36:$S36,"AB")+COUNTIF($M36:$S36,"FE")+COUNTIF($M36:$S36,"LM")))</f>
        <v/>
      </c>
      <c r="AX36" s="117">
        <f>SUMPRODUCT(($T36:$Z36="M")*6+($T36:$Z36="T")*6+($T36:$Z36="D")*12+($T36:$Z36="N")*12+($T36:$Z36="NT")*6+($T36:$Z36="C")*10+($T36:$Z36="A")*8+($T36:$Z36="J")*5+($T36:$Z36="CEP")*4+($T36:$Z36="CP")*6+($T36:$Z36="CRO")*6+($T36:$Z36="M+")*6+($T36:$Z36="T+")*6+($T36:$Z36="D+")*12+($T36:$Z36="N+")*12+($T36:$Z36="Dm+")*12+($T36:$Z36="Dt+")*12+($T36:$Z36="Tm-")*6+($T36:$Z36="Mt-")*6)</f>
        <v/>
      </c>
      <c r="AY36" s="118">
        <f>AX36-MAX(0,IFERROR(INDEX(CADASTRO!$I$4:$I$80,MATCH($A36,CADASTRO!$A$4:$A$80,0)),$B36)-CONFIG!$B$50*(COUNTIF($T36:$Z36,"AB")+COUNTIF($T36:$Z36,"FE")+COUNTIF($T36:$Z36,"LM")))</f>
        <v/>
      </c>
      <c r="AZ36" s="117">
        <f>SUMPRODUCT(($AA36:$AG36="M")*6+($AA36:$AG36="T")*6+($AA36:$AG36="D")*12+($AA36:$AG36="N")*12+($AA36:$AG36="NT")*6+($AA36:$AG36="C")*10+($AA36:$AG36="A")*8+($AA36:$AG36="J")*5+($AA36:$AG36="CEP")*4+($AA36:$AG36="CP")*6+($AA36:$AG36="CRO")*6+($AA36:$AG36="M+")*6+($AA36:$AG36="T+")*6+($AA36:$AG36="D+")*12+($AA36:$AG36="N+")*12+($AA36:$AG36="Dm+")*12+($AA36:$AG36="Dt+")*12+($AA36:$AG36="Tm-")*6+($AA36:$AG36="Mt-")*6)</f>
        <v/>
      </c>
      <c r="BA36" s="118">
        <f>AZ36-MAX(0,IFERROR(INDEX(CADASTRO!$I$4:$I$80,MATCH($A36,CADASTRO!$A$4:$A$80,0)),$B36)-CONFIG!$B$50*(COUNTIF($AA36:$AG36,"AB")+COUNTIF($AA36:$AG36,"FE")+COUNTIF($AA36:$AG36,"LM")))</f>
        <v/>
      </c>
      <c r="BB36" s="117">
        <f>SUMPRODUCT(($AH36:$AM36="M")*6+($AH36:$AM36="T")*6+($AH36:$AM36="D")*12+($AH36:$AM36="N")*12+($AH36:$AM36="NT")*6+($AH36:$AM36="C")*10+($AH36:$AM36="A")*8+($AH36:$AM36="J")*5+($AH36:$AM36="CEP")*4+($AH36:$AM36="CP")*6+($AH36:$AM36="CRO")*6+($AH36:$AM36="M+")*6+($AH36:$AM36="T+")*6+($AH36:$AM36="D+")*12+($AH36:$AM36="N+")*12+($AH36:$AM36="Dm+")*12+($AH36:$AM36="Dt+")*12+($AH36:$AM36="Tm-")*6+($AH36:$AM36="Mt-")*6)+SUMPRODUCT(($AN36:$AN36="M")*6+($AN36:$AN36="T")*6+($AN36:$AN36="D")*12+($AN36:$AN36="N")*12+($AN36:$AN36="NT")*6+($AN36:$AN36="C")*10+($AN36:$AN36="A")*8+($AN36:$AN36="J")*5+($AN36:$AN36="CEP")*4+($AN36:$AN36="CP")*6+($AN36:$AN36="CRO")*6+($AN36:$AN36="M+")*6+($AN36:$AN36="T+")*6+($AN36:$AN36="D+")*12+($AN36:$AN36="N+")*12+($AN36:$AN36="Dm+")*12+($AN36:$AN36="Dt+")*12+($AN36:$AN36="Tm-")*6+($AN36:$AN36="Mt-")*6)</f>
        <v/>
      </c>
      <c r="BC36" s="118">
        <f>BB36-MAX(0,IFERROR(INDEX(CADASTRO!$I$4:$I$80,MATCH($A36,CADASTRO!$A$4:$A$80,0)),$B36)-CONFIG!$B$50*(COUNTIF($AH36:$AM36,"AB")+COUNTIF($AH36:$AM36,"FE")+COUNTIF($AH36:$AM36,"LM")+COUNTIF($AN36:$AN36,"AB")+COUNTIF($AN36:$AN36,"FE")+COUNTIF($AN36:$AN36,"LM")))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00" t="n"/>
      <c r="H37" s="100" t="n"/>
      <c r="I37" s="114" t="n"/>
      <c r="J37" s="127" t="inlineStr">
        <is>
          <t>T-</t>
        </is>
      </c>
      <c r="K37" s="114" t="n"/>
      <c r="L37" s="125" t="inlineStr">
        <is>
          <t>N</t>
        </is>
      </c>
      <c r="M37" s="114" t="n"/>
      <c r="N37" s="124" t="inlineStr">
        <is>
          <t>D</t>
        </is>
      </c>
      <c r="O37" s="114" t="n"/>
      <c r="P37" s="124" t="inlineStr">
        <is>
          <t>D</t>
        </is>
      </c>
      <c r="Q37" s="115" t="inlineStr">
        <is>
          <t>M</t>
        </is>
      </c>
      <c r="R37" s="114" t="n"/>
      <c r="S37" s="114" t="n"/>
      <c r="T37" s="114" t="n"/>
      <c r="U37" s="124" t="inlineStr">
        <is>
          <t>D</t>
        </is>
      </c>
      <c r="V37" s="114" t="n"/>
      <c r="W37" s="114" t="n"/>
      <c r="X37" s="115" t="inlineStr">
        <is>
          <t>M</t>
        </is>
      </c>
      <c r="Y37" s="114" t="n"/>
      <c r="Z37" s="125" t="inlineStr">
        <is>
          <t>N</t>
        </is>
      </c>
      <c r="AA37" s="115" t="inlineStr">
        <is>
          <t>M</t>
        </is>
      </c>
      <c r="AB37" s="114" t="n"/>
      <c r="AC37" s="115" t="inlineStr">
        <is>
          <t>M</t>
        </is>
      </c>
      <c r="AD37" s="126" t="inlineStr">
        <is>
          <t>T</t>
        </is>
      </c>
      <c r="AE37" s="115" t="inlineStr">
        <is>
          <t>M</t>
        </is>
      </c>
      <c r="AF37" s="126" t="inlineStr">
        <is>
          <t>T</t>
        </is>
      </c>
      <c r="AG37" s="114" t="n"/>
      <c r="AH37" s="115" t="inlineStr">
        <is>
          <t>M</t>
        </is>
      </c>
      <c r="AI37" s="124" t="inlineStr">
        <is>
          <t>D</t>
        </is>
      </c>
      <c r="AJ37" s="114" t="n"/>
      <c r="AK37" s="124" t="inlineStr">
        <is>
          <t>D</t>
        </is>
      </c>
      <c r="AL37" s="114" t="n"/>
      <c r="AM37" s="114" t="n"/>
      <c r="AN37" s="116">
        <f>IFERROR(INDEX(FEV!I$8:I$73,MATCH($A37,FEV!$A$8:$A$73,0))&amp;"","")</f>
        <v/>
      </c>
      <c r="AO37" s="100" t="n"/>
      <c r="AP37" s="100" t="n"/>
      <c r="AQ37" s="100" t="n"/>
      <c r="AR37" s="100" t="n"/>
      <c r="AS37" s="100" t="n"/>
      <c r="AT37" s="117">
        <f>SUMPRODUCT(($F37:$L37="M")*6+($F37:$L37="T")*6+($F37:$L37="D")*12+($F37:$L37="N")*12+($F37:$L37="NT")*6+($F37:$L37="C")*10+($F37:$L37="A")*8+($F37:$L37="J")*5+($F37:$L37="CEP")*4+($F37:$L37="CP")*6+($F37:$L37="CRO")*6+($F37:$L37="M+")*6+($F37:$L37="T+")*6+($F37:$L37="D+")*12+($F37:$L37="N+")*12+($F37:$L37="Dm+")*12+($F37:$L37="Dt+")*12+($F37:$L37="Tm-")*6+($F37:$L37="Mt-")*6)</f>
        <v/>
      </c>
      <c r="AU37" s="118">
        <f>AT37-MAX(0,IFERROR(INDEX(CADASTRO!$I$4:$I$80,MATCH($A37,CADASTRO!$A$4:$A$80,0)),$B37)-CONFIG!$B$50*(COUNTIF($F37:$L37,"AB")+COUNTIF($F37:$L37,"FE")+COUNTIF($F37:$L37,"LM")))</f>
        <v/>
      </c>
      <c r="AV37" s="117">
        <f>SUMPRODUCT(($M37:$S37="M")*6+($M37:$S37="T")*6+($M37:$S37="D")*12+($M37:$S37="N")*12+($M37:$S37="NT")*6+($M37:$S37="C")*10+($M37:$S37="A")*8+($M37:$S37="J")*5+($M37:$S37="CEP")*4+($M37:$S37="CP")*6+($M37:$S37="CRO")*6+($M37:$S37="M+")*6+($M37:$S37="T+")*6+($M37:$S37="D+")*12+($M37:$S37="N+")*12+($M37:$S37="Dm+")*12+($M37:$S37="Dt+")*12+($M37:$S37="Tm-")*6+($M37:$S37="Mt-")*6)</f>
        <v/>
      </c>
      <c r="AW37" s="118">
        <f>AV37-MAX(0,IFERROR(INDEX(CADASTRO!$I$4:$I$80,MATCH($A37,CADASTRO!$A$4:$A$80,0)),$B37)-CONFIG!$B$50*(COUNTIF($M37:$S37,"AB")+COUNTIF($M37:$S37,"FE")+COUNTIF($M37:$S37,"LM")))</f>
        <v/>
      </c>
      <c r="AX37" s="117">
        <f>SUMPRODUCT(($T37:$Z37="M")*6+($T37:$Z37="T")*6+($T37:$Z37="D")*12+($T37:$Z37="N")*12+($T37:$Z37="NT")*6+($T37:$Z37="C")*10+($T37:$Z37="A")*8+($T37:$Z37="J")*5+($T37:$Z37="CEP")*4+($T37:$Z37="CP")*6+($T37:$Z37="CRO")*6+($T37:$Z37="M+")*6+($T37:$Z37="T+")*6+($T37:$Z37="D+")*12+($T37:$Z37="N+")*12+($T37:$Z37="Dm+")*12+($T37:$Z37="Dt+")*12+($T37:$Z37="Tm-")*6+($T37:$Z37="Mt-")*6)</f>
        <v/>
      </c>
      <c r="AY37" s="118">
        <f>AX37-MAX(0,IFERROR(INDEX(CADASTRO!$I$4:$I$80,MATCH($A37,CADASTRO!$A$4:$A$80,0)),$B37)-CONFIG!$B$50*(COUNTIF($T37:$Z37,"AB")+COUNTIF($T37:$Z37,"FE")+COUNTIF($T37:$Z37,"LM")))</f>
        <v/>
      </c>
      <c r="AZ37" s="117">
        <f>SUMPRODUCT(($AA37:$AG37="M")*6+($AA37:$AG37="T")*6+($AA37:$AG37="D")*12+($AA37:$AG37="N")*12+($AA37:$AG37="NT")*6+($AA37:$AG37="C")*10+($AA37:$AG37="A")*8+($AA37:$AG37="J")*5+($AA37:$AG37="CEP")*4+($AA37:$AG37="CP")*6+($AA37:$AG37="CRO")*6+($AA37:$AG37="M+")*6+($AA37:$AG37="T+")*6+($AA37:$AG37="D+")*12+($AA37:$AG37="N+")*12+($AA37:$AG37="Dm+")*12+($AA37:$AG37="Dt+")*12+($AA37:$AG37="Tm-")*6+($AA37:$AG37="Mt-")*6)</f>
        <v/>
      </c>
      <c r="BA37" s="118">
        <f>AZ37-MAX(0,IFERROR(INDEX(CADASTRO!$I$4:$I$80,MATCH($A37,CADASTRO!$A$4:$A$80,0)),$B37)-CONFIG!$B$50*(COUNTIF($AA37:$AG37,"AB")+COUNTIF($AA37:$AG37,"FE")+COUNTIF($AA37:$AG37,"LM")))</f>
        <v/>
      </c>
      <c r="BB37" s="117">
        <f>SUMPRODUCT(($AH37:$AM37="M")*6+($AH37:$AM37="T")*6+($AH37:$AM37="D")*12+($AH37:$AM37="N")*12+($AH37:$AM37="NT")*6+($AH37:$AM37="C")*10+($AH37:$AM37="A")*8+($AH37:$AM37="J")*5+($AH37:$AM37="CEP")*4+($AH37:$AM37="CP")*6+($AH37:$AM37="CRO")*6+($AH37:$AM37="M+")*6+($AH37:$AM37="T+")*6+($AH37:$AM37="D+")*12+($AH37:$AM37="N+")*12+($AH37:$AM37="Dm+")*12+($AH37:$AM37="Dt+")*12+($AH37:$AM37="Tm-")*6+($AH37:$AM37="Mt-")*6)+SUMPRODUCT(($AN37:$AN37="M")*6+($AN37:$AN37="T")*6+($AN37:$AN37="D")*12+($AN37:$AN37="N")*12+($AN37:$AN37="NT")*6+($AN37:$AN37="C")*10+($AN37:$AN37="A")*8+($AN37:$AN37="J")*5+($AN37:$AN37="CEP")*4+($AN37:$AN37="CP")*6+($AN37:$AN37="CRO")*6+($AN37:$AN37="M+")*6+($AN37:$AN37="T+")*6+($AN37:$AN37="D+")*12+($AN37:$AN37="N+")*12+($AN37:$AN37="Dm+")*12+($AN37:$AN37="Dt+")*12+($AN37:$AN37="Tm-")*6+($AN37:$AN37="Mt-")*6)</f>
        <v/>
      </c>
      <c r="BC37" s="118">
        <f>BB37-MAX(0,IFERROR(INDEX(CADASTRO!$I$4:$I$80,MATCH($A37,CADASTRO!$A$4:$A$80,0)),$B37)-CONFIG!$B$50*(COUNTIF($AH37:$AM37,"AB")+COUNTIF($AH37:$AM37,"FE")+COUNTIF($AH37:$AM37,"LM")+COUNTIF($AN37:$AN37,"AB")+COUNTIF($AN37:$AN37,"FE")+COUNTIF($AN37:$AN37,"LM")))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00" t="n"/>
      <c r="H38" s="100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14" t="n"/>
      <c r="AL38" s="114" t="n"/>
      <c r="AM38" s="114" t="n"/>
      <c r="AN38" s="116">
        <f>IFERROR(INDEX(FEV!I$8:I$73,MATCH($A38,FEV!$A$8:$A$73,0))&amp;"","")</f>
        <v/>
      </c>
      <c r="AO38" s="100" t="n"/>
      <c r="AP38" s="100" t="n"/>
      <c r="AQ38" s="100" t="n"/>
      <c r="AR38" s="100" t="n"/>
      <c r="AS38" s="100" t="n"/>
      <c r="AT38" s="117">
        <f>SUMPRODUCT(($F38:$L38="M")*6+($F38:$L38="T")*6+($F38:$L38="D")*12+($F38:$L38="N")*12+($F38:$L38="NT")*6+($F38:$L38="C")*10+($F38:$L38="A")*8+($F38:$L38="J")*5+($F38:$L38="CEP")*4+($F38:$L38="CP")*6+($F38:$L38="CRO")*6+($F38:$L38="M+")*6+($F38:$L38="T+")*6+($F38:$L38="D+")*12+($F38:$L38="N+")*12+($F38:$L38="Dm+")*12+($F38:$L38="Dt+")*12+($F38:$L38="Tm-")*6+($F38:$L38="Mt-")*6)</f>
        <v/>
      </c>
      <c r="AU38" s="118">
        <f>AT38-MAX(0,IFERROR(INDEX(CADASTRO!$I$4:$I$80,MATCH($A38,CADASTRO!$A$4:$A$80,0)),$B38)-CONFIG!$B$50*(COUNTIF($F38:$L38,"AB")+COUNTIF($F38:$L38,"FE")+COUNTIF($F38:$L38,"LM")))</f>
        <v/>
      </c>
      <c r="AV38" s="117">
        <f>SUMPRODUCT(($M38:$S38="M")*6+($M38:$S38="T")*6+($M38:$S38="D")*12+($M38:$S38="N")*12+($M38:$S38="NT")*6+($M38:$S38="C")*10+($M38:$S38="A")*8+($M38:$S38="J")*5+($M38:$S38="CEP")*4+($M38:$S38="CP")*6+($M38:$S38="CRO")*6+($M38:$S38="M+")*6+($M38:$S38="T+")*6+($M38:$S38="D+")*12+($M38:$S38="N+")*12+($M38:$S38="Dm+")*12+($M38:$S38="Dt+")*12+($M38:$S38="Tm-")*6+($M38:$S38="Mt-")*6)</f>
        <v/>
      </c>
      <c r="AW38" s="118">
        <f>AV38-MAX(0,IFERROR(INDEX(CADASTRO!$I$4:$I$80,MATCH($A38,CADASTRO!$A$4:$A$80,0)),$B38)-CONFIG!$B$50*(COUNTIF($M38:$S38,"AB")+COUNTIF($M38:$S38,"FE")+COUNTIF($M38:$S38,"LM")))</f>
        <v/>
      </c>
      <c r="AX38" s="117">
        <f>SUMPRODUCT(($T38:$Z38="M")*6+($T38:$Z38="T")*6+($T38:$Z38="D")*12+($T38:$Z38="N")*12+($T38:$Z38="NT")*6+($T38:$Z38="C")*10+($T38:$Z38="A")*8+($T38:$Z38="J")*5+($T38:$Z38="CEP")*4+($T38:$Z38="CP")*6+($T38:$Z38="CRO")*6+($T38:$Z38="M+")*6+($T38:$Z38="T+")*6+($T38:$Z38="D+")*12+($T38:$Z38="N+")*12+($T38:$Z38="Dm+")*12+($T38:$Z38="Dt+")*12+($T38:$Z38="Tm-")*6+($T38:$Z38="Mt-")*6)</f>
        <v/>
      </c>
      <c r="AY38" s="118">
        <f>AX38-MAX(0,IFERROR(INDEX(CADASTRO!$I$4:$I$80,MATCH($A38,CADASTRO!$A$4:$A$80,0)),$B38)-CONFIG!$B$50*(COUNTIF($T38:$Z38,"AB")+COUNTIF($T38:$Z38,"FE")+COUNTIF($T38:$Z38,"LM")))</f>
        <v/>
      </c>
      <c r="AZ38" s="117">
        <f>SUMPRODUCT(($AA38:$AG38="M")*6+($AA38:$AG38="T")*6+($AA38:$AG38="D")*12+($AA38:$AG38="N")*12+($AA38:$AG38="NT")*6+($AA38:$AG38="C")*10+($AA38:$AG38="A")*8+($AA38:$AG38="J")*5+($AA38:$AG38="CEP")*4+($AA38:$AG38="CP")*6+($AA38:$AG38="CRO")*6+($AA38:$AG38="M+")*6+($AA38:$AG38="T+")*6+($AA38:$AG38="D+")*12+($AA38:$AG38="N+")*12+($AA38:$AG38="Dm+")*12+($AA38:$AG38="Dt+")*12+($AA38:$AG38="Tm-")*6+($AA38:$AG38="Mt-")*6)</f>
        <v/>
      </c>
      <c r="BA38" s="118">
        <f>AZ38-MAX(0,IFERROR(INDEX(CADASTRO!$I$4:$I$80,MATCH($A38,CADASTRO!$A$4:$A$80,0)),$B38)-CONFIG!$B$50*(COUNTIF($AA38:$AG38,"AB")+COUNTIF($AA38:$AG38,"FE")+COUNTIF($AA38:$AG38,"LM")))</f>
        <v/>
      </c>
      <c r="BB38" s="117">
        <f>SUMPRODUCT(($AH38:$AM38="M")*6+($AH38:$AM38="T")*6+($AH38:$AM38="D")*12+($AH38:$AM38="N")*12+($AH38:$AM38="NT")*6+($AH38:$AM38="C")*10+($AH38:$AM38="A")*8+($AH38:$AM38="J")*5+($AH38:$AM38="CEP")*4+($AH38:$AM38="CP")*6+($AH38:$AM38="CRO")*6+($AH38:$AM38="M+")*6+($AH38:$AM38="T+")*6+($AH38:$AM38="D+")*12+($AH38:$AM38="N+")*12+($AH38:$AM38="Dm+")*12+($AH38:$AM38="Dt+")*12+($AH38:$AM38="Tm-")*6+($AH38:$AM38="Mt-")*6)+SUMPRODUCT(($AN38:$AN38="M")*6+($AN38:$AN38="T")*6+($AN38:$AN38="D")*12+($AN38:$AN38="N")*12+($AN38:$AN38="NT")*6+($AN38:$AN38="C")*10+($AN38:$AN38="A")*8+($AN38:$AN38="J")*5+($AN38:$AN38="CEP")*4+($AN38:$AN38="CP")*6+($AN38:$AN38="CRO")*6+($AN38:$AN38="M+")*6+($AN38:$AN38="T+")*6+($AN38:$AN38="D+")*12+($AN38:$AN38="N+")*12+($AN38:$AN38="Dm+")*12+($AN38:$AN38="Dt+")*12+($AN38:$AN38="Tm-")*6+($AN38:$AN38="Mt-")*6)</f>
        <v/>
      </c>
      <c r="BC38" s="118">
        <f>BB38-MAX(0,IFERROR(INDEX(CADASTRO!$I$4:$I$80,MATCH($A38,CADASTRO!$A$4:$A$80,0)),$B38)-CONFIG!$B$50*(COUNTIF($AH38:$AM38,"AB")+COUNTIF($AH38:$AM38,"FE")+COUNTIF($AH38:$AM38,"LM")+COUNTIF($AN38:$AN38,"AB")+COUNTIF($AN38:$AN38,"FE")+COUNTIF($AN38:$AN38,"LM")))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00" t="n"/>
      <c r="H39" s="100" t="n"/>
      <c r="I39" s="114" t="n"/>
      <c r="J39" s="114" t="n"/>
      <c r="K39" s="125" t="inlineStr">
        <is>
          <t>N</t>
        </is>
      </c>
      <c r="L39" s="114" t="n"/>
      <c r="M39" s="126" t="inlineStr">
        <is>
          <t>T</t>
        </is>
      </c>
      <c r="N39" s="115" t="inlineStr">
        <is>
          <t>M</t>
        </is>
      </c>
      <c r="O39" s="114" t="n"/>
      <c r="P39" s="114" t="n"/>
      <c r="Q39" s="115" t="inlineStr">
        <is>
          <t>M</t>
        </is>
      </c>
      <c r="R39" s="126" t="inlineStr">
        <is>
          <t>T</t>
        </is>
      </c>
      <c r="S39" s="114" t="n"/>
      <c r="T39" s="126" t="inlineStr">
        <is>
          <t>T</t>
        </is>
      </c>
      <c r="U39" s="115" t="inlineStr">
        <is>
          <t>M</t>
        </is>
      </c>
      <c r="V39" s="114" t="n"/>
      <c r="W39" s="126" t="inlineStr">
        <is>
          <t>T</t>
        </is>
      </c>
      <c r="X39" s="115" t="inlineStr">
        <is>
          <t>M</t>
        </is>
      </c>
      <c r="Y39" s="114" t="n"/>
      <c r="Z39" s="114" t="n"/>
      <c r="AA39" s="114" t="n"/>
      <c r="AB39" s="115" t="inlineStr">
        <is>
          <t>M</t>
        </is>
      </c>
      <c r="AC39" s="124" t="inlineStr">
        <is>
          <t>D</t>
        </is>
      </c>
      <c r="AD39" s="114" t="n"/>
      <c r="AE39" s="115" t="inlineStr">
        <is>
          <t>M</t>
        </is>
      </c>
      <c r="AF39" s="114" t="n"/>
      <c r="AG39" s="114" t="n"/>
      <c r="AH39" s="114" t="n"/>
      <c r="AI39" s="115" t="inlineStr">
        <is>
          <t>M</t>
        </is>
      </c>
      <c r="AJ39" s="114" t="n"/>
      <c r="AK39" s="115" t="inlineStr">
        <is>
          <t>M</t>
        </is>
      </c>
      <c r="AL39" s="114" t="n"/>
      <c r="AM39" s="125" t="inlineStr">
        <is>
          <t>N</t>
        </is>
      </c>
      <c r="AN39" s="116">
        <f>IFERROR(INDEX(FEV!I$8:I$73,MATCH($A39,FEV!$A$8:$A$73,0))&amp;"","")</f>
        <v/>
      </c>
      <c r="AO39" s="100" t="n"/>
      <c r="AP39" s="100" t="n"/>
      <c r="AQ39" s="100" t="n"/>
      <c r="AR39" s="100" t="n"/>
      <c r="AS39" s="100" t="n"/>
      <c r="AT39" s="117">
        <f>SUMPRODUCT(($F39:$L39="M")*6+($F39:$L39="T")*6+($F39:$L39="D")*12+($F39:$L39="N")*12+($F39:$L39="NT")*6+($F39:$L39="C")*10+($F39:$L39="A")*8+($F39:$L39="J")*5+($F39:$L39="CEP")*4+($F39:$L39="CP")*6+($F39:$L39="CRO")*6+($F39:$L39="M+")*6+($F39:$L39="T+")*6+($F39:$L39="D+")*12+($F39:$L39="N+")*12+($F39:$L39="Dm+")*12+($F39:$L39="Dt+")*12+($F39:$L39="Tm-")*6+($F39:$L39="Mt-")*6)</f>
        <v/>
      </c>
      <c r="AU39" s="118">
        <f>AT39-MAX(0,IFERROR(INDEX(CADASTRO!$I$4:$I$80,MATCH($A39,CADASTRO!$A$4:$A$80,0)),$B39)-CONFIG!$B$50*(COUNTIF($F39:$L39,"AB")+COUNTIF($F39:$L39,"FE")+COUNTIF($F39:$L39,"LM")))</f>
        <v/>
      </c>
      <c r="AV39" s="117">
        <f>SUMPRODUCT(($M39:$S39="M")*6+($M39:$S39="T")*6+($M39:$S39="D")*12+($M39:$S39="N")*12+($M39:$S39="NT")*6+($M39:$S39="C")*10+($M39:$S39="A")*8+($M39:$S39="J")*5+($M39:$S39="CEP")*4+($M39:$S39="CP")*6+($M39:$S39="CRO")*6+($M39:$S39="M+")*6+($M39:$S39="T+")*6+($M39:$S39="D+")*12+($M39:$S39="N+")*12+($M39:$S39="Dm+")*12+($M39:$S39="Dt+")*12+($M39:$S39="Tm-")*6+($M39:$S39="Mt-")*6)</f>
        <v/>
      </c>
      <c r="AW39" s="118">
        <f>AV39-MAX(0,IFERROR(INDEX(CADASTRO!$I$4:$I$80,MATCH($A39,CADASTRO!$A$4:$A$80,0)),$B39)-CONFIG!$B$50*(COUNTIF($M39:$S39,"AB")+COUNTIF($M39:$S39,"FE")+COUNTIF($M39:$S39,"LM")))</f>
        <v/>
      </c>
      <c r="AX39" s="117">
        <f>SUMPRODUCT(($T39:$Z39="M")*6+($T39:$Z39="T")*6+($T39:$Z39="D")*12+($T39:$Z39="N")*12+($T39:$Z39="NT")*6+($T39:$Z39="C")*10+($T39:$Z39="A")*8+($T39:$Z39="J")*5+($T39:$Z39="CEP")*4+($T39:$Z39="CP")*6+($T39:$Z39="CRO")*6+($T39:$Z39="M+")*6+($T39:$Z39="T+")*6+($T39:$Z39="D+")*12+($T39:$Z39="N+")*12+($T39:$Z39="Dm+")*12+($T39:$Z39="Dt+")*12+($T39:$Z39="Tm-")*6+($T39:$Z39="Mt-")*6)</f>
        <v/>
      </c>
      <c r="AY39" s="118">
        <f>AX39-MAX(0,IFERROR(INDEX(CADASTRO!$I$4:$I$80,MATCH($A39,CADASTRO!$A$4:$A$80,0)),$B39)-CONFIG!$B$50*(COUNTIF($T39:$Z39,"AB")+COUNTIF($T39:$Z39,"FE")+COUNTIF($T39:$Z39,"LM")))</f>
        <v/>
      </c>
      <c r="AZ39" s="117">
        <f>SUMPRODUCT(($AA39:$AG39="M")*6+($AA39:$AG39="T")*6+($AA39:$AG39="D")*12+($AA39:$AG39="N")*12+($AA39:$AG39="NT")*6+($AA39:$AG39="C")*10+($AA39:$AG39="A")*8+($AA39:$AG39="J")*5+($AA39:$AG39="CEP")*4+($AA39:$AG39="CP")*6+($AA39:$AG39="CRO")*6+($AA39:$AG39="M+")*6+($AA39:$AG39="T+")*6+($AA39:$AG39="D+")*12+($AA39:$AG39="N+")*12+($AA39:$AG39="Dm+")*12+($AA39:$AG39="Dt+")*12+($AA39:$AG39="Tm-")*6+($AA39:$AG39="Mt-")*6)</f>
        <v/>
      </c>
      <c r="BA39" s="118">
        <f>AZ39-MAX(0,IFERROR(INDEX(CADASTRO!$I$4:$I$80,MATCH($A39,CADASTRO!$A$4:$A$80,0)),$B39)-CONFIG!$B$50*(COUNTIF($AA39:$AG39,"AB")+COUNTIF($AA39:$AG39,"FE")+COUNTIF($AA39:$AG39,"LM")))</f>
        <v/>
      </c>
      <c r="BB39" s="117">
        <f>SUMPRODUCT(($AH39:$AM39="M")*6+($AH39:$AM39="T")*6+($AH39:$AM39="D")*12+($AH39:$AM39="N")*12+($AH39:$AM39="NT")*6+($AH39:$AM39="C")*10+($AH39:$AM39="A")*8+($AH39:$AM39="J")*5+($AH39:$AM39="CEP")*4+($AH39:$AM39="CP")*6+($AH39:$AM39="CRO")*6+($AH39:$AM39="M+")*6+($AH39:$AM39="T+")*6+($AH39:$AM39="D+")*12+($AH39:$AM39="N+")*12+($AH39:$AM39="Dm+")*12+($AH39:$AM39="Dt+")*12+($AH39:$AM39="Tm-")*6+($AH39:$AM39="Mt-")*6)+SUMPRODUCT(($AN39:$AN39="M")*6+($AN39:$AN39="T")*6+($AN39:$AN39="D")*12+($AN39:$AN39="N")*12+($AN39:$AN39="NT")*6+($AN39:$AN39="C")*10+($AN39:$AN39="A")*8+($AN39:$AN39="J")*5+($AN39:$AN39="CEP")*4+($AN39:$AN39="CP")*6+($AN39:$AN39="CRO")*6+($AN39:$AN39="M+")*6+($AN39:$AN39="T+")*6+($AN39:$AN39="D+")*12+($AN39:$AN39="N+")*12+($AN39:$AN39="Dm+")*12+($AN39:$AN39="Dt+")*12+($AN39:$AN39="Tm-")*6+($AN39:$AN39="Mt-")*6)</f>
        <v/>
      </c>
      <c r="BC39" s="118">
        <f>BB39-MAX(0,IFERROR(INDEX(CADASTRO!$I$4:$I$80,MATCH($A39,CADASTRO!$A$4:$A$80,0)),$B39)-CONFIG!$B$50*(COUNTIF($AH39:$AM39,"AB")+COUNTIF($AH39:$AM39,"FE")+COUNTIF($AH39:$AM39,"LM")+COUNTIF($AN39:$AN39,"AB")+COUNTIF($AN39:$AN39,"FE")+COUNTIF($AN39:$AN39,"LM")))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00" t="n"/>
      <c r="H40" s="100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14" t="n"/>
      <c r="AN40" s="116">
        <f>IFERROR(INDEX(FEV!I$8:I$73,MATCH($A40,FEV!$A$8:$A$73,0))&amp;"","")</f>
        <v/>
      </c>
      <c r="AO40" s="100" t="n"/>
      <c r="AP40" s="100" t="n"/>
      <c r="AQ40" s="100" t="n"/>
      <c r="AR40" s="100" t="n"/>
      <c r="AS40" s="100" t="n"/>
      <c r="AT40" s="117">
        <f>SUMPRODUCT(($F40:$L40="M")*6+($F40:$L40="T")*6+($F40:$L40="D")*12+($F40:$L40="N")*12+($F40:$L40="NT")*6+($F40:$L40="C")*10+($F40:$L40="A")*8+($F40:$L40="J")*5+($F40:$L40="CEP")*4+($F40:$L40="CP")*6+($F40:$L40="CRO")*6+($F40:$L40="M+")*6+($F40:$L40="T+")*6+($F40:$L40="D+")*12+($F40:$L40="N+")*12+($F40:$L40="Dm+")*12+($F40:$L40="Dt+")*12+($F40:$L40="Tm-")*6+($F40:$L40="Mt-")*6)</f>
        <v/>
      </c>
      <c r="AU40" s="118">
        <f>AT40-MAX(0,IFERROR(INDEX(CADASTRO!$I$4:$I$80,MATCH($A40,CADASTRO!$A$4:$A$80,0)),$B40)-CONFIG!$B$50*(COUNTIF($F40:$L40,"AB")+COUNTIF($F40:$L40,"FE")+COUNTIF($F40:$L40,"LM")))</f>
        <v/>
      </c>
      <c r="AV40" s="117">
        <f>SUMPRODUCT(($M40:$S40="M")*6+($M40:$S40="T")*6+($M40:$S40="D")*12+($M40:$S40="N")*12+($M40:$S40="NT")*6+($M40:$S40="C")*10+($M40:$S40="A")*8+($M40:$S40="J")*5+($M40:$S40="CEP")*4+($M40:$S40="CP")*6+($M40:$S40="CRO")*6+($M40:$S40="M+")*6+($M40:$S40="T+")*6+($M40:$S40="D+")*12+($M40:$S40="N+")*12+($M40:$S40="Dm+")*12+($M40:$S40="Dt+")*12+($M40:$S40="Tm-")*6+($M40:$S40="Mt-")*6)</f>
        <v/>
      </c>
      <c r="AW40" s="118">
        <f>AV40-MAX(0,IFERROR(INDEX(CADASTRO!$I$4:$I$80,MATCH($A40,CADASTRO!$A$4:$A$80,0)),$B40)-CONFIG!$B$50*(COUNTIF($M40:$S40,"AB")+COUNTIF($M40:$S40,"FE")+COUNTIF($M40:$S40,"LM")))</f>
        <v/>
      </c>
      <c r="AX40" s="117">
        <f>SUMPRODUCT(($T40:$Z40="M")*6+($T40:$Z40="T")*6+($T40:$Z40="D")*12+($T40:$Z40="N")*12+($T40:$Z40="NT")*6+($T40:$Z40="C")*10+($T40:$Z40="A")*8+($T40:$Z40="J")*5+($T40:$Z40="CEP")*4+($T40:$Z40="CP")*6+($T40:$Z40="CRO")*6+($T40:$Z40="M+")*6+($T40:$Z40="T+")*6+($T40:$Z40="D+")*12+($T40:$Z40="N+")*12+($T40:$Z40="Dm+")*12+($T40:$Z40="Dt+")*12+($T40:$Z40="Tm-")*6+($T40:$Z40="Mt-")*6)</f>
        <v/>
      </c>
      <c r="AY40" s="118">
        <f>AX40-MAX(0,IFERROR(INDEX(CADASTRO!$I$4:$I$80,MATCH($A40,CADASTRO!$A$4:$A$80,0)),$B40)-CONFIG!$B$50*(COUNTIF($T40:$Z40,"AB")+COUNTIF($T40:$Z40,"FE")+COUNTIF($T40:$Z40,"LM")))</f>
        <v/>
      </c>
      <c r="AZ40" s="117">
        <f>SUMPRODUCT(($AA40:$AG40="M")*6+($AA40:$AG40="T")*6+($AA40:$AG40="D")*12+($AA40:$AG40="N")*12+($AA40:$AG40="NT")*6+($AA40:$AG40="C")*10+($AA40:$AG40="A")*8+($AA40:$AG40="J")*5+($AA40:$AG40="CEP")*4+($AA40:$AG40="CP")*6+($AA40:$AG40="CRO")*6+($AA40:$AG40="M+")*6+($AA40:$AG40="T+")*6+($AA40:$AG40="D+")*12+($AA40:$AG40="N+")*12+($AA40:$AG40="Dm+")*12+($AA40:$AG40="Dt+")*12+($AA40:$AG40="Tm-")*6+($AA40:$AG40="Mt-")*6)</f>
        <v/>
      </c>
      <c r="BA40" s="118">
        <f>AZ40-MAX(0,IFERROR(INDEX(CADASTRO!$I$4:$I$80,MATCH($A40,CADASTRO!$A$4:$A$80,0)),$B40)-CONFIG!$B$50*(COUNTIF($AA40:$AG40,"AB")+COUNTIF($AA40:$AG40,"FE")+COUNTIF($AA40:$AG40,"LM")))</f>
        <v/>
      </c>
      <c r="BB40" s="117">
        <f>SUMPRODUCT(($AH40:$AM40="M")*6+($AH40:$AM40="T")*6+($AH40:$AM40="D")*12+($AH40:$AM40="N")*12+($AH40:$AM40="NT")*6+($AH40:$AM40="C")*10+($AH40:$AM40="A")*8+($AH40:$AM40="J")*5+($AH40:$AM40="CEP")*4+($AH40:$AM40="CP")*6+($AH40:$AM40="CRO")*6+($AH40:$AM40="M+")*6+($AH40:$AM40="T+")*6+($AH40:$AM40="D+")*12+($AH40:$AM40="N+")*12+($AH40:$AM40="Dm+")*12+($AH40:$AM40="Dt+")*12+($AH40:$AM40="Tm-")*6+($AH40:$AM40="Mt-")*6)+SUMPRODUCT(($AN40:$AN40="M")*6+($AN40:$AN40="T")*6+($AN40:$AN40="D")*12+($AN40:$AN40="N")*12+($AN40:$AN40="NT")*6+($AN40:$AN40="C")*10+($AN40:$AN40="A")*8+($AN40:$AN40="J")*5+($AN40:$AN40="CEP")*4+($AN40:$AN40="CP")*6+($AN40:$AN40="CRO")*6+($AN40:$AN40="M+")*6+($AN40:$AN40="T+")*6+($AN40:$AN40="D+")*12+($AN40:$AN40="N+")*12+($AN40:$AN40="Dm+")*12+($AN40:$AN40="Dt+")*12+($AN40:$AN40="Tm-")*6+($AN40:$AN40="Mt-")*6)</f>
        <v/>
      </c>
      <c r="BC40" s="118">
        <f>BB40-MAX(0,IFERROR(INDEX(CADASTRO!$I$4:$I$80,MATCH($A40,CADASTRO!$A$4:$A$80,0)),$B40)-CONFIG!$B$50*(COUNTIF($AH40:$AM40,"AB")+COUNTIF($AH40:$AM40,"FE")+COUNTIF($AH40:$AM40,"LM")+COUNTIF($AN40:$AN40,"AB")+COUNTIF($AN40:$AN40,"FE")+COUNTIF($AN40:$AN40,"LM")))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00" t="n"/>
      <c r="H41" s="100" t="n"/>
      <c r="I41" s="114" t="n"/>
      <c r="J41" s="114" t="n"/>
      <c r="K41" s="114" t="n"/>
      <c r="L41" s="114" t="n"/>
      <c r="M41" s="115" t="inlineStr">
        <is>
          <t>M</t>
        </is>
      </c>
      <c r="N41" s="115" t="inlineStr">
        <is>
          <t>M</t>
        </is>
      </c>
      <c r="O41" s="125" t="inlineStr">
        <is>
          <t>N</t>
        </is>
      </c>
      <c r="P41" s="114" t="n"/>
      <c r="Q41" s="114" t="n"/>
      <c r="R41" s="114" t="n"/>
      <c r="S41" s="114" t="n"/>
      <c r="T41" s="114" t="n"/>
      <c r="U41" s="114" t="n"/>
      <c r="V41" s="114" t="n"/>
      <c r="W41" s="124" t="inlineStr">
        <is>
          <t>D</t>
        </is>
      </c>
      <c r="X41" s="114" t="n"/>
      <c r="Y41" s="125" t="inlineStr">
        <is>
          <t>N</t>
        </is>
      </c>
      <c r="Z41" s="114" t="n"/>
      <c r="AA41" s="114" t="n"/>
      <c r="AB41" s="114" t="n"/>
      <c r="AC41" s="114" t="n"/>
      <c r="AD41" s="114" t="n"/>
      <c r="AE41" s="124" t="inlineStr">
        <is>
          <t>D</t>
        </is>
      </c>
      <c r="AF41" s="124" t="inlineStr">
        <is>
          <t>D</t>
        </is>
      </c>
      <c r="AG41" s="114" t="n"/>
      <c r="AH41" s="114" t="n"/>
      <c r="AI41" s="114" t="n"/>
      <c r="AJ41" s="114" t="n"/>
      <c r="AK41" s="114" t="n"/>
      <c r="AL41" s="124" t="inlineStr">
        <is>
          <t>D</t>
        </is>
      </c>
      <c r="AM41" s="114" t="n"/>
      <c r="AN41" s="116">
        <f>IFERROR(INDEX(FEV!I$8:I$73,MATCH($A41,FEV!$A$8:$A$73,0))&amp;"","")</f>
        <v/>
      </c>
      <c r="AO41" s="100" t="n"/>
      <c r="AP41" s="100" t="n"/>
      <c r="AQ41" s="100" t="n"/>
      <c r="AR41" s="100" t="n"/>
      <c r="AS41" s="100" t="n"/>
      <c r="AT41" s="117">
        <f>SUMPRODUCT(($F41:$L41="M")*6+($F41:$L41="T")*6+($F41:$L41="D")*12+($F41:$L41="N")*12+($F41:$L41="NT")*6+($F41:$L41="C")*10+($F41:$L41="A")*8+($F41:$L41="J")*5+($F41:$L41="CEP")*4+($F41:$L41="CP")*6+($F41:$L41="CRO")*6+($F41:$L41="M+")*6+($F41:$L41="T+")*6+($F41:$L41="D+")*12+($F41:$L41="N+")*12+($F41:$L41="Dm+")*12+($F41:$L41="Dt+")*12+($F41:$L41="Tm-")*6+($F41:$L41="Mt-")*6)</f>
        <v/>
      </c>
      <c r="AU41" s="118">
        <f>AT41-MAX(0,IFERROR(INDEX(CADASTRO!$I$4:$I$80,MATCH($A41,CADASTRO!$A$4:$A$80,0)),$B41)-CONFIG!$B$50*(COUNTIF($F41:$L41,"AB")+COUNTIF($F41:$L41,"FE")+COUNTIF($F41:$L41,"LM")))</f>
        <v/>
      </c>
      <c r="AV41" s="117">
        <f>SUMPRODUCT(($M41:$S41="M")*6+($M41:$S41="T")*6+($M41:$S41="D")*12+($M41:$S41="N")*12+($M41:$S41="NT")*6+($M41:$S41="C")*10+($M41:$S41="A")*8+($M41:$S41="J")*5+($M41:$S41="CEP")*4+($M41:$S41="CP")*6+($M41:$S41="CRO")*6+($M41:$S41="M+")*6+($M41:$S41="T+")*6+($M41:$S41="D+")*12+($M41:$S41="N+")*12+($M41:$S41="Dm+")*12+($M41:$S41="Dt+")*12+($M41:$S41="Tm-")*6+($M41:$S41="Mt-")*6)</f>
        <v/>
      </c>
      <c r="AW41" s="118">
        <f>AV41-MAX(0,IFERROR(INDEX(CADASTRO!$I$4:$I$80,MATCH($A41,CADASTRO!$A$4:$A$80,0)),$B41)-CONFIG!$B$50*(COUNTIF($M41:$S41,"AB")+COUNTIF($M41:$S41,"FE")+COUNTIF($M41:$S41,"LM")))</f>
        <v/>
      </c>
      <c r="AX41" s="117">
        <f>SUMPRODUCT(($T41:$Z41="M")*6+($T41:$Z41="T")*6+($T41:$Z41="D")*12+($T41:$Z41="N")*12+($T41:$Z41="NT")*6+($T41:$Z41="C")*10+($T41:$Z41="A")*8+($T41:$Z41="J")*5+($T41:$Z41="CEP")*4+($T41:$Z41="CP")*6+($T41:$Z41="CRO")*6+($T41:$Z41="M+")*6+($T41:$Z41="T+")*6+($T41:$Z41="D+")*12+($T41:$Z41="N+")*12+($T41:$Z41="Dm+")*12+($T41:$Z41="Dt+")*12+($T41:$Z41="Tm-")*6+($T41:$Z41="Mt-")*6)</f>
        <v/>
      </c>
      <c r="AY41" s="118">
        <f>AX41-MAX(0,IFERROR(INDEX(CADASTRO!$I$4:$I$80,MATCH($A41,CADASTRO!$A$4:$A$80,0)),$B41)-CONFIG!$B$50*(COUNTIF($T41:$Z41,"AB")+COUNTIF($T41:$Z41,"FE")+COUNTIF($T41:$Z41,"LM")))</f>
        <v/>
      </c>
      <c r="AZ41" s="117">
        <f>SUMPRODUCT(($AA41:$AG41="M")*6+($AA41:$AG41="T")*6+($AA41:$AG41="D")*12+($AA41:$AG41="N")*12+($AA41:$AG41="NT")*6+($AA41:$AG41="C")*10+($AA41:$AG41="A")*8+($AA41:$AG41="J")*5+($AA41:$AG41="CEP")*4+($AA41:$AG41="CP")*6+($AA41:$AG41="CRO")*6+($AA41:$AG41="M+")*6+($AA41:$AG41="T+")*6+($AA41:$AG41="D+")*12+($AA41:$AG41="N+")*12+($AA41:$AG41="Dm+")*12+($AA41:$AG41="Dt+")*12+($AA41:$AG41="Tm-")*6+($AA41:$AG41="Mt-")*6)</f>
        <v/>
      </c>
      <c r="BA41" s="118">
        <f>AZ41-MAX(0,IFERROR(INDEX(CADASTRO!$I$4:$I$80,MATCH($A41,CADASTRO!$A$4:$A$80,0)),$B41)-CONFIG!$B$50*(COUNTIF($AA41:$AG41,"AB")+COUNTIF($AA41:$AG41,"FE")+COUNTIF($AA41:$AG41,"LM")))</f>
        <v/>
      </c>
      <c r="BB41" s="117">
        <f>SUMPRODUCT(($AH41:$AM41="M")*6+($AH41:$AM41="T")*6+($AH41:$AM41="D")*12+($AH41:$AM41="N")*12+($AH41:$AM41="NT")*6+($AH41:$AM41="C")*10+($AH41:$AM41="A")*8+($AH41:$AM41="J")*5+($AH41:$AM41="CEP")*4+($AH41:$AM41="CP")*6+($AH41:$AM41="CRO")*6+($AH41:$AM41="M+")*6+($AH41:$AM41="T+")*6+($AH41:$AM41="D+")*12+($AH41:$AM41="N+")*12+($AH41:$AM41="Dm+")*12+($AH41:$AM41="Dt+")*12+($AH41:$AM41="Tm-")*6+($AH41:$AM41="Mt-")*6)+SUMPRODUCT(($AN41:$AN41="M")*6+($AN41:$AN41="T")*6+($AN41:$AN41="D")*12+($AN41:$AN41="N")*12+($AN41:$AN41="NT")*6+($AN41:$AN41="C")*10+($AN41:$AN41="A")*8+($AN41:$AN41="J")*5+($AN41:$AN41="CEP")*4+($AN41:$AN41="CP")*6+($AN41:$AN41="CRO")*6+($AN41:$AN41="M+")*6+($AN41:$AN41="T+")*6+($AN41:$AN41="D+")*12+($AN41:$AN41="N+")*12+($AN41:$AN41="Dm+")*12+($AN41:$AN41="Dt+")*12+($AN41:$AN41="Tm-")*6+($AN41:$AN41="Mt-")*6)</f>
        <v/>
      </c>
      <c r="BC41" s="118">
        <f>BB41-MAX(0,IFERROR(INDEX(CADASTRO!$I$4:$I$80,MATCH($A41,CADASTRO!$A$4:$A$80,0)),$B41)-CONFIG!$B$50*(COUNTIF($AH41:$AM41,"AB")+COUNTIF($AH41:$AM41,"FE")+COUNTIF($AH41:$AM41,"LM")+COUNTIF($AN41:$AN41,"AB")+COUNTIF($AN41:$AN41,"FE")+COUNTIF($AN41:$AN41,"LM")))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00" t="n"/>
      <c r="H42" s="100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26" t="inlineStr">
        <is>
          <t>T</t>
        </is>
      </c>
      <c r="R42" s="126" t="inlineStr">
        <is>
          <t>T</t>
        </is>
      </c>
      <c r="S42" s="125" t="inlineStr">
        <is>
          <t>N</t>
        </is>
      </c>
      <c r="T42" s="114" t="n"/>
      <c r="U42" s="114" t="n"/>
      <c r="V42" s="125" t="inlineStr">
        <is>
          <t>N</t>
        </is>
      </c>
      <c r="W42" s="125" t="inlineStr">
        <is>
          <t>N</t>
        </is>
      </c>
      <c r="X42" s="114" t="n"/>
      <c r="Y42" s="114" t="n"/>
      <c r="Z42" s="114" t="n"/>
      <c r="AA42" s="114" t="n"/>
      <c r="AB42" s="114" t="n"/>
      <c r="AC42" s="114" t="n"/>
      <c r="AD42" s="114" t="n"/>
      <c r="AE42" s="114" t="n"/>
      <c r="AF42" s="114" t="n"/>
      <c r="AG42" s="114" t="n"/>
      <c r="AH42" s="114" t="n"/>
      <c r="AI42" s="114" t="n"/>
      <c r="AJ42" s="114" t="n"/>
      <c r="AK42" s="114" t="n"/>
      <c r="AL42" s="114" t="n"/>
      <c r="AM42" s="114" t="n"/>
      <c r="AN42" s="116">
        <f>IFERROR(INDEX(FEV!I$8:I$73,MATCH($A42,FEV!$A$8:$A$73,0))&amp;"","")</f>
        <v/>
      </c>
      <c r="AO42" s="100" t="n"/>
      <c r="AP42" s="100" t="n"/>
      <c r="AQ42" s="100" t="n"/>
      <c r="AR42" s="100" t="n"/>
      <c r="AS42" s="100" t="n"/>
      <c r="AT42" s="117">
        <f>SUMPRODUCT(($F42:$L42="M")*6+($F42:$L42="T")*6+($F42:$L42="D")*12+($F42:$L42="N")*12+($F42:$L42="NT")*6+($F42:$L42="C")*10+($F42:$L42="A")*8+($F42:$L42="J")*5+($F42:$L42="CEP")*4+($F42:$L42="CP")*6+($F42:$L42="CRO")*6+($F42:$L42="M+")*6+($F42:$L42="T+")*6+($F42:$L42="D+")*12+($F42:$L42="N+")*12+($F42:$L42="Dm+")*12+($F42:$L42="Dt+")*12+($F42:$L42="Tm-")*6+($F42:$L42="Mt-")*6)</f>
        <v/>
      </c>
      <c r="AU42" s="118">
        <f>AT42-MAX(0,IFERROR(INDEX(CADASTRO!$I$4:$I$80,MATCH($A42,CADASTRO!$A$4:$A$80,0)),$B42)-CONFIG!$B$50*(COUNTIF($F42:$L42,"AB")+COUNTIF($F42:$L42,"FE")+COUNTIF($F42:$L42,"LM")))</f>
        <v/>
      </c>
      <c r="AV42" s="117">
        <f>SUMPRODUCT(($M42:$S42="M")*6+($M42:$S42="T")*6+($M42:$S42="D")*12+($M42:$S42="N")*12+($M42:$S42="NT")*6+($M42:$S42="C")*10+($M42:$S42="A")*8+($M42:$S42="J")*5+($M42:$S42="CEP")*4+($M42:$S42="CP")*6+($M42:$S42="CRO")*6+($M42:$S42="M+")*6+($M42:$S42="T+")*6+($M42:$S42="D+")*12+($M42:$S42="N+")*12+($M42:$S42="Dm+")*12+($M42:$S42="Dt+")*12+($M42:$S42="Tm-")*6+($M42:$S42="Mt-")*6)</f>
        <v/>
      </c>
      <c r="AW42" s="118">
        <f>AV42-MAX(0,IFERROR(INDEX(CADASTRO!$I$4:$I$80,MATCH($A42,CADASTRO!$A$4:$A$80,0)),$B42)-CONFIG!$B$50*(COUNTIF($M42:$S42,"AB")+COUNTIF($M42:$S42,"FE")+COUNTIF($M42:$S42,"LM")))</f>
        <v/>
      </c>
      <c r="AX42" s="117">
        <f>SUMPRODUCT(($T42:$Z42="M")*6+($T42:$Z42="T")*6+($T42:$Z42="D")*12+($T42:$Z42="N")*12+($T42:$Z42="NT")*6+($T42:$Z42="C")*10+($T42:$Z42="A")*8+($T42:$Z42="J")*5+($T42:$Z42="CEP")*4+($T42:$Z42="CP")*6+($T42:$Z42="CRO")*6+($T42:$Z42="M+")*6+($T42:$Z42="T+")*6+($T42:$Z42="D+")*12+($T42:$Z42="N+")*12+($T42:$Z42="Dm+")*12+($T42:$Z42="Dt+")*12+($T42:$Z42="Tm-")*6+($T42:$Z42="Mt-")*6)</f>
        <v/>
      </c>
      <c r="AY42" s="118">
        <f>AX42-MAX(0,IFERROR(INDEX(CADASTRO!$I$4:$I$80,MATCH($A42,CADASTRO!$A$4:$A$80,0)),$B42)-CONFIG!$B$50*(COUNTIF($T42:$Z42,"AB")+COUNTIF($T42:$Z42,"FE")+COUNTIF($T42:$Z42,"LM")))</f>
        <v/>
      </c>
      <c r="AZ42" s="117">
        <f>SUMPRODUCT(($AA42:$AG42="M")*6+($AA42:$AG42="T")*6+($AA42:$AG42="D")*12+($AA42:$AG42="N")*12+($AA42:$AG42="NT")*6+($AA42:$AG42="C")*10+($AA42:$AG42="A")*8+($AA42:$AG42="J")*5+($AA42:$AG42="CEP")*4+($AA42:$AG42="CP")*6+($AA42:$AG42="CRO")*6+($AA42:$AG42="M+")*6+($AA42:$AG42="T+")*6+($AA42:$AG42="D+")*12+($AA42:$AG42="N+")*12+($AA42:$AG42="Dm+")*12+($AA42:$AG42="Dt+")*12+($AA42:$AG42="Tm-")*6+($AA42:$AG42="Mt-")*6)</f>
        <v/>
      </c>
      <c r="BA42" s="118">
        <f>AZ42-MAX(0,IFERROR(INDEX(CADASTRO!$I$4:$I$80,MATCH($A42,CADASTRO!$A$4:$A$80,0)),$B42)-CONFIG!$B$50*(COUNTIF($AA42:$AG42,"AB")+COUNTIF($AA42:$AG42,"FE")+COUNTIF($AA42:$AG42,"LM")))</f>
        <v/>
      </c>
      <c r="BB42" s="117">
        <f>SUMPRODUCT(($AH42:$AM42="M")*6+($AH42:$AM42="T")*6+($AH42:$AM42="D")*12+($AH42:$AM42="N")*12+($AH42:$AM42="NT")*6+($AH42:$AM42="C")*10+($AH42:$AM42="A")*8+($AH42:$AM42="J")*5+($AH42:$AM42="CEP")*4+($AH42:$AM42="CP")*6+($AH42:$AM42="CRO")*6+($AH42:$AM42="M+")*6+($AH42:$AM42="T+")*6+($AH42:$AM42="D+")*12+($AH42:$AM42="N+")*12+($AH42:$AM42="Dm+")*12+($AH42:$AM42="Dt+")*12+($AH42:$AM42="Tm-")*6+($AH42:$AM42="Mt-")*6)+SUMPRODUCT(($AN42:$AN42="M")*6+($AN42:$AN42="T")*6+($AN42:$AN42="D")*12+($AN42:$AN42="N")*12+($AN42:$AN42="NT")*6+($AN42:$AN42="C")*10+($AN42:$AN42="A")*8+($AN42:$AN42="J")*5+($AN42:$AN42="CEP")*4+($AN42:$AN42="CP")*6+($AN42:$AN42="CRO")*6+($AN42:$AN42="M+")*6+($AN42:$AN42="T+")*6+($AN42:$AN42="D+")*12+($AN42:$AN42="N+")*12+($AN42:$AN42="Dm+")*12+($AN42:$AN42="Dt+")*12+($AN42:$AN42="Tm-")*6+($AN42:$AN42="Mt-")*6)</f>
        <v/>
      </c>
      <c r="BC42" s="118">
        <f>BB42-MAX(0,IFERROR(INDEX(CADASTRO!$I$4:$I$80,MATCH($A42,CADASTRO!$A$4:$A$80,0)),$B42)-CONFIG!$B$50*(COUNTIF($AH42:$AM42,"AB")+COUNTIF($AH42:$AM42,"FE")+COUNTIF($AH42:$AM42,"LM")+COUNTIF($AN42:$AN42,"AB")+COUNTIF($AN42:$AN42,"FE")+COUNTIF($AN42:$AN42,"LM")))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00" t="n"/>
      <c r="H43" s="100" t="n"/>
      <c r="I43" s="114" t="n"/>
      <c r="J43" s="127" t="inlineStr">
        <is>
          <t>N-</t>
        </is>
      </c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  <c r="AB43" s="128" t="inlineStr">
        <is>
          <t>NT</t>
        </is>
      </c>
      <c r="AC43" s="114" t="n"/>
      <c r="AD43" s="125" t="inlineStr">
        <is>
          <t>N</t>
        </is>
      </c>
      <c r="AE43" s="114" t="n"/>
      <c r="AF43" s="114" t="n"/>
      <c r="AG43" s="125" t="inlineStr">
        <is>
          <t>N</t>
        </is>
      </c>
      <c r="AH43" s="114" t="n"/>
      <c r="AI43" s="123" t="inlineStr">
        <is>
          <t>N+</t>
        </is>
      </c>
      <c r="AJ43" s="114" t="n"/>
      <c r="AK43" s="114" t="n"/>
      <c r="AL43" s="125" t="inlineStr">
        <is>
          <t>N</t>
        </is>
      </c>
      <c r="AM43" s="128" t="inlineStr">
        <is>
          <t>NT</t>
        </is>
      </c>
      <c r="AN43" s="116">
        <f>IFERROR(INDEX(FEV!I$8:I$73,MATCH($A43,FEV!$A$8:$A$73,0))&amp;"","")</f>
        <v/>
      </c>
      <c r="AO43" s="100" t="n"/>
      <c r="AP43" s="100" t="n"/>
      <c r="AQ43" s="100" t="n"/>
      <c r="AR43" s="100" t="n"/>
      <c r="AS43" s="100" t="n"/>
      <c r="AT43" s="117">
        <f>SUMPRODUCT(($F43:$L43="M")*6+($F43:$L43="T")*6+($F43:$L43="D")*12+($F43:$L43="N")*12+($F43:$L43="NT")*6+($F43:$L43="C")*10+($F43:$L43="A")*8+($F43:$L43="J")*5+($F43:$L43="CEP")*4+($F43:$L43="CP")*6+($F43:$L43="CRO")*6+($F43:$L43="M+")*6+($F43:$L43="T+")*6+($F43:$L43="D+")*12+($F43:$L43="N+")*12+($F43:$L43="Dm+")*12+($F43:$L43="Dt+")*12+($F43:$L43="Tm-")*6+($F43:$L43="Mt-")*6)</f>
        <v/>
      </c>
      <c r="AU43" s="118">
        <f>AT43-MAX(0,IFERROR(INDEX(CADASTRO!$I$4:$I$80,MATCH($A43,CADASTRO!$A$4:$A$80,0)),$B43)-CONFIG!$B$50*(COUNTIF($F43:$L43,"AB")+COUNTIF($F43:$L43,"FE")+COUNTIF($F43:$L43,"LM")))</f>
        <v/>
      </c>
      <c r="AV43" s="117">
        <f>SUMPRODUCT(($M43:$S43="M")*6+($M43:$S43="T")*6+($M43:$S43="D")*12+($M43:$S43="N")*12+($M43:$S43="NT")*6+($M43:$S43="C")*10+($M43:$S43="A")*8+($M43:$S43="J")*5+($M43:$S43="CEP")*4+($M43:$S43="CP")*6+($M43:$S43="CRO")*6+($M43:$S43="M+")*6+($M43:$S43="T+")*6+($M43:$S43="D+")*12+($M43:$S43="N+")*12+($M43:$S43="Dm+")*12+($M43:$S43="Dt+")*12+($M43:$S43="Tm-")*6+($M43:$S43="Mt-")*6)</f>
        <v/>
      </c>
      <c r="AW43" s="118">
        <f>AV43-MAX(0,IFERROR(INDEX(CADASTRO!$I$4:$I$80,MATCH($A43,CADASTRO!$A$4:$A$80,0)),$B43)-CONFIG!$B$50*(COUNTIF($M43:$S43,"AB")+COUNTIF($M43:$S43,"FE")+COUNTIF($M43:$S43,"LM")))</f>
        <v/>
      </c>
      <c r="AX43" s="117">
        <f>SUMPRODUCT(($T43:$Z43="M")*6+($T43:$Z43="T")*6+($T43:$Z43="D")*12+($T43:$Z43="N")*12+($T43:$Z43="NT")*6+($T43:$Z43="C")*10+($T43:$Z43="A")*8+($T43:$Z43="J")*5+($T43:$Z43="CEP")*4+($T43:$Z43="CP")*6+($T43:$Z43="CRO")*6+($T43:$Z43="M+")*6+($T43:$Z43="T+")*6+($T43:$Z43="D+")*12+($T43:$Z43="N+")*12+($T43:$Z43="Dm+")*12+($T43:$Z43="Dt+")*12+($T43:$Z43="Tm-")*6+($T43:$Z43="Mt-")*6)</f>
        <v/>
      </c>
      <c r="AY43" s="118">
        <f>AX43-MAX(0,IFERROR(INDEX(CADASTRO!$I$4:$I$80,MATCH($A43,CADASTRO!$A$4:$A$80,0)),$B43)-CONFIG!$B$50*(COUNTIF($T43:$Z43,"AB")+COUNTIF($T43:$Z43,"FE")+COUNTIF($T43:$Z43,"LM")))</f>
        <v/>
      </c>
      <c r="AZ43" s="117">
        <f>SUMPRODUCT(($AA43:$AG43="M")*6+($AA43:$AG43="T")*6+($AA43:$AG43="D")*12+($AA43:$AG43="N")*12+($AA43:$AG43="NT")*6+($AA43:$AG43="C")*10+($AA43:$AG43="A")*8+($AA43:$AG43="J")*5+($AA43:$AG43="CEP")*4+($AA43:$AG43="CP")*6+($AA43:$AG43="CRO")*6+($AA43:$AG43="M+")*6+($AA43:$AG43="T+")*6+($AA43:$AG43="D+")*12+($AA43:$AG43="N+")*12+($AA43:$AG43="Dm+")*12+($AA43:$AG43="Dt+")*12+($AA43:$AG43="Tm-")*6+($AA43:$AG43="Mt-")*6)</f>
        <v/>
      </c>
      <c r="BA43" s="118">
        <f>AZ43-MAX(0,IFERROR(INDEX(CADASTRO!$I$4:$I$80,MATCH($A43,CADASTRO!$A$4:$A$80,0)),$B43)-CONFIG!$B$50*(COUNTIF($AA43:$AG43,"AB")+COUNTIF($AA43:$AG43,"FE")+COUNTIF($AA43:$AG43,"LM")))</f>
        <v/>
      </c>
      <c r="BB43" s="117">
        <f>SUMPRODUCT(($AH43:$AM43="M")*6+($AH43:$AM43="T")*6+($AH43:$AM43="D")*12+($AH43:$AM43="N")*12+($AH43:$AM43="NT")*6+($AH43:$AM43="C")*10+($AH43:$AM43="A")*8+($AH43:$AM43="J")*5+($AH43:$AM43="CEP")*4+($AH43:$AM43="CP")*6+($AH43:$AM43="CRO")*6+($AH43:$AM43="M+")*6+($AH43:$AM43="T+")*6+($AH43:$AM43="D+")*12+($AH43:$AM43="N+")*12+($AH43:$AM43="Dm+")*12+($AH43:$AM43="Dt+")*12+($AH43:$AM43="Tm-")*6+($AH43:$AM43="Mt-")*6)+SUMPRODUCT(($AN43:$AN43="M")*6+($AN43:$AN43="T")*6+($AN43:$AN43="D")*12+($AN43:$AN43="N")*12+($AN43:$AN43="NT")*6+($AN43:$AN43="C")*10+($AN43:$AN43="A")*8+($AN43:$AN43="J")*5+($AN43:$AN43="CEP")*4+($AN43:$AN43="CP")*6+($AN43:$AN43="CRO")*6+($AN43:$AN43="M+")*6+($AN43:$AN43="T+")*6+($AN43:$AN43="D+")*12+($AN43:$AN43="N+")*12+($AN43:$AN43="Dm+")*12+($AN43:$AN43="Dt+")*12+($AN43:$AN43="Tm-")*6+($AN43:$AN43="Mt-")*6)</f>
        <v/>
      </c>
      <c r="BC43" s="118">
        <f>BB43-MAX(0,IFERROR(INDEX(CADASTRO!$I$4:$I$80,MATCH($A43,CADASTRO!$A$4:$A$80,0)),$B43)-CONFIG!$B$50*(COUNTIF($AH43:$AM43,"AB")+COUNTIF($AH43:$AM43,"FE")+COUNTIF($AH43:$AM43,"LM")+COUNTIF($AN43:$AN43,"AB")+COUNTIF($AN43:$AN43,"FE")+COUNTIF($AN43:$AN43,"LM")))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00" t="n"/>
      <c r="H44" s="100" t="n"/>
      <c r="I44" s="114" t="n"/>
      <c r="J44" s="124" t="inlineStr">
        <is>
          <t>D</t>
        </is>
      </c>
      <c r="K44" s="114" t="n"/>
      <c r="L44" s="114" t="n"/>
      <c r="M44" s="114" t="n"/>
      <c r="N44" s="124" t="inlineStr">
        <is>
          <t>D</t>
        </is>
      </c>
      <c r="O44" s="114" t="n"/>
      <c r="P44" s="114" t="n"/>
      <c r="Q44" s="124" t="inlineStr">
        <is>
          <t>D</t>
        </is>
      </c>
      <c r="R44" s="114" t="n"/>
      <c r="S44" s="114" t="n"/>
      <c r="T44" s="114" t="n"/>
      <c r="U44" s="114" t="n"/>
      <c r="V44" s="114" t="n"/>
      <c r="W44" s="114" t="n"/>
      <c r="X44" s="124" t="inlineStr">
        <is>
          <t>D</t>
        </is>
      </c>
      <c r="Y44" s="124" t="inlineStr">
        <is>
          <t>D</t>
        </is>
      </c>
      <c r="Z44" s="115" t="inlineStr">
        <is>
          <t>M</t>
        </is>
      </c>
      <c r="AA44" s="114" t="n"/>
      <c r="AB44" s="114" t="n"/>
      <c r="AC44" s="114" t="n"/>
      <c r="AD44" s="114" t="n"/>
      <c r="AE44" s="125" t="inlineStr">
        <is>
          <t>N</t>
        </is>
      </c>
      <c r="AF44" s="114" t="n"/>
      <c r="AG44" s="124" t="inlineStr">
        <is>
          <t>D</t>
        </is>
      </c>
      <c r="AH44" s="114" t="n"/>
      <c r="AI44" s="124" t="inlineStr">
        <is>
          <t>D</t>
        </is>
      </c>
      <c r="AJ44" s="115" t="inlineStr">
        <is>
          <t>M</t>
        </is>
      </c>
      <c r="AK44" s="114" t="n"/>
      <c r="AL44" s="114" t="n"/>
      <c r="AM44" s="114" t="n"/>
      <c r="AN44" s="116">
        <f>IFERROR(INDEX(FEV!I$8:I$73,MATCH($A44,FEV!$A$8:$A$73,0))&amp;"","")</f>
        <v/>
      </c>
      <c r="AO44" s="100" t="n"/>
      <c r="AP44" s="100" t="n"/>
      <c r="AQ44" s="100" t="n"/>
      <c r="AR44" s="100" t="n"/>
      <c r="AS44" s="100" t="n"/>
      <c r="AT44" s="117">
        <f>SUMPRODUCT(($F44:$L44="M")*6+($F44:$L44="T")*6+($F44:$L44="D")*12+($F44:$L44="N")*12+($F44:$L44="NT")*6+($F44:$L44="C")*10+($F44:$L44="A")*8+($F44:$L44="J")*5+($F44:$L44="CEP")*4+($F44:$L44="CP")*6+($F44:$L44="CRO")*6+($F44:$L44="M+")*6+($F44:$L44="T+")*6+($F44:$L44="D+")*12+($F44:$L44="N+")*12+($F44:$L44="Dm+")*12+($F44:$L44="Dt+")*12+($F44:$L44="Tm-")*6+($F44:$L44="Mt-")*6)</f>
        <v/>
      </c>
      <c r="AU44" s="118">
        <f>AT44-MAX(0,IFERROR(INDEX(CADASTRO!$I$4:$I$80,MATCH($A44,CADASTRO!$A$4:$A$80,0)),$B44)-CONFIG!$B$50*(COUNTIF($F44:$L44,"AB")+COUNTIF($F44:$L44,"FE")+COUNTIF($F44:$L44,"LM")))</f>
        <v/>
      </c>
      <c r="AV44" s="117">
        <f>SUMPRODUCT(($M44:$S44="M")*6+($M44:$S44="T")*6+($M44:$S44="D")*12+($M44:$S44="N")*12+($M44:$S44="NT")*6+($M44:$S44="C")*10+($M44:$S44="A")*8+($M44:$S44="J")*5+($M44:$S44="CEP")*4+($M44:$S44="CP")*6+($M44:$S44="CRO")*6+($M44:$S44="M+")*6+($M44:$S44="T+")*6+($M44:$S44="D+")*12+($M44:$S44="N+")*12+($M44:$S44="Dm+")*12+($M44:$S44="Dt+")*12+($M44:$S44="Tm-")*6+($M44:$S44="Mt-")*6)</f>
        <v/>
      </c>
      <c r="AW44" s="118">
        <f>AV44-MAX(0,IFERROR(INDEX(CADASTRO!$I$4:$I$80,MATCH($A44,CADASTRO!$A$4:$A$80,0)),$B44)-CONFIG!$B$50*(COUNTIF($M44:$S44,"AB")+COUNTIF($M44:$S44,"FE")+COUNTIF($M44:$S44,"LM")))</f>
        <v/>
      </c>
      <c r="AX44" s="117">
        <f>SUMPRODUCT(($T44:$Z44="M")*6+($T44:$Z44="T")*6+($T44:$Z44="D")*12+($T44:$Z44="N")*12+($T44:$Z44="NT")*6+($T44:$Z44="C")*10+($T44:$Z44="A")*8+($T44:$Z44="J")*5+($T44:$Z44="CEP")*4+($T44:$Z44="CP")*6+($T44:$Z44="CRO")*6+($T44:$Z44="M+")*6+($T44:$Z44="T+")*6+($T44:$Z44="D+")*12+($T44:$Z44="N+")*12+($T44:$Z44="Dm+")*12+($T44:$Z44="Dt+")*12+($T44:$Z44="Tm-")*6+($T44:$Z44="Mt-")*6)</f>
        <v/>
      </c>
      <c r="AY44" s="118">
        <f>AX44-MAX(0,IFERROR(INDEX(CADASTRO!$I$4:$I$80,MATCH($A44,CADASTRO!$A$4:$A$80,0)),$B44)-CONFIG!$B$50*(COUNTIF($T44:$Z44,"AB")+COUNTIF($T44:$Z44,"FE")+COUNTIF($T44:$Z44,"LM")))</f>
        <v/>
      </c>
      <c r="AZ44" s="117">
        <f>SUMPRODUCT(($AA44:$AG44="M")*6+($AA44:$AG44="T")*6+($AA44:$AG44="D")*12+($AA44:$AG44="N")*12+($AA44:$AG44="NT")*6+($AA44:$AG44="C")*10+($AA44:$AG44="A")*8+($AA44:$AG44="J")*5+($AA44:$AG44="CEP")*4+($AA44:$AG44="CP")*6+($AA44:$AG44="CRO")*6+($AA44:$AG44="M+")*6+($AA44:$AG44="T+")*6+($AA44:$AG44="D+")*12+($AA44:$AG44="N+")*12+($AA44:$AG44="Dm+")*12+($AA44:$AG44="Dt+")*12+($AA44:$AG44="Tm-")*6+($AA44:$AG44="Mt-")*6)</f>
        <v/>
      </c>
      <c r="BA44" s="118">
        <f>AZ44-MAX(0,IFERROR(INDEX(CADASTRO!$I$4:$I$80,MATCH($A44,CADASTRO!$A$4:$A$80,0)),$B44)-CONFIG!$B$50*(COUNTIF($AA44:$AG44,"AB")+COUNTIF($AA44:$AG44,"FE")+COUNTIF($AA44:$AG44,"LM")))</f>
        <v/>
      </c>
      <c r="BB44" s="117">
        <f>SUMPRODUCT(($AH44:$AM44="M")*6+($AH44:$AM44="T")*6+($AH44:$AM44="D")*12+($AH44:$AM44="N")*12+($AH44:$AM44="NT")*6+($AH44:$AM44="C")*10+($AH44:$AM44="A")*8+($AH44:$AM44="J")*5+($AH44:$AM44="CEP")*4+($AH44:$AM44="CP")*6+($AH44:$AM44="CRO")*6+($AH44:$AM44="M+")*6+($AH44:$AM44="T+")*6+($AH44:$AM44="D+")*12+($AH44:$AM44="N+")*12+($AH44:$AM44="Dm+")*12+($AH44:$AM44="Dt+")*12+($AH44:$AM44="Tm-")*6+($AH44:$AM44="Mt-")*6)+SUMPRODUCT(($AN44:$AN44="M")*6+($AN44:$AN44="T")*6+($AN44:$AN44="D")*12+($AN44:$AN44="N")*12+($AN44:$AN44="NT")*6+($AN44:$AN44="C")*10+($AN44:$AN44="A")*8+($AN44:$AN44="J")*5+($AN44:$AN44="CEP")*4+($AN44:$AN44="CP")*6+($AN44:$AN44="CRO")*6+($AN44:$AN44="M+")*6+($AN44:$AN44="T+")*6+($AN44:$AN44="D+")*12+($AN44:$AN44="N+")*12+($AN44:$AN44="Dm+")*12+($AN44:$AN44="Dt+")*12+($AN44:$AN44="Tm-")*6+($AN44:$AN44="Mt-")*6)</f>
        <v/>
      </c>
      <c r="BC44" s="118">
        <f>BB44-MAX(0,IFERROR(INDEX(CADASTRO!$I$4:$I$80,MATCH($A44,CADASTRO!$A$4:$A$80,0)),$B44)-CONFIG!$B$50*(COUNTIF($AH44:$AM44,"AB")+COUNTIF($AH44:$AM44,"FE")+COUNTIF($AH44:$AM44,"LM")+COUNTIF($AN44:$AN44,"AB")+COUNTIF($AN44:$AN44,"FE")+COUNTIF($AN44:$AN44,"LM")))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00" t="n"/>
      <c r="H45" s="100" t="n"/>
      <c r="I45" s="114" t="n"/>
      <c r="J45" s="115" t="inlineStr">
        <is>
          <t>M</t>
        </is>
      </c>
      <c r="K45" s="115" t="inlineStr">
        <is>
          <t>M</t>
        </is>
      </c>
      <c r="L45" s="114" t="n"/>
      <c r="M45" s="114" t="n"/>
      <c r="N45" s="114" t="n"/>
      <c r="O45" s="114" t="n"/>
      <c r="P45" s="114" t="n"/>
      <c r="Q45" s="125" t="inlineStr">
        <is>
          <t>N</t>
        </is>
      </c>
      <c r="R45" s="114" t="n"/>
      <c r="S45" s="125" t="inlineStr">
        <is>
          <t>N</t>
        </is>
      </c>
      <c r="T45" s="115" t="inlineStr">
        <is>
          <t>M</t>
        </is>
      </c>
      <c r="U45" s="124" t="inlineStr">
        <is>
          <t>D</t>
        </is>
      </c>
      <c r="V45" s="114" t="n"/>
      <c r="W45" s="115" t="inlineStr">
        <is>
          <t>M</t>
        </is>
      </c>
      <c r="X45" s="114" t="n"/>
      <c r="Y45" s="114" t="n"/>
      <c r="Z45" s="114" t="n"/>
      <c r="AA45" s="114" t="n"/>
      <c r="AB45" s="114" t="n"/>
      <c r="AC45" s="114" t="n"/>
      <c r="AD45" s="114" t="n"/>
      <c r="AE45" s="114" t="n"/>
      <c r="AF45" s="114" t="n"/>
      <c r="AG45" s="114" t="n"/>
      <c r="AH45" s="114" t="n"/>
      <c r="AI45" s="114" t="n"/>
      <c r="AJ45" s="114" t="n"/>
      <c r="AK45" s="114" t="n"/>
      <c r="AL45" s="114" t="n"/>
      <c r="AM45" s="114" t="n"/>
      <c r="AN45" s="116">
        <f>IFERROR(INDEX(FEV!I$8:I$73,MATCH($A45,FEV!$A$8:$A$73,0))&amp;"","")</f>
        <v/>
      </c>
      <c r="AO45" s="100" t="n"/>
      <c r="AP45" s="100" t="n"/>
      <c r="AQ45" s="100" t="n"/>
      <c r="AR45" s="100" t="n"/>
      <c r="AS45" s="100" t="n"/>
      <c r="AT45" s="117">
        <f>SUMPRODUCT(($F45:$L45="M")*6+($F45:$L45="T")*6+($F45:$L45="D")*12+($F45:$L45="N")*12+($F45:$L45="NT")*6+($F45:$L45="C")*10+($F45:$L45="A")*8+($F45:$L45="J")*5+($F45:$L45="CEP")*4+($F45:$L45="CP")*6+($F45:$L45="CRO")*6+($F45:$L45="M+")*6+($F45:$L45="T+")*6+($F45:$L45="D+")*12+($F45:$L45="N+")*12+($F45:$L45="Dm+")*12+($F45:$L45="Dt+")*12+($F45:$L45="Tm-")*6+($F45:$L45="Mt-")*6)</f>
        <v/>
      </c>
      <c r="AU45" s="118">
        <f>AT45-MAX(0,IFERROR(INDEX(CADASTRO!$I$4:$I$80,MATCH($A45,CADASTRO!$A$4:$A$80,0)),$B45)-CONFIG!$B$50*(COUNTIF($F45:$L45,"AB")+COUNTIF($F45:$L45,"FE")+COUNTIF($F45:$L45,"LM")))</f>
        <v/>
      </c>
      <c r="AV45" s="117">
        <f>SUMPRODUCT(($M45:$S45="M")*6+($M45:$S45="T")*6+($M45:$S45="D")*12+($M45:$S45="N")*12+($M45:$S45="NT")*6+($M45:$S45="C")*10+($M45:$S45="A")*8+($M45:$S45="J")*5+($M45:$S45="CEP")*4+($M45:$S45="CP")*6+($M45:$S45="CRO")*6+($M45:$S45="M+")*6+($M45:$S45="T+")*6+($M45:$S45="D+")*12+($M45:$S45="N+")*12+($M45:$S45="Dm+")*12+($M45:$S45="Dt+")*12+($M45:$S45="Tm-")*6+($M45:$S45="Mt-")*6)</f>
        <v/>
      </c>
      <c r="AW45" s="118">
        <f>AV45-MAX(0,IFERROR(INDEX(CADASTRO!$I$4:$I$80,MATCH($A45,CADASTRO!$A$4:$A$80,0)),$B45)-CONFIG!$B$50*(COUNTIF($M45:$S45,"AB")+COUNTIF($M45:$S45,"FE")+COUNTIF($M45:$S45,"LM")))</f>
        <v/>
      </c>
      <c r="AX45" s="117">
        <f>SUMPRODUCT(($T45:$Z45="M")*6+($T45:$Z45="T")*6+($T45:$Z45="D")*12+($T45:$Z45="N")*12+($T45:$Z45="NT")*6+($T45:$Z45="C")*10+($T45:$Z45="A")*8+($T45:$Z45="J")*5+($T45:$Z45="CEP")*4+($T45:$Z45="CP")*6+($T45:$Z45="CRO")*6+($T45:$Z45="M+")*6+($T45:$Z45="T+")*6+($T45:$Z45="D+")*12+($T45:$Z45="N+")*12+($T45:$Z45="Dm+")*12+($T45:$Z45="Dt+")*12+($T45:$Z45="Tm-")*6+($T45:$Z45="Mt-")*6)</f>
        <v/>
      </c>
      <c r="AY45" s="118">
        <f>AX45-MAX(0,IFERROR(INDEX(CADASTRO!$I$4:$I$80,MATCH($A45,CADASTRO!$A$4:$A$80,0)),$B45)-CONFIG!$B$50*(COUNTIF($T45:$Z45,"AB")+COUNTIF($T45:$Z45,"FE")+COUNTIF($T45:$Z45,"LM")))</f>
        <v/>
      </c>
      <c r="AZ45" s="117">
        <f>SUMPRODUCT(($AA45:$AG45="M")*6+($AA45:$AG45="T")*6+($AA45:$AG45="D")*12+($AA45:$AG45="N")*12+($AA45:$AG45="NT")*6+($AA45:$AG45="C")*10+($AA45:$AG45="A")*8+($AA45:$AG45="J")*5+($AA45:$AG45="CEP")*4+($AA45:$AG45="CP")*6+($AA45:$AG45="CRO")*6+($AA45:$AG45="M+")*6+($AA45:$AG45="T+")*6+($AA45:$AG45="D+")*12+($AA45:$AG45="N+")*12+($AA45:$AG45="Dm+")*12+($AA45:$AG45="Dt+")*12+($AA45:$AG45="Tm-")*6+($AA45:$AG45="Mt-")*6)</f>
        <v/>
      </c>
      <c r="BA45" s="118">
        <f>AZ45-MAX(0,IFERROR(INDEX(CADASTRO!$I$4:$I$80,MATCH($A45,CADASTRO!$A$4:$A$80,0)),$B45)-CONFIG!$B$50*(COUNTIF($AA45:$AG45,"AB")+COUNTIF($AA45:$AG45,"FE")+COUNTIF($AA45:$AG45,"LM")))</f>
        <v/>
      </c>
      <c r="BB45" s="117">
        <f>SUMPRODUCT(($AH45:$AM45="M")*6+($AH45:$AM45="T")*6+($AH45:$AM45="D")*12+($AH45:$AM45="N")*12+($AH45:$AM45="NT")*6+($AH45:$AM45="C")*10+($AH45:$AM45="A")*8+($AH45:$AM45="J")*5+($AH45:$AM45="CEP")*4+($AH45:$AM45="CP")*6+($AH45:$AM45="CRO")*6+($AH45:$AM45="M+")*6+($AH45:$AM45="T+")*6+($AH45:$AM45="D+")*12+($AH45:$AM45="N+")*12+($AH45:$AM45="Dm+")*12+($AH45:$AM45="Dt+")*12+($AH45:$AM45="Tm-")*6+($AH45:$AM45="Mt-")*6)+SUMPRODUCT(($AN45:$AN45="M")*6+($AN45:$AN45="T")*6+($AN45:$AN45="D")*12+($AN45:$AN45="N")*12+($AN45:$AN45="NT")*6+($AN45:$AN45="C")*10+($AN45:$AN45="A")*8+($AN45:$AN45="J")*5+($AN45:$AN45="CEP")*4+($AN45:$AN45="CP")*6+($AN45:$AN45="CRO")*6+($AN45:$AN45="M+")*6+($AN45:$AN45="T+")*6+($AN45:$AN45="D+")*12+($AN45:$AN45="N+")*12+($AN45:$AN45="Dm+")*12+($AN45:$AN45="Dt+")*12+($AN45:$AN45="Tm-")*6+($AN45:$AN45="Mt-")*6)</f>
        <v/>
      </c>
      <c r="BC45" s="118">
        <f>BB45-MAX(0,IFERROR(INDEX(CADASTRO!$I$4:$I$80,MATCH($A45,CADASTRO!$A$4:$A$80,0)),$B45)-CONFIG!$B$50*(COUNTIF($AH45:$AM45,"AB")+COUNTIF($AH45:$AM45,"FE")+COUNTIF($AH45:$AM45,"LM")+COUNTIF($AN45:$AN45,"AB")+COUNTIF($AN45:$AN45,"FE")+COUNTIF($AN45:$AN45,"LM")))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00" t="n"/>
      <c r="H46" s="100" t="n"/>
      <c r="I46" s="114" t="n"/>
      <c r="J46" s="123" t="inlineStr">
        <is>
          <t>N+</t>
        </is>
      </c>
      <c r="K46" s="114" t="n"/>
      <c r="L46" s="114" t="n"/>
      <c r="M46" s="114" t="n"/>
      <c r="N46" s="124" t="inlineStr">
        <is>
          <t>D</t>
        </is>
      </c>
      <c r="O46" s="114" t="n"/>
      <c r="P46" s="114" t="n"/>
      <c r="Q46" s="124" t="inlineStr">
        <is>
          <t>D</t>
        </is>
      </c>
      <c r="R46" s="114" t="n"/>
      <c r="S46" s="114" t="n"/>
      <c r="T46" s="114" t="n"/>
      <c r="U46" s="124" t="inlineStr">
        <is>
          <t>D</t>
        </is>
      </c>
      <c r="V46" s="114" t="n"/>
      <c r="W46" s="114" t="n"/>
      <c r="X46" s="114" t="n"/>
      <c r="Y46" s="115" t="inlineStr">
        <is>
          <t>M</t>
        </is>
      </c>
      <c r="Z46" s="125" t="inlineStr">
        <is>
          <t>N</t>
        </is>
      </c>
      <c r="AA46" s="114" t="n"/>
      <c r="AB46" s="124" t="inlineStr">
        <is>
          <t>D</t>
        </is>
      </c>
      <c r="AC46" s="114" t="n"/>
      <c r="AD46" s="114" t="n"/>
      <c r="AE46" s="126" t="inlineStr">
        <is>
          <t>T</t>
        </is>
      </c>
      <c r="AF46" s="114" t="n"/>
      <c r="AG46" s="114" t="n"/>
      <c r="AH46" s="114" t="n"/>
      <c r="AI46" s="115" t="inlineStr">
        <is>
          <t>M</t>
        </is>
      </c>
      <c r="AJ46" s="114" t="n"/>
      <c r="AK46" s="114" t="n"/>
      <c r="AL46" s="114" t="n"/>
      <c r="AM46" s="126" t="inlineStr">
        <is>
          <t>T</t>
        </is>
      </c>
      <c r="AN46" s="116">
        <f>IFERROR(INDEX(FEV!I$8:I$73,MATCH($A46,FEV!$A$8:$A$73,0))&amp;"","")</f>
        <v/>
      </c>
      <c r="AO46" s="100" t="n"/>
      <c r="AP46" s="100" t="n"/>
      <c r="AQ46" s="100" t="n"/>
      <c r="AR46" s="100" t="n"/>
      <c r="AS46" s="100" t="n"/>
      <c r="AT46" s="117">
        <f>SUMPRODUCT(($F46:$L46="M")*6+($F46:$L46="T")*6+($F46:$L46="D")*12+($F46:$L46="N")*12+($F46:$L46="NT")*6+($F46:$L46="C")*10+($F46:$L46="A")*8+($F46:$L46="J")*5+($F46:$L46="CEP")*4+($F46:$L46="CP")*6+($F46:$L46="CRO")*6+($F46:$L46="M+")*6+($F46:$L46="T+")*6+($F46:$L46="D+")*12+($F46:$L46="N+")*12+($F46:$L46="Dm+")*12+($F46:$L46="Dt+")*12+($F46:$L46="Tm-")*6+($F46:$L46="Mt-")*6)</f>
        <v/>
      </c>
      <c r="AU46" s="118">
        <f>AT46-MAX(0,IFERROR(INDEX(CADASTRO!$I$4:$I$80,MATCH($A46,CADASTRO!$A$4:$A$80,0)),$B46)-CONFIG!$B$50*(COUNTIF($F46:$L46,"AB")+COUNTIF($F46:$L46,"FE")+COUNTIF($F46:$L46,"LM")))</f>
        <v/>
      </c>
      <c r="AV46" s="117">
        <f>SUMPRODUCT(($M46:$S46="M")*6+($M46:$S46="T")*6+($M46:$S46="D")*12+($M46:$S46="N")*12+($M46:$S46="NT")*6+($M46:$S46="C")*10+($M46:$S46="A")*8+($M46:$S46="J")*5+($M46:$S46="CEP")*4+($M46:$S46="CP")*6+($M46:$S46="CRO")*6+($M46:$S46="M+")*6+($M46:$S46="T+")*6+($M46:$S46="D+")*12+($M46:$S46="N+")*12+($M46:$S46="Dm+")*12+($M46:$S46="Dt+")*12+($M46:$S46="Tm-")*6+($M46:$S46="Mt-")*6)</f>
        <v/>
      </c>
      <c r="AW46" s="118">
        <f>AV46-MAX(0,IFERROR(INDEX(CADASTRO!$I$4:$I$80,MATCH($A46,CADASTRO!$A$4:$A$80,0)),$B46)-CONFIG!$B$50*(COUNTIF($M46:$S46,"AB")+COUNTIF($M46:$S46,"FE")+COUNTIF($M46:$S46,"LM")))</f>
        <v/>
      </c>
      <c r="AX46" s="117">
        <f>SUMPRODUCT(($T46:$Z46="M")*6+($T46:$Z46="T")*6+($T46:$Z46="D")*12+($T46:$Z46="N")*12+($T46:$Z46="NT")*6+($T46:$Z46="C")*10+($T46:$Z46="A")*8+($T46:$Z46="J")*5+($T46:$Z46="CEP")*4+($T46:$Z46="CP")*6+($T46:$Z46="CRO")*6+($T46:$Z46="M+")*6+($T46:$Z46="T+")*6+($T46:$Z46="D+")*12+($T46:$Z46="N+")*12+($T46:$Z46="Dm+")*12+($T46:$Z46="Dt+")*12+($T46:$Z46="Tm-")*6+($T46:$Z46="Mt-")*6)</f>
        <v/>
      </c>
      <c r="AY46" s="118">
        <f>AX46-MAX(0,IFERROR(INDEX(CADASTRO!$I$4:$I$80,MATCH($A46,CADASTRO!$A$4:$A$80,0)),$B46)-CONFIG!$B$50*(COUNTIF($T46:$Z46,"AB")+COUNTIF($T46:$Z46,"FE")+COUNTIF($T46:$Z46,"LM")))</f>
        <v/>
      </c>
      <c r="AZ46" s="117">
        <f>SUMPRODUCT(($AA46:$AG46="M")*6+($AA46:$AG46="T")*6+($AA46:$AG46="D")*12+($AA46:$AG46="N")*12+($AA46:$AG46="NT")*6+($AA46:$AG46="C")*10+($AA46:$AG46="A")*8+($AA46:$AG46="J")*5+($AA46:$AG46="CEP")*4+($AA46:$AG46="CP")*6+($AA46:$AG46="CRO")*6+($AA46:$AG46="M+")*6+($AA46:$AG46="T+")*6+($AA46:$AG46="D+")*12+($AA46:$AG46="N+")*12+($AA46:$AG46="Dm+")*12+($AA46:$AG46="Dt+")*12+($AA46:$AG46="Tm-")*6+($AA46:$AG46="Mt-")*6)</f>
        <v/>
      </c>
      <c r="BA46" s="118">
        <f>AZ46-MAX(0,IFERROR(INDEX(CADASTRO!$I$4:$I$80,MATCH($A46,CADASTRO!$A$4:$A$80,0)),$B46)-CONFIG!$B$50*(COUNTIF($AA46:$AG46,"AB")+COUNTIF($AA46:$AG46,"FE")+COUNTIF($AA46:$AG46,"LM")))</f>
        <v/>
      </c>
      <c r="BB46" s="117">
        <f>SUMPRODUCT(($AH46:$AM46="M")*6+($AH46:$AM46="T")*6+($AH46:$AM46="D")*12+($AH46:$AM46="N")*12+($AH46:$AM46="NT")*6+($AH46:$AM46="C")*10+($AH46:$AM46="A")*8+($AH46:$AM46="J")*5+($AH46:$AM46="CEP")*4+($AH46:$AM46="CP")*6+($AH46:$AM46="CRO")*6+($AH46:$AM46="M+")*6+($AH46:$AM46="T+")*6+($AH46:$AM46="D+")*12+($AH46:$AM46="N+")*12+($AH46:$AM46="Dm+")*12+($AH46:$AM46="Dt+")*12+($AH46:$AM46="Tm-")*6+($AH46:$AM46="Mt-")*6)+SUMPRODUCT(($AN46:$AN46="M")*6+($AN46:$AN46="T")*6+($AN46:$AN46="D")*12+($AN46:$AN46="N")*12+($AN46:$AN46="NT")*6+($AN46:$AN46="C")*10+($AN46:$AN46="A")*8+($AN46:$AN46="J")*5+($AN46:$AN46="CEP")*4+($AN46:$AN46="CP")*6+($AN46:$AN46="CRO")*6+($AN46:$AN46="M+")*6+($AN46:$AN46="T+")*6+($AN46:$AN46="D+")*12+($AN46:$AN46="N+")*12+($AN46:$AN46="Dm+")*12+($AN46:$AN46="Dt+")*12+($AN46:$AN46="Tm-")*6+($AN46:$AN46="Mt-")*6)</f>
        <v/>
      </c>
      <c r="BC46" s="118">
        <f>BB46-MAX(0,IFERROR(INDEX(CADASTRO!$I$4:$I$80,MATCH($A46,CADASTRO!$A$4:$A$80,0)),$B46)-CONFIG!$B$50*(COUNTIF($AH46:$AM46,"AB")+COUNTIF($AH46:$AM46,"FE")+COUNTIF($AH46:$AM46,"LM")+COUNTIF($AN46:$AN46,"AB")+COUNTIF($AN46:$AN46,"FE")+COUNTIF($AN46:$AN46,"LM")))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00" t="n"/>
      <c r="H47" s="100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  <c r="AB47" s="114" t="n"/>
      <c r="AC47" s="114" t="n"/>
      <c r="AD47" s="114" t="n"/>
      <c r="AE47" s="114" t="n"/>
      <c r="AF47" s="114" t="n"/>
      <c r="AG47" s="114" t="n"/>
      <c r="AH47" s="114" t="n"/>
      <c r="AI47" s="114" t="n"/>
      <c r="AJ47" s="114" t="n"/>
      <c r="AK47" s="114" t="n"/>
      <c r="AL47" s="114" t="n"/>
      <c r="AM47" s="114" t="n"/>
      <c r="AN47" s="116">
        <f>IFERROR(INDEX(FEV!I$8:I$73,MATCH($A47,FEV!$A$8:$A$73,0))&amp;"","")</f>
        <v/>
      </c>
      <c r="AO47" s="100" t="n"/>
      <c r="AP47" s="100" t="n"/>
      <c r="AQ47" s="100" t="n"/>
      <c r="AR47" s="100" t="n"/>
      <c r="AS47" s="100" t="n"/>
      <c r="AT47" s="117">
        <f>SUMPRODUCT(($F47:$L47="M")*6+($F47:$L47="T")*6+($F47:$L47="D")*12+($F47:$L47="N")*12+($F47:$L47="NT")*6+($F47:$L47="C")*10+($F47:$L47="A")*8+($F47:$L47="J")*5+($F47:$L47="CEP")*4+($F47:$L47="CP")*6+($F47:$L47="CRO")*6+($F47:$L47="M+")*6+($F47:$L47="T+")*6+($F47:$L47="D+")*12+($F47:$L47="N+")*12+($F47:$L47="Dm+")*12+($F47:$L47="Dt+")*12+($F47:$L47="Tm-")*6+($F47:$L47="Mt-")*6)</f>
        <v/>
      </c>
      <c r="AU47" s="118">
        <f>AT47-MAX(0,IFERROR(INDEX(CADASTRO!$I$4:$I$80,MATCH($A47,CADASTRO!$A$4:$A$80,0)),$B47)-CONFIG!$B$50*(COUNTIF($F47:$L47,"AB")+COUNTIF($F47:$L47,"FE")+COUNTIF($F47:$L47,"LM")))</f>
        <v/>
      </c>
      <c r="AV47" s="117">
        <f>SUMPRODUCT(($M47:$S47="M")*6+($M47:$S47="T")*6+($M47:$S47="D")*12+($M47:$S47="N")*12+($M47:$S47="NT")*6+($M47:$S47="C")*10+($M47:$S47="A")*8+($M47:$S47="J")*5+($M47:$S47="CEP")*4+($M47:$S47="CP")*6+($M47:$S47="CRO")*6+($M47:$S47="M+")*6+($M47:$S47="T+")*6+($M47:$S47="D+")*12+($M47:$S47="N+")*12+($M47:$S47="Dm+")*12+($M47:$S47="Dt+")*12+($M47:$S47="Tm-")*6+($M47:$S47="Mt-")*6)</f>
        <v/>
      </c>
      <c r="AW47" s="118">
        <f>AV47-MAX(0,IFERROR(INDEX(CADASTRO!$I$4:$I$80,MATCH($A47,CADASTRO!$A$4:$A$80,0)),$B47)-CONFIG!$B$50*(COUNTIF($M47:$S47,"AB")+COUNTIF($M47:$S47,"FE")+COUNTIF($M47:$S47,"LM")))</f>
        <v/>
      </c>
      <c r="AX47" s="117">
        <f>SUMPRODUCT(($T47:$Z47="M")*6+($T47:$Z47="T")*6+($T47:$Z47="D")*12+($T47:$Z47="N")*12+($T47:$Z47="NT")*6+($T47:$Z47="C")*10+($T47:$Z47="A")*8+($T47:$Z47="J")*5+($T47:$Z47="CEP")*4+($T47:$Z47="CP")*6+($T47:$Z47="CRO")*6+($T47:$Z47="M+")*6+($T47:$Z47="T+")*6+($T47:$Z47="D+")*12+($T47:$Z47="N+")*12+($T47:$Z47="Dm+")*12+($T47:$Z47="Dt+")*12+($T47:$Z47="Tm-")*6+($T47:$Z47="Mt-")*6)</f>
        <v/>
      </c>
      <c r="AY47" s="118">
        <f>AX47-MAX(0,IFERROR(INDEX(CADASTRO!$I$4:$I$80,MATCH($A47,CADASTRO!$A$4:$A$80,0)),$B47)-CONFIG!$B$50*(COUNTIF($T47:$Z47,"AB")+COUNTIF($T47:$Z47,"FE")+COUNTIF($T47:$Z47,"LM")))</f>
        <v/>
      </c>
      <c r="AZ47" s="117">
        <f>SUMPRODUCT(($AA47:$AG47="M")*6+($AA47:$AG47="T")*6+($AA47:$AG47="D")*12+($AA47:$AG47="N")*12+($AA47:$AG47="NT")*6+($AA47:$AG47="C")*10+($AA47:$AG47="A")*8+($AA47:$AG47="J")*5+($AA47:$AG47="CEP")*4+($AA47:$AG47="CP")*6+($AA47:$AG47="CRO")*6+($AA47:$AG47="M+")*6+($AA47:$AG47="T+")*6+($AA47:$AG47="D+")*12+($AA47:$AG47="N+")*12+($AA47:$AG47="Dm+")*12+($AA47:$AG47="Dt+")*12+($AA47:$AG47="Tm-")*6+($AA47:$AG47="Mt-")*6)</f>
        <v/>
      </c>
      <c r="BA47" s="118">
        <f>AZ47-MAX(0,IFERROR(INDEX(CADASTRO!$I$4:$I$80,MATCH($A47,CADASTRO!$A$4:$A$80,0)),$B47)-CONFIG!$B$50*(COUNTIF($AA47:$AG47,"AB")+COUNTIF($AA47:$AG47,"FE")+COUNTIF($AA47:$AG47,"LM")))</f>
        <v/>
      </c>
      <c r="BB47" s="117">
        <f>SUMPRODUCT(($AH47:$AM47="M")*6+($AH47:$AM47="T")*6+($AH47:$AM47="D")*12+($AH47:$AM47="N")*12+($AH47:$AM47="NT")*6+($AH47:$AM47="C")*10+($AH47:$AM47="A")*8+($AH47:$AM47="J")*5+($AH47:$AM47="CEP")*4+($AH47:$AM47="CP")*6+($AH47:$AM47="CRO")*6+($AH47:$AM47="M+")*6+($AH47:$AM47="T+")*6+($AH47:$AM47="D+")*12+($AH47:$AM47="N+")*12+($AH47:$AM47="Dm+")*12+($AH47:$AM47="Dt+")*12+($AH47:$AM47="Tm-")*6+($AH47:$AM47="Mt-")*6)+SUMPRODUCT(($AN47:$AN47="M")*6+($AN47:$AN47="T")*6+($AN47:$AN47="D")*12+($AN47:$AN47="N")*12+($AN47:$AN47="NT")*6+($AN47:$AN47="C")*10+($AN47:$AN47="A")*8+($AN47:$AN47="J")*5+($AN47:$AN47="CEP")*4+($AN47:$AN47="CP")*6+($AN47:$AN47="CRO")*6+($AN47:$AN47="M+")*6+($AN47:$AN47="T+")*6+($AN47:$AN47="D+")*12+($AN47:$AN47="N+")*12+($AN47:$AN47="Dm+")*12+($AN47:$AN47="Dt+")*12+($AN47:$AN47="Tm-")*6+($AN47:$AN47="Mt-")*6)</f>
        <v/>
      </c>
      <c r="BC47" s="118">
        <f>BB47-MAX(0,IFERROR(INDEX(CADASTRO!$I$4:$I$80,MATCH($A47,CADASTRO!$A$4:$A$80,0)),$B47)-CONFIG!$B$50*(COUNTIF($AH47:$AM47,"AB")+COUNTIF($AH47:$AM47,"FE")+COUNTIF($AH47:$AM47,"LM")+COUNTIF($AN47:$AN47,"AB")+COUNTIF($AN47:$AN47,"FE")+COUNTIF($AN47:$AN47,"LM")))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00" t="n"/>
      <c r="H48" s="100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14" t="n"/>
      <c r="AN48" s="116">
        <f>IFERROR(INDEX(FEV!I$8:I$73,MATCH($A48,FEV!$A$8:$A$73,0))&amp;"","")</f>
        <v/>
      </c>
      <c r="AO48" s="100" t="n"/>
      <c r="AP48" s="100" t="n"/>
      <c r="AQ48" s="100" t="n"/>
      <c r="AR48" s="100" t="n"/>
      <c r="AS48" s="100" t="n"/>
      <c r="AT48" s="117">
        <f>SUMPRODUCT(($F48:$L48="M")*6+($F48:$L48="T")*6+($F48:$L48="D")*12+($F48:$L48="N")*12+($F48:$L48="NT")*6+($F48:$L48="C")*10+($F48:$L48="A")*8+($F48:$L48="J")*5+($F48:$L48="CEP")*4+($F48:$L48="CP")*6+($F48:$L48="CRO")*6+($F48:$L48="M+")*6+($F48:$L48="T+")*6+($F48:$L48="D+")*12+($F48:$L48="N+")*12+($F48:$L48="Dm+")*12+($F48:$L48="Dt+")*12+($F48:$L48="Tm-")*6+($F48:$L48="Mt-")*6)</f>
        <v/>
      </c>
      <c r="AU48" s="118">
        <f>AT48-MAX(0,IFERROR(INDEX(CADASTRO!$I$4:$I$80,MATCH($A48,CADASTRO!$A$4:$A$80,0)),$B48)-CONFIG!$B$50*(COUNTIF($F48:$L48,"AB")+COUNTIF($F48:$L48,"FE")+COUNTIF($F48:$L48,"LM")))</f>
        <v/>
      </c>
      <c r="AV48" s="117">
        <f>SUMPRODUCT(($M48:$S48="M")*6+($M48:$S48="T")*6+($M48:$S48="D")*12+($M48:$S48="N")*12+($M48:$S48="NT")*6+($M48:$S48="C")*10+($M48:$S48="A")*8+($M48:$S48="J")*5+($M48:$S48="CEP")*4+($M48:$S48="CP")*6+($M48:$S48="CRO")*6+($M48:$S48="M+")*6+($M48:$S48="T+")*6+($M48:$S48="D+")*12+($M48:$S48="N+")*12+($M48:$S48="Dm+")*12+($M48:$S48="Dt+")*12+($M48:$S48="Tm-")*6+($M48:$S48="Mt-")*6)</f>
        <v/>
      </c>
      <c r="AW48" s="118">
        <f>AV48-MAX(0,IFERROR(INDEX(CADASTRO!$I$4:$I$80,MATCH($A48,CADASTRO!$A$4:$A$80,0)),$B48)-CONFIG!$B$50*(COUNTIF($M48:$S48,"AB")+COUNTIF($M48:$S48,"FE")+COUNTIF($M48:$S48,"LM")))</f>
        <v/>
      </c>
      <c r="AX48" s="117">
        <f>SUMPRODUCT(($T48:$Z48="M")*6+($T48:$Z48="T")*6+($T48:$Z48="D")*12+($T48:$Z48="N")*12+($T48:$Z48="NT")*6+($T48:$Z48="C")*10+($T48:$Z48="A")*8+($T48:$Z48="J")*5+($T48:$Z48="CEP")*4+($T48:$Z48="CP")*6+($T48:$Z48="CRO")*6+($T48:$Z48="M+")*6+($T48:$Z48="T+")*6+($T48:$Z48="D+")*12+($T48:$Z48="N+")*12+($T48:$Z48="Dm+")*12+($T48:$Z48="Dt+")*12+($T48:$Z48="Tm-")*6+($T48:$Z48="Mt-")*6)</f>
        <v/>
      </c>
      <c r="AY48" s="118">
        <f>AX48-MAX(0,IFERROR(INDEX(CADASTRO!$I$4:$I$80,MATCH($A48,CADASTRO!$A$4:$A$80,0)),$B48)-CONFIG!$B$50*(COUNTIF($T48:$Z48,"AB")+COUNTIF($T48:$Z48,"FE")+COUNTIF($T48:$Z48,"LM")))</f>
        <v/>
      </c>
      <c r="AZ48" s="117">
        <f>SUMPRODUCT(($AA48:$AG48="M")*6+($AA48:$AG48="T")*6+($AA48:$AG48="D")*12+($AA48:$AG48="N")*12+($AA48:$AG48="NT")*6+($AA48:$AG48="C")*10+($AA48:$AG48="A")*8+($AA48:$AG48="J")*5+($AA48:$AG48="CEP")*4+($AA48:$AG48="CP")*6+($AA48:$AG48="CRO")*6+($AA48:$AG48="M+")*6+($AA48:$AG48="T+")*6+($AA48:$AG48="D+")*12+($AA48:$AG48="N+")*12+($AA48:$AG48="Dm+")*12+($AA48:$AG48="Dt+")*12+($AA48:$AG48="Tm-")*6+($AA48:$AG48="Mt-")*6)</f>
        <v/>
      </c>
      <c r="BA48" s="118">
        <f>AZ48-MAX(0,IFERROR(INDEX(CADASTRO!$I$4:$I$80,MATCH($A48,CADASTRO!$A$4:$A$80,0)),$B48)-CONFIG!$B$50*(COUNTIF($AA48:$AG48,"AB")+COUNTIF($AA48:$AG48,"FE")+COUNTIF($AA48:$AG48,"LM")))</f>
        <v/>
      </c>
      <c r="BB48" s="117">
        <f>SUMPRODUCT(($AH48:$AM48="M")*6+($AH48:$AM48="T")*6+($AH48:$AM48="D")*12+($AH48:$AM48="N")*12+($AH48:$AM48="NT")*6+($AH48:$AM48="C")*10+($AH48:$AM48="A")*8+($AH48:$AM48="J")*5+($AH48:$AM48="CEP")*4+($AH48:$AM48="CP")*6+($AH48:$AM48="CRO")*6+($AH48:$AM48="M+")*6+($AH48:$AM48="T+")*6+($AH48:$AM48="D+")*12+($AH48:$AM48="N+")*12+($AH48:$AM48="Dm+")*12+($AH48:$AM48="Dt+")*12+($AH48:$AM48="Tm-")*6+($AH48:$AM48="Mt-")*6)+SUMPRODUCT(($AN48:$AN48="M")*6+($AN48:$AN48="T")*6+($AN48:$AN48="D")*12+($AN48:$AN48="N")*12+($AN48:$AN48="NT")*6+($AN48:$AN48="C")*10+($AN48:$AN48="A")*8+($AN48:$AN48="J")*5+($AN48:$AN48="CEP")*4+($AN48:$AN48="CP")*6+($AN48:$AN48="CRO")*6+($AN48:$AN48="M+")*6+($AN48:$AN48="T+")*6+($AN48:$AN48="D+")*12+($AN48:$AN48="N+")*12+($AN48:$AN48="Dm+")*12+($AN48:$AN48="Dt+")*12+($AN48:$AN48="Tm-")*6+($AN48:$AN48="Mt-")*6)</f>
        <v/>
      </c>
      <c r="BC48" s="118">
        <f>BB48-MAX(0,IFERROR(INDEX(CADASTRO!$I$4:$I$80,MATCH($A48,CADASTRO!$A$4:$A$80,0)),$B48)-CONFIG!$B$50*(COUNTIF($AH48:$AM48,"AB")+COUNTIF($AH48:$AM48,"FE")+COUNTIF($AH48:$AM48,"LM")+COUNTIF($AN48:$AN48,"AB")+COUNTIF($AN48:$AN48,"FE")+COUNTIF($AN48:$AN48,"LM")))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00" t="n"/>
      <c r="H49" s="100" t="n"/>
      <c r="I49" s="114" t="n"/>
      <c r="J49" s="114" t="n"/>
      <c r="K49" s="114" t="n"/>
      <c r="L49" s="126" t="inlineStr">
        <is>
          <t>T</t>
        </is>
      </c>
      <c r="M49" s="114" t="n"/>
      <c r="N49" s="114" t="n"/>
      <c r="O49" s="124" t="inlineStr">
        <is>
          <t>D</t>
        </is>
      </c>
      <c r="P49" s="114" t="n"/>
      <c r="Q49" s="114" t="n"/>
      <c r="R49" s="124" t="inlineStr">
        <is>
          <t>D</t>
        </is>
      </c>
      <c r="S49" s="115" t="inlineStr">
        <is>
          <t>M</t>
        </is>
      </c>
      <c r="T49" s="124" t="inlineStr">
        <is>
          <t>D</t>
        </is>
      </c>
      <c r="U49" s="114" t="n"/>
      <c r="V49" s="124" t="inlineStr">
        <is>
          <t>D</t>
        </is>
      </c>
      <c r="W49" s="126" t="inlineStr">
        <is>
          <t>T</t>
        </is>
      </c>
      <c r="X49" s="114" t="n"/>
      <c r="Y49" s="114" t="n"/>
      <c r="Z49" s="114" t="n"/>
      <c r="AA49" s="124" t="inlineStr">
        <is>
          <t>D</t>
        </is>
      </c>
      <c r="AB49" s="114" t="n"/>
      <c r="AC49" s="124" t="inlineStr">
        <is>
          <t>D</t>
        </is>
      </c>
      <c r="AD49" s="115" t="inlineStr">
        <is>
          <t>M</t>
        </is>
      </c>
      <c r="AE49" s="114" t="n"/>
      <c r="AF49" s="114" t="n"/>
      <c r="AG49" s="114" t="n"/>
      <c r="AH49" s="124" t="inlineStr">
        <is>
          <t>D</t>
        </is>
      </c>
      <c r="AI49" s="114" t="n"/>
      <c r="AJ49" s="126" t="inlineStr">
        <is>
          <t>T</t>
        </is>
      </c>
      <c r="AK49" s="114" t="n"/>
      <c r="AL49" s="125" t="inlineStr">
        <is>
          <t>N</t>
        </is>
      </c>
      <c r="AM49" s="114" t="n"/>
      <c r="AN49" s="116">
        <f>IFERROR(INDEX(FEV!I$8:I$73,MATCH($A49,FEV!$A$8:$A$73,0))&amp;"","")</f>
        <v/>
      </c>
      <c r="AO49" s="100" t="n"/>
      <c r="AP49" s="100" t="n"/>
      <c r="AQ49" s="100" t="n"/>
      <c r="AR49" s="100" t="n"/>
      <c r="AS49" s="100" t="n"/>
      <c r="AT49" s="117">
        <f>SUMPRODUCT(($F49:$L49="M")*6+($F49:$L49="T")*6+($F49:$L49="D")*12+($F49:$L49="N")*12+($F49:$L49="NT")*6+($F49:$L49="C")*10+($F49:$L49="A")*8+($F49:$L49="J")*5+($F49:$L49="CEP")*4+($F49:$L49="CP")*6+($F49:$L49="CRO")*6+($F49:$L49="M+")*6+($F49:$L49="T+")*6+($F49:$L49="D+")*12+($F49:$L49="N+")*12+($F49:$L49="Dm+")*12+($F49:$L49="Dt+")*12+($F49:$L49="Tm-")*6+($F49:$L49="Mt-")*6)</f>
        <v/>
      </c>
      <c r="AU49" s="118">
        <f>AT49-MAX(0,IFERROR(INDEX(CADASTRO!$I$4:$I$80,MATCH($A49,CADASTRO!$A$4:$A$80,0)),$B49)-CONFIG!$B$50*(COUNTIF($F49:$L49,"AB")+COUNTIF($F49:$L49,"FE")+COUNTIF($F49:$L49,"LM")))</f>
        <v/>
      </c>
      <c r="AV49" s="117">
        <f>SUMPRODUCT(($M49:$S49="M")*6+($M49:$S49="T")*6+($M49:$S49="D")*12+($M49:$S49="N")*12+($M49:$S49="NT")*6+($M49:$S49="C")*10+($M49:$S49="A")*8+($M49:$S49="J")*5+($M49:$S49="CEP")*4+($M49:$S49="CP")*6+($M49:$S49="CRO")*6+($M49:$S49="M+")*6+($M49:$S49="T+")*6+($M49:$S49="D+")*12+($M49:$S49="N+")*12+($M49:$S49="Dm+")*12+($M49:$S49="Dt+")*12+($M49:$S49="Tm-")*6+($M49:$S49="Mt-")*6)</f>
        <v/>
      </c>
      <c r="AW49" s="118">
        <f>AV49-MAX(0,IFERROR(INDEX(CADASTRO!$I$4:$I$80,MATCH($A49,CADASTRO!$A$4:$A$80,0)),$B49)-CONFIG!$B$50*(COUNTIF($M49:$S49,"AB")+COUNTIF($M49:$S49,"FE")+COUNTIF($M49:$S49,"LM")))</f>
        <v/>
      </c>
      <c r="AX49" s="117">
        <f>SUMPRODUCT(($T49:$Z49="M")*6+($T49:$Z49="T")*6+($T49:$Z49="D")*12+($T49:$Z49="N")*12+($T49:$Z49="NT")*6+($T49:$Z49="C")*10+($T49:$Z49="A")*8+($T49:$Z49="J")*5+($T49:$Z49="CEP")*4+($T49:$Z49="CP")*6+($T49:$Z49="CRO")*6+($T49:$Z49="M+")*6+($T49:$Z49="T+")*6+($T49:$Z49="D+")*12+($T49:$Z49="N+")*12+($T49:$Z49="Dm+")*12+($T49:$Z49="Dt+")*12+($T49:$Z49="Tm-")*6+($T49:$Z49="Mt-")*6)</f>
        <v/>
      </c>
      <c r="AY49" s="118">
        <f>AX49-MAX(0,IFERROR(INDEX(CADASTRO!$I$4:$I$80,MATCH($A49,CADASTRO!$A$4:$A$80,0)),$B49)-CONFIG!$B$50*(COUNTIF($T49:$Z49,"AB")+COUNTIF($T49:$Z49,"FE")+COUNTIF($T49:$Z49,"LM")))</f>
        <v/>
      </c>
      <c r="AZ49" s="117">
        <f>SUMPRODUCT(($AA49:$AG49="M")*6+($AA49:$AG49="T")*6+($AA49:$AG49="D")*12+($AA49:$AG49="N")*12+($AA49:$AG49="NT")*6+($AA49:$AG49="C")*10+($AA49:$AG49="A")*8+($AA49:$AG49="J")*5+($AA49:$AG49="CEP")*4+($AA49:$AG49="CP")*6+($AA49:$AG49="CRO")*6+($AA49:$AG49="M+")*6+($AA49:$AG49="T+")*6+($AA49:$AG49="D+")*12+($AA49:$AG49="N+")*12+($AA49:$AG49="Dm+")*12+($AA49:$AG49="Dt+")*12+($AA49:$AG49="Tm-")*6+($AA49:$AG49="Mt-")*6)</f>
        <v/>
      </c>
      <c r="BA49" s="118">
        <f>AZ49-MAX(0,IFERROR(INDEX(CADASTRO!$I$4:$I$80,MATCH($A49,CADASTRO!$A$4:$A$80,0)),$B49)-CONFIG!$B$50*(COUNTIF($AA49:$AG49,"AB")+COUNTIF($AA49:$AG49,"FE")+COUNTIF($AA49:$AG49,"LM")))</f>
        <v/>
      </c>
      <c r="BB49" s="117">
        <f>SUMPRODUCT(($AH49:$AM49="M")*6+($AH49:$AM49="T")*6+($AH49:$AM49="D")*12+($AH49:$AM49="N")*12+($AH49:$AM49="NT")*6+($AH49:$AM49="C")*10+($AH49:$AM49="A")*8+($AH49:$AM49="J")*5+($AH49:$AM49="CEP")*4+($AH49:$AM49="CP")*6+($AH49:$AM49="CRO")*6+($AH49:$AM49="M+")*6+($AH49:$AM49="T+")*6+($AH49:$AM49="D+")*12+($AH49:$AM49="N+")*12+($AH49:$AM49="Dm+")*12+($AH49:$AM49="Dt+")*12+($AH49:$AM49="Tm-")*6+($AH49:$AM49="Mt-")*6)+SUMPRODUCT(($AN49:$AN49="M")*6+($AN49:$AN49="T")*6+($AN49:$AN49="D")*12+($AN49:$AN49="N")*12+($AN49:$AN49="NT")*6+($AN49:$AN49="C")*10+($AN49:$AN49="A")*8+($AN49:$AN49="J")*5+($AN49:$AN49="CEP")*4+($AN49:$AN49="CP")*6+($AN49:$AN49="CRO")*6+($AN49:$AN49="M+")*6+($AN49:$AN49="T+")*6+($AN49:$AN49="D+")*12+($AN49:$AN49="N+")*12+($AN49:$AN49="Dm+")*12+($AN49:$AN49="Dt+")*12+($AN49:$AN49="Tm-")*6+($AN49:$AN49="Mt-")*6)</f>
        <v/>
      </c>
      <c r="BC49" s="118">
        <f>BB49-MAX(0,IFERROR(INDEX(CADASTRO!$I$4:$I$80,MATCH($A49,CADASTRO!$A$4:$A$80,0)),$B49)-CONFIG!$B$50*(COUNTIF($AH49:$AM49,"AB")+COUNTIF($AH49:$AM49,"FE")+COUNTIF($AH49:$AM49,"LM")+COUNTIF($AN49:$AN49,"AB")+COUNTIF($AN49:$AN49,"FE")+COUNTIF($AN49:$AN49,"LM")))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00" t="n"/>
      <c r="H50" s="100" t="n"/>
      <c r="I50" s="114" t="n"/>
      <c r="J50" s="123" t="inlineStr">
        <is>
          <t>T+</t>
        </is>
      </c>
      <c r="K50" s="114" t="n"/>
      <c r="L50" s="114" t="n"/>
      <c r="M50" s="114" t="n"/>
      <c r="N50" s="114" t="n"/>
      <c r="O50" s="115" t="inlineStr">
        <is>
          <t>M</t>
        </is>
      </c>
      <c r="P50" s="114" t="n"/>
      <c r="Q50" s="125" t="inlineStr">
        <is>
          <t>N</t>
        </is>
      </c>
      <c r="R50" s="114" t="n"/>
      <c r="S50" s="115" t="inlineStr">
        <is>
          <t>M</t>
        </is>
      </c>
      <c r="T50" s="126" t="inlineStr">
        <is>
          <t>T</t>
        </is>
      </c>
      <c r="U50" s="115" t="inlineStr">
        <is>
          <t>M</t>
        </is>
      </c>
      <c r="V50" s="114" t="n"/>
      <c r="W50" s="114" t="n"/>
      <c r="X50" s="126" t="inlineStr">
        <is>
          <t>T</t>
        </is>
      </c>
      <c r="Y50" s="114" t="n"/>
      <c r="Z50" s="126" t="inlineStr">
        <is>
          <t>T</t>
        </is>
      </c>
      <c r="AA50" s="114" t="n"/>
      <c r="AB50" s="114" t="n"/>
      <c r="AC50" s="115" t="inlineStr">
        <is>
          <t>M</t>
        </is>
      </c>
      <c r="AD50" s="114" t="n"/>
      <c r="AE50" s="114" t="n"/>
      <c r="AF50" s="124" t="inlineStr">
        <is>
          <t>D</t>
        </is>
      </c>
      <c r="AG50" s="115" t="inlineStr">
        <is>
          <t>M</t>
        </is>
      </c>
      <c r="AH50" s="114" t="n"/>
      <c r="AI50" s="115" t="inlineStr">
        <is>
          <t>M</t>
        </is>
      </c>
      <c r="AJ50" s="124" t="inlineStr">
        <is>
          <t>D</t>
        </is>
      </c>
      <c r="AK50" s="114" t="n"/>
      <c r="AL50" s="126" t="inlineStr">
        <is>
          <t>T</t>
        </is>
      </c>
      <c r="AM50" s="114" t="n"/>
      <c r="AN50" s="116">
        <f>IFERROR(INDEX(FEV!I$8:I$73,MATCH($A50,FEV!$A$8:$A$73,0))&amp;"","")</f>
        <v/>
      </c>
      <c r="AO50" s="100" t="n"/>
      <c r="AP50" s="100" t="n"/>
      <c r="AQ50" s="100" t="n"/>
      <c r="AR50" s="100" t="n"/>
      <c r="AS50" s="100" t="n"/>
      <c r="AT50" s="117">
        <f>SUMPRODUCT(($F50:$L50="M")*6+($F50:$L50="T")*6+($F50:$L50="D")*12+($F50:$L50="N")*12+($F50:$L50="NT")*6+($F50:$L50="C")*10+($F50:$L50="A")*8+($F50:$L50="J")*5+($F50:$L50="CEP")*4+($F50:$L50="CP")*6+($F50:$L50="CRO")*6+($F50:$L50="M+")*6+($F50:$L50="T+")*6+($F50:$L50="D+")*12+($F50:$L50="N+")*12+($F50:$L50="Dm+")*12+($F50:$L50="Dt+")*12+($F50:$L50="Tm-")*6+($F50:$L50="Mt-")*6)</f>
        <v/>
      </c>
      <c r="AU50" s="118">
        <f>AT50-MAX(0,IFERROR(INDEX(CADASTRO!$I$4:$I$80,MATCH($A50,CADASTRO!$A$4:$A$80,0)),$B50)-CONFIG!$B$50*(COUNTIF($F50:$L50,"AB")+COUNTIF($F50:$L50,"FE")+COUNTIF($F50:$L50,"LM")))</f>
        <v/>
      </c>
      <c r="AV50" s="117">
        <f>SUMPRODUCT(($M50:$S50="M")*6+($M50:$S50="T")*6+($M50:$S50="D")*12+($M50:$S50="N")*12+($M50:$S50="NT")*6+($M50:$S50="C")*10+($M50:$S50="A")*8+($M50:$S50="J")*5+($M50:$S50="CEP")*4+($M50:$S50="CP")*6+($M50:$S50="CRO")*6+($M50:$S50="M+")*6+($M50:$S50="T+")*6+($M50:$S50="D+")*12+($M50:$S50="N+")*12+($M50:$S50="Dm+")*12+($M50:$S50="Dt+")*12+($M50:$S50="Tm-")*6+($M50:$S50="Mt-")*6)</f>
        <v/>
      </c>
      <c r="AW50" s="118">
        <f>AV50-MAX(0,IFERROR(INDEX(CADASTRO!$I$4:$I$80,MATCH($A50,CADASTRO!$A$4:$A$80,0)),$B50)-CONFIG!$B$50*(COUNTIF($M50:$S50,"AB")+COUNTIF($M50:$S50,"FE")+COUNTIF($M50:$S50,"LM")))</f>
        <v/>
      </c>
      <c r="AX50" s="117">
        <f>SUMPRODUCT(($T50:$Z50="M")*6+($T50:$Z50="T")*6+($T50:$Z50="D")*12+($T50:$Z50="N")*12+($T50:$Z50="NT")*6+($T50:$Z50="C")*10+($T50:$Z50="A")*8+($T50:$Z50="J")*5+($T50:$Z50="CEP")*4+($T50:$Z50="CP")*6+($T50:$Z50="CRO")*6+($T50:$Z50="M+")*6+($T50:$Z50="T+")*6+($T50:$Z50="D+")*12+($T50:$Z50="N+")*12+($T50:$Z50="Dm+")*12+($T50:$Z50="Dt+")*12+($T50:$Z50="Tm-")*6+($T50:$Z50="Mt-")*6)</f>
        <v/>
      </c>
      <c r="AY50" s="118">
        <f>AX50-MAX(0,IFERROR(INDEX(CADASTRO!$I$4:$I$80,MATCH($A50,CADASTRO!$A$4:$A$80,0)),$B50)-CONFIG!$B$50*(COUNTIF($T50:$Z50,"AB")+COUNTIF($T50:$Z50,"FE")+COUNTIF($T50:$Z50,"LM")))</f>
        <v/>
      </c>
      <c r="AZ50" s="117">
        <f>SUMPRODUCT(($AA50:$AG50="M")*6+($AA50:$AG50="T")*6+($AA50:$AG50="D")*12+($AA50:$AG50="N")*12+($AA50:$AG50="NT")*6+($AA50:$AG50="C")*10+($AA50:$AG50="A")*8+($AA50:$AG50="J")*5+($AA50:$AG50="CEP")*4+($AA50:$AG50="CP")*6+($AA50:$AG50="CRO")*6+($AA50:$AG50="M+")*6+($AA50:$AG50="T+")*6+($AA50:$AG50="D+")*12+($AA50:$AG50="N+")*12+($AA50:$AG50="Dm+")*12+($AA50:$AG50="Dt+")*12+($AA50:$AG50="Tm-")*6+($AA50:$AG50="Mt-")*6)</f>
        <v/>
      </c>
      <c r="BA50" s="118">
        <f>AZ50-MAX(0,IFERROR(INDEX(CADASTRO!$I$4:$I$80,MATCH($A50,CADASTRO!$A$4:$A$80,0)),$B50)-CONFIG!$B$50*(COUNTIF($AA50:$AG50,"AB")+COUNTIF($AA50:$AG50,"FE")+COUNTIF($AA50:$AG50,"LM")))</f>
        <v/>
      </c>
      <c r="BB50" s="117">
        <f>SUMPRODUCT(($AH50:$AM50="M")*6+($AH50:$AM50="T")*6+($AH50:$AM50="D")*12+($AH50:$AM50="N")*12+($AH50:$AM50="NT")*6+($AH50:$AM50="C")*10+($AH50:$AM50="A")*8+($AH50:$AM50="J")*5+($AH50:$AM50="CEP")*4+($AH50:$AM50="CP")*6+($AH50:$AM50="CRO")*6+($AH50:$AM50="M+")*6+($AH50:$AM50="T+")*6+($AH50:$AM50="D+")*12+($AH50:$AM50="N+")*12+($AH50:$AM50="Dm+")*12+($AH50:$AM50="Dt+")*12+($AH50:$AM50="Tm-")*6+($AH50:$AM50="Mt-")*6)+SUMPRODUCT(($AN50:$AN50="M")*6+($AN50:$AN50="T")*6+($AN50:$AN50="D")*12+($AN50:$AN50="N")*12+($AN50:$AN50="NT")*6+($AN50:$AN50="C")*10+($AN50:$AN50="A")*8+($AN50:$AN50="J")*5+($AN50:$AN50="CEP")*4+($AN50:$AN50="CP")*6+($AN50:$AN50="CRO")*6+($AN50:$AN50="M+")*6+($AN50:$AN50="T+")*6+($AN50:$AN50="D+")*12+($AN50:$AN50="N+")*12+($AN50:$AN50="Dm+")*12+($AN50:$AN50="Dt+")*12+($AN50:$AN50="Tm-")*6+($AN50:$AN50="Mt-")*6)</f>
        <v/>
      </c>
      <c r="BC50" s="118">
        <f>BB50-MAX(0,IFERROR(INDEX(CADASTRO!$I$4:$I$80,MATCH($A50,CADASTRO!$A$4:$A$80,0)),$B50)-CONFIG!$B$50*(COUNTIF($AH50:$AM50,"AB")+COUNTIF($AH50:$AM50,"FE")+COUNTIF($AH50:$AM50,"LM")+COUNTIF($AN50:$AN50,"AB")+COUNTIF($AN50:$AN50,"FE")+COUNTIF($AN50:$AN50,"LM")))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00" t="n"/>
      <c r="H51" s="100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14" t="n"/>
      <c r="AN51" s="116">
        <f>IFERROR(INDEX(FEV!I$8:I$73,MATCH($A51,FEV!$A$8:$A$73,0))&amp;"","")</f>
        <v/>
      </c>
      <c r="AO51" s="100" t="n"/>
      <c r="AP51" s="100" t="n"/>
      <c r="AQ51" s="100" t="n"/>
      <c r="AR51" s="100" t="n"/>
      <c r="AS51" s="100" t="n"/>
      <c r="AT51" s="117">
        <f>SUMPRODUCT(($F51:$L51="M")*6+($F51:$L51="T")*6+($F51:$L51="D")*12+($F51:$L51="N")*12+($F51:$L51="NT")*6+($F51:$L51="C")*10+($F51:$L51="A")*8+($F51:$L51="J")*5+($F51:$L51="CEP")*4+($F51:$L51="CP")*6+($F51:$L51="CRO")*6+($F51:$L51="M+")*6+($F51:$L51="T+")*6+($F51:$L51="D+")*12+($F51:$L51="N+")*12+($F51:$L51="Dm+")*12+($F51:$L51="Dt+")*12+($F51:$L51="Tm-")*6+($F51:$L51="Mt-")*6)</f>
        <v/>
      </c>
      <c r="AU51" s="118">
        <f>AT51-MAX(0,IFERROR(INDEX(CADASTRO!$I$4:$I$80,MATCH($A51,CADASTRO!$A$4:$A$80,0)),$B51)-CONFIG!$B$50*(COUNTIF($F51:$L51,"AB")+COUNTIF($F51:$L51,"FE")+COUNTIF($F51:$L51,"LM")))</f>
        <v/>
      </c>
      <c r="AV51" s="117">
        <f>SUMPRODUCT(($M51:$S51="M")*6+($M51:$S51="T")*6+($M51:$S51="D")*12+($M51:$S51="N")*12+($M51:$S51="NT")*6+($M51:$S51="C")*10+($M51:$S51="A")*8+($M51:$S51="J")*5+($M51:$S51="CEP")*4+($M51:$S51="CP")*6+($M51:$S51="CRO")*6+($M51:$S51="M+")*6+($M51:$S51="T+")*6+($M51:$S51="D+")*12+($M51:$S51="N+")*12+($M51:$S51="Dm+")*12+($M51:$S51="Dt+")*12+($M51:$S51="Tm-")*6+($M51:$S51="Mt-")*6)</f>
        <v/>
      </c>
      <c r="AW51" s="118">
        <f>AV51-MAX(0,IFERROR(INDEX(CADASTRO!$I$4:$I$80,MATCH($A51,CADASTRO!$A$4:$A$80,0)),$B51)-CONFIG!$B$50*(COUNTIF($M51:$S51,"AB")+COUNTIF($M51:$S51,"FE")+COUNTIF($M51:$S51,"LM")))</f>
        <v/>
      </c>
      <c r="AX51" s="117">
        <f>SUMPRODUCT(($T51:$Z51="M")*6+($T51:$Z51="T")*6+($T51:$Z51="D")*12+($T51:$Z51="N")*12+($T51:$Z51="NT")*6+($T51:$Z51="C")*10+($T51:$Z51="A")*8+($T51:$Z51="J")*5+($T51:$Z51="CEP")*4+($T51:$Z51="CP")*6+($T51:$Z51="CRO")*6+($T51:$Z51="M+")*6+($T51:$Z51="T+")*6+($T51:$Z51="D+")*12+($T51:$Z51="N+")*12+($T51:$Z51="Dm+")*12+($T51:$Z51="Dt+")*12+($T51:$Z51="Tm-")*6+($T51:$Z51="Mt-")*6)</f>
        <v/>
      </c>
      <c r="AY51" s="118">
        <f>AX51-MAX(0,IFERROR(INDEX(CADASTRO!$I$4:$I$80,MATCH($A51,CADASTRO!$A$4:$A$80,0)),$B51)-CONFIG!$B$50*(COUNTIF($T51:$Z51,"AB")+COUNTIF($T51:$Z51,"FE")+COUNTIF($T51:$Z51,"LM")))</f>
        <v/>
      </c>
      <c r="AZ51" s="117">
        <f>SUMPRODUCT(($AA51:$AG51="M")*6+($AA51:$AG51="T")*6+($AA51:$AG51="D")*12+($AA51:$AG51="N")*12+($AA51:$AG51="NT")*6+($AA51:$AG51="C")*10+($AA51:$AG51="A")*8+($AA51:$AG51="J")*5+($AA51:$AG51="CEP")*4+($AA51:$AG51="CP")*6+($AA51:$AG51="CRO")*6+($AA51:$AG51="M+")*6+($AA51:$AG51="T+")*6+($AA51:$AG51="D+")*12+($AA51:$AG51="N+")*12+($AA51:$AG51="Dm+")*12+($AA51:$AG51="Dt+")*12+($AA51:$AG51="Tm-")*6+($AA51:$AG51="Mt-")*6)</f>
        <v/>
      </c>
      <c r="BA51" s="118">
        <f>AZ51-MAX(0,IFERROR(INDEX(CADASTRO!$I$4:$I$80,MATCH($A51,CADASTRO!$A$4:$A$80,0)),$B51)-CONFIG!$B$50*(COUNTIF($AA51:$AG51,"AB")+COUNTIF($AA51:$AG51,"FE")+COUNTIF($AA51:$AG51,"LM")))</f>
        <v/>
      </c>
      <c r="BB51" s="117">
        <f>SUMPRODUCT(($AH51:$AM51="M")*6+($AH51:$AM51="T")*6+($AH51:$AM51="D")*12+($AH51:$AM51="N")*12+($AH51:$AM51="NT")*6+($AH51:$AM51="C")*10+($AH51:$AM51="A")*8+($AH51:$AM51="J")*5+($AH51:$AM51="CEP")*4+($AH51:$AM51="CP")*6+($AH51:$AM51="CRO")*6+($AH51:$AM51="M+")*6+($AH51:$AM51="T+")*6+($AH51:$AM51="D+")*12+($AH51:$AM51="N+")*12+($AH51:$AM51="Dm+")*12+($AH51:$AM51="Dt+")*12+($AH51:$AM51="Tm-")*6+($AH51:$AM51="Mt-")*6)+SUMPRODUCT(($AN51:$AN51="M")*6+($AN51:$AN51="T")*6+($AN51:$AN51="D")*12+($AN51:$AN51="N")*12+($AN51:$AN51="NT")*6+($AN51:$AN51="C")*10+($AN51:$AN51="A")*8+($AN51:$AN51="J")*5+($AN51:$AN51="CEP")*4+($AN51:$AN51="CP")*6+($AN51:$AN51="CRO")*6+($AN51:$AN51="M+")*6+($AN51:$AN51="T+")*6+($AN51:$AN51="D+")*12+($AN51:$AN51="N+")*12+($AN51:$AN51="Dm+")*12+($AN51:$AN51="Dt+")*12+($AN51:$AN51="Tm-")*6+($AN51:$AN51="Mt-")*6)</f>
        <v/>
      </c>
      <c r="BC51" s="118">
        <f>BB51-MAX(0,IFERROR(INDEX(CADASTRO!$I$4:$I$80,MATCH($A51,CADASTRO!$A$4:$A$80,0)),$B51)-CONFIG!$B$50*(COUNTIF($AH51:$AM51,"AB")+COUNTIF($AH51:$AM51,"FE")+COUNTIF($AH51:$AM51,"LM")+COUNTIF($AN51:$AN51,"AB")+COUNTIF($AN51:$AN51,"FE")+COUNTIF($AN51:$AN51,"LM")))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00" t="n"/>
      <c r="H52" s="100" t="n"/>
      <c r="I52" s="114" t="n"/>
      <c r="J52" s="114" t="n"/>
      <c r="K52" s="125" t="inlineStr">
        <is>
          <t>N</t>
        </is>
      </c>
      <c r="L52" s="114" t="n"/>
      <c r="M52" s="125" t="inlineStr">
        <is>
          <t>N</t>
        </is>
      </c>
      <c r="N52" s="114" t="n"/>
      <c r="O52" s="114" t="n"/>
      <c r="P52" s="125" t="inlineStr">
        <is>
          <t>N</t>
        </is>
      </c>
      <c r="Q52" s="114" t="n"/>
      <c r="R52" s="114" t="n"/>
      <c r="S52" s="114" t="n"/>
      <c r="T52" s="125" t="inlineStr">
        <is>
          <t>N</t>
        </is>
      </c>
      <c r="U52" s="114" t="n"/>
      <c r="V52" s="114" t="n"/>
      <c r="W52" s="114" t="n"/>
      <c r="X52" s="114" t="n"/>
      <c r="Y52" s="125" t="inlineStr">
        <is>
          <t>N</t>
        </is>
      </c>
      <c r="Z52" s="114" t="n"/>
      <c r="AA52" s="125" t="inlineStr">
        <is>
          <t>N</t>
        </is>
      </c>
      <c r="AB52" s="114" t="n"/>
      <c r="AC52" s="114" t="n"/>
      <c r="AD52" s="125" t="inlineStr">
        <is>
          <t>N</t>
        </is>
      </c>
      <c r="AE52" s="114" t="n"/>
      <c r="AF52" s="114" t="n"/>
      <c r="AG52" s="114" t="n"/>
      <c r="AH52" s="125" t="inlineStr">
        <is>
          <t>N</t>
        </is>
      </c>
      <c r="AI52" s="114" t="n"/>
      <c r="AJ52" s="114" t="n"/>
      <c r="AK52" s="114" t="n"/>
      <c r="AL52" s="114" t="n"/>
      <c r="AM52" s="125" t="inlineStr">
        <is>
          <t>N</t>
        </is>
      </c>
      <c r="AN52" s="116">
        <f>IFERROR(INDEX(FEV!I$8:I$73,MATCH($A52,FEV!$A$8:$A$73,0))&amp;"","")</f>
        <v/>
      </c>
      <c r="AO52" s="100" t="n"/>
      <c r="AP52" s="100" t="n"/>
      <c r="AQ52" s="100" t="n"/>
      <c r="AR52" s="100" t="n"/>
      <c r="AS52" s="100" t="n"/>
      <c r="AT52" s="117">
        <f>SUMPRODUCT(($F52:$L52="M")*6+($F52:$L52="T")*6+($F52:$L52="D")*12+($F52:$L52="N")*12+($F52:$L52="NT")*6+($F52:$L52="C")*10+($F52:$L52="A")*8+($F52:$L52="J")*5+($F52:$L52="CEP")*4+($F52:$L52="CP")*6+($F52:$L52="CRO")*6+($F52:$L52="M+")*6+($F52:$L52="T+")*6+($F52:$L52="D+")*12+($F52:$L52="N+")*12+($F52:$L52="Dm+")*12+($F52:$L52="Dt+")*12+($F52:$L52="Tm-")*6+($F52:$L52="Mt-")*6)</f>
        <v/>
      </c>
      <c r="AU52" s="118">
        <f>AT52-MAX(0,IFERROR(INDEX(CADASTRO!$I$4:$I$80,MATCH($A52,CADASTRO!$A$4:$A$80,0)),$B52)-CONFIG!$B$50*(COUNTIF($F52:$L52,"AB")+COUNTIF($F52:$L52,"FE")+COUNTIF($F52:$L52,"LM")))</f>
        <v/>
      </c>
      <c r="AV52" s="117">
        <f>SUMPRODUCT(($M52:$S52="M")*6+($M52:$S52="T")*6+($M52:$S52="D")*12+($M52:$S52="N")*12+($M52:$S52="NT")*6+($M52:$S52="C")*10+($M52:$S52="A")*8+($M52:$S52="J")*5+($M52:$S52="CEP")*4+($M52:$S52="CP")*6+($M52:$S52="CRO")*6+($M52:$S52="M+")*6+($M52:$S52="T+")*6+($M52:$S52="D+")*12+($M52:$S52="N+")*12+($M52:$S52="Dm+")*12+($M52:$S52="Dt+")*12+($M52:$S52="Tm-")*6+($M52:$S52="Mt-")*6)</f>
        <v/>
      </c>
      <c r="AW52" s="118">
        <f>AV52-MAX(0,IFERROR(INDEX(CADASTRO!$I$4:$I$80,MATCH($A52,CADASTRO!$A$4:$A$80,0)),$B52)-CONFIG!$B$50*(COUNTIF($M52:$S52,"AB")+COUNTIF($M52:$S52,"FE")+COUNTIF($M52:$S52,"LM")))</f>
        <v/>
      </c>
      <c r="AX52" s="117">
        <f>SUMPRODUCT(($T52:$Z52="M")*6+($T52:$Z52="T")*6+($T52:$Z52="D")*12+($T52:$Z52="N")*12+($T52:$Z52="NT")*6+($T52:$Z52="C")*10+($T52:$Z52="A")*8+($T52:$Z52="J")*5+($T52:$Z52="CEP")*4+($T52:$Z52="CP")*6+($T52:$Z52="CRO")*6+($T52:$Z52="M+")*6+($T52:$Z52="T+")*6+($T52:$Z52="D+")*12+($T52:$Z52="N+")*12+($T52:$Z52="Dm+")*12+($T52:$Z52="Dt+")*12+($T52:$Z52="Tm-")*6+($T52:$Z52="Mt-")*6)</f>
        <v/>
      </c>
      <c r="AY52" s="118">
        <f>AX52-MAX(0,IFERROR(INDEX(CADASTRO!$I$4:$I$80,MATCH($A52,CADASTRO!$A$4:$A$80,0)),$B52)-CONFIG!$B$50*(COUNTIF($T52:$Z52,"AB")+COUNTIF($T52:$Z52,"FE")+COUNTIF($T52:$Z52,"LM")))</f>
        <v/>
      </c>
      <c r="AZ52" s="117">
        <f>SUMPRODUCT(($AA52:$AG52="M")*6+($AA52:$AG52="T")*6+($AA52:$AG52="D")*12+($AA52:$AG52="N")*12+($AA52:$AG52="NT")*6+($AA52:$AG52="C")*10+($AA52:$AG52="A")*8+($AA52:$AG52="J")*5+($AA52:$AG52="CEP")*4+($AA52:$AG52="CP")*6+($AA52:$AG52="CRO")*6+($AA52:$AG52="M+")*6+($AA52:$AG52="T+")*6+($AA52:$AG52="D+")*12+($AA52:$AG52="N+")*12+($AA52:$AG52="Dm+")*12+($AA52:$AG52="Dt+")*12+($AA52:$AG52="Tm-")*6+($AA52:$AG52="Mt-")*6)</f>
        <v/>
      </c>
      <c r="BA52" s="118">
        <f>AZ52-MAX(0,IFERROR(INDEX(CADASTRO!$I$4:$I$80,MATCH($A52,CADASTRO!$A$4:$A$80,0)),$B52)-CONFIG!$B$50*(COUNTIF($AA52:$AG52,"AB")+COUNTIF($AA52:$AG52,"FE")+COUNTIF($AA52:$AG52,"LM")))</f>
        <v/>
      </c>
      <c r="BB52" s="117">
        <f>SUMPRODUCT(($AH52:$AM52="M")*6+($AH52:$AM52="T")*6+($AH52:$AM52="D")*12+($AH52:$AM52="N")*12+($AH52:$AM52="NT")*6+($AH52:$AM52="C")*10+($AH52:$AM52="A")*8+($AH52:$AM52="J")*5+($AH52:$AM52="CEP")*4+($AH52:$AM52="CP")*6+($AH52:$AM52="CRO")*6+($AH52:$AM52="M+")*6+($AH52:$AM52="T+")*6+($AH52:$AM52="D+")*12+($AH52:$AM52="N+")*12+($AH52:$AM52="Dm+")*12+($AH52:$AM52="Dt+")*12+($AH52:$AM52="Tm-")*6+($AH52:$AM52="Mt-")*6)+SUMPRODUCT(($AN52:$AN52="M")*6+($AN52:$AN52="T")*6+($AN52:$AN52="D")*12+($AN52:$AN52="N")*12+($AN52:$AN52="NT")*6+($AN52:$AN52="C")*10+($AN52:$AN52="A")*8+($AN52:$AN52="J")*5+($AN52:$AN52="CEP")*4+($AN52:$AN52="CP")*6+($AN52:$AN52="CRO")*6+($AN52:$AN52="M+")*6+($AN52:$AN52="T+")*6+($AN52:$AN52="D+")*12+($AN52:$AN52="N+")*12+($AN52:$AN52="Dm+")*12+($AN52:$AN52="Dt+")*12+($AN52:$AN52="Tm-")*6+($AN52:$AN52="Mt-")*6)</f>
        <v/>
      </c>
      <c r="BC52" s="118">
        <f>BB52-MAX(0,IFERROR(INDEX(CADASTRO!$I$4:$I$80,MATCH($A52,CADASTRO!$A$4:$A$80,0)),$B52)-CONFIG!$B$50*(COUNTIF($AH52:$AM52,"AB")+COUNTIF($AH52:$AM52,"FE")+COUNTIF($AH52:$AM52,"LM")+COUNTIF($AN52:$AN52,"AB")+COUNTIF($AN52:$AN52,"FE")+COUNTIF($AN52:$AN52,"LM")))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00" t="n"/>
      <c r="H53" s="100" t="n"/>
      <c r="I53" s="114" t="n"/>
      <c r="J53" s="114" t="n"/>
      <c r="K53" s="114" t="n"/>
      <c r="L53" s="125" t="inlineStr">
        <is>
          <t>N</t>
        </is>
      </c>
      <c r="M53" s="125" t="inlineStr">
        <is>
          <t>N</t>
        </is>
      </c>
      <c r="N53" s="125" t="inlineStr">
        <is>
          <t>N</t>
        </is>
      </c>
      <c r="O53" s="114" t="n"/>
      <c r="P53" s="114" t="n"/>
      <c r="Q53" s="114" t="n"/>
      <c r="R53" s="114" t="n"/>
      <c r="S53" s="114" t="n"/>
      <c r="T53" s="125" t="inlineStr">
        <is>
          <t>N</t>
        </is>
      </c>
      <c r="U53" s="125" t="inlineStr">
        <is>
          <t>N</t>
        </is>
      </c>
      <c r="V53" s="114" t="n"/>
      <c r="W53" s="114" t="n"/>
      <c r="X53" s="114" t="n"/>
      <c r="Y53" s="114" t="n"/>
      <c r="Z53" s="114" t="n"/>
      <c r="AA53" s="125" t="inlineStr">
        <is>
          <t>N</t>
        </is>
      </c>
      <c r="AB53" s="125" t="inlineStr">
        <is>
          <t>N</t>
        </is>
      </c>
      <c r="AC53" s="114" t="n"/>
      <c r="AD53" s="114" t="n"/>
      <c r="AE53" s="114" t="n"/>
      <c r="AF53" s="114" t="n"/>
      <c r="AG53" s="114" t="n"/>
      <c r="AH53" s="114" t="n"/>
      <c r="AI53" s="114" t="n"/>
      <c r="AJ53" s="114" t="n"/>
      <c r="AK53" s="114" t="n"/>
      <c r="AL53" s="114" t="n"/>
      <c r="AM53" s="124" t="inlineStr">
        <is>
          <t>D</t>
        </is>
      </c>
      <c r="AN53" s="116">
        <f>IFERROR(INDEX(FEV!I$8:I$73,MATCH($A53,FEV!$A$8:$A$73,0))&amp;"","")</f>
        <v/>
      </c>
      <c r="AO53" s="100" t="n"/>
      <c r="AP53" s="100" t="n"/>
      <c r="AQ53" s="100" t="n"/>
      <c r="AR53" s="100" t="n"/>
      <c r="AS53" s="100" t="n"/>
      <c r="AT53" s="117">
        <f>SUMPRODUCT(($F53:$L53="M")*6+($F53:$L53="T")*6+($F53:$L53="D")*12+($F53:$L53="N")*12+($F53:$L53="NT")*6+($F53:$L53="C")*10+($F53:$L53="A")*8+($F53:$L53="J")*5+($F53:$L53="CEP")*4+($F53:$L53="CP")*6+($F53:$L53="CRO")*6+($F53:$L53="M+")*6+($F53:$L53="T+")*6+($F53:$L53="D+")*12+($F53:$L53="N+")*12+($F53:$L53="Dm+")*12+($F53:$L53="Dt+")*12+($F53:$L53="Tm-")*6+($F53:$L53="Mt-")*6)</f>
        <v/>
      </c>
      <c r="AU53" s="118">
        <f>AT53-MAX(0,IFERROR(INDEX(CADASTRO!$I$4:$I$80,MATCH($A53,CADASTRO!$A$4:$A$80,0)),$B53)-CONFIG!$B$50*(COUNTIF($F53:$L53,"AB")+COUNTIF($F53:$L53,"FE")+COUNTIF($F53:$L53,"LM")))</f>
        <v/>
      </c>
      <c r="AV53" s="117">
        <f>SUMPRODUCT(($M53:$S53="M")*6+($M53:$S53="T")*6+($M53:$S53="D")*12+($M53:$S53="N")*12+($M53:$S53="NT")*6+($M53:$S53="C")*10+($M53:$S53="A")*8+($M53:$S53="J")*5+($M53:$S53="CEP")*4+($M53:$S53="CP")*6+($M53:$S53="CRO")*6+($M53:$S53="M+")*6+($M53:$S53="T+")*6+($M53:$S53="D+")*12+($M53:$S53="N+")*12+($M53:$S53="Dm+")*12+($M53:$S53="Dt+")*12+($M53:$S53="Tm-")*6+($M53:$S53="Mt-")*6)</f>
        <v/>
      </c>
      <c r="AW53" s="118">
        <f>AV53-MAX(0,IFERROR(INDEX(CADASTRO!$I$4:$I$80,MATCH($A53,CADASTRO!$A$4:$A$80,0)),$B53)-CONFIG!$B$50*(COUNTIF($M53:$S53,"AB")+COUNTIF($M53:$S53,"FE")+COUNTIF($M53:$S53,"LM")))</f>
        <v/>
      </c>
      <c r="AX53" s="117">
        <f>SUMPRODUCT(($T53:$Z53="M")*6+($T53:$Z53="T")*6+($T53:$Z53="D")*12+($T53:$Z53="N")*12+($T53:$Z53="NT")*6+($T53:$Z53="C")*10+($T53:$Z53="A")*8+($T53:$Z53="J")*5+($T53:$Z53="CEP")*4+($T53:$Z53="CP")*6+($T53:$Z53="CRO")*6+($T53:$Z53="M+")*6+($T53:$Z53="T+")*6+($T53:$Z53="D+")*12+($T53:$Z53="N+")*12+($T53:$Z53="Dm+")*12+($T53:$Z53="Dt+")*12+($T53:$Z53="Tm-")*6+($T53:$Z53="Mt-")*6)</f>
        <v/>
      </c>
      <c r="AY53" s="118">
        <f>AX53-MAX(0,IFERROR(INDEX(CADASTRO!$I$4:$I$80,MATCH($A53,CADASTRO!$A$4:$A$80,0)),$B53)-CONFIG!$B$50*(COUNTIF($T53:$Z53,"AB")+COUNTIF($T53:$Z53,"FE")+COUNTIF($T53:$Z53,"LM")))</f>
        <v/>
      </c>
      <c r="AZ53" s="117">
        <f>SUMPRODUCT(($AA53:$AG53="M")*6+($AA53:$AG53="T")*6+($AA53:$AG53="D")*12+($AA53:$AG53="N")*12+($AA53:$AG53="NT")*6+($AA53:$AG53="C")*10+($AA53:$AG53="A")*8+($AA53:$AG53="J")*5+($AA53:$AG53="CEP")*4+($AA53:$AG53="CP")*6+($AA53:$AG53="CRO")*6+($AA53:$AG53="M+")*6+($AA53:$AG53="T+")*6+($AA53:$AG53="D+")*12+($AA53:$AG53="N+")*12+($AA53:$AG53="Dm+")*12+($AA53:$AG53="Dt+")*12+($AA53:$AG53="Tm-")*6+($AA53:$AG53="Mt-")*6)</f>
        <v/>
      </c>
      <c r="BA53" s="118">
        <f>AZ53-MAX(0,IFERROR(INDEX(CADASTRO!$I$4:$I$80,MATCH($A53,CADASTRO!$A$4:$A$80,0)),$B53)-CONFIG!$B$50*(COUNTIF($AA53:$AG53,"AB")+COUNTIF($AA53:$AG53,"FE")+COUNTIF($AA53:$AG53,"LM")))</f>
        <v/>
      </c>
      <c r="BB53" s="117">
        <f>SUMPRODUCT(($AH53:$AM53="M")*6+($AH53:$AM53="T")*6+($AH53:$AM53="D")*12+($AH53:$AM53="N")*12+($AH53:$AM53="NT")*6+($AH53:$AM53="C")*10+($AH53:$AM53="A")*8+($AH53:$AM53="J")*5+($AH53:$AM53="CEP")*4+($AH53:$AM53="CP")*6+($AH53:$AM53="CRO")*6+($AH53:$AM53="M+")*6+($AH53:$AM53="T+")*6+($AH53:$AM53="D+")*12+($AH53:$AM53="N+")*12+($AH53:$AM53="Dm+")*12+($AH53:$AM53="Dt+")*12+($AH53:$AM53="Tm-")*6+($AH53:$AM53="Mt-")*6)+SUMPRODUCT(($AN53:$AN53="M")*6+($AN53:$AN53="T")*6+($AN53:$AN53="D")*12+($AN53:$AN53="N")*12+($AN53:$AN53="NT")*6+($AN53:$AN53="C")*10+($AN53:$AN53="A")*8+($AN53:$AN53="J")*5+($AN53:$AN53="CEP")*4+($AN53:$AN53="CP")*6+($AN53:$AN53="CRO")*6+($AN53:$AN53="M+")*6+($AN53:$AN53="T+")*6+($AN53:$AN53="D+")*12+($AN53:$AN53="N+")*12+($AN53:$AN53="Dm+")*12+($AN53:$AN53="Dt+")*12+($AN53:$AN53="Tm-")*6+($AN53:$AN53="Mt-")*6)</f>
        <v/>
      </c>
      <c r="BC53" s="118">
        <f>BB53-MAX(0,IFERROR(INDEX(CADASTRO!$I$4:$I$80,MATCH($A53,CADASTRO!$A$4:$A$80,0)),$B53)-CONFIG!$B$50*(COUNTIF($AH53:$AM53,"AB")+COUNTIF($AH53:$AM53,"FE")+COUNTIF($AH53:$AM53,"LM")+COUNTIF($AN53:$AN53,"AB")+COUNTIF($AN53:$AN53,"FE")+COUNTIF($AN53:$AN53,"LM")))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00" t="n"/>
      <c r="H54" s="100" t="n"/>
      <c r="I54" s="114" t="n"/>
      <c r="J54" s="114" t="n"/>
      <c r="K54" s="114" t="n"/>
      <c r="L54" s="114" t="n"/>
      <c r="M54" s="114" t="n"/>
      <c r="N54" s="114" t="n"/>
      <c r="O54" s="114" t="n"/>
      <c r="P54" s="125" t="inlineStr">
        <is>
          <t>N</t>
        </is>
      </c>
      <c r="Q54" s="114" t="n"/>
      <c r="R54" s="123" t="inlineStr">
        <is>
          <t>T+</t>
        </is>
      </c>
      <c r="S54" s="124" t="inlineStr">
        <is>
          <t>D</t>
        </is>
      </c>
      <c r="T54" s="114" t="n"/>
      <c r="U54" s="114" t="n"/>
      <c r="V54" s="126" t="inlineStr">
        <is>
          <t>T</t>
        </is>
      </c>
      <c r="W54" s="125" t="inlineStr">
        <is>
          <t>N</t>
        </is>
      </c>
      <c r="X54" s="114" t="n"/>
      <c r="Y54" s="114" t="n"/>
      <c r="Z54" s="114" t="n"/>
      <c r="AA54" s="114" t="n"/>
      <c r="AB54" s="114" t="n"/>
      <c r="AC54" s="126" t="inlineStr">
        <is>
          <t>T</t>
        </is>
      </c>
      <c r="AD54" s="125" t="inlineStr">
        <is>
          <t>N</t>
        </is>
      </c>
      <c r="AE54" s="114" t="n"/>
      <c r="AF54" s="125" t="inlineStr">
        <is>
          <t>N</t>
        </is>
      </c>
      <c r="AG54" s="114" t="n"/>
      <c r="AH54" s="114" t="n"/>
      <c r="AI54" s="114" t="n"/>
      <c r="AJ54" s="126" t="inlineStr">
        <is>
          <t>T</t>
        </is>
      </c>
      <c r="AK54" s="125" t="inlineStr">
        <is>
          <t>N</t>
        </is>
      </c>
      <c r="AL54" s="114" t="n"/>
      <c r="AM54" s="114" t="n"/>
      <c r="AN54" s="116">
        <f>IFERROR(INDEX(FEV!I$8:I$73,MATCH($A54,FEV!$A$8:$A$73,0))&amp;"","")</f>
        <v/>
      </c>
      <c r="AO54" s="100" t="n"/>
      <c r="AP54" s="100" t="n"/>
      <c r="AQ54" s="100" t="n"/>
      <c r="AR54" s="100" t="n"/>
      <c r="AS54" s="100" t="n"/>
      <c r="AT54" s="117">
        <f>SUMPRODUCT(($F54:$L54="M")*6+($F54:$L54="T")*6+($F54:$L54="D")*12+($F54:$L54="N")*12+($F54:$L54="NT")*6+($F54:$L54="C")*10+($F54:$L54="A")*8+($F54:$L54="J")*5+($F54:$L54="CEP")*4+($F54:$L54="CP")*6+($F54:$L54="CRO")*6+($F54:$L54="M+")*6+($F54:$L54="T+")*6+($F54:$L54="D+")*12+($F54:$L54="N+")*12+($F54:$L54="Dm+")*12+($F54:$L54="Dt+")*12+($F54:$L54="Tm-")*6+($F54:$L54="Mt-")*6)</f>
        <v/>
      </c>
      <c r="AU54" s="118">
        <f>AT54-MAX(0,IFERROR(INDEX(CADASTRO!$I$4:$I$80,MATCH($A54,CADASTRO!$A$4:$A$80,0)),$B54)-CONFIG!$B$50*(COUNTIF($F54:$L54,"AB")+COUNTIF($F54:$L54,"FE")+COUNTIF($F54:$L54,"LM")))</f>
        <v/>
      </c>
      <c r="AV54" s="117">
        <f>SUMPRODUCT(($M54:$S54="M")*6+($M54:$S54="T")*6+($M54:$S54="D")*12+($M54:$S54="N")*12+($M54:$S54="NT")*6+($M54:$S54="C")*10+($M54:$S54="A")*8+($M54:$S54="J")*5+($M54:$S54="CEP")*4+($M54:$S54="CP")*6+($M54:$S54="CRO")*6+($M54:$S54="M+")*6+($M54:$S54="T+")*6+($M54:$S54="D+")*12+($M54:$S54="N+")*12+($M54:$S54="Dm+")*12+($M54:$S54="Dt+")*12+($M54:$S54="Tm-")*6+($M54:$S54="Mt-")*6)</f>
        <v/>
      </c>
      <c r="AW54" s="118">
        <f>AV54-MAX(0,IFERROR(INDEX(CADASTRO!$I$4:$I$80,MATCH($A54,CADASTRO!$A$4:$A$80,0)),$B54)-CONFIG!$B$50*(COUNTIF($M54:$S54,"AB")+COUNTIF($M54:$S54,"FE")+COUNTIF($M54:$S54,"LM")))</f>
        <v/>
      </c>
      <c r="AX54" s="117">
        <f>SUMPRODUCT(($T54:$Z54="M")*6+($T54:$Z54="T")*6+($T54:$Z54="D")*12+($T54:$Z54="N")*12+($T54:$Z54="NT")*6+($T54:$Z54="C")*10+($T54:$Z54="A")*8+($T54:$Z54="J")*5+($T54:$Z54="CEP")*4+($T54:$Z54="CP")*6+($T54:$Z54="CRO")*6+($T54:$Z54="M+")*6+($T54:$Z54="T+")*6+($T54:$Z54="D+")*12+($T54:$Z54="N+")*12+($T54:$Z54="Dm+")*12+($T54:$Z54="Dt+")*12+($T54:$Z54="Tm-")*6+($T54:$Z54="Mt-")*6)</f>
        <v/>
      </c>
      <c r="AY54" s="118">
        <f>AX54-MAX(0,IFERROR(INDEX(CADASTRO!$I$4:$I$80,MATCH($A54,CADASTRO!$A$4:$A$80,0)),$B54)-CONFIG!$B$50*(COUNTIF($T54:$Z54,"AB")+COUNTIF($T54:$Z54,"FE")+COUNTIF($T54:$Z54,"LM")))</f>
        <v/>
      </c>
      <c r="AZ54" s="117">
        <f>SUMPRODUCT(($AA54:$AG54="M")*6+($AA54:$AG54="T")*6+($AA54:$AG54="D")*12+($AA54:$AG54="N")*12+($AA54:$AG54="NT")*6+($AA54:$AG54="C")*10+($AA54:$AG54="A")*8+($AA54:$AG54="J")*5+($AA54:$AG54="CEP")*4+($AA54:$AG54="CP")*6+($AA54:$AG54="CRO")*6+($AA54:$AG54="M+")*6+($AA54:$AG54="T+")*6+($AA54:$AG54="D+")*12+($AA54:$AG54="N+")*12+($AA54:$AG54="Dm+")*12+($AA54:$AG54="Dt+")*12+($AA54:$AG54="Tm-")*6+($AA54:$AG54="Mt-")*6)</f>
        <v/>
      </c>
      <c r="BA54" s="118">
        <f>AZ54-MAX(0,IFERROR(INDEX(CADASTRO!$I$4:$I$80,MATCH($A54,CADASTRO!$A$4:$A$80,0)),$B54)-CONFIG!$B$50*(COUNTIF($AA54:$AG54,"AB")+COUNTIF($AA54:$AG54,"FE")+COUNTIF($AA54:$AG54,"LM")))</f>
        <v/>
      </c>
      <c r="BB54" s="117">
        <f>SUMPRODUCT(($AH54:$AM54="M")*6+($AH54:$AM54="T")*6+($AH54:$AM54="D")*12+($AH54:$AM54="N")*12+($AH54:$AM54="NT")*6+($AH54:$AM54="C")*10+($AH54:$AM54="A")*8+($AH54:$AM54="J")*5+($AH54:$AM54="CEP")*4+($AH54:$AM54="CP")*6+($AH54:$AM54="CRO")*6+($AH54:$AM54="M+")*6+($AH54:$AM54="T+")*6+($AH54:$AM54="D+")*12+($AH54:$AM54="N+")*12+($AH54:$AM54="Dm+")*12+($AH54:$AM54="Dt+")*12+($AH54:$AM54="Tm-")*6+($AH54:$AM54="Mt-")*6)+SUMPRODUCT(($AN54:$AN54="M")*6+($AN54:$AN54="T")*6+($AN54:$AN54="D")*12+($AN54:$AN54="N")*12+($AN54:$AN54="NT")*6+($AN54:$AN54="C")*10+($AN54:$AN54="A")*8+($AN54:$AN54="J")*5+($AN54:$AN54="CEP")*4+($AN54:$AN54="CP")*6+($AN54:$AN54="CRO")*6+($AN54:$AN54="M+")*6+($AN54:$AN54="T+")*6+($AN54:$AN54="D+")*12+($AN54:$AN54="N+")*12+($AN54:$AN54="Dm+")*12+($AN54:$AN54="Dt+")*12+($AN54:$AN54="Tm-")*6+($AN54:$AN54="Mt-")*6)</f>
        <v/>
      </c>
      <c r="BC54" s="118">
        <f>BB54-MAX(0,IFERROR(INDEX(CADASTRO!$I$4:$I$80,MATCH($A54,CADASTRO!$A$4:$A$80,0)),$B54)-CONFIG!$B$50*(COUNTIF($AH54:$AM54,"AB")+COUNTIF($AH54:$AM54,"FE")+COUNTIF($AH54:$AM54,"LM")+COUNTIF($AN54:$AN54,"AB")+COUNTIF($AN54:$AN54,"FE")+COUNTIF($AN54:$AN54,"LM")))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00" t="n"/>
      <c r="H55" s="100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14" t="n"/>
      <c r="AF55" s="114" t="n"/>
      <c r="AG55" s="114" t="n"/>
      <c r="AH55" s="114" t="n"/>
      <c r="AI55" s="114" t="n"/>
      <c r="AJ55" s="114" t="n"/>
      <c r="AK55" s="114" t="n"/>
      <c r="AL55" s="114" t="n"/>
      <c r="AM55" s="114" t="n"/>
      <c r="AN55" s="116">
        <f>IFERROR(INDEX(FEV!I$8:I$73,MATCH($A55,FEV!$A$8:$A$73,0))&amp;"","")</f>
        <v/>
      </c>
      <c r="AO55" s="100" t="n"/>
      <c r="AP55" s="100" t="n"/>
      <c r="AQ55" s="100" t="n"/>
      <c r="AR55" s="100" t="n"/>
      <c r="AS55" s="100" t="n"/>
      <c r="AT55" s="117">
        <f>SUMPRODUCT(($F55:$L55="M")*6+($F55:$L55="T")*6+($F55:$L55="D")*12+($F55:$L55="N")*12+($F55:$L55="NT")*6+($F55:$L55="C")*10+($F55:$L55="A")*8+($F55:$L55="J")*5+($F55:$L55="CEP")*4+($F55:$L55="CP")*6+($F55:$L55="CRO")*6+($F55:$L55="M+")*6+($F55:$L55="T+")*6+($F55:$L55="D+")*12+($F55:$L55="N+")*12+($F55:$L55="Dm+")*12+($F55:$L55="Dt+")*12+($F55:$L55="Tm-")*6+($F55:$L55="Mt-")*6)</f>
        <v/>
      </c>
      <c r="AU55" s="118">
        <f>AT55-MAX(0,IFERROR(INDEX(CADASTRO!$I$4:$I$80,MATCH($A55,CADASTRO!$A$4:$A$80,0)),$B55)-CONFIG!$B$50*(COUNTIF($F55:$L55,"AB")+COUNTIF($F55:$L55,"FE")+COUNTIF($F55:$L55,"LM")))</f>
        <v/>
      </c>
      <c r="AV55" s="117">
        <f>SUMPRODUCT(($M55:$S55="M")*6+($M55:$S55="T")*6+($M55:$S55="D")*12+($M55:$S55="N")*12+($M55:$S55="NT")*6+($M55:$S55="C")*10+($M55:$S55="A")*8+($M55:$S55="J")*5+($M55:$S55="CEP")*4+($M55:$S55="CP")*6+($M55:$S55="CRO")*6+($M55:$S55="M+")*6+($M55:$S55="T+")*6+($M55:$S55="D+")*12+($M55:$S55="N+")*12+($M55:$S55="Dm+")*12+($M55:$S55="Dt+")*12+($M55:$S55="Tm-")*6+($M55:$S55="Mt-")*6)</f>
        <v/>
      </c>
      <c r="AW55" s="118">
        <f>AV55-MAX(0,IFERROR(INDEX(CADASTRO!$I$4:$I$80,MATCH($A55,CADASTRO!$A$4:$A$80,0)),$B55)-CONFIG!$B$50*(COUNTIF($M55:$S55,"AB")+COUNTIF($M55:$S55,"FE")+COUNTIF($M55:$S55,"LM")))</f>
        <v/>
      </c>
      <c r="AX55" s="117">
        <f>SUMPRODUCT(($T55:$Z55="M")*6+($T55:$Z55="T")*6+($T55:$Z55="D")*12+($T55:$Z55="N")*12+($T55:$Z55="NT")*6+($T55:$Z55="C")*10+($T55:$Z55="A")*8+($T55:$Z55="J")*5+($T55:$Z55="CEP")*4+($T55:$Z55="CP")*6+($T55:$Z55="CRO")*6+($T55:$Z55="M+")*6+($T55:$Z55="T+")*6+($T55:$Z55="D+")*12+($T55:$Z55="N+")*12+($T55:$Z55="Dm+")*12+($T55:$Z55="Dt+")*12+($T55:$Z55="Tm-")*6+($T55:$Z55="Mt-")*6)</f>
        <v/>
      </c>
      <c r="AY55" s="118">
        <f>AX55-MAX(0,IFERROR(INDEX(CADASTRO!$I$4:$I$80,MATCH($A55,CADASTRO!$A$4:$A$80,0)),$B55)-CONFIG!$B$50*(COUNTIF($T55:$Z55,"AB")+COUNTIF($T55:$Z55,"FE")+COUNTIF($T55:$Z55,"LM")))</f>
        <v/>
      </c>
      <c r="AZ55" s="117">
        <f>SUMPRODUCT(($AA55:$AG55="M")*6+($AA55:$AG55="T")*6+($AA55:$AG55="D")*12+($AA55:$AG55="N")*12+($AA55:$AG55="NT")*6+($AA55:$AG55="C")*10+($AA55:$AG55="A")*8+($AA55:$AG55="J")*5+($AA55:$AG55="CEP")*4+($AA55:$AG55="CP")*6+($AA55:$AG55="CRO")*6+($AA55:$AG55="M+")*6+($AA55:$AG55="T+")*6+($AA55:$AG55="D+")*12+($AA55:$AG55="N+")*12+($AA55:$AG55="Dm+")*12+($AA55:$AG55="Dt+")*12+($AA55:$AG55="Tm-")*6+($AA55:$AG55="Mt-")*6)</f>
        <v/>
      </c>
      <c r="BA55" s="118">
        <f>AZ55-MAX(0,IFERROR(INDEX(CADASTRO!$I$4:$I$80,MATCH($A55,CADASTRO!$A$4:$A$80,0)),$B55)-CONFIG!$B$50*(COUNTIF($AA55:$AG55,"AB")+COUNTIF($AA55:$AG55,"FE")+COUNTIF($AA55:$AG55,"LM")))</f>
        <v/>
      </c>
      <c r="BB55" s="117">
        <f>SUMPRODUCT(($AH55:$AM55="M")*6+($AH55:$AM55="T")*6+($AH55:$AM55="D")*12+($AH55:$AM55="N")*12+($AH55:$AM55="NT")*6+($AH55:$AM55="C")*10+($AH55:$AM55="A")*8+($AH55:$AM55="J")*5+($AH55:$AM55="CEP")*4+($AH55:$AM55="CP")*6+($AH55:$AM55="CRO")*6+($AH55:$AM55="M+")*6+($AH55:$AM55="T+")*6+($AH55:$AM55="D+")*12+($AH55:$AM55="N+")*12+($AH55:$AM55="Dm+")*12+($AH55:$AM55="Dt+")*12+($AH55:$AM55="Tm-")*6+($AH55:$AM55="Mt-")*6)+SUMPRODUCT(($AN55:$AN55="M")*6+($AN55:$AN55="T")*6+($AN55:$AN55="D")*12+($AN55:$AN55="N")*12+($AN55:$AN55="NT")*6+($AN55:$AN55="C")*10+($AN55:$AN55="A")*8+($AN55:$AN55="J")*5+($AN55:$AN55="CEP")*4+($AN55:$AN55="CP")*6+($AN55:$AN55="CRO")*6+($AN55:$AN55="M+")*6+($AN55:$AN55="T+")*6+($AN55:$AN55="D+")*12+($AN55:$AN55="N+")*12+($AN55:$AN55="Dm+")*12+($AN55:$AN55="Dt+")*12+($AN55:$AN55="Tm-")*6+($AN55:$AN55="Mt-")*6)</f>
        <v/>
      </c>
      <c r="BC55" s="118">
        <f>BB55-MAX(0,IFERROR(INDEX(CADASTRO!$I$4:$I$80,MATCH($A55,CADASTRO!$A$4:$A$80,0)),$B55)-CONFIG!$B$50*(COUNTIF($AH55:$AM55,"AB")+COUNTIF($AH55:$AM55,"FE")+COUNTIF($AH55:$AM55,"LM")+COUNTIF($AN55:$AN55,"AB")+COUNTIF($AN55:$AN55,"FE")+COUNTIF($AN55:$AN55,"LM")))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00" t="n"/>
      <c r="H56" s="100" t="n"/>
      <c r="I56" s="114" t="n"/>
      <c r="J56" s="114" t="n"/>
      <c r="K56" s="114" t="n"/>
      <c r="L56" s="114" t="n"/>
      <c r="M56" s="114" t="n"/>
      <c r="N56" s="126" t="inlineStr">
        <is>
          <t>T</t>
        </is>
      </c>
      <c r="O56" s="114" t="n"/>
      <c r="P56" s="124" t="inlineStr">
        <is>
          <t>D</t>
        </is>
      </c>
      <c r="Q56" s="114" t="n"/>
      <c r="R56" s="115" t="inlineStr">
        <is>
          <t>M</t>
        </is>
      </c>
      <c r="S56" s="114" t="n"/>
      <c r="T56" s="114" t="n"/>
      <c r="U56" s="114" t="n"/>
      <c r="V56" s="114" t="n"/>
      <c r="W56" s="124" t="inlineStr">
        <is>
          <t>D</t>
        </is>
      </c>
      <c r="X56" s="125" t="inlineStr">
        <is>
          <t>N</t>
        </is>
      </c>
      <c r="Y56" s="114" t="n"/>
      <c r="Z56" s="114" t="n"/>
      <c r="AA56" s="114" t="n"/>
      <c r="AB56" s="124" t="inlineStr">
        <is>
          <t>D</t>
        </is>
      </c>
      <c r="AC56" s="114" t="n"/>
      <c r="AD56" s="114" t="n"/>
      <c r="AE56" s="114" t="n"/>
      <c r="AF56" s="124" t="inlineStr">
        <is>
          <t>D</t>
        </is>
      </c>
      <c r="AG56" s="114" t="n"/>
      <c r="AH56" s="114" t="n"/>
      <c r="AI56" s="114" t="n"/>
      <c r="AJ56" s="114" t="n"/>
      <c r="AK56" s="115" t="inlineStr">
        <is>
          <t>M</t>
        </is>
      </c>
      <c r="AL56" s="114" t="n"/>
      <c r="AM56" s="124" t="inlineStr">
        <is>
          <t>D</t>
        </is>
      </c>
      <c r="AN56" s="116">
        <f>IFERROR(INDEX(FEV!I$8:I$73,MATCH($A56,FEV!$A$8:$A$73,0))&amp;"","")</f>
        <v/>
      </c>
      <c r="AO56" s="100" t="n"/>
      <c r="AP56" s="100" t="n"/>
      <c r="AQ56" s="100" t="n"/>
      <c r="AR56" s="100" t="n"/>
      <c r="AS56" s="100" t="n"/>
      <c r="AT56" s="117">
        <f>SUMPRODUCT(($F56:$L56="M")*6+($F56:$L56="T")*6+($F56:$L56="D")*12+($F56:$L56="N")*12+($F56:$L56="NT")*6+($F56:$L56="C")*10+($F56:$L56="A")*8+($F56:$L56="J")*5+($F56:$L56="CEP")*4+($F56:$L56="CP")*6+($F56:$L56="CRO")*6+($F56:$L56="M+")*6+($F56:$L56="T+")*6+($F56:$L56="D+")*12+($F56:$L56="N+")*12+($F56:$L56="Dm+")*12+($F56:$L56="Dt+")*12+($F56:$L56="Tm-")*6+($F56:$L56="Mt-")*6)</f>
        <v/>
      </c>
      <c r="AU56" s="118">
        <f>AT56-MAX(0,IFERROR(INDEX(CADASTRO!$I$4:$I$80,MATCH($A56,CADASTRO!$A$4:$A$80,0)),$B56)-CONFIG!$B$50*(COUNTIF($F56:$L56,"AB")+COUNTIF($F56:$L56,"FE")+COUNTIF($F56:$L56,"LM")))</f>
        <v/>
      </c>
      <c r="AV56" s="117">
        <f>SUMPRODUCT(($M56:$S56="M")*6+($M56:$S56="T")*6+($M56:$S56="D")*12+($M56:$S56="N")*12+($M56:$S56="NT")*6+($M56:$S56="C")*10+($M56:$S56="A")*8+($M56:$S56="J")*5+($M56:$S56="CEP")*4+($M56:$S56="CP")*6+($M56:$S56="CRO")*6+($M56:$S56="M+")*6+($M56:$S56="T+")*6+($M56:$S56="D+")*12+($M56:$S56="N+")*12+($M56:$S56="Dm+")*12+($M56:$S56="Dt+")*12+($M56:$S56="Tm-")*6+($M56:$S56="Mt-")*6)</f>
        <v/>
      </c>
      <c r="AW56" s="118">
        <f>AV56-MAX(0,IFERROR(INDEX(CADASTRO!$I$4:$I$80,MATCH($A56,CADASTRO!$A$4:$A$80,0)),$B56)-CONFIG!$B$50*(COUNTIF($M56:$S56,"AB")+COUNTIF($M56:$S56,"FE")+COUNTIF($M56:$S56,"LM")))</f>
        <v/>
      </c>
      <c r="AX56" s="117">
        <f>SUMPRODUCT(($T56:$Z56="M")*6+($T56:$Z56="T")*6+($T56:$Z56="D")*12+($T56:$Z56="N")*12+($T56:$Z56="NT")*6+($T56:$Z56="C")*10+($T56:$Z56="A")*8+($T56:$Z56="J")*5+($T56:$Z56="CEP")*4+($T56:$Z56="CP")*6+($T56:$Z56="CRO")*6+($T56:$Z56="M+")*6+($T56:$Z56="T+")*6+($T56:$Z56="D+")*12+($T56:$Z56="N+")*12+($T56:$Z56="Dm+")*12+($T56:$Z56="Dt+")*12+($T56:$Z56="Tm-")*6+($T56:$Z56="Mt-")*6)</f>
        <v/>
      </c>
      <c r="AY56" s="118">
        <f>AX56-MAX(0,IFERROR(INDEX(CADASTRO!$I$4:$I$80,MATCH($A56,CADASTRO!$A$4:$A$80,0)),$B56)-CONFIG!$B$50*(COUNTIF($T56:$Z56,"AB")+COUNTIF($T56:$Z56,"FE")+COUNTIF($T56:$Z56,"LM")))</f>
        <v/>
      </c>
      <c r="AZ56" s="117">
        <f>SUMPRODUCT(($AA56:$AG56="M")*6+($AA56:$AG56="T")*6+($AA56:$AG56="D")*12+($AA56:$AG56="N")*12+($AA56:$AG56="NT")*6+($AA56:$AG56="C")*10+($AA56:$AG56="A")*8+($AA56:$AG56="J")*5+($AA56:$AG56="CEP")*4+($AA56:$AG56="CP")*6+($AA56:$AG56="CRO")*6+($AA56:$AG56="M+")*6+($AA56:$AG56="T+")*6+($AA56:$AG56="D+")*12+($AA56:$AG56="N+")*12+($AA56:$AG56="Dm+")*12+($AA56:$AG56="Dt+")*12+($AA56:$AG56="Tm-")*6+($AA56:$AG56="Mt-")*6)</f>
        <v/>
      </c>
      <c r="BA56" s="118">
        <f>AZ56-MAX(0,IFERROR(INDEX(CADASTRO!$I$4:$I$80,MATCH($A56,CADASTRO!$A$4:$A$80,0)),$B56)-CONFIG!$B$50*(COUNTIF($AA56:$AG56,"AB")+COUNTIF($AA56:$AG56,"FE")+COUNTIF($AA56:$AG56,"LM")))</f>
        <v/>
      </c>
      <c r="BB56" s="117">
        <f>SUMPRODUCT(($AH56:$AM56="M")*6+($AH56:$AM56="T")*6+($AH56:$AM56="D")*12+($AH56:$AM56="N")*12+($AH56:$AM56="NT")*6+($AH56:$AM56="C")*10+($AH56:$AM56="A")*8+($AH56:$AM56="J")*5+($AH56:$AM56="CEP")*4+($AH56:$AM56="CP")*6+($AH56:$AM56="CRO")*6+($AH56:$AM56="M+")*6+($AH56:$AM56="T+")*6+($AH56:$AM56="D+")*12+($AH56:$AM56="N+")*12+($AH56:$AM56="Dm+")*12+($AH56:$AM56="Dt+")*12+($AH56:$AM56="Tm-")*6+($AH56:$AM56="Mt-")*6)+SUMPRODUCT(($AN56:$AN56="M")*6+($AN56:$AN56="T")*6+($AN56:$AN56="D")*12+($AN56:$AN56="N")*12+($AN56:$AN56="NT")*6+($AN56:$AN56="C")*10+($AN56:$AN56="A")*8+($AN56:$AN56="J")*5+($AN56:$AN56="CEP")*4+($AN56:$AN56="CP")*6+($AN56:$AN56="CRO")*6+($AN56:$AN56="M+")*6+($AN56:$AN56="T+")*6+($AN56:$AN56="D+")*12+($AN56:$AN56="N+")*12+($AN56:$AN56="Dm+")*12+($AN56:$AN56="Dt+")*12+($AN56:$AN56="Tm-")*6+($AN56:$AN56="Mt-")*6)</f>
        <v/>
      </c>
      <c r="BC56" s="118">
        <f>BB56-MAX(0,IFERROR(INDEX(CADASTRO!$I$4:$I$80,MATCH($A56,CADASTRO!$A$4:$A$80,0)),$B56)-CONFIG!$B$50*(COUNTIF($AH56:$AM56,"AB")+COUNTIF($AH56:$AM56,"FE")+COUNTIF($AH56:$AM56,"LM")+COUNTIF($AN56:$AN56,"AB")+COUNTIF($AN56:$AN56,"FE")+COUNTIF($AN56:$AN56,"LM")))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00" t="n"/>
      <c r="H57" s="100" t="n"/>
      <c r="I57" s="114" t="n"/>
      <c r="J57" s="125" t="inlineStr">
        <is>
          <t>N</t>
        </is>
      </c>
      <c r="K57" s="114" t="n"/>
      <c r="L57" s="114" t="n"/>
      <c r="M57" s="114" t="n"/>
      <c r="N57" s="125" t="inlineStr">
        <is>
          <t>N</t>
        </is>
      </c>
      <c r="O57" s="114" t="n"/>
      <c r="P57" s="125" t="inlineStr">
        <is>
          <t>N</t>
        </is>
      </c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24" t="inlineStr">
        <is>
          <t>D</t>
        </is>
      </c>
      <c r="Z57" s="124" t="inlineStr">
        <is>
          <t>D</t>
        </is>
      </c>
      <c r="AA57" s="114" t="n"/>
      <c r="AB57" s="125" t="inlineStr">
        <is>
          <t>N</t>
        </is>
      </c>
      <c r="AC57" s="114" t="n"/>
      <c r="AD57" s="125" t="inlineStr">
        <is>
          <t>N</t>
        </is>
      </c>
      <c r="AE57" s="114" t="n"/>
      <c r="AF57" s="123" t="inlineStr">
        <is>
          <t>M+</t>
        </is>
      </c>
      <c r="AG57" s="114" t="n"/>
      <c r="AH57" s="114" t="n"/>
      <c r="AI57" s="125" t="inlineStr">
        <is>
          <t>N</t>
        </is>
      </c>
      <c r="AJ57" s="114" t="n"/>
      <c r="AK57" s="125" t="inlineStr">
        <is>
          <t>N</t>
        </is>
      </c>
      <c r="AL57" s="114" t="n"/>
      <c r="AM57" s="114" t="n"/>
      <c r="AN57" s="116">
        <f>IFERROR(INDEX(FEV!I$8:I$73,MATCH($A57,FEV!$A$8:$A$73,0))&amp;"","")</f>
        <v/>
      </c>
      <c r="AO57" s="100" t="n"/>
      <c r="AP57" s="100" t="n"/>
      <c r="AQ57" s="100" t="n"/>
      <c r="AR57" s="100" t="n"/>
      <c r="AS57" s="100" t="n"/>
      <c r="AT57" s="117">
        <f>SUMPRODUCT(($F57:$L57="M")*6+($F57:$L57="T")*6+($F57:$L57="D")*12+($F57:$L57="N")*12+($F57:$L57="NT")*6+($F57:$L57="C")*10+($F57:$L57="A")*8+($F57:$L57="J")*5+($F57:$L57="CEP")*4+($F57:$L57="CP")*6+($F57:$L57="CRO")*6+($F57:$L57="M+")*6+($F57:$L57="T+")*6+($F57:$L57="D+")*12+($F57:$L57="N+")*12+($F57:$L57="Dm+")*12+($F57:$L57="Dt+")*12+($F57:$L57="Tm-")*6+($F57:$L57="Mt-")*6)</f>
        <v/>
      </c>
      <c r="AU57" s="118">
        <f>AT57-MAX(0,IFERROR(INDEX(CADASTRO!$I$4:$I$80,MATCH($A57,CADASTRO!$A$4:$A$80,0)),$B57)-CONFIG!$B$50*(COUNTIF($F57:$L57,"AB")+COUNTIF($F57:$L57,"FE")+COUNTIF($F57:$L57,"LM")))</f>
        <v/>
      </c>
      <c r="AV57" s="117">
        <f>SUMPRODUCT(($M57:$S57="M")*6+($M57:$S57="T")*6+($M57:$S57="D")*12+($M57:$S57="N")*12+($M57:$S57="NT")*6+($M57:$S57="C")*10+($M57:$S57="A")*8+($M57:$S57="J")*5+($M57:$S57="CEP")*4+($M57:$S57="CP")*6+($M57:$S57="CRO")*6+($M57:$S57="M+")*6+($M57:$S57="T+")*6+($M57:$S57="D+")*12+($M57:$S57="N+")*12+($M57:$S57="Dm+")*12+($M57:$S57="Dt+")*12+($M57:$S57="Tm-")*6+($M57:$S57="Mt-")*6)</f>
        <v/>
      </c>
      <c r="AW57" s="118">
        <f>AV57-MAX(0,IFERROR(INDEX(CADASTRO!$I$4:$I$80,MATCH($A57,CADASTRO!$A$4:$A$80,0)),$B57)-CONFIG!$B$50*(COUNTIF($M57:$S57,"AB")+COUNTIF($M57:$S57,"FE")+COUNTIF($M57:$S57,"LM")))</f>
        <v/>
      </c>
      <c r="AX57" s="117">
        <f>SUMPRODUCT(($T57:$Z57="M")*6+($T57:$Z57="T")*6+($T57:$Z57="D")*12+($T57:$Z57="N")*12+($T57:$Z57="NT")*6+($T57:$Z57="C")*10+($T57:$Z57="A")*8+($T57:$Z57="J")*5+($T57:$Z57="CEP")*4+($T57:$Z57="CP")*6+($T57:$Z57="CRO")*6+($T57:$Z57="M+")*6+($T57:$Z57="T+")*6+($T57:$Z57="D+")*12+($T57:$Z57="N+")*12+($T57:$Z57="Dm+")*12+($T57:$Z57="Dt+")*12+($T57:$Z57="Tm-")*6+($T57:$Z57="Mt-")*6)</f>
        <v/>
      </c>
      <c r="AY57" s="118">
        <f>AX57-MAX(0,IFERROR(INDEX(CADASTRO!$I$4:$I$80,MATCH($A57,CADASTRO!$A$4:$A$80,0)),$B57)-CONFIG!$B$50*(COUNTIF($T57:$Z57,"AB")+COUNTIF($T57:$Z57,"FE")+COUNTIF($T57:$Z57,"LM")))</f>
        <v/>
      </c>
      <c r="AZ57" s="117">
        <f>SUMPRODUCT(($AA57:$AG57="M")*6+($AA57:$AG57="T")*6+($AA57:$AG57="D")*12+($AA57:$AG57="N")*12+($AA57:$AG57="NT")*6+($AA57:$AG57="C")*10+($AA57:$AG57="A")*8+($AA57:$AG57="J")*5+($AA57:$AG57="CEP")*4+($AA57:$AG57="CP")*6+($AA57:$AG57="CRO")*6+($AA57:$AG57="M+")*6+($AA57:$AG57="T+")*6+($AA57:$AG57="D+")*12+($AA57:$AG57="N+")*12+($AA57:$AG57="Dm+")*12+($AA57:$AG57="Dt+")*12+($AA57:$AG57="Tm-")*6+($AA57:$AG57="Mt-")*6)</f>
        <v/>
      </c>
      <c r="BA57" s="118">
        <f>AZ57-MAX(0,IFERROR(INDEX(CADASTRO!$I$4:$I$80,MATCH($A57,CADASTRO!$A$4:$A$80,0)),$B57)-CONFIG!$B$50*(COUNTIF($AA57:$AG57,"AB")+COUNTIF($AA57:$AG57,"FE")+COUNTIF($AA57:$AG57,"LM")))</f>
        <v/>
      </c>
      <c r="BB57" s="117">
        <f>SUMPRODUCT(($AH57:$AM57="M")*6+($AH57:$AM57="T")*6+($AH57:$AM57="D")*12+($AH57:$AM57="N")*12+($AH57:$AM57="NT")*6+($AH57:$AM57="C")*10+($AH57:$AM57="A")*8+($AH57:$AM57="J")*5+($AH57:$AM57="CEP")*4+($AH57:$AM57="CP")*6+($AH57:$AM57="CRO")*6+($AH57:$AM57="M+")*6+($AH57:$AM57="T+")*6+($AH57:$AM57="D+")*12+($AH57:$AM57="N+")*12+($AH57:$AM57="Dm+")*12+($AH57:$AM57="Dt+")*12+($AH57:$AM57="Tm-")*6+($AH57:$AM57="Mt-")*6)+SUMPRODUCT(($AN57:$AN57="M")*6+($AN57:$AN57="T")*6+($AN57:$AN57="D")*12+($AN57:$AN57="N")*12+($AN57:$AN57="NT")*6+($AN57:$AN57="C")*10+($AN57:$AN57="A")*8+($AN57:$AN57="J")*5+($AN57:$AN57="CEP")*4+($AN57:$AN57="CP")*6+($AN57:$AN57="CRO")*6+($AN57:$AN57="M+")*6+($AN57:$AN57="T+")*6+($AN57:$AN57="D+")*12+($AN57:$AN57="N+")*12+($AN57:$AN57="Dm+")*12+($AN57:$AN57="Dt+")*12+($AN57:$AN57="Tm-")*6+($AN57:$AN57="Mt-")*6)</f>
        <v/>
      </c>
      <c r="BC57" s="118">
        <f>BB57-MAX(0,IFERROR(INDEX(CADASTRO!$I$4:$I$80,MATCH($A57,CADASTRO!$A$4:$A$80,0)),$B57)-CONFIG!$B$50*(COUNTIF($AH57:$AM57,"AB")+COUNTIF($AH57:$AM57,"FE")+COUNTIF($AH57:$AM57,"LM")+COUNTIF($AN57:$AN57,"AB")+COUNTIF($AN57:$AN57,"FE")+COUNTIF($AN57:$AN57,"LM")))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00" t="n"/>
      <c r="H58" s="100" t="n"/>
      <c r="I58" s="114" t="n"/>
      <c r="J58" s="114" t="n"/>
      <c r="K58" s="114" t="n"/>
      <c r="L58" s="114" t="n"/>
      <c r="M58" s="114" t="n"/>
      <c r="N58" s="114" t="n"/>
      <c r="O58" s="125" t="inlineStr">
        <is>
          <t>N</t>
        </is>
      </c>
      <c r="P58" s="114" t="n"/>
      <c r="Q58" s="114" t="n"/>
      <c r="R58" s="124" t="inlineStr">
        <is>
          <t>D</t>
        </is>
      </c>
      <c r="S58" s="114" t="n"/>
      <c r="T58" s="115" t="inlineStr">
        <is>
          <t>M</t>
        </is>
      </c>
      <c r="U58" s="114" t="n"/>
      <c r="V58" s="125" t="inlineStr">
        <is>
          <t>N</t>
        </is>
      </c>
      <c r="W58" s="114" t="n"/>
      <c r="X58" s="114" t="n"/>
      <c r="Y58" s="114" t="n"/>
      <c r="Z58" s="114" t="n"/>
      <c r="AA58" s="114" t="n"/>
      <c r="AB58" s="114" t="n"/>
      <c r="AC58" s="125" t="inlineStr">
        <is>
          <t>N</t>
        </is>
      </c>
      <c r="AD58" s="114" t="n"/>
      <c r="AE58" s="114" t="n"/>
      <c r="AF58" s="126" t="inlineStr">
        <is>
          <t>T</t>
        </is>
      </c>
      <c r="AG58" s="124" t="inlineStr">
        <is>
          <t>D</t>
        </is>
      </c>
      <c r="AH58" s="126" t="inlineStr">
        <is>
          <t>T</t>
        </is>
      </c>
      <c r="AI58" s="114" t="n"/>
      <c r="AJ58" s="125" t="inlineStr">
        <is>
          <t>N</t>
        </is>
      </c>
      <c r="AK58" s="114" t="n"/>
      <c r="AL58" s="115" t="inlineStr">
        <is>
          <t>M</t>
        </is>
      </c>
      <c r="AM58" s="114" t="n"/>
      <c r="AN58" s="116">
        <f>IFERROR(INDEX(FEV!I$8:I$73,MATCH($A58,FEV!$A$8:$A$73,0))&amp;"","")</f>
        <v/>
      </c>
      <c r="AO58" s="100" t="n"/>
      <c r="AP58" s="100" t="n"/>
      <c r="AQ58" s="100" t="n"/>
      <c r="AR58" s="100" t="n"/>
      <c r="AS58" s="100" t="n"/>
      <c r="AT58" s="117">
        <f>SUMPRODUCT(($F58:$L58="M")*6+($F58:$L58="T")*6+($F58:$L58="D")*12+($F58:$L58="N")*12+($F58:$L58="NT")*6+($F58:$L58="C")*10+($F58:$L58="A")*8+($F58:$L58="J")*5+($F58:$L58="CEP")*4+($F58:$L58="CP")*6+($F58:$L58="CRO")*6+($F58:$L58="M+")*6+($F58:$L58="T+")*6+($F58:$L58="D+")*12+($F58:$L58="N+")*12+($F58:$L58="Dm+")*12+($F58:$L58="Dt+")*12+($F58:$L58="Tm-")*6+($F58:$L58="Mt-")*6)</f>
        <v/>
      </c>
      <c r="AU58" s="118">
        <f>AT58-MAX(0,IFERROR(INDEX(CADASTRO!$I$4:$I$80,MATCH($A58,CADASTRO!$A$4:$A$80,0)),$B58)-CONFIG!$B$50*(COUNTIF($F58:$L58,"AB")+COUNTIF($F58:$L58,"FE")+COUNTIF($F58:$L58,"LM")))</f>
        <v/>
      </c>
      <c r="AV58" s="117">
        <f>SUMPRODUCT(($M58:$S58="M")*6+($M58:$S58="T")*6+($M58:$S58="D")*12+($M58:$S58="N")*12+($M58:$S58="NT")*6+($M58:$S58="C")*10+($M58:$S58="A")*8+($M58:$S58="J")*5+($M58:$S58="CEP")*4+($M58:$S58="CP")*6+($M58:$S58="CRO")*6+($M58:$S58="M+")*6+($M58:$S58="T+")*6+($M58:$S58="D+")*12+($M58:$S58="N+")*12+($M58:$S58="Dm+")*12+($M58:$S58="Dt+")*12+($M58:$S58="Tm-")*6+($M58:$S58="Mt-")*6)</f>
        <v/>
      </c>
      <c r="AW58" s="118">
        <f>AV58-MAX(0,IFERROR(INDEX(CADASTRO!$I$4:$I$80,MATCH($A58,CADASTRO!$A$4:$A$80,0)),$B58)-CONFIG!$B$50*(COUNTIF($M58:$S58,"AB")+COUNTIF($M58:$S58,"FE")+COUNTIF($M58:$S58,"LM")))</f>
        <v/>
      </c>
      <c r="AX58" s="117">
        <f>SUMPRODUCT(($T58:$Z58="M")*6+($T58:$Z58="T")*6+($T58:$Z58="D")*12+($T58:$Z58="N")*12+($T58:$Z58="NT")*6+($T58:$Z58="C")*10+($T58:$Z58="A")*8+($T58:$Z58="J")*5+($T58:$Z58="CEP")*4+($T58:$Z58="CP")*6+($T58:$Z58="CRO")*6+($T58:$Z58="M+")*6+($T58:$Z58="T+")*6+($T58:$Z58="D+")*12+($T58:$Z58="N+")*12+($T58:$Z58="Dm+")*12+($T58:$Z58="Dt+")*12+($T58:$Z58="Tm-")*6+($T58:$Z58="Mt-")*6)</f>
        <v/>
      </c>
      <c r="AY58" s="118">
        <f>AX58-MAX(0,IFERROR(INDEX(CADASTRO!$I$4:$I$80,MATCH($A58,CADASTRO!$A$4:$A$80,0)),$B58)-CONFIG!$B$50*(COUNTIF($T58:$Z58,"AB")+COUNTIF($T58:$Z58,"FE")+COUNTIF($T58:$Z58,"LM")))</f>
        <v/>
      </c>
      <c r="AZ58" s="117">
        <f>SUMPRODUCT(($AA58:$AG58="M")*6+($AA58:$AG58="T")*6+($AA58:$AG58="D")*12+($AA58:$AG58="N")*12+($AA58:$AG58="NT")*6+($AA58:$AG58="C")*10+($AA58:$AG58="A")*8+($AA58:$AG58="J")*5+($AA58:$AG58="CEP")*4+($AA58:$AG58="CP")*6+($AA58:$AG58="CRO")*6+($AA58:$AG58="M+")*6+($AA58:$AG58="T+")*6+($AA58:$AG58="D+")*12+($AA58:$AG58="N+")*12+($AA58:$AG58="Dm+")*12+($AA58:$AG58="Dt+")*12+($AA58:$AG58="Tm-")*6+($AA58:$AG58="Mt-")*6)</f>
        <v/>
      </c>
      <c r="BA58" s="118">
        <f>AZ58-MAX(0,IFERROR(INDEX(CADASTRO!$I$4:$I$80,MATCH($A58,CADASTRO!$A$4:$A$80,0)),$B58)-CONFIG!$B$50*(COUNTIF($AA58:$AG58,"AB")+COUNTIF($AA58:$AG58,"FE")+COUNTIF($AA58:$AG58,"LM")))</f>
        <v/>
      </c>
      <c r="BB58" s="117">
        <f>SUMPRODUCT(($AH58:$AM58="M")*6+($AH58:$AM58="T")*6+($AH58:$AM58="D")*12+($AH58:$AM58="N")*12+($AH58:$AM58="NT")*6+($AH58:$AM58="C")*10+($AH58:$AM58="A")*8+($AH58:$AM58="J")*5+($AH58:$AM58="CEP")*4+($AH58:$AM58="CP")*6+($AH58:$AM58="CRO")*6+($AH58:$AM58="M+")*6+($AH58:$AM58="T+")*6+($AH58:$AM58="D+")*12+($AH58:$AM58="N+")*12+($AH58:$AM58="Dm+")*12+($AH58:$AM58="Dt+")*12+($AH58:$AM58="Tm-")*6+($AH58:$AM58="Mt-")*6)+SUMPRODUCT(($AN58:$AN58="M")*6+($AN58:$AN58="T")*6+($AN58:$AN58="D")*12+($AN58:$AN58="N")*12+($AN58:$AN58="NT")*6+($AN58:$AN58="C")*10+($AN58:$AN58="A")*8+($AN58:$AN58="J")*5+($AN58:$AN58="CEP")*4+($AN58:$AN58="CP")*6+($AN58:$AN58="CRO")*6+($AN58:$AN58="M+")*6+($AN58:$AN58="T+")*6+($AN58:$AN58="D+")*12+($AN58:$AN58="N+")*12+($AN58:$AN58="Dm+")*12+($AN58:$AN58="Dt+")*12+($AN58:$AN58="Tm-")*6+($AN58:$AN58="Mt-")*6)</f>
        <v/>
      </c>
      <c r="BC58" s="118">
        <f>BB58-MAX(0,IFERROR(INDEX(CADASTRO!$I$4:$I$80,MATCH($A58,CADASTRO!$A$4:$A$80,0)),$B58)-CONFIG!$B$50*(COUNTIF($AH58:$AM58,"AB")+COUNTIF($AH58:$AM58,"FE")+COUNTIF($AH58:$AM58,"LM")+COUNTIF($AN58:$AN58,"AB")+COUNTIF($AN58:$AN58,"FE")+COUNTIF($AN58:$AN58,"LM")))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00" t="n"/>
      <c r="H59" s="100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14" t="n"/>
      <c r="AN59" s="116">
        <f>IFERROR(INDEX(FEV!I$8:I$73,MATCH($A59,FEV!$A$8:$A$73,0))&amp;"","")</f>
        <v/>
      </c>
      <c r="AO59" s="100" t="n"/>
      <c r="AP59" s="100" t="n"/>
      <c r="AQ59" s="100" t="n"/>
      <c r="AR59" s="100" t="n"/>
      <c r="AS59" s="100" t="n"/>
      <c r="AT59" s="117">
        <f>SUMPRODUCT(($F59:$L59="M")*6+($F59:$L59="T")*6+($F59:$L59="D")*12+($F59:$L59="N")*12+($F59:$L59="NT")*6+($F59:$L59="C")*10+($F59:$L59="A")*8+($F59:$L59="J")*5+($F59:$L59="CEP")*4+($F59:$L59="CP")*6+($F59:$L59="CRO")*6+($F59:$L59="M+")*6+($F59:$L59="T+")*6+($F59:$L59="D+")*12+($F59:$L59="N+")*12+($F59:$L59="Dm+")*12+($F59:$L59="Dt+")*12+($F59:$L59="Tm-")*6+($F59:$L59="Mt-")*6)</f>
        <v/>
      </c>
      <c r="AU59" s="118">
        <f>AT59-MAX(0,IFERROR(INDEX(CADASTRO!$I$4:$I$80,MATCH($A59,CADASTRO!$A$4:$A$80,0)),$B59)-CONFIG!$B$50*(COUNTIF($F59:$L59,"AB")+COUNTIF($F59:$L59,"FE")+COUNTIF($F59:$L59,"LM")))</f>
        <v/>
      </c>
      <c r="AV59" s="117">
        <f>SUMPRODUCT(($M59:$S59="M")*6+($M59:$S59="T")*6+($M59:$S59="D")*12+($M59:$S59="N")*12+($M59:$S59="NT")*6+($M59:$S59="C")*10+($M59:$S59="A")*8+($M59:$S59="J")*5+($M59:$S59="CEP")*4+($M59:$S59="CP")*6+($M59:$S59="CRO")*6+($M59:$S59="M+")*6+($M59:$S59="T+")*6+($M59:$S59="D+")*12+($M59:$S59="N+")*12+($M59:$S59="Dm+")*12+($M59:$S59="Dt+")*12+($M59:$S59="Tm-")*6+($M59:$S59="Mt-")*6)</f>
        <v/>
      </c>
      <c r="AW59" s="118">
        <f>AV59-MAX(0,IFERROR(INDEX(CADASTRO!$I$4:$I$80,MATCH($A59,CADASTRO!$A$4:$A$80,0)),$B59)-CONFIG!$B$50*(COUNTIF($M59:$S59,"AB")+COUNTIF($M59:$S59,"FE")+COUNTIF($M59:$S59,"LM")))</f>
        <v/>
      </c>
      <c r="AX59" s="117">
        <f>SUMPRODUCT(($T59:$Z59="M")*6+($T59:$Z59="T")*6+($T59:$Z59="D")*12+($T59:$Z59="N")*12+($T59:$Z59="NT")*6+($T59:$Z59="C")*10+($T59:$Z59="A")*8+($T59:$Z59="J")*5+($T59:$Z59="CEP")*4+($T59:$Z59="CP")*6+($T59:$Z59="CRO")*6+($T59:$Z59="M+")*6+($T59:$Z59="T+")*6+($T59:$Z59="D+")*12+($T59:$Z59="N+")*12+($T59:$Z59="Dm+")*12+($T59:$Z59="Dt+")*12+($T59:$Z59="Tm-")*6+($T59:$Z59="Mt-")*6)</f>
        <v/>
      </c>
      <c r="AY59" s="118">
        <f>AX59-MAX(0,IFERROR(INDEX(CADASTRO!$I$4:$I$80,MATCH($A59,CADASTRO!$A$4:$A$80,0)),$B59)-CONFIG!$B$50*(COUNTIF($T59:$Z59,"AB")+COUNTIF($T59:$Z59,"FE")+COUNTIF($T59:$Z59,"LM")))</f>
        <v/>
      </c>
      <c r="AZ59" s="117">
        <f>SUMPRODUCT(($AA59:$AG59="M")*6+($AA59:$AG59="T")*6+($AA59:$AG59="D")*12+($AA59:$AG59="N")*12+($AA59:$AG59="NT")*6+($AA59:$AG59="C")*10+($AA59:$AG59="A")*8+($AA59:$AG59="J")*5+($AA59:$AG59="CEP")*4+($AA59:$AG59="CP")*6+($AA59:$AG59="CRO")*6+($AA59:$AG59="M+")*6+($AA59:$AG59="T+")*6+($AA59:$AG59="D+")*12+($AA59:$AG59="N+")*12+($AA59:$AG59="Dm+")*12+($AA59:$AG59="Dt+")*12+($AA59:$AG59="Tm-")*6+($AA59:$AG59="Mt-")*6)</f>
        <v/>
      </c>
      <c r="BA59" s="118">
        <f>AZ59-MAX(0,IFERROR(INDEX(CADASTRO!$I$4:$I$80,MATCH($A59,CADASTRO!$A$4:$A$80,0)),$B59)-CONFIG!$B$50*(COUNTIF($AA59:$AG59,"AB")+COUNTIF($AA59:$AG59,"FE")+COUNTIF($AA59:$AG59,"LM")))</f>
        <v/>
      </c>
      <c r="BB59" s="117">
        <f>SUMPRODUCT(($AH59:$AM59="M")*6+($AH59:$AM59="T")*6+($AH59:$AM59="D")*12+($AH59:$AM59="N")*12+($AH59:$AM59="NT")*6+($AH59:$AM59="C")*10+($AH59:$AM59="A")*8+($AH59:$AM59="J")*5+($AH59:$AM59="CEP")*4+($AH59:$AM59="CP")*6+($AH59:$AM59="CRO")*6+($AH59:$AM59="M+")*6+($AH59:$AM59="T+")*6+($AH59:$AM59="D+")*12+($AH59:$AM59="N+")*12+($AH59:$AM59="Dm+")*12+($AH59:$AM59="Dt+")*12+($AH59:$AM59="Tm-")*6+($AH59:$AM59="Mt-")*6)+SUMPRODUCT(($AN59:$AN59="M")*6+($AN59:$AN59="T")*6+($AN59:$AN59="D")*12+($AN59:$AN59="N")*12+($AN59:$AN59="NT")*6+($AN59:$AN59="C")*10+($AN59:$AN59="A")*8+($AN59:$AN59="J")*5+($AN59:$AN59="CEP")*4+($AN59:$AN59="CP")*6+($AN59:$AN59="CRO")*6+($AN59:$AN59="M+")*6+($AN59:$AN59="T+")*6+($AN59:$AN59="D+")*12+($AN59:$AN59="N+")*12+($AN59:$AN59="Dm+")*12+($AN59:$AN59="Dt+")*12+($AN59:$AN59="Tm-")*6+($AN59:$AN59="Mt-")*6)</f>
        <v/>
      </c>
      <c r="BC59" s="118">
        <f>BB59-MAX(0,IFERROR(INDEX(CADASTRO!$I$4:$I$80,MATCH($A59,CADASTRO!$A$4:$A$80,0)),$B59)-CONFIG!$B$50*(COUNTIF($AH59:$AM59,"AB")+COUNTIF($AH59:$AM59,"FE")+COUNTIF($AH59:$AM59,"LM")+COUNTIF($AN59:$AN59,"AB")+COUNTIF($AN59:$AN59,"FE")+COUNTIF($AN59:$AN59,"LM")))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00" t="n"/>
      <c r="H60" s="100" t="n"/>
      <c r="I60" s="114" t="n"/>
      <c r="J60" s="125" t="inlineStr">
        <is>
          <t>N</t>
        </is>
      </c>
      <c r="K60" s="114" t="n"/>
      <c r="L60" s="114" t="n"/>
      <c r="M60" s="126" t="inlineStr">
        <is>
          <t>T</t>
        </is>
      </c>
      <c r="N60" s="114" t="n"/>
      <c r="O60" s="126" t="inlineStr">
        <is>
          <t>T</t>
        </is>
      </c>
      <c r="P60" s="126" t="inlineStr">
        <is>
          <t>T</t>
        </is>
      </c>
      <c r="Q60" s="114" t="n"/>
      <c r="R60" s="128" t="inlineStr">
        <is>
          <t>NT</t>
        </is>
      </c>
      <c r="S60" s="114" t="n"/>
      <c r="T60" s="114" t="n"/>
      <c r="U60" s="126" t="inlineStr">
        <is>
          <t>T</t>
        </is>
      </c>
      <c r="V60" s="114" t="n"/>
      <c r="W60" s="114" t="n"/>
      <c r="X60" s="126" t="inlineStr">
        <is>
          <t>T</t>
        </is>
      </c>
      <c r="Y60" s="114" t="n"/>
      <c r="Z60" s="124" t="inlineStr">
        <is>
          <t>D</t>
        </is>
      </c>
      <c r="AA60" s="114" t="n"/>
      <c r="AB60" s="126" t="inlineStr">
        <is>
          <t>T</t>
        </is>
      </c>
      <c r="AC60" s="114" t="n"/>
      <c r="AD60" s="114" t="n"/>
      <c r="AE60" s="126" t="inlineStr">
        <is>
          <t>T</t>
        </is>
      </c>
      <c r="AF60" s="114" t="n"/>
      <c r="AG60" s="125" t="inlineStr">
        <is>
          <t>N</t>
        </is>
      </c>
      <c r="AH60" s="114" t="n"/>
      <c r="AI60" s="126" t="inlineStr">
        <is>
          <t>T</t>
        </is>
      </c>
      <c r="AJ60" s="114" t="n"/>
      <c r="AK60" s="126" t="inlineStr">
        <is>
          <t>T</t>
        </is>
      </c>
      <c r="AL60" s="126" t="inlineStr">
        <is>
          <t>T</t>
        </is>
      </c>
      <c r="AM60" s="114" t="n"/>
      <c r="AN60" s="116">
        <f>IFERROR(INDEX(FEV!I$8:I$73,MATCH($A60,FEV!$A$8:$A$73,0))&amp;"","")</f>
        <v/>
      </c>
      <c r="AO60" s="100" t="n"/>
      <c r="AP60" s="100" t="n"/>
      <c r="AQ60" s="100" t="n"/>
      <c r="AR60" s="100" t="n"/>
      <c r="AS60" s="100" t="n"/>
      <c r="AT60" s="117">
        <f>SUMPRODUCT(($F60:$L60="M")*6+($F60:$L60="T")*6+($F60:$L60="D")*12+($F60:$L60="N")*12+($F60:$L60="NT")*6+($F60:$L60="C")*10+($F60:$L60="A")*8+($F60:$L60="J")*5+($F60:$L60="CEP")*4+($F60:$L60="CP")*6+($F60:$L60="CRO")*6+($F60:$L60="M+")*6+($F60:$L60="T+")*6+($F60:$L60="D+")*12+($F60:$L60="N+")*12+($F60:$L60="Dm+")*12+($F60:$L60="Dt+")*12+($F60:$L60="Tm-")*6+($F60:$L60="Mt-")*6)</f>
        <v/>
      </c>
      <c r="AU60" s="118">
        <f>AT60-MAX(0,IFERROR(INDEX(CADASTRO!$I$4:$I$80,MATCH($A60,CADASTRO!$A$4:$A$80,0)),$B60)-CONFIG!$B$50*(COUNTIF($F60:$L60,"AB")+COUNTIF($F60:$L60,"FE")+COUNTIF($F60:$L60,"LM")))</f>
        <v/>
      </c>
      <c r="AV60" s="117">
        <f>SUMPRODUCT(($M60:$S60="M")*6+($M60:$S60="T")*6+($M60:$S60="D")*12+($M60:$S60="N")*12+($M60:$S60="NT")*6+($M60:$S60="C")*10+($M60:$S60="A")*8+($M60:$S60="J")*5+($M60:$S60="CEP")*4+($M60:$S60="CP")*6+($M60:$S60="CRO")*6+($M60:$S60="M+")*6+($M60:$S60="T+")*6+($M60:$S60="D+")*12+($M60:$S60="N+")*12+($M60:$S60="Dm+")*12+($M60:$S60="Dt+")*12+($M60:$S60="Tm-")*6+($M60:$S60="Mt-")*6)</f>
        <v/>
      </c>
      <c r="AW60" s="118">
        <f>AV60-MAX(0,IFERROR(INDEX(CADASTRO!$I$4:$I$80,MATCH($A60,CADASTRO!$A$4:$A$80,0)),$B60)-CONFIG!$B$50*(COUNTIF($M60:$S60,"AB")+COUNTIF($M60:$S60,"FE")+COUNTIF($M60:$S60,"LM")))</f>
        <v/>
      </c>
      <c r="AX60" s="117">
        <f>SUMPRODUCT(($T60:$Z60="M")*6+($T60:$Z60="T")*6+($T60:$Z60="D")*12+($T60:$Z60="N")*12+($T60:$Z60="NT")*6+($T60:$Z60="C")*10+($T60:$Z60="A")*8+($T60:$Z60="J")*5+($T60:$Z60="CEP")*4+($T60:$Z60="CP")*6+($T60:$Z60="CRO")*6+($T60:$Z60="M+")*6+($T60:$Z60="T+")*6+($T60:$Z60="D+")*12+($T60:$Z60="N+")*12+($T60:$Z60="Dm+")*12+($T60:$Z60="Dt+")*12+($T60:$Z60="Tm-")*6+($T60:$Z60="Mt-")*6)</f>
        <v/>
      </c>
      <c r="AY60" s="118">
        <f>AX60-MAX(0,IFERROR(INDEX(CADASTRO!$I$4:$I$80,MATCH($A60,CADASTRO!$A$4:$A$80,0)),$B60)-CONFIG!$B$50*(COUNTIF($T60:$Z60,"AB")+COUNTIF($T60:$Z60,"FE")+COUNTIF($T60:$Z60,"LM")))</f>
        <v/>
      </c>
      <c r="AZ60" s="117">
        <f>SUMPRODUCT(($AA60:$AG60="M")*6+($AA60:$AG60="T")*6+($AA60:$AG60="D")*12+($AA60:$AG60="N")*12+($AA60:$AG60="NT")*6+($AA60:$AG60="C")*10+($AA60:$AG60="A")*8+($AA60:$AG60="J")*5+($AA60:$AG60="CEP")*4+($AA60:$AG60="CP")*6+($AA60:$AG60="CRO")*6+($AA60:$AG60="M+")*6+($AA60:$AG60="T+")*6+($AA60:$AG60="D+")*12+($AA60:$AG60="N+")*12+($AA60:$AG60="Dm+")*12+($AA60:$AG60="Dt+")*12+($AA60:$AG60="Tm-")*6+($AA60:$AG60="Mt-")*6)</f>
        <v/>
      </c>
      <c r="BA60" s="118">
        <f>AZ60-MAX(0,IFERROR(INDEX(CADASTRO!$I$4:$I$80,MATCH($A60,CADASTRO!$A$4:$A$80,0)),$B60)-CONFIG!$B$50*(COUNTIF($AA60:$AG60,"AB")+COUNTIF($AA60:$AG60,"FE")+COUNTIF($AA60:$AG60,"LM")))</f>
        <v/>
      </c>
      <c r="BB60" s="117">
        <f>SUMPRODUCT(($AH60:$AM60="M")*6+($AH60:$AM60="T")*6+($AH60:$AM60="D")*12+($AH60:$AM60="N")*12+($AH60:$AM60="NT")*6+($AH60:$AM60="C")*10+($AH60:$AM60="A")*8+($AH60:$AM60="J")*5+($AH60:$AM60="CEP")*4+($AH60:$AM60="CP")*6+($AH60:$AM60="CRO")*6+($AH60:$AM60="M+")*6+($AH60:$AM60="T+")*6+($AH60:$AM60="D+")*12+($AH60:$AM60="N+")*12+($AH60:$AM60="Dm+")*12+($AH60:$AM60="Dt+")*12+($AH60:$AM60="Tm-")*6+($AH60:$AM60="Mt-")*6)+SUMPRODUCT(($AN60:$AN60="M")*6+($AN60:$AN60="T")*6+($AN60:$AN60="D")*12+($AN60:$AN60="N")*12+($AN60:$AN60="NT")*6+($AN60:$AN60="C")*10+($AN60:$AN60="A")*8+($AN60:$AN60="J")*5+($AN60:$AN60="CEP")*4+($AN60:$AN60="CP")*6+($AN60:$AN60="CRO")*6+($AN60:$AN60="M+")*6+($AN60:$AN60="T+")*6+($AN60:$AN60="D+")*12+($AN60:$AN60="N+")*12+($AN60:$AN60="Dm+")*12+($AN60:$AN60="Dt+")*12+($AN60:$AN60="Tm-")*6+($AN60:$AN60="Mt-")*6)</f>
        <v/>
      </c>
      <c r="BC60" s="118">
        <f>BB60-MAX(0,IFERROR(INDEX(CADASTRO!$I$4:$I$80,MATCH($A60,CADASTRO!$A$4:$A$80,0)),$B60)-CONFIG!$B$50*(COUNTIF($AH60:$AM60,"AB")+COUNTIF($AH60:$AM60,"FE")+COUNTIF($AH60:$AM60,"LM")+COUNTIF($AN60:$AN60,"AB")+COUNTIF($AN60:$AN60,"FE")+COUNTIF($AN60:$AN60,"LM")))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00" t="n"/>
      <c r="H61" s="100" t="n"/>
      <c r="I61" s="114" t="n"/>
      <c r="J61" s="114" t="n"/>
      <c r="K61" s="114" t="n"/>
      <c r="L61" s="124" t="inlineStr">
        <is>
          <t>D</t>
        </is>
      </c>
      <c r="M61" s="115" t="inlineStr">
        <is>
          <t>M</t>
        </is>
      </c>
      <c r="N61" s="114" t="n"/>
      <c r="O61" s="114" t="n"/>
      <c r="P61" s="114" t="n"/>
      <c r="Q61" s="125" t="inlineStr">
        <is>
          <t>N</t>
        </is>
      </c>
      <c r="R61" s="114" t="n"/>
      <c r="S61" s="126" t="inlineStr">
        <is>
          <t>T</t>
        </is>
      </c>
      <c r="T61" s="124" t="inlineStr">
        <is>
          <t>D</t>
        </is>
      </c>
      <c r="U61" s="114" t="n"/>
      <c r="V61" s="114" t="n"/>
      <c r="W61" s="114" t="n"/>
      <c r="X61" s="124" t="inlineStr">
        <is>
          <t>D</t>
        </is>
      </c>
      <c r="Y61" s="114" t="n"/>
      <c r="Z61" s="114" t="n"/>
      <c r="AA61" s="124" t="inlineStr">
        <is>
          <t>D</t>
        </is>
      </c>
      <c r="AB61" s="114" t="n"/>
      <c r="AC61" s="126" t="inlineStr">
        <is>
          <t>T</t>
        </is>
      </c>
      <c r="AD61" s="126" t="inlineStr">
        <is>
          <t>T</t>
        </is>
      </c>
      <c r="AE61" s="114" t="n"/>
      <c r="AF61" s="114" t="n"/>
      <c r="AG61" s="114" t="n"/>
      <c r="AH61" s="124" t="inlineStr">
        <is>
          <t>D</t>
        </is>
      </c>
      <c r="AI61" s="114" t="n"/>
      <c r="AJ61" s="114" t="n"/>
      <c r="AK61" s="114" t="n"/>
      <c r="AL61" s="114" t="n"/>
      <c r="AM61" s="125" t="inlineStr">
        <is>
          <t>N</t>
        </is>
      </c>
      <c r="AN61" s="116">
        <f>IFERROR(INDEX(FEV!I$8:I$73,MATCH($A61,FEV!$A$8:$A$73,0))&amp;"","")</f>
        <v/>
      </c>
      <c r="AO61" s="100" t="n"/>
      <c r="AP61" s="100" t="n"/>
      <c r="AQ61" s="100" t="n"/>
      <c r="AR61" s="100" t="n"/>
      <c r="AS61" s="100" t="n"/>
      <c r="AT61" s="117">
        <f>SUMPRODUCT(($F61:$L61="M")*6+($F61:$L61="T")*6+($F61:$L61="D")*12+($F61:$L61="N")*12+($F61:$L61="NT")*6+($F61:$L61="C")*10+($F61:$L61="A")*8+($F61:$L61="J")*5+($F61:$L61="CEP")*4+($F61:$L61="CP")*6+($F61:$L61="CRO")*6+($F61:$L61="M+")*6+($F61:$L61="T+")*6+($F61:$L61="D+")*12+($F61:$L61="N+")*12+($F61:$L61="Dm+")*12+($F61:$L61="Dt+")*12+($F61:$L61="Tm-")*6+($F61:$L61="Mt-")*6)</f>
        <v/>
      </c>
      <c r="AU61" s="118">
        <f>AT61-MAX(0,IFERROR(INDEX(CADASTRO!$I$4:$I$80,MATCH($A61,CADASTRO!$A$4:$A$80,0)),$B61)-CONFIG!$B$50*(COUNTIF($F61:$L61,"AB")+COUNTIF($F61:$L61,"FE")+COUNTIF($F61:$L61,"LM")))</f>
        <v/>
      </c>
      <c r="AV61" s="117">
        <f>SUMPRODUCT(($M61:$S61="M")*6+($M61:$S61="T")*6+($M61:$S61="D")*12+($M61:$S61="N")*12+($M61:$S61="NT")*6+($M61:$S61="C")*10+($M61:$S61="A")*8+($M61:$S61="J")*5+($M61:$S61="CEP")*4+($M61:$S61="CP")*6+($M61:$S61="CRO")*6+($M61:$S61="M+")*6+($M61:$S61="T+")*6+($M61:$S61="D+")*12+($M61:$S61="N+")*12+($M61:$S61="Dm+")*12+($M61:$S61="Dt+")*12+($M61:$S61="Tm-")*6+($M61:$S61="Mt-")*6)</f>
        <v/>
      </c>
      <c r="AW61" s="118">
        <f>AV61-MAX(0,IFERROR(INDEX(CADASTRO!$I$4:$I$80,MATCH($A61,CADASTRO!$A$4:$A$80,0)),$B61)-CONFIG!$B$50*(COUNTIF($M61:$S61,"AB")+COUNTIF($M61:$S61,"FE")+COUNTIF($M61:$S61,"LM")))</f>
        <v/>
      </c>
      <c r="AX61" s="117">
        <f>SUMPRODUCT(($T61:$Z61="M")*6+($T61:$Z61="T")*6+($T61:$Z61="D")*12+($T61:$Z61="N")*12+($T61:$Z61="NT")*6+($T61:$Z61="C")*10+($T61:$Z61="A")*8+($T61:$Z61="J")*5+($T61:$Z61="CEP")*4+($T61:$Z61="CP")*6+($T61:$Z61="CRO")*6+($T61:$Z61="M+")*6+($T61:$Z61="T+")*6+($T61:$Z61="D+")*12+($T61:$Z61="N+")*12+($T61:$Z61="Dm+")*12+($T61:$Z61="Dt+")*12+($T61:$Z61="Tm-")*6+($T61:$Z61="Mt-")*6)</f>
        <v/>
      </c>
      <c r="AY61" s="118">
        <f>AX61-MAX(0,IFERROR(INDEX(CADASTRO!$I$4:$I$80,MATCH($A61,CADASTRO!$A$4:$A$80,0)),$B61)-CONFIG!$B$50*(COUNTIF($T61:$Z61,"AB")+COUNTIF($T61:$Z61,"FE")+COUNTIF($T61:$Z61,"LM")))</f>
        <v/>
      </c>
      <c r="AZ61" s="117">
        <f>SUMPRODUCT(($AA61:$AG61="M")*6+($AA61:$AG61="T")*6+($AA61:$AG61="D")*12+($AA61:$AG61="N")*12+($AA61:$AG61="NT")*6+($AA61:$AG61="C")*10+($AA61:$AG61="A")*8+($AA61:$AG61="J")*5+($AA61:$AG61="CEP")*4+($AA61:$AG61="CP")*6+($AA61:$AG61="CRO")*6+($AA61:$AG61="M+")*6+($AA61:$AG61="T+")*6+($AA61:$AG61="D+")*12+($AA61:$AG61="N+")*12+($AA61:$AG61="Dm+")*12+($AA61:$AG61="Dt+")*12+($AA61:$AG61="Tm-")*6+($AA61:$AG61="Mt-")*6)</f>
        <v/>
      </c>
      <c r="BA61" s="118">
        <f>AZ61-MAX(0,IFERROR(INDEX(CADASTRO!$I$4:$I$80,MATCH($A61,CADASTRO!$A$4:$A$80,0)),$B61)-CONFIG!$B$50*(COUNTIF($AA61:$AG61,"AB")+COUNTIF($AA61:$AG61,"FE")+COUNTIF($AA61:$AG61,"LM")))</f>
        <v/>
      </c>
      <c r="BB61" s="117">
        <f>SUMPRODUCT(($AH61:$AM61="M")*6+($AH61:$AM61="T")*6+($AH61:$AM61="D")*12+($AH61:$AM61="N")*12+($AH61:$AM61="NT")*6+($AH61:$AM61="C")*10+($AH61:$AM61="A")*8+($AH61:$AM61="J")*5+($AH61:$AM61="CEP")*4+($AH61:$AM61="CP")*6+($AH61:$AM61="CRO")*6+($AH61:$AM61="M+")*6+($AH61:$AM61="T+")*6+($AH61:$AM61="D+")*12+($AH61:$AM61="N+")*12+($AH61:$AM61="Dm+")*12+($AH61:$AM61="Dt+")*12+($AH61:$AM61="Tm-")*6+($AH61:$AM61="Mt-")*6)+SUMPRODUCT(($AN61:$AN61="M")*6+($AN61:$AN61="T")*6+($AN61:$AN61="D")*12+($AN61:$AN61="N")*12+($AN61:$AN61="NT")*6+($AN61:$AN61="C")*10+($AN61:$AN61="A")*8+($AN61:$AN61="J")*5+($AN61:$AN61="CEP")*4+($AN61:$AN61="CP")*6+($AN61:$AN61="CRO")*6+($AN61:$AN61="M+")*6+($AN61:$AN61="T+")*6+($AN61:$AN61="D+")*12+($AN61:$AN61="N+")*12+($AN61:$AN61="Dm+")*12+($AN61:$AN61="Dt+")*12+($AN61:$AN61="Tm-")*6+($AN61:$AN61="Mt-")*6)</f>
        <v/>
      </c>
      <c r="BC61" s="118">
        <f>BB61-MAX(0,IFERROR(INDEX(CADASTRO!$I$4:$I$80,MATCH($A61,CADASTRO!$A$4:$A$80,0)),$B61)-CONFIG!$B$50*(COUNTIF($AH61:$AM61,"AB")+COUNTIF($AH61:$AM61,"FE")+COUNTIF($AH61:$AM61,"LM")+COUNTIF($AN61:$AN61,"AB")+COUNTIF($AN61:$AN61,"FE")+COUNTIF($AN61:$AN61,"LM")))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00" t="n"/>
      <c r="H62" s="100" t="n"/>
      <c r="I62" s="114" t="n"/>
      <c r="J62" s="125" t="inlineStr">
        <is>
          <t>N</t>
        </is>
      </c>
      <c r="K62" s="114" t="n"/>
      <c r="L62" s="114" t="n"/>
      <c r="M62" s="125" t="inlineStr">
        <is>
          <t>N</t>
        </is>
      </c>
      <c r="N62" s="114" t="n"/>
      <c r="O62" s="114" t="n"/>
      <c r="P62" s="114" t="n"/>
      <c r="Q62" s="126" t="inlineStr">
        <is>
          <t>T</t>
        </is>
      </c>
      <c r="R62" s="114" t="n"/>
      <c r="S62" s="126" t="inlineStr">
        <is>
          <t>T</t>
        </is>
      </c>
      <c r="T62" s="114" t="n"/>
      <c r="U62" s="114" t="n"/>
      <c r="V62" s="114" t="n"/>
      <c r="W62" s="114" t="n"/>
      <c r="X62" s="114" t="n"/>
      <c r="Y62" s="124" t="inlineStr">
        <is>
          <t>D</t>
        </is>
      </c>
      <c r="Z62" s="124" t="inlineStr">
        <is>
          <t>D</t>
        </is>
      </c>
      <c r="AA62" s="124" t="inlineStr">
        <is>
          <t>D</t>
        </is>
      </c>
      <c r="AB62" s="114" t="n"/>
      <c r="AC62" s="114" t="n"/>
      <c r="AD62" s="126" t="inlineStr">
        <is>
          <t>T</t>
        </is>
      </c>
      <c r="AE62" s="126" t="inlineStr">
        <is>
          <t>T</t>
        </is>
      </c>
      <c r="AF62" s="114" t="n"/>
      <c r="AG62" s="114" t="n"/>
      <c r="AH62" s="125" t="inlineStr">
        <is>
          <t>N</t>
        </is>
      </c>
      <c r="AI62" s="114" t="n"/>
      <c r="AJ62" s="114" t="n"/>
      <c r="AK62" s="114" t="n"/>
      <c r="AL62" s="124" t="inlineStr">
        <is>
          <t>D</t>
        </is>
      </c>
      <c r="AM62" s="114" t="n"/>
      <c r="AN62" s="116">
        <f>IFERROR(INDEX(FEV!I$8:I$73,MATCH($A62,FEV!$A$8:$A$73,0))&amp;"","")</f>
        <v/>
      </c>
      <c r="AO62" s="100" t="n"/>
      <c r="AP62" s="100" t="n"/>
      <c r="AQ62" s="100" t="n"/>
      <c r="AR62" s="100" t="n"/>
      <c r="AS62" s="100" t="n"/>
      <c r="AT62" s="117">
        <f>SUMPRODUCT(($F62:$L62="M")*6+($F62:$L62="T")*6+($F62:$L62="D")*12+($F62:$L62="N")*12+($F62:$L62="NT")*6+($F62:$L62="C")*10+($F62:$L62="A")*8+($F62:$L62="J")*5+($F62:$L62="CEP")*4+($F62:$L62="CP")*6+($F62:$L62="CRO")*6+($F62:$L62="M+")*6+($F62:$L62="T+")*6+($F62:$L62="D+")*12+($F62:$L62="N+")*12+($F62:$L62="Dm+")*12+($F62:$L62="Dt+")*12+($F62:$L62="Tm-")*6+($F62:$L62="Mt-")*6)</f>
        <v/>
      </c>
      <c r="AU62" s="118">
        <f>AT62-MAX(0,IFERROR(INDEX(CADASTRO!$I$4:$I$80,MATCH($A62,CADASTRO!$A$4:$A$80,0)),$B62)-CONFIG!$B$50*(COUNTIF($F62:$L62,"AB")+COUNTIF($F62:$L62,"FE")+COUNTIF($F62:$L62,"LM")))</f>
        <v/>
      </c>
      <c r="AV62" s="117">
        <f>SUMPRODUCT(($M62:$S62="M")*6+($M62:$S62="T")*6+($M62:$S62="D")*12+($M62:$S62="N")*12+($M62:$S62="NT")*6+($M62:$S62="C")*10+($M62:$S62="A")*8+($M62:$S62="J")*5+($M62:$S62="CEP")*4+($M62:$S62="CP")*6+($M62:$S62="CRO")*6+($M62:$S62="M+")*6+($M62:$S62="T+")*6+($M62:$S62="D+")*12+($M62:$S62="N+")*12+($M62:$S62="Dm+")*12+($M62:$S62="Dt+")*12+($M62:$S62="Tm-")*6+($M62:$S62="Mt-")*6)</f>
        <v/>
      </c>
      <c r="AW62" s="118">
        <f>AV62-MAX(0,IFERROR(INDEX(CADASTRO!$I$4:$I$80,MATCH($A62,CADASTRO!$A$4:$A$80,0)),$B62)-CONFIG!$B$50*(COUNTIF($M62:$S62,"AB")+COUNTIF($M62:$S62,"FE")+COUNTIF($M62:$S62,"LM")))</f>
        <v/>
      </c>
      <c r="AX62" s="117">
        <f>SUMPRODUCT(($T62:$Z62="M")*6+($T62:$Z62="T")*6+($T62:$Z62="D")*12+($T62:$Z62="N")*12+($T62:$Z62="NT")*6+($T62:$Z62="C")*10+($T62:$Z62="A")*8+($T62:$Z62="J")*5+($T62:$Z62="CEP")*4+($T62:$Z62="CP")*6+($T62:$Z62="CRO")*6+($T62:$Z62="M+")*6+($T62:$Z62="T+")*6+($T62:$Z62="D+")*12+($T62:$Z62="N+")*12+($T62:$Z62="Dm+")*12+($T62:$Z62="Dt+")*12+($T62:$Z62="Tm-")*6+($T62:$Z62="Mt-")*6)</f>
        <v/>
      </c>
      <c r="AY62" s="118">
        <f>AX62-MAX(0,IFERROR(INDEX(CADASTRO!$I$4:$I$80,MATCH($A62,CADASTRO!$A$4:$A$80,0)),$B62)-CONFIG!$B$50*(COUNTIF($T62:$Z62,"AB")+COUNTIF($T62:$Z62,"FE")+COUNTIF($T62:$Z62,"LM")))</f>
        <v/>
      </c>
      <c r="AZ62" s="117">
        <f>SUMPRODUCT(($AA62:$AG62="M")*6+($AA62:$AG62="T")*6+($AA62:$AG62="D")*12+($AA62:$AG62="N")*12+($AA62:$AG62="NT")*6+($AA62:$AG62="C")*10+($AA62:$AG62="A")*8+($AA62:$AG62="J")*5+($AA62:$AG62="CEP")*4+($AA62:$AG62="CP")*6+($AA62:$AG62="CRO")*6+($AA62:$AG62="M+")*6+($AA62:$AG62="T+")*6+($AA62:$AG62="D+")*12+($AA62:$AG62="N+")*12+($AA62:$AG62="Dm+")*12+($AA62:$AG62="Dt+")*12+($AA62:$AG62="Tm-")*6+($AA62:$AG62="Mt-")*6)</f>
        <v/>
      </c>
      <c r="BA62" s="118">
        <f>AZ62-MAX(0,IFERROR(INDEX(CADASTRO!$I$4:$I$80,MATCH($A62,CADASTRO!$A$4:$A$80,0)),$B62)-CONFIG!$B$50*(COUNTIF($AA62:$AG62,"AB")+COUNTIF($AA62:$AG62,"FE")+COUNTIF($AA62:$AG62,"LM")))</f>
        <v/>
      </c>
      <c r="BB62" s="117">
        <f>SUMPRODUCT(($AH62:$AM62="M")*6+($AH62:$AM62="T")*6+($AH62:$AM62="D")*12+($AH62:$AM62="N")*12+($AH62:$AM62="NT")*6+($AH62:$AM62="C")*10+($AH62:$AM62="A")*8+($AH62:$AM62="J")*5+($AH62:$AM62="CEP")*4+($AH62:$AM62="CP")*6+($AH62:$AM62="CRO")*6+($AH62:$AM62="M+")*6+($AH62:$AM62="T+")*6+($AH62:$AM62="D+")*12+($AH62:$AM62="N+")*12+($AH62:$AM62="Dm+")*12+($AH62:$AM62="Dt+")*12+($AH62:$AM62="Tm-")*6+($AH62:$AM62="Mt-")*6)+SUMPRODUCT(($AN62:$AN62="M")*6+($AN62:$AN62="T")*6+($AN62:$AN62="D")*12+($AN62:$AN62="N")*12+($AN62:$AN62="NT")*6+($AN62:$AN62="C")*10+($AN62:$AN62="A")*8+($AN62:$AN62="J")*5+($AN62:$AN62="CEP")*4+($AN62:$AN62="CP")*6+($AN62:$AN62="CRO")*6+($AN62:$AN62="M+")*6+($AN62:$AN62="T+")*6+($AN62:$AN62="D+")*12+($AN62:$AN62="N+")*12+($AN62:$AN62="Dm+")*12+($AN62:$AN62="Dt+")*12+($AN62:$AN62="Tm-")*6+($AN62:$AN62="Mt-")*6)</f>
        <v/>
      </c>
      <c r="BC62" s="118">
        <f>BB62-MAX(0,IFERROR(INDEX(CADASTRO!$I$4:$I$80,MATCH($A62,CADASTRO!$A$4:$A$80,0)),$B62)-CONFIG!$B$50*(COUNTIF($AH62:$AM62,"AB")+COUNTIF($AH62:$AM62,"FE")+COUNTIF($AH62:$AM62,"LM")+COUNTIF($AN62:$AN62,"AB")+COUNTIF($AN62:$AN62,"FE")+COUNTIF($AN62:$AN62,"LM")))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00" t="n"/>
      <c r="H63" s="100" t="n"/>
      <c r="I63" s="114" t="n"/>
      <c r="J63" s="126" t="inlineStr">
        <is>
          <t>T</t>
        </is>
      </c>
      <c r="K63" s="124" t="inlineStr">
        <is>
          <t>D</t>
        </is>
      </c>
      <c r="L63" s="114" t="n"/>
      <c r="M63" s="114" t="n"/>
      <c r="N63" s="114" t="n"/>
      <c r="O63" s="114" t="n"/>
      <c r="P63" s="114" t="n"/>
      <c r="Q63" s="124" t="inlineStr">
        <is>
          <t>D</t>
        </is>
      </c>
      <c r="R63" s="125" t="inlineStr">
        <is>
          <t>N</t>
        </is>
      </c>
      <c r="S63" s="114" t="n"/>
      <c r="T63" s="114" t="n"/>
      <c r="U63" s="114" t="n"/>
      <c r="V63" s="124" t="inlineStr">
        <is>
          <t>D</t>
        </is>
      </c>
      <c r="W63" s="124" t="inlineStr">
        <is>
          <t>D</t>
        </is>
      </c>
      <c r="X63" s="114" t="n"/>
      <c r="Y63" s="114" t="n"/>
      <c r="Z63" s="115" t="inlineStr">
        <is>
          <t>M</t>
        </is>
      </c>
      <c r="AA63" s="114" t="n"/>
      <c r="AB63" s="114" t="n"/>
      <c r="AC63" s="114" t="n"/>
      <c r="AD63" s="124" t="inlineStr">
        <is>
          <t>D</t>
        </is>
      </c>
      <c r="AE63" s="125" t="inlineStr">
        <is>
          <t>N</t>
        </is>
      </c>
      <c r="AF63" s="114" t="n"/>
      <c r="AG63" s="114" t="n"/>
      <c r="AH63" s="114" t="n"/>
      <c r="AI63" s="125" t="inlineStr">
        <is>
          <t>N</t>
        </is>
      </c>
      <c r="AJ63" s="114" t="n"/>
      <c r="AK63" s="124" t="inlineStr">
        <is>
          <t>D</t>
        </is>
      </c>
      <c r="AL63" s="114" t="n"/>
      <c r="AM63" s="114" t="n"/>
      <c r="AN63" s="116">
        <f>IFERROR(INDEX(FEV!I$8:I$73,MATCH($A63,FEV!$A$8:$A$73,0))&amp;"","")</f>
        <v/>
      </c>
      <c r="AO63" s="100" t="n"/>
      <c r="AP63" s="100" t="n"/>
      <c r="AQ63" s="100" t="n"/>
      <c r="AR63" s="100" t="n"/>
      <c r="AS63" s="100" t="n"/>
      <c r="AT63" s="117">
        <f>SUMPRODUCT(($F63:$L63="M")*6+($F63:$L63="T")*6+($F63:$L63="D")*12+($F63:$L63="N")*12+($F63:$L63="NT")*6+($F63:$L63="C")*10+($F63:$L63="A")*8+($F63:$L63="J")*5+($F63:$L63="CEP")*4+($F63:$L63="CP")*6+($F63:$L63="CRO")*6+($F63:$L63="M+")*6+($F63:$L63="T+")*6+($F63:$L63="D+")*12+($F63:$L63="N+")*12+($F63:$L63="Dm+")*12+($F63:$L63="Dt+")*12+($F63:$L63="Tm-")*6+($F63:$L63="Mt-")*6)</f>
        <v/>
      </c>
      <c r="AU63" s="118">
        <f>AT63-MAX(0,IFERROR(INDEX(CADASTRO!$I$4:$I$80,MATCH($A63,CADASTRO!$A$4:$A$80,0)),$B63)-CONFIG!$B$50*(COUNTIF($F63:$L63,"AB")+COUNTIF($F63:$L63,"FE")+COUNTIF($F63:$L63,"LM")))</f>
        <v/>
      </c>
      <c r="AV63" s="117">
        <f>SUMPRODUCT(($M63:$S63="M")*6+($M63:$S63="T")*6+($M63:$S63="D")*12+($M63:$S63="N")*12+($M63:$S63="NT")*6+($M63:$S63="C")*10+($M63:$S63="A")*8+($M63:$S63="J")*5+($M63:$S63="CEP")*4+($M63:$S63="CP")*6+($M63:$S63="CRO")*6+($M63:$S63="M+")*6+($M63:$S63="T+")*6+($M63:$S63="D+")*12+($M63:$S63="N+")*12+($M63:$S63="Dm+")*12+($M63:$S63="Dt+")*12+($M63:$S63="Tm-")*6+($M63:$S63="Mt-")*6)</f>
        <v/>
      </c>
      <c r="AW63" s="118">
        <f>AV63-MAX(0,IFERROR(INDEX(CADASTRO!$I$4:$I$80,MATCH($A63,CADASTRO!$A$4:$A$80,0)),$B63)-CONFIG!$B$50*(COUNTIF($M63:$S63,"AB")+COUNTIF($M63:$S63,"FE")+COUNTIF($M63:$S63,"LM")))</f>
        <v/>
      </c>
      <c r="AX63" s="117">
        <f>SUMPRODUCT(($T63:$Z63="M")*6+($T63:$Z63="T")*6+($T63:$Z63="D")*12+($T63:$Z63="N")*12+($T63:$Z63="NT")*6+($T63:$Z63="C")*10+($T63:$Z63="A")*8+($T63:$Z63="J")*5+($T63:$Z63="CEP")*4+($T63:$Z63="CP")*6+($T63:$Z63="CRO")*6+($T63:$Z63="M+")*6+($T63:$Z63="T+")*6+($T63:$Z63="D+")*12+($T63:$Z63="N+")*12+($T63:$Z63="Dm+")*12+($T63:$Z63="Dt+")*12+($T63:$Z63="Tm-")*6+($T63:$Z63="Mt-")*6)</f>
        <v/>
      </c>
      <c r="AY63" s="118">
        <f>AX63-MAX(0,IFERROR(INDEX(CADASTRO!$I$4:$I$80,MATCH($A63,CADASTRO!$A$4:$A$80,0)),$B63)-CONFIG!$B$50*(COUNTIF($T63:$Z63,"AB")+COUNTIF($T63:$Z63,"FE")+COUNTIF($T63:$Z63,"LM")))</f>
        <v/>
      </c>
      <c r="AZ63" s="117">
        <f>SUMPRODUCT(($AA63:$AG63="M")*6+($AA63:$AG63="T")*6+($AA63:$AG63="D")*12+($AA63:$AG63="N")*12+($AA63:$AG63="NT")*6+($AA63:$AG63="C")*10+($AA63:$AG63="A")*8+($AA63:$AG63="J")*5+($AA63:$AG63="CEP")*4+($AA63:$AG63="CP")*6+($AA63:$AG63="CRO")*6+($AA63:$AG63="M+")*6+($AA63:$AG63="T+")*6+($AA63:$AG63="D+")*12+($AA63:$AG63="N+")*12+($AA63:$AG63="Dm+")*12+($AA63:$AG63="Dt+")*12+($AA63:$AG63="Tm-")*6+($AA63:$AG63="Mt-")*6)</f>
        <v/>
      </c>
      <c r="BA63" s="118">
        <f>AZ63-MAX(0,IFERROR(INDEX(CADASTRO!$I$4:$I$80,MATCH($A63,CADASTRO!$A$4:$A$80,0)),$B63)-CONFIG!$B$50*(COUNTIF($AA63:$AG63,"AB")+COUNTIF($AA63:$AG63,"FE")+COUNTIF($AA63:$AG63,"LM")))</f>
        <v/>
      </c>
      <c r="BB63" s="117">
        <f>SUMPRODUCT(($AH63:$AM63="M")*6+($AH63:$AM63="T")*6+($AH63:$AM63="D")*12+($AH63:$AM63="N")*12+($AH63:$AM63="NT")*6+($AH63:$AM63="C")*10+($AH63:$AM63="A")*8+($AH63:$AM63="J")*5+($AH63:$AM63="CEP")*4+($AH63:$AM63="CP")*6+($AH63:$AM63="CRO")*6+($AH63:$AM63="M+")*6+($AH63:$AM63="T+")*6+($AH63:$AM63="D+")*12+($AH63:$AM63="N+")*12+($AH63:$AM63="Dm+")*12+($AH63:$AM63="Dt+")*12+($AH63:$AM63="Tm-")*6+($AH63:$AM63="Mt-")*6)+SUMPRODUCT(($AN63:$AN63="M")*6+($AN63:$AN63="T")*6+($AN63:$AN63="D")*12+($AN63:$AN63="N")*12+($AN63:$AN63="NT")*6+($AN63:$AN63="C")*10+($AN63:$AN63="A")*8+($AN63:$AN63="J")*5+($AN63:$AN63="CEP")*4+($AN63:$AN63="CP")*6+($AN63:$AN63="CRO")*6+($AN63:$AN63="M+")*6+($AN63:$AN63="T+")*6+($AN63:$AN63="D+")*12+($AN63:$AN63="N+")*12+($AN63:$AN63="Dm+")*12+($AN63:$AN63="Dt+")*12+($AN63:$AN63="Tm-")*6+($AN63:$AN63="Mt-")*6)</f>
        <v/>
      </c>
      <c r="BC63" s="118">
        <f>BB63-MAX(0,IFERROR(INDEX(CADASTRO!$I$4:$I$80,MATCH($A63,CADASTRO!$A$4:$A$80,0)),$B63)-CONFIG!$B$50*(COUNTIF($AH63:$AM63,"AB")+COUNTIF($AH63:$AM63,"FE")+COUNTIF($AH63:$AM63,"LM")+COUNTIF($AN63:$AN63,"AB")+COUNTIF($AN63:$AN63,"FE")+COUNTIF($AN63:$AN63,"LM")))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00" t="n"/>
      <c r="H64" s="100" t="n"/>
      <c r="I64" s="114" t="n"/>
      <c r="J64" s="114" t="n"/>
      <c r="K64" s="115" t="inlineStr">
        <is>
          <t>M</t>
        </is>
      </c>
      <c r="L64" s="114" t="n"/>
      <c r="M64" s="114" t="n"/>
      <c r="N64" s="114" t="n"/>
      <c r="O64" s="114" t="n"/>
      <c r="P64" s="114" t="n"/>
      <c r="Q64" s="114" t="n"/>
      <c r="R64" s="125" t="inlineStr">
        <is>
          <t>N</t>
        </is>
      </c>
      <c r="S64" s="125" t="inlineStr">
        <is>
          <t>N</t>
        </is>
      </c>
      <c r="T64" s="114" t="n"/>
      <c r="U64" s="114" t="n"/>
      <c r="V64" s="125" t="inlineStr">
        <is>
          <t>N</t>
        </is>
      </c>
      <c r="W64" s="114" t="n"/>
      <c r="X64" s="125" t="inlineStr">
        <is>
          <t>N</t>
        </is>
      </c>
      <c r="Y64" s="114" t="n"/>
      <c r="Z64" s="126" t="inlineStr">
        <is>
          <t>T</t>
        </is>
      </c>
      <c r="AA64" s="125" t="inlineStr">
        <is>
          <t>N</t>
        </is>
      </c>
      <c r="AB64" s="114" t="n"/>
      <c r="AC64" s="125" t="inlineStr">
        <is>
          <t>N</t>
        </is>
      </c>
      <c r="AD64" s="126" t="inlineStr">
        <is>
          <t>T</t>
        </is>
      </c>
      <c r="AE64" s="114" t="n"/>
      <c r="AF64" s="114" t="n"/>
      <c r="AG64" s="114" t="n"/>
      <c r="AH64" s="125" t="inlineStr">
        <is>
          <t>N</t>
        </is>
      </c>
      <c r="AI64" s="114" t="n"/>
      <c r="AJ64" s="125" t="inlineStr">
        <is>
          <t>N</t>
        </is>
      </c>
      <c r="AK64" s="126" t="inlineStr">
        <is>
          <t>T</t>
        </is>
      </c>
      <c r="AL64" s="114" t="n"/>
      <c r="AM64" s="114" t="n"/>
      <c r="AN64" s="116">
        <f>IFERROR(INDEX(FEV!I$8:I$73,MATCH($A64,FEV!$A$8:$A$73,0))&amp;"","")</f>
        <v/>
      </c>
      <c r="AO64" s="100" t="n"/>
      <c r="AP64" s="100" t="n"/>
      <c r="AQ64" s="100" t="n"/>
      <c r="AR64" s="100" t="n"/>
      <c r="AS64" s="100" t="n"/>
      <c r="AT64" s="117">
        <f>SUMPRODUCT(($F64:$L64="M")*6+($F64:$L64="T")*6+($F64:$L64="D")*12+($F64:$L64="N")*12+($F64:$L64="NT")*6+($F64:$L64="C")*10+($F64:$L64="A")*8+($F64:$L64="J")*5+($F64:$L64="CEP")*4+($F64:$L64="CP")*6+($F64:$L64="CRO")*6+($F64:$L64="M+")*6+($F64:$L64="T+")*6+($F64:$L64="D+")*12+($F64:$L64="N+")*12+($F64:$L64="Dm+")*12+($F64:$L64="Dt+")*12+($F64:$L64="Tm-")*6+($F64:$L64="Mt-")*6)</f>
        <v/>
      </c>
      <c r="AU64" s="118">
        <f>AT64-MAX(0,IFERROR(INDEX(CADASTRO!$I$4:$I$80,MATCH($A64,CADASTRO!$A$4:$A$80,0)),$B64)-CONFIG!$B$50*(COUNTIF($F64:$L64,"AB")+COUNTIF($F64:$L64,"FE")+COUNTIF($F64:$L64,"LM")))</f>
        <v/>
      </c>
      <c r="AV64" s="117">
        <f>SUMPRODUCT(($M64:$S64="M")*6+($M64:$S64="T")*6+($M64:$S64="D")*12+($M64:$S64="N")*12+($M64:$S64="NT")*6+($M64:$S64="C")*10+($M64:$S64="A")*8+($M64:$S64="J")*5+($M64:$S64="CEP")*4+($M64:$S64="CP")*6+($M64:$S64="CRO")*6+($M64:$S64="M+")*6+($M64:$S64="T+")*6+($M64:$S64="D+")*12+($M64:$S64="N+")*12+($M64:$S64="Dm+")*12+($M64:$S64="Dt+")*12+($M64:$S64="Tm-")*6+($M64:$S64="Mt-")*6)</f>
        <v/>
      </c>
      <c r="AW64" s="118">
        <f>AV64-MAX(0,IFERROR(INDEX(CADASTRO!$I$4:$I$80,MATCH($A64,CADASTRO!$A$4:$A$80,0)),$B64)-CONFIG!$B$50*(COUNTIF($M64:$S64,"AB")+COUNTIF($M64:$S64,"FE")+COUNTIF($M64:$S64,"LM")))</f>
        <v/>
      </c>
      <c r="AX64" s="117">
        <f>SUMPRODUCT(($T64:$Z64="M")*6+($T64:$Z64="T")*6+($T64:$Z64="D")*12+($T64:$Z64="N")*12+($T64:$Z64="NT")*6+($T64:$Z64="C")*10+($T64:$Z64="A")*8+($T64:$Z64="J")*5+($T64:$Z64="CEP")*4+($T64:$Z64="CP")*6+($T64:$Z64="CRO")*6+($T64:$Z64="M+")*6+($T64:$Z64="T+")*6+($T64:$Z64="D+")*12+($T64:$Z64="N+")*12+($T64:$Z64="Dm+")*12+($T64:$Z64="Dt+")*12+($T64:$Z64="Tm-")*6+($T64:$Z64="Mt-")*6)</f>
        <v/>
      </c>
      <c r="AY64" s="118">
        <f>AX64-MAX(0,IFERROR(INDEX(CADASTRO!$I$4:$I$80,MATCH($A64,CADASTRO!$A$4:$A$80,0)),$B64)-CONFIG!$B$50*(COUNTIF($T64:$Z64,"AB")+COUNTIF($T64:$Z64,"FE")+COUNTIF($T64:$Z64,"LM")))</f>
        <v/>
      </c>
      <c r="AZ64" s="117">
        <f>SUMPRODUCT(($AA64:$AG64="M")*6+($AA64:$AG64="T")*6+($AA64:$AG64="D")*12+($AA64:$AG64="N")*12+($AA64:$AG64="NT")*6+($AA64:$AG64="C")*10+($AA64:$AG64="A")*8+($AA64:$AG64="J")*5+($AA64:$AG64="CEP")*4+($AA64:$AG64="CP")*6+($AA64:$AG64="CRO")*6+($AA64:$AG64="M+")*6+($AA64:$AG64="T+")*6+($AA64:$AG64="D+")*12+($AA64:$AG64="N+")*12+($AA64:$AG64="Dm+")*12+($AA64:$AG64="Dt+")*12+($AA64:$AG64="Tm-")*6+($AA64:$AG64="Mt-")*6)</f>
        <v/>
      </c>
      <c r="BA64" s="118">
        <f>AZ64-MAX(0,IFERROR(INDEX(CADASTRO!$I$4:$I$80,MATCH($A64,CADASTRO!$A$4:$A$80,0)),$B64)-CONFIG!$B$50*(COUNTIF($AA64:$AG64,"AB")+COUNTIF($AA64:$AG64,"FE")+COUNTIF($AA64:$AG64,"LM")))</f>
        <v/>
      </c>
      <c r="BB64" s="117">
        <f>SUMPRODUCT(($AH64:$AM64="M")*6+($AH64:$AM64="T")*6+($AH64:$AM64="D")*12+($AH64:$AM64="N")*12+($AH64:$AM64="NT")*6+($AH64:$AM64="C")*10+($AH64:$AM64="A")*8+($AH64:$AM64="J")*5+($AH64:$AM64="CEP")*4+($AH64:$AM64="CP")*6+($AH64:$AM64="CRO")*6+($AH64:$AM64="M+")*6+($AH64:$AM64="T+")*6+($AH64:$AM64="D+")*12+($AH64:$AM64="N+")*12+($AH64:$AM64="Dm+")*12+($AH64:$AM64="Dt+")*12+($AH64:$AM64="Tm-")*6+($AH64:$AM64="Mt-")*6)+SUMPRODUCT(($AN64:$AN64="M")*6+($AN64:$AN64="T")*6+($AN64:$AN64="D")*12+($AN64:$AN64="N")*12+($AN64:$AN64="NT")*6+($AN64:$AN64="C")*10+($AN64:$AN64="A")*8+($AN64:$AN64="J")*5+($AN64:$AN64="CEP")*4+($AN64:$AN64="CP")*6+($AN64:$AN64="CRO")*6+($AN64:$AN64="M+")*6+($AN64:$AN64="T+")*6+($AN64:$AN64="D+")*12+($AN64:$AN64="N+")*12+($AN64:$AN64="Dm+")*12+($AN64:$AN64="Dt+")*12+($AN64:$AN64="Tm-")*6+($AN64:$AN64="Mt-")*6)</f>
        <v/>
      </c>
      <c r="BC64" s="118">
        <f>BB64-MAX(0,IFERROR(INDEX(CADASTRO!$I$4:$I$80,MATCH($A64,CADASTRO!$A$4:$A$80,0)),$B64)-CONFIG!$B$50*(COUNTIF($AH64:$AM64,"AB")+COUNTIF($AH64:$AM64,"FE")+COUNTIF($AH64:$AM64,"LM")+COUNTIF($AN64:$AN64,"AB")+COUNTIF($AN64:$AN64,"FE")+COUNTIF($AN64:$AN64,"LM")))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00" t="n"/>
      <c r="H65" s="100" t="n"/>
      <c r="I65" s="114" t="n"/>
      <c r="J65" s="124" t="inlineStr">
        <is>
          <t>D</t>
        </is>
      </c>
      <c r="K65" s="114" t="n"/>
      <c r="L65" s="114" t="n"/>
      <c r="M65" s="114" t="n"/>
      <c r="N65" s="114" t="n"/>
      <c r="O65" s="125" t="inlineStr">
        <is>
          <t>N</t>
        </is>
      </c>
      <c r="P65" s="114" t="n"/>
      <c r="Q65" s="124" t="inlineStr">
        <is>
          <t>D</t>
        </is>
      </c>
      <c r="R65" s="114" t="n"/>
      <c r="S65" s="114" t="n"/>
      <c r="T65" s="114" t="n"/>
      <c r="U65" s="114" t="n"/>
      <c r="V65" s="114" t="n"/>
      <c r="W65" s="115" t="inlineStr">
        <is>
          <t>M</t>
        </is>
      </c>
      <c r="X65" s="125" t="inlineStr">
        <is>
          <t>N</t>
        </is>
      </c>
      <c r="Y65" s="114" t="n"/>
      <c r="Z65" s="126" t="inlineStr">
        <is>
          <t>T</t>
        </is>
      </c>
      <c r="AA65" s="114" t="n"/>
      <c r="AB65" s="114" t="n"/>
      <c r="AC65" s="114" t="n"/>
      <c r="AD65" s="114" t="n"/>
      <c r="AE65" s="114" t="n"/>
      <c r="AF65" s="124" t="inlineStr">
        <is>
          <t>D</t>
        </is>
      </c>
      <c r="AG65" s="125" t="inlineStr">
        <is>
          <t>N</t>
        </is>
      </c>
      <c r="AH65" s="114" t="n"/>
      <c r="AI65" s="114" t="n"/>
      <c r="AJ65" s="126" t="inlineStr">
        <is>
          <t>T</t>
        </is>
      </c>
      <c r="AK65" s="114" t="n"/>
      <c r="AL65" s="124" t="inlineStr">
        <is>
          <t>D</t>
        </is>
      </c>
      <c r="AM65" s="114" t="n"/>
      <c r="AN65" s="116">
        <f>IFERROR(INDEX(FEV!I$8:I$73,MATCH($A65,FEV!$A$8:$A$73,0))&amp;"","")</f>
        <v/>
      </c>
      <c r="AO65" s="100" t="n"/>
      <c r="AP65" s="100" t="n"/>
      <c r="AQ65" s="100" t="n"/>
      <c r="AR65" s="100" t="n"/>
      <c r="AS65" s="100" t="n"/>
      <c r="AT65" s="117">
        <f>SUMPRODUCT(($F65:$L65="M")*6+($F65:$L65="T")*6+($F65:$L65="D")*12+($F65:$L65="N")*12+($F65:$L65="NT")*6+($F65:$L65="C")*10+($F65:$L65="A")*8+($F65:$L65="J")*5+($F65:$L65="CEP")*4+($F65:$L65="CP")*6+($F65:$L65="CRO")*6+($F65:$L65="M+")*6+($F65:$L65="T+")*6+($F65:$L65="D+")*12+($F65:$L65="N+")*12+($F65:$L65="Dm+")*12+($F65:$L65="Dt+")*12+($F65:$L65="Tm-")*6+($F65:$L65="Mt-")*6)</f>
        <v/>
      </c>
      <c r="AU65" s="118">
        <f>AT65-MAX(0,IFERROR(INDEX(CADASTRO!$I$4:$I$80,MATCH($A65,CADASTRO!$A$4:$A$80,0)),$B65)-CONFIG!$B$50*(COUNTIF($F65:$L65,"AB")+COUNTIF($F65:$L65,"FE")+COUNTIF($F65:$L65,"LM")))</f>
        <v/>
      </c>
      <c r="AV65" s="117">
        <f>SUMPRODUCT(($M65:$S65="M")*6+($M65:$S65="T")*6+($M65:$S65="D")*12+($M65:$S65="N")*12+($M65:$S65="NT")*6+($M65:$S65="C")*10+($M65:$S65="A")*8+($M65:$S65="J")*5+($M65:$S65="CEP")*4+($M65:$S65="CP")*6+($M65:$S65="CRO")*6+($M65:$S65="M+")*6+($M65:$S65="T+")*6+($M65:$S65="D+")*12+($M65:$S65="N+")*12+($M65:$S65="Dm+")*12+($M65:$S65="Dt+")*12+($M65:$S65="Tm-")*6+($M65:$S65="Mt-")*6)</f>
        <v/>
      </c>
      <c r="AW65" s="118">
        <f>AV65-MAX(0,IFERROR(INDEX(CADASTRO!$I$4:$I$80,MATCH($A65,CADASTRO!$A$4:$A$80,0)),$B65)-CONFIG!$B$50*(COUNTIF($M65:$S65,"AB")+COUNTIF($M65:$S65,"FE")+COUNTIF($M65:$S65,"LM")))</f>
        <v/>
      </c>
      <c r="AX65" s="117">
        <f>SUMPRODUCT(($T65:$Z65="M")*6+($T65:$Z65="T")*6+($T65:$Z65="D")*12+($T65:$Z65="N")*12+($T65:$Z65="NT")*6+($T65:$Z65="C")*10+($T65:$Z65="A")*8+($T65:$Z65="J")*5+($T65:$Z65="CEP")*4+($T65:$Z65="CP")*6+($T65:$Z65="CRO")*6+($T65:$Z65="M+")*6+($T65:$Z65="T+")*6+($T65:$Z65="D+")*12+($T65:$Z65="N+")*12+($T65:$Z65="Dm+")*12+($T65:$Z65="Dt+")*12+($T65:$Z65="Tm-")*6+($T65:$Z65="Mt-")*6)</f>
        <v/>
      </c>
      <c r="AY65" s="118">
        <f>AX65-MAX(0,IFERROR(INDEX(CADASTRO!$I$4:$I$80,MATCH($A65,CADASTRO!$A$4:$A$80,0)),$B65)-CONFIG!$B$50*(COUNTIF($T65:$Z65,"AB")+COUNTIF($T65:$Z65,"FE")+COUNTIF($T65:$Z65,"LM")))</f>
        <v/>
      </c>
      <c r="AZ65" s="117">
        <f>SUMPRODUCT(($AA65:$AG65="M")*6+($AA65:$AG65="T")*6+($AA65:$AG65="D")*12+($AA65:$AG65="N")*12+($AA65:$AG65="NT")*6+($AA65:$AG65="C")*10+($AA65:$AG65="A")*8+($AA65:$AG65="J")*5+($AA65:$AG65="CEP")*4+($AA65:$AG65="CP")*6+($AA65:$AG65="CRO")*6+($AA65:$AG65="M+")*6+($AA65:$AG65="T+")*6+($AA65:$AG65="D+")*12+($AA65:$AG65="N+")*12+($AA65:$AG65="Dm+")*12+($AA65:$AG65="Dt+")*12+($AA65:$AG65="Tm-")*6+($AA65:$AG65="Mt-")*6)</f>
        <v/>
      </c>
      <c r="BA65" s="118">
        <f>AZ65-MAX(0,IFERROR(INDEX(CADASTRO!$I$4:$I$80,MATCH($A65,CADASTRO!$A$4:$A$80,0)),$B65)-CONFIG!$B$50*(COUNTIF($AA65:$AG65,"AB")+COUNTIF($AA65:$AG65,"FE")+COUNTIF($AA65:$AG65,"LM")))</f>
        <v/>
      </c>
      <c r="BB65" s="117">
        <f>SUMPRODUCT(($AH65:$AM65="M")*6+($AH65:$AM65="T")*6+($AH65:$AM65="D")*12+($AH65:$AM65="N")*12+($AH65:$AM65="NT")*6+($AH65:$AM65="C")*10+($AH65:$AM65="A")*8+($AH65:$AM65="J")*5+($AH65:$AM65="CEP")*4+($AH65:$AM65="CP")*6+($AH65:$AM65="CRO")*6+($AH65:$AM65="M+")*6+($AH65:$AM65="T+")*6+($AH65:$AM65="D+")*12+($AH65:$AM65="N+")*12+($AH65:$AM65="Dm+")*12+($AH65:$AM65="Dt+")*12+($AH65:$AM65="Tm-")*6+($AH65:$AM65="Mt-")*6)+SUMPRODUCT(($AN65:$AN65="M")*6+($AN65:$AN65="T")*6+($AN65:$AN65="D")*12+($AN65:$AN65="N")*12+($AN65:$AN65="NT")*6+($AN65:$AN65="C")*10+($AN65:$AN65="A")*8+($AN65:$AN65="J")*5+($AN65:$AN65="CEP")*4+($AN65:$AN65="CP")*6+($AN65:$AN65="CRO")*6+($AN65:$AN65="M+")*6+($AN65:$AN65="T+")*6+($AN65:$AN65="D+")*12+($AN65:$AN65="N+")*12+($AN65:$AN65="Dm+")*12+($AN65:$AN65="Dt+")*12+($AN65:$AN65="Tm-")*6+($AN65:$AN65="Mt-")*6)</f>
        <v/>
      </c>
      <c r="BC65" s="118">
        <f>BB65-MAX(0,IFERROR(INDEX(CADASTRO!$I$4:$I$80,MATCH($A65,CADASTRO!$A$4:$A$80,0)),$B65)-CONFIG!$B$50*(COUNTIF($AH65:$AM65,"AB")+COUNTIF($AH65:$AM65,"FE")+COUNTIF($AH65:$AM65,"LM")+COUNTIF($AN65:$AN65,"AB")+COUNTIF($AN65:$AN65,"FE")+COUNTIF($AN65:$AN65,"LM")))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00" t="n"/>
      <c r="H66" s="100" t="n"/>
      <c r="I66" s="114" t="n"/>
      <c r="J66" s="127" t="inlineStr">
        <is>
          <t>T-</t>
        </is>
      </c>
      <c r="K66" s="114" t="n"/>
      <c r="L66" s="126" t="inlineStr">
        <is>
          <t>T</t>
        </is>
      </c>
      <c r="M66" s="114" t="n"/>
      <c r="N66" s="124" t="inlineStr">
        <is>
          <t>D</t>
        </is>
      </c>
      <c r="O66" s="114" t="n"/>
      <c r="P66" s="124" t="inlineStr">
        <is>
          <t>D</t>
        </is>
      </c>
      <c r="Q66" s="125" t="inlineStr">
        <is>
          <t>N</t>
        </is>
      </c>
      <c r="R66" s="114" t="n"/>
      <c r="S66" s="114" t="n"/>
      <c r="T66" s="125" t="inlineStr">
        <is>
          <t>N</t>
        </is>
      </c>
      <c r="U66" s="126" t="inlineStr">
        <is>
          <t>T</t>
        </is>
      </c>
      <c r="V66" s="125" t="inlineStr">
        <is>
          <t>N</t>
        </is>
      </c>
      <c r="W66" s="126" t="inlineStr">
        <is>
          <t>T</t>
        </is>
      </c>
      <c r="X66" s="114" t="n"/>
      <c r="Y66" s="114" t="n"/>
      <c r="Z66" s="114" t="n"/>
      <c r="AA66" s="114" t="n"/>
      <c r="AB66" s="126" t="inlineStr">
        <is>
          <t>T</t>
        </is>
      </c>
      <c r="AC66" s="114" t="n"/>
      <c r="AD66" s="124" t="inlineStr">
        <is>
          <t>D</t>
        </is>
      </c>
      <c r="AE66" s="114" t="n"/>
      <c r="AF66" s="125" t="inlineStr">
        <is>
          <t>N</t>
        </is>
      </c>
      <c r="AG66" s="115" t="inlineStr">
        <is>
          <t>M</t>
        </is>
      </c>
      <c r="AH66" s="114" t="n"/>
      <c r="AI66" s="126" t="inlineStr">
        <is>
          <t>T</t>
        </is>
      </c>
      <c r="AJ66" s="126" t="inlineStr">
        <is>
          <t>T</t>
        </is>
      </c>
      <c r="AK66" s="124" t="inlineStr">
        <is>
          <t>D</t>
        </is>
      </c>
      <c r="AL66" s="125" t="inlineStr">
        <is>
          <t>N</t>
        </is>
      </c>
      <c r="AM66" s="114" t="n"/>
      <c r="AN66" s="116">
        <f>IFERROR(INDEX(FEV!I$8:I$73,MATCH($A66,FEV!$A$8:$A$73,0))&amp;"","")</f>
        <v/>
      </c>
      <c r="AO66" s="100" t="n"/>
      <c r="AP66" s="100" t="n"/>
      <c r="AQ66" s="100" t="n"/>
      <c r="AR66" s="100" t="n"/>
      <c r="AS66" s="100" t="n"/>
      <c r="AT66" s="117">
        <f>SUMPRODUCT(($F66:$L66="M")*6+($F66:$L66="T")*6+($F66:$L66="D")*12+($F66:$L66="N")*12+($F66:$L66="NT")*6+($F66:$L66="C")*10+($F66:$L66="A")*8+($F66:$L66="J")*5+($F66:$L66="CEP")*4+($F66:$L66="CP")*6+($F66:$L66="CRO")*6+($F66:$L66="M+")*6+($F66:$L66="T+")*6+($F66:$L66="D+")*12+($F66:$L66="N+")*12+($F66:$L66="Dm+")*12+($F66:$L66="Dt+")*12+($F66:$L66="Tm-")*6+($F66:$L66="Mt-")*6)</f>
        <v/>
      </c>
      <c r="AU66" s="118">
        <f>AT66-MAX(0,IFERROR(INDEX(CADASTRO!$I$4:$I$80,MATCH($A66,CADASTRO!$A$4:$A$80,0)),$B66)-CONFIG!$B$50*(COUNTIF($F66:$L66,"AB")+COUNTIF($F66:$L66,"FE")+COUNTIF($F66:$L66,"LM")))</f>
        <v/>
      </c>
      <c r="AV66" s="117">
        <f>SUMPRODUCT(($M66:$S66="M")*6+($M66:$S66="T")*6+($M66:$S66="D")*12+($M66:$S66="N")*12+($M66:$S66="NT")*6+($M66:$S66="C")*10+($M66:$S66="A")*8+($M66:$S66="J")*5+($M66:$S66="CEP")*4+($M66:$S66="CP")*6+($M66:$S66="CRO")*6+($M66:$S66="M+")*6+($M66:$S66="T+")*6+($M66:$S66="D+")*12+($M66:$S66="N+")*12+($M66:$S66="Dm+")*12+($M66:$S66="Dt+")*12+($M66:$S66="Tm-")*6+($M66:$S66="Mt-")*6)</f>
        <v/>
      </c>
      <c r="AW66" s="118">
        <f>AV66-MAX(0,IFERROR(INDEX(CADASTRO!$I$4:$I$80,MATCH($A66,CADASTRO!$A$4:$A$80,0)),$B66)-CONFIG!$B$50*(COUNTIF($M66:$S66,"AB")+COUNTIF($M66:$S66,"FE")+COUNTIF($M66:$S66,"LM")))</f>
        <v/>
      </c>
      <c r="AX66" s="117">
        <f>SUMPRODUCT(($T66:$Z66="M")*6+($T66:$Z66="T")*6+($T66:$Z66="D")*12+($T66:$Z66="N")*12+($T66:$Z66="NT")*6+($T66:$Z66="C")*10+($T66:$Z66="A")*8+($T66:$Z66="J")*5+($T66:$Z66="CEP")*4+($T66:$Z66="CP")*6+($T66:$Z66="CRO")*6+($T66:$Z66="M+")*6+($T66:$Z66="T+")*6+($T66:$Z66="D+")*12+($T66:$Z66="N+")*12+($T66:$Z66="Dm+")*12+($T66:$Z66="Dt+")*12+($T66:$Z66="Tm-")*6+($T66:$Z66="Mt-")*6)</f>
        <v/>
      </c>
      <c r="AY66" s="118">
        <f>AX66-MAX(0,IFERROR(INDEX(CADASTRO!$I$4:$I$80,MATCH($A66,CADASTRO!$A$4:$A$80,0)),$B66)-CONFIG!$B$50*(COUNTIF($T66:$Z66,"AB")+COUNTIF($T66:$Z66,"FE")+COUNTIF($T66:$Z66,"LM")))</f>
        <v/>
      </c>
      <c r="AZ66" s="117">
        <f>SUMPRODUCT(($AA66:$AG66="M")*6+($AA66:$AG66="T")*6+($AA66:$AG66="D")*12+($AA66:$AG66="N")*12+($AA66:$AG66="NT")*6+($AA66:$AG66="C")*10+($AA66:$AG66="A")*8+($AA66:$AG66="J")*5+($AA66:$AG66="CEP")*4+($AA66:$AG66="CP")*6+($AA66:$AG66="CRO")*6+($AA66:$AG66="M+")*6+($AA66:$AG66="T+")*6+($AA66:$AG66="D+")*12+($AA66:$AG66="N+")*12+($AA66:$AG66="Dm+")*12+($AA66:$AG66="Dt+")*12+($AA66:$AG66="Tm-")*6+($AA66:$AG66="Mt-")*6)</f>
        <v/>
      </c>
      <c r="BA66" s="118">
        <f>AZ66-MAX(0,IFERROR(INDEX(CADASTRO!$I$4:$I$80,MATCH($A66,CADASTRO!$A$4:$A$80,0)),$B66)-CONFIG!$B$50*(COUNTIF($AA66:$AG66,"AB")+COUNTIF($AA66:$AG66,"FE")+COUNTIF($AA66:$AG66,"LM")))</f>
        <v/>
      </c>
      <c r="BB66" s="117">
        <f>SUMPRODUCT(($AH66:$AM66="M")*6+($AH66:$AM66="T")*6+($AH66:$AM66="D")*12+($AH66:$AM66="N")*12+($AH66:$AM66="NT")*6+($AH66:$AM66="C")*10+($AH66:$AM66="A")*8+($AH66:$AM66="J")*5+($AH66:$AM66="CEP")*4+($AH66:$AM66="CP")*6+($AH66:$AM66="CRO")*6+($AH66:$AM66="M+")*6+($AH66:$AM66="T+")*6+($AH66:$AM66="D+")*12+($AH66:$AM66="N+")*12+($AH66:$AM66="Dm+")*12+($AH66:$AM66="Dt+")*12+($AH66:$AM66="Tm-")*6+($AH66:$AM66="Mt-")*6)+SUMPRODUCT(($AN66:$AN66="M")*6+($AN66:$AN66="T")*6+($AN66:$AN66="D")*12+($AN66:$AN66="N")*12+($AN66:$AN66="NT")*6+($AN66:$AN66="C")*10+($AN66:$AN66="A")*8+($AN66:$AN66="J")*5+($AN66:$AN66="CEP")*4+($AN66:$AN66="CP")*6+($AN66:$AN66="CRO")*6+($AN66:$AN66="M+")*6+($AN66:$AN66="T+")*6+($AN66:$AN66="D+")*12+($AN66:$AN66="N+")*12+($AN66:$AN66="Dm+")*12+($AN66:$AN66="Dt+")*12+($AN66:$AN66="Tm-")*6+($AN66:$AN66="Mt-")*6)</f>
        <v/>
      </c>
      <c r="BC66" s="118">
        <f>BB66-MAX(0,IFERROR(INDEX(CADASTRO!$I$4:$I$80,MATCH($A66,CADASTRO!$A$4:$A$80,0)),$B66)-CONFIG!$B$50*(COUNTIF($AH66:$AM66,"AB")+COUNTIF($AH66:$AM66,"FE")+COUNTIF($AH66:$AM66,"LM")+COUNTIF($AN66:$AN66,"AB")+COUNTIF($AN66:$AN66,"FE")+COUNTIF($AN66:$AN66,"LM")))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00" t="n"/>
      <c r="H67" s="100" t="n"/>
      <c r="I67" s="114" t="n"/>
      <c r="J67" s="114" t="n"/>
      <c r="K67" s="115" t="inlineStr">
        <is>
          <t>M</t>
        </is>
      </c>
      <c r="L67" s="125" t="inlineStr">
        <is>
          <t>N</t>
        </is>
      </c>
      <c r="M67" s="131" t="inlineStr">
        <is>
          <t>CP</t>
        </is>
      </c>
      <c r="N67" s="125" t="inlineStr">
        <is>
          <t>N</t>
        </is>
      </c>
      <c r="O67" s="114" t="n"/>
      <c r="P67" s="126" t="inlineStr">
        <is>
          <t>T</t>
        </is>
      </c>
      <c r="Q67" s="114" t="n"/>
      <c r="R67" s="115" t="inlineStr">
        <is>
          <t>M</t>
        </is>
      </c>
      <c r="S67" s="114" t="n"/>
      <c r="T67" s="131" t="inlineStr">
        <is>
          <t>CP</t>
        </is>
      </c>
      <c r="U67" s="114" t="n"/>
      <c r="V67" s="131" t="inlineStr">
        <is>
          <t>CP</t>
        </is>
      </c>
      <c r="W67" s="114" t="n"/>
      <c r="X67" s="126" t="inlineStr">
        <is>
          <t>T</t>
        </is>
      </c>
      <c r="Y67" s="114" t="n"/>
      <c r="Z67" s="125" t="inlineStr">
        <is>
          <t>N</t>
        </is>
      </c>
      <c r="AA67" s="131" t="inlineStr">
        <is>
          <t>CP</t>
        </is>
      </c>
      <c r="AB67" s="131" t="inlineStr">
        <is>
          <t>CP</t>
        </is>
      </c>
      <c r="AC67" s="125" t="inlineStr">
        <is>
          <t>N</t>
        </is>
      </c>
      <c r="AD67" s="114" t="n"/>
      <c r="AE67" s="114" t="n"/>
      <c r="AF67" s="114" t="n"/>
      <c r="AG67" s="114" t="n"/>
      <c r="AH67" s="131" t="inlineStr">
        <is>
          <t>CP</t>
        </is>
      </c>
      <c r="AI67" s="114" t="n"/>
      <c r="AJ67" s="131" t="inlineStr">
        <is>
          <t>CP</t>
        </is>
      </c>
      <c r="AK67" s="114" t="n"/>
      <c r="AL67" s="125" t="inlineStr">
        <is>
          <t>N</t>
        </is>
      </c>
      <c r="AM67" s="114" t="n"/>
      <c r="AN67" s="116">
        <f>IFERROR(INDEX(FEV!I$8:I$73,MATCH($A67,FEV!$A$8:$A$73,0))&amp;"","")</f>
        <v/>
      </c>
      <c r="AO67" s="100" t="n"/>
      <c r="AP67" s="100" t="n"/>
      <c r="AQ67" s="100" t="n"/>
      <c r="AR67" s="100" t="n"/>
      <c r="AS67" s="100" t="n"/>
      <c r="AT67" s="117">
        <f>SUMPRODUCT(($F67:$L67="M")*6+($F67:$L67="T")*6+($F67:$L67="D")*12+($F67:$L67="N")*12+($F67:$L67="NT")*6+($F67:$L67="C")*10+($F67:$L67="A")*8+($F67:$L67="J")*5+($F67:$L67="CEP")*4+($F67:$L67="CP")*6+($F67:$L67="CRO")*6+($F67:$L67="M+")*6+($F67:$L67="T+")*6+($F67:$L67="D+")*12+($F67:$L67="N+")*12+($F67:$L67="Dm+")*12+($F67:$L67="Dt+")*12+($F67:$L67="Tm-")*6+($F67:$L67="Mt-")*6)</f>
        <v/>
      </c>
      <c r="AU67" s="118">
        <f>AT67-MAX(0,IFERROR(INDEX(CADASTRO!$I$4:$I$80,MATCH($A67,CADASTRO!$A$4:$A$80,0)),$B67)-CONFIG!$B$50*(COUNTIF($F67:$L67,"AB")+COUNTIF($F67:$L67,"FE")+COUNTIF($F67:$L67,"LM")))</f>
        <v/>
      </c>
      <c r="AV67" s="117">
        <f>SUMPRODUCT(($M67:$S67="M")*6+($M67:$S67="T")*6+($M67:$S67="D")*12+($M67:$S67="N")*12+($M67:$S67="NT")*6+($M67:$S67="C")*10+($M67:$S67="A")*8+($M67:$S67="J")*5+($M67:$S67="CEP")*4+($M67:$S67="CP")*6+($M67:$S67="CRO")*6+($M67:$S67="M+")*6+($M67:$S67="T+")*6+($M67:$S67="D+")*12+($M67:$S67="N+")*12+($M67:$S67="Dm+")*12+($M67:$S67="Dt+")*12+($M67:$S67="Tm-")*6+($M67:$S67="Mt-")*6)</f>
        <v/>
      </c>
      <c r="AW67" s="118">
        <f>AV67-MAX(0,IFERROR(INDEX(CADASTRO!$I$4:$I$80,MATCH($A67,CADASTRO!$A$4:$A$80,0)),$B67)-CONFIG!$B$50*(COUNTIF($M67:$S67,"AB")+COUNTIF($M67:$S67,"FE")+COUNTIF($M67:$S67,"LM")))</f>
        <v/>
      </c>
      <c r="AX67" s="117">
        <f>SUMPRODUCT(($T67:$Z67="M")*6+($T67:$Z67="T")*6+($T67:$Z67="D")*12+($T67:$Z67="N")*12+($T67:$Z67="NT")*6+($T67:$Z67="C")*10+($T67:$Z67="A")*8+($T67:$Z67="J")*5+($T67:$Z67="CEP")*4+($T67:$Z67="CP")*6+($T67:$Z67="CRO")*6+($T67:$Z67="M+")*6+($T67:$Z67="T+")*6+($T67:$Z67="D+")*12+($T67:$Z67="N+")*12+($T67:$Z67="Dm+")*12+($T67:$Z67="Dt+")*12+($T67:$Z67="Tm-")*6+($T67:$Z67="Mt-")*6)</f>
        <v/>
      </c>
      <c r="AY67" s="118">
        <f>AX67-MAX(0,IFERROR(INDEX(CADASTRO!$I$4:$I$80,MATCH($A67,CADASTRO!$A$4:$A$80,0)),$B67)-CONFIG!$B$50*(COUNTIF($T67:$Z67,"AB")+COUNTIF($T67:$Z67,"FE")+COUNTIF($T67:$Z67,"LM")))</f>
        <v/>
      </c>
      <c r="AZ67" s="117">
        <f>SUMPRODUCT(($AA67:$AG67="M")*6+($AA67:$AG67="T")*6+($AA67:$AG67="D")*12+($AA67:$AG67="N")*12+($AA67:$AG67="NT")*6+($AA67:$AG67="C")*10+($AA67:$AG67="A")*8+($AA67:$AG67="J")*5+($AA67:$AG67="CEP")*4+($AA67:$AG67="CP")*6+($AA67:$AG67="CRO")*6+($AA67:$AG67="M+")*6+($AA67:$AG67="T+")*6+($AA67:$AG67="D+")*12+($AA67:$AG67="N+")*12+($AA67:$AG67="Dm+")*12+($AA67:$AG67="Dt+")*12+($AA67:$AG67="Tm-")*6+($AA67:$AG67="Mt-")*6)</f>
        <v/>
      </c>
      <c r="BA67" s="118">
        <f>AZ67-MAX(0,IFERROR(INDEX(CADASTRO!$I$4:$I$80,MATCH($A67,CADASTRO!$A$4:$A$80,0)),$B67)-CONFIG!$B$50*(COUNTIF($AA67:$AG67,"AB")+COUNTIF($AA67:$AG67,"FE")+COUNTIF($AA67:$AG67,"LM")))</f>
        <v/>
      </c>
      <c r="BB67" s="117">
        <f>SUMPRODUCT(($AH67:$AM67="M")*6+($AH67:$AM67="T")*6+($AH67:$AM67="D")*12+($AH67:$AM67="N")*12+($AH67:$AM67="NT")*6+($AH67:$AM67="C")*10+($AH67:$AM67="A")*8+($AH67:$AM67="J")*5+($AH67:$AM67="CEP")*4+($AH67:$AM67="CP")*6+($AH67:$AM67="CRO")*6+($AH67:$AM67="M+")*6+($AH67:$AM67="T+")*6+($AH67:$AM67="D+")*12+($AH67:$AM67="N+")*12+($AH67:$AM67="Dm+")*12+($AH67:$AM67="Dt+")*12+($AH67:$AM67="Tm-")*6+($AH67:$AM67="Mt-")*6)+SUMPRODUCT(($AN67:$AN67="M")*6+($AN67:$AN67="T")*6+($AN67:$AN67="D")*12+($AN67:$AN67="N")*12+($AN67:$AN67="NT")*6+($AN67:$AN67="C")*10+($AN67:$AN67="A")*8+($AN67:$AN67="J")*5+($AN67:$AN67="CEP")*4+($AN67:$AN67="CP")*6+($AN67:$AN67="CRO")*6+($AN67:$AN67="M+")*6+($AN67:$AN67="T+")*6+($AN67:$AN67="D+")*12+($AN67:$AN67="N+")*12+($AN67:$AN67="Dm+")*12+($AN67:$AN67="Dt+")*12+($AN67:$AN67="Tm-")*6+($AN67:$AN67="Mt-")*6)</f>
        <v/>
      </c>
      <c r="BC67" s="118">
        <f>BB67-MAX(0,IFERROR(INDEX(CADASTRO!$I$4:$I$80,MATCH($A67,CADASTRO!$A$4:$A$80,0)),$B67)-CONFIG!$B$50*(COUNTIF($AH67:$AM67,"AB")+COUNTIF($AH67:$AM67,"FE")+COUNTIF($AH67:$AM67,"LM")+COUNTIF($AN67:$AN67,"AB")+COUNTIF($AN67:$AN67,"FE")+COUNTIF($AN67:$AN67,"LM")))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00" t="n"/>
      <c r="H68" s="100" t="n"/>
      <c r="I68" s="114" t="n"/>
      <c r="J68" s="127" t="inlineStr">
        <is>
          <t>T-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  <c r="AB68" s="114" t="n"/>
      <c r="AC68" s="125" t="inlineStr">
        <is>
          <t>N</t>
        </is>
      </c>
      <c r="AD68" s="114" t="n"/>
      <c r="AE68" s="126" t="inlineStr">
        <is>
          <t>T</t>
        </is>
      </c>
      <c r="AF68" s="114" t="n"/>
      <c r="AG68" s="114" t="n"/>
      <c r="AH68" s="126" t="inlineStr">
        <is>
          <t>T</t>
        </is>
      </c>
      <c r="AI68" s="114" t="n"/>
      <c r="AJ68" s="123" t="inlineStr">
        <is>
          <t>N+</t>
        </is>
      </c>
      <c r="AK68" s="114" t="n"/>
      <c r="AL68" s="114" t="n"/>
      <c r="AM68" s="124" t="inlineStr">
        <is>
          <t>D</t>
        </is>
      </c>
      <c r="AN68" s="116">
        <f>IFERROR(INDEX(FEV!I$8:I$73,MATCH($A68,FEV!$A$8:$A$73,0))&amp;"","")</f>
        <v/>
      </c>
      <c r="AO68" s="100" t="n"/>
      <c r="AP68" s="100" t="n"/>
      <c r="AQ68" s="100" t="n"/>
      <c r="AR68" s="100" t="n"/>
      <c r="AS68" s="100" t="n"/>
      <c r="AT68" s="117">
        <f>SUMPRODUCT(($F68:$L68="M")*6+($F68:$L68="T")*6+($F68:$L68="D")*12+($F68:$L68="N")*12+($F68:$L68="NT")*6+($F68:$L68="C")*10+($F68:$L68="A")*8+($F68:$L68="J")*5+($F68:$L68="CEP")*4+($F68:$L68="CP")*6+($F68:$L68="CRO")*6+($F68:$L68="M+")*6+($F68:$L68="T+")*6+($F68:$L68="D+")*12+($F68:$L68="N+")*12+($F68:$L68="Dm+")*12+($F68:$L68="Dt+")*12+($F68:$L68="Tm-")*6+($F68:$L68="Mt-")*6)</f>
        <v/>
      </c>
      <c r="AU68" s="118">
        <f>AT68-MAX(0,IFERROR(INDEX(CADASTRO!$I$4:$I$80,MATCH($A68,CADASTRO!$A$4:$A$80,0)),$B68)-CONFIG!$B$50*(COUNTIF($F68:$L68,"AB")+COUNTIF($F68:$L68,"FE")+COUNTIF($F68:$L68,"LM")))</f>
        <v/>
      </c>
      <c r="AV68" s="117">
        <f>SUMPRODUCT(($M68:$S68="M")*6+($M68:$S68="T")*6+($M68:$S68="D")*12+($M68:$S68="N")*12+($M68:$S68="NT")*6+($M68:$S68="C")*10+($M68:$S68="A")*8+($M68:$S68="J")*5+($M68:$S68="CEP")*4+($M68:$S68="CP")*6+($M68:$S68="CRO")*6+($M68:$S68="M+")*6+($M68:$S68="T+")*6+($M68:$S68="D+")*12+($M68:$S68="N+")*12+($M68:$S68="Dm+")*12+($M68:$S68="Dt+")*12+($M68:$S68="Tm-")*6+($M68:$S68="Mt-")*6)</f>
        <v/>
      </c>
      <c r="AW68" s="118">
        <f>AV68-MAX(0,IFERROR(INDEX(CADASTRO!$I$4:$I$80,MATCH($A68,CADASTRO!$A$4:$A$80,0)),$B68)-CONFIG!$B$50*(COUNTIF($M68:$S68,"AB")+COUNTIF($M68:$S68,"FE")+COUNTIF($M68:$S68,"LM")))</f>
        <v/>
      </c>
      <c r="AX68" s="117">
        <f>SUMPRODUCT(($T68:$Z68="M")*6+($T68:$Z68="T")*6+($T68:$Z68="D")*12+($T68:$Z68="N")*12+($T68:$Z68="NT")*6+($T68:$Z68="C")*10+($T68:$Z68="A")*8+($T68:$Z68="J")*5+($T68:$Z68="CEP")*4+($T68:$Z68="CP")*6+($T68:$Z68="CRO")*6+($T68:$Z68="M+")*6+($T68:$Z68="T+")*6+($T68:$Z68="D+")*12+($T68:$Z68="N+")*12+($T68:$Z68="Dm+")*12+($T68:$Z68="Dt+")*12+($T68:$Z68="Tm-")*6+($T68:$Z68="Mt-")*6)</f>
        <v/>
      </c>
      <c r="AY68" s="118">
        <f>AX68-MAX(0,IFERROR(INDEX(CADASTRO!$I$4:$I$80,MATCH($A68,CADASTRO!$A$4:$A$80,0)),$B68)-CONFIG!$B$50*(COUNTIF($T68:$Z68,"AB")+COUNTIF($T68:$Z68,"FE")+COUNTIF($T68:$Z68,"LM")))</f>
        <v/>
      </c>
      <c r="AZ68" s="117">
        <f>SUMPRODUCT(($AA68:$AG68="M")*6+($AA68:$AG68="T")*6+($AA68:$AG68="D")*12+($AA68:$AG68="N")*12+($AA68:$AG68="NT")*6+($AA68:$AG68="C")*10+($AA68:$AG68="A")*8+($AA68:$AG68="J")*5+($AA68:$AG68="CEP")*4+($AA68:$AG68="CP")*6+($AA68:$AG68="CRO")*6+($AA68:$AG68="M+")*6+($AA68:$AG68="T+")*6+($AA68:$AG68="D+")*12+($AA68:$AG68="N+")*12+($AA68:$AG68="Dm+")*12+($AA68:$AG68="Dt+")*12+($AA68:$AG68="Tm-")*6+($AA68:$AG68="Mt-")*6)</f>
        <v/>
      </c>
      <c r="BA68" s="118">
        <f>AZ68-MAX(0,IFERROR(INDEX(CADASTRO!$I$4:$I$80,MATCH($A68,CADASTRO!$A$4:$A$80,0)),$B68)-CONFIG!$B$50*(COUNTIF($AA68:$AG68,"AB")+COUNTIF($AA68:$AG68,"FE")+COUNTIF($AA68:$AG68,"LM")))</f>
        <v/>
      </c>
      <c r="BB68" s="117">
        <f>SUMPRODUCT(($AH68:$AM68="M")*6+($AH68:$AM68="T")*6+($AH68:$AM68="D")*12+($AH68:$AM68="N")*12+($AH68:$AM68="NT")*6+($AH68:$AM68="C")*10+($AH68:$AM68="A")*8+($AH68:$AM68="J")*5+($AH68:$AM68="CEP")*4+($AH68:$AM68="CP")*6+($AH68:$AM68="CRO")*6+($AH68:$AM68="M+")*6+($AH68:$AM68="T+")*6+($AH68:$AM68="D+")*12+($AH68:$AM68="N+")*12+($AH68:$AM68="Dm+")*12+($AH68:$AM68="Dt+")*12+($AH68:$AM68="Tm-")*6+($AH68:$AM68="Mt-")*6)+SUMPRODUCT(($AN68:$AN68="M")*6+($AN68:$AN68="T")*6+($AN68:$AN68="D")*12+($AN68:$AN68="N")*12+($AN68:$AN68="NT")*6+($AN68:$AN68="C")*10+($AN68:$AN68="A")*8+($AN68:$AN68="J")*5+($AN68:$AN68="CEP")*4+($AN68:$AN68="CP")*6+($AN68:$AN68="CRO")*6+($AN68:$AN68="M+")*6+($AN68:$AN68="T+")*6+($AN68:$AN68="D+")*12+($AN68:$AN68="N+")*12+($AN68:$AN68="Dm+")*12+($AN68:$AN68="Dt+")*12+($AN68:$AN68="Tm-")*6+($AN68:$AN68="Mt-")*6)</f>
        <v/>
      </c>
      <c r="BC68" s="118">
        <f>BB68-MAX(0,IFERROR(INDEX(CADASTRO!$I$4:$I$80,MATCH($A68,CADASTRO!$A$4:$A$80,0)),$B68)-CONFIG!$B$50*(COUNTIF($AH68:$AM68,"AB")+COUNTIF($AH68:$AM68,"FE")+COUNTIF($AH68:$AM68,"LM")+COUNTIF($AN68:$AN68,"AB")+COUNTIF($AN68:$AN68,"FE")+COUNTIF($AN68:$AN68,"LM")))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00" t="n"/>
      <c r="H69" s="100" t="n"/>
      <c r="I69" s="114" t="n"/>
      <c r="J69" s="114" t="n"/>
      <c r="K69" s="124" t="inlineStr">
        <is>
          <t>D</t>
        </is>
      </c>
      <c r="L69" s="114" t="n"/>
      <c r="M69" s="115" t="inlineStr">
        <is>
          <t>M</t>
        </is>
      </c>
      <c r="N69" s="115" t="inlineStr">
        <is>
          <t>M</t>
        </is>
      </c>
      <c r="O69" s="115" t="inlineStr">
        <is>
          <t>M</t>
        </is>
      </c>
      <c r="P69" s="114" t="n"/>
      <c r="Q69" s="114" t="n"/>
      <c r="R69" s="114" t="n"/>
      <c r="S69" s="114" t="n"/>
      <c r="T69" s="114" t="n"/>
      <c r="U69" s="114" t="n"/>
      <c r="V69" s="124" t="inlineStr">
        <is>
          <t>D</t>
        </is>
      </c>
      <c r="W69" s="114" t="n"/>
      <c r="X69" s="114" t="n"/>
      <c r="Y69" s="115" t="inlineStr">
        <is>
          <t>M</t>
        </is>
      </c>
      <c r="Z69" s="115" t="inlineStr">
        <is>
          <t>M</t>
        </is>
      </c>
      <c r="AA69" s="114" t="n"/>
      <c r="AB69" s="114" t="n"/>
      <c r="AC69" s="126" t="inlineStr">
        <is>
          <t>T</t>
        </is>
      </c>
      <c r="AD69" s="114" t="n"/>
      <c r="AE69" s="124" t="inlineStr">
        <is>
          <t>D</t>
        </is>
      </c>
      <c r="AF69" s="114" t="n"/>
      <c r="AG69" s="115" t="inlineStr">
        <is>
          <t>M</t>
        </is>
      </c>
      <c r="AH69" s="114" t="n"/>
      <c r="AI69" s="114" t="n"/>
      <c r="AJ69" s="115" t="inlineStr">
        <is>
          <t>M</t>
        </is>
      </c>
      <c r="AK69" s="114" t="n"/>
      <c r="AL69" s="125" t="inlineStr">
        <is>
          <t>N</t>
        </is>
      </c>
      <c r="AM69" s="114" t="n"/>
      <c r="AN69" s="116">
        <f>IFERROR(INDEX(FEV!I$8:I$73,MATCH($A69,FEV!$A$8:$A$73,0))&amp;"","")</f>
        <v/>
      </c>
      <c r="AO69" s="100" t="n"/>
      <c r="AP69" s="100" t="n"/>
      <c r="AQ69" s="100" t="n"/>
      <c r="AR69" s="100" t="n"/>
      <c r="AS69" s="100" t="n"/>
      <c r="AT69" s="117">
        <f>SUMPRODUCT(($F69:$L69="M")*6+($F69:$L69="T")*6+($F69:$L69="D")*12+($F69:$L69="N")*12+($F69:$L69="NT")*6+($F69:$L69="C")*10+($F69:$L69="A")*8+($F69:$L69="J")*5+($F69:$L69="CEP")*4+($F69:$L69="CP")*6+($F69:$L69="CRO")*6+($F69:$L69="M+")*6+($F69:$L69="T+")*6+($F69:$L69="D+")*12+($F69:$L69="N+")*12+($F69:$L69="Dm+")*12+($F69:$L69="Dt+")*12+($F69:$L69="Tm-")*6+($F69:$L69="Mt-")*6)</f>
        <v/>
      </c>
      <c r="AU69" s="118">
        <f>AT69-MAX(0,IFERROR(INDEX(CADASTRO!$I$4:$I$80,MATCH($A69,CADASTRO!$A$4:$A$80,0)),$B69)-CONFIG!$B$50*(COUNTIF($F69:$L69,"AB")+COUNTIF($F69:$L69,"FE")+COUNTIF($F69:$L69,"LM")))</f>
        <v/>
      </c>
      <c r="AV69" s="117">
        <f>SUMPRODUCT(($M69:$S69="M")*6+($M69:$S69="T")*6+($M69:$S69="D")*12+($M69:$S69="N")*12+($M69:$S69="NT")*6+($M69:$S69="C")*10+($M69:$S69="A")*8+($M69:$S69="J")*5+($M69:$S69="CEP")*4+($M69:$S69="CP")*6+($M69:$S69="CRO")*6+($M69:$S69="M+")*6+($M69:$S69="T+")*6+($M69:$S69="D+")*12+($M69:$S69="N+")*12+($M69:$S69="Dm+")*12+($M69:$S69="Dt+")*12+($M69:$S69="Tm-")*6+($M69:$S69="Mt-")*6)</f>
        <v/>
      </c>
      <c r="AW69" s="118">
        <f>AV69-MAX(0,IFERROR(INDEX(CADASTRO!$I$4:$I$80,MATCH($A69,CADASTRO!$A$4:$A$80,0)),$B69)-CONFIG!$B$50*(COUNTIF($M69:$S69,"AB")+COUNTIF($M69:$S69,"FE")+COUNTIF($M69:$S69,"LM")))</f>
        <v/>
      </c>
      <c r="AX69" s="117">
        <f>SUMPRODUCT(($T69:$Z69="M")*6+($T69:$Z69="T")*6+($T69:$Z69="D")*12+($T69:$Z69="N")*12+($T69:$Z69="NT")*6+($T69:$Z69="C")*10+($T69:$Z69="A")*8+($T69:$Z69="J")*5+($T69:$Z69="CEP")*4+($T69:$Z69="CP")*6+($T69:$Z69="CRO")*6+($T69:$Z69="M+")*6+($T69:$Z69="T+")*6+($T69:$Z69="D+")*12+($T69:$Z69="N+")*12+($T69:$Z69="Dm+")*12+($T69:$Z69="Dt+")*12+($T69:$Z69="Tm-")*6+($T69:$Z69="Mt-")*6)</f>
        <v/>
      </c>
      <c r="AY69" s="118">
        <f>AX69-MAX(0,IFERROR(INDEX(CADASTRO!$I$4:$I$80,MATCH($A69,CADASTRO!$A$4:$A$80,0)),$B69)-CONFIG!$B$50*(COUNTIF($T69:$Z69,"AB")+COUNTIF($T69:$Z69,"FE")+COUNTIF($T69:$Z69,"LM")))</f>
        <v/>
      </c>
      <c r="AZ69" s="117">
        <f>SUMPRODUCT(($AA69:$AG69="M")*6+($AA69:$AG69="T")*6+($AA69:$AG69="D")*12+($AA69:$AG69="N")*12+($AA69:$AG69="NT")*6+($AA69:$AG69="C")*10+($AA69:$AG69="A")*8+($AA69:$AG69="J")*5+($AA69:$AG69="CEP")*4+($AA69:$AG69="CP")*6+($AA69:$AG69="CRO")*6+($AA69:$AG69="M+")*6+($AA69:$AG69="T+")*6+($AA69:$AG69="D+")*12+($AA69:$AG69="N+")*12+($AA69:$AG69="Dm+")*12+($AA69:$AG69="Dt+")*12+($AA69:$AG69="Tm-")*6+($AA69:$AG69="Mt-")*6)</f>
        <v/>
      </c>
      <c r="BA69" s="118">
        <f>AZ69-MAX(0,IFERROR(INDEX(CADASTRO!$I$4:$I$80,MATCH($A69,CADASTRO!$A$4:$A$80,0)),$B69)-CONFIG!$B$50*(COUNTIF($AA69:$AG69,"AB")+COUNTIF($AA69:$AG69,"FE")+COUNTIF($AA69:$AG69,"LM")))</f>
        <v/>
      </c>
      <c r="BB69" s="117">
        <f>SUMPRODUCT(($AH69:$AM69="M")*6+($AH69:$AM69="T")*6+($AH69:$AM69="D")*12+($AH69:$AM69="N")*12+($AH69:$AM69="NT")*6+($AH69:$AM69="C")*10+($AH69:$AM69="A")*8+($AH69:$AM69="J")*5+($AH69:$AM69="CEP")*4+($AH69:$AM69="CP")*6+($AH69:$AM69="CRO")*6+($AH69:$AM69="M+")*6+($AH69:$AM69="T+")*6+($AH69:$AM69="D+")*12+($AH69:$AM69="N+")*12+($AH69:$AM69="Dm+")*12+($AH69:$AM69="Dt+")*12+($AH69:$AM69="Tm-")*6+($AH69:$AM69="Mt-")*6)+SUMPRODUCT(($AN69:$AN69="M")*6+($AN69:$AN69="T")*6+($AN69:$AN69="D")*12+($AN69:$AN69="N")*12+($AN69:$AN69="NT")*6+($AN69:$AN69="C")*10+($AN69:$AN69="A")*8+($AN69:$AN69="J")*5+($AN69:$AN69="CEP")*4+($AN69:$AN69="CP")*6+($AN69:$AN69="CRO")*6+($AN69:$AN69="M+")*6+($AN69:$AN69="T+")*6+($AN69:$AN69="D+")*12+($AN69:$AN69="N+")*12+($AN69:$AN69="Dm+")*12+($AN69:$AN69="Dt+")*12+($AN69:$AN69="Tm-")*6+($AN69:$AN69="Mt-")*6)</f>
        <v/>
      </c>
      <c r="BC69" s="118">
        <f>BB69-MAX(0,IFERROR(INDEX(CADASTRO!$I$4:$I$80,MATCH($A69,CADASTRO!$A$4:$A$80,0)),$B69)-CONFIG!$B$50*(COUNTIF($AH69:$AM69,"AB")+COUNTIF($AH69:$AM69,"FE")+COUNTIF($AH69:$AM69,"LM")+COUNTIF($AN69:$AN69,"AB")+COUNTIF($AN69:$AN69,"FE")+COUNTIF($AN69:$AN69,"LM")))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00" t="n"/>
      <c r="H70" s="100" t="n"/>
      <c r="I70" s="114" t="n"/>
      <c r="J70" s="114" t="n"/>
      <c r="K70" s="114" t="n"/>
      <c r="L70" s="114" t="n"/>
      <c r="M70" s="124" t="inlineStr">
        <is>
          <t>D</t>
        </is>
      </c>
      <c r="N70" s="114" t="n"/>
      <c r="O70" s="114" t="n"/>
      <c r="P70" s="114" t="n"/>
      <c r="Q70" s="114" t="n"/>
      <c r="R70" s="114" t="n"/>
      <c r="S70" s="124" t="inlineStr">
        <is>
          <t>D</t>
        </is>
      </c>
      <c r="T70" s="114" t="n"/>
      <c r="U70" s="115" t="inlineStr">
        <is>
          <t>M</t>
        </is>
      </c>
      <c r="V70" s="114" t="n"/>
      <c r="W70" s="114" t="n"/>
      <c r="X70" s="126" t="inlineStr">
        <is>
          <t>T</t>
        </is>
      </c>
      <c r="Y70" s="114" t="n"/>
      <c r="Z70" s="114" t="n"/>
      <c r="AA70" s="115" t="inlineStr">
        <is>
          <t>M</t>
        </is>
      </c>
      <c r="AB70" s="115" t="inlineStr">
        <is>
          <t>M</t>
        </is>
      </c>
      <c r="AC70" s="115" t="inlineStr">
        <is>
          <t>M</t>
        </is>
      </c>
      <c r="AD70" s="114" t="n"/>
      <c r="AE70" s="114" t="n"/>
      <c r="AF70" s="114" t="n"/>
      <c r="AG70" s="126" t="inlineStr">
        <is>
          <t>T</t>
        </is>
      </c>
      <c r="AH70" s="115" t="inlineStr">
        <is>
          <t>M</t>
        </is>
      </c>
      <c r="AI70" s="114" t="n"/>
      <c r="AJ70" s="114" t="n"/>
      <c r="AK70" s="115" t="inlineStr">
        <is>
          <t>M</t>
        </is>
      </c>
      <c r="AL70" s="114" t="n"/>
      <c r="AM70" s="125" t="inlineStr">
        <is>
          <t>N</t>
        </is>
      </c>
      <c r="AN70" s="116">
        <f>IFERROR(INDEX(FEV!I$8:I$73,MATCH($A70,FEV!$A$8:$A$73,0))&amp;"","")</f>
        <v/>
      </c>
      <c r="AO70" s="100" t="n"/>
      <c r="AP70" s="100" t="n"/>
      <c r="AQ70" s="100" t="n"/>
      <c r="AR70" s="100" t="n"/>
      <c r="AS70" s="100" t="n"/>
      <c r="AT70" s="117">
        <f>SUMPRODUCT(($F70:$L70="M")*6+($F70:$L70="T")*6+($F70:$L70="D")*12+($F70:$L70="N")*12+($F70:$L70="NT")*6+($F70:$L70="C")*10+($F70:$L70="A")*8+($F70:$L70="J")*5+($F70:$L70="CEP")*4+($F70:$L70="CP")*6+($F70:$L70="CRO")*6+($F70:$L70="M+")*6+($F70:$L70="T+")*6+($F70:$L70="D+")*12+($F70:$L70="N+")*12+($F70:$L70="Dm+")*12+($F70:$L70="Dt+")*12+($F70:$L70="Tm-")*6+($F70:$L70="Mt-")*6)</f>
        <v/>
      </c>
      <c r="AU70" s="118">
        <f>AT70-MAX(0,IFERROR(INDEX(CADASTRO!$I$4:$I$80,MATCH($A70,CADASTRO!$A$4:$A$80,0)),$B70)-CONFIG!$B$50*(COUNTIF($F70:$L70,"AB")+COUNTIF($F70:$L70,"FE")+COUNTIF($F70:$L70,"LM")))</f>
        <v/>
      </c>
      <c r="AV70" s="117">
        <f>SUMPRODUCT(($M70:$S70="M")*6+($M70:$S70="T")*6+($M70:$S70="D")*12+($M70:$S70="N")*12+($M70:$S70="NT")*6+($M70:$S70="C")*10+($M70:$S70="A")*8+($M70:$S70="J")*5+($M70:$S70="CEP")*4+($M70:$S70="CP")*6+($M70:$S70="CRO")*6+($M70:$S70="M+")*6+($M70:$S70="T+")*6+($M70:$S70="D+")*12+($M70:$S70="N+")*12+($M70:$S70="Dm+")*12+($M70:$S70="Dt+")*12+($M70:$S70="Tm-")*6+($M70:$S70="Mt-")*6)</f>
        <v/>
      </c>
      <c r="AW70" s="118">
        <f>AV70-MAX(0,IFERROR(INDEX(CADASTRO!$I$4:$I$80,MATCH($A70,CADASTRO!$A$4:$A$80,0)),$B70)-CONFIG!$B$50*(COUNTIF($M70:$S70,"AB")+COUNTIF($M70:$S70,"FE")+COUNTIF($M70:$S70,"LM")))</f>
        <v/>
      </c>
      <c r="AX70" s="117">
        <f>SUMPRODUCT(($T70:$Z70="M")*6+($T70:$Z70="T")*6+($T70:$Z70="D")*12+($T70:$Z70="N")*12+($T70:$Z70="NT")*6+($T70:$Z70="C")*10+($T70:$Z70="A")*8+($T70:$Z70="J")*5+($T70:$Z70="CEP")*4+($T70:$Z70="CP")*6+($T70:$Z70="CRO")*6+($T70:$Z70="M+")*6+($T70:$Z70="T+")*6+($T70:$Z70="D+")*12+($T70:$Z70="N+")*12+($T70:$Z70="Dm+")*12+($T70:$Z70="Dt+")*12+($T70:$Z70="Tm-")*6+($T70:$Z70="Mt-")*6)</f>
        <v/>
      </c>
      <c r="AY70" s="118">
        <f>AX70-MAX(0,IFERROR(INDEX(CADASTRO!$I$4:$I$80,MATCH($A70,CADASTRO!$A$4:$A$80,0)),$B70)-CONFIG!$B$50*(COUNTIF($T70:$Z70,"AB")+COUNTIF($T70:$Z70,"FE")+COUNTIF($T70:$Z70,"LM")))</f>
        <v/>
      </c>
      <c r="AZ70" s="117">
        <f>SUMPRODUCT(($AA70:$AG70="M")*6+($AA70:$AG70="T")*6+($AA70:$AG70="D")*12+($AA70:$AG70="N")*12+($AA70:$AG70="NT")*6+($AA70:$AG70="C")*10+($AA70:$AG70="A")*8+($AA70:$AG70="J")*5+($AA70:$AG70="CEP")*4+($AA70:$AG70="CP")*6+($AA70:$AG70="CRO")*6+($AA70:$AG70="M+")*6+($AA70:$AG70="T+")*6+($AA70:$AG70="D+")*12+($AA70:$AG70="N+")*12+($AA70:$AG70="Dm+")*12+($AA70:$AG70="Dt+")*12+($AA70:$AG70="Tm-")*6+($AA70:$AG70="Mt-")*6)</f>
        <v/>
      </c>
      <c r="BA70" s="118">
        <f>AZ70-MAX(0,IFERROR(INDEX(CADASTRO!$I$4:$I$80,MATCH($A70,CADASTRO!$A$4:$A$80,0)),$B70)-CONFIG!$B$50*(COUNTIF($AA70:$AG70,"AB")+COUNTIF($AA70:$AG70,"FE")+COUNTIF($AA70:$AG70,"LM")))</f>
        <v/>
      </c>
      <c r="BB70" s="117">
        <f>SUMPRODUCT(($AH70:$AM70="M")*6+($AH70:$AM70="T")*6+($AH70:$AM70="D")*12+($AH70:$AM70="N")*12+($AH70:$AM70="NT")*6+($AH70:$AM70="C")*10+($AH70:$AM70="A")*8+($AH70:$AM70="J")*5+($AH70:$AM70="CEP")*4+($AH70:$AM70="CP")*6+($AH70:$AM70="CRO")*6+($AH70:$AM70="M+")*6+($AH70:$AM70="T+")*6+($AH70:$AM70="D+")*12+($AH70:$AM70="N+")*12+($AH70:$AM70="Dm+")*12+($AH70:$AM70="Dt+")*12+($AH70:$AM70="Tm-")*6+($AH70:$AM70="Mt-")*6)+SUMPRODUCT(($AN70:$AN70="M")*6+($AN70:$AN70="T")*6+($AN70:$AN70="D")*12+($AN70:$AN70="N")*12+($AN70:$AN70="NT")*6+($AN70:$AN70="C")*10+($AN70:$AN70="A")*8+($AN70:$AN70="J")*5+($AN70:$AN70="CEP")*4+($AN70:$AN70="CP")*6+($AN70:$AN70="CRO")*6+($AN70:$AN70="M+")*6+($AN70:$AN70="T+")*6+($AN70:$AN70="D+")*12+($AN70:$AN70="N+")*12+($AN70:$AN70="Dm+")*12+($AN70:$AN70="Dt+")*12+($AN70:$AN70="Tm-")*6+($AN70:$AN70="Mt-")*6)</f>
        <v/>
      </c>
      <c r="BC70" s="118">
        <f>BB70-MAX(0,IFERROR(INDEX(CADASTRO!$I$4:$I$80,MATCH($A70,CADASTRO!$A$4:$A$80,0)),$B70)-CONFIG!$B$50*(COUNTIF($AH70:$AM70,"AB")+COUNTIF($AH70:$AM70,"FE")+COUNTIF($AH70:$AM70,"LM")+COUNTIF($AN70:$AN70,"AB")+COUNTIF($AN70:$AN70,"FE")+COUNTIF($AN70:$AN70,"LM")))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00" t="n"/>
      <c r="H71" s="100" t="n"/>
      <c r="I71" s="114" t="n"/>
      <c r="J71" s="115" t="inlineStr">
        <is>
          <t>M</t>
        </is>
      </c>
      <c r="K71" s="114" t="n"/>
      <c r="L71" s="114" t="n"/>
      <c r="M71" s="124" t="inlineStr">
        <is>
          <t>D</t>
        </is>
      </c>
      <c r="N71" s="114" t="n"/>
      <c r="O71" s="114" t="n"/>
      <c r="P71" s="114" t="n"/>
      <c r="Q71" s="114" t="n"/>
      <c r="R71" s="114" t="n"/>
      <c r="S71" s="124" t="inlineStr">
        <is>
          <t>D</t>
        </is>
      </c>
      <c r="T71" s="124" t="inlineStr">
        <is>
          <t>D</t>
        </is>
      </c>
      <c r="U71" s="114" t="n"/>
      <c r="V71" s="114" t="n"/>
      <c r="W71" s="114" t="n"/>
      <c r="X71" s="124" t="inlineStr">
        <is>
          <t>D</t>
        </is>
      </c>
      <c r="Y71" s="114" t="n"/>
      <c r="Z71" s="114" t="n"/>
      <c r="AA71" s="114" t="n"/>
      <c r="AB71" s="124" t="inlineStr">
        <is>
          <t>D</t>
        </is>
      </c>
      <c r="AC71" s="114" t="n"/>
      <c r="AD71" s="114" t="n"/>
      <c r="AE71" s="114" t="n"/>
      <c r="AF71" s="126" t="inlineStr">
        <is>
          <t>T</t>
        </is>
      </c>
      <c r="AG71" s="125" t="inlineStr">
        <is>
          <t>N</t>
        </is>
      </c>
      <c r="AH71" s="114" t="n"/>
      <c r="AI71" s="126" t="inlineStr">
        <is>
          <t>T</t>
        </is>
      </c>
      <c r="AJ71" s="114" t="n"/>
      <c r="AK71" s="114" t="n"/>
      <c r="AL71" s="124" t="inlineStr">
        <is>
          <t>D</t>
        </is>
      </c>
      <c r="AM71" s="114" t="n"/>
      <c r="AN71" s="116">
        <f>IFERROR(INDEX(FEV!I$8:I$73,MATCH($A71,FEV!$A$8:$A$73,0))&amp;"","")</f>
        <v/>
      </c>
      <c r="AO71" s="100" t="n"/>
      <c r="AP71" s="100" t="n"/>
      <c r="AQ71" s="100" t="n"/>
      <c r="AR71" s="100" t="n"/>
      <c r="AS71" s="100" t="n"/>
      <c r="AT71" s="117">
        <f>SUMPRODUCT(($F71:$L71="M")*6+($F71:$L71="T")*6+($F71:$L71="D")*12+($F71:$L71="N")*12+($F71:$L71="NT")*6+($F71:$L71="C")*10+($F71:$L71="A")*8+($F71:$L71="J")*5+($F71:$L71="CEP")*4+($F71:$L71="CP")*6+($F71:$L71="CRO")*6+($F71:$L71="M+")*6+($F71:$L71="T+")*6+($F71:$L71="D+")*12+($F71:$L71="N+")*12+($F71:$L71="Dm+")*12+($F71:$L71="Dt+")*12+($F71:$L71="Tm-")*6+($F71:$L71="Mt-")*6)</f>
        <v/>
      </c>
      <c r="AU71" s="118">
        <f>AT71-MAX(0,IFERROR(INDEX(CADASTRO!$I$4:$I$80,MATCH($A71,CADASTRO!$A$4:$A$80,0)),$B71)-CONFIG!$B$50*(COUNTIF($F71:$L71,"AB")+COUNTIF($F71:$L71,"FE")+COUNTIF($F71:$L71,"LM")))</f>
        <v/>
      </c>
      <c r="AV71" s="117">
        <f>SUMPRODUCT(($M71:$S71="M")*6+($M71:$S71="T")*6+($M71:$S71="D")*12+($M71:$S71="N")*12+($M71:$S71="NT")*6+($M71:$S71="C")*10+($M71:$S71="A")*8+($M71:$S71="J")*5+($M71:$S71="CEP")*4+($M71:$S71="CP")*6+($M71:$S71="CRO")*6+($M71:$S71="M+")*6+($M71:$S71="T+")*6+($M71:$S71="D+")*12+($M71:$S71="N+")*12+($M71:$S71="Dm+")*12+($M71:$S71="Dt+")*12+($M71:$S71="Tm-")*6+($M71:$S71="Mt-")*6)</f>
        <v/>
      </c>
      <c r="AW71" s="118">
        <f>AV71-MAX(0,IFERROR(INDEX(CADASTRO!$I$4:$I$80,MATCH($A71,CADASTRO!$A$4:$A$80,0)),$B71)-CONFIG!$B$50*(COUNTIF($M71:$S71,"AB")+COUNTIF($M71:$S71,"FE")+COUNTIF($M71:$S71,"LM")))</f>
        <v/>
      </c>
      <c r="AX71" s="117">
        <f>SUMPRODUCT(($T71:$Z71="M")*6+($T71:$Z71="T")*6+($T71:$Z71="D")*12+($T71:$Z71="N")*12+($T71:$Z71="NT")*6+($T71:$Z71="C")*10+($T71:$Z71="A")*8+($T71:$Z71="J")*5+($T71:$Z71="CEP")*4+($T71:$Z71="CP")*6+($T71:$Z71="CRO")*6+($T71:$Z71="M+")*6+($T71:$Z71="T+")*6+($T71:$Z71="D+")*12+($T71:$Z71="N+")*12+($T71:$Z71="Dm+")*12+($T71:$Z71="Dt+")*12+($T71:$Z71="Tm-")*6+($T71:$Z71="Mt-")*6)</f>
        <v/>
      </c>
      <c r="AY71" s="118">
        <f>AX71-MAX(0,IFERROR(INDEX(CADASTRO!$I$4:$I$80,MATCH($A71,CADASTRO!$A$4:$A$80,0)),$B71)-CONFIG!$B$50*(COUNTIF($T71:$Z71,"AB")+COUNTIF($T71:$Z71,"FE")+COUNTIF($T71:$Z71,"LM")))</f>
        <v/>
      </c>
      <c r="AZ71" s="117">
        <f>SUMPRODUCT(($AA71:$AG71="M")*6+($AA71:$AG71="T")*6+($AA71:$AG71="D")*12+($AA71:$AG71="N")*12+($AA71:$AG71="NT")*6+($AA71:$AG71="C")*10+($AA71:$AG71="A")*8+($AA71:$AG71="J")*5+($AA71:$AG71="CEP")*4+($AA71:$AG71="CP")*6+($AA71:$AG71="CRO")*6+($AA71:$AG71="M+")*6+($AA71:$AG71="T+")*6+($AA71:$AG71="D+")*12+($AA71:$AG71="N+")*12+($AA71:$AG71="Dm+")*12+($AA71:$AG71="Dt+")*12+($AA71:$AG71="Tm-")*6+($AA71:$AG71="Mt-")*6)</f>
        <v/>
      </c>
      <c r="BA71" s="118">
        <f>AZ71-MAX(0,IFERROR(INDEX(CADASTRO!$I$4:$I$80,MATCH($A71,CADASTRO!$A$4:$A$80,0)),$B71)-CONFIG!$B$50*(COUNTIF($AA71:$AG71,"AB")+COUNTIF($AA71:$AG71,"FE")+COUNTIF($AA71:$AG71,"LM")))</f>
        <v/>
      </c>
      <c r="BB71" s="117">
        <f>SUMPRODUCT(($AH71:$AM71="M")*6+($AH71:$AM71="T")*6+($AH71:$AM71="D")*12+($AH71:$AM71="N")*12+($AH71:$AM71="NT")*6+($AH71:$AM71="C")*10+($AH71:$AM71="A")*8+($AH71:$AM71="J")*5+($AH71:$AM71="CEP")*4+($AH71:$AM71="CP")*6+($AH71:$AM71="CRO")*6+($AH71:$AM71="M+")*6+($AH71:$AM71="T+")*6+($AH71:$AM71="D+")*12+($AH71:$AM71="N+")*12+($AH71:$AM71="Dm+")*12+($AH71:$AM71="Dt+")*12+($AH71:$AM71="Tm-")*6+($AH71:$AM71="Mt-")*6)+SUMPRODUCT(($AN71:$AN71="M")*6+($AN71:$AN71="T")*6+($AN71:$AN71="D")*12+($AN71:$AN71="N")*12+($AN71:$AN71="NT")*6+($AN71:$AN71="C")*10+($AN71:$AN71="A")*8+($AN71:$AN71="J")*5+($AN71:$AN71="CEP")*4+($AN71:$AN71="CP")*6+($AN71:$AN71="CRO")*6+($AN71:$AN71="M+")*6+($AN71:$AN71="T+")*6+($AN71:$AN71="D+")*12+($AN71:$AN71="N+")*12+($AN71:$AN71="Dm+")*12+($AN71:$AN71="Dt+")*12+($AN71:$AN71="Tm-")*6+($AN71:$AN71="Mt-")*6)</f>
        <v/>
      </c>
      <c r="BC71" s="118">
        <f>BB71-MAX(0,IFERROR(INDEX(CADASTRO!$I$4:$I$80,MATCH($A71,CADASTRO!$A$4:$A$80,0)),$B71)-CONFIG!$B$50*(COUNTIF($AH71:$AM71,"AB")+COUNTIF($AH71:$AM71,"FE")+COUNTIF($AH71:$AM71,"LM")+COUNTIF($AN71:$AN71,"AB")+COUNTIF($AN71:$AN71,"FE")+COUNTIF($AN71:$AN71,"LM")))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00" t="n"/>
      <c r="H72" s="100" t="n"/>
      <c r="I72" s="114" t="n"/>
      <c r="J72" s="114" t="n"/>
      <c r="K72" s="114" t="n"/>
      <c r="L72" s="114" t="n"/>
      <c r="M72" s="115" t="inlineStr">
        <is>
          <t>M</t>
        </is>
      </c>
      <c r="N72" s="114" t="n"/>
      <c r="O72" s="124" t="inlineStr">
        <is>
          <t>D</t>
        </is>
      </c>
      <c r="P72" s="114" t="n"/>
      <c r="Q72" s="124" t="inlineStr">
        <is>
          <t>D</t>
        </is>
      </c>
      <c r="R72" s="114" t="n"/>
      <c r="S72" s="114" t="n"/>
      <c r="T72" s="124" t="inlineStr">
        <is>
          <t>D</t>
        </is>
      </c>
      <c r="U72" s="126" t="inlineStr">
        <is>
          <t>T</t>
        </is>
      </c>
      <c r="V72" s="124" t="inlineStr">
        <is>
          <t>D</t>
        </is>
      </c>
      <c r="W72" s="114" t="n"/>
      <c r="X72" s="114" t="n"/>
      <c r="Y72" s="114" t="n"/>
      <c r="Z72" s="114" t="n"/>
      <c r="AA72" s="124" t="inlineStr">
        <is>
          <t>D</t>
        </is>
      </c>
      <c r="AB72" s="126" t="inlineStr">
        <is>
          <t>T</t>
        </is>
      </c>
      <c r="AC72" s="114" t="n"/>
      <c r="AD72" s="114" t="n"/>
      <c r="AE72" s="114" t="n"/>
      <c r="AF72" s="124" t="inlineStr">
        <is>
          <t>D</t>
        </is>
      </c>
      <c r="AG72" s="114" t="n"/>
      <c r="AH72" s="114" t="n"/>
      <c r="AI72" s="126" t="inlineStr">
        <is>
          <t>T</t>
        </is>
      </c>
      <c r="AJ72" s="114" t="n"/>
      <c r="AK72" s="114" t="n"/>
      <c r="AL72" s="114" t="n"/>
      <c r="AM72" s="124" t="inlineStr">
        <is>
          <t>D</t>
        </is>
      </c>
      <c r="AN72" s="116">
        <f>IFERROR(INDEX(FEV!I$8:I$73,MATCH($A72,FEV!$A$8:$A$73,0))&amp;"","")</f>
        <v/>
      </c>
      <c r="AO72" s="100" t="n"/>
      <c r="AP72" s="100" t="n"/>
      <c r="AQ72" s="100" t="n"/>
      <c r="AR72" s="100" t="n"/>
      <c r="AS72" s="100" t="n"/>
      <c r="AT72" s="117">
        <f>SUMPRODUCT(($F72:$L72="M")*6+($F72:$L72="T")*6+($F72:$L72="D")*12+($F72:$L72="N")*12+($F72:$L72="NT")*6+($F72:$L72="C")*10+($F72:$L72="A")*8+($F72:$L72="J")*5+($F72:$L72="CEP")*4+($F72:$L72="CP")*6+($F72:$L72="CRO")*6+($F72:$L72="M+")*6+($F72:$L72="T+")*6+($F72:$L72="D+")*12+($F72:$L72="N+")*12+($F72:$L72="Dm+")*12+($F72:$L72="Dt+")*12+($F72:$L72="Tm-")*6+($F72:$L72="Mt-")*6)</f>
        <v/>
      </c>
      <c r="AU72" s="118">
        <f>AT72-MAX(0,IFERROR(INDEX(CADASTRO!$I$4:$I$80,MATCH($A72,CADASTRO!$A$4:$A$80,0)),$B72)-CONFIG!$B$50*(COUNTIF($F72:$L72,"AB")+COUNTIF($F72:$L72,"FE")+COUNTIF($F72:$L72,"LM")))</f>
        <v/>
      </c>
      <c r="AV72" s="117">
        <f>SUMPRODUCT(($M72:$S72="M")*6+($M72:$S72="T")*6+($M72:$S72="D")*12+($M72:$S72="N")*12+($M72:$S72="NT")*6+($M72:$S72="C")*10+($M72:$S72="A")*8+($M72:$S72="J")*5+($M72:$S72="CEP")*4+($M72:$S72="CP")*6+($M72:$S72="CRO")*6+($M72:$S72="M+")*6+($M72:$S72="T+")*6+($M72:$S72="D+")*12+($M72:$S72="N+")*12+($M72:$S72="Dm+")*12+($M72:$S72="Dt+")*12+($M72:$S72="Tm-")*6+($M72:$S72="Mt-")*6)</f>
        <v/>
      </c>
      <c r="AW72" s="118">
        <f>AV72-MAX(0,IFERROR(INDEX(CADASTRO!$I$4:$I$80,MATCH($A72,CADASTRO!$A$4:$A$80,0)),$B72)-CONFIG!$B$50*(COUNTIF($M72:$S72,"AB")+COUNTIF($M72:$S72,"FE")+COUNTIF($M72:$S72,"LM")))</f>
        <v/>
      </c>
      <c r="AX72" s="117">
        <f>SUMPRODUCT(($T72:$Z72="M")*6+($T72:$Z72="T")*6+($T72:$Z72="D")*12+($T72:$Z72="N")*12+($T72:$Z72="NT")*6+($T72:$Z72="C")*10+($T72:$Z72="A")*8+($T72:$Z72="J")*5+($T72:$Z72="CEP")*4+($T72:$Z72="CP")*6+($T72:$Z72="CRO")*6+($T72:$Z72="M+")*6+($T72:$Z72="T+")*6+($T72:$Z72="D+")*12+($T72:$Z72="N+")*12+($T72:$Z72="Dm+")*12+($T72:$Z72="Dt+")*12+($T72:$Z72="Tm-")*6+($T72:$Z72="Mt-")*6)</f>
        <v/>
      </c>
      <c r="AY72" s="118">
        <f>AX72-MAX(0,IFERROR(INDEX(CADASTRO!$I$4:$I$80,MATCH($A72,CADASTRO!$A$4:$A$80,0)),$B72)-CONFIG!$B$50*(COUNTIF($T72:$Z72,"AB")+COUNTIF($T72:$Z72,"FE")+COUNTIF($T72:$Z72,"LM")))</f>
        <v/>
      </c>
      <c r="AZ72" s="117">
        <f>SUMPRODUCT(($AA72:$AG72="M")*6+($AA72:$AG72="T")*6+($AA72:$AG72="D")*12+($AA72:$AG72="N")*12+($AA72:$AG72="NT")*6+($AA72:$AG72="C")*10+($AA72:$AG72="A")*8+($AA72:$AG72="J")*5+($AA72:$AG72="CEP")*4+($AA72:$AG72="CP")*6+($AA72:$AG72="CRO")*6+($AA72:$AG72="M+")*6+($AA72:$AG72="T+")*6+($AA72:$AG72="D+")*12+($AA72:$AG72="N+")*12+($AA72:$AG72="Dm+")*12+($AA72:$AG72="Dt+")*12+($AA72:$AG72="Tm-")*6+($AA72:$AG72="Mt-")*6)</f>
        <v/>
      </c>
      <c r="BA72" s="118">
        <f>AZ72-MAX(0,IFERROR(INDEX(CADASTRO!$I$4:$I$80,MATCH($A72,CADASTRO!$A$4:$A$80,0)),$B72)-CONFIG!$B$50*(COUNTIF($AA72:$AG72,"AB")+COUNTIF($AA72:$AG72,"FE")+COUNTIF($AA72:$AG72,"LM")))</f>
        <v/>
      </c>
      <c r="BB72" s="117">
        <f>SUMPRODUCT(($AH72:$AM72="M")*6+($AH72:$AM72="T")*6+($AH72:$AM72="D")*12+($AH72:$AM72="N")*12+($AH72:$AM72="NT")*6+($AH72:$AM72="C")*10+($AH72:$AM72="A")*8+($AH72:$AM72="J")*5+($AH72:$AM72="CEP")*4+($AH72:$AM72="CP")*6+($AH72:$AM72="CRO")*6+($AH72:$AM72="M+")*6+($AH72:$AM72="T+")*6+($AH72:$AM72="D+")*12+($AH72:$AM72="N+")*12+($AH72:$AM72="Dm+")*12+($AH72:$AM72="Dt+")*12+($AH72:$AM72="Tm-")*6+($AH72:$AM72="Mt-")*6)+SUMPRODUCT(($AN72:$AN72="M")*6+($AN72:$AN72="T")*6+($AN72:$AN72="D")*12+($AN72:$AN72="N")*12+($AN72:$AN72="NT")*6+($AN72:$AN72="C")*10+($AN72:$AN72="A")*8+($AN72:$AN72="J")*5+($AN72:$AN72="CEP")*4+($AN72:$AN72="CP")*6+($AN72:$AN72="CRO")*6+($AN72:$AN72="M+")*6+($AN72:$AN72="T+")*6+($AN72:$AN72="D+")*12+($AN72:$AN72="N+")*12+($AN72:$AN72="Dm+")*12+($AN72:$AN72="Dt+")*12+($AN72:$AN72="Tm-")*6+($AN72:$AN72="Mt-")*6)</f>
        <v/>
      </c>
      <c r="BC72" s="118">
        <f>BB72-MAX(0,IFERROR(INDEX(CADASTRO!$I$4:$I$80,MATCH($A72,CADASTRO!$A$4:$A$80,0)),$B72)-CONFIG!$B$50*(COUNTIF($AH72:$AM72,"AB")+COUNTIF($AH72:$AM72,"FE")+COUNTIF($AH72:$AM72,"LM")+COUNTIF($AN72:$AN72,"AB")+COUNTIF($AN72:$AN72,"FE")+COUNTIF($AN72:$AN72,"LM")))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00" t="n"/>
      <c r="H73" s="100" t="n"/>
      <c r="I73" s="114" t="n"/>
      <c r="J73" s="125" t="inlineStr">
        <is>
          <t>N</t>
        </is>
      </c>
      <c r="K73" s="114" t="n"/>
      <c r="L73" s="114" t="n"/>
      <c r="M73" s="125" t="inlineStr">
        <is>
          <t>N</t>
        </is>
      </c>
      <c r="N73" s="114" t="n"/>
      <c r="O73" s="114" t="n"/>
      <c r="P73" s="126" t="inlineStr">
        <is>
          <t>T</t>
        </is>
      </c>
      <c r="Q73" s="124" t="inlineStr">
        <is>
          <t>D</t>
        </is>
      </c>
      <c r="R73" s="114" t="n"/>
      <c r="S73" s="114" t="n"/>
      <c r="T73" s="115" t="inlineStr">
        <is>
          <t>M</t>
        </is>
      </c>
      <c r="U73" s="114" t="n"/>
      <c r="V73" s="114" t="n"/>
      <c r="W73" s="114" t="n"/>
      <c r="X73" s="124" t="inlineStr">
        <is>
          <t>D</t>
        </is>
      </c>
      <c r="Y73" s="124" t="inlineStr">
        <is>
          <t>D</t>
        </is>
      </c>
      <c r="Z73" s="114" t="n"/>
      <c r="AA73" s="114" t="n"/>
      <c r="AB73" s="114" t="n"/>
      <c r="AC73" s="114" t="n"/>
      <c r="AD73" s="126" t="inlineStr">
        <is>
          <t>T</t>
        </is>
      </c>
      <c r="AE73" s="124" t="inlineStr">
        <is>
          <t>D</t>
        </is>
      </c>
      <c r="AF73" s="114" t="n"/>
      <c r="AG73" s="124" t="inlineStr">
        <is>
          <t>D</t>
        </is>
      </c>
      <c r="AH73" s="125" t="inlineStr">
        <is>
          <t>N</t>
        </is>
      </c>
      <c r="AI73" s="114" t="n"/>
      <c r="AJ73" s="114" t="n"/>
      <c r="AK73" s="114" t="n"/>
      <c r="AL73" s="115" t="inlineStr">
        <is>
          <t>M</t>
        </is>
      </c>
      <c r="AM73" s="126" t="inlineStr">
        <is>
          <t>T</t>
        </is>
      </c>
      <c r="AN73" s="116">
        <f>IFERROR(INDEX(FEV!I$8:I$73,MATCH($A73,FEV!$A$8:$A$73,0))&amp;"","")</f>
        <v/>
      </c>
      <c r="AO73" s="100" t="n"/>
      <c r="AP73" s="100" t="n"/>
      <c r="AQ73" s="100" t="n"/>
      <c r="AR73" s="100" t="n"/>
      <c r="AS73" s="100" t="n"/>
      <c r="AT73" s="117">
        <f>SUMPRODUCT(($F73:$L73="M")*6+($F73:$L73="T")*6+($F73:$L73="D")*12+($F73:$L73="N")*12+($F73:$L73="NT")*6+($F73:$L73="C")*10+($F73:$L73="A")*8+($F73:$L73="J")*5+($F73:$L73="CEP")*4+($F73:$L73="CP")*6+($F73:$L73="CRO")*6+($F73:$L73="M+")*6+($F73:$L73="T+")*6+($F73:$L73="D+")*12+($F73:$L73="N+")*12+($F73:$L73="Dm+")*12+($F73:$L73="Dt+")*12+($F73:$L73="Tm-")*6+($F73:$L73="Mt-")*6)</f>
        <v/>
      </c>
      <c r="AU73" s="118">
        <f>AT73-MAX(0,IFERROR(INDEX(CADASTRO!$I$4:$I$80,MATCH($A73,CADASTRO!$A$4:$A$80,0)),$B73)-CONFIG!$B$50*(COUNTIF($F73:$L73,"AB")+COUNTIF($F73:$L73,"FE")+COUNTIF($F73:$L73,"LM")))</f>
        <v/>
      </c>
      <c r="AV73" s="117">
        <f>SUMPRODUCT(($M73:$S73="M")*6+($M73:$S73="T")*6+($M73:$S73="D")*12+($M73:$S73="N")*12+($M73:$S73="NT")*6+($M73:$S73="C")*10+($M73:$S73="A")*8+($M73:$S73="J")*5+($M73:$S73="CEP")*4+($M73:$S73="CP")*6+($M73:$S73="CRO")*6+($M73:$S73="M+")*6+($M73:$S73="T+")*6+($M73:$S73="D+")*12+($M73:$S73="N+")*12+($M73:$S73="Dm+")*12+($M73:$S73="Dt+")*12+($M73:$S73="Tm-")*6+($M73:$S73="Mt-")*6)</f>
        <v/>
      </c>
      <c r="AW73" s="118">
        <f>AV73-MAX(0,IFERROR(INDEX(CADASTRO!$I$4:$I$80,MATCH($A73,CADASTRO!$A$4:$A$80,0)),$B73)-CONFIG!$B$50*(COUNTIF($M73:$S73,"AB")+COUNTIF($M73:$S73,"FE")+COUNTIF($M73:$S73,"LM")))</f>
        <v/>
      </c>
      <c r="AX73" s="117">
        <f>SUMPRODUCT(($T73:$Z73="M")*6+($T73:$Z73="T")*6+($T73:$Z73="D")*12+($T73:$Z73="N")*12+($T73:$Z73="NT")*6+($T73:$Z73="C")*10+($T73:$Z73="A")*8+($T73:$Z73="J")*5+($T73:$Z73="CEP")*4+($T73:$Z73="CP")*6+($T73:$Z73="CRO")*6+($T73:$Z73="M+")*6+($T73:$Z73="T+")*6+($T73:$Z73="D+")*12+($T73:$Z73="N+")*12+($T73:$Z73="Dm+")*12+($T73:$Z73="Dt+")*12+($T73:$Z73="Tm-")*6+($T73:$Z73="Mt-")*6)</f>
        <v/>
      </c>
      <c r="AY73" s="118">
        <f>AX73-MAX(0,IFERROR(INDEX(CADASTRO!$I$4:$I$80,MATCH($A73,CADASTRO!$A$4:$A$80,0)),$B73)-CONFIG!$B$50*(COUNTIF($T73:$Z73,"AB")+COUNTIF($T73:$Z73,"FE")+COUNTIF($T73:$Z73,"LM")))</f>
        <v/>
      </c>
      <c r="AZ73" s="117">
        <f>SUMPRODUCT(($AA73:$AG73="M")*6+($AA73:$AG73="T")*6+($AA73:$AG73="D")*12+($AA73:$AG73="N")*12+($AA73:$AG73="NT")*6+($AA73:$AG73="C")*10+($AA73:$AG73="A")*8+($AA73:$AG73="J")*5+($AA73:$AG73="CEP")*4+($AA73:$AG73="CP")*6+($AA73:$AG73="CRO")*6+($AA73:$AG73="M+")*6+($AA73:$AG73="T+")*6+($AA73:$AG73="D+")*12+($AA73:$AG73="N+")*12+($AA73:$AG73="Dm+")*12+($AA73:$AG73="Dt+")*12+($AA73:$AG73="Tm-")*6+($AA73:$AG73="Mt-")*6)</f>
        <v/>
      </c>
      <c r="BA73" s="118">
        <f>AZ73-MAX(0,IFERROR(INDEX(CADASTRO!$I$4:$I$80,MATCH($A73,CADASTRO!$A$4:$A$80,0)),$B73)-CONFIG!$B$50*(COUNTIF($AA73:$AG73,"AB")+COUNTIF($AA73:$AG73,"FE")+COUNTIF($AA73:$AG73,"LM")))</f>
        <v/>
      </c>
      <c r="BB73" s="117">
        <f>SUMPRODUCT(($AH73:$AM73="M")*6+($AH73:$AM73="T")*6+($AH73:$AM73="D")*12+($AH73:$AM73="N")*12+($AH73:$AM73="NT")*6+($AH73:$AM73="C")*10+($AH73:$AM73="A")*8+($AH73:$AM73="J")*5+($AH73:$AM73="CEP")*4+($AH73:$AM73="CP")*6+($AH73:$AM73="CRO")*6+($AH73:$AM73="M+")*6+($AH73:$AM73="T+")*6+($AH73:$AM73="D+")*12+($AH73:$AM73="N+")*12+($AH73:$AM73="Dm+")*12+($AH73:$AM73="Dt+")*12+($AH73:$AM73="Tm-")*6+($AH73:$AM73="Mt-")*6)+SUMPRODUCT(($AN73:$AN73="M")*6+($AN73:$AN73="T")*6+($AN73:$AN73="D")*12+($AN73:$AN73="N")*12+($AN73:$AN73="NT")*6+($AN73:$AN73="C")*10+($AN73:$AN73="A")*8+($AN73:$AN73="J")*5+($AN73:$AN73="CEP")*4+($AN73:$AN73="CP")*6+($AN73:$AN73="CRO")*6+($AN73:$AN73="M+")*6+($AN73:$AN73="T+")*6+($AN73:$AN73="D+")*12+($AN73:$AN73="N+")*12+($AN73:$AN73="Dm+")*12+($AN73:$AN73="Dt+")*12+($AN73:$AN73="Tm-")*6+($AN73:$AN73="Mt-")*6)</f>
        <v/>
      </c>
      <c r="BC73" s="118">
        <f>BB73-MAX(0,IFERROR(INDEX(CADASTRO!$I$4:$I$80,MATCH($A73,CADASTRO!$A$4:$A$80,0)),$B73)-CONFIG!$B$50*(COUNTIF($AH73:$AM73,"AB")+COUNTIF($AH73:$AM73,"FE")+COUNTIF($AH73:$AM73,"LM")+COUNTIF($AN73:$AN73,"AB")+COUNTIF($AN73:$AN73,"FE")+COUNTIF($AN73:$AN73,"LM")))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39" t="n"/>
      <c r="H75" s="39" t="n"/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39" t="n"/>
      <c r="H76" s="39" t="n"/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133">
        <f>COUNTIF(AN8:AN73,"T")+COUNTIF(AN8:AN73,"D")+COUNTIF(AN8:AN73,"C")+COUNTIF(AN8:AN73,"T+")+COUNTIF(AN8:AN73,"D+")+COUNTIF(AN8:AN73,"Dm+")+COUNTIF(AN8:AN73,"Dt+")+COUNTIF(AN8:AN73,"Tm-")</f>
        <v/>
      </c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39" t="n"/>
      <c r="H77" s="39" t="n"/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133">
        <f>COUNTIF(AN8:AN73,"N")+COUNTIF(AN8:AN73,"NT")+COUNTIF(AN8:AN73,"N+")</f>
        <v/>
      </c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39" t="n"/>
      <c r="H78" s="39" t="n"/>
      <c r="I78" s="135">
        <f>MAX(0,CONFIG!$B$9-I75)</f>
        <v/>
      </c>
      <c r="J78" s="135">
        <f>MAX(0,CONFIG!$B$9-J75)</f>
        <v/>
      </c>
      <c r="K78" s="135">
        <f>MAX(0,CONFIG!$B$10-K75)</f>
        <v/>
      </c>
      <c r="L78" s="135">
        <f>MAX(0,CONFIG!$B$11-L75)</f>
        <v/>
      </c>
      <c r="M78" s="135">
        <f>MAX(0,CONFIG!$B$9-M75)</f>
        <v/>
      </c>
      <c r="N78" s="135">
        <f>MAX(0,CONFIG!$B$9-N75)</f>
        <v/>
      </c>
      <c r="O78" s="135">
        <f>MAX(0,CONFIG!$B$9-O75)</f>
        <v/>
      </c>
      <c r="P78" s="135">
        <f>MAX(0,CONFIG!$B$9-P75)</f>
        <v/>
      </c>
      <c r="Q78" s="135">
        <f>MAX(0,CONFIG!$B$9-Q75)</f>
        <v/>
      </c>
      <c r="R78" s="135">
        <f>MAX(0,CONFIG!$B$10-R75)</f>
        <v/>
      </c>
      <c r="S78" s="135">
        <f>MAX(0,CONFIG!$B$11-S75)</f>
        <v/>
      </c>
      <c r="T78" s="135">
        <f>MAX(0,CONFIG!$B$9-T75)</f>
        <v/>
      </c>
      <c r="U78" s="135">
        <f>MAX(0,CONFIG!$B$9-U75)</f>
        <v/>
      </c>
      <c r="V78" s="135">
        <f>MAX(0,CONFIG!$B$9-V75)</f>
        <v/>
      </c>
      <c r="W78" s="135">
        <f>MAX(0,CONFIG!$B$9-W75)</f>
        <v/>
      </c>
      <c r="X78" s="135">
        <f>MAX(0,CONFIG!$B$9-X75)</f>
        <v/>
      </c>
      <c r="Y78" s="135">
        <f>MAX(0,CONFIG!$B$10-Y75)</f>
        <v/>
      </c>
      <c r="Z78" s="135">
        <f>MAX(0,CONFIG!$B$11-Z75)</f>
        <v/>
      </c>
      <c r="AA78" s="135">
        <f>MAX(0,CONFIG!$B$9-AA75)</f>
        <v/>
      </c>
      <c r="AB78" s="135">
        <f>MAX(0,CONFIG!$B$9-AB75)</f>
        <v/>
      </c>
      <c r="AC78" s="135">
        <f>MAX(0,CONFIG!$B$9-AC75)</f>
        <v/>
      </c>
      <c r="AD78" s="135">
        <f>MAX(0,CONFIG!$B$9-AD75)</f>
        <v/>
      </c>
      <c r="AE78" s="135">
        <f>MAX(0,CONFIG!$B$9-AE75)</f>
        <v/>
      </c>
      <c r="AF78" s="135">
        <f>MAX(0,CONFIG!$B$10-AF75)</f>
        <v/>
      </c>
      <c r="AG78" s="135">
        <f>MAX(0,CONFIG!$B$11-AG75)</f>
        <v/>
      </c>
      <c r="AH78" s="135">
        <f>MAX(0,CONFIG!$B$9-AH75)</f>
        <v/>
      </c>
      <c r="AI78" s="135">
        <f>MAX(0,CONFIG!$B$9-AI75)</f>
        <v/>
      </c>
      <c r="AJ78" s="135">
        <f>MAX(0,CONFIG!$B$9-AJ75)</f>
        <v/>
      </c>
      <c r="AK78" s="135">
        <f>MAX(0,CONFIG!$B$9-AK75)</f>
        <v/>
      </c>
      <c r="AL78" s="135">
        <f>MAX(0,CONFIG!$B$9-AL75)</f>
        <v/>
      </c>
      <c r="AM78" s="135">
        <f>MAX(0,CONFIG!$B$10-AM75)</f>
        <v/>
      </c>
      <c r="AN78" s="135">
        <f>MAX(0,CONFIG!$B$11-AN75)</f>
        <v/>
      </c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39" t="n"/>
      <c r="H79" s="39" t="n"/>
      <c r="I79" s="135">
        <f>MAX(0,CONFIG!$C$9-I76)</f>
        <v/>
      </c>
      <c r="J79" s="135">
        <f>MAX(0,CONFIG!$C$9-J76)</f>
        <v/>
      </c>
      <c r="K79" s="135">
        <f>MAX(0,CONFIG!$C$10-K76)</f>
        <v/>
      </c>
      <c r="L79" s="135">
        <f>MAX(0,CONFIG!$C$11-L76)</f>
        <v/>
      </c>
      <c r="M79" s="135">
        <f>MAX(0,CONFIG!$C$9-M76)</f>
        <v/>
      </c>
      <c r="N79" s="135">
        <f>MAX(0,CONFIG!$C$9-N76)</f>
        <v/>
      </c>
      <c r="O79" s="135">
        <f>MAX(0,CONFIG!$C$9-O76)</f>
        <v/>
      </c>
      <c r="P79" s="135">
        <f>MAX(0,CONFIG!$C$9-P76)</f>
        <v/>
      </c>
      <c r="Q79" s="135">
        <f>MAX(0,CONFIG!$C$9-Q76)</f>
        <v/>
      </c>
      <c r="R79" s="135">
        <f>MAX(0,CONFIG!$C$10-R76)</f>
        <v/>
      </c>
      <c r="S79" s="135">
        <f>MAX(0,CONFIG!$C$11-S76)</f>
        <v/>
      </c>
      <c r="T79" s="135">
        <f>MAX(0,CONFIG!$C$9-T76)</f>
        <v/>
      </c>
      <c r="U79" s="135">
        <f>MAX(0,CONFIG!$C$9-U76)</f>
        <v/>
      </c>
      <c r="V79" s="135">
        <f>MAX(0,CONFIG!$C$9-V76)</f>
        <v/>
      </c>
      <c r="W79" s="135">
        <f>MAX(0,CONFIG!$C$9-W76)</f>
        <v/>
      </c>
      <c r="X79" s="135">
        <f>MAX(0,CONFIG!$C$9-X76)</f>
        <v/>
      </c>
      <c r="Y79" s="135">
        <f>MAX(0,CONFIG!$C$10-Y76)</f>
        <v/>
      </c>
      <c r="Z79" s="135">
        <f>MAX(0,CONFIG!$C$11-Z76)</f>
        <v/>
      </c>
      <c r="AA79" s="135">
        <f>MAX(0,CONFIG!$C$9-AA76)</f>
        <v/>
      </c>
      <c r="AB79" s="135">
        <f>MAX(0,CONFIG!$C$9-AB76)</f>
        <v/>
      </c>
      <c r="AC79" s="135">
        <f>MAX(0,CONFIG!$C$9-AC76)</f>
        <v/>
      </c>
      <c r="AD79" s="135">
        <f>MAX(0,CONFIG!$C$9-AD76)</f>
        <v/>
      </c>
      <c r="AE79" s="135">
        <f>MAX(0,CONFIG!$C$9-AE76)</f>
        <v/>
      </c>
      <c r="AF79" s="135">
        <f>MAX(0,CONFIG!$C$10-AF76)</f>
        <v/>
      </c>
      <c r="AG79" s="135">
        <f>MAX(0,CONFIG!$C$11-AG76)</f>
        <v/>
      </c>
      <c r="AH79" s="135">
        <f>MAX(0,CONFIG!$C$9-AH76)</f>
        <v/>
      </c>
      <c r="AI79" s="135">
        <f>MAX(0,CONFIG!$C$9-AI76)</f>
        <v/>
      </c>
      <c r="AJ79" s="135">
        <f>MAX(0,CONFIG!$C$9-AJ76)</f>
        <v/>
      </c>
      <c r="AK79" s="135">
        <f>MAX(0,CONFIG!$C$9-AK76)</f>
        <v/>
      </c>
      <c r="AL79" s="135">
        <f>MAX(0,CONFIG!$C$9-AL76)</f>
        <v/>
      </c>
      <c r="AM79" s="135">
        <f>MAX(0,CONFIG!$C$10-AM76)</f>
        <v/>
      </c>
      <c r="AN79" s="135">
        <f>MAX(0,CONFIG!$C$11-AN76)</f>
        <v/>
      </c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39" t="n"/>
      <c r="H80" s="39" t="n"/>
      <c r="I80" s="135">
        <f>MAX(0,CONFIG!$D$9-I77)</f>
        <v/>
      </c>
      <c r="J80" s="135">
        <f>MAX(0,CONFIG!$D$9-J77)</f>
        <v/>
      </c>
      <c r="K80" s="135">
        <f>MAX(0,CONFIG!$D$10-K77)</f>
        <v/>
      </c>
      <c r="L80" s="135">
        <f>MAX(0,CONFIG!$D$11-L77)</f>
        <v/>
      </c>
      <c r="M80" s="135">
        <f>MAX(0,CONFIG!$D$9-M77)</f>
        <v/>
      </c>
      <c r="N80" s="135">
        <f>MAX(0,CONFIG!$D$9-N77)</f>
        <v/>
      </c>
      <c r="O80" s="135">
        <f>MAX(0,CONFIG!$D$9-O77)</f>
        <v/>
      </c>
      <c r="P80" s="135">
        <f>MAX(0,CONFIG!$D$9-P77)</f>
        <v/>
      </c>
      <c r="Q80" s="135">
        <f>MAX(0,CONFIG!$D$9-Q77)</f>
        <v/>
      </c>
      <c r="R80" s="135">
        <f>MAX(0,CONFIG!$D$10-R77)</f>
        <v/>
      </c>
      <c r="S80" s="135">
        <f>MAX(0,CONFIG!$D$11-S77)</f>
        <v/>
      </c>
      <c r="T80" s="135">
        <f>MAX(0,CONFIG!$D$9-T77)</f>
        <v/>
      </c>
      <c r="U80" s="135">
        <f>MAX(0,CONFIG!$D$9-U77)</f>
        <v/>
      </c>
      <c r="V80" s="135">
        <f>MAX(0,CONFIG!$D$9-V77)</f>
        <v/>
      </c>
      <c r="W80" s="135">
        <f>MAX(0,CONFIG!$D$9-W77)</f>
        <v/>
      </c>
      <c r="X80" s="135">
        <f>MAX(0,CONFIG!$D$9-X77)</f>
        <v/>
      </c>
      <c r="Y80" s="135">
        <f>MAX(0,CONFIG!$D$10-Y77)</f>
        <v/>
      </c>
      <c r="Z80" s="135">
        <f>MAX(0,CONFIG!$D$11-Z77)</f>
        <v/>
      </c>
      <c r="AA80" s="135">
        <f>MAX(0,CONFIG!$D$9-AA77)</f>
        <v/>
      </c>
      <c r="AB80" s="135">
        <f>MAX(0,CONFIG!$D$9-AB77)</f>
        <v/>
      </c>
      <c r="AC80" s="135">
        <f>MAX(0,CONFIG!$D$9-AC77)</f>
        <v/>
      </c>
      <c r="AD80" s="135">
        <f>MAX(0,CONFIG!$D$9-AD77)</f>
        <v/>
      </c>
      <c r="AE80" s="135">
        <f>MAX(0,CONFIG!$D$9-AE77)</f>
        <v/>
      </c>
      <c r="AF80" s="135">
        <f>MAX(0,CONFIG!$D$10-AF77)</f>
        <v/>
      </c>
      <c r="AG80" s="135">
        <f>MAX(0,CONFIG!$D$11-AG77)</f>
        <v/>
      </c>
      <c r="AH80" s="135">
        <f>MAX(0,CONFIG!$D$9-AH77)</f>
        <v/>
      </c>
      <c r="AI80" s="135">
        <f>MAX(0,CONFIG!$D$9-AI77)</f>
        <v/>
      </c>
      <c r="AJ80" s="135">
        <f>MAX(0,CONFIG!$D$9-AJ77)</f>
        <v/>
      </c>
      <c r="AK80" s="135">
        <f>MAX(0,CONFIG!$D$9-AK77)</f>
        <v/>
      </c>
      <c r="AL80" s="135">
        <f>MAX(0,CONFIG!$D$9-AL77)</f>
        <v/>
      </c>
      <c r="AM80" s="135">
        <f>MAX(0,CONFIG!$D$10-AM77)</f>
        <v/>
      </c>
      <c r="AN80" s="135">
        <f>MAX(0,CONFIG!$D$11-AN77)</f>
        <v/>
      </c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Fevereiro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1" t="inlineStr">
        <is>
          <t>26/01</t>
        </is>
      </c>
      <c r="D2" s="101" t="inlineStr">
        <is>
          <t>27/01</t>
        </is>
      </c>
      <c r="E2" s="101" t="inlineStr">
        <is>
          <t>28/01</t>
        </is>
      </c>
      <c r="F2" s="101" t="inlineStr">
        <is>
          <t>29/01</t>
        </is>
      </c>
      <c r="G2" s="101" t="inlineStr">
        <is>
          <t>30/01</t>
        </is>
      </c>
      <c r="H2" s="105" t="inlineStr">
        <is>
          <t>31/01</t>
        </is>
      </c>
      <c r="I2" s="104" t="n">
        <v>1</v>
      </c>
      <c r="J2" s="103" t="n">
        <v>2</v>
      </c>
      <c r="K2" s="103" t="n">
        <v>3</v>
      </c>
      <c r="L2" s="103" t="n">
        <v>4</v>
      </c>
      <c r="M2" s="103" t="n">
        <v>5</v>
      </c>
      <c r="N2" s="103" t="n">
        <v>6</v>
      </c>
      <c r="O2" s="104" t="n">
        <v>7</v>
      </c>
      <c r="P2" s="104" t="n">
        <v>8</v>
      </c>
      <c r="Q2" s="103" t="n">
        <v>9</v>
      </c>
      <c r="R2" s="103" t="n">
        <v>10</v>
      </c>
      <c r="S2" s="103" t="n">
        <v>11</v>
      </c>
      <c r="T2" s="103" t="n">
        <v>12</v>
      </c>
      <c r="U2" s="103" t="n">
        <v>13</v>
      </c>
      <c r="V2" s="104" t="n">
        <v>14</v>
      </c>
      <c r="W2" s="104" t="n">
        <v>15</v>
      </c>
      <c r="X2" s="102" t="n">
        <v>16</v>
      </c>
      <c r="Y2" s="102" t="n">
        <v>17</v>
      </c>
      <c r="Z2" s="103" t="n">
        <v>18</v>
      </c>
      <c r="AA2" s="103" t="n">
        <v>19</v>
      </c>
      <c r="AB2" s="103" t="n">
        <v>20</v>
      </c>
      <c r="AC2" s="104" t="n">
        <v>21</v>
      </c>
      <c r="AD2" s="104" t="n">
        <v>22</v>
      </c>
      <c r="AE2" s="103" t="n">
        <v>23</v>
      </c>
      <c r="AF2" s="103" t="n">
        <v>24</v>
      </c>
      <c r="AG2" s="103" t="n">
        <v>25</v>
      </c>
      <c r="AH2" s="103" t="n">
        <v>26</v>
      </c>
      <c r="AI2" s="103" t="n">
        <v>27</v>
      </c>
      <c r="AJ2" s="104" t="n">
        <v>28</v>
      </c>
      <c r="AK2" s="100" t="n"/>
      <c r="AL2" s="100" t="n"/>
      <c r="AM2" s="100" t="n"/>
      <c r="AN2" s="105" t="inlineStr">
        <is>
          <t>01/03</t>
        </is>
      </c>
      <c r="AO2" s="100" t="n"/>
      <c r="AP2" s="100" t="n"/>
      <c r="AQ2" s="100" t="n"/>
      <c r="AR2" s="100" t="n"/>
      <c r="AS2" s="100" t="n"/>
      <c r="AT2" s="106" t="inlineStr">
        <is>
          <t>26/01–01/02</t>
        </is>
      </c>
      <c r="AU2" s="39" t="n"/>
      <c r="AV2" s="106" t="inlineStr">
        <is>
          <t>02/02–08/02</t>
        </is>
      </c>
      <c r="AW2" s="39" t="n"/>
      <c r="AX2" s="106" t="inlineStr">
        <is>
          <t>09/02–15/02</t>
        </is>
      </c>
      <c r="AY2" s="39" t="n"/>
      <c r="AZ2" s="106" t="inlineStr">
        <is>
          <t>16/02–22/02</t>
        </is>
      </c>
      <c r="BA2" s="39" t="n"/>
      <c r="BB2" s="106" t="inlineStr">
        <is>
          <t>23/02–01/03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7" t="inlineStr">
        <is>
          <t>seg</t>
        </is>
      </c>
      <c r="D3" s="107" t="inlineStr">
        <is>
          <t>ter</t>
        </is>
      </c>
      <c r="E3" s="107" t="inlineStr">
        <is>
          <t>qua</t>
        </is>
      </c>
      <c r="F3" s="107" t="inlineStr">
        <is>
          <t>qui</t>
        </is>
      </c>
      <c r="G3" s="107" t="inlineStr">
        <is>
          <t>sex</t>
        </is>
      </c>
      <c r="H3" s="109" t="inlineStr">
        <is>
          <t>sáb</t>
        </is>
      </c>
      <c r="I3" s="109" t="inlineStr">
        <is>
          <t>dom</t>
        </is>
      </c>
      <c r="J3" s="107" t="inlineStr">
        <is>
          <t>seg</t>
        </is>
      </c>
      <c r="K3" s="107" t="inlineStr">
        <is>
          <t>ter</t>
        </is>
      </c>
      <c r="L3" s="107" t="inlineStr">
        <is>
          <t>qua</t>
        </is>
      </c>
      <c r="M3" s="107" t="inlineStr">
        <is>
          <t>qui</t>
        </is>
      </c>
      <c r="N3" s="107" t="inlineStr">
        <is>
          <t>sex</t>
        </is>
      </c>
      <c r="O3" s="109" t="inlineStr">
        <is>
          <t>sáb</t>
        </is>
      </c>
      <c r="P3" s="109" t="inlineStr">
        <is>
          <t>dom</t>
        </is>
      </c>
      <c r="Q3" s="107" t="inlineStr">
        <is>
          <t>seg</t>
        </is>
      </c>
      <c r="R3" s="107" t="inlineStr">
        <is>
          <t>ter</t>
        </is>
      </c>
      <c r="S3" s="107" t="inlineStr">
        <is>
          <t>qua</t>
        </is>
      </c>
      <c r="T3" s="107" t="inlineStr">
        <is>
          <t>qui</t>
        </is>
      </c>
      <c r="U3" s="107" t="inlineStr">
        <is>
          <t>sex</t>
        </is>
      </c>
      <c r="V3" s="109" t="inlineStr">
        <is>
          <t>sáb</t>
        </is>
      </c>
      <c r="W3" s="109" t="inlineStr">
        <is>
          <t>dom</t>
        </is>
      </c>
      <c r="X3" s="108" t="inlineStr">
        <is>
          <t>carn</t>
        </is>
      </c>
      <c r="Y3" s="108" t="inlineStr">
        <is>
          <t>carn</t>
        </is>
      </c>
      <c r="Z3" s="107" t="inlineStr">
        <is>
          <t>qua</t>
        </is>
      </c>
      <c r="AA3" s="107" t="inlineStr">
        <is>
          <t>qui</t>
        </is>
      </c>
      <c r="AB3" s="107" t="inlineStr">
        <is>
          <t>sex</t>
        </is>
      </c>
      <c r="AC3" s="109" t="inlineStr">
        <is>
          <t>sáb</t>
        </is>
      </c>
      <c r="AD3" s="109" t="inlineStr">
        <is>
          <t>dom</t>
        </is>
      </c>
      <c r="AE3" s="107" t="inlineStr">
        <is>
          <t>seg</t>
        </is>
      </c>
      <c r="AF3" s="107" t="inlineStr">
        <is>
          <t>ter</t>
        </is>
      </c>
      <c r="AG3" s="107" t="inlineStr">
        <is>
          <t>qua</t>
        </is>
      </c>
      <c r="AH3" s="107" t="inlineStr">
        <is>
          <t>qui</t>
        </is>
      </c>
      <c r="AI3" s="107" t="inlineStr">
        <is>
          <t>sex</t>
        </is>
      </c>
      <c r="AJ3" s="109" t="inlineStr">
        <is>
          <t>sáb</t>
        </is>
      </c>
      <c r="AK3" s="100" t="n"/>
      <c r="AL3" s="100" t="n"/>
      <c r="AM3" s="100" t="n"/>
      <c r="AN3" s="109" t="inlineStr">
        <is>
          <t>dom</t>
        </is>
      </c>
      <c r="AO3" s="100" t="n"/>
      <c r="AP3" s="100" t="n"/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1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1</v>
      </c>
      <c r="P4" s="39" t="n">
        <v>1</v>
      </c>
      <c r="Q4" s="39" t="n">
        <v>0</v>
      </c>
      <c r="R4" s="39" t="n">
        <v>0</v>
      </c>
      <c r="S4" s="39" t="n">
        <v>0</v>
      </c>
      <c r="T4" s="39" t="n">
        <v>0</v>
      </c>
      <c r="U4" s="39" t="n">
        <v>0</v>
      </c>
      <c r="V4" s="39" t="n">
        <v>1</v>
      </c>
      <c r="W4" s="39" t="n">
        <v>1</v>
      </c>
      <c r="X4" s="39" t="n">
        <v>0</v>
      </c>
      <c r="Y4" s="39" t="n">
        <v>0</v>
      </c>
      <c r="Z4" s="39" t="n">
        <v>0</v>
      </c>
      <c r="AA4" s="39" t="n">
        <v>0</v>
      </c>
      <c r="AB4" s="39" t="n">
        <v>0</v>
      </c>
      <c r="AC4" s="39" t="n">
        <v>1</v>
      </c>
      <c r="AD4" s="39" t="n">
        <v>1</v>
      </c>
      <c r="AE4" s="39" t="n">
        <v>0</v>
      </c>
      <c r="AF4" s="39" t="n">
        <v>0</v>
      </c>
      <c r="AG4" s="39" t="n">
        <v>0</v>
      </c>
      <c r="AH4" s="39" t="n">
        <v>0</v>
      </c>
      <c r="AI4" s="39" t="n">
        <v>0</v>
      </c>
      <c r="AJ4" s="39" t="n">
        <v>1</v>
      </c>
      <c r="AK4" s="39" t="n"/>
      <c r="AL4" s="39" t="n"/>
      <c r="AM4" s="39" t="n"/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1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1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</v>
      </c>
      <c r="AB5" s="39" t="n">
        <v>1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</v>
      </c>
      <c r="AI5" s="39" t="n">
        <v>1</v>
      </c>
      <c r="AJ5" s="39" t="n">
        <v>0</v>
      </c>
      <c r="AK5" s="39" t="n"/>
      <c r="AL5" s="39" t="n"/>
      <c r="AM5" s="39" t="n"/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1</v>
      </c>
      <c r="Y6" s="39" t="n">
        <v>1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/>
      <c r="AL6" s="39" t="n"/>
      <c r="AM6" s="39" t="n"/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36">
        <f>IFERROR(INDEX(JAN!AH$8:AH$73,MATCH($A8,JAN!$A$8:$A$73,0))&amp;"","")</f>
        <v/>
      </c>
      <c r="D8" s="136">
        <f>IFERROR(INDEX(JAN!AI$8:AI$73,MATCH($A8,JAN!$A$8:$A$73,0))&amp;"","")</f>
        <v/>
      </c>
      <c r="E8" s="136">
        <f>IFERROR(INDEX(JAN!AJ$8:AJ$73,MATCH($A8,JAN!$A$8:$A$73,0))&amp;"","")</f>
        <v/>
      </c>
      <c r="F8" s="136">
        <f>IFERROR(INDEX(JAN!AK$8:AK$73,MATCH($A8,JAN!$A$8:$A$73,0))&amp;"","")</f>
        <v/>
      </c>
      <c r="G8" s="136">
        <f>IFERROR(INDEX(JAN!AL$8:AL$73,MATCH($A8,JAN!$A$8:$A$73,0))&amp;"","")</f>
        <v/>
      </c>
      <c r="H8" s="116">
        <f>IFERROR(INDEX(JAN!AM$8:AM$73,MATCH($A8,JAN!$A$8:$A$73,0))&amp;"","")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37" t="inlineStr">
        <is>
          <t>C</t>
        </is>
      </c>
      <c r="R8" s="137" t="inlineStr">
        <is>
          <t>C</t>
        </is>
      </c>
      <c r="S8" s="115" t="inlineStr">
        <is>
          <t>M</t>
        </is>
      </c>
      <c r="T8" s="115" t="inlineStr">
        <is>
          <t>M</t>
        </is>
      </c>
      <c r="U8" s="137" t="inlineStr">
        <is>
          <t>C</t>
        </is>
      </c>
      <c r="V8" s="114" t="n"/>
      <c r="W8" s="114" t="n"/>
      <c r="X8" s="137" t="inlineStr">
        <is>
          <t>C</t>
        </is>
      </c>
      <c r="Y8" s="137" t="inlineStr">
        <is>
          <t>C</t>
        </is>
      </c>
      <c r="Z8" s="115" t="inlineStr">
        <is>
          <t>M</t>
        </is>
      </c>
      <c r="AA8" s="115" t="inlineStr">
        <is>
          <t>M</t>
        </is>
      </c>
      <c r="AB8" s="115" t="inlineStr">
        <is>
          <t>M</t>
        </is>
      </c>
      <c r="AC8" s="114" t="n"/>
      <c r="AD8" s="114" t="n"/>
      <c r="AE8" s="137" t="inlineStr">
        <is>
          <t>C</t>
        </is>
      </c>
      <c r="AF8" s="137" t="inlineStr">
        <is>
          <t>C</t>
        </is>
      </c>
      <c r="AG8" s="115" t="inlineStr">
        <is>
          <t>M</t>
        </is>
      </c>
      <c r="AH8" s="115" t="inlineStr">
        <is>
          <t>M</t>
        </is>
      </c>
      <c r="AI8" s="137" t="inlineStr">
        <is>
          <t>C</t>
        </is>
      </c>
      <c r="AJ8" s="114" t="n"/>
      <c r="AK8" s="100" t="n"/>
      <c r="AL8" s="100" t="n"/>
      <c r="AM8" s="100" t="n"/>
      <c r="AN8" s="116">
        <f>IFERROR(INDEX(MAR!I$8:I$73,MATCH($A8,MAR!$A$8:$A$73,0))&amp;"","")</f>
        <v/>
      </c>
      <c r="AO8" s="100" t="n"/>
      <c r="AP8" s="100" t="n"/>
      <c r="AQ8" s="100" t="n"/>
      <c r="AR8" s="100" t="n"/>
      <c r="AS8" s="100" t="n"/>
      <c r="AT8" s="117">
        <f>SUMPRODUCT(($C8:$I8="M")*6+($C8:$I8="T")*6+($C8:$I8="D")*12+($C8:$I8="N")*12+($C8:$I8="NT")*6+($C8:$I8="C")*10+($C8:$I8="A")*8+($C8:$I8="J")*5+($C8:$I8="CEP")*4+($C8:$I8="CP")*6+($C8:$I8="CRO")*6+($C8:$I8="M+")*6+($C8:$I8="T+")*6+($C8:$I8="D+")*12+($C8:$I8="N+")*12+($C8:$I8="Dm+")*12+($C8:$I8="Dt+")*12+($C8:$I8="Tm-")*6+($C8:$I8="Mt-")*6)</f>
        <v/>
      </c>
      <c r="AU8" s="118">
        <f>AT8-MAX(0,IFERROR(INDEX(CADASTRO!$I$4:$I$80,MATCH($A8,CADASTRO!$A$4:$A$80,0)),$B8)-CONFIG!$B$50*(COUNTIF($C8:$I8,"AB")+COUNTIF($C8:$I8,"FE")+COUNTIF($C8:$I8,"LM")))</f>
        <v/>
      </c>
      <c r="AV8" s="117">
        <f>SUMPRODUCT(($J8:$P8="M")*6+($J8:$P8="T")*6+($J8:$P8="D")*12+($J8:$P8="N")*12+($J8:$P8="NT")*6+($J8:$P8="C")*10+($J8:$P8="A")*8+($J8:$P8="J")*5+($J8:$P8="CEP")*4+($J8:$P8="CP")*6+($J8:$P8="CRO")*6+($J8:$P8="M+")*6+($J8:$P8="T+")*6+($J8:$P8="D+")*12+($J8:$P8="N+")*12+($J8:$P8="Dm+")*12+($J8:$P8="Dt+")*12+($J8:$P8="Tm-")*6+($J8:$P8="Mt-")*6)</f>
        <v/>
      </c>
      <c r="AW8" s="118">
        <f>AV8-MAX(0,IFERROR(INDEX(CADASTRO!$I$4:$I$80,MATCH($A8,CADASTRO!$A$4:$A$80,0)),$B8)-CONFIG!$B$50*(COUNTIF($J8:$P8,"AB")+COUNTIF($J8:$P8,"FE")+COUNTIF($J8:$P8,"LM")))</f>
        <v/>
      </c>
      <c r="AX8" s="117">
        <f>SUMPRODUCT(($Q8:$W8="M")*6+($Q8:$W8="T")*6+($Q8:$W8="D")*12+($Q8:$W8="N")*12+($Q8:$W8="NT")*6+($Q8:$W8="C")*10+($Q8:$W8="A")*8+($Q8:$W8="J")*5+($Q8:$W8="CEP")*4+($Q8:$W8="CP")*6+($Q8:$W8="CRO")*6+($Q8:$W8="M+")*6+($Q8:$W8="T+")*6+($Q8:$W8="D+")*12+($Q8:$W8="N+")*12+($Q8:$W8="Dm+")*12+($Q8:$W8="Dt+")*12+($Q8:$W8="Tm-")*6+($Q8:$W8="Mt-")*6)</f>
        <v/>
      </c>
      <c r="AY8" s="118">
        <f>AX8-MAX(0,IFERROR(INDEX(CADASTRO!$I$4:$I$80,MATCH($A8,CADASTRO!$A$4:$A$80,0)),$B8)-CONFIG!$B$50*(COUNTIF($Q8:$W8,"AB")+COUNTIF($Q8:$W8,"FE")+COUNTIF($Q8:$W8,"LM")))</f>
        <v/>
      </c>
      <c r="AZ8" s="117">
        <f>SUMPRODUCT(($X8:$AD8="M")*6+($X8:$AD8="T")*6+($X8:$AD8="D")*12+($X8:$AD8="N")*12+($X8:$AD8="NT")*6+($X8:$AD8="C")*10+($X8:$AD8="A")*8+($X8:$AD8="J")*5+($X8:$AD8="CEP")*4+($X8:$AD8="CP")*6+($X8:$AD8="CRO")*6+($X8:$AD8="M+")*6+($X8:$AD8="T+")*6+($X8:$AD8="D+")*12+($X8:$AD8="N+")*12+($X8:$AD8="Dm+")*12+($X8:$AD8="Dt+")*12+($X8:$AD8="Tm-")*6+($X8:$AD8="Mt-")*6)</f>
        <v/>
      </c>
      <c r="BA8" s="118">
        <f>AZ8-MAX(0,IFERROR(INDEX(CADASTRO!$I$4:$I$80,MATCH($A8,CADASTRO!$A$4:$A$80,0)),$B8)-CONFIG!$B$50*(COUNTIF($X8:$AD8,"AB")+COUNTIF($X8:$AD8,"FE")+COUNTIF($X8:$AD8,"LM")))</f>
        <v/>
      </c>
      <c r="BB8" s="117">
        <f>SUMPRODUCT(($AE8:$AJ8="M")*6+($AE8:$AJ8="T")*6+($AE8:$AJ8="D")*12+($AE8:$AJ8="N")*12+($AE8:$AJ8="NT")*6+($AE8:$AJ8="C")*10+($AE8:$AJ8="A")*8+($AE8:$AJ8="J")*5+($AE8:$AJ8="CEP")*4+($AE8:$AJ8="CP")*6+($AE8:$AJ8="CRO")*6+($AE8:$AJ8="M+")*6+($AE8:$AJ8="T+")*6+($AE8:$AJ8="D+")*12+($AE8:$AJ8="N+")*12+($AE8:$AJ8="Dm+")*12+($AE8:$AJ8="Dt+")*12+($AE8:$AJ8="Tm-")*6+($AE8:$AJ8="Mt-")*6)+SUMPRODUCT(($AN8:$AN8="M")*6+($AN8:$AN8="T")*6+($AN8:$AN8="D")*12+($AN8:$AN8="N")*12+($AN8:$AN8="NT")*6+($AN8:$AN8="C")*10+($AN8:$AN8="A")*8+($AN8:$AN8="J")*5+($AN8:$AN8="CEP")*4+($AN8:$AN8="CP")*6+($AN8:$AN8="CRO")*6+($AN8:$AN8="M+")*6+($AN8:$AN8="T+")*6+($AN8:$AN8="D+")*12+($AN8:$AN8="N+")*12+($AN8:$AN8="Dm+")*12+($AN8:$AN8="Dt+")*12+($AN8:$AN8="Tm-")*6+($AN8:$AN8="Mt-")*6)</f>
        <v/>
      </c>
      <c r="BC8" s="118">
        <f>BB8-MAX(0,IFERROR(INDEX(CADASTRO!$I$4:$I$80,MATCH($A8,CADASTRO!$A$4:$A$80,0)),$B8)-CONFIG!$B$50*(COUNTIF($AE8:$AJ8,"AB")+COUNTIF($AE8:$AJ8,"FE")+COUNTIF($AE8:$AJ8,"LM")+COUNTIF($AN8:$AN8,"AB")+COUNTIF($AN8:$AN8,"FE")+COUNTIF($AN8:$AN8,"LM")))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ROUND(B8*4.0,0)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36">
        <f>IFERROR(INDEX(JAN!AH$8:AH$73,MATCH($A9,JAN!$A$8:$A$73,0))&amp;"","")</f>
        <v/>
      </c>
      <c r="D9" s="136">
        <f>IFERROR(INDEX(JAN!AI$8:AI$73,MATCH($A9,JAN!$A$8:$A$73,0))&amp;"","")</f>
        <v/>
      </c>
      <c r="E9" s="136">
        <f>IFERROR(INDEX(JAN!AJ$8:AJ$73,MATCH($A9,JAN!$A$8:$A$73,0))&amp;"","")</f>
        <v/>
      </c>
      <c r="F9" s="136">
        <f>IFERROR(INDEX(JAN!AK$8:AK$73,MATCH($A9,JAN!$A$8:$A$73,0))&amp;"","")</f>
        <v/>
      </c>
      <c r="G9" s="136">
        <f>IFERROR(INDEX(JAN!AL$8:AL$73,MATCH($A9,JAN!$A$8:$A$73,0))&amp;"","")</f>
        <v/>
      </c>
      <c r="H9" s="116">
        <f>IFERROR(INDEX(JAN!AM$8:AM$73,MATCH($A9,JAN!$A$8:$A$73,0))&amp;"","")</f>
        <v/>
      </c>
      <c r="I9" s="114" t="n"/>
      <c r="J9" s="115" t="inlineStr">
        <is>
          <t>M</t>
        </is>
      </c>
      <c r="K9" s="115" t="inlineStr">
        <is>
          <t>M</t>
        </is>
      </c>
      <c r="L9" s="115" t="inlineStr">
        <is>
          <t>M</t>
        </is>
      </c>
      <c r="M9" s="137" t="inlineStr">
        <is>
          <t>C</t>
        </is>
      </c>
      <c r="N9" s="137" t="inlineStr">
        <is>
          <t>C</t>
        </is>
      </c>
      <c r="O9" s="114" t="n"/>
      <c r="P9" s="114" t="n"/>
      <c r="Q9" s="115" t="inlineStr">
        <is>
          <t>M</t>
        </is>
      </c>
      <c r="R9" s="115" t="inlineStr">
        <is>
          <t>M</t>
        </is>
      </c>
      <c r="S9" s="115" t="inlineStr">
        <is>
          <t>M</t>
        </is>
      </c>
      <c r="T9" s="137" t="inlineStr">
        <is>
          <t>C</t>
        </is>
      </c>
      <c r="U9" s="115" t="inlineStr">
        <is>
          <t>M</t>
        </is>
      </c>
      <c r="V9" s="114" t="n"/>
      <c r="W9" s="114" t="n"/>
      <c r="X9" s="115" t="inlineStr">
        <is>
          <t>M</t>
        </is>
      </c>
      <c r="Y9" s="115" t="inlineStr">
        <is>
          <t>M</t>
        </is>
      </c>
      <c r="Z9" s="115" t="inlineStr">
        <is>
          <t>M</t>
        </is>
      </c>
      <c r="AA9" s="137" t="inlineStr">
        <is>
          <t>C</t>
        </is>
      </c>
      <c r="AB9" s="115" t="inlineStr">
        <is>
          <t>M</t>
        </is>
      </c>
      <c r="AC9" s="114" t="n"/>
      <c r="AD9" s="114" t="n"/>
      <c r="AE9" s="115" t="inlineStr">
        <is>
          <t>M</t>
        </is>
      </c>
      <c r="AF9" s="115" t="inlineStr">
        <is>
          <t>M</t>
        </is>
      </c>
      <c r="AG9" s="115" t="inlineStr">
        <is>
          <t>M</t>
        </is>
      </c>
      <c r="AH9" s="137" t="inlineStr">
        <is>
          <t>C</t>
        </is>
      </c>
      <c r="AI9" s="115" t="inlineStr">
        <is>
          <t>M</t>
        </is>
      </c>
      <c r="AJ9" s="114" t="n"/>
      <c r="AK9" s="100" t="n"/>
      <c r="AL9" s="100" t="n"/>
      <c r="AM9" s="100" t="n"/>
      <c r="AN9" s="116">
        <f>IFERROR(INDEX(MAR!I$8:I$73,MATCH($A9,MAR!$A$8:$A$73,0))&amp;"","")</f>
        <v/>
      </c>
      <c r="AO9" s="100" t="n"/>
      <c r="AP9" s="100" t="n"/>
      <c r="AQ9" s="100" t="n"/>
      <c r="AR9" s="100" t="n"/>
      <c r="AS9" s="100" t="n"/>
      <c r="AT9" s="117">
        <f>SUMPRODUCT(($C9:$I9="M")*6+($C9:$I9="T")*6+($C9:$I9="D")*12+($C9:$I9="N")*12+($C9:$I9="NT")*6+($C9:$I9="C")*10+($C9:$I9="A")*8+($C9:$I9="J")*5+($C9:$I9="CEP")*4+($C9:$I9="CP")*6+($C9:$I9="CRO")*6+($C9:$I9="M+")*6+($C9:$I9="T+")*6+($C9:$I9="D+")*12+($C9:$I9="N+")*12+($C9:$I9="Dm+")*12+($C9:$I9="Dt+")*12+($C9:$I9="Tm-")*6+($C9:$I9="Mt-")*6)</f>
        <v/>
      </c>
      <c r="AU9" s="118">
        <f>AT9-MAX(0,IFERROR(INDEX(CADASTRO!$I$4:$I$80,MATCH($A9,CADASTRO!$A$4:$A$80,0)),$B9)-CONFIG!$B$50*(COUNTIF($C9:$I9,"AB")+COUNTIF($C9:$I9,"FE")+COUNTIF($C9:$I9,"LM")))</f>
        <v/>
      </c>
      <c r="AV9" s="117">
        <f>SUMPRODUCT(($J9:$P9="M")*6+($J9:$P9="T")*6+($J9:$P9="D")*12+($J9:$P9="N")*12+($J9:$P9="NT")*6+($J9:$P9="C")*10+($J9:$P9="A")*8+($J9:$P9="J")*5+($J9:$P9="CEP")*4+($J9:$P9="CP")*6+($J9:$P9="CRO")*6+($J9:$P9="M+")*6+($J9:$P9="T+")*6+($J9:$P9="D+")*12+($J9:$P9="N+")*12+($J9:$P9="Dm+")*12+($J9:$P9="Dt+")*12+($J9:$P9="Tm-")*6+($J9:$P9="Mt-")*6)</f>
        <v/>
      </c>
      <c r="AW9" s="118">
        <f>AV9-MAX(0,IFERROR(INDEX(CADASTRO!$I$4:$I$80,MATCH($A9,CADASTRO!$A$4:$A$80,0)),$B9)-CONFIG!$B$50*(COUNTIF($J9:$P9,"AB")+COUNTIF($J9:$P9,"FE")+COUNTIF($J9:$P9,"LM")))</f>
        <v/>
      </c>
      <c r="AX9" s="117">
        <f>SUMPRODUCT(($Q9:$W9="M")*6+($Q9:$W9="T")*6+($Q9:$W9="D")*12+($Q9:$W9="N")*12+($Q9:$W9="NT")*6+($Q9:$W9="C")*10+($Q9:$W9="A")*8+($Q9:$W9="J")*5+($Q9:$W9="CEP")*4+($Q9:$W9="CP")*6+($Q9:$W9="CRO")*6+($Q9:$W9="M+")*6+($Q9:$W9="T+")*6+($Q9:$W9="D+")*12+($Q9:$W9="N+")*12+($Q9:$W9="Dm+")*12+($Q9:$W9="Dt+")*12+($Q9:$W9="Tm-")*6+($Q9:$W9="Mt-")*6)</f>
        <v/>
      </c>
      <c r="AY9" s="118">
        <f>AX9-MAX(0,IFERROR(INDEX(CADASTRO!$I$4:$I$80,MATCH($A9,CADASTRO!$A$4:$A$80,0)),$B9)-CONFIG!$B$50*(COUNTIF($Q9:$W9,"AB")+COUNTIF($Q9:$W9,"FE")+COUNTIF($Q9:$W9,"LM")))</f>
        <v/>
      </c>
      <c r="AZ9" s="117">
        <f>SUMPRODUCT(($X9:$AD9="M")*6+($X9:$AD9="T")*6+($X9:$AD9="D")*12+($X9:$AD9="N")*12+($X9:$AD9="NT")*6+($X9:$AD9="C")*10+($X9:$AD9="A")*8+($X9:$AD9="J")*5+($X9:$AD9="CEP")*4+($X9:$AD9="CP")*6+($X9:$AD9="CRO")*6+($X9:$AD9="M+")*6+($X9:$AD9="T+")*6+($X9:$AD9="D+")*12+($X9:$AD9="N+")*12+($X9:$AD9="Dm+")*12+($X9:$AD9="Dt+")*12+($X9:$AD9="Tm-")*6+($X9:$AD9="Mt-")*6)</f>
        <v/>
      </c>
      <c r="BA9" s="118">
        <f>AZ9-MAX(0,IFERROR(INDEX(CADASTRO!$I$4:$I$80,MATCH($A9,CADASTRO!$A$4:$A$80,0)),$B9)-CONFIG!$B$50*(COUNTIF($X9:$AD9,"AB")+COUNTIF($X9:$AD9,"FE")+COUNTIF($X9:$AD9,"LM")))</f>
        <v/>
      </c>
      <c r="BB9" s="117">
        <f>SUMPRODUCT(($AE9:$AJ9="M")*6+($AE9:$AJ9="T")*6+($AE9:$AJ9="D")*12+($AE9:$AJ9="N")*12+($AE9:$AJ9="NT")*6+($AE9:$AJ9="C")*10+($AE9:$AJ9="A")*8+($AE9:$AJ9="J")*5+($AE9:$AJ9="CEP")*4+($AE9:$AJ9="CP")*6+($AE9:$AJ9="CRO")*6+($AE9:$AJ9="M+")*6+($AE9:$AJ9="T+")*6+($AE9:$AJ9="D+")*12+($AE9:$AJ9="N+")*12+($AE9:$AJ9="Dm+")*12+($AE9:$AJ9="Dt+")*12+($AE9:$AJ9="Tm-")*6+($AE9:$AJ9="Mt-")*6)+SUMPRODUCT(($AN9:$AN9="M")*6+($AN9:$AN9="T")*6+($AN9:$AN9="D")*12+($AN9:$AN9="N")*12+($AN9:$AN9="NT")*6+($AN9:$AN9="C")*10+($AN9:$AN9="A")*8+($AN9:$AN9="J")*5+($AN9:$AN9="CEP")*4+($AN9:$AN9="CP")*6+($AN9:$AN9="CRO")*6+($AN9:$AN9="M+")*6+($AN9:$AN9="T+")*6+($AN9:$AN9="D+")*12+($AN9:$AN9="N+")*12+($AN9:$AN9="Dm+")*12+($AN9:$AN9="Dt+")*12+($AN9:$AN9="Tm-")*6+($AN9:$AN9="Mt-")*6)</f>
        <v/>
      </c>
      <c r="BC9" s="118">
        <f>BB9-MAX(0,IFERROR(INDEX(CADASTRO!$I$4:$I$80,MATCH($A9,CADASTRO!$A$4:$A$80,0)),$B9)-CONFIG!$B$50*(COUNTIF($AE9:$AJ9,"AB")+COUNTIF($AE9:$AJ9,"FE")+COUNTIF($AE9:$AJ9,"LM")+COUNTIF($AN9:$AN9,"AB")+COUNTIF($AN9:$AN9,"FE")+COUNTIF($AN9:$AN9,"LM")))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ROUND(B9*4.0,0)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36">
        <f>IFERROR(INDEX(JAN!AH$8:AH$73,MATCH($A10,JAN!$A$8:$A$73,0))&amp;"","")</f>
        <v/>
      </c>
      <c r="D10" s="136">
        <f>IFERROR(INDEX(JAN!AI$8:AI$73,MATCH($A10,JAN!$A$8:$A$73,0))&amp;"","")</f>
        <v/>
      </c>
      <c r="E10" s="136">
        <f>IFERROR(INDEX(JAN!AJ$8:AJ$73,MATCH($A10,JAN!$A$8:$A$73,0))&amp;"","")</f>
        <v/>
      </c>
      <c r="F10" s="136">
        <f>IFERROR(INDEX(JAN!AK$8:AK$73,MATCH($A10,JAN!$A$8:$A$73,0))&amp;"","")</f>
        <v/>
      </c>
      <c r="G10" s="136">
        <f>IFERROR(INDEX(JAN!AL$8:AL$73,MATCH($A10,JAN!$A$8:$A$73,0))&amp;"","")</f>
        <v/>
      </c>
      <c r="H10" s="116">
        <f>IFERROR(INDEX(JAN!AM$8:AM$73,MATCH($A10,JAN!$A$8:$A$73,0))&amp;"","")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00" t="n"/>
      <c r="AL10" s="100" t="n"/>
      <c r="AM10" s="100" t="n"/>
      <c r="AN10" s="116">
        <f>IFERROR(INDEX(MAR!I$8:I$73,MATCH($A10,MAR!$A$8:$A$73,0))&amp;"","")</f>
        <v/>
      </c>
      <c r="AO10" s="100" t="n"/>
      <c r="AP10" s="100" t="n"/>
      <c r="AQ10" s="100" t="n"/>
      <c r="AR10" s="100" t="n"/>
      <c r="AS10" s="100" t="n"/>
      <c r="AT10" s="117">
        <f>SUMPRODUCT(($C10:$I10="M")*6+($C10:$I10="T")*6+($C10:$I10="D")*12+($C10:$I10="N")*12+($C10:$I10="NT")*6+($C10:$I10="C")*10+($C10:$I10="A")*8+($C10:$I10="J")*5+($C10:$I10="CEP")*4+($C10:$I10="CP")*6+($C10:$I10="CRO")*6+($C10:$I10="M+")*6+($C10:$I10="T+")*6+($C10:$I10="D+")*12+($C10:$I10="N+")*12+($C10:$I10="Dm+")*12+($C10:$I10="Dt+")*12+($C10:$I10="Tm-")*6+($C10:$I10="Mt-")*6)</f>
        <v/>
      </c>
      <c r="AU10" s="118">
        <f>AT10-MAX(0,IFERROR(INDEX(CADASTRO!$I$4:$I$80,MATCH($A10,CADASTRO!$A$4:$A$80,0)),$B10)-CONFIG!$B$50*(COUNTIF($C10:$I10,"AB")+COUNTIF($C10:$I10,"FE")+COUNTIF($C10:$I10,"LM")))</f>
        <v/>
      </c>
      <c r="AV10" s="117">
        <f>SUMPRODUCT(($J10:$P10="M")*6+($J10:$P10="T")*6+($J10:$P10="D")*12+($J10:$P10="N")*12+($J10:$P10="NT")*6+($J10:$P10="C")*10+($J10:$P10="A")*8+($J10:$P10="J")*5+($J10:$P10="CEP")*4+($J10:$P10="CP")*6+($J10:$P10="CRO")*6+($J10:$P10="M+")*6+($J10:$P10="T+")*6+($J10:$P10="D+")*12+($J10:$P10="N+")*12+($J10:$P10="Dm+")*12+($J10:$P10="Dt+")*12+($J10:$P10="Tm-")*6+($J10:$P10="Mt-")*6)</f>
        <v/>
      </c>
      <c r="AW10" s="118">
        <f>AV10-MAX(0,IFERROR(INDEX(CADASTRO!$I$4:$I$80,MATCH($A10,CADASTRO!$A$4:$A$80,0)),$B10)-CONFIG!$B$50*(COUNTIF($J10:$P10,"AB")+COUNTIF($J10:$P10,"FE")+COUNTIF($J10:$P10,"LM")))</f>
        <v/>
      </c>
      <c r="AX10" s="117">
        <f>SUMPRODUCT(($Q10:$W10="M")*6+($Q10:$W10="T")*6+($Q10:$W10="D")*12+($Q10:$W10="N")*12+($Q10:$W10="NT")*6+($Q10:$W10="C")*10+($Q10:$W10="A")*8+($Q10:$W10="J")*5+($Q10:$W10="CEP")*4+($Q10:$W10="CP")*6+($Q10:$W10="CRO")*6+($Q10:$W10="M+")*6+($Q10:$W10="T+")*6+($Q10:$W10="D+")*12+($Q10:$W10="N+")*12+($Q10:$W10="Dm+")*12+($Q10:$W10="Dt+")*12+($Q10:$W10="Tm-")*6+($Q10:$W10="Mt-")*6)</f>
        <v/>
      </c>
      <c r="AY10" s="118">
        <f>AX10-MAX(0,IFERROR(INDEX(CADASTRO!$I$4:$I$80,MATCH($A10,CADASTRO!$A$4:$A$80,0)),$B10)-CONFIG!$B$50*(COUNTIF($Q10:$W10,"AB")+COUNTIF($Q10:$W10,"FE")+COUNTIF($Q10:$W10,"LM")))</f>
        <v/>
      </c>
      <c r="AZ10" s="117">
        <f>SUMPRODUCT(($X10:$AD10="M")*6+($X10:$AD10="T")*6+($X10:$AD10="D")*12+($X10:$AD10="N")*12+($X10:$AD10="NT")*6+($X10:$AD10="C")*10+($X10:$AD10="A")*8+($X10:$AD10="J")*5+($X10:$AD10="CEP")*4+($X10:$AD10="CP")*6+($X10:$AD10="CRO")*6+($X10:$AD10="M+")*6+($X10:$AD10="T+")*6+($X10:$AD10="D+")*12+($X10:$AD10="N+")*12+($X10:$AD10="Dm+")*12+($X10:$AD10="Dt+")*12+($X10:$AD10="Tm-")*6+($X10:$AD10="Mt-")*6)</f>
        <v/>
      </c>
      <c r="BA10" s="118">
        <f>AZ10-MAX(0,IFERROR(INDEX(CADASTRO!$I$4:$I$80,MATCH($A10,CADASTRO!$A$4:$A$80,0)),$B10)-CONFIG!$B$50*(COUNTIF($X10:$AD10,"AB")+COUNTIF($X10:$AD10,"FE")+COUNTIF($X10:$AD10,"LM")))</f>
        <v/>
      </c>
      <c r="BB10" s="117">
        <f>SUMPRODUCT(($AE10:$AJ10="M")*6+($AE10:$AJ10="T")*6+($AE10:$AJ10="D")*12+($AE10:$AJ10="N")*12+($AE10:$AJ10="NT")*6+($AE10:$AJ10="C")*10+($AE10:$AJ10="A")*8+($AE10:$AJ10="J")*5+($AE10:$AJ10="CEP")*4+($AE10:$AJ10="CP")*6+($AE10:$AJ10="CRO")*6+($AE10:$AJ10="M+")*6+($AE10:$AJ10="T+")*6+($AE10:$AJ10="D+")*12+($AE10:$AJ10="N+")*12+($AE10:$AJ10="Dm+")*12+($AE10:$AJ10="Dt+")*12+($AE10:$AJ10="Tm-")*6+($AE10:$AJ10="Mt-")*6)+SUMPRODUCT(($AN10:$AN10="M")*6+($AN10:$AN10="T")*6+($AN10:$AN10="D")*12+($AN10:$AN10="N")*12+($AN10:$AN10="NT")*6+($AN10:$AN10="C")*10+($AN10:$AN10="A")*8+($AN10:$AN10="J")*5+($AN10:$AN10="CEP")*4+($AN10:$AN10="CP")*6+($AN10:$AN10="CRO")*6+($AN10:$AN10="M+")*6+($AN10:$AN10="T+")*6+($AN10:$AN10="D+")*12+($AN10:$AN10="N+")*12+($AN10:$AN10="Dm+")*12+($AN10:$AN10="Dt+")*12+($AN10:$AN10="Tm-")*6+($AN10:$AN10="Mt-")*6)</f>
        <v/>
      </c>
      <c r="BC10" s="118">
        <f>BB10-MAX(0,IFERROR(INDEX(CADASTRO!$I$4:$I$80,MATCH($A10,CADASTRO!$A$4:$A$80,0)),$B10)-CONFIG!$B$50*(COUNTIF($AE10:$AJ10,"AB")+COUNTIF($AE10:$AJ10,"FE")+COUNTIF($AE10:$AJ10,"LM")+COUNTIF($AN10:$AN10,"AB")+COUNTIF($AN10:$AN10,"FE")+COUNTIF($AN10:$AN10,"LM")))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ROUND(B10*4.0,0)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36">
        <f>IFERROR(INDEX(JAN!AH$8:AH$73,MATCH($A11,JAN!$A$8:$A$73,0))&amp;"","")</f>
        <v/>
      </c>
      <c r="D11" s="136">
        <f>IFERROR(INDEX(JAN!AI$8:AI$73,MATCH($A11,JAN!$A$8:$A$73,0))&amp;"","")</f>
        <v/>
      </c>
      <c r="E11" s="136">
        <f>IFERROR(INDEX(JAN!AJ$8:AJ$73,MATCH($A11,JAN!$A$8:$A$73,0))&amp;"","")</f>
        <v/>
      </c>
      <c r="F11" s="136">
        <f>IFERROR(INDEX(JAN!AK$8:AK$73,MATCH($A11,JAN!$A$8:$A$73,0))&amp;"","")</f>
        <v/>
      </c>
      <c r="G11" s="136">
        <f>IFERROR(INDEX(JAN!AL$8:AL$73,MATCH($A11,JAN!$A$8:$A$73,0))&amp;"","")</f>
        <v/>
      </c>
      <c r="H11" s="116">
        <f>IFERROR(INDEX(JAN!AM$8:AM$73,MATCH($A11,JAN!$A$8:$A$73,0))&amp;"","")</f>
        <v/>
      </c>
      <c r="I11" s="114" t="n"/>
      <c r="J11" s="124" t="inlineStr">
        <is>
          <t>D</t>
        </is>
      </c>
      <c r="K11" s="115" t="inlineStr">
        <is>
          <t>M</t>
        </is>
      </c>
      <c r="L11" s="124" t="inlineStr">
        <is>
          <t>D</t>
        </is>
      </c>
      <c r="M11" s="115" t="inlineStr">
        <is>
          <t>M</t>
        </is>
      </c>
      <c r="N11" s="115" t="inlineStr">
        <is>
          <t>M</t>
        </is>
      </c>
      <c r="O11" s="114" t="n"/>
      <c r="P11" s="114" t="n"/>
      <c r="Q11" s="115" t="inlineStr">
        <is>
          <t>M</t>
        </is>
      </c>
      <c r="R11" s="115" t="inlineStr">
        <is>
          <t>M</t>
        </is>
      </c>
      <c r="S11" s="115" t="inlineStr">
        <is>
          <t>M</t>
        </is>
      </c>
      <c r="T11" s="115" t="inlineStr">
        <is>
          <t>M</t>
        </is>
      </c>
      <c r="U11" s="123" t="inlineStr">
        <is>
          <t>M+</t>
        </is>
      </c>
      <c r="V11" s="125" t="inlineStr">
        <is>
          <t>N</t>
        </is>
      </c>
      <c r="W11" s="115" t="inlineStr">
        <is>
          <t>M</t>
        </is>
      </c>
      <c r="X11" s="115" t="inlineStr">
        <is>
          <t>M</t>
        </is>
      </c>
      <c r="Y11" s="115" t="inlineStr">
        <is>
          <t>M</t>
        </is>
      </c>
      <c r="Z11" s="115" t="inlineStr">
        <is>
          <t>M</t>
        </is>
      </c>
      <c r="AA11" s="127" t="inlineStr">
        <is>
          <t>Mt-</t>
        </is>
      </c>
      <c r="AB11" s="115" t="inlineStr">
        <is>
          <t>M</t>
        </is>
      </c>
      <c r="AC11" s="114" t="n"/>
      <c r="AD11" s="114" t="n"/>
      <c r="AE11" s="115" t="inlineStr">
        <is>
          <t>M</t>
        </is>
      </c>
      <c r="AF11" s="115" t="inlineStr">
        <is>
          <t>M</t>
        </is>
      </c>
      <c r="AG11" s="115" t="inlineStr">
        <is>
          <t>M</t>
        </is>
      </c>
      <c r="AH11" s="115" t="inlineStr">
        <is>
          <t>M</t>
        </is>
      </c>
      <c r="AI11" s="115" t="inlineStr">
        <is>
          <t>M</t>
        </is>
      </c>
      <c r="AJ11" s="114" t="n"/>
      <c r="AK11" s="100" t="n"/>
      <c r="AL11" s="100" t="n"/>
      <c r="AM11" s="100" t="n"/>
      <c r="AN11" s="116">
        <f>IFERROR(INDEX(MAR!I$8:I$73,MATCH($A11,MAR!$A$8:$A$73,0))&amp;"","")</f>
        <v/>
      </c>
      <c r="AO11" s="100" t="n"/>
      <c r="AP11" s="100" t="n"/>
      <c r="AQ11" s="100" t="n"/>
      <c r="AR11" s="100" t="n"/>
      <c r="AS11" s="100" t="n"/>
      <c r="AT11" s="117">
        <f>SUMPRODUCT(($C11:$I11="M")*6+($C11:$I11="T")*6+($C11:$I11="D")*12+($C11:$I11="N")*12+($C11:$I11="NT")*6+($C11:$I11="C")*10+($C11:$I11="A")*8+($C11:$I11="J")*5+($C11:$I11="CEP")*4+($C11:$I11="CP")*6+($C11:$I11="CRO")*6+($C11:$I11="M+")*6+($C11:$I11="T+")*6+($C11:$I11="D+")*12+($C11:$I11="N+")*12+($C11:$I11="Dm+")*12+($C11:$I11="Dt+")*12+($C11:$I11="Tm-")*6+($C11:$I11="Mt-")*6)</f>
        <v/>
      </c>
      <c r="AU11" s="118">
        <f>AT11-MAX(0,IFERROR(INDEX(CADASTRO!$I$4:$I$80,MATCH($A11,CADASTRO!$A$4:$A$80,0)),$B11)-CONFIG!$B$50*(COUNTIF($C11:$I11,"AB")+COUNTIF($C11:$I11,"FE")+COUNTIF($C11:$I11,"LM")))</f>
        <v/>
      </c>
      <c r="AV11" s="117">
        <f>SUMPRODUCT(($J11:$P11="M")*6+($J11:$P11="T")*6+($J11:$P11="D")*12+($J11:$P11="N")*12+($J11:$P11="NT")*6+($J11:$P11="C")*10+($J11:$P11="A")*8+($J11:$P11="J")*5+($J11:$P11="CEP")*4+($J11:$P11="CP")*6+($J11:$P11="CRO")*6+($J11:$P11="M+")*6+($J11:$P11="T+")*6+($J11:$P11="D+")*12+($J11:$P11="N+")*12+($J11:$P11="Dm+")*12+($J11:$P11="Dt+")*12+($J11:$P11="Tm-")*6+($J11:$P11="Mt-")*6)</f>
        <v/>
      </c>
      <c r="AW11" s="118">
        <f>AV11-MAX(0,IFERROR(INDEX(CADASTRO!$I$4:$I$80,MATCH($A11,CADASTRO!$A$4:$A$80,0)),$B11)-CONFIG!$B$50*(COUNTIF($J11:$P11,"AB")+COUNTIF($J11:$P11,"FE")+COUNTIF($J11:$P11,"LM")))</f>
        <v/>
      </c>
      <c r="AX11" s="117">
        <f>SUMPRODUCT(($Q11:$W11="M")*6+($Q11:$W11="T")*6+($Q11:$W11="D")*12+($Q11:$W11="N")*12+($Q11:$W11="NT")*6+($Q11:$W11="C")*10+($Q11:$W11="A")*8+($Q11:$W11="J")*5+($Q11:$W11="CEP")*4+($Q11:$W11="CP")*6+($Q11:$W11="CRO")*6+($Q11:$W11="M+")*6+($Q11:$W11="T+")*6+($Q11:$W11="D+")*12+($Q11:$W11="N+")*12+($Q11:$W11="Dm+")*12+($Q11:$W11="Dt+")*12+($Q11:$W11="Tm-")*6+($Q11:$W11="Mt-")*6)</f>
        <v/>
      </c>
      <c r="AY11" s="118">
        <f>AX11-MAX(0,IFERROR(INDEX(CADASTRO!$I$4:$I$80,MATCH($A11,CADASTRO!$A$4:$A$80,0)),$B11)-CONFIG!$B$50*(COUNTIF($Q11:$W11,"AB")+COUNTIF($Q11:$W11,"FE")+COUNTIF($Q11:$W11,"LM")))</f>
        <v/>
      </c>
      <c r="AZ11" s="117">
        <f>SUMPRODUCT(($X11:$AD11="M")*6+($X11:$AD11="T")*6+($X11:$AD11="D")*12+($X11:$AD11="N")*12+($X11:$AD11="NT")*6+($X11:$AD11="C")*10+($X11:$AD11="A")*8+($X11:$AD11="J")*5+($X11:$AD11="CEP")*4+($X11:$AD11="CP")*6+($X11:$AD11="CRO")*6+($X11:$AD11="M+")*6+($X11:$AD11="T+")*6+($X11:$AD11="D+")*12+($X11:$AD11="N+")*12+($X11:$AD11="Dm+")*12+($X11:$AD11="Dt+")*12+($X11:$AD11="Tm-")*6+($X11:$AD11="Mt-")*6)</f>
        <v/>
      </c>
      <c r="BA11" s="118">
        <f>AZ11-MAX(0,IFERROR(INDEX(CADASTRO!$I$4:$I$80,MATCH($A11,CADASTRO!$A$4:$A$80,0)),$B11)-CONFIG!$B$50*(COUNTIF($X11:$AD11,"AB")+COUNTIF($X11:$AD11,"FE")+COUNTIF($X11:$AD11,"LM")))</f>
        <v/>
      </c>
      <c r="BB11" s="117">
        <f>SUMPRODUCT(($AE11:$AJ11="M")*6+($AE11:$AJ11="T")*6+($AE11:$AJ11="D")*12+($AE11:$AJ11="N")*12+($AE11:$AJ11="NT")*6+($AE11:$AJ11="C")*10+($AE11:$AJ11="A")*8+($AE11:$AJ11="J")*5+($AE11:$AJ11="CEP")*4+($AE11:$AJ11="CP")*6+($AE11:$AJ11="CRO")*6+($AE11:$AJ11="M+")*6+($AE11:$AJ11="T+")*6+($AE11:$AJ11="D+")*12+($AE11:$AJ11="N+")*12+($AE11:$AJ11="Dm+")*12+($AE11:$AJ11="Dt+")*12+($AE11:$AJ11="Tm-")*6+($AE11:$AJ11="Mt-")*6)+SUMPRODUCT(($AN11:$AN11="M")*6+($AN11:$AN11="T")*6+($AN11:$AN11="D")*12+($AN11:$AN11="N")*12+($AN11:$AN11="NT")*6+($AN11:$AN11="C")*10+($AN11:$AN11="A")*8+($AN11:$AN11="J")*5+($AN11:$AN11="CEP")*4+($AN11:$AN11="CP")*6+($AN11:$AN11="CRO")*6+($AN11:$AN11="M+")*6+($AN11:$AN11="T+")*6+($AN11:$AN11="D+")*12+($AN11:$AN11="N+")*12+($AN11:$AN11="Dm+")*12+($AN11:$AN11="Dt+")*12+($AN11:$AN11="Tm-")*6+($AN11:$AN11="Mt-")*6)</f>
        <v/>
      </c>
      <c r="BC11" s="118">
        <f>BB11-MAX(0,IFERROR(INDEX(CADASTRO!$I$4:$I$80,MATCH($A11,CADASTRO!$A$4:$A$80,0)),$B11)-CONFIG!$B$50*(COUNTIF($AE11:$AJ11,"AB")+COUNTIF($AE11:$AJ11,"FE")+COUNTIF($AE11:$AJ11,"LM")+COUNTIF($AN11:$AN11,"AB")+COUNTIF($AN11:$AN11,"FE")+COUNTIF($AN11:$AN11,"LM")))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ROUND(B11*4.0,0)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36">
        <f>IFERROR(INDEX(JAN!AH$8:AH$73,MATCH($A12,JAN!$A$8:$A$73,0))&amp;"","")</f>
        <v/>
      </c>
      <c r="D12" s="136">
        <f>IFERROR(INDEX(JAN!AI$8:AI$73,MATCH($A12,JAN!$A$8:$A$73,0))&amp;"","")</f>
        <v/>
      </c>
      <c r="E12" s="136">
        <f>IFERROR(INDEX(JAN!AJ$8:AJ$73,MATCH($A12,JAN!$A$8:$A$73,0))&amp;"","")</f>
        <v/>
      </c>
      <c r="F12" s="136">
        <f>IFERROR(INDEX(JAN!AK$8:AK$73,MATCH($A12,JAN!$A$8:$A$73,0))&amp;"","")</f>
        <v/>
      </c>
      <c r="G12" s="136">
        <f>IFERROR(INDEX(JAN!AL$8:AL$73,MATCH($A12,JAN!$A$8:$A$73,0))&amp;"","")</f>
        <v/>
      </c>
      <c r="H12" s="116">
        <f>IFERROR(INDEX(JAN!AM$8:AM$73,MATCH($A12,JAN!$A$8:$A$73,0))&amp;"","")</f>
        <v/>
      </c>
      <c r="I12" s="114" t="n"/>
      <c r="J12" s="115" t="inlineStr">
        <is>
          <t>M</t>
        </is>
      </c>
      <c r="K12" s="124" t="inlineStr">
        <is>
          <t>D</t>
        </is>
      </c>
      <c r="L12" s="115" t="inlineStr">
        <is>
          <t>M</t>
        </is>
      </c>
      <c r="M12" s="115" t="inlineStr">
        <is>
          <t>M</t>
        </is>
      </c>
      <c r="N12" s="115" t="inlineStr">
        <is>
          <t>M</t>
        </is>
      </c>
      <c r="O12" s="114" t="n"/>
      <c r="P12" s="114" t="n"/>
      <c r="Q12" s="115" t="inlineStr">
        <is>
          <t>M</t>
        </is>
      </c>
      <c r="R12" s="124" t="inlineStr">
        <is>
          <t>D</t>
        </is>
      </c>
      <c r="S12" s="115" t="inlineStr">
        <is>
          <t>M</t>
        </is>
      </c>
      <c r="T12" s="124" t="inlineStr">
        <is>
          <t>D</t>
        </is>
      </c>
      <c r="U12" s="115" t="inlineStr">
        <is>
          <t>M</t>
        </is>
      </c>
      <c r="V12" s="114" t="n"/>
      <c r="W12" s="114" t="n"/>
      <c r="X12" s="115" t="inlineStr">
        <is>
          <t>M</t>
        </is>
      </c>
      <c r="Y12" s="115" t="inlineStr">
        <is>
          <t>M</t>
        </is>
      </c>
      <c r="Z12" s="115" t="inlineStr">
        <is>
          <t>M</t>
        </is>
      </c>
      <c r="AA12" s="115" t="inlineStr">
        <is>
          <t>M</t>
        </is>
      </c>
      <c r="AB12" s="115" t="inlineStr">
        <is>
          <t>M</t>
        </is>
      </c>
      <c r="AC12" s="124" t="inlineStr">
        <is>
          <t>D</t>
        </is>
      </c>
      <c r="AD12" s="114" t="n"/>
      <c r="AE12" s="115" t="inlineStr">
        <is>
          <t>M</t>
        </is>
      </c>
      <c r="AF12" s="115" t="inlineStr">
        <is>
          <t>M</t>
        </is>
      </c>
      <c r="AG12" s="115" t="inlineStr">
        <is>
          <t>M</t>
        </is>
      </c>
      <c r="AH12" s="115" t="inlineStr">
        <is>
          <t>M</t>
        </is>
      </c>
      <c r="AI12" s="115" t="inlineStr">
        <is>
          <t>M</t>
        </is>
      </c>
      <c r="AJ12" s="124" t="inlineStr">
        <is>
          <t>D</t>
        </is>
      </c>
      <c r="AK12" s="100" t="n"/>
      <c r="AL12" s="100" t="n"/>
      <c r="AM12" s="100" t="n"/>
      <c r="AN12" s="116">
        <f>IFERROR(INDEX(MAR!I$8:I$73,MATCH($A12,MAR!$A$8:$A$73,0))&amp;"","")</f>
        <v/>
      </c>
      <c r="AO12" s="100" t="n"/>
      <c r="AP12" s="100" t="n"/>
      <c r="AQ12" s="100" t="n"/>
      <c r="AR12" s="100" t="n"/>
      <c r="AS12" s="100" t="n"/>
      <c r="AT12" s="117">
        <f>SUMPRODUCT(($C12:$I12="M")*6+($C12:$I12="T")*6+($C12:$I12="D")*12+($C12:$I12="N")*12+($C12:$I12="NT")*6+($C12:$I12="C")*10+($C12:$I12="A")*8+($C12:$I12="J")*5+($C12:$I12="CEP")*4+($C12:$I12="CP")*6+($C12:$I12="CRO")*6+($C12:$I12="M+")*6+($C12:$I12="T+")*6+($C12:$I12="D+")*12+($C12:$I12="N+")*12+($C12:$I12="Dm+")*12+($C12:$I12="Dt+")*12+($C12:$I12="Tm-")*6+($C12:$I12="Mt-")*6)</f>
        <v/>
      </c>
      <c r="AU12" s="118">
        <f>AT12-MAX(0,IFERROR(INDEX(CADASTRO!$I$4:$I$80,MATCH($A12,CADASTRO!$A$4:$A$80,0)),$B12)-CONFIG!$B$50*(COUNTIF($C12:$I12,"AB")+COUNTIF($C12:$I12,"FE")+COUNTIF($C12:$I12,"LM")))</f>
        <v/>
      </c>
      <c r="AV12" s="117">
        <f>SUMPRODUCT(($J12:$P12="M")*6+($J12:$P12="T")*6+($J12:$P12="D")*12+($J12:$P12="N")*12+($J12:$P12="NT")*6+($J12:$P12="C")*10+($J12:$P12="A")*8+($J12:$P12="J")*5+($J12:$P12="CEP")*4+($J12:$P12="CP")*6+($J12:$P12="CRO")*6+($J12:$P12="M+")*6+($J12:$P12="T+")*6+($J12:$P12="D+")*12+($J12:$P12="N+")*12+($J12:$P12="Dm+")*12+($J12:$P12="Dt+")*12+($J12:$P12="Tm-")*6+($J12:$P12="Mt-")*6)</f>
        <v/>
      </c>
      <c r="AW12" s="118">
        <f>AV12-MAX(0,IFERROR(INDEX(CADASTRO!$I$4:$I$80,MATCH($A12,CADASTRO!$A$4:$A$80,0)),$B12)-CONFIG!$B$50*(COUNTIF($J12:$P12,"AB")+COUNTIF($J12:$P12,"FE")+COUNTIF($J12:$P12,"LM")))</f>
        <v/>
      </c>
      <c r="AX12" s="117">
        <f>SUMPRODUCT(($Q12:$W12="M")*6+($Q12:$W12="T")*6+($Q12:$W12="D")*12+($Q12:$W12="N")*12+($Q12:$W12="NT")*6+($Q12:$W12="C")*10+($Q12:$W12="A")*8+($Q12:$W12="J")*5+($Q12:$W12="CEP")*4+($Q12:$W12="CP")*6+($Q12:$W12="CRO")*6+($Q12:$W12="M+")*6+($Q12:$W12="T+")*6+($Q12:$W12="D+")*12+($Q12:$W12="N+")*12+($Q12:$W12="Dm+")*12+($Q12:$W12="Dt+")*12+($Q12:$W12="Tm-")*6+($Q12:$W12="Mt-")*6)</f>
        <v/>
      </c>
      <c r="AY12" s="118">
        <f>AX12-MAX(0,IFERROR(INDEX(CADASTRO!$I$4:$I$80,MATCH($A12,CADASTRO!$A$4:$A$80,0)),$B12)-CONFIG!$B$50*(COUNTIF($Q12:$W12,"AB")+COUNTIF($Q12:$W12,"FE")+COUNTIF($Q12:$W12,"LM")))</f>
        <v/>
      </c>
      <c r="AZ12" s="117">
        <f>SUMPRODUCT(($X12:$AD12="M")*6+($X12:$AD12="T")*6+($X12:$AD12="D")*12+($X12:$AD12="N")*12+($X12:$AD12="NT")*6+($X12:$AD12="C")*10+($X12:$AD12="A")*8+($X12:$AD12="J")*5+($X12:$AD12="CEP")*4+($X12:$AD12="CP")*6+($X12:$AD12="CRO")*6+($X12:$AD12="M+")*6+($X12:$AD12="T+")*6+($X12:$AD12="D+")*12+($X12:$AD12="N+")*12+($X12:$AD12="Dm+")*12+($X12:$AD12="Dt+")*12+($X12:$AD12="Tm-")*6+($X12:$AD12="Mt-")*6)</f>
        <v/>
      </c>
      <c r="BA12" s="118">
        <f>AZ12-MAX(0,IFERROR(INDEX(CADASTRO!$I$4:$I$80,MATCH($A12,CADASTRO!$A$4:$A$80,0)),$B12)-CONFIG!$B$50*(COUNTIF($X12:$AD12,"AB")+COUNTIF($X12:$AD12,"FE")+COUNTIF($X12:$AD12,"LM")))</f>
        <v/>
      </c>
      <c r="BB12" s="117">
        <f>SUMPRODUCT(($AE12:$AJ12="M")*6+($AE12:$AJ12="T")*6+($AE12:$AJ12="D")*12+($AE12:$AJ12="N")*12+($AE12:$AJ12="NT")*6+($AE12:$AJ12="C")*10+($AE12:$AJ12="A")*8+($AE12:$AJ12="J")*5+($AE12:$AJ12="CEP")*4+($AE12:$AJ12="CP")*6+($AE12:$AJ12="CRO")*6+($AE12:$AJ12="M+")*6+($AE12:$AJ12="T+")*6+($AE12:$AJ12="D+")*12+($AE12:$AJ12="N+")*12+($AE12:$AJ12="Dm+")*12+($AE12:$AJ12="Dt+")*12+($AE12:$AJ12="Tm-")*6+($AE12:$AJ12="Mt-")*6)+SUMPRODUCT(($AN12:$AN12="M")*6+($AN12:$AN12="T")*6+($AN12:$AN12="D")*12+($AN12:$AN12="N")*12+($AN12:$AN12="NT")*6+($AN12:$AN12="C")*10+($AN12:$AN12="A")*8+($AN12:$AN12="J")*5+($AN12:$AN12="CEP")*4+($AN12:$AN12="CP")*6+($AN12:$AN12="CRO")*6+($AN12:$AN12="M+")*6+($AN12:$AN12="T+")*6+($AN12:$AN12="D+")*12+($AN12:$AN12="N+")*12+($AN12:$AN12="Dm+")*12+($AN12:$AN12="Dt+")*12+($AN12:$AN12="Tm-")*6+($AN12:$AN12="Mt-")*6)</f>
        <v/>
      </c>
      <c r="BC12" s="118">
        <f>BB12-MAX(0,IFERROR(INDEX(CADASTRO!$I$4:$I$80,MATCH($A12,CADASTRO!$A$4:$A$80,0)),$B12)-CONFIG!$B$50*(COUNTIF($AE12:$AJ12,"AB")+COUNTIF($AE12:$AJ12,"FE")+COUNTIF($AE12:$AJ12,"LM")+COUNTIF($AN12:$AN12,"AB")+COUNTIF($AN12:$AN12,"FE")+COUNTIF($AN12:$AN12,"LM")))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ROUND(B12*4.0,0)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36">
        <f>IFERROR(INDEX(JAN!AH$8:AH$73,MATCH($A13,JAN!$A$8:$A$73,0))&amp;"","")</f>
        <v/>
      </c>
      <c r="D13" s="136">
        <f>IFERROR(INDEX(JAN!AI$8:AI$73,MATCH($A13,JAN!$A$8:$A$73,0))&amp;"","")</f>
        <v/>
      </c>
      <c r="E13" s="136">
        <f>IFERROR(INDEX(JAN!AJ$8:AJ$73,MATCH($A13,JAN!$A$8:$A$73,0))&amp;"","")</f>
        <v/>
      </c>
      <c r="F13" s="136">
        <f>IFERROR(INDEX(JAN!AK$8:AK$73,MATCH($A13,JAN!$A$8:$A$73,0))&amp;"","")</f>
        <v/>
      </c>
      <c r="G13" s="136">
        <f>IFERROR(INDEX(JAN!AL$8:AL$73,MATCH($A13,JAN!$A$8:$A$73,0))&amp;"","")</f>
        <v/>
      </c>
      <c r="H13" s="116">
        <f>IFERROR(INDEX(JAN!AM$8:AM$73,MATCH($A13,JAN!$A$8:$A$73,0))&amp;"","")</f>
        <v/>
      </c>
      <c r="I13" s="114" t="n"/>
      <c r="J13" s="115" t="inlineStr">
        <is>
          <t>M</t>
        </is>
      </c>
      <c r="K13" s="123" t="inlineStr">
        <is>
          <t>Dt+</t>
        </is>
      </c>
      <c r="L13" s="115" t="inlineStr">
        <is>
          <t>M</t>
        </is>
      </c>
      <c r="M13" s="115" t="inlineStr">
        <is>
          <t>M</t>
        </is>
      </c>
      <c r="N13" s="115" t="inlineStr">
        <is>
          <t>M</t>
        </is>
      </c>
      <c r="O13" s="125" t="inlineStr">
        <is>
          <t>N</t>
        </is>
      </c>
      <c r="P13" s="114" t="n"/>
      <c r="Q13" s="115" t="inlineStr">
        <is>
          <t>M</t>
        </is>
      </c>
      <c r="R13" s="123" t="inlineStr">
        <is>
          <t>Dt+</t>
        </is>
      </c>
      <c r="S13" s="115" t="inlineStr">
        <is>
          <t>M</t>
        </is>
      </c>
      <c r="T13" s="115" t="inlineStr">
        <is>
          <t>M</t>
        </is>
      </c>
      <c r="U13" s="115" t="inlineStr">
        <is>
          <t>M</t>
        </is>
      </c>
      <c r="V13" s="114" t="n"/>
      <c r="W13" s="114" t="n"/>
      <c r="X13" s="127" t="inlineStr">
        <is>
          <t>M-</t>
        </is>
      </c>
      <c r="Y13" s="127" t="inlineStr">
        <is>
          <t>M-</t>
        </is>
      </c>
      <c r="Z13" s="127" t="inlineStr">
        <is>
          <t>M-</t>
        </is>
      </c>
      <c r="AA13" s="115" t="inlineStr">
        <is>
          <t>M</t>
        </is>
      </c>
      <c r="AB13" s="115" t="inlineStr">
        <is>
          <t>M</t>
        </is>
      </c>
      <c r="AC13" s="114" t="n"/>
      <c r="AD13" s="125" t="inlineStr">
        <is>
          <t>N</t>
        </is>
      </c>
      <c r="AE13" s="115" t="inlineStr">
        <is>
          <t>M</t>
        </is>
      </c>
      <c r="AF13" s="123" t="inlineStr">
        <is>
          <t>Dt+</t>
        </is>
      </c>
      <c r="AG13" s="115" t="inlineStr">
        <is>
          <t>M</t>
        </is>
      </c>
      <c r="AH13" s="115" t="inlineStr">
        <is>
          <t>M</t>
        </is>
      </c>
      <c r="AI13" s="115" t="inlineStr">
        <is>
          <t>M</t>
        </is>
      </c>
      <c r="AJ13" s="114" t="n"/>
      <c r="AK13" s="100" t="n"/>
      <c r="AL13" s="100" t="n"/>
      <c r="AM13" s="100" t="n"/>
      <c r="AN13" s="116">
        <f>IFERROR(INDEX(MAR!I$8:I$73,MATCH($A13,MAR!$A$8:$A$73,0))&amp;"","")</f>
        <v/>
      </c>
      <c r="AO13" s="100" t="n"/>
      <c r="AP13" s="100" t="n"/>
      <c r="AQ13" s="100" t="n"/>
      <c r="AR13" s="100" t="n"/>
      <c r="AS13" s="100" t="n"/>
      <c r="AT13" s="117">
        <f>SUMPRODUCT(($C13:$I13="M")*6+($C13:$I13="T")*6+($C13:$I13="D")*12+($C13:$I13="N")*12+($C13:$I13="NT")*6+($C13:$I13="C")*10+($C13:$I13="A")*8+($C13:$I13="J")*5+($C13:$I13="CEP")*4+($C13:$I13="CP")*6+($C13:$I13="CRO")*6+($C13:$I13="M+")*6+($C13:$I13="T+")*6+($C13:$I13="D+")*12+($C13:$I13="N+")*12+($C13:$I13="Dm+")*12+($C13:$I13="Dt+")*12+($C13:$I13="Tm-")*6+($C13:$I13="Mt-")*6)</f>
        <v/>
      </c>
      <c r="AU13" s="118">
        <f>AT13-MAX(0,IFERROR(INDEX(CADASTRO!$I$4:$I$80,MATCH($A13,CADASTRO!$A$4:$A$80,0)),$B13)-CONFIG!$B$50*(COUNTIF($C13:$I13,"AB")+COUNTIF($C13:$I13,"FE")+COUNTIF($C13:$I13,"LM")))</f>
        <v/>
      </c>
      <c r="AV13" s="117">
        <f>SUMPRODUCT(($J13:$P13="M")*6+($J13:$P13="T")*6+($J13:$P13="D")*12+($J13:$P13="N")*12+($J13:$P13="NT")*6+($J13:$P13="C")*10+($J13:$P13="A")*8+($J13:$P13="J")*5+($J13:$P13="CEP")*4+($J13:$P13="CP")*6+($J13:$P13="CRO")*6+($J13:$P13="M+")*6+($J13:$P13="T+")*6+($J13:$P13="D+")*12+($J13:$P13="N+")*12+($J13:$P13="Dm+")*12+($J13:$P13="Dt+")*12+($J13:$P13="Tm-")*6+($J13:$P13="Mt-")*6)</f>
        <v/>
      </c>
      <c r="AW13" s="118">
        <f>AV13-MAX(0,IFERROR(INDEX(CADASTRO!$I$4:$I$80,MATCH($A13,CADASTRO!$A$4:$A$80,0)),$B13)-CONFIG!$B$50*(COUNTIF($J13:$P13,"AB")+COUNTIF($J13:$P13,"FE")+COUNTIF($J13:$P13,"LM")))</f>
        <v/>
      </c>
      <c r="AX13" s="117">
        <f>SUMPRODUCT(($Q13:$W13="M")*6+($Q13:$W13="T")*6+($Q13:$W13="D")*12+($Q13:$W13="N")*12+($Q13:$W13="NT")*6+($Q13:$W13="C")*10+($Q13:$W13="A")*8+($Q13:$W13="J")*5+($Q13:$W13="CEP")*4+($Q13:$W13="CP")*6+($Q13:$W13="CRO")*6+($Q13:$W13="M+")*6+($Q13:$W13="T+")*6+($Q13:$W13="D+")*12+($Q13:$W13="N+")*12+($Q13:$W13="Dm+")*12+($Q13:$W13="Dt+")*12+($Q13:$W13="Tm-")*6+($Q13:$W13="Mt-")*6)</f>
        <v/>
      </c>
      <c r="AY13" s="118">
        <f>AX13-MAX(0,IFERROR(INDEX(CADASTRO!$I$4:$I$80,MATCH($A13,CADASTRO!$A$4:$A$80,0)),$B13)-CONFIG!$B$50*(COUNTIF($Q13:$W13,"AB")+COUNTIF($Q13:$W13,"FE")+COUNTIF($Q13:$W13,"LM")))</f>
        <v/>
      </c>
      <c r="AZ13" s="117">
        <f>SUMPRODUCT(($X13:$AD13="M")*6+($X13:$AD13="T")*6+($X13:$AD13="D")*12+($X13:$AD13="N")*12+($X13:$AD13="NT")*6+($X13:$AD13="C")*10+($X13:$AD13="A")*8+($X13:$AD13="J")*5+($X13:$AD13="CEP")*4+($X13:$AD13="CP")*6+($X13:$AD13="CRO")*6+($X13:$AD13="M+")*6+($X13:$AD13="T+")*6+($X13:$AD13="D+")*12+($X13:$AD13="N+")*12+($X13:$AD13="Dm+")*12+($X13:$AD13="Dt+")*12+($X13:$AD13="Tm-")*6+($X13:$AD13="Mt-")*6)</f>
        <v/>
      </c>
      <c r="BA13" s="118">
        <f>AZ13-MAX(0,IFERROR(INDEX(CADASTRO!$I$4:$I$80,MATCH($A13,CADASTRO!$A$4:$A$80,0)),$B13)-CONFIG!$B$50*(COUNTIF($X13:$AD13,"AB")+COUNTIF($X13:$AD13,"FE")+COUNTIF($X13:$AD13,"LM")))</f>
        <v/>
      </c>
      <c r="BB13" s="117">
        <f>SUMPRODUCT(($AE13:$AJ13="M")*6+($AE13:$AJ13="T")*6+($AE13:$AJ13="D")*12+($AE13:$AJ13="N")*12+($AE13:$AJ13="NT")*6+($AE13:$AJ13="C")*10+($AE13:$AJ13="A")*8+($AE13:$AJ13="J")*5+($AE13:$AJ13="CEP")*4+($AE13:$AJ13="CP")*6+($AE13:$AJ13="CRO")*6+($AE13:$AJ13="M+")*6+($AE13:$AJ13="T+")*6+($AE13:$AJ13="D+")*12+($AE13:$AJ13="N+")*12+($AE13:$AJ13="Dm+")*12+($AE13:$AJ13="Dt+")*12+($AE13:$AJ13="Tm-")*6+($AE13:$AJ13="Mt-")*6)+SUMPRODUCT(($AN13:$AN13="M")*6+($AN13:$AN13="T")*6+($AN13:$AN13="D")*12+($AN13:$AN13="N")*12+($AN13:$AN13="NT")*6+($AN13:$AN13="C")*10+($AN13:$AN13="A")*8+($AN13:$AN13="J")*5+($AN13:$AN13="CEP")*4+($AN13:$AN13="CP")*6+($AN13:$AN13="CRO")*6+($AN13:$AN13="M+")*6+($AN13:$AN13="T+")*6+($AN13:$AN13="D+")*12+($AN13:$AN13="N+")*12+($AN13:$AN13="Dm+")*12+($AN13:$AN13="Dt+")*12+($AN13:$AN13="Tm-")*6+($AN13:$AN13="Mt-")*6)</f>
        <v/>
      </c>
      <c r="BC13" s="118">
        <f>BB13-MAX(0,IFERROR(INDEX(CADASTRO!$I$4:$I$80,MATCH($A13,CADASTRO!$A$4:$A$80,0)),$B13)-CONFIG!$B$50*(COUNTIF($AE13:$AJ13,"AB")+COUNTIF($AE13:$AJ13,"FE")+COUNTIF($AE13:$AJ13,"LM")+COUNTIF($AN13:$AN13,"AB")+COUNTIF($AN13:$AN13,"FE")+COUNTIF($AN13:$AN13,"LM")))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ROUND(B13*4.0,0)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36">
        <f>IFERROR(INDEX(JAN!AH$8:AH$73,MATCH($A14,JAN!$A$8:$A$73,0))&amp;"","")</f>
        <v/>
      </c>
      <c r="D14" s="136">
        <f>IFERROR(INDEX(JAN!AI$8:AI$73,MATCH($A14,JAN!$A$8:$A$73,0))&amp;"","")</f>
        <v/>
      </c>
      <c r="E14" s="136">
        <f>IFERROR(INDEX(JAN!AJ$8:AJ$73,MATCH($A14,JAN!$A$8:$A$73,0))&amp;"","")</f>
        <v/>
      </c>
      <c r="F14" s="136">
        <f>IFERROR(INDEX(JAN!AK$8:AK$73,MATCH($A14,JAN!$A$8:$A$73,0))&amp;"","")</f>
        <v/>
      </c>
      <c r="G14" s="136">
        <f>IFERROR(INDEX(JAN!AL$8:AL$73,MATCH($A14,JAN!$A$8:$A$73,0))&amp;"","")</f>
        <v/>
      </c>
      <c r="H14" s="116">
        <f>IFERROR(INDEX(JAN!AM$8:AM$73,MATCH($A14,JAN!$A$8:$A$73,0))&amp;"","")</f>
        <v/>
      </c>
      <c r="I14" s="126" t="inlineStr">
        <is>
          <t>T</t>
        </is>
      </c>
      <c r="J14" s="115" t="inlineStr">
        <is>
          <t>M</t>
        </is>
      </c>
      <c r="K14" s="115" t="inlineStr">
        <is>
          <t>M</t>
        </is>
      </c>
      <c r="L14" s="115" t="inlineStr">
        <is>
          <t>M</t>
        </is>
      </c>
      <c r="M14" s="115" t="inlineStr">
        <is>
          <t>M</t>
        </is>
      </c>
      <c r="N14" s="124" t="inlineStr">
        <is>
          <t>D</t>
        </is>
      </c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  <c r="AB14" s="114" t="n"/>
      <c r="AC14" s="114" t="n"/>
      <c r="AD14" s="114" t="n"/>
      <c r="AE14" s="115" t="inlineStr">
        <is>
          <t>M</t>
        </is>
      </c>
      <c r="AF14" s="115" t="inlineStr">
        <is>
          <t>M</t>
        </is>
      </c>
      <c r="AG14" s="115" t="inlineStr">
        <is>
          <t>M</t>
        </is>
      </c>
      <c r="AH14" s="115" t="inlineStr">
        <is>
          <t>M</t>
        </is>
      </c>
      <c r="AI14" s="124" t="inlineStr">
        <is>
          <t>D</t>
        </is>
      </c>
      <c r="AJ14" s="114" t="n"/>
      <c r="AK14" s="100" t="n"/>
      <c r="AL14" s="100" t="n"/>
      <c r="AM14" s="100" t="n"/>
      <c r="AN14" s="116">
        <f>IFERROR(INDEX(MAR!I$8:I$73,MATCH($A14,MAR!$A$8:$A$73,0))&amp;"","")</f>
        <v/>
      </c>
      <c r="AO14" s="100" t="n"/>
      <c r="AP14" s="100" t="n"/>
      <c r="AQ14" s="100" t="n"/>
      <c r="AR14" s="100" t="n"/>
      <c r="AS14" s="100" t="n"/>
      <c r="AT14" s="117">
        <f>SUMPRODUCT(($C14:$I14="M")*6+($C14:$I14="T")*6+($C14:$I14="D")*12+($C14:$I14="N")*12+($C14:$I14="NT")*6+($C14:$I14="C")*10+($C14:$I14="A")*8+($C14:$I14="J")*5+($C14:$I14="CEP")*4+($C14:$I14="CP")*6+($C14:$I14="CRO")*6+($C14:$I14="M+")*6+($C14:$I14="T+")*6+($C14:$I14="D+")*12+($C14:$I14="N+")*12+($C14:$I14="Dm+")*12+($C14:$I14="Dt+")*12+($C14:$I14="Tm-")*6+($C14:$I14="Mt-")*6)</f>
        <v/>
      </c>
      <c r="AU14" s="118">
        <f>AT14-MAX(0,IFERROR(INDEX(CADASTRO!$I$4:$I$80,MATCH($A14,CADASTRO!$A$4:$A$80,0)),$B14)-CONFIG!$B$50*(COUNTIF($C14:$I14,"AB")+COUNTIF($C14:$I14,"FE")+COUNTIF($C14:$I14,"LM")))</f>
        <v/>
      </c>
      <c r="AV14" s="117">
        <f>SUMPRODUCT(($J14:$P14="M")*6+($J14:$P14="T")*6+($J14:$P14="D")*12+($J14:$P14="N")*12+($J14:$P14="NT")*6+($J14:$P14="C")*10+($J14:$P14="A")*8+($J14:$P14="J")*5+($J14:$P14="CEP")*4+($J14:$P14="CP")*6+($J14:$P14="CRO")*6+($J14:$P14="M+")*6+($J14:$P14="T+")*6+($J14:$P14="D+")*12+($J14:$P14="N+")*12+($J14:$P14="Dm+")*12+($J14:$P14="Dt+")*12+($J14:$P14="Tm-")*6+($J14:$P14="Mt-")*6)</f>
        <v/>
      </c>
      <c r="AW14" s="118">
        <f>AV14-MAX(0,IFERROR(INDEX(CADASTRO!$I$4:$I$80,MATCH($A14,CADASTRO!$A$4:$A$80,0)),$B14)-CONFIG!$B$50*(COUNTIF($J14:$P14,"AB")+COUNTIF($J14:$P14,"FE")+COUNTIF($J14:$P14,"LM")))</f>
        <v/>
      </c>
      <c r="AX14" s="117">
        <f>SUMPRODUCT(($Q14:$W14="M")*6+($Q14:$W14="T")*6+($Q14:$W14="D")*12+($Q14:$W14="N")*12+($Q14:$W14="NT")*6+($Q14:$W14="C")*10+($Q14:$W14="A")*8+($Q14:$W14="J")*5+($Q14:$W14="CEP")*4+($Q14:$W14="CP")*6+($Q14:$W14="CRO")*6+($Q14:$W14="M+")*6+($Q14:$W14="T+")*6+($Q14:$W14="D+")*12+($Q14:$W14="N+")*12+($Q14:$W14="Dm+")*12+($Q14:$W14="Dt+")*12+($Q14:$W14="Tm-")*6+($Q14:$W14="Mt-")*6)</f>
        <v/>
      </c>
      <c r="AY14" s="118">
        <f>AX14-MAX(0,IFERROR(INDEX(CADASTRO!$I$4:$I$80,MATCH($A14,CADASTRO!$A$4:$A$80,0)),$B14)-CONFIG!$B$50*(COUNTIF($Q14:$W14,"AB")+COUNTIF($Q14:$W14,"FE")+COUNTIF($Q14:$W14,"LM")))</f>
        <v/>
      </c>
      <c r="AZ14" s="117">
        <f>SUMPRODUCT(($X14:$AD14="M")*6+($X14:$AD14="T")*6+($X14:$AD14="D")*12+($X14:$AD14="N")*12+($X14:$AD14="NT")*6+($X14:$AD14="C")*10+($X14:$AD14="A")*8+($X14:$AD14="J")*5+($X14:$AD14="CEP")*4+($X14:$AD14="CP")*6+($X14:$AD14="CRO")*6+($X14:$AD14="M+")*6+($X14:$AD14="T+")*6+($X14:$AD14="D+")*12+($X14:$AD14="N+")*12+($X14:$AD14="Dm+")*12+($X14:$AD14="Dt+")*12+($X14:$AD14="Tm-")*6+($X14:$AD14="Mt-")*6)</f>
        <v/>
      </c>
      <c r="BA14" s="118">
        <f>AZ14-MAX(0,IFERROR(INDEX(CADASTRO!$I$4:$I$80,MATCH($A14,CADASTRO!$A$4:$A$80,0)),$B14)-CONFIG!$B$50*(COUNTIF($X14:$AD14,"AB")+COUNTIF($X14:$AD14,"FE")+COUNTIF($X14:$AD14,"LM")))</f>
        <v/>
      </c>
      <c r="BB14" s="117">
        <f>SUMPRODUCT(($AE14:$AJ14="M")*6+($AE14:$AJ14="T")*6+($AE14:$AJ14="D")*12+($AE14:$AJ14="N")*12+($AE14:$AJ14="NT")*6+($AE14:$AJ14="C")*10+($AE14:$AJ14="A")*8+($AE14:$AJ14="J")*5+($AE14:$AJ14="CEP")*4+($AE14:$AJ14="CP")*6+($AE14:$AJ14="CRO")*6+($AE14:$AJ14="M+")*6+($AE14:$AJ14="T+")*6+($AE14:$AJ14="D+")*12+($AE14:$AJ14="N+")*12+($AE14:$AJ14="Dm+")*12+($AE14:$AJ14="Dt+")*12+($AE14:$AJ14="Tm-")*6+($AE14:$AJ14="Mt-")*6)+SUMPRODUCT(($AN14:$AN14="M")*6+($AN14:$AN14="T")*6+($AN14:$AN14="D")*12+($AN14:$AN14="N")*12+($AN14:$AN14="NT")*6+($AN14:$AN14="C")*10+($AN14:$AN14="A")*8+($AN14:$AN14="J")*5+($AN14:$AN14="CEP")*4+($AN14:$AN14="CP")*6+($AN14:$AN14="CRO")*6+($AN14:$AN14="M+")*6+($AN14:$AN14="T+")*6+($AN14:$AN14="D+")*12+($AN14:$AN14="N+")*12+($AN14:$AN14="Dm+")*12+($AN14:$AN14="Dt+")*12+($AN14:$AN14="Tm-")*6+($AN14:$AN14="Mt-")*6)</f>
        <v/>
      </c>
      <c r="BC14" s="118">
        <f>BB14-MAX(0,IFERROR(INDEX(CADASTRO!$I$4:$I$80,MATCH($A14,CADASTRO!$A$4:$A$80,0)),$B14)-CONFIG!$B$50*(COUNTIF($AE14:$AJ14,"AB")+COUNTIF($AE14:$AJ14,"FE")+COUNTIF($AE14:$AJ14,"LM")+COUNTIF($AN14:$AN14,"AB")+COUNTIF($AN14:$AN14,"FE")+COUNTIF($AN14:$AN14,"LM")))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ROUND(B14*4.0,0)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36">
        <f>IFERROR(INDEX(JAN!AH$8:AH$73,MATCH($A15,JAN!$A$8:$A$73,0))&amp;"","")</f>
        <v/>
      </c>
      <c r="D15" s="136">
        <f>IFERROR(INDEX(JAN!AI$8:AI$73,MATCH($A15,JAN!$A$8:$A$73,0))&amp;"","")</f>
        <v/>
      </c>
      <c r="E15" s="136">
        <f>IFERROR(INDEX(JAN!AJ$8:AJ$73,MATCH($A15,JAN!$A$8:$A$73,0))&amp;"","")</f>
        <v/>
      </c>
      <c r="F15" s="136">
        <f>IFERROR(INDEX(JAN!AK$8:AK$73,MATCH($A15,JAN!$A$8:$A$73,0))&amp;"","")</f>
        <v/>
      </c>
      <c r="G15" s="136">
        <f>IFERROR(INDEX(JAN!AL$8:AL$73,MATCH($A15,JAN!$A$8:$A$73,0))&amp;"","")</f>
        <v/>
      </c>
      <c r="H15" s="116">
        <f>IFERROR(INDEX(JAN!AM$8:AM$73,MATCH($A15,JAN!$A$8:$A$73,0))&amp;"","")</f>
        <v/>
      </c>
      <c r="I15" s="114" t="n"/>
      <c r="J15" s="115" t="inlineStr">
        <is>
          <t>M</t>
        </is>
      </c>
      <c r="K15" s="115" t="inlineStr">
        <is>
          <t>M</t>
        </is>
      </c>
      <c r="L15" s="115" t="inlineStr">
        <is>
          <t>M</t>
        </is>
      </c>
      <c r="M15" s="115" t="inlineStr">
        <is>
          <t>M</t>
        </is>
      </c>
      <c r="N15" s="115" t="inlineStr">
        <is>
          <t>M</t>
        </is>
      </c>
      <c r="O15" s="125" t="inlineStr">
        <is>
          <t>N</t>
        </is>
      </c>
      <c r="P15" s="114" t="n"/>
      <c r="Q15" s="115" t="inlineStr">
        <is>
          <t>M</t>
        </is>
      </c>
      <c r="R15" s="115" t="inlineStr">
        <is>
          <t>M</t>
        </is>
      </c>
      <c r="S15" s="115" t="inlineStr">
        <is>
          <t>M</t>
        </is>
      </c>
      <c r="T15" s="115" t="inlineStr">
        <is>
          <t>M</t>
        </is>
      </c>
      <c r="U15" s="115" t="inlineStr">
        <is>
          <t>M</t>
        </is>
      </c>
      <c r="V15" s="114" t="n"/>
      <c r="W15" s="114" t="n"/>
      <c r="X15" s="115" t="inlineStr">
        <is>
          <t>M</t>
        </is>
      </c>
      <c r="Y15" s="115" t="inlineStr">
        <is>
          <t>M</t>
        </is>
      </c>
      <c r="Z15" s="115" t="inlineStr">
        <is>
          <t>M</t>
        </is>
      </c>
      <c r="AA15" s="115" t="inlineStr">
        <is>
          <t>M</t>
        </is>
      </c>
      <c r="AB15" s="115" t="inlineStr">
        <is>
          <t>M</t>
        </is>
      </c>
      <c r="AC15" s="125" t="inlineStr">
        <is>
          <t>N</t>
        </is>
      </c>
      <c r="AD15" s="114" t="n"/>
      <c r="AE15" s="115" t="inlineStr">
        <is>
          <t>M</t>
        </is>
      </c>
      <c r="AF15" s="115" t="inlineStr">
        <is>
          <t>M</t>
        </is>
      </c>
      <c r="AG15" s="115" t="inlineStr">
        <is>
          <t>M</t>
        </is>
      </c>
      <c r="AH15" s="115" t="inlineStr">
        <is>
          <t>M</t>
        </is>
      </c>
      <c r="AI15" s="115" t="inlineStr">
        <is>
          <t>M</t>
        </is>
      </c>
      <c r="AJ15" s="114" t="n"/>
      <c r="AK15" s="100" t="n"/>
      <c r="AL15" s="100" t="n"/>
      <c r="AM15" s="100" t="n"/>
      <c r="AN15" s="116">
        <f>IFERROR(INDEX(MAR!I$8:I$73,MATCH($A15,MAR!$A$8:$A$73,0))&amp;"","")</f>
        <v/>
      </c>
      <c r="AO15" s="100" t="n"/>
      <c r="AP15" s="100" t="n"/>
      <c r="AQ15" s="100" t="n"/>
      <c r="AR15" s="100" t="n"/>
      <c r="AS15" s="100" t="n"/>
      <c r="AT15" s="117">
        <f>SUMPRODUCT(($C15:$I15="M")*6+($C15:$I15="T")*6+($C15:$I15="D")*12+($C15:$I15="N")*12+($C15:$I15="NT")*6+($C15:$I15="C")*10+($C15:$I15="A")*8+($C15:$I15="J")*5+($C15:$I15="CEP")*4+($C15:$I15="CP")*6+($C15:$I15="CRO")*6+($C15:$I15="M+")*6+($C15:$I15="T+")*6+($C15:$I15="D+")*12+($C15:$I15="N+")*12+($C15:$I15="Dm+")*12+($C15:$I15="Dt+")*12+($C15:$I15="Tm-")*6+($C15:$I15="Mt-")*6)</f>
        <v/>
      </c>
      <c r="AU15" s="118">
        <f>AT15-MAX(0,IFERROR(INDEX(CADASTRO!$I$4:$I$80,MATCH($A15,CADASTRO!$A$4:$A$80,0)),$B15)-CONFIG!$B$50*(COUNTIF($C15:$I15,"AB")+COUNTIF($C15:$I15,"FE")+COUNTIF($C15:$I15,"LM")))</f>
        <v/>
      </c>
      <c r="AV15" s="117">
        <f>SUMPRODUCT(($J15:$P15="M")*6+($J15:$P15="T")*6+($J15:$P15="D")*12+($J15:$P15="N")*12+($J15:$P15="NT")*6+($J15:$P15="C")*10+($J15:$P15="A")*8+($J15:$P15="J")*5+($J15:$P15="CEP")*4+($J15:$P15="CP")*6+($J15:$P15="CRO")*6+($J15:$P15="M+")*6+($J15:$P15="T+")*6+($J15:$P15="D+")*12+($J15:$P15="N+")*12+($J15:$P15="Dm+")*12+($J15:$P15="Dt+")*12+($J15:$P15="Tm-")*6+($J15:$P15="Mt-")*6)</f>
        <v/>
      </c>
      <c r="AW15" s="118">
        <f>AV15-MAX(0,IFERROR(INDEX(CADASTRO!$I$4:$I$80,MATCH($A15,CADASTRO!$A$4:$A$80,0)),$B15)-CONFIG!$B$50*(COUNTIF($J15:$P15,"AB")+COUNTIF($J15:$P15,"FE")+COUNTIF($J15:$P15,"LM")))</f>
        <v/>
      </c>
      <c r="AX15" s="117">
        <f>SUMPRODUCT(($Q15:$W15="M")*6+($Q15:$W15="T")*6+($Q15:$W15="D")*12+($Q15:$W15="N")*12+($Q15:$W15="NT")*6+($Q15:$W15="C")*10+($Q15:$W15="A")*8+($Q15:$W15="J")*5+($Q15:$W15="CEP")*4+($Q15:$W15="CP")*6+($Q15:$W15="CRO")*6+($Q15:$W15="M+")*6+($Q15:$W15="T+")*6+($Q15:$W15="D+")*12+($Q15:$W15="N+")*12+($Q15:$W15="Dm+")*12+($Q15:$W15="Dt+")*12+($Q15:$W15="Tm-")*6+($Q15:$W15="Mt-")*6)</f>
        <v/>
      </c>
      <c r="AY15" s="118">
        <f>AX15-MAX(0,IFERROR(INDEX(CADASTRO!$I$4:$I$80,MATCH($A15,CADASTRO!$A$4:$A$80,0)),$B15)-CONFIG!$B$50*(COUNTIF($Q15:$W15,"AB")+COUNTIF($Q15:$W15,"FE")+COUNTIF($Q15:$W15,"LM")))</f>
        <v/>
      </c>
      <c r="AZ15" s="117">
        <f>SUMPRODUCT(($X15:$AD15="M")*6+($X15:$AD15="T")*6+($X15:$AD15="D")*12+($X15:$AD15="N")*12+($X15:$AD15="NT")*6+($X15:$AD15="C")*10+($X15:$AD15="A")*8+($X15:$AD15="J")*5+($X15:$AD15="CEP")*4+($X15:$AD15="CP")*6+($X15:$AD15="CRO")*6+($X15:$AD15="M+")*6+($X15:$AD15="T+")*6+($X15:$AD15="D+")*12+($X15:$AD15="N+")*12+($X15:$AD15="Dm+")*12+($X15:$AD15="Dt+")*12+($X15:$AD15="Tm-")*6+($X15:$AD15="Mt-")*6)</f>
        <v/>
      </c>
      <c r="BA15" s="118">
        <f>AZ15-MAX(0,IFERROR(INDEX(CADASTRO!$I$4:$I$80,MATCH($A15,CADASTRO!$A$4:$A$80,0)),$B15)-CONFIG!$B$50*(COUNTIF($X15:$AD15,"AB")+COUNTIF($X15:$AD15,"FE")+COUNTIF($X15:$AD15,"LM")))</f>
        <v/>
      </c>
      <c r="BB15" s="117">
        <f>SUMPRODUCT(($AE15:$AJ15="M")*6+($AE15:$AJ15="T")*6+($AE15:$AJ15="D")*12+($AE15:$AJ15="N")*12+($AE15:$AJ15="NT")*6+($AE15:$AJ15="C")*10+($AE15:$AJ15="A")*8+($AE15:$AJ15="J")*5+($AE15:$AJ15="CEP")*4+($AE15:$AJ15="CP")*6+($AE15:$AJ15="CRO")*6+($AE15:$AJ15="M+")*6+($AE15:$AJ15="T+")*6+($AE15:$AJ15="D+")*12+($AE15:$AJ15="N+")*12+($AE15:$AJ15="Dm+")*12+($AE15:$AJ15="Dt+")*12+($AE15:$AJ15="Tm-")*6+($AE15:$AJ15="Mt-")*6)+SUMPRODUCT(($AN15:$AN15="M")*6+($AN15:$AN15="T")*6+($AN15:$AN15="D")*12+($AN15:$AN15="N")*12+($AN15:$AN15="NT")*6+($AN15:$AN15="C")*10+($AN15:$AN15="A")*8+($AN15:$AN15="J")*5+($AN15:$AN15="CEP")*4+($AN15:$AN15="CP")*6+($AN15:$AN15="CRO")*6+($AN15:$AN15="M+")*6+($AN15:$AN15="T+")*6+($AN15:$AN15="D+")*12+($AN15:$AN15="N+")*12+($AN15:$AN15="Dm+")*12+($AN15:$AN15="Dt+")*12+($AN15:$AN15="Tm-")*6+($AN15:$AN15="Mt-")*6)</f>
        <v/>
      </c>
      <c r="BC15" s="118">
        <f>BB15-MAX(0,IFERROR(INDEX(CADASTRO!$I$4:$I$80,MATCH($A15,CADASTRO!$A$4:$A$80,0)),$B15)-CONFIG!$B$50*(COUNTIF($AE15:$AJ15,"AB")+COUNTIF($AE15:$AJ15,"FE")+COUNTIF($AE15:$AJ15,"LM")+COUNTIF($AN15:$AN15,"AB")+COUNTIF($AN15:$AN15,"FE")+COUNTIF($AN15:$AN15,"LM")))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ROUND(B15*4.0,0)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36">
        <f>IFERROR(INDEX(JAN!AH$8:AH$73,MATCH($A16,JAN!$A$8:$A$73,0))&amp;"","")</f>
        <v/>
      </c>
      <c r="D16" s="136">
        <f>IFERROR(INDEX(JAN!AI$8:AI$73,MATCH($A16,JAN!$A$8:$A$73,0))&amp;"","")</f>
        <v/>
      </c>
      <c r="E16" s="136">
        <f>IFERROR(INDEX(JAN!AJ$8:AJ$73,MATCH($A16,JAN!$A$8:$A$73,0))&amp;"","")</f>
        <v/>
      </c>
      <c r="F16" s="136">
        <f>IFERROR(INDEX(JAN!AK$8:AK$73,MATCH($A16,JAN!$A$8:$A$73,0))&amp;"","")</f>
        <v/>
      </c>
      <c r="G16" s="136">
        <f>IFERROR(INDEX(JAN!AL$8:AL$73,MATCH($A16,JAN!$A$8:$A$73,0))&amp;"","")</f>
        <v/>
      </c>
      <c r="H16" s="116">
        <f>IFERROR(INDEX(JAN!AM$8:AM$73,MATCH($A16,JAN!$A$8:$A$73,0))&amp;"","")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4" t="n"/>
      <c r="AI16" s="114" t="n"/>
      <c r="AJ16" s="114" t="n"/>
      <c r="AK16" s="100" t="n"/>
      <c r="AL16" s="100" t="n"/>
      <c r="AM16" s="100" t="n"/>
      <c r="AN16" s="116">
        <f>IFERROR(INDEX(MAR!I$8:I$73,MATCH($A16,MAR!$A$8:$A$73,0))&amp;"","")</f>
        <v/>
      </c>
      <c r="AO16" s="100" t="n"/>
      <c r="AP16" s="100" t="n"/>
      <c r="AQ16" s="100" t="n"/>
      <c r="AR16" s="100" t="n"/>
      <c r="AS16" s="100" t="n"/>
      <c r="AT16" s="117">
        <f>SUMPRODUCT(($C16:$I16="M")*6+($C16:$I16="T")*6+($C16:$I16="D")*12+($C16:$I16="N")*12+($C16:$I16="NT")*6+($C16:$I16="C")*10+($C16:$I16="A")*8+($C16:$I16="J")*5+($C16:$I16="CEP")*4+($C16:$I16="CP")*6+($C16:$I16="CRO")*6+($C16:$I16="M+")*6+($C16:$I16="T+")*6+($C16:$I16="D+")*12+($C16:$I16="N+")*12+($C16:$I16="Dm+")*12+($C16:$I16="Dt+")*12+($C16:$I16="Tm-")*6+($C16:$I16="Mt-")*6)</f>
        <v/>
      </c>
      <c r="AU16" s="118">
        <f>AT16-MAX(0,IFERROR(INDEX(CADASTRO!$I$4:$I$80,MATCH($A16,CADASTRO!$A$4:$A$80,0)),$B16)-CONFIG!$B$50*(COUNTIF($C16:$I16,"AB")+COUNTIF($C16:$I16,"FE")+COUNTIF($C16:$I16,"LM")))</f>
        <v/>
      </c>
      <c r="AV16" s="117">
        <f>SUMPRODUCT(($J16:$P16="M")*6+($J16:$P16="T")*6+($J16:$P16="D")*12+($J16:$P16="N")*12+($J16:$P16="NT")*6+($J16:$P16="C")*10+($J16:$P16="A")*8+($J16:$P16="J")*5+($J16:$P16="CEP")*4+($J16:$P16="CP")*6+($J16:$P16="CRO")*6+($J16:$P16="M+")*6+($J16:$P16="T+")*6+($J16:$P16="D+")*12+($J16:$P16="N+")*12+($J16:$P16="Dm+")*12+($J16:$P16="Dt+")*12+($J16:$P16="Tm-")*6+($J16:$P16="Mt-")*6)</f>
        <v/>
      </c>
      <c r="AW16" s="118">
        <f>AV16-MAX(0,IFERROR(INDEX(CADASTRO!$I$4:$I$80,MATCH($A16,CADASTRO!$A$4:$A$80,0)),$B16)-CONFIG!$B$50*(COUNTIF($J16:$P16,"AB")+COUNTIF($J16:$P16,"FE")+COUNTIF($J16:$P16,"LM")))</f>
        <v/>
      </c>
      <c r="AX16" s="117">
        <f>SUMPRODUCT(($Q16:$W16="M")*6+($Q16:$W16="T")*6+($Q16:$W16="D")*12+($Q16:$W16="N")*12+($Q16:$W16="NT")*6+($Q16:$W16="C")*10+($Q16:$W16="A")*8+($Q16:$W16="J")*5+($Q16:$W16="CEP")*4+($Q16:$W16="CP")*6+($Q16:$W16="CRO")*6+($Q16:$W16="M+")*6+($Q16:$W16="T+")*6+($Q16:$W16="D+")*12+($Q16:$W16="N+")*12+($Q16:$W16="Dm+")*12+($Q16:$W16="Dt+")*12+($Q16:$W16="Tm-")*6+($Q16:$W16="Mt-")*6)</f>
        <v/>
      </c>
      <c r="AY16" s="118">
        <f>AX16-MAX(0,IFERROR(INDEX(CADASTRO!$I$4:$I$80,MATCH($A16,CADASTRO!$A$4:$A$80,0)),$B16)-CONFIG!$B$50*(COUNTIF($Q16:$W16,"AB")+COUNTIF($Q16:$W16,"FE")+COUNTIF($Q16:$W16,"LM")))</f>
        <v/>
      </c>
      <c r="AZ16" s="117">
        <f>SUMPRODUCT(($X16:$AD16="M")*6+($X16:$AD16="T")*6+($X16:$AD16="D")*12+($X16:$AD16="N")*12+($X16:$AD16="NT")*6+($X16:$AD16="C")*10+($X16:$AD16="A")*8+($X16:$AD16="J")*5+($X16:$AD16="CEP")*4+($X16:$AD16="CP")*6+($X16:$AD16="CRO")*6+($X16:$AD16="M+")*6+($X16:$AD16="T+")*6+($X16:$AD16="D+")*12+($X16:$AD16="N+")*12+($X16:$AD16="Dm+")*12+($X16:$AD16="Dt+")*12+($X16:$AD16="Tm-")*6+($X16:$AD16="Mt-")*6)</f>
        <v/>
      </c>
      <c r="BA16" s="118">
        <f>AZ16-MAX(0,IFERROR(INDEX(CADASTRO!$I$4:$I$80,MATCH($A16,CADASTRO!$A$4:$A$80,0)),$B16)-CONFIG!$B$50*(COUNTIF($X16:$AD16,"AB")+COUNTIF($X16:$AD16,"FE")+COUNTIF($X16:$AD16,"LM")))</f>
        <v/>
      </c>
      <c r="BB16" s="117">
        <f>SUMPRODUCT(($AE16:$AJ16="M")*6+($AE16:$AJ16="T")*6+($AE16:$AJ16="D")*12+($AE16:$AJ16="N")*12+($AE16:$AJ16="NT")*6+($AE16:$AJ16="C")*10+($AE16:$AJ16="A")*8+($AE16:$AJ16="J")*5+($AE16:$AJ16="CEP")*4+($AE16:$AJ16="CP")*6+($AE16:$AJ16="CRO")*6+($AE16:$AJ16="M+")*6+($AE16:$AJ16="T+")*6+($AE16:$AJ16="D+")*12+($AE16:$AJ16="N+")*12+($AE16:$AJ16="Dm+")*12+($AE16:$AJ16="Dt+")*12+($AE16:$AJ16="Tm-")*6+($AE16:$AJ16="Mt-")*6)+SUMPRODUCT(($AN16:$AN16="M")*6+($AN16:$AN16="T")*6+($AN16:$AN16="D")*12+($AN16:$AN16="N")*12+($AN16:$AN16="NT")*6+($AN16:$AN16="C")*10+($AN16:$AN16="A")*8+($AN16:$AN16="J")*5+($AN16:$AN16="CEP")*4+($AN16:$AN16="CP")*6+($AN16:$AN16="CRO")*6+($AN16:$AN16="M+")*6+($AN16:$AN16="T+")*6+($AN16:$AN16="D+")*12+($AN16:$AN16="N+")*12+($AN16:$AN16="Dm+")*12+($AN16:$AN16="Dt+")*12+($AN16:$AN16="Tm-")*6+($AN16:$AN16="Mt-")*6)</f>
        <v/>
      </c>
      <c r="BC16" s="118">
        <f>BB16-MAX(0,IFERROR(INDEX(CADASTRO!$I$4:$I$80,MATCH($A16,CADASTRO!$A$4:$A$80,0)),$B16)-CONFIG!$B$50*(COUNTIF($AE16:$AJ16,"AB")+COUNTIF($AE16:$AJ16,"FE")+COUNTIF($AE16:$AJ16,"LM")+COUNTIF($AN16:$AN16,"AB")+COUNTIF($AN16:$AN16,"FE")+COUNTIF($AN16:$AN16,"LM")))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ROUND(B16*4.0,0)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36">
        <f>IFERROR(INDEX(JAN!AH$8:AH$73,MATCH($A17,JAN!$A$8:$A$73,0))&amp;"","")</f>
        <v/>
      </c>
      <c r="D17" s="136">
        <f>IFERROR(INDEX(JAN!AI$8:AI$73,MATCH($A17,JAN!$A$8:$A$73,0))&amp;"","")</f>
        <v/>
      </c>
      <c r="E17" s="136">
        <f>IFERROR(INDEX(JAN!AJ$8:AJ$73,MATCH($A17,JAN!$A$8:$A$73,0))&amp;"","")</f>
        <v/>
      </c>
      <c r="F17" s="136">
        <f>IFERROR(INDEX(JAN!AK$8:AK$73,MATCH($A17,JAN!$A$8:$A$73,0))&amp;"","")</f>
        <v/>
      </c>
      <c r="G17" s="136">
        <f>IFERROR(INDEX(JAN!AL$8:AL$73,MATCH($A17,JAN!$A$8:$A$73,0))&amp;"","")</f>
        <v/>
      </c>
      <c r="H17" s="116">
        <f>IFERROR(INDEX(JAN!AM$8:AM$73,MATCH($A17,JAN!$A$8:$A$73,0))&amp;"","")</f>
        <v/>
      </c>
      <c r="I17" s="114" t="n"/>
      <c r="J17" s="125" t="inlineStr">
        <is>
          <t>N</t>
        </is>
      </c>
      <c r="K17" s="129" t="inlineStr">
        <is>
          <t>CEP</t>
        </is>
      </c>
      <c r="L17" s="126" t="inlineStr">
        <is>
          <t>T</t>
        </is>
      </c>
      <c r="M17" s="114" t="n"/>
      <c r="N17" s="114" t="n"/>
      <c r="O17" s="126" t="inlineStr">
        <is>
          <t>T</t>
        </is>
      </c>
      <c r="P17" s="125" t="inlineStr">
        <is>
          <t>N</t>
        </is>
      </c>
      <c r="Q17" s="125" t="inlineStr">
        <is>
          <t>N</t>
        </is>
      </c>
      <c r="R17" s="126" t="inlineStr">
        <is>
          <t>T</t>
        </is>
      </c>
      <c r="S17" s="114" t="n"/>
      <c r="T17" s="129" t="inlineStr">
        <is>
          <t>CEP</t>
        </is>
      </c>
      <c r="U17" s="114" t="n"/>
      <c r="V17" s="126" t="inlineStr">
        <is>
          <t>T</t>
        </is>
      </c>
      <c r="W17" s="125" t="inlineStr">
        <is>
          <t>N</t>
        </is>
      </c>
      <c r="X17" s="114" t="n"/>
      <c r="Y17" s="125" t="inlineStr">
        <is>
          <t>N</t>
        </is>
      </c>
      <c r="Z17" s="115" t="inlineStr">
        <is>
          <t>M</t>
        </is>
      </c>
      <c r="AA17" s="129" t="inlineStr">
        <is>
          <t>CEP</t>
        </is>
      </c>
      <c r="AB17" s="125" t="inlineStr">
        <is>
          <t>N</t>
        </is>
      </c>
      <c r="AC17" s="114" t="n"/>
      <c r="AD17" s="114" t="n"/>
      <c r="AE17" s="129" t="inlineStr">
        <is>
          <t>CEP</t>
        </is>
      </c>
      <c r="AF17" s="125" t="inlineStr">
        <is>
          <t>N</t>
        </is>
      </c>
      <c r="AG17" s="115" t="inlineStr">
        <is>
          <t>M</t>
        </is>
      </c>
      <c r="AH17" s="124" t="inlineStr">
        <is>
          <t>D</t>
        </is>
      </c>
      <c r="AI17" s="114" t="n"/>
      <c r="AJ17" s="115" t="inlineStr">
        <is>
          <t>M</t>
        </is>
      </c>
      <c r="AK17" s="100" t="n"/>
      <c r="AL17" s="100" t="n"/>
      <c r="AM17" s="100" t="n"/>
      <c r="AN17" s="116">
        <f>IFERROR(INDEX(MAR!I$8:I$73,MATCH($A17,MAR!$A$8:$A$73,0))&amp;"","")</f>
        <v/>
      </c>
      <c r="AO17" s="100" t="n"/>
      <c r="AP17" s="100" t="n"/>
      <c r="AQ17" s="100" t="n"/>
      <c r="AR17" s="100" t="n"/>
      <c r="AS17" s="100" t="n"/>
      <c r="AT17" s="117">
        <f>SUMPRODUCT(($C17:$I17="M")*6+($C17:$I17="T")*6+($C17:$I17="D")*12+($C17:$I17="N")*12+($C17:$I17="NT")*6+($C17:$I17="C")*10+($C17:$I17="A")*8+($C17:$I17="J")*5+($C17:$I17="CEP")*4+($C17:$I17="CP")*6+($C17:$I17="CRO")*6+($C17:$I17="M+")*6+($C17:$I17="T+")*6+($C17:$I17="D+")*12+($C17:$I17="N+")*12+($C17:$I17="Dm+")*12+($C17:$I17="Dt+")*12+($C17:$I17="Tm-")*6+($C17:$I17="Mt-")*6)</f>
        <v/>
      </c>
      <c r="AU17" s="118">
        <f>AT17-MAX(0,IFERROR(INDEX(CADASTRO!$I$4:$I$80,MATCH($A17,CADASTRO!$A$4:$A$80,0)),$B17)-CONFIG!$B$50*(COUNTIF($C17:$I17,"AB")+COUNTIF($C17:$I17,"FE")+COUNTIF($C17:$I17,"LM")))</f>
        <v/>
      </c>
      <c r="AV17" s="117">
        <f>SUMPRODUCT(($J17:$P17="M")*6+($J17:$P17="T")*6+($J17:$P17="D")*12+($J17:$P17="N")*12+($J17:$P17="NT")*6+($J17:$P17="C")*10+($J17:$P17="A")*8+($J17:$P17="J")*5+($J17:$P17="CEP")*4+($J17:$P17="CP")*6+($J17:$P17="CRO")*6+($J17:$P17="M+")*6+($J17:$P17="T+")*6+($J17:$P17="D+")*12+($J17:$P17="N+")*12+($J17:$P17="Dm+")*12+($J17:$P17="Dt+")*12+($J17:$P17="Tm-")*6+($J17:$P17="Mt-")*6)</f>
        <v/>
      </c>
      <c r="AW17" s="118">
        <f>AV17-MAX(0,IFERROR(INDEX(CADASTRO!$I$4:$I$80,MATCH($A17,CADASTRO!$A$4:$A$80,0)),$B17)-CONFIG!$B$50*(COUNTIF($J17:$P17,"AB")+COUNTIF($J17:$P17,"FE")+COUNTIF($J17:$P17,"LM")))</f>
        <v/>
      </c>
      <c r="AX17" s="117">
        <f>SUMPRODUCT(($Q17:$W17="M")*6+($Q17:$W17="T")*6+($Q17:$W17="D")*12+($Q17:$W17="N")*12+($Q17:$W17="NT")*6+($Q17:$W17="C")*10+($Q17:$W17="A")*8+($Q17:$W17="J")*5+($Q17:$W17="CEP")*4+($Q17:$W17="CP")*6+($Q17:$W17="CRO")*6+($Q17:$W17="M+")*6+($Q17:$W17="T+")*6+($Q17:$W17="D+")*12+($Q17:$W17="N+")*12+($Q17:$W17="Dm+")*12+($Q17:$W17="Dt+")*12+($Q17:$W17="Tm-")*6+($Q17:$W17="Mt-")*6)</f>
        <v/>
      </c>
      <c r="AY17" s="118">
        <f>AX17-MAX(0,IFERROR(INDEX(CADASTRO!$I$4:$I$80,MATCH($A17,CADASTRO!$A$4:$A$80,0)),$B17)-CONFIG!$B$50*(COUNTIF($Q17:$W17,"AB")+COUNTIF($Q17:$W17,"FE")+COUNTIF($Q17:$W17,"LM")))</f>
        <v/>
      </c>
      <c r="AZ17" s="117">
        <f>SUMPRODUCT(($X17:$AD17="M")*6+($X17:$AD17="T")*6+($X17:$AD17="D")*12+($X17:$AD17="N")*12+($X17:$AD17="NT")*6+($X17:$AD17="C")*10+($X17:$AD17="A")*8+($X17:$AD17="J")*5+($X17:$AD17="CEP")*4+($X17:$AD17="CP")*6+($X17:$AD17="CRO")*6+($X17:$AD17="M+")*6+($X17:$AD17="T+")*6+($X17:$AD17="D+")*12+($X17:$AD17="N+")*12+($X17:$AD17="Dm+")*12+($X17:$AD17="Dt+")*12+($X17:$AD17="Tm-")*6+($X17:$AD17="Mt-")*6)</f>
        <v/>
      </c>
      <c r="BA17" s="118">
        <f>AZ17-MAX(0,IFERROR(INDEX(CADASTRO!$I$4:$I$80,MATCH($A17,CADASTRO!$A$4:$A$80,0)),$B17)-CONFIG!$B$50*(COUNTIF($X17:$AD17,"AB")+COUNTIF($X17:$AD17,"FE")+COUNTIF($X17:$AD17,"LM")))</f>
        <v/>
      </c>
      <c r="BB17" s="117">
        <f>SUMPRODUCT(($AE17:$AJ17="M")*6+($AE17:$AJ17="T")*6+($AE17:$AJ17="D")*12+($AE17:$AJ17="N")*12+($AE17:$AJ17="NT")*6+($AE17:$AJ17="C")*10+($AE17:$AJ17="A")*8+($AE17:$AJ17="J")*5+($AE17:$AJ17="CEP")*4+($AE17:$AJ17="CP")*6+($AE17:$AJ17="CRO")*6+($AE17:$AJ17="M+")*6+($AE17:$AJ17="T+")*6+($AE17:$AJ17="D+")*12+($AE17:$AJ17="N+")*12+($AE17:$AJ17="Dm+")*12+($AE17:$AJ17="Dt+")*12+($AE17:$AJ17="Tm-")*6+($AE17:$AJ17="Mt-")*6)+SUMPRODUCT(($AN17:$AN17="M")*6+($AN17:$AN17="T")*6+($AN17:$AN17="D")*12+($AN17:$AN17="N")*12+($AN17:$AN17="NT")*6+($AN17:$AN17="C")*10+($AN17:$AN17="A")*8+($AN17:$AN17="J")*5+($AN17:$AN17="CEP")*4+($AN17:$AN17="CP")*6+($AN17:$AN17="CRO")*6+($AN17:$AN17="M+")*6+($AN17:$AN17="T+")*6+($AN17:$AN17="D+")*12+($AN17:$AN17="N+")*12+($AN17:$AN17="Dm+")*12+($AN17:$AN17="Dt+")*12+($AN17:$AN17="Tm-")*6+($AN17:$AN17="Mt-")*6)</f>
        <v/>
      </c>
      <c r="BC17" s="118">
        <f>BB17-MAX(0,IFERROR(INDEX(CADASTRO!$I$4:$I$80,MATCH($A17,CADASTRO!$A$4:$A$80,0)),$B17)-CONFIG!$B$50*(COUNTIF($AE17:$AJ17,"AB")+COUNTIF($AE17:$AJ17,"FE")+COUNTIF($AE17:$AJ17,"LM")+COUNTIF($AN17:$AN17,"AB")+COUNTIF($AN17:$AN17,"FE")+COUNTIF($AN17:$AN17,"LM")))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ROUND(B17*4.0,0)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36">
        <f>IFERROR(INDEX(JAN!AH$8:AH$73,MATCH($A18,JAN!$A$8:$A$73,0))&amp;"","")</f>
        <v/>
      </c>
      <c r="D18" s="136">
        <f>IFERROR(INDEX(JAN!AI$8:AI$73,MATCH($A18,JAN!$A$8:$A$73,0))&amp;"","")</f>
        <v/>
      </c>
      <c r="E18" s="136">
        <f>IFERROR(INDEX(JAN!AJ$8:AJ$73,MATCH($A18,JAN!$A$8:$A$73,0))&amp;"","")</f>
        <v/>
      </c>
      <c r="F18" s="136">
        <f>IFERROR(INDEX(JAN!AK$8:AK$73,MATCH($A18,JAN!$A$8:$A$73,0))&amp;"","")</f>
        <v/>
      </c>
      <c r="G18" s="136">
        <f>IFERROR(INDEX(JAN!AL$8:AL$73,MATCH($A18,JAN!$A$8:$A$73,0))&amp;"","")</f>
        <v/>
      </c>
      <c r="H18" s="116">
        <f>IFERROR(INDEX(JAN!AM$8:AM$73,MATCH($A18,JAN!$A$8:$A$73,0))&amp;"","")</f>
        <v/>
      </c>
      <c r="I18" s="114" t="n"/>
      <c r="J18" s="114" t="n"/>
      <c r="K18" s="114" t="n"/>
      <c r="L18" s="124" t="inlineStr">
        <is>
          <t>D</t>
        </is>
      </c>
      <c r="M18" s="126" t="inlineStr">
        <is>
          <t>T</t>
        </is>
      </c>
      <c r="N18" s="114" t="n"/>
      <c r="O18" s="114" t="n"/>
      <c r="P18" s="124" t="inlineStr">
        <is>
          <t>D</t>
        </is>
      </c>
      <c r="Q18" s="124" t="inlineStr">
        <is>
          <t>D</t>
        </is>
      </c>
      <c r="R18" s="114" t="n"/>
      <c r="S18" s="124" t="inlineStr">
        <is>
          <t>D</t>
        </is>
      </c>
      <c r="T18" s="114" t="n"/>
      <c r="U18" s="124" t="inlineStr">
        <is>
          <t>D</t>
        </is>
      </c>
      <c r="V18" s="114" t="n"/>
      <c r="W18" s="114" t="n"/>
      <c r="X18" s="124" t="inlineStr">
        <is>
          <t>D</t>
        </is>
      </c>
      <c r="Y18" s="114" t="n"/>
      <c r="Z18" s="124" t="inlineStr">
        <is>
          <t>D</t>
        </is>
      </c>
      <c r="AA18" s="114" t="n"/>
      <c r="AB18" s="114" t="n"/>
      <c r="AC18" s="114" t="n"/>
      <c r="AD18" s="124" t="inlineStr">
        <is>
          <t>D</t>
        </is>
      </c>
      <c r="AE18" s="124" t="inlineStr">
        <is>
          <t>D</t>
        </is>
      </c>
      <c r="AF18" s="114" t="n"/>
      <c r="AG18" s="124" t="inlineStr">
        <is>
          <t>D</t>
        </is>
      </c>
      <c r="AH18" s="114" t="n"/>
      <c r="AI18" s="114" t="n"/>
      <c r="AJ18" s="114" t="n"/>
      <c r="AK18" s="100" t="n"/>
      <c r="AL18" s="100" t="n"/>
      <c r="AM18" s="100" t="n"/>
      <c r="AN18" s="116">
        <f>IFERROR(INDEX(MAR!I$8:I$73,MATCH($A18,MAR!$A$8:$A$73,0))&amp;"","")</f>
        <v/>
      </c>
      <c r="AO18" s="100" t="n"/>
      <c r="AP18" s="100" t="n"/>
      <c r="AQ18" s="100" t="n"/>
      <c r="AR18" s="100" t="n"/>
      <c r="AS18" s="100" t="n"/>
      <c r="AT18" s="117">
        <f>SUMPRODUCT(($C18:$I18="M")*6+($C18:$I18="T")*6+($C18:$I18="D")*12+($C18:$I18="N")*12+($C18:$I18="NT")*6+($C18:$I18="C")*10+($C18:$I18="A")*8+($C18:$I18="J")*5+($C18:$I18="CEP")*4+($C18:$I18="CP")*6+($C18:$I18="CRO")*6+($C18:$I18="M+")*6+($C18:$I18="T+")*6+($C18:$I18="D+")*12+($C18:$I18="N+")*12+($C18:$I18="Dm+")*12+($C18:$I18="Dt+")*12+($C18:$I18="Tm-")*6+($C18:$I18="Mt-")*6)</f>
        <v/>
      </c>
      <c r="AU18" s="118">
        <f>AT18-MAX(0,IFERROR(INDEX(CADASTRO!$I$4:$I$80,MATCH($A18,CADASTRO!$A$4:$A$80,0)),$B18)-CONFIG!$B$50*(COUNTIF($C18:$I18,"AB")+COUNTIF($C18:$I18,"FE")+COUNTIF($C18:$I18,"LM")))</f>
        <v/>
      </c>
      <c r="AV18" s="117">
        <f>SUMPRODUCT(($J18:$P18="M")*6+($J18:$P18="T")*6+($J18:$P18="D")*12+($J18:$P18="N")*12+($J18:$P18="NT")*6+($J18:$P18="C")*10+($J18:$P18="A")*8+($J18:$P18="J")*5+($J18:$P18="CEP")*4+($J18:$P18="CP")*6+($J18:$P18="CRO")*6+($J18:$P18="M+")*6+($J18:$P18="T+")*6+($J18:$P18="D+")*12+($J18:$P18="N+")*12+($J18:$P18="Dm+")*12+($J18:$P18="Dt+")*12+($J18:$P18="Tm-")*6+($J18:$P18="Mt-")*6)</f>
        <v/>
      </c>
      <c r="AW18" s="118">
        <f>AV18-MAX(0,IFERROR(INDEX(CADASTRO!$I$4:$I$80,MATCH($A18,CADASTRO!$A$4:$A$80,0)),$B18)-CONFIG!$B$50*(COUNTIF($J18:$P18,"AB")+COUNTIF($J18:$P18,"FE")+COUNTIF($J18:$P18,"LM")))</f>
        <v/>
      </c>
      <c r="AX18" s="117">
        <f>SUMPRODUCT(($Q18:$W18="M")*6+($Q18:$W18="T")*6+($Q18:$W18="D")*12+($Q18:$W18="N")*12+($Q18:$W18="NT")*6+($Q18:$W18="C")*10+($Q18:$W18="A")*8+($Q18:$W18="J")*5+($Q18:$W18="CEP")*4+($Q18:$W18="CP")*6+($Q18:$W18="CRO")*6+($Q18:$W18="M+")*6+($Q18:$W18="T+")*6+($Q18:$W18="D+")*12+($Q18:$W18="N+")*12+($Q18:$W18="Dm+")*12+($Q18:$W18="Dt+")*12+($Q18:$W18="Tm-")*6+($Q18:$W18="Mt-")*6)</f>
        <v/>
      </c>
      <c r="AY18" s="118">
        <f>AX18-MAX(0,IFERROR(INDEX(CADASTRO!$I$4:$I$80,MATCH($A18,CADASTRO!$A$4:$A$80,0)),$B18)-CONFIG!$B$50*(COUNTIF($Q18:$W18,"AB")+COUNTIF($Q18:$W18,"FE")+COUNTIF($Q18:$W18,"LM")))</f>
        <v/>
      </c>
      <c r="AZ18" s="117">
        <f>SUMPRODUCT(($X18:$AD18="M")*6+($X18:$AD18="T")*6+($X18:$AD18="D")*12+($X18:$AD18="N")*12+($X18:$AD18="NT")*6+($X18:$AD18="C")*10+($X18:$AD18="A")*8+($X18:$AD18="J")*5+($X18:$AD18="CEP")*4+($X18:$AD18="CP")*6+($X18:$AD18="CRO")*6+($X18:$AD18="M+")*6+($X18:$AD18="T+")*6+($X18:$AD18="D+")*12+($X18:$AD18="N+")*12+($X18:$AD18="Dm+")*12+($X18:$AD18="Dt+")*12+($X18:$AD18="Tm-")*6+($X18:$AD18="Mt-")*6)</f>
        <v/>
      </c>
      <c r="BA18" s="118">
        <f>AZ18-MAX(0,IFERROR(INDEX(CADASTRO!$I$4:$I$80,MATCH($A18,CADASTRO!$A$4:$A$80,0)),$B18)-CONFIG!$B$50*(COUNTIF($X18:$AD18,"AB")+COUNTIF($X18:$AD18,"FE")+COUNTIF($X18:$AD18,"LM")))</f>
        <v/>
      </c>
      <c r="BB18" s="117">
        <f>SUMPRODUCT(($AE18:$AJ18="M")*6+($AE18:$AJ18="T")*6+($AE18:$AJ18="D")*12+($AE18:$AJ18="N")*12+($AE18:$AJ18="NT")*6+($AE18:$AJ18="C")*10+($AE18:$AJ18="A")*8+($AE18:$AJ18="J")*5+($AE18:$AJ18="CEP")*4+($AE18:$AJ18="CP")*6+($AE18:$AJ18="CRO")*6+($AE18:$AJ18="M+")*6+($AE18:$AJ18="T+")*6+($AE18:$AJ18="D+")*12+($AE18:$AJ18="N+")*12+($AE18:$AJ18="Dm+")*12+($AE18:$AJ18="Dt+")*12+($AE18:$AJ18="Tm-")*6+($AE18:$AJ18="Mt-")*6)+SUMPRODUCT(($AN18:$AN18="M")*6+($AN18:$AN18="T")*6+($AN18:$AN18="D")*12+($AN18:$AN18="N")*12+($AN18:$AN18="NT")*6+($AN18:$AN18="C")*10+($AN18:$AN18="A")*8+($AN18:$AN18="J")*5+($AN18:$AN18="CEP")*4+($AN18:$AN18="CP")*6+($AN18:$AN18="CRO")*6+($AN18:$AN18="M+")*6+($AN18:$AN18="T+")*6+($AN18:$AN18="D+")*12+($AN18:$AN18="N+")*12+($AN18:$AN18="Dm+")*12+($AN18:$AN18="Dt+")*12+($AN18:$AN18="Tm-")*6+($AN18:$AN18="Mt-")*6)</f>
        <v/>
      </c>
      <c r="BC18" s="118">
        <f>BB18-MAX(0,IFERROR(INDEX(CADASTRO!$I$4:$I$80,MATCH($A18,CADASTRO!$A$4:$A$80,0)),$B18)-CONFIG!$B$50*(COUNTIF($AE18:$AJ18,"AB")+COUNTIF($AE18:$AJ18,"FE")+COUNTIF($AE18:$AJ18,"LM")+COUNTIF($AN18:$AN18,"AB")+COUNTIF($AN18:$AN18,"FE")+COUNTIF($AN18:$AN18,"LM")))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ROUND(B18*4.0,0)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36">
        <f>IFERROR(INDEX(JAN!AH$8:AH$73,MATCH($A19,JAN!$A$8:$A$73,0))&amp;"","")</f>
        <v/>
      </c>
      <c r="D19" s="136">
        <f>IFERROR(INDEX(JAN!AI$8:AI$73,MATCH($A19,JAN!$A$8:$A$73,0))&amp;"","")</f>
        <v/>
      </c>
      <c r="E19" s="136">
        <f>IFERROR(INDEX(JAN!AJ$8:AJ$73,MATCH($A19,JAN!$A$8:$A$73,0))&amp;"","")</f>
        <v/>
      </c>
      <c r="F19" s="136">
        <f>IFERROR(INDEX(JAN!AK$8:AK$73,MATCH($A19,JAN!$A$8:$A$73,0))&amp;"","")</f>
        <v/>
      </c>
      <c r="G19" s="136">
        <f>IFERROR(INDEX(JAN!AL$8:AL$73,MATCH($A19,JAN!$A$8:$A$73,0))&amp;"","")</f>
        <v/>
      </c>
      <c r="H19" s="116">
        <f>IFERROR(INDEX(JAN!AM$8:AM$73,MATCH($A19,JAN!$A$8:$A$73,0))&amp;"","")</f>
        <v/>
      </c>
      <c r="I19" s="125" t="inlineStr">
        <is>
          <t>N</t>
        </is>
      </c>
      <c r="J19" s="114" t="n"/>
      <c r="K19" s="114" t="n"/>
      <c r="L19" s="125" t="inlineStr">
        <is>
          <t>N</t>
        </is>
      </c>
      <c r="M19" s="114" t="n"/>
      <c r="N19" s="125" t="inlineStr">
        <is>
          <t>N</t>
        </is>
      </c>
      <c r="O19" s="114" t="n"/>
      <c r="P19" s="125" t="inlineStr">
        <is>
          <t>N</t>
        </is>
      </c>
      <c r="Q19" s="125" t="inlineStr">
        <is>
          <t>N</t>
        </is>
      </c>
      <c r="R19" s="114" t="n"/>
      <c r="S19" s="125" t="inlineStr">
        <is>
          <t>N</t>
        </is>
      </c>
      <c r="T19" s="125" t="inlineStr">
        <is>
          <t>N</t>
        </is>
      </c>
      <c r="U19" s="114" t="n"/>
      <c r="V19" s="114" t="n"/>
      <c r="W19" s="114" t="n"/>
      <c r="X19" s="114" t="n"/>
      <c r="Y19" s="114" t="n"/>
      <c r="Z19" s="125" t="inlineStr">
        <is>
          <t>N</t>
        </is>
      </c>
      <c r="AA19" s="125" t="inlineStr">
        <is>
          <t>N</t>
        </is>
      </c>
      <c r="AB19" s="114" t="n"/>
      <c r="AC19" s="114" t="n"/>
      <c r="AD19" s="125" t="inlineStr">
        <is>
          <t>N</t>
        </is>
      </c>
      <c r="AE19" s="114" t="n"/>
      <c r="AF19" s="114" t="n"/>
      <c r="AG19" s="125" t="inlineStr">
        <is>
          <t>N</t>
        </is>
      </c>
      <c r="AH19" s="125" t="inlineStr">
        <is>
          <t>N</t>
        </is>
      </c>
      <c r="AI19" s="114" t="n"/>
      <c r="AJ19" s="114" t="n"/>
      <c r="AK19" s="100" t="n"/>
      <c r="AL19" s="100" t="n"/>
      <c r="AM19" s="100" t="n"/>
      <c r="AN19" s="116">
        <f>IFERROR(INDEX(MAR!I$8:I$73,MATCH($A19,MAR!$A$8:$A$73,0))&amp;"","")</f>
        <v/>
      </c>
      <c r="AO19" s="100" t="n"/>
      <c r="AP19" s="100" t="n"/>
      <c r="AQ19" s="100" t="n"/>
      <c r="AR19" s="100" t="n"/>
      <c r="AS19" s="100" t="n"/>
      <c r="AT19" s="117">
        <f>SUMPRODUCT(($C19:$I19="M")*6+($C19:$I19="T")*6+($C19:$I19="D")*12+($C19:$I19="N")*12+($C19:$I19="NT")*6+($C19:$I19="C")*10+($C19:$I19="A")*8+($C19:$I19="J")*5+($C19:$I19="CEP")*4+($C19:$I19="CP")*6+($C19:$I19="CRO")*6+($C19:$I19="M+")*6+($C19:$I19="T+")*6+($C19:$I19="D+")*12+($C19:$I19="N+")*12+($C19:$I19="Dm+")*12+($C19:$I19="Dt+")*12+($C19:$I19="Tm-")*6+($C19:$I19="Mt-")*6)</f>
        <v/>
      </c>
      <c r="AU19" s="118">
        <f>AT19-MAX(0,IFERROR(INDEX(CADASTRO!$I$4:$I$80,MATCH($A19,CADASTRO!$A$4:$A$80,0)),$B19)-CONFIG!$B$50*(COUNTIF($C19:$I19,"AB")+COUNTIF($C19:$I19,"FE")+COUNTIF($C19:$I19,"LM")))</f>
        <v/>
      </c>
      <c r="AV19" s="117">
        <f>SUMPRODUCT(($J19:$P19="M")*6+($J19:$P19="T")*6+($J19:$P19="D")*12+($J19:$P19="N")*12+($J19:$P19="NT")*6+($J19:$P19="C")*10+($J19:$P19="A")*8+($J19:$P19="J")*5+($J19:$P19="CEP")*4+($J19:$P19="CP")*6+($J19:$P19="CRO")*6+($J19:$P19="M+")*6+($J19:$P19="T+")*6+($J19:$P19="D+")*12+($J19:$P19="N+")*12+($J19:$P19="Dm+")*12+($J19:$P19="Dt+")*12+($J19:$P19="Tm-")*6+($J19:$P19="Mt-")*6)</f>
        <v/>
      </c>
      <c r="AW19" s="118">
        <f>AV19-MAX(0,IFERROR(INDEX(CADASTRO!$I$4:$I$80,MATCH($A19,CADASTRO!$A$4:$A$80,0)),$B19)-CONFIG!$B$50*(COUNTIF($J19:$P19,"AB")+COUNTIF($J19:$P19,"FE")+COUNTIF($J19:$P19,"LM")))</f>
        <v/>
      </c>
      <c r="AX19" s="117">
        <f>SUMPRODUCT(($Q19:$W19="M")*6+($Q19:$W19="T")*6+($Q19:$W19="D")*12+($Q19:$W19="N")*12+($Q19:$W19="NT")*6+($Q19:$W19="C")*10+($Q19:$W19="A")*8+($Q19:$W19="J")*5+($Q19:$W19="CEP")*4+($Q19:$W19="CP")*6+($Q19:$W19="CRO")*6+($Q19:$W19="M+")*6+($Q19:$W19="T+")*6+($Q19:$W19="D+")*12+($Q19:$W19="N+")*12+($Q19:$W19="Dm+")*12+($Q19:$W19="Dt+")*12+($Q19:$W19="Tm-")*6+($Q19:$W19="Mt-")*6)</f>
        <v/>
      </c>
      <c r="AY19" s="118">
        <f>AX19-MAX(0,IFERROR(INDEX(CADASTRO!$I$4:$I$80,MATCH($A19,CADASTRO!$A$4:$A$80,0)),$B19)-CONFIG!$B$50*(COUNTIF($Q19:$W19,"AB")+COUNTIF($Q19:$W19,"FE")+COUNTIF($Q19:$W19,"LM")))</f>
        <v/>
      </c>
      <c r="AZ19" s="117">
        <f>SUMPRODUCT(($X19:$AD19="M")*6+($X19:$AD19="T")*6+($X19:$AD19="D")*12+($X19:$AD19="N")*12+($X19:$AD19="NT")*6+($X19:$AD19="C")*10+($X19:$AD19="A")*8+($X19:$AD19="J")*5+($X19:$AD19="CEP")*4+($X19:$AD19="CP")*6+($X19:$AD19="CRO")*6+($X19:$AD19="M+")*6+($X19:$AD19="T+")*6+($X19:$AD19="D+")*12+($X19:$AD19="N+")*12+($X19:$AD19="Dm+")*12+($X19:$AD19="Dt+")*12+($X19:$AD19="Tm-")*6+($X19:$AD19="Mt-")*6)</f>
        <v/>
      </c>
      <c r="BA19" s="118">
        <f>AZ19-MAX(0,IFERROR(INDEX(CADASTRO!$I$4:$I$80,MATCH($A19,CADASTRO!$A$4:$A$80,0)),$B19)-CONFIG!$B$50*(COUNTIF($X19:$AD19,"AB")+COUNTIF($X19:$AD19,"FE")+COUNTIF($X19:$AD19,"LM")))</f>
        <v/>
      </c>
      <c r="BB19" s="117">
        <f>SUMPRODUCT(($AE19:$AJ19="M")*6+($AE19:$AJ19="T")*6+($AE19:$AJ19="D")*12+($AE19:$AJ19="N")*12+($AE19:$AJ19="NT")*6+($AE19:$AJ19="C")*10+($AE19:$AJ19="A")*8+($AE19:$AJ19="J")*5+($AE19:$AJ19="CEP")*4+($AE19:$AJ19="CP")*6+($AE19:$AJ19="CRO")*6+($AE19:$AJ19="M+")*6+($AE19:$AJ19="T+")*6+($AE19:$AJ19="D+")*12+($AE19:$AJ19="N+")*12+($AE19:$AJ19="Dm+")*12+($AE19:$AJ19="Dt+")*12+($AE19:$AJ19="Tm-")*6+($AE19:$AJ19="Mt-")*6)+SUMPRODUCT(($AN19:$AN19="M")*6+($AN19:$AN19="T")*6+($AN19:$AN19="D")*12+($AN19:$AN19="N")*12+($AN19:$AN19="NT")*6+($AN19:$AN19="C")*10+($AN19:$AN19="A")*8+($AN19:$AN19="J")*5+($AN19:$AN19="CEP")*4+($AN19:$AN19="CP")*6+($AN19:$AN19="CRO")*6+($AN19:$AN19="M+")*6+($AN19:$AN19="T+")*6+($AN19:$AN19="D+")*12+($AN19:$AN19="N+")*12+($AN19:$AN19="Dm+")*12+($AN19:$AN19="Dt+")*12+($AN19:$AN19="Tm-")*6+($AN19:$AN19="Mt-")*6)</f>
        <v/>
      </c>
      <c r="BC19" s="118">
        <f>BB19-MAX(0,IFERROR(INDEX(CADASTRO!$I$4:$I$80,MATCH($A19,CADASTRO!$A$4:$A$80,0)),$B19)-CONFIG!$B$50*(COUNTIF($AE19:$AJ19,"AB")+COUNTIF($AE19:$AJ19,"FE")+COUNTIF($AE19:$AJ19,"LM")+COUNTIF($AN19:$AN19,"AB")+COUNTIF($AN19:$AN19,"FE")+COUNTIF($AN19:$AN19,"LM")))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ROUND(B19*4.0,0)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36">
        <f>IFERROR(INDEX(JAN!AH$8:AH$73,MATCH($A20,JAN!$A$8:$A$73,0))&amp;"","")</f>
        <v/>
      </c>
      <c r="D20" s="136">
        <f>IFERROR(INDEX(JAN!AI$8:AI$73,MATCH($A20,JAN!$A$8:$A$73,0))&amp;"","")</f>
        <v/>
      </c>
      <c r="E20" s="136">
        <f>IFERROR(INDEX(JAN!AJ$8:AJ$73,MATCH($A20,JAN!$A$8:$A$73,0))&amp;"","")</f>
        <v/>
      </c>
      <c r="F20" s="136">
        <f>IFERROR(INDEX(JAN!AK$8:AK$73,MATCH($A20,JAN!$A$8:$A$73,0))&amp;"","")</f>
        <v/>
      </c>
      <c r="G20" s="136">
        <f>IFERROR(INDEX(JAN!AL$8:AL$73,MATCH($A20,JAN!$A$8:$A$73,0))&amp;"","")</f>
        <v/>
      </c>
      <c r="H20" s="116">
        <f>IFERROR(INDEX(JAN!AM$8:AM$73,MATCH($A20,JAN!$A$8:$A$73,0))&amp;"","")</f>
        <v/>
      </c>
      <c r="I20" s="125" t="inlineStr">
        <is>
          <t>N</t>
        </is>
      </c>
      <c r="J20" s="125" t="inlineStr">
        <is>
          <t>N</t>
        </is>
      </c>
      <c r="K20" s="114" t="n"/>
      <c r="L20" s="125" t="inlineStr">
        <is>
          <t>N</t>
        </is>
      </c>
      <c r="M20" s="125" t="inlineStr">
        <is>
          <t>N</t>
        </is>
      </c>
      <c r="N20" s="114" t="n"/>
      <c r="O20" s="114" t="n"/>
      <c r="P20" s="114" t="n"/>
      <c r="Q20" s="114" t="n"/>
      <c r="R20" s="125" t="inlineStr">
        <is>
          <t>N</t>
        </is>
      </c>
      <c r="S20" s="114" t="n"/>
      <c r="T20" s="114" t="n"/>
      <c r="U20" s="114" t="n"/>
      <c r="V20" s="125" t="inlineStr">
        <is>
          <t>N</t>
        </is>
      </c>
      <c r="W20" s="125" t="inlineStr">
        <is>
          <t>N</t>
        </is>
      </c>
      <c r="X20" s="114" t="n"/>
      <c r="Y20" s="125" t="inlineStr">
        <is>
          <t>N</t>
        </is>
      </c>
      <c r="Z20" s="125" t="inlineStr">
        <is>
          <t>N</t>
        </is>
      </c>
      <c r="AA20" s="125" t="inlineStr">
        <is>
          <t>N</t>
        </is>
      </c>
      <c r="AB20" s="114" t="n"/>
      <c r="AC20" s="114" t="n"/>
      <c r="AD20" s="114" t="n"/>
      <c r="AE20" s="114" t="n"/>
      <c r="AF20" s="114" t="n"/>
      <c r="AG20" s="125" t="inlineStr">
        <is>
          <t>N</t>
        </is>
      </c>
      <c r="AH20" s="125" t="inlineStr">
        <is>
          <t>N</t>
        </is>
      </c>
      <c r="AI20" s="114" t="n"/>
      <c r="AJ20" s="114" t="n"/>
      <c r="AK20" s="100" t="n"/>
      <c r="AL20" s="100" t="n"/>
      <c r="AM20" s="100" t="n"/>
      <c r="AN20" s="116">
        <f>IFERROR(INDEX(MAR!I$8:I$73,MATCH($A20,MAR!$A$8:$A$73,0))&amp;"","")</f>
        <v/>
      </c>
      <c r="AO20" s="100" t="n"/>
      <c r="AP20" s="100" t="n"/>
      <c r="AQ20" s="100" t="n"/>
      <c r="AR20" s="100" t="n"/>
      <c r="AS20" s="100" t="n"/>
      <c r="AT20" s="117">
        <f>SUMPRODUCT(($C20:$I20="M")*6+($C20:$I20="T")*6+($C20:$I20="D")*12+($C20:$I20="N")*12+($C20:$I20="NT")*6+($C20:$I20="C")*10+($C20:$I20="A")*8+($C20:$I20="J")*5+($C20:$I20="CEP")*4+($C20:$I20="CP")*6+($C20:$I20="CRO")*6+($C20:$I20="M+")*6+($C20:$I20="T+")*6+($C20:$I20="D+")*12+($C20:$I20="N+")*12+($C20:$I20="Dm+")*12+($C20:$I20="Dt+")*12+($C20:$I20="Tm-")*6+($C20:$I20="Mt-")*6)</f>
        <v/>
      </c>
      <c r="AU20" s="118">
        <f>AT20-MAX(0,IFERROR(INDEX(CADASTRO!$I$4:$I$80,MATCH($A20,CADASTRO!$A$4:$A$80,0)),$B20)-CONFIG!$B$50*(COUNTIF($C20:$I20,"AB")+COUNTIF($C20:$I20,"FE")+COUNTIF($C20:$I20,"LM")))</f>
        <v/>
      </c>
      <c r="AV20" s="117">
        <f>SUMPRODUCT(($J20:$P20="M")*6+($J20:$P20="T")*6+($J20:$P20="D")*12+($J20:$P20="N")*12+($J20:$P20="NT")*6+($J20:$P20="C")*10+($J20:$P20="A")*8+($J20:$P20="J")*5+($J20:$P20="CEP")*4+($J20:$P20="CP")*6+($J20:$P20="CRO")*6+($J20:$P20="M+")*6+($J20:$P20="T+")*6+($J20:$P20="D+")*12+($J20:$P20="N+")*12+($J20:$P20="Dm+")*12+($J20:$P20="Dt+")*12+($J20:$P20="Tm-")*6+($J20:$P20="Mt-")*6)</f>
        <v/>
      </c>
      <c r="AW20" s="118">
        <f>AV20-MAX(0,IFERROR(INDEX(CADASTRO!$I$4:$I$80,MATCH($A20,CADASTRO!$A$4:$A$80,0)),$B20)-CONFIG!$B$50*(COUNTIF($J20:$P20,"AB")+COUNTIF($J20:$P20,"FE")+COUNTIF($J20:$P20,"LM")))</f>
        <v/>
      </c>
      <c r="AX20" s="117">
        <f>SUMPRODUCT(($Q20:$W20="M")*6+($Q20:$W20="T")*6+($Q20:$W20="D")*12+($Q20:$W20="N")*12+($Q20:$W20="NT")*6+($Q20:$W20="C")*10+($Q20:$W20="A")*8+($Q20:$W20="J")*5+($Q20:$W20="CEP")*4+($Q20:$W20="CP")*6+($Q20:$W20="CRO")*6+($Q20:$W20="M+")*6+($Q20:$W20="T+")*6+($Q20:$W20="D+")*12+($Q20:$W20="N+")*12+($Q20:$W20="Dm+")*12+($Q20:$W20="Dt+")*12+($Q20:$W20="Tm-")*6+($Q20:$W20="Mt-")*6)</f>
        <v/>
      </c>
      <c r="AY20" s="118">
        <f>AX20-MAX(0,IFERROR(INDEX(CADASTRO!$I$4:$I$80,MATCH($A20,CADASTRO!$A$4:$A$80,0)),$B20)-CONFIG!$B$50*(COUNTIF($Q20:$W20,"AB")+COUNTIF($Q20:$W20,"FE")+COUNTIF($Q20:$W20,"LM")))</f>
        <v/>
      </c>
      <c r="AZ20" s="117">
        <f>SUMPRODUCT(($X20:$AD20="M")*6+($X20:$AD20="T")*6+($X20:$AD20="D")*12+($X20:$AD20="N")*12+($X20:$AD20="NT")*6+($X20:$AD20="C")*10+($X20:$AD20="A")*8+($X20:$AD20="J")*5+($X20:$AD20="CEP")*4+($X20:$AD20="CP")*6+($X20:$AD20="CRO")*6+($X20:$AD20="M+")*6+($X20:$AD20="T+")*6+($X20:$AD20="D+")*12+($X20:$AD20="N+")*12+($X20:$AD20="Dm+")*12+($X20:$AD20="Dt+")*12+($X20:$AD20="Tm-")*6+($X20:$AD20="Mt-")*6)</f>
        <v/>
      </c>
      <c r="BA20" s="118">
        <f>AZ20-MAX(0,IFERROR(INDEX(CADASTRO!$I$4:$I$80,MATCH($A20,CADASTRO!$A$4:$A$80,0)),$B20)-CONFIG!$B$50*(COUNTIF($X20:$AD20,"AB")+COUNTIF($X20:$AD20,"FE")+COUNTIF($X20:$AD20,"LM")))</f>
        <v/>
      </c>
      <c r="BB20" s="117">
        <f>SUMPRODUCT(($AE20:$AJ20="M")*6+($AE20:$AJ20="T")*6+($AE20:$AJ20="D")*12+($AE20:$AJ20="N")*12+($AE20:$AJ20="NT")*6+($AE20:$AJ20="C")*10+($AE20:$AJ20="A")*8+($AE20:$AJ20="J")*5+($AE20:$AJ20="CEP")*4+($AE20:$AJ20="CP")*6+($AE20:$AJ20="CRO")*6+($AE20:$AJ20="M+")*6+($AE20:$AJ20="T+")*6+($AE20:$AJ20="D+")*12+($AE20:$AJ20="N+")*12+($AE20:$AJ20="Dm+")*12+($AE20:$AJ20="Dt+")*12+($AE20:$AJ20="Tm-")*6+($AE20:$AJ20="Mt-")*6)+SUMPRODUCT(($AN20:$AN20="M")*6+($AN20:$AN20="T")*6+($AN20:$AN20="D")*12+($AN20:$AN20="N")*12+($AN20:$AN20="NT")*6+($AN20:$AN20="C")*10+($AN20:$AN20="A")*8+($AN20:$AN20="J")*5+($AN20:$AN20="CEP")*4+($AN20:$AN20="CP")*6+($AN20:$AN20="CRO")*6+($AN20:$AN20="M+")*6+($AN20:$AN20="T+")*6+($AN20:$AN20="D+")*12+($AN20:$AN20="N+")*12+($AN20:$AN20="Dm+")*12+($AN20:$AN20="Dt+")*12+($AN20:$AN20="Tm-")*6+($AN20:$AN20="Mt-")*6)</f>
        <v/>
      </c>
      <c r="BC20" s="118">
        <f>BB20-MAX(0,IFERROR(INDEX(CADASTRO!$I$4:$I$80,MATCH($A20,CADASTRO!$A$4:$A$80,0)),$B20)-CONFIG!$B$50*(COUNTIF($AE20:$AJ20,"AB")+COUNTIF($AE20:$AJ20,"FE")+COUNTIF($AE20:$AJ20,"LM")+COUNTIF($AN20:$AN20,"AB")+COUNTIF($AN20:$AN20,"FE")+COUNTIF($AN20:$AN20,"LM")))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ROUND(B20*4.0,0)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36">
        <f>IFERROR(INDEX(JAN!AH$8:AH$73,MATCH($A21,JAN!$A$8:$A$73,0))&amp;"","")</f>
        <v/>
      </c>
      <c r="D21" s="136">
        <f>IFERROR(INDEX(JAN!AI$8:AI$73,MATCH($A21,JAN!$A$8:$A$73,0))&amp;"","")</f>
        <v/>
      </c>
      <c r="E21" s="136">
        <f>IFERROR(INDEX(JAN!AJ$8:AJ$73,MATCH($A21,JAN!$A$8:$A$73,0))&amp;"","")</f>
        <v/>
      </c>
      <c r="F21" s="136">
        <f>IFERROR(INDEX(JAN!AK$8:AK$73,MATCH($A21,JAN!$A$8:$A$73,0))&amp;"","")</f>
        <v/>
      </c>
      <c r="G21" s="136">
        <f>IFERROR(INDEX(JAN!AL$8:AL$73,MATCH($A21,JAN!$A$8:$A$73,0))&amp;"","")</f>
        <v/>
      </c>
      <c r="H21" s="116">
        <f>IFERROR(INDEX(JAN!AM$8:AM$73,MATCH($A21,JAN!$A$8:$A$73,0))&amp;"","")</f>
        <v/>
      </c>
      <c r="I21" s="114" t="n"/>
      <c r="J21" s="126" t="inlineStr">
        <is>
          <t>T</t>
        </is>
      </c>
      <c r="K21" s="124" t="inlineStr">
        <is>
          <t>D</t>
        </is>
      </c>
      <c r="L21" s="114" t="n"/>
      <c r="M21" s="125" t="inlineStr">
        <is>
          <t>N</t>
        </is>
      </c>
      <c r="N21" s="126" t="inlineStr">
        <is>
          <t>T</t>
        </is>
      </c>
      <c r="O21" s="114" t="n"/>
      <c r="P21" s="114" t="n"/>
      <c r="Q21" s="126" t="inlineStr">
        <is>
          <t>T</t>
        </is>
      </c>
      <c r="R21" s="124" t="inlineStr">
        <is>
          <t>D</t>
        </is>
      </c>
      <c r="S21" s="126" t="inlineStr">
        <is>
          <t>T</t>
        </is>
      </c>
      <c r="T21" s="114" t="n"/>
      <c r="U21" s="123" t="inlineStr">
        <is>
          <t>T+</t>
        </is>
      </c>
      <c r="V21" s="114" t="n"/>
      <c r="W21" s="125" t="inlineStr">
        <is>
          <t>N</t>
        </is>
      </c>
      <c r="X21" s="114" t="n"/>
      <c r="Y21" s="124" t="inlineStr">
        <is>
          <t>D</t>
        </is>
      </c>
      <c r="Z21" s="114" t="n"/>
      <c r="AA21" s="114" t="n"/>
      <c r="AB21" s="114" t="n"/>
      <c r="AC21" s="124" t="inlineStr">
        <is>
          <t>D</t>
        </is>
      </c>
      <c r="AD21" s="125" t="inlineStr">
        <is>
          <t>N</t>
        </is>
      </c>
      <c r="AE21" s="126" t="inlineStr">
        <is>
          <t>T</t>
        </is>
      </c>
      <c r="AF21" s="124" t="inlineStr">
        <is>
          <t>D</t>
        </is>
      </c>
      <c r="AG21" s="127" t="inlineStr">
        <is>
          <t>T-</t>
        </is>
      </c>
      <c r="AH21" s="114" t="n"/>
      <c r="AI21" s="125" t="inlineStr">
        <is>
          <t>N</t>
        </is>
      </c>
      <c r="AJ21" s="114" t="n"/>
      <c r="AK21" s="100" t="n"/>
      <c r="AL21" s="100" t="n"/>
      <c r="AM21" s="100" t="n"/>
      <c r="AN21" s="116">
        <f>IFERROR(INDEX(MAR!I$8:I$73,MATCH($A21,MAR!$A$8:$A$73,0))&amp;"","")</f>
        <v/>
      </c>
      <c r="AO21" s="100" t="n"/>
      <c r="AP21" s="100" t="n"/>
      <c r="AQ21" s="100" t="n"/>
      <c r="AR21" s="100" t="n"/>
      <c r="AS21" s="100" t="n"/>
      <c r="AT21" s="117">
        <f>SUMPRODUCT(($C21:$I21="M")*6+($C21:$I21="T")*6+($C21:$I21="D")*12+($C21:$I21="N")*12+($C21:$I21="NT")*6+($C21:$I21="C")*10+($C21:$I21="A")*8+($C21:$I21="J")*5+($C21:$I21="CEP")*4+($C21:$I21="CP")*6+($C21:$I21="CRO")*6+($C21:$I21="M+")*6+($C21:$I21="T+")*6+($C21:$I21="D+")*12+($C21:$I21="N+")*12+($C21:$I21="Dm+")*12+($C21:$I21="Dt+")*12+($C21:$I21="Tm-")*6+($C21:$I21="Mt-")*6)</f>
        <v/>
      </c>
      <c r="AU21" s="118">
        <f>AT21-MAX(0,IFERROR(INDEX(CADASTRO!$I$4:$I$80,MATCH($A21,CADASTRO!$A$4:$A$80,0)),$B21)-CONFIG!$B$50*(COUNTIF($C21:$I21,"AB")+COUNTIF($C21:$I21,"FE")+COUNTIF($C21:$I21,"LM")))</f>
        <v/>
      </c>
      <c r="AV21" s="117">
        <f>SUMPRODUCT(($J21:$P21="M")*6+($J21:$P21="T")*6+($J21:$P21="D")*12+($J21:$P21="N")*12+($J21:$P21="NT")*6+($J21:$P21="C")*10+($J21:$P21="A")*8+($J21:$P21="J")*5+($J21:$P21="CEP")*4+($J21:$P21="CP")*6+($J21:$P21="CRO")*6+($J21:$P21="M+")*6+($J21:$P21="T+")*6+($J21:$P21="D+")*12+($J21:$P21="N+")*12+($J21:$P21="Dm+")*12+($J21:$P21="Dt+")*12+($J21:$P21="Tm-")*6+($J21:$P21="Mt-")*6)</f>
        <v/>
      </c>
      <c r="AW21" s="118">
        <f>AV21-MAX(0,IFERROR(INDEX(CADASTRO!$I$4:$I$80,MATCH($A21,CADASTRO!$A$4:$A$80,0)),$B21)-CONFIG!$B$50*(COUNTIF($J21:$P21,"AB")+COUNTIF($J21:$P21,"FE")+COUNTIF($J21:$P21,"LM")))</f>
        <v/>
      </c>
      <c r="AX21" s="117">
        <f>SUMPRODUCT(($Q21:$W21="M")*6+($Q21:$W21="T")*6+($Q21:$W21="D")*12+($Q21:$W21="N")*12+($Q21:$W21="NT")*6+($Q21:$W21="C")*10+($Q21:$W21="A")*8+($Q21:$W21="J")*5+($Q21:$W21="CEP")*4+($Q21:$W21="CP")*6+($Q21:$W21="CRO")*6+($Q21:$W21="M+")*6+($Q21:$W21="T+")*6+($Q21:$W21="D+")*12+($Q21:$W21="N+")*12+($Q21:$W21="Dm+")*12+($Q21:$W21="Dt+")*12+($Q21:$W21="Tm-")*6+($Q21:$W21="Mt-")*6)</f>
        <v/>
      </c>
      <c r="AY21" s="118">
        <f>AX21-MAX(0,IFERROR(INDEX(CADASTRO!$I$4:$I$80,MATCH($A21,CADASTRO!$A$4:$A$80,0)),$B21)-CONFIG!$B$50*(COUNTIF($Q21:$W21,"AB")+COUNTIF($Q21:$W21,"FE")+COUNTIF($Q21:$W21,"LM")))</f>
        <v/>
      </c>
      <c r="AZ21" s="117">
        <f>SUMPRODUCT(($X21:$AD21="M")*6+($X21:$AD21="T")*6+($X21:$AD21="D")*12+($X21:$AD21="N")*12+($X21:$AD21="NT")*6+($X21:$AD21="C")*10+($X21:$AD21="A")*8+($X21:$AD21="J")*5+($X21:$AD21="CEP")*4+($X21:$AD21="CP")*6+($X21:$AD21="CRO")*6+($X21:$AD21="M+")*6+($X21:$AD21="T+")*6+($X21:$AD21="D+")*12+($X21:$AD21="N+")*12+($X21:$AD21="Dm+")*12+($X21:$AD21="Dt+")*12+($X21:$AD21="Tm-")*6+($X21:$AD21="Mt-")*6)</f>
        <v/>
      </c>
      <c r="BA21" s="118">
        <f>AZ21-MAX(0,IFERROR(INDEX(CADASTRO!$I$4:$I$80,MATCH($A21,CADASTRO!$A$4:$A$80,0)),$B21)-CONFIG!$B$50*(COUNTIF($X21:$AD21,"AB")+COUNTIF($X21:$AD21,"FE")+COUNTIF($X21:$AD21,"LM")))</f>
        <v/>
      </c>
      <c r="BB21" s="117">
        <f>SUMPRODUCT(($AE21:$AJ21="M")*6+($AE21:$AJ21="T")*6+($AE21:$AJ21="D")*12+($AE21:$AJ21="N")*12+($AE21:$AJ21="NT")*6+($AE21:$AJ21="C")*10+($AE21:$AJ21="A")*8+($AE21:$AJ21="J")*5+($AE21:$AJ21="CEP")*4+($AE21:$AJ21="CP")*6+($AE21:$AJ21="CRO")*6+($AE21:$AJ21="M+")*6+($AE21:$AJ21="T+")*6+($AE21:$AJ21="D+")*12+($AE21:$AJ21="N+")*12+($AE21:$AJ21="Dm+")*12+($AE21:$AJ21="Dt+")*12+($AE21:$AJ21="Tm-")*6+($AE21:$AJ21="Mt-")*6)+SUMPRODUCT(($AN21:$AN21="M")*6+($AN21:$AN21="T")*6+($AN21:$AN21="D")*12+($AN21:$AN21="N")*12+($AN21:$AN21="NT")*6+($AN21:$AN21="C")*10+($AN21:$AN21="A")*8+($AN21:$AN21="J")*5+($AN21:$AN21="CEP")*4+($AN21:$AN21="CP")*6+($AN21:$AN21="CRO")*6+($AN21:$AN21="M+")*6+($AN21:$AN21="T+")*6+($AN21:$AN21="D+")*12+($AN21:$AN21="N+")*12+($AN21:$AN21="Dm+")*12+($AN21:$AN21="Dt+")*12+($AN21:$AN21="Tm-")*6+($AN21:$AN21="Mt-")*6)</f>
        <v/>
      </c>
      <c r="BC21" s="118">
        <f>BB21-MAX(0,IFERROR(INDEX(CADASTRO!$I$4:$I$80,MATCH($A21,CADASTRO!$A$4:$A$80,0)),$B21)-CONFIG!$B$50*(COUNTIF($AE21:$AJ21,"AB")+COUNTIF($AE21:$AJ21,"FE")+COUNTIF($AE21:$AJ21,"LM")+COUNTIF($AN21:$AN21,"AB")+COUNTIF($AN21:$AN21,"FE")+COUNTIF($AN21:$AN21,"LM")))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ROUND(B21*4.0,0)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36">
        <f>IFERROR(INDEX(JAN!AH$8:AH$73,MATCH($A22,JAN!$A$8:$A$73,0))&amp;"","")</f>
        <v/>
      </c>
      <c r="D22" s="136">
        <f>IFERROR(INDEX(JAN!AI$8:AI$73,MATCH($A22,JAN!$A$8:$A$73,0))&amp;"","")</f>
        <v/>
      </c>
      <c r="E22" s="136">
        <f>IFERROR(INDEX(JAN!AJ$8:AJ$73,MATCH($A22,JAN!$A$8:$A$73,0))&amp;"","")</f>
        <v/>
      </c>
      <c r="F22" s="136">
        <f>IFERROR(INDEX(JAN!AK$8:AK$73,MATCH($A22,JAN!$A$8:$A$73,0))&amp;"","")</f>
        <v/>
      </c>
      <c r="G22" s="136">
        <f>IFERROR(INDEX(JAN!AL$8:AL$73,MATCH($A22,JAN!$A$8:$A$73,0))&amp;"","")</f>
        <v/>
      </c>
      <c r="H22" s="116">
        <f>IFERROR(INDEX(JAN!AM$8:AM$73,MATCH($A22,JAN!$A$8:$A$73,0))&amp;"","")</f>
        <v/>
      </c>
      <c r="I22" s="114" t="n"/>
      <c r="J22" s="114" t="n"/>
      <c r="K22" s="114" t="n"/>
      <c r="L22" s="115" t="inlineStr">
        <is>
          <t>M</t>
        </is>
      </c>
      <c r="M22" s="124" t="inlineStr">
        <is>
          <t>D</t>
        </is>
      </c>
      <c r="N22" s="115" t="inlineStr">
        <is>
          <t>M</t>
        </is>
      </c>
      <c r="O22" s="125" t="inlineStr">
        <is>
          <t>N</t>
        </is>
      </c>
      <c r="P22" s="114" t="n"/>
      <c r="Q22" s="114" t="n"/>
      <c r="R22" s="115" t="inlineStr">
        <is>
          <t>M</t>
        </is>
      </c>
      <c r="S22" s="114" t="n"/>
      <c r="T22" s="124" t="inlineStr">
        <is>
          <t>D</t>
        </is>
      </c>
      <c r="U22" s="115" t="inlineStr">
        <is>
          <t>M</t>
        </is>
      </c>
      <c r="V22" s="114" t="n"/>
      <c r="W22" s="124" t="inlineStr">
        <is>
          <t>D</t>
        </is>
      </c>
      <c r="X22" s="126" t="inlineStr">
        <is>
          <t>T</t>
        </is>
      </c>
      <c r="Y22" s="124" t="inlineStr">
        <is>
          <t>D</t>
        </is>
      </c>
      <c r="Z22" s="115" t="inlineStr">
        <is>
          <t>M</t>
        </is>
      </c>
      <c r="AA22" s="126" t="inlineStr">
        <is>
          <t>T</t>
        </is>
      </c>
      <c r="AB22" s="126" t="inlineStr">
        <is>
          <t>T</t>
        </is>
      </c>
      <c r="AC22" s="114" t="n"/>
      <c r="AD22" s="114" t="n"/>
      <c r="AE22" s="114" t="n"/>
      <c r="AF22" s="124" t="inlineStr">
        <is>
          <t>D</t>
        </is>
      </c>
      <c r="AG22" s="115" t="inlineStr">
        <is>
          <t>M</t>
        </is>
      </c>
      <c r="AH22" s="114" t="n"/>
      <c r="AI22" s="115" t="inlineStr">
        <is>
          <t>M</t>
        </is>
      </c>
      <c r="AJ22" s="114" t="n"/>
      <c r="AK22" s="100" t="n"/>
      <c r="AL22" s="100" t="n"/>
      <c r="AM22" s="100" t="n"/>
      <c r="AN22" s="116">
        <f>IFERROR(INDEX(MAR!I$8:I$73,MATCH($A22,MAR!$A$8:$A$73,0))&amp;"","")</f>
        <v/>
      </c>
      <c r="AO22" s="100" t="n"/>
      <c r="AP22" s="100" t="n"/>
      <c r="AQ22" s="100" t="n"/>
      <c r="AR22" s="100" t="n"/>
      <c r="AS22" s="100" t="n"/>
      <c r="AT22" s="117">
        <f>SUMPRODUCT(($C22:$I22="M")*6+($C22:$I22="T")*6+($C22:$I22="D")*12+($C22:$I22="N")*12+($C22:$I22="NT")*6+($C22:$I22="C")*10+($C22:$I22="A")*8+($C22:$I22="J")*5+($C22:$I22="CEP")*4+($C22:$I22="CP")*6+($C22:$I22="CRO")*6+($C22:$I22="M+")*6+($C22:$I22="T+")*6+($C22:$I22="D+")*12+($C22:$I22="N+")*12+($C22:$I22="Dm+")*12+($C22:$I22="Dt+")*12+($C22:$I22="Tm-")*6+($C22:$I22="Mt-")*6)</f>
        <v/>
      </c>
      <c r="AU22" s="118">
        <f>AT22-MAX(0,IFERROR(INDEX(CADASTRO!$I$4:$I$80,MATCH($A22,CADASTRO!$A$4:$A$80,0)),$B22)-CONFIG!$B$50*(COUNTIF($C22:$I22,"AB")+COUNTIF($C22:$I22,"FE")+COUNTIF($C22:$I22,"LM")))</f>
        <v/>
      </c>
      <c r="AV22" s="117">
        <f>SUMPRODUCT(($J22:$P22="M")*6+($J22:$P22="T")*6+($J22:$P22="D")*12+($J22:$P22="N")*12+($J22:$P22="NT")*6+($J22:$P22="C")*10+($J22:$P22="A")*8+($J22:$P22="J")*5+($J22:$P22="CEP")*4+($J22:$P22="CP")*6+($J22:$P22="CRO")*6+($J22:$P22="M+")*6+($J22:$P22="T+")*6+($J22:$P22="D+")*12+($J22:$P22="N+")*12+($J22:$P22="Dm+")*12+($J22:$P22="Dt+")*12+($J22:$P22="Tm-")*6+($J22:$P22="Mt-")*6)</f>
        <v/>
      </c>
      <c r="AW22" s="118">
        <f>AV22-MAX(0,IFERROR(INDEX(CADASTRO!$I$4:$I$80,MATCH($A22,CADASTRO!$A$4:$A$80,0)),$B22)-CONFIG!$B$50*(COUNTIF($J22:$P22,"AB")+COUNTIF($J22:$P22,"FE")+COUNTIF($J22:$P22,"LM")))</f>
        <v/>
      </c>
      <c r="AX22" s="117">
        <f>SUMPRODUCT(($Q22:$W22="M")*6+($Q22:$W22="T")*6+($Q22:$W22="D")*12+($Q22:$W22="N")*12+($Q22:$W22="NT")*6+($Q22:$W22="C")*10+($Q22:$W22="A")*8+($Q22:$W22="J")*5+($Q22:$W22="CEP")*4+($Q22:$W22="CP")*6+($Q22:$W22="CRO")*6+($Q22:$W22="M+")*6+($Q22:$W22="T+")*6+($Q22:$W22="D+")*12+($Q22:$W22="N+")*12+($Q22:$W22="Dm+")*12+($Q22:$W22="Dt+")*12+($Q22:$W22="Tm-")*6+($Q22:$W22="Mt-")*6)</f>
        <v/>
      </c>
      <c r="AY22" s="118">
        <f>AX22-MAX(0,IFERROR(INDEX(CADASTRO!$I$4:$I$80,MATCH($A22,CADASTRO!$A$4:$A$80,0)),$B22)-CONFIG!$B$50*(COUNTIF($Q22:$W22,"AB")+COUNTIF($Q22:$W22,"FE")+COUNTIF($Q22:$W22,"LM")))</f>
        <v/>
      </c>
      <c r="AZ22" s="117">
        <f>SUMPRODUCT(($X22:$AD22="M")*6+($X22:$AD22="T")*6+($X22:$AD22="D")*12+($X22:$AD22="N")*12+($X22:$AD22="NT")*6+($X22:$AD22="C")*10+($X22:$AD22="A")*8+($X22:$AD22="J")*5+($X22:$AD22="CEP")*4+($X22:$AD22="CP")*6+($X22:$AD22="CRO")*6+($X22:$AD22="M+")*6+($X22:$AD22="T+")*6+($X22:$AD22="D+")*12+($X22:$AD22="N+")*12+($X22:$AD22="Dm+")*12+($X22:$AD22="Dt+")*12+($X22:$AD22="Tm-")*6+($X22:$AD22="Mt-")*6)</f>
        <v/>
      </c>
      <c r="BA22" s="118">
        <f>AZ22-MAX(0,IFERROR(INDEX(CADASTRO!$I$4:$I$80,MATCH($A22,CADASTRO!$A$4:$A$80,0)),$B22)-CONFIG!$B$50*(COUNTIF($X22:$AD22,"AB")+COUNTIF($X22:$AD22,"FE")+COUNTIF($X22:$AD22,"LM")))</f>
        <v/>
      </c>
      <c r="BB22" s="117">
        <f>SUMPRODUCT(($AE22:$AJ22="M")*6+($AE22:$AJ22="T")*6+($AE22:$AJ22="D")*12+($AE22:$AJ22="N")*12+($AE22:$AJ22="NT")*6+($AE22:$AJ22="C")*10+($AE22:$AJ22="A")*8+($AE22:$AJ22="J")*5+($AE22:$AJ22="CEP")*4+($AE22:$AJ22="CP")*6+($AE22:$AJ22="CRO")*6+($AE22:$AJ22="M+")*6+($AE22:$AJ22="T+")*6+($AE22:$AJ22="D+")*12+($AE22:$AJ22="N+")*12+($AE22:$AJ22="Dm+")*12+($AE22:$AJ22="Dt+")*12+($AE22:$AJ22="Tm-")*6+($AE22:$AJ22="Mt-")*6)+SUMPRODUCT(($AN22:$AN22="M")*6+($AN22:$AN22="T")*6+($AN22:$AN22="D")*12+($AN22:$AN22="N")*12+($AN22:$AN22="NT")*6+($AN22:$AN22="C")*10+($AN22:$AN22="A")*8+($AN22:$AN22="J")*5+($AN22:$AN22="CEP")*4+($AN22:$AN22="CP")*6+($AN22:$AN22="CRO")*6+($AN22:$AN22="M+")*6+($AN22:$AN22="T+")*6+($AN22:$AN22="D+")*12+($AN22:$AN22="N+")*12+($AN22:$AN22="Dm+")*12+($AN22:$AN22="Dt+")*12+($AN22:$AN22="Tm-")*6+($AN22:$AN22="Mt-")*6)</f>
        <v/>
      </c>
      <c r="BC22" s="118">
        <f>BB22-MAX(0,IFERROR(INDEX(CADASTRO!$I$4:$I$80,MATCH($A22,CADASTRO!$A$4:$A$80,0)),$B22)-CONFIG!$B$50*(COUNTIF($AE22:$AJ22,"AB")+COUNTIF($AE22:$AJ22,"FE")+COUNTIF($AE22:$AJ22,"LM")+COUNTIF($AN22:$AN22,"AB")+COUNTIF($AN22:$AN22,"FE")+COUNTIF($AN22:$AN22,"LM")))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ROUND(B22*4.0,0)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36">
        <f>IFERROR(INDEX(JAN!AH$8:AH$73,MATCH($A23,JAN!$A$8:$A$73,0))&amp;"","")</f>
        <v/>
      </c>
      <c r="D23" s="136">
        <f>IFERROR(INDEX(JAN!AI$8:AI$73,MATCH($A23,JAN!$A$8:$A$73,0))&amp;"","")</f>
        <v/>
      </c>
      <c r="E23" s="136">
        <f>IFERROR(INDEX(JAN!AJ$8:AJ$73,MATCH($A23,JAN!$A$8:$A$73,0))&amp;"","")</f>
        <v/>
      </c>
      <c r="F23" s="136">
        <f>IFERROR(INDEX(JAN!AK$8:AK$73,MATCH($A23,JAN!$A$8:$A$73,0))&amp;"","")</f>
        <v/>
      </c>
      <c r="G23" s="136">
        <f>IFERROR(INDEX(JAN!AL$8:AL$73,MATCH($A23,JAN!$A$8:$A$73,0))&amp;"","")</f>
        <v/>
      </c>
      <c r="H23" s="116">
        <f>IFERROR(INDEX(JAN!AM$8:AM$73,MATCH($A23,JAN!$A$8:$A$73,0))&amp;"","")</f>
        <v/>
      </c>
      <c r="I23" s="114" t="n"/>
      <c r="J23" s="115" t="inlineStr">
        <is>
          <t>M</t>
        </is>
      </c>
      <c r="K23" s="114" t="n"/>
      <c r="L23" s="114" t="n"/>
      <c r="M23" s="114" t="n"/>
      <c r="N23" s="114" t="n"/>
      <c r="O23" s="124" t="inlineStr">
        <is>
          <t>D</t>
        </is>
      </c>
      <c r="P23" s="124" t="inlineStr">
        <is>
          <t>D</t>
        </is>
      </c>
      <c r="Q23" s="114" t="n"/>
      <c r="R23" s="124" t="inlineStr">
        <is>
          <t>D</t>
        </is>
      </c>
      <c r="S23" s="114" t="n"/>
      <c r="T23" s="124" t="inlineStr">
        <is>
          <t>D</t>
        </is>
      </c>
      <c r="U23" s="114" t="n"/>
      <c r="V23" s="124" t="inlineStr">
        <is>
          <t>D</t>
        </is>
      </c>
      <c r="W23" s="114" t="n"/>
      <c r="X23" s="124" t="inlineStr">
        <is>
          <t>D</t>
        </is>
      </c>
      <c r="Y23" s="124" t="inlineStr">
        <is>
          <t>D</t>
        </is>
      </c>
      <c r="Z23" s="114" t="n"/>
      <c r="AA23" s="124" t="inlineStr">
        <is>
          <t>D</t>
        </is>
      </c>
      <c r="AB23" s="114" t="n"/>
      <c r="AC23" s="114" t="n"/>
      <c r="AD23" s="114" t="n"/>
      <c r="AE23" s="124" t="inlineStr">
        <is>
          <t>D</t>
        </is>
      </c>
      <c r="AF23" s="124" t="inlineStr">
        <is>
          <t>D</t>
        </is>
      </c>
      <c r="AG23" s="114" t="n"/>
      <c r="AH23" s="124" t="inlineStr">
        <is>
          <t>D</t>
        </is>
      </c>
      <c r="AI23" s="114" t="n"/>
      <c r="AJ23" s="114" t="n"/>
      <c r="AK23" s="100" t="n"/>
      <c r="AL23" s="100" t="n"/>
      <c r="AM23" s="100" t="n"/>
      <c r="AN23" s="116">
        <f>IFERROR(INDEX(MAR!I$8:I$73,MATCH($A23,MAR!$A$8:$A$73,0))&amp;"","")</f>
        <v/>
      </c>
      <c r="AO23" s="100" t="n"/>
      <c r="AP23" s="100" t="n"/>
      <c r="AQ23" s="100" t="n"/>
      <c r="AR23" s="100" t="n"/>
      <c r="AS23" s="100" t="n"/>
      <c r="AT23" s="117">
        <f>SUMPRODUCT(($C23:$I23="M")*6+($C23:$I23="T")*6+($C23:$I23="D")*12+($C23:$I23="N")*12+($C23:$I23="NT")*6+($C23:$I23="C")*10+($C23:$I23="A")*8+($C23:$I23="J")*5+($C23:$I23="CEP")*4+($C23:$I23="CP")*6+($C23:$I23="CRO")*6+($C23:$I23="M+")*6+($C23:$I23="T+")*6+($C23:$I23="D+")*12+($C23:$I23="N+")*12+($C23:$I23="Dm+")*12+($C23:$I23="Dt+")*12+($C23:$I23="Tm-")*6+($C23:$I23="Mt-")*6)</f>
        <v/>
      </c>
      <c r="AU23" s="118">
        <f>AT23-MAX(0,IFERROR(INDEX(CADASTRO!$I$4:$I$80,MATCH($A23,CADASTRO!$A$4:$A$80,0)),$B23)-CONFIG!$B$50*(COUNTIF($C23:$I23,"AB")+COUNTIF($C23:$I23,"FE")+COUNTIF($C23:$I23,"LM")))</f>
        <v/>
      </c>
      <c r="AV23" s="117">
        <f>SUMPRODUCT(($J23:$P23="M")*6+($J23:$P23="T")*6+($J23:$P23="D")*12+($J23:$P23="N")*12+($J23:$P23="NT")*6+($J23:$P23="C")*10+($J23:$P23="A")*8+($J23:$P23="J")*5+($J23:$P23="CEP")*4+($J23:$P23="CP")*6+($J23:$P23="CRO")*6+($J23:$P23="M+")*6+($J23:$P23="T+")*6+($J23:$P23="D+")*12+($J23:$P23="N+")*12+($J23:$P23="Dm+")*12+($J23:$P23="Dt+")*12+($J23:$P23="Tm-")*6+($J23:$P23="Mt-")*6)</f>
        <v/>
      </c>
      <c r="AW23" s="118">
        <f>AV23-MAX(0,IFERROR(INDEX(CADASTRO!$I$4:$I$80,MATCH($A23,CADASTRO!$A$4:$A$80,0)),$B23)-CONFIG!$B$50*(COUNTIF($J23:$P23,"AB")+COUNTIF($J23:$P23,"FE")+COUNTIF($J23:$P23,"LM")))</f>
        <v/>
      </c>
      <c r="AX23" s="117">
        <f>SUMPRODUCT(($Q23:$W23="M")*6+($Q23:$W23="T")*6+($Q23:$W23="D")*12+($Q23:$W23="N")*12+($Q23:$W23="NT")*6+($Q23:$W23="C")*10+($Q23:$W23="A")*8+($Q23:$W23="J")*5+($Q23:$W23="CEP")*4+($Q23:$W23="CP")*6+($Q23:$W23="CRO")*6+($Q23:$W23="M+")*6+($Q23:$W23="T+")*6+($Q23:$W23="D+")*12+($Q23:$W23="N+")*12+($Q23:$W23="Dm+")*12+($Q23:$W23="Dt+")*12+($Q23:$W23="Tm-")*6+($Q23:$W23="Mt-")*6)</f>
        <v/>
      </c>
      <c r="AY23" s="118">
        <f>AX23-MAX(0,IFERROR(INDEX(CADASTRO!$I$4:$I$80,MATCH($A23,CADASTRO!$A$4:$A$80,0)),$B23)-CONFIG!$B$50*(COUNTIF($Q23:$W23,"AB")+COUNTIF($Q23:$W23,"FE")+COUNTIF($Q23:$W23,"LM")))</f>
        <v/>
      </c>
      <c r="AZ23" s="117">
        <f>SUMPRODUCT(($X23:$AD23="M")*6+($X23:$AD23="T")*6+($X23:$AD23="D")*12+($X23:$AD23="N")*12+($X23:$AD23="NT")*6+($X23:$AD23="C")*10+($X23:$AD23="A")*8+($X23:$AD23="J")*5+($X23:$AD23="CEP")*4+($X23:$AD23="CP")*6+($X23:$AD23="CRO")*6+($X23:$AD23="M+")*6+($X23:$AD23="T+")*6+($X23:$AD23="D+")*12+($X23:$AD23="N+")*12+($X23:$AD23="Dm+")*12+($X23:$AD23="Dt+")*12+($X23:$AD23="Tm-")*6+($X23:$AD23="Mt-")*6)</f>
        <v/>
      </c>
      <c r="BA23" s="118">
        <f>AZ23-MAX(0,IFERROR(INDEX(CADASTRO!$I$4:$I$80,MATCH($A23,CADASTRO!$A$4:$A$80,0)),$B23)-CONFIG!$B$50*(COUNTIF($X23:$AD23,"AB")+COUNTIF($X23:$AD23,"FE")+COUNTIF($X23:$AD23,"LM")))</f>
        <v/>
      </c>
      <c r="BB23" s="117">
        <f>SUMPRODUCT(($AE23:$AJ23="M")*6+($AE23:$AJ23="T")*6+($AE23:$AJ23="D")*12+($AE23:$AJ23="N")*12+($AE23:$AJ23="NT")*6+($AE23:$AJ23="C")*10+($AE23:$AJ23="A")*8+($AE23:$AJ23="J")*5+($AE23:$AJ23="CEP")*4+($AE23:$AJ23="CP")*6+($AE23:$AJ23="CRO")*6+($AE23:$AJ23="M+")*6+($AE23:$AJ23="T+")*6+($AE23:$AJ23="D+")*12+($AE23:$AJ23="N+")*12+($AE23:$AJ23="Dm+")*12+($AE23:$AJ23="Dt+")*12+($AE23:$AJ23="Tm-")*6+($AE23:$AJ23="Mt-")*6)+SUMPRODUCT(($AN23:$AN23="M")*6+($AN23:$AN23="T")*6+($AN23:$AN23="D")*12+($AN23:$AN23="N")*12+($AN23:$AN23="NT")*6+($AN23:$AN23="C")*10+($AN23:$AN23="A")*8+($AN23:$AN23="J")*5+($AN23:$AN23="CEP")*4+($AN23:$AN23="CP")*6+($AN23:$AN23="CRO")*6+($AN23:$AN23="M+")*6+($AN23:$AN23="T+")*6+($AN23:$AN23="D+")*12+($AN23:$AN23="N+")*12+($AN23:$AN23="Dm+")*12+($AN23:$AN23="Dt+")*12+($AN23:$AN23="Tm-")*6+($AN23:$AN23="Mt-")*6)</f>
        <v/>
      </c>
      <c r="BC23" s="118">
        <f>BB23-MAX(0,IFERROR(INDEX(CADASTRO!$I$4:$I$80,MATCH($A23,CADASTRO!$A$4:$A$80,0)),$B23)-CONFIG!$B$50*(COUNTIF($AE23:$AJ23,"AB")+COUNTIF($AE23:$AJ23,"FE")+COUNTIF($AE23:$AJ23,"LM")+COUNTIF($AN23:$AN23,"AB")+COUNTIF($AN23:$AN23,"FE")+COUNTIF($AN23:$AN23,"LM")))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ROUND(B23*4.0,0)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36">
        <f>IFERROR(INDEX(JAN!AH$8:AH$73,MATCH($A24,JAN!$A$8:$A$73,0))&amp;"","")</f>
        <v/>
      </c>
      <c r="D24" s="136">
        <f>IFERROR(INDEX(JAN!AI$8:AI$73,MATCH($A24,JAN!$A$8:$A$73,0))&amp;"","")</f>
        <v/>
      </c>
      <c r="E24" s="136">
        <f>IFERROR(INDEX(JAN!AJ$8:AJ$73,MATCH($A24,JAN!$A$8:$A$73,0))&amp;"","")</f>
        <v/>
      </c>
      <c r="F24" s="136">
        <f>IFERROR(INDEX(JAN!AK$8:AK$73,MATCH($A24,JAN!$A$8:$A$73,0))&amp;"","")</f>
        <v/>
      </c>
      <c r="G24" s="136">
        <f>IFERROR(INDEX(JAN!AL$8:AL$73,MATCH($A24,JAN!$A$8:$A$73,0))&amp;"","")</f>
        <v/>
      </c>
      <c r="H24" s="116">
        <f>IFERROR(INDEX(JAN!AM$8:AM$73,MATCH($A24,JAN!$A$8:$A$73,0))&amp;"","")</f>
        <v/>
      </c>
      <c r="I24" s="114" t="n"/>
      <c r="J24" s="115" t="inlineStr">
        <is>
          <t>M</t>
        </is>
      </c>
      <c r="K24" s="124" t="inlineStr">
        <is>
          <t>D</t>
        </is>
      </c>
      <c r="L24" s="114" t="n"/>
      <c r="M24" s="114" t="n"/>
      <c r="N24" s="114" t="n"/>
      <c r="O24" s="125" t="inlineStr">
        <is>
          <t>N</t>
        </is>
      </c>
      <c r="P24" s="114" t="n"/>
      <c r="Q24" s="115" t="inlineStr">
        <is>
          <t>M</t>
        </is>
      </c>
      <c r="R24" s="124" t="inlineStr">
        <is>
          <t>D</t>
        </is>
      </c>
      <c r="S24" s="115" t="inlineStr">
        <is>
          <t>M</t>
        </is>
      </c>
      <c r="T24" s="114" t="n"/>
      <c r="U24" s="125" t="inlineStr">
        <is>
          <t>N</t>
        </is>
      </c>
      <c r="V24" s="114" t="n"/>
      <c r="W24" s="114" t="n"/>
      <c r="X24" s="114" t="n"/>
      <c r="Y24" s="114" t="n"/>
      <c r="Z24" s="114" t="n"/>
      <c r="AA24" s="124" t="inlineStr">
        <is>
          <t>D</t>
        </is>
      </c>
      <c r="AB24" s="124" t="inlineStr">
        <is>
          <t>D</t>
        </is>
      </c>
      <c r="AC24" s="125" t="inlineStr">
        <is>
          <t>N</t>
        </is>
      </c>
      <c r="AD24" s="114" t="n"/>
      <c r="AE24" s="124" t="inlineStr">
        <is>
          <t>D</t>
        </is>
      </c>
      <c r="AF24" s="124" t="inlineStr">
        <is>
          <t>D</t>
        </is>
      </c>
      <c r="AG24" s="114" t="n"/>
      <c r="AH24" s="114" t="n"/>
      <c r="AI24" s="114" t="n"/>
      <c r="AJ24" s="125" t="inlineStr">
        <is>
          <t>N</t>
        </is>
      </c>
      <c r="AK24" s="100" t="n"/>
      <c r="AL24" s="100" t="n"/>
      <c r="AM24" s="100" t="n"/>
      <c r="AN24" s="116">
        <f>IFERROR(INDEX(MAR!I$8:I$73,MATCH($A24,MAR!$A$8:$A$73,0))&amp;"","")</f>
        <v/>
      </c>
      <c r="AO24" s="100" t="n"/>
      <c r="AP24" s="100" t="n"/>
      <c r="AQ24" s="100" t="n"/>
      <c r="AR24" s="100" t="n"/>
      <c r="AS24" s="100" t="n"/>
      <c r="AT24" s="117">
        <f>SUMPRODUCT(($C24:$I24="M")*6+($C24:$I24="T")*6+($C24:$I24="D")*12+($C24:$I24="N")*12+($C24:$I24="NT")*6+($C24:$I24="C")*10+($C24:$I24="A")*8+($C24:$I24="J")*5+($C24:$I24="CEP")*4+($C24:$I24="CP")*6+($C24:$I24="CRO")*6+($C24:$I24="M+")*6+($C24:$I24="T+")*6+($C24:$I24="D+")*12+($C24:$I24="N+")*12+($C24:$I24="Dm+")*12+($C24:$I24="Dt+")*12+($C24:$I24="Tm-")*6+($C24:$I24="Mt-")*6)</f>
        <v/>
      </c>
      <c r="AU24" s="118">
        <f>AT24-MAX(0,IFERROR(INDEX(CADASTRO!$I$4:$I$80,MATCH($A24,CADASTRO!$A$4:$A$80,0)),$B24)-CONFIG!$B$50*(COUNTIF($C24:$I24,"AB")+COUNTIF($C24:$I24,"FE")+COUNTIF($C24:$I24,"LM")))</f>
        <v/>
      </c>
      <c r="AV24" s="117">
        <f>SUMPRODUCT(($J24:$P24="M")*6+($J24:$P24="T")*6+($J24:$P24="D")*12+($J24:$P24="N")*12+($J24:$P24="NT")*6+($J24:$P24="C")*10+($J24:$P24="A")*8+($J24:$P24="J")*5+($J24:$P24="CEP")*4+($J24:$P24="CP")*6+($J24:$P24="CRO")*6+($J24:$P24="M+")*6+($J24:$P24="T+")*6+($J24:$P24="D+")*12+($J24:$P24="N+")*12+($J24:$P24="Dm+")*12+($J24:$P24="Dt+")*12+($J24:$P24="Tm-")*6+($J24:$P24="Mt-")*6)</f>
        <v/>
      </c>
      <c r="AW24" s="118">
        <f>AV24-MAX(0,IFERROR(INDEX(CADASTRO!$I$4:$I$80,MATCH($A24,CADASTRO!$A$4:$A$80,0)),$B24)-CONFIG!$B$50*(COUNTIF($J24:$P24,"AB")+COUNTIF($J24:$P24,"FE")+COUNTIF($J24:$P24,"LM")))</f>
        <v/>
      </c>
      <c r="AX24" s="117">
        <f>SUMPRODUCT(($Q24:$W24="M")*6+($Q24:$W24="T")*6+($Q24:$W24="D")*12+($Q24:$W24="N")*12+($Q24:$W24="NT")*6+($Q24:$W24="C")*10+($Q24:$W24="A")*8+($Q24:$W24="J")*5+($Q24:$W24="CEP")*4+($Q24:$W24="CP")*6+($Q24:$W24="CRO")*6+($Q24:$W24="M+")*6+($Q24:$W24="T+")*6+($Q24:$W24="D+")*12+($Q24:$W24="N+")*12+($Q24:$W24="Dm+")*12+($Q24:$W24="Dt+")*12+($Q24:$W24="Tm-")*6+($Q24:$W24="Mt-")*6)</f>
        <v/>
      </c>
      <c r="AY24" s="118">
        <f>AX24-MAX(0,IFERROR(INDEX(CADASTRO!$I$4:$I$80,MATCH($A24,CADASTRO!$A$4:$A$80,0)),$B24)-CONFIG!$B$50*(COUNTIF($Q24:$W24,"AB")+COUNTIF($Q24:$W24,"FE")+COUNTIF($Q24:$W24,"LM")))</f>
        <v/>
      </c>
      <c r="AZ24" s="117">
        <f>SUMPRODUCT(($X24:$AD24="M")*6+($X24:$AD24="T")*6+($X24:$AD24="D")*12+($X24:$AD24="N")*12+($X24:$AD24="NT")*6+($X24:$AD24="C")*10+($X24:$AD24="A")*8+($X24:$AD24="J")*5+($X24:$AD24="CEP")*4+($X24:$AD24="CP")*6+($X24:$AD24="CRO")*6+($X24:$AD24="M+")*6+($X24:$AD24="T+")*6+($X24:$AD24="D+")*12+($X24:$AD24="N+")*12+($X24:$AD24="Dm+")*12+($X24:$AD24="Dt+")*12+($X24:$AD24="Tm-")*6+($X24:$AD24="Mt-")*6)</f>
        <v/>
      </c>
      <c r="BA24" s="118">
        <f>AZ24-MAX(0,IFERROR(INDEX(CADASTRO!$I$4:$I$80,MATCH($A24,CADASTRO!$A$4:$A$80,0)),$B24)-CONFIG!$B$50*(COUNTIF($X24:$AD24,"AB")+COUNTIF($X24:$AD24,"FE")+COUNTIF($X24:$AD24,"LM")))</f>
        <v/>
      </c>
      <c r="BB24" s="117">
        <f>SUMPRODUCT(($AE24:$AJ24="M")*6+($AE24:$AJ24="T")*6+($AE24:$AJ24="D")*12+($AE24:$AJ24="N")*12+($AE24:$AJ24="NT")*6+($AE24:$AJ24="C")*10+($AE24:$AJ24="A")*8+($AE24:$AJ24="J")*5+($AE24:$AJ24="CEP")*4+($AE24:$AJ24="CP")*6+($AE24:$AJ24="CRO")*6+($AE24:$AJ24="M+")*6+($AE24:$AJ24="T+")*6+($AE24:$AJ24="D+")*12+($AE24:$AJ24="N+")*12+($AE24:$AJ24="Dm+")*12+($AE24:$AJ24="Dt+")*12+($AE24:$AJ24="Tm-")*6+($AE24:$AJ24="Mt-")*6)+SUMPRODUCT(($AN24:$AN24="M")*6+($AN24:$AN24="T")*6+($AN24:$AN24="D")*12+($AN24:$AN24="N")*12+($AN24:$AN24="NT")*6+($AN24:$AN24="C")*10+($AN24:$AN24="A")*8+($AN24:$AN24="J")*5+($AN24:$AN24="CEP")*4+($AN24:$AN24="CP")*6+($AN24:$AN24="CRO")*6+($AN24:$AN24="M+")*6+($AN24:$AN24="T+")*6+($AN24:$AN24="D+")*12+($AN24:$AN24="N+")*12+($AN24:$AN24="Dm+")*12+($AN24:$AN24="Dt+")*12+($AN24:$AN24="Tm-")*6+($AN24:$AN24="Mt-")*6)</f>
        <v/>
      </c>
      <c r="BC24" s="118">
        <f>BB24-MAX(0,IFERROR(INDEX(CADASTRO!$I$4:$I$80,MATCH($A24,CADASTRO!$A$4:$A$80,0)),$B24)-CONFIG!$B$50*(COUNTIF($AE24:$AJ24,"AB")+COUNTIF($AE24:$AJ24,"FE")+COUNTIF($AE24:$AJ24,"LM")+COUNTIF($AN24:$AN24,"AB")+COUNTIF($AN24:$AN24,"FE")+COUNTIF($AN24:$AN24,"LM")))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ROUND(B24*4.0,0)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36">
        <f>IFERROR(INDEX(JAN!AH$8:AH$73,MATCH($A25,JAN!$A$8:$A$73,0))&amp;"","")</f>
        <v/>
      </c>
      <c r="D25" s="136">
        <f>IFERROR(INDEX(JAN!AI$8:AI$73,MATCH($A25,JAN!$A$8:$A$73,0))&amp;"","")</f>
        <v/>
      </c>
      <c r="E25" s="136">
        <f>IFERROR(INDEX(JAN!AJ$8:AJ$73,MATCH($A25,JAN!$A$8:$A$73,0))&amp;"","")</f>
        <v/>
      </c>
      <c r="F25" s="136">
        <f>IFERROR(INDEX(JAN!AK$8:AK$73,MATCH($A25,JAN!$A$8:$A$73,0))&amp;"","")</f>
        <v/>
      </c>
      <c r="G25" s="136">
        <f>IFERROR(INDEX(JAN!AL$8:AL$73,MATCH($A25,JAN!$A$8:$A$73,0))&amp;"","")</f>
        <v/>
      </c>
      <c r="H25" s="116">
        <f>IFERROR(INDEX(JAN!AM$8:AM$73,MATCH($A25,JAN!$A$8:$A$73,0))&amp;"","")</f>
        <v/>
      </c>
      <c r="I25" s="114" t="n"/>
      <c r="J25" s="114" t="n"/>
      <c r="K25" s="125" t="inlineStr">
        <is>
          <t>N</t>
        </is>
      </c>
      <c r="L25" s="125" t="inlineStr">
        <is>
          <t>N</t>
        </is>
      </c>
      <c r="M25" s="114" t="n"/>
      <c r="N25" s="114" t="n"/>
      <c r="O25" s="114" t="n"/>
      <c r="P25" s="125" t="inlineStr">
        <is>
          <t>N</t>
        </is>
      </c>
      <c r="Q25" s="114" t="n"/>
      <c r="R25" s="125" t="inlineStr">
        <is>
          <t>N</t>
        </is>
      </c>
      <c r="S25" s="125" t="inlineStr">
        <is>
          <t>N</t>
        </is>
      </c>
      <c r="T25" s="114" t="n"/>
      <c r="U25" s="114" t="n"/>
      <c r="V25" s="114" t="n"/>
      <c r="W25" s="125" t="inlineStr">
        <is>
          <t>N</t>
        </is>
      </c>
      <c r="X25" s="125" t="inlineStr">
        <is>
          <t>N</t>
        </is>
      </c>
      <c r="Y25" s="114" t="n"/>
      <c r="Z25" s="125" t="inlineStr">
        <is>
          <t>N</t>
        </is>
      </c>
      <c r="AA25" s="114" t="n"/>
      <c r="AB25" s="114" t="n"/>
      <c r="AC25" s="114" t="n"/>
      <c r="AD25" s="125" t="inlineStr">
        <is>
          <t>N</t>
        </is>
      </c>
      <c r="AE25" s="114" t="n"/>
      <c r="AF25" s="114" t="n"/>
      <c r="AG25" s="125" t="inlineStr">
        <is>
          <t>N</t>
        </is>
      </c>
      <c r="AH25" s="114" t="n"/>
      <c r="AI25" s="125" t="inlineStr">
        <is>
          <t>N</t>
        </is>
      </c>
      <c r="AJ25" s="114" t="n"/>
      <c r="AK25" s="100" t="n"/>
      <c r="AL25" s="100" t="n"/>
      <c r="AM25" s="100" t="n"/>
      <c r="AN25" s="116">
        <f>IFERROR(INDEX(MAR!I$8:I$73,MATCH($A25,MAR!$A$8:$A$73,0))&amp;"","")</f>
        <v/>
      </c>
      <c r="AO25" s="100" t="n"/>
      <c r="AP25" s="100" t="n"/>
      <c r="AQ25" s="100" t="n"/>
      <c r="AR25" s="100" t="n"/>
      <c r="AS25" s="100" t="n"/>
      <c r="AT25" s="117">
        <f>SUMPRODUCT(($C25:$I25="M")*6+($C25:$I25="T")*6+($C25:$I25="D")*12+($C25:$I25="N")*12+($C25:$I25="NT")*6+($C25:$I25="C")*10+($C25:$I25="A")*8+($C25:$I25="J")*5+($C25:$I25="CEP")*4+($C25:$I25="CP")*6+($C25:$I25="CRO")*6+($C25:$I25="M+")*6+($C25:$I25="T+")*6+($C25:$I25="D+")*12+($C25:$I25="N+")*12+($C25:$I25="Dm+")*12+($C25:$I25="Dt+")*12+($C25:$I25="Tm-")*6+($C25:$I25="Mt-")*6)</f>
        <v/>
      </c>
      <c r="AU25" s="118">
        <f>AT25-MAX(0,IFERROR(INDEX(CADASTRO!$I$4:$I$80,MATCH($A25,CADASTRO!$A$4:$A$80,0)),$B25)-CONFIG!$B$50*(COUNTIF($C25:$I25,"AB")+COUNTIF($C25:$I25,"FE")+COUNTIF($C25:$I25,"LM")))</f>
        <v/>
      </c>
      <c r="AV25" s="117">
        <f>SUMPRODUCT(($J25:$P25="M")*6+($J25:$P25="T")*6+($J25:$P25="D")*12+($J25:$P25="N")*12+($J25:$P25="NT")*6+($J25:$P25="C")*10+($J25:$P25="A")*8+($J25:$P25="J")*5+($J25:$P25="CEP")*4+($J25:$P25="CP")*6+($J25:$P25="CRO")*6+($J25:$P25="M+")*6+($J25:$P25="T+")*6+($J25:$P25="D+")*12+($J25:$P25="N+")*12+($J25:$P25="Dm+")*12+($J25:$P25="Dt+")*12+($J25:$P25="Tm-")*6+($J25:$P25="Mt-")*6)</f>
        <v/>
      </c>
      <c r="AW25" s="118">
        <f>AV25-MAX(0,IFERROR(INDEX(CADASTRO!$I$4:$I$80,MATCH($A25,CADASTRO!$A$4:$A$80,0)),$B25)-CONFIG!$B$50*(COUNTIF($J25:$P25,"AB")+COUNTIF($J25:$P25,"FE")+COUNTIF($J25:$P25,"LM")))</f>
        <v/>
      </c>
      <c r="AX25" s="117">
        <f>SUMPRODUCT(($Q25:$W25="M")*6+($Q25:$W25="T")*6+($Q25:$W25="D")*12+($Q25:$W25="N")*12+($Q25:$W25="NT")*6+($Q25:$W25="C")*10+($Q25:$W25="A")*8+($Q25:$W25="J")*5+($Q25:$W25="CEP")*4+($Q25:$W25="CP")*6+($Q25:$W25="CRO")*6+($Q25:$W25="M+")*6+($Q25:$W25="T+")*6+($Q25:$W25="D+")*12+($Q25:$W25="N+")*12+($Q25:$W25="Dm+")*12+($Q25:$W25="Dt+")*12+($Q25:$W25="Tm-")*6+($Q25:$W25="Mt-")*6)</f>
        <v/>
      </c>
      <c r="AY25" s="118">
        <f>AX25-MAX(0,IFERROR(INDEX(CADASTRO!$I$4:$I$80,MATCH($A25,CADASTRO!$A$4:$A$80,0)),$B25)-CONFIG!$B$50*(COUNTIF($Q25:$W25,"AB")+COUNTIF($Q25:$W25,"FE")+COUNTIF($Q25:$W25,"LM")))</f>
        <v/>
      </c>
      <c r="AZ25" s="117">
        <f>SUMPRODUCT(($X25:$AD25="M")*6+($X25:$AD25="T")*6+($X25:$AD25="D")*12+($X25:$AD25="N")*12+($X25:$AD25="NT")*6+($X25:$AD25="C")*10+($X25:$AD25="A")*8+($X25:$AD25="J")*5+($X25:$AD25="CEP")*4+($X25:$AD25="CP")*6+($X25:$AD25="CRO")*6+($X25:$AD25="M+")*6+($X25:$AD25="T+")*6+($X25:$AD25="D+")*12+($X25:$AD25="N+")*12+($X25:$AD25="Dm+")*12+($X25:$AD25="Dt+")*12+($X25:$AD25="Tm-")*6+($X25:$AD25="Mt-")*6)</f>
        <v/>
      </c>
      <c r="BA25" s="118">
        <f>AZ25-MAX(0,IFERROR(INDEX(CADASTRO!$I$4:$I$80,MATCH($A25,CADASTRO!$A$4:$A$80,0)),$B25)-CONFIG!$B$50*(COUNTIF($X25:$AD25,"AB")+COUNTIF($X25:$AD25,"FE")+COUNTIF($X25:$AD25,"LM")))</f>
        <v/>
      </c>
      <c r="BB25" s="117">
        <f>SUMPRODUCT(($AE25:$AJ25="M")*6+($AE25:$AJ25="T")*6+($AE25:$AJ25="D")*12+($AE25:$AJ25="N")*12+($AE25:$AJ25="NT")*6+($AE25:$AJ25="C")*10+($AE25:$AJ25="A")*8+($AE25:$AJ25="J")*5+($AE25:$AJ25="CEP")*4+($AE25:$AJ25="CP")*6+($AE25:$AJ25="CRO")*6+($AE25:$AJ25="M+")*6+($AE25:$AJ25="T+")*6+($AE25:$AJ25="D+")*12+($AE25:$AJ25="N+")*12+($AE25:$AJ25="Dm+")*12+($AE25:$AJ25="Dt+")*12+($AE25:$AJ25="Tm-")*6+($AE25:$AJ25="Mt-")*6)+SUMPRODUCT(($AN25:$AN25="M")*6+($AN25:$AN25="T")*6+($AN25:$AN25="D")*12+($AN25:$AN25="N")*12+($AN25:$AN25="NT")*6+($AN25:$AN25="C")*10+($AN25:$AN25="A")*8+($AN25:$AN25="J")*5+($AN25:$AN25="CEP")*4+($AN25:$AN25="CP")*6+($AN25:$AN25="CRO")*6+($AN25:$AN25="M+")*6+($AN25:$AN25="T+")*6+($AN25:$AN25="D+")*12+($AN25:$AN25="N+")*12+($AN25:$AN25="Dm+")*12+($AN25:$AN25="Dt+")*12+($AN25:$AN25="Tm-")*6+($AN25:$AN25="Mt-")*6)</f>
        <v/>
      </c>
      <c r="BC25" s="118">
        <f>BB25-MAX(0,IFERROR(INDEX(CADASTRO!$I$4:$I$80,MATCH($A25,CADASTRO!$A$4:$A$80,0)),$B25)-CONFIG!$B$50*(COUNTIF($AE25:$AJ25,"AB")+COUNTIF($AE25:$AJ25,"FE")+COUNTIF($AE25:$AJ25,"LM")+COUNTIF($AN25:$AN25,"AB")+COUNTIF($AN25:$AN25,"FE")+COUNTIF($AN25:$AN25,"LM")))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ROUND(B25*4.0,0)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36">
        <f>IFERROR(INDEX(JAN!AH$8:AH$73,MATCH($A26,JAN!$A$8:$A$73,0))&amp;"","")</f>
        <v/>
      </c>
      <c r="D26" s="136">
        <f>IFERROR(INDEX(JAN!AI$8:AI$73,MATCH($A26,JAN!$A$8:$A$73,0))&amp;"","")</f>
        <v/>
      </c>
      <c r="E26" s="136">
        <f>IFERROR(INDEX(JAN!AJ$8:AJ$73,MATCH($A26,JAN!$A$8:$A$73,0))&amp;"","")</f>
        <v/>
      </c>
      <c r="F26" s="136">
        <f>IFERROR(INDEX(JAN!AK$8:AK$73,MATCH($A26,JAN!$A$8:$A$73,0))&amp;"","")</f>
        <v/>
      </c>
      <c r="G26" s="136">
        <f>IFERROR(INDEX(JAN!AL$8:AL$73,MATCH($A26,JAN!$A$8:$A$73,0))&amp;"","")</f>
        <v/>
      </c>
      <c r="H26" s="116">
        <f>IFERROR(INDEX(JAN!AM$8:AM$73,MATCH($A26,JAN!$A$8:$A$73,0))&amp;"","")</f>
        <v/>
      </c>
      <c r="I26" s="125" t="inlineStr">
        <is>
          <t>N</t>
        </is>
      </c>
      <c r="J26" s="114" t="n"/>
      <c r="K26" s="114" t="n"/>
      <c r="L26" s="114" t="n"/>
      <c r="M26" s="125" t="inlineStr">
        <is>
          <t>N</t>
        </is>
      </c>
      <c r="N26" s="115" t="inlineStr">
        <is>
          <t>M</t>
        </is>
      </c>
      <c r="O26" s="115" t="inlineStr">
        <is>
          <t>M</t>
        </is>
      </c>
      <c r="P26" s="125" t="inlineStr">
        <is>
          <t>N</t>
        </is>
      </c>
      <c r="Q26" s="115" t="inlineStr">
        <is>
          <t>M</t>
        </is>
      </c>
      <c r="R26" s="125" t="inlineStr">
        <is>
          <t>N</t>
        </is>
      </c>
      <c r="S26" s="114" t="n"/>
      <c r="T26" s="125" t="inlineStr">
        <is>
          <t>N</t>
        </is>
      </c>
      <c r="U26" s="115" t="inlineStr">
        <is>
          <t>M</t>
        </is>
      </c>
      <c r="V26" s="114" t="n"/>
      <c r="W26" s="114" t="n"/>
      <c r="X26" s="114" t="n"/>
      <c r="Y26" s="127" t="inlineStr">
        <is>
          <t>T-</t>
        </is>
      </c>
      <c r="Z26" s="126" t="inlineStr">
        <is>
          <t>T</t>
        </is>
      </c>
      <c r="AA26" s="125" t="inlineStr">
        <is>
          <t>N</t>
        </is>
      </c>
      <c r="AB26" s="115" t="inlineStr">
        <is>
          <t>M</t>
        </is>
      </c>
      <c r="AC26" s="115" t="inlineStr">
        <is>
          <t>M</t>
        </is>
      </c>
      <c r="AD26" s="114" t="n"/>
      <c r="AE26" s="114" t="n"/>
      <c r="AF26" s="114" t="n"/>
      <c r="AG26" s="125" t="inlineStr">
        <is>
          <t>N</t>
        </is>
      </c>
      <c r="AH26" s="114" t="n"/>
      <c r="AI26" s="125" t="inlineStr">
        <is>
          <t>N</t>
        </is>
      </c>
      <c r="AJ26" s="123" t="inlineStr">
        <is>
          <t>M+</t>
        </is>
      </c>
      <c r="AK26" s="100" t="n"/>
      <c r="AL26" s="100" t="n"/>
      <c r="AM26" s="100" t="n"/>
      <c r="AN26" s="116">
        <f>IFERROR(INDEX(MAR!I$8:I$73,MATCH($A26,MAR!$A$8:$A$73,0))&amp;"","")</f>
        <v/>
      </c>
      <c r="AO26" s="100" t="n"/>
      <c r="AP26" s="100" t="n"/>
      <c r="AQ26" s="100" t="n"/>
      <c r="AR26" s="100" t="n"/>
      <c r="AS26" s="100" t="n"/>
      <c r="AT26" s="117">
        <f>SUMPRODUCT(($C26:$I26="M")*6+($C26:$I26="T")*6+($C26:$I26="D")*12+($C26:$I26="N")*12+($C26:$I26="NT")*6+($C26:$I26="C")*10+($C26:$I26="A")*8+($C26:$I26="J")*5+($C26:$I26="CEP")*4+($C26:$I26="CP")*6+($C26:$I26="CRO")*6+($C26:$I26="M+")*6+($C26:$I26="T+")*6+($C26:$I26="D+")*12+($C26:$I26="N+")*12+($C26:$I26="Dm+")*12+($C26:$I26="Dt+")*12+($C26:$I26="Tm-")*6+($C26:$I26="Mt-")*6)</f>
        <v/>
      </c>
      <c r="AU26" s="118">
        <f>AT26-MAX(0,IFERROR(INDEX(CADASTRO!$I$4:$I$80,MATCH($A26,CADASTRO!$A$4:$A$80,0)),$B26)-CONFIG!$B$50*(COUNTIF($C26:$I26,"AB")+COUNTIF($C26:$I26,"FE")+COUNTIF($C26:$I26,"LM")))</f>
        <v/>
      </c>
      <c r="AV26" s="117">
        <f>SUMPRODUCT(($J26:$P26="M")*6+($J26:$P26="T")*6+($J26:$P26="D")*12+($J26:$P26="N")*12+($J26:$P26="NT")*6+($J26:$P26="C")*10+($J26:$P26="A")*8+($J26:$P26="J")*5+($J26:$P26="CEP")*4+($J26:$P26="CP")*6+($J26:$P26="CRO")*6+($J26:$P26="M+")*6+($J26:$P26="T+")*6+($J26:$P26="D+")*12+($J26:$P26="N+")*12+($J26:$P26="Dm+")*12+($J26:$P26="Dt+")*12+($J26:$P26="Tm-")*6+($J26:$P26="Mt-")*6)</f>
        <v/>
      </c>
      <c r="AW26" s="118">
        <f>AV26-MAX(0,IFERROR(INDEX(CADASTRO!$I$4:$I$80,MATCH($A26,CADASTRO!$A$4:$A$80,0)),$B26)-CONFIG!$B$50*(COUNTIF($J26:$P26,"AB")+COUNTIF($J26:$P26,"FE")+COUNTIF($J26:$P26,"LM")))</f>
        <v/>
      </c>
      <c r="AX26" s="117">
        <f>SUMPRODUCT(($Q26:$W26="M")*6+($Q26:$W26="T")*6+($Q26:$W26="D")*12+($Q26:$W26="N")*12+($Q26:$W26="NT")*6+($Q26:$W26="C")*10+($Q26:$W26="A")*8+($Q26:$W26="J")*5+($Q26:$W26="CEP")*4+($Q26:$W26="CP")*6+($Q26:$W26="CRO")*6+($Q26:$W26="M+")*6+($Q26:$W26="T+")*6+($Q26:$W26="D+")*12+($Q26:$W26="N+")*12+($Q26:$W26="Dm+")*12+($Q26:$W26="Dt+")*12+($Q26:$W26="Tm-")*6+($Q26:$W26="Mt-")*6)</f>
        <v/>
      </c>
      <c r="AY26" s="118">
        <f>AX26-MAX(0,IFERROR(INDEX(CADASTRO!$I$4:$I$80,MATCH($A26,CADASTRO!$A$4:$A$80,0)),$B26)-CONFIG!$B$50*(COUNTIF($Q26:$W26,"AB")+COUNTIF($Q26:$W26,"FE")+COUNTIF($Q26:$W26,"LM")))</f>
        <v/>
      </c>
      <c r="AZ26" s="117">
        <f>SUMPRODUCT(($X26:$AD26="M")*6+($X26:$AD26="T")*6+($X26:$AD26="D")*12+($X26:$AD26="N")*12+($X26:$AD26="NT")*6+($X26:$AD26="C")*10+($X26:$AD26="A")*8+($X26:$AD26="J")*5+($X26:$AD26="CEP")*4+($X26:$AD26="CP")*6+($X26:$AD26="CRO")*6+($X26:$AD26="M+")*6+($X26:$AD26="T+")*6+($X26:$AD26="D+")*12+($X26:$AD26="N+")*12+($X26:$AD26="Dm+")*12+($X26:$AD26="Dt+")*12+($X26:$AD26="Tm-")*6+($X26:$AD26="Mt-")*6)</f>
        <v/>
      </c>
      <c r="BA26" s="118">
        <f>AZ26-MAX(0,IFERROR(INDEX(CADASTRO!$I$4:$I$80,MATCH($A26,CADASTRO!$A$4:$A$80,0)),$B26)-CONFIG!$B$50*(COUNTIF($X26:$AD26,"AB")+COUNTIF($X26:$AD26,"FE")+COUNTIF($X26:$AD26,"LM")))</f>
        <v/>
      </c>
      <c r="BB26" s="117">
        <f>SUMPRODUCT(($AE26:$AJ26="M")*6+($AE26:$AJ26="T")*6+($AE26:$AJ26="D")*12+($AE26:$AJ26="N")*12+($AE26:$AJ26="NT")*6+($AE26:$AJ26="C")*10+($AE26:$AJ26="A")*8+($AE26:$AJ26="J")*5+($AE26:$AJ26="CEP")*4+($AE26:$AJ26="CP")*6+($AE26:$AJ26="CRO")*6+($AE26:$AJ26="M+")*6+($AE26:$AJ26="T+")*6+($AE26:$AJ26="D+")*12+($AE26:$AJ26="N+")*12+($AE26:$AJ26="Dm+")*12+($AE26:$AJ26="Dt+")*12+($AE26:$AJ26="Tm-")*6+($AE26:$AJ26="Mt-")*6)+SUMPRODUCT(($AN26:$AN26="M")*6+($AN26:$AN26="T")*6+($AN26:$AN26="D")*12+($AN26:$AN26="N")*12+($AN26:$AN26="NT")*6+($AN26:$AN26="C")*10+($AN26:$AN26="A")*8+($AN26:$AN26="J")*5+($AN26:$AN26="CEP")*4+($AN26:$AN26="CP")*6+($AN26:$AN26="CRO")*6+($AN26:$AN26="M+")*6+($AN26:$AN26="T+")*6+($AN26:$AN26="D+")*12+($AN26:$AN26="N+")*12+($AN26:$AN26="Dm+")*12+($AN26:$AN26="Dt+")*12+($AN26:$AN26="Tm-")*6+($AN26:$AN26="Mt-")*6)</f>
        <v/>
      </c>
      <c r="BC26" s="118">
        <f>BB26-MAX(0,IFERROR(INDEX(CADASTRO!$I$4:$I$80,MATCH($A26,CADASTRO!$A$4:$A$80,0)),$B26)-CONFIG!$B$50*(COUNTIF($AE26:$AJ26,"AB")+COUNTIF($AE26:$AJ26,"FE")+COUNTIF($AE26:$AJ26,"LM")+COUNTIF($AN26:$AN26,"AB")+COUNTIF($AN26:$AN26,"FE")+COUNTIF($AN26:$AN26,"LM")))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ROUND(B26*4.0,0)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36">
        <f>IFERROR(INDEX(JAN!AH$8:AH$73,MATCH($A27,JAN!$A$8:$A$73,0))&amp;"","")</f>
        <v/>
      </c>
      <c r="D27" s="136">
        <f>IFERROR(INDEX(JAN!AI$8:AI$73,MATCH($A27,JAN!$A$8:$A$73,0))&amp;"","")</f>
        <v/>
      </c>
      <c r="E27" s="136">
        <f>IFERROR(INDEX(JAN!AJ$8:AJ$73,MATCH($A27,JAN!$A$8:$A$73,0))&amp;"","")</f>
        <v/>
      </c>
      <c r="F27" s="136">
        <f>IFERROR(INDEX(JAN!AK$8:AK$73,MATCH($A27,JAN!$A$8:$A$73,0))&amp;"","")</f>
        <v/>
      </c>
      <c r="G27" s="136">
        <f>IFERROR(INDEX(JAN!AL$8:AL$73,MATCH($A27,JAN!$A$8:$A$73,0))&amp;"","")</f>
        <v/>
      </c>
      <c r="H27" s="116">
        <f>IFERROR(INDEX(JAN!AM$8:AM$73,MATCH($A27,JAN!$A$8:$A$73,0))&amp;"","")</f>
        <v/>
      </c>
      <c r="I27" s="114" t="n"/>
      <c r="J27" s="114" t="n"/>
      <c r="K27" s="130" t="inlineStr">
        <is>
          <t>CRO</t>
        </is>
      </c>
      <c r="L27" s="114" t="n"/>
      <c r="M27" s="125" t="inlineStr">
        <is>
          <t>N</t>
        </is>
      </c>
      <c r="N27" s="114" t="n"/>
      <c r="O27" s="125" t="inlineStr">
        <is>
          <t>N</t>
        </is>
      </c>
      <c r="P27" s="114" t="n"/>
      <c r="Q27" s="130" t="inlineStr">
        <is>
          <t>CRO</t>
        </is>
      </c>
      <c r="R27" s="125" t="inlineStr">
        <is>
          <t>N</t>
        </is>
      </c>
      <c r="S27" s="114" t="n"/>
      <c r="T27" s="125" t="inlineStr">
        <is>
          <t>N</t>
        </is>
      </c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  <c r="AD27" s="114" t="n"/>
      <c r="AE27" s="114" t="n"/>
      <c r="AF27" s="114" t="n"/>
      <c r="AG27" s="114" t="n"/>
      <c r="AH27" s="114" t="n"/>
      <c r="AI27" s="114" t="n"/>
      <c r="AJ27" s="114" t="n"/>
      <c r="AK27" s="100" t="n"/>
      <c r="AL27" s="100" t="n"/>
      <c r="AM27" s="100" t="n"/>
      <c r="AN27" s="116">
        <f>IFERROR(INDEX(MAR!I$8:I$73,MATCH($A27,MAR!$A$8:$A$73,0))&amp;"","")</f>
        <v/>
      </c>
      <c r="AO27" s="100" t="n"/>
      <c r="AP27" s="100" t="n"/>
      <c r="AQ27" s="100" t="n"/>
      <c r="AR27" s="100" t="n"/>
      <c r="AS27" s="100" t="n"/>
      <c r="AT27" s="117">
        <f>SUMPRODUCT(($C27:$I27="M")*6+($C27:$I27="T")*6+($C27:$I27="D")*12+($C27:$I27="N")*12+($C27:$I27="NT")*6+($C27:$I27="C")*10+($C27:$I27="A")*8+($C27:$I27="J")*5+($C27:$I27="CEP")*4+($C27:$I27="CP")*6+($C27:$I27="CRO")*6+($C27:$I27="M+")*6+($C27:$I27="T+")*6+($C27:$I27="D+")*12+($C27:$I27="N+")*12+($C27:$I27="Dm+")*12+($C27:$I27="Dt+")*12+($C27:$I27="Tm-")*6+($C27:$I27="Mt-")*6)</f>
        <v/>
      </c>
      <c r="AU27" s="118">
        <f>AT27-MAX(0,IFERROR(INDEX(CADASTRO!$I$4:$I$80,MATCH($A27,CADASTRO!$A$4:$A$80,0)),$B27)-CONFIG!$B$50*(COUNTIF($C27:$I27,"AB")+COUNTIF($C27:$I27,"FE")+COUNTIF($C27:$I27,"LM")))</f>
        <v/>
      </c>
      <c r="AV27" s="117">
        <f>SUMPRODUCT(($J27:$P27="M")*6+($J27:$P27="T")*6+($J27:$P27="D")*12+($J27:$P27="N")*12+($J27:$P27="NT")*6+($J27:$P27="C")*10+($J27:$P27="A")*8+($J27:$P27="J")*5+($J27:$P27="CEP")*4+($J27:$P27="CP")*6+($J27:$P27="CRO")*6+($J27:$P27="M+")*6+($J27:$P27="T+")*6+($J27:$P27="D+")*12+($J27:$P27="N+")*12+($J27:$P27="Dm+")*12+($J27:$P27="Dt+")*12+($J27:$P27="Tm-")*6+($J27:$P27="Mt-")*6)</f>
        <v/>
      </c>
      <c r="AW27" s="118">
        <f>AV27-MAX(0,IFERROR(INDEX(CADASTRO!$I$4:$I$80,MATCH($A27,CADASTRO!$A$4:$A$80,0)),$B27)-CONFIG!$B$50*(COUNTIF($J27:$P27,"AB")+COUNTIF($J27:$P27,"FE")+COUNTIF($J27:$P27,"LM")))</f>
        <v/>
      </c>
      <c r="AX27" s="117">
        <f>SUMPRODUCT(($Q27:$W27="M")*6+($Q27:$W27="T")*6+($Q27:$W27="D")*12+($Q27:$W27="N")*12+($Q27:$W27="NT")*6+($Q27:$W27="C")*10+($Q27:$W27="A")*8+($Q27:$W27="J")*5+($Q27:$W27="CEP")*4+($Q27:$W27="CP")*6+($Q27:$W27="CRO")*6+($Q27:$W27="M+")*6+($Q27:$W27="T+")*6+($Q27:$W27="D+")*12+($Q27:$W27="N+")*12+($Q27:$W27="Dm+")*12+($Q27:$W27="Dt+")*12+($Q27:$W27="Tm-")*6+($Q27:$W27="Mt-")*6)</f>
        <v/>
      </c>
      <c r="AY27" s="118">
        <f>AX27-MAX(0,IFERROR(INDEX(CADASTRO!$I$4:$I$80,MATCH($A27,CADASTRO!$A$4:$A$80,0)),$B27)-CONFIG!$B$50*(COUNTIF($Q27:$W27,"AB")+COUNTIF($Q27:$W27,"FE")+COUNTIF($Q27:$W27,"LM")))</f>
        <v/>
      </c>
      <c r="AZ27" s="117">
        <f>SUMPRODUCT(($X27:$AD27="M")*6+($X27:$AD27="T")*6+($X27:$AD27="D")*12+($X27:$AD27="N")*12+($X27:$AD27="NT")*6+($X27:$AD27="C")*10+($X27:$AD27="A")*8+($X27:$AD27="J")*5+($X27:$AD27="CEP")*4+($X27:$AD27="CP")*6+($X27:$AD27="CRO")*6+($X27:$AD27="M+")*6+($X27:$AD27="T+")*6+($X27:$AD27="D+")*12+($X27:$AD27="N+")*12+($X27:$AD27="Dm+")*12+($X27:$AD27="Dt+")*12+($X27:$AD27="Tm-")*6+($X27:$AD27="Mt-")*6)</f>
        <v/>
      </c>
      <c r="BA27" s="118">
        <f>AZ27-MAX(0,IFERROR(INDEX(CADASTRO!$I$4:$I$80,MATCH($A27,CADASTRO!$A$4:$A$80,0)),$B27)-CONFIG!$B$50*(COUNTIF($X27:$AD27,"AB")+COUNTIF($X27:$AD27,"FE")+COUNTIF($X27:$AD27,"LM")))</f>
        <v/>
      </c>
      <c r="BB27" s="117">
        <f>SUMPRODUCT(($AE27:$AJ27="M")*6+($AE27:$AJ27="T")*6+($AE27:$AJ27="D")*12+($AE27:$AJ27="N")*12+($AE27:$AJ27="NT")*6+($AE27:$AJ27="C")*10+($AE27:$AJ27="A")*8+($AE27:$AJ27="J")*5+($AE27:$AJ27="CEP")*4+($AE27:$AJ27="CP")*6+($AE27:$AJ27="CRO")*6+($AE27:$AJ27="M+")*6+($AE27:$AJ27="T+")*6+($AE27:$AJ27="D+")*12+($AE27:$AJ27="N+")*12+($AE27:$AJ27="Dm+")*12+($AE27:$AJ27="Dt+")*12+($AE27:$AJ27="Tm-")*6+($AE27:$AJ27="Mt-")*6)+SUMPRODUCT(($AN27:$AN27="M")*6+($AN27:$AN27="T")*6+($AN27:$AN27="D")*12+($AN27:$AN27="N")*12+($AN27:$AN27="NT")*6+($AN27:$AN27="C")*10+($AN27:$AN27="A")*8+($AN27:$AN27="J")*5+($AN27:$AN27="CEP")*4+($AN27:$AN27="CP")*6+($AN27:$AN27="CRO")*6+($AN27:$AN27="M+")*6+($AN27:$AN27="T+")*6+($AN27:$AN27="D+")*12+($AN27:$AN27="N+")*12+($AN27:$AN27="Dm+")*12+($AN27:$AN27="Dt+")*12+($AN27:$AN27="Tm-")*6+($AN27:$AN27="Mt-")*6)</f>
        <v/>
      </c>
      <c r="BC27" s="118">
        <f>BB27-MAX(0,IFERROR(INDEX(CADASTRO!$I$4:$I$80,MATCH($A27,CADASTRO!$A$4:$A$80,0)),$B27)-CONFIG!$B$50*(COUNTIF($AE27:$AJ27,"AB")+COUNTIF($AE27:$AJ27,"FE")+COUNTIF($AE27:$AJ27,"LM")+COUNTIF($AN27:$AN27,"AB")+COUNTIF($AN27:$AN27,"FE")+COUNTIF($AN27:$AN27,"LM")))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ROUND(B27*4.0,0)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36">
        <f>IFERROR(INDEX(JAN!AH$8:AH$73,MATCH($A28,JAN!$A$8:$A$73,0))&amp;"","")</f>
        <v/>
      </c>
      <c r="D28" s="136">
        <f>IFERROR(INDEX(JAN!AI$8:AI$73,MATCH($A28,JAN!$A$8:$A$73,0))&amp;"","")</f>
        <v/>
      </c>
      <c r="E28" s="136">
        <f>IFERROR(INDEX(JAN!AJ$8:AJ$73,MATCH($A28,JAN!$A$8:$A$73,0))&amp;"","")</f>
        <v/>
      </c>
      <c r="F28" s="136">
        <f>IFERROR(INDEX(JAN!AK$8:AK$73,MATCH($A28,JAN!$A$8:$A$73,0))&amp;"","")</f>
        <v/>
      </c>
      <c r="G28" s="136">
        <f>IFERROR(INDEX(JAN!AL$8:AL$73,MATCH($A28,JAN!$A$8:$A$73,0))&amp;"","")</f>
        <v/>
      </c>
      <c r="H28" s="116">
        <f>IFERROR(INDEX(JAN!AM$8:AM$73,MATCH($A28,JAN!$A$8:$A$73,0))&amp;"","")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25" t="inlineStr">
        <is>
          <t>N</t>
        </is>
      </c>
      <c r="AB28" s="114" t="n"/>
      <c r="AC28" s="124" t="inlineStr">
        <is>
          <t>D</t>
        </is>
      </c>
      <c r="AD28" s="114" t="n"/>
      <c r="AE28" s="124" t="inlineStr">
        <is>
          <t>D</t>
        </is>
      </c>
      <c r="AF28" s="126" t="inlineStr">
        <is>
          <t>T</t>
        </is>
      </c>
      <c r="AG28" s="124" t="inlineStr">
        <is>
          <t>D</t>
        </is>
      </c>
      <c r="AH28" s="114" t="n"/>
      <c r="AI28" s="114" t="n"/>
      <c r="AJ28" s="114" t="n"/>
      <c r="AK28" s="100" t="n"/>
      <c r="AL28" s="100" t="n"/>
      <c r="AM28" s="100" t="n"/>
      <c r="AN28" s="116">
        <f>IFERROR(INDEX(MAR!I$8:I$73,MATCH($A28,MAR!$A$8:$A$73,0))&amp;"","")</f>
        <v/>
      </c>
      <c r="AO28" s="100" t="n"/>
      <c r="AP28" s="100" t="n"/>
      <c r="AQ28" s="100" t="n"/>
      <c r="AR28" s="100" t="n"/>
      <c r="AS28" s="100" t="n"/>
      <c r="AT28" s="117">
        <f>SUMPRODUCT(($C28:$I28="M")*6+($C28:$I28="T")*6+($C28:$I28="D")*12+($C28:$I28="N")*12+($C28:$I28="NT")*6+($C28:$I28="C")*10+($C28:$I28="A")*8+($C28:$I28="J")*5+($C28:$I28="CEP")*4+($C28:$I28="CP")*6+($C28:$I28="CRO")*6+($C28:$I28="M+")*6+($C28:$I28="T+")*6+($C28:$I28="D+")*12+($C28:$I28="N+")*12+($C28:$I28="Dm+")*12+($C28:$I28="Dt+")*12+($C28:$I28="Tm-")*6+($C28:$I28="Mt-")*6)</f>
        <v/>
      </c>
      <c r="AU28" s="118">
        <f>AT28-MAX(0,IFERROR(INDEX(CADASTRO!$I$4:$I$80,MATCH($A28,CADASTRO!$A$4:$A$80,0)),$B28)-CONFIG!$B$50*(COUNTIF($C28:$I28,"AB")+COUNTIF($C28:$I28,"FE")+COUNTIF($C28:$I28,"LM")))</f>
        <v/>
      </c>
      <c r="AV28" s="117">
        <f>SUMPRODUCT(($J28:$P28="M")*6+($J28:$P28="T")*6+($J28:$P28="D")*12+($J28:$P28="N")*12+($J28:$P28="NT")*6+($J28:$P28="C")*10+($J28:$P28="A")*8+($J28:$P28="J")*5+($J28:$P28="CEP")*4+($J28:$P28="CP")*6+($J28:$P28="CRO")*6+($J28:$P28="M+")*6+($J28:$P28="T+")*6+($J28:$P28="D+")*12+($J28:$P28="N+")*12+($J28:$P28="Dm+")*12+($J28:$P28="Dt+")*12+($J28:$P28="Tm-")*6+($J28:$P28="Mt-")*6)</f>
        <v/>
      </c>
      <c r="AW28" s="118">
        <f>AV28-MAX(0,IFERROR(INDEX(CADASTRO!$I$4:$I$80,MATCH($A28,CADASTRO!$A$4:$A$80,0)),$B28)-CONFIG!$B$50*(COUNTIF($J28:$P28,"AB")+COUNTIF($J28:$P28,"FE")+COUNTIF($J28:$P28,"LM")))</f>
        <v/>
      </c>
      <c r="AX28" s="117">
        <f>SUMPRODUCT(($Q28:$W28="M")*6+($Q28:$W28="T")*6+($Q28:$W28="D")*12+($Q28:$W28="N")*12+($Q28:$W28="NT")*6+($Q28:$W28="C")*10+($Q28:$W28="A")*8+($Q28:$W28="J")*5+($Q28:$W28="CEP")*4+($Q28:$W28="CP")*6+($Q28:$W28="CRO")*6+($Q28:$W28="M+")*6+($Q28:$W28="T+")*6+($Q28:$W28="D+")*12+($Q28:$W28="N+")*12+($Q28:$W28="Dm+")*12+($Q28:$W28="Dt+")*12+($Q28:$W28="Tm-")*6+($Q28:$W28="Mt-")*6)</f>
        <v/>
      </c>
      <c r="AY28" s="118">
        <f>AX28-MAX(0,IFERROR(INDEX(CADASTRO!$I$4:$I$80,MATCH($A28,CADASTRO!$A$4:$A$80,0)),$B28)-CONFIG!$B$50*(COUNTIF($Q28:$W28,"AB")+COUNTIF($Q28:$W28,"FE")+COUNTIF($Q28:$W28,"LM")))</f>
        <v/>
      </c>
      <c r="AZ28" s="117">
        <f>SUMPRODUCT(($X28:$AD28="M")*6+($X28:$AD28="T")*6+($X28:$AD28="D")*12+($X28:$AD28="N")*12+($X28:$AD28="NT")*6+($X28:$AD28="C")*10+($X28:$AD28="A")*8+($X28:$AD28="J")*5+($X28:$AD28="CEP")*4+($X28:$AD28="CP")*6+($X28:$AD28="CRO")*6+($X28:$AD28="M+")*6+($X28:$AD28="T+")*6+($X28:$AD28="D+")*12+($X28:$AD28="N+")*12+($X28:$AD28="Dm+")*12+($X28:$AD28="Dt+")*12+($X28:$AD28="Tm-")*6+($X28:$AD28="Mt-")*6)</f>
        <v/>
      </c>
      <c r="BA28" s="118">
        <f>AZ28-MAX(0,IFERROR(INDEX(CADASTRO!$I$4:$I$80,MATCH($A28,CADASTRO!$A$4:$A$80,0)),$B28)-CONFIG!$B$50*(COUNTIF($X28:$AD28,"AB")+COUNTIF($X28:$AD28,"FE")+COUNTIF($X28:$AD28,"LM")))</f>
        <v/>
      </c>
      <c r="BB28" s="117">
        <f>SUMPRODUCT(($AE28:$AJ28="M")*6+($AE28:$AJ28="T")*6+($AE28:$AJ28="D")*12+($AE28:$AJ28="N")*12+($AE28:$AJ28="NT")*6+($AE28:$AJ28="C")*10+($AE28:$AJ28="A")*8+($AE28:$AJ28="J")*5+($AE28:$AJ28="CEP")*4+($AE28:$AJ28="CP")*6+($AE28:$AJ28="CRO")*6+($AE28:$AJ28="M+")*6+($AE28:$AJ28="T+")*6+($AE28:$AJ28="D+")*12+($AE28:$AJ28="N+")*12+($AE28:$AJ28="Dm+")*12+($AE28:$AJ28="Dt+")*12+($AE28:$AJ28="Tm-")*6+($AE28:$AJ28="Mt-")*6)+SUMPRODUCT(($AN28:$AN28="M")*6+($AN28:$AN28="T")*6+($AN28:$AN28="D")*12+($AN28:$AN28="N")*12+($AN28:$AN28="NT")*6+($AN28:$AN28="C")*10+($AN28:$AN28="A")*8+($AN28:$AN28="J")*5+($AN28:$AN28="CEP")*4+($AN28:$AN28="CP")*6+($AN28:$AN28="CRO")*6+($AN28:$AN28="M+")*6+($AN28:$AN28="T+")*6+($AN28:$AN28="D+")*12+($AN28:$AN28="N+")*12+($AN28:$AN28="Dm+")*12+($AN28:$AN28="Dt+")*12+($AN28:$AN28="Tm-")*6+($AN28:$AN28="Mt-")*6)</f>
        <v/>
      </c>
      <c r="BC28" s="118">
        <f>BB28-MAX(0,IFERROR(INDEX(CADASTRO!$I$4:$I$80,MATCH($A28,CADASTRO!$A$4:$A$80,0)),$B28)-CONFIG!$B$50*(COUNTIF($AE28:$AJ28,"AB")+COUNTIF($AE28:$AJ28,"FE")+COUNTIF($AE28:$AJ28,"LM")+COUNTIF($AN28:$AN28,"AB")+COUNTIF($AN28:$AN28,"FE")+COUNTIF($AN28:$AN28,"LM")))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ROUND(B28*4.0,0)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36">
        <f>IFERROR(INDEX(JAN!AH$8:AH$73,MATCH($A29,JAN!$A$8:$A$73,0))&amp;"","")</f>
        <v/>
      </c>
      <c r="D29" s="136">
        <f>IFERROR(INDEX(JAN!AI$8:AI$73,MATCH($A29,JAN!$A$8:$A$73,0))&amp;"","")</f>
        <v/>
      </c>
      <c r="E29" s="136">
        <f>IFERROR(INDEX(JAN!AJ$8:AJ$73,MATCH($A29,JAN!$A$8:$A$73,0))&amp;"","")</f>
        <v/>
      </c>
      <c r="F29" s="136">
        <f>IFERROR(INDEX(JAN!AK$8:AK$73,MATCH($A29,JAN!$A$8:$A$73,0))&amp;"","")</f>
        <v/>
      </c>
      <c r="G29" s="136">
        <f>IFERROR(INDEX(JAN!AL$8:AL$73,MATCH($A29,JAN!$A$8:$A$73,0))&amp;"","")</f>
        <v/>
      </c>
      <c r="H29" s="116">
        <f>IFERROR(INDEX(JAN!AM$8:AM$73,MATCH($A29,JAN!$A$8:$A$73,0))&amp;"","")</f>
        <v/>
      </c>
      <c r="I29" s="114" t="n"/>
      <c r="J29" s="125" t="inlineStr">
        <is>
          <t>N</t>
        </is>
      </c>
      <c r="K29" s="114" t="n"/>
      <c r="L29" s="115" t="inlineStr">
        <is>
          <t>M</t>
        </is>
      </c>
      <c r="M29" s="115" t="inlineStr">
        <is>
          <t>M</t>
        </is>
      </c>
      <c r="N29" s="114" t="n"/>
      <c r="O29" s="115" t="inlineStr">
        <is>
          <t>M</t>
        </is>
      </c>
      <c r="P29" s="114" t="n"/>
      <c r="Q29" s="125" t="inlineStr">
        <is>
          <t>N</t>
        </is>
      </c>
      <c r="R29" s="114" t="n"/>
      <c r="S29" s="115" t="inlineStr">
        <is>
          <t>M</t>
        </is>
      </c>
      <c r="T29" s="114" t="n"/>
      <c r="U29" s="114" t="n"/>
      <c r="V29" s="115" t="inlineStr">
        <is>
          <t>M</t>
        </is>
      </c>
      <c r="W29" s="115" t="inlineStr">
        <is>
          <t>M</t>
        </is>
      </c>
      <c r="X29" s="125" t="inlineStr">
        <is>
          <t>N</t>
        </is>
      </c>
      <c r="Y29" s="114" t="n"/>
      <c r="Z29" s="115" t="inlineStr">
        <is>
          <t>M</t>
        </is>
      </c>
      <c r="AA29" s="115" t="inlineStr">
        <is>
          <t>M</t>
        </is>
      </c>
      <c r="AB29" s="114" t="n"/>
      <c r="AC29" s="115" t="inlineStr">
        <is>
          <t>M</t>
        </is>
      </c>
      <c r="AD29" s="114" t="n"/>
      <c r="AE29" s="125" t="inlineStr">
        <is>
          <t>N</t>
        </is>
      </c>
      <c r="AF29" s="114" t="n"/>
      <c r="AG29" s="115" t="inlineStr">
        <is>
          <t>M</t>
        </is>
      </c>
      <c r="AH29" s="115" t="inlineStr">
        <is>
          <t>M</t>
        </is>
      </c>
      <c r="AI29" s="114" t="n"/>
      <c r="AJ29" s="115" t="inlineStr">
        <is>
          <t>M</t>
        </is>
      </c>
      <c r="AK29" s="100" t="n"/>
      <c r="AL29" s="100" t="n"/>
      <c r="AM29" s="100" t="n"/>
      <c r="AN29" s="116">
        <f>IFERROR(INDEX(MAR!I$8:I$73,MATCH($A29,MAR!$A$8:$A$73,0))&amp;"","")</f>
        <v/>
      </c>
      <c r="AO29" s="100" t="n"/>
      <c r="AP29" s="100" t="n"/>
      <c r="AQ29" s="100" t="n"/>
      <c r="AR29" s="100" t="n"/>
      <c r="AS29" s="100" t="n"/>
      <c r="AT29" s="117">
        <f>SUMPRODUCT(($C29:$I29="M")*6+($C29:$I29="T")*6+($C29:$I29="D")*12+($C29:$I29="N")*12+($C29:$I29="NT")*6+($C29:$I29="C")*10+($C29:$I29="A")*8+($C29:$I29="J")*5+($C29:$I29="CEP")*4+($C29:$I29="CP")*6+($C29:$I29="CRO")*6+($C29:$I29="M+")*6+($C29:$I29="T+")*6+($C29:$I29="D+")*12+($C29:$I29="N+")*12+($C29:$I29="Dm+")*12+($C29:$I29="Dt+")*12+($C29:$I29="Tm-")*6+($C29:$I29="Mt-")*6)</f>
        <v/>
      </c>
      <c r="AU29" s="118">
        <f>AT29-MAX(0,IFERROR(INDEX(CADASTRO!$I$4:$I$80,MATCH($A29,CADASTRO!$A$4:$A$80,0)),$B29)-CONFIG!$B$50*(COUNTIF($C29:$I29,"AB")+COUNTIF($C29:$I29,"FE")+COUNTIF($C29:$I29,"LM")))</f>
        <v/>
      </c>
      <c r="AV29" s="117">
        <f>SUMPRODUCT(($J29:$P29="M")*6+($J29:$P29="T")*6+($J29:$P29="D")*12+($J29:$P29="N")*12+($J29:$P29="NT")*6+($J29:$P29="C")*10+($J29:$P29="A")*8+($J29:$P29="J")*5+($J29:$P29="CEP")*4+($J29:$P29="CP")*6+($J29:$P29="CRO")*6+($J29:$P29="M+")*6+($J29:$P29="T+")*6+($J29:$P29="D+")*12+($J29:$P29="N+")*12+($J29:$P29="Dm+")*12+($J29:$P29="Dt+")*12+($J29:$P29="Tm-")*6+($J29:$P29="Mt-")*6)</f>
        <v/>
      </c>
      <c r="AW29" s="118">
        <f>AV29-MAX(0,IFERROR(INDEX(CADASTRO!$I$4:$I$80,MATCH($A29,CADASTRO!$A$4:$A$80,0)),$B29)-CONFIG!$B$50*(COUNTIF($J29:$P29,"AB")+COUNTIF($J29:$P29,"FE")+COUNTIF($J29:$P29,"LM")))</f>
        <v/>
      </c>
      <c r="AX29" s="117">
        <f>SUMPRODUCT(($Q29:$W29="M")*6+($Q29:$W29="T")*6+($Q29:$W29="D")*12+($Q29:$W29="N")*12+($Q29:$W29="NT")*6+($Q29:$W29="C")*10+($Q29:$W29="A")*8+($Q29:$W29="J")*5+($Q29:$W29="CEP")*4+($Q29:$W29="CP")*6+($Q29:$W29="CRO")*6+($Q29:$W29="M+")*6+($Q29:$W29="T+")*6+($Q29:$W29="D+")*12+($Q29:$W29="N+")*12+($Q29:$W29="Dm+")*12+($Q29:$W29="Dt+")*12+($Q29:$W29="Tm-")*6+($Q29:$W29="Mt-")*6)</f>
        <v/>
      </c>
      <c r="AY29" s="118">
        <f>AX29-MAX(0,IFERROR(INDEX(CADASTRO!$I$4:$I$80,MATCH($A29,CADASTRO!$A$4:$A$80,0)),$B29)-CONFIG!$B$50*(COUNTIF($Q29:$W29,"AB")+COUNTIF($Q29:$W29,"FE")+COUNTIF($Q29:$W29,"LM")))</f>
        <v/>
      </c>
      <c r="AZ29" s="117">
        <f>SUMPRODUCT(($X29:$AD29="M")*6+($X29:$AD29="T")*6+($X29:$AD29="D")*12+($X29:$AD29="N")*12+($X29:$AD29="NT")*6+($X29:$AD29="C")*10+($X29:$AD29="A")*8+($X29:$AD29="J")*5+($X29:$AD29="CEP")*4+($X29:$AD29="CP")*6+($X29:$AD29="CRO")*6+($X29:$AD29="M+")*6+($X29:$AD29="T+")*6+($X29:$AD29="D+")*12+($X29:$AD29="N+")*12+($X29:$AD29="Dm+")*12+($X29:$AD29="Dt+")*12+($X29:$AD29="Tm-")*6+($X29:$AD29="Mt-")*6)</f>
        <v/>
      </c>
      <c r="BA29" s="118">
        <f>AZ29-MAX(0,IFERROR(INDEX(CADASTRO!$I$4:$I$80,MATCH($A29,CADASTRO!$A$4:$A$80,0)),$B29)-CONFIG!$B$50*(COUNTIF($X29:$AD29,"AB")+COUNTIF($X29:$AD29,"FE")+COUNTIF($X29:$AD29,"LM")))</f>
        <v/>
      </c>
      <c r="BB29" s="117">
        <f>SUMPRODUCT(($AE29:$AJ29="M")*6+($AE29:$AJ29="T")*6+($AE29:$AJ29="D")*12+($AE29:$AJ29="N")*12+($AE29:$AJ29="NT")*6+($AE29:$AJ29="C")*10+($AE29:$AJ29="A")*8+($AE29:$AJ29="J")*5+($AE29:$AJ29="CEP")*4+($AE29:$AJ29="CP")*6+($AE29:$AJ29="CRO")*6+($AE29:$AJ29="M+")*6+($AE29:$AJ29="T+")*6+($AE29:$AJ29="D+")*12+($AE29:$AJ29="N+")*12+($AE29:$AJ29="Dm+")*12+($AE29:$AJ29="Dt+")*12+($AE29:$AJ29="Tm-")*6+($AE29:$AJ29="Mt-")*6)+SUMPRODUCT(($AN29:$AN29="M")*6+($AN29:$AN29="T")*6+($AN29:$AN29="D")*12+($AN29:$AN29="N")*12+($AN29:$AN29="NT")*6+($AN29:$AN29="C")*10+($AN29:$AN29="A")*8+($AN29:$AN29="J")*5+($AN29:$AN29="CEP")*4+($AN29:$AN29="CP")*6+($AN29:$AN29="CRO")*6+($AN29:$AN29="M+")*6+($AN29:$AN29="T+")*6+($AN29:$AN29="D+")*12+($AN29:$AN29="N+")*12+($AN29:$AN29="Dm+")*12+($AN29:$AN29="Dt+")*12+($AN29:$AN29="Tm-")*6+($AN29:$AN29="Mt-")*6)</f>
        <v/>
      </c>
      <c r="BC29" s="118">
        <f>BB29-MAX(0,IFERROR(INDEX(CADASTRO!$I$4:$I$80,MATCH($A29,CADASTRO!$A$4:$A$80,0)),$B29)-CONFIG!$B$50*(COUNTIF($AE29:$AJ29,"AB")+COUNTIF($AE29:$AJ29,"FE")+COUNTIF($AE29:$AJ29,"LM")+COUNTIF($AN29:$AN29,"AB")+COUNTIF($AN29:$AN29,"FE")+COUNTIF($AN29:$AN29,"LM")))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ROUND(B29*4.0,0)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36">
        <f>IFERROR(INDEX(JAN!AH$8:AH$73,MATCH($A30,JAN!$A$8:$A$73,0))&amp;"","")</f>
        <v/>
      </c>
      <c r="D30" s="136">
        <f>IFERROR(INDEX(JAN!AI$8:AI$73,MATCH($A30,JAN!$A$8:$A$73,0))&amp;"","")</f>
        <v/>
      </c>
      <c r="E30" s="136">
        <f>IFERROR(INDEX(JAN!AJ$8:AJ$73,MATCH($A30,JAN!$A$8:$A$73,0))&amp;"","")</f>
        <v/>
      </c>
      <c r="F30" s="136">
        <f>IFERROR(INDEX(JAN!AK$8:AK$73,MATCH($A30,JAN!$A$8:$A$73,0))&amp;"","")</f>
        <v/>
      </c>
      <c r="G30" s="136">
        <f>IFERROR(INDEX(JAN!AL$8:AL$73,MATCH($A30,JAN!$A$8:$A$73,0))&amp;"","")</f>
        <v/>
      </c>
      <c r="H30" s="116">
        <f>IFERROR(INDEX(JAN!AM$8:AM$73,MATCH($A30,JAN!$A$8:$A$73,0))&amp;"","")</f>
        <v/>
      </c>
      <c r="I30" s="125" t="inlineStr">
        <is>
          <t>N</t>
        </is>
      </c>
      <c r="J30" s="114" t="n"/>
      <c r="K30" s="125" t="inlineStr">
        <is>
          <t>N</t>
        </is>
      </c>
      <c r="L30" s="126" t="inlineStr">
        <is>
          <t>T</t>
        </is>
      </c>
      <c r="M30" s="114" t="n"/>
      <c r="N30" s="114" t="n"/>
      <c r="O30" s="114" t="n"/>
      <c r="P30" s="125" t="inlineStr">
        <is>
          <t>N</t>
        </is>
      </c>
      <c r="Q30" s="114" t="n"/>
      <c r="R30" s="125" t="inlineStr">
        <is>
          <t>N</t>
        </is>
      </c>
      <c r="S30" s="126" t="inlineStr">
        <is>
          <t>T</t>
        </is>
      </c>
      <c r="T30" s="114" t="n"/>
      <c r="U30" s="114" t="n"/>
      <c r="V30" s="114" t="n"/>
      <c r="W30" s="125" t="inlineStr">
        <is>
          <t>N</t>
        </is>
      </c>
      <c r="X30" s="114" t="n"/>
      <c r="Y30" s="125" t="inlineStr">
        <is>
          <t>N</t>
        </is>
      </c>
      <c r="Z30" s="125" t="inlineStr">
        <is>
          <t>N</t>
        </is>
      </c>
      <c r="AA30" s="126" t="inlineStr">
        <is>
          <t>T</t>
        </is>
      </c>
      <c r="AB30" s="114" t="n"/>
      <c r="AC30" s="114" t="n"/>
      <c r="AD30" s="114" t="n"/>
      <c r="AE30" s="114" t="n"/>
      <c r="AF30" s="125" t="inlineStr">
        <is>
          <t>N</t>
        </is>
      </c>
      <c r="AG30" s="126" t="inlineStr">
        <is>
          <t>T</t>
        </is>
      </c>
      <c r="AH30" s="114" t="n"/>
      <c r="AI30" s="114" t="n"/>
      <c r="AJ30" s="114" t="n"/>
      <c r="AK30" s="100" t="n"/>
      <c r="AL30" s="100" t="n"/>
      <c r="AM30" s="100" t="n"/>
      <c r="AN30" s="116">
        <f>IFERROR(INDEX(MAR!I$8:I$73,MATCH($A30,MAR!$A$8:$A$73,0))&amp;"","")</f>
        <v/>
      </c>
      <c r="AO30" s="100" t="n"/>
      <c r="AP30" s="100" t="n"/>
      <c r="AQ30" s="100" t="n"/>
      <c r="AR30" s="100" t="n"/>
      <c r="AS30" s="100" t="n"/>
      <c r="AT30" s="117">
        <f>SUMPRODUCT(($C30:$I30="M")*6+($C30:$I30="T")*6+($C30:$I30="D")*12+($C30:$I30="N")*12+($C30:$I30="NT")*6+($C30:$I30="C")*10+($C30:$I30="A")*8+($C30:$I30="J")*5+($C30:$I30="CEP")*4+($C30:$I30="CP")*6+($C30:$I30="CRO")*6+($C30:$I30="M+")*6+($C30:$I30="T+")*6+($C30:$I30="D+")*12+($C30:$I30="N+")*12+($C30:$I30="Dm+")*12+($C30:$I30="Dt+")*12+($C30:$I30="Tm-")*6+($C30:$I30="Mt-")*6)</f>
        <v/>
      </c>
      <c r="AU30" s="118">
        <f>AT30-MAX(0,IFERROR(INDEX(CADASTRO!$I$4:$I$80,MATCH($A30,CADASTRO!$A$4:$A$80,0)),$B30)-CONFIG!$B$50*(COUNTIF($C30:$I30,"AB")+COUNTIF($C30:$I30,"FE")+COUNTIF($C30:$I30,"LM")))</f>
        <v/>
      </c>
      <c r="AV30" s="117">
        <f>SUMPRODUCT(($J30:$P30="M")*6+($J30:$P30="T")*6+($J30:$P30="D")*12+($J30:$P30="N")*12+($J30:$P30="NT")*6+($J30:$P30="C")*10+($J30:$P30="A")*8+($J30:$P30="J")*5+($J30:$P30="CEP")*4+($J30:$P30="CP")*6+($J30:$P30="CRO")*6+($J30:$P30="M+")*6+($J30:$P30="T+")*6+($J30:$P30="D+")*12+($J30:$P30="N+")*12+($J30:$P30="Dm+")*12+($J30:$P30="Dt+")*12+($J30:$P30="Tm-")*6+($J30:$P30="Mt-")*6)</f>
        <v/>
      </c>
      <c r="AW30" s="118">
        <f>AV30-MAX(0,IFERROR(INDEX(CADASTRO!$I$4:$I$80,MATCH($A30,CADASTRO!$A$4:$A$80,0)),$B30)-CONFIG!$B$50*(COUNTIF($J30:$P30,"AB")+COUNTIF($J30:$P30,"FE")+COUNTIF($J30:$P30,"LM")))</f>
        <v/>
      </c>
      <c r="AX30" s="117">
        <f>SUMPRODUCT(($Q30:$W30="M")*6+($Q30:$W30="T")*6+($Q30:$W30="D")*12+($Q30:$W30="N")*12+($Q30:$W30="NT")*6+($Q30:$W30="C")*10+($Q30:$W30="A")*8+($Q30:$W30="J")*5+($Q30:$W30="CEP")*4+($Q30:$W30="CP")*6+($Q30:$W30="CRO")*6+($Q30:$W30="M+")*6+($Q30:$W30="T+")*6+($Q30:$W30="D+")*12+($Q30:$W30="N+")*12+($Q30:$W30="Dm+")*12+($Q30:$W30="Dt+")*12+($Q30:$W30="Tm-")*6+($Q30:$W30="Mt-")*6)</f>
        <v/>
      </c>
      <c r="AY30" s="118">
        <f>AX30-MAX(0,IFERROR(INDEX(CADASTRO!$I$4:$I$80,MATCH($A30,CADASTRO!$A$4:$A$80,0)),$B30)-CONFIG!$B$50*(COUNTIF($Q30:$W30,"AB")+COUNTIF($Q30:$W30,"FE")+COUNTIF($Q30:$W30,"LM")))</f>
        <v/>
      </c>
      <c r="AZ30" s="117">
        <f>SUMPRODUCT(($X30:$AD30="M")*6+($X30:$AD30="T")*6+($X30:$AD30="D")*12+($X30:$AD30="N")*12+($X30:$AD30="NT")*6+($X30:$AD30="C")*10+($X30:$AD30="A")*8+($X30:$AD30="J")*5+($X30:$AD30="CEP")*4+($X30:$AD30="CP")*6+($X30:$AD30="CRO")*6+($X30:$AD30="M+")*6+($X30:$AD30="T+")*6+($X30:$AD30="D+")*12+($X30:$AD30="N+")*12+($X30:$AD30="Dm+")*12+($X30:$AD30="Dt+")*12+($X30:$AD30="Tm-")*6+($X30:$AD30="Mt-")*6)</f>
        <v/>
      </c>
      <c r="BA30" s="118">
        <f>AZ30-MAX(0,IFERROR(INDEX(CADASTRO!$I$4:$I$80,MATCH($A30,CADASTRO!$A$4:$A$80,0)),$B30)-CONFIG!$B$50*(COUNTIF($X30:$AD30,"AB")+COUNTIF($X30:$AD30,"FE")+COUNTIF($X30:$AD30,"LM")))</f>
        <v/>
      </c>
      <c r="BB30" s="117">
        <f>SUMPRODUCT(($AE30:$AJ30="M")*6+($AE30:$AJ30="T")*6+($AE30:$AJ30="D")*12+($AE30:$AJ30="N")*12+($AE30:$AJ30="NT")*6+($AE30:$AJ30="C")*10+($AE30:$AJ30="A")*8+($AE30:$AJ30="J")*5+($AE30:$AJ30="CEP")*4+($AE30:$AJ30="CP")*6+($AE30:$AJ30="CRO")*6+($AE30:$AJ30="M+")*6+($AE30:$AJ30="T+")*6+($AE30:$AJ30="D+")*12+($AE30:$AJ30="N+")*12+($AE30:$AJ30="Dm+")*12+($AE30:$AJ30="Dt+")*12+($AE30:$AJ30="Tm-")*6+($AE30:$AJ30="Mt-")*6)+SUMPRODUCT(($AN30:$AN30="M")*6+($AN30:$AN30="T")*6+($AN30:$AN30="D")*12+($AN30:$AN30="N")*12+($AN30:$AN30="NT")*6+($AN30:$AN30="C")*10+($AN30:$AN30="A")*8+($AN30:$AN30="J")*5+($AN30:$AN30="CEP")*4+($AN30:$AN30="CP")*6+($AN30:$AN30="CRO")*6+($AN30:$AN30="M+")*6+($AN30:$AN30="T+")*6+($AN30:$AN30="D+")*12+($AN30:$AN30="N+")*12+($AN30:$AN30="Dm+")*12+($AN30:$AN30="Dt+")*12+($AN30:$AN30="Tm-")*6+($AN30:$AN30="Mt-")*6)</f>
        <v/>
      </c>
      <c r="BC30" s="118">
        <f>BB30-MAX(0,IFERROR(INDEX(CADASTRO!$I$4:$I$80,MATCH($A30,CADASTRO!$A$4:$A$80,0)),$B30)-CONFIG!$B$50*(COUNTIF($AE30:$AJ30,"AB")+COUNTIF($AE30:$AJ30,"FE")+COUNTIF($AE30:$AJ30,"LM")+COUNTIF($AN30:$AN30,"AB")+COUNTIF($AN30:$AN30,"FE")+COUNTIF($AN30:$AN30,"LM")))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ROUND(B30*4.0,0)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36">
        <f>IFERROR(INDEX(JAN!AH$8:AH$73,MATCH($A31,JAN!$A$8:$A$73,0))&amp;"","")</f>
        <v/>
      </c>
      <c r="D31" s="136">
        <f>IFERROR(INDEX(JAN!AI$8:AI$73,MATCH($A31,JAN!$A$8:$A$73,0))&amp;"","")</f>
        <v/>
      </c>
      <c r="E31" s="136">
        <f>IFERROR(INDEX(JAN!AJ$8:AJ$73,MATCH($A31,JAN!$A$8:$A$73,0))&amp;"","")</f>
        <v/>
      </c>
      <c r="F31" s="136">
        <f>IFERROR(INDEX(JAN!AK$8:AK$73,MATCH($A31,JAN!$A$8:$A$73,0))&amp;"","")</f>
        <v/>
      </c>
      <c r="G31" s="136">
        <f>IFERROR(INDEX(JAN!AL$8:AL$73,MATCH($A31,JAN!$A$8:$A$73,0))&amp;"","")</f>
        <v/>
      </c>
      <c r="H31" s="116">
        <f>IFERROR(INDEX(JAN!AM$8:AM$73,MATCH($A31,JAN!$A$8:$A$73,0))&amp;"","")</f>
        <v/>
      </c>
      <c r="I31" s="114" t="n"/>
      <c r="J31" s="115" t="inlineStr">
        <is>
          <t>M</t>
        </is>
      </c>
      <c r="K31" s="114" t="n"/>
      <c r="L31" s="114" t="n"/>
      <c r="M31" s="114" t="n"/>
      <c r="N31" s="125" t="inlineStr">
        <is>
          <t>N</t>
        </is>
      </c>
      <c r="O31" s="125" t="inlineStr">
        <is>
          <t>N</t>
        </is>
      </c>
      <c r="P31" s="115" t="inlineStr">
        <is>
          <t>M</t>
        </is>
      </c>
      <c r="Q31" s="124" t="inlineStr">
        <is>
          <t>D</t>
        </is>
      </c>
      <c r="R31" s="115" t="inlineStr">
        <is>
          <t>M</t>
        </is>
      </c>
      <c r="S31" s="124" t="inlineStr">
        <is>
          <t>D</t>
        </is>
      </c>
      <c r="T31" s="114" t="n"/>
      <c r="U31" s="115" t="inlineStr">
        <is>
          <t>M</t>
        </is>
      </c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14" t="n"/>
      <c r="AH31" s="114" t="n"/>
      <c r="AI31" s="114" t="n"/>
      <c r="AJ31" s="114" t="n"/>
      <c r="AK31" s="100" t="n"/>
      <c r="AL31" s="100" t="n"/>
      <c r="AM31" s="100" t="n"/>
      <c r="AN31" s="116">
        <f>IFERROR(INDEX(MAR!I$8:I$73,MATCH($A31,MAR!$A$8:$A$73,0))&amp;"","")</f>
        <v/>
      </c>
      <c r="AO31" s="100" t="n"/>
      <c r="AP31" s="100" t="n"/>
      <c r="AQ31" s="100" t="n"/>
      <c r="AR31" s="100" t="n"/>
      <c r="AS31" s="100" t="n"/>
      <c r="AT31" s="117">
        <f>SUMPRODUCT(($C31:$I31="M")*6+($C31:$I31="T")*6+($C31:$I31="D")*12+($C31:$I31="N")*12+($C31:$I31="NT")*6+($C31:$I31="C")*10+($C31:$I31="A")*8+($C31:$I31="J")*5+($C31:$I31="CEP")*4+($C31:$I31="CP")*6+($C31:$I31="CRO")*6+($C31:$I31="M+")*6+($C31:$I31="T+")*6+($C31:$I31="D+")*12+($C31:$I31="N+")*12+($C31:$I31="Dm+")*12+($C31:$I31="Dt+")*12+($C31:$I31="Tm-")*6+($C31:$I31="Mt-")*6)</f>
        <v/>
      </c>
      <c r="AU31" s="118">
        <f>AT31-MAX(0,IFERROR(INDEX(CADASTRO!$I$4:$I$80,MATCH($A31,CADASTRO!$A$4:$A$80,0)),$B31)-CONFIG!$B$50*(COUNTIF($C31:$I31,"AB")+COUNTIF($C31:$I31,"FE")+COUNTIF($C31:$I31,"LM")))</f>
        <v/>
      </c>
      <c r="AV31" s="117">
        <f>SUMPRODUCT(($J31:$P31="M")*6+($J31:$P31="T")*6+($J31:$P31="D")*12+($J31:$P31="N")*12+($J31:$P31="NT")*6+($J31:$P31="C")*10+($J31:$P31="A")*8+($J31:$P31="J")*5+($J31:$P31="CEP")*4+($J31:$P31="CP")*6+($J31:$P31="CRO")*6+($J31:$P31="M+")*6+($J31:$P31="T+")*6+($J31:$P31="D+")*12+($J31:$P31="N+")*12+($J31:$P31="Dm+")*12+($J31:$P31="Dt+")*12+($J31:$P31="Tm-")*6+($J31:$P31="Mt-")*6)</f>
        <v/>
      </c>
      <c r="AW31" s="118">
        <f>AV31-MAX(0,IFERROR(INDEX(CADASTRO!$I$4:$I$80,MATCH($A31,CADASTRO!$A$4:$A$80,0)),$B31)-CONFIG!$B$50*(COUNTIF($J31:$P31,"AB")+COUNTIF($J31:$P31,"FE")+COUNTIF($J31:$P31,"LM")))</f>
        <v/>
      </c>
      <c r="AX31" s="117">
        <f>SUMPRODUCT(($Q31:$W31="M")*6+($Q31:$W31="T")*6+($Q31:$W31="D")*12+($Q31:$W31="N")*12+($Q31:$W31="NT")*6+($Q31:$W31="C")*10+($Q31:$W31="A")*8+($Q31:$W31="J")*5+($Q31:$W31="CEP")*4+($Q31:$W31="CP")*6+($Q31:$W31="CRO")*6+($Q31:$W31="M+")*6+($Q31:$W31="T+")*6+($Q31:$W31="D+")*12+($Q31:$W31="N+")*12+($Q31:$W31="Dm+")*12+($Q31:$W31="Dt+")*12+($Q31:$W31="Tm-")*6+($Q31:$W31="Mt-")*6)</f>
        <v/>
      </c>
      <c r="AY31" s="118">
        <f>AX31-MAX(0,IFERROR(INDEX(CADASTRO!$I$4:$I$80,MATCH($A31,CADASTRO!$A$4:$A$80,0)),$B31)-CONFIG!$B$50*(COUNTIF($Q31:$W31,"AB")+COUNTIF($Q31:$W31,"FE")+COUNTIF($Q31:$W31,"LM")))</f>
        <v/>
      </c>
      <c r="AZ31" s="117">
        <f>SUMPRODUCT(($X31:$AD31="M")*6+($X31:$AD31="T")*6+($X31:$AD31="D")*12+($X31:$AD31="N")*12+($X31:$AD31="NT")*6+($X31:$AD31="C")*10+($X31:$AD31="A")*8+($X31:$AD31="J")*5+($X31:$AD31="CEP")*4+($X31:$AD31="CP")*6+($X31:$AD31="CRO")*6+($X31:$AD31="M+")*6+($X31:$AD31="T+")*6+($X31:$AD31="D+")*12+($X31:$AD31="N+")*12+($X31:$AD31="Dm+")*12+($X31:$AD31="Dt+")*12+($X31:$AD31="Tm-")*6+($X31:$AD31="Mt-")*6)</f>
        <v/>
      </c>
      <c r="BA31" s="118">
        <f>AZ31-MAX(0,IFERROR(INDEX(CADASTRO!$I$4:$I$80,MATCH($A31,CADASTRO!$A$4:$A$80,0)),$B31)-CONFIG!$B$50*(COUNTIF($X31:$AD31,"AB")+COUNTIF($X31:$AD31,"FE")+COUNTIF($X31:$AD31,"LM")))</f>
        <v/>
      </c>
      <c r="BB31" s="117">
        <f>SUMPRODUCT(($AE31:$AJ31="M")*6+($AE31:$AJ31="T")*6+($AE31:$AJ31="D")*12+($AE31:$AJ31="N")*12+($AE31:$AJ31="NT")*6+($AE31:$AJ31="C")*10+($AE31:$AJ31="A")*8+($AE31:$AJ31="J")*5+($AE31:$AJ31="CEP")*4+($AE31:$AJ31="CP")*6+($AE31:$AJ31="CRO")*6+($AE31:$AJ31="M+")*6+($AE31:$AJ31="T+")*6+($AE31:$AJ31="D+")*12+($AE31:$AJ31="N+")*12+($AE31:$AJ31="Dm+")*12+($AE31:$AJ31="Dt+")*12+($AE31:$AJ31="Tm-")*6+($AE31:$AJ31="Mt-")*6)+SUMPRODUCT(($AN31:$AN31="M")*6+($AN31:$AN31="T")*6+($AN31:$AN31="D")*12+($AN31:$AN31="N")*12+($AN31:$AN31="NT")*6+($AN31:$AN31="C")*10+($AN31:$AN31="A")*8+($AN31:$AN31="J")*5+($AN31:$AN31="CEP")*4+($AN31:$AN31="CP")*6+($AN31:$AN31="CRO")*6+($AN31:$AN31="M+")*6+($AN31:$AN31="T+")*6+($AN31:$AN31="D+")*12+($AN31:$AN31="N+")*12+($AN31:$AN31="Dm+")*12+($AN31:$AN31="Dt+")*12+($AN31:$AN31="Tm-")*6+($AN31:$AN31="Mt-")*6)</f>
        <v/>
      </c>
      <c r="BC31" s="118">
        <f>BB31-MAX(0,IFERROR(INDEX(CADASTRO!$I$4:$I$80,MATCH($A31,CADASTRO!$A$4:$A$80,0)),$B31)-CONFIG!$B$50*(COUNTIF($AE31:$AJ31,"AB")+COUNTIF($AE31:$AJ31,"FE")+COUNTIF($AE31:$AJ31,"LM")+COUNTIF($AN31:$AN31,"AB")+COUNTIF($AN31:$AN31,"FE")+COUNTIF($AN31:$AN31,"LM")))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ROUND(B31*4.0,0)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36">
        <f>IFERROR(INDEX(JAN!AH$8:AH$73,MATCH($A32,JAN!$A$8:$A$73,0))&amp;"","")</f>
        <v/>
      </c>
      <c r="D32" s="136">
        <f>IFERROR(INDEX(JAN!AI$8:AI$73,MATCH($A32,JAN!$A$8:$A$73,0))&amp;"","")</f>
        <v/>
      </c>
      <c r="E32" s="136">
        <f>IFERROR(INDEX(JAN!AJ$8:AJ$73,MATCH($A32,JAN!$A$8:$A$73,0))&amp;"","")</f>
        <v/>
      </c>
      <c r="F32" s="136">
        <f>IFERROR(INDEX(JAN!AK$8:AK$73,MATCH($A32,JAN!$A$8:$A$73,0))&amp;"","")</f>
        <v/>
      </c>
      <c r="G32" s="136">
        <f>IFERROR(INDEX(JAN!AL$8:AL$73,MATCH($A32,JAN!$A$8:$A$73,0))&amp;"","")</f>
        <v/>
      </c>
      <c r="H32" s="116">
        <f>IFERROR(INDEX(JAN!AM$8:AM$73,MATCH($A32,JAN!$A$8:$A$73,0))&amp;"","")</f>
        <v/>
      </c>
      <c r="I32" s="124" t="inlineStr">
        <is>
          <t>D</t>
        </is>
      </c>
      <c r="J32" s="124" t="inlineStr">
        <is>
          <t>D</t>
        </is>
      </c>
      <c r="K32" s="114" t="n"/>
      <c r="L32" s="114" t="n"/>
      <c r="M32" s="115" t="inlineStr">
        <is>
          <t>M</t>
        </is>
      </c>
      <c r="N32" s="115" t="inlineStr">
        <is>
          <t>M</t>
        </is>
      </c>
      <c r="O32" s="126" t="inlineStr">
        <is>
          <t>T</t>
        </is>
      </c>
      <c r="P32" s="114" t="n"/>
      <c r="Q32" s="124" t="inlineStr">
        <is>
          <t>D</t>
        </is>
      </c>
      <c r="R32" s="114" t="n"/>
      <c r="S32" s="114" t="n"/>
      <c r="T32" s="115" t="inlineStr">
        <is>
          <t>M</t>
        </is>
      </c>
      <c r="U32" s="125" t="inlineStr">
        <is>
          <t>N</t>
        </is>
      </c>
      <c r="V32" s="114" t="n"/>
      <c r="W32" s="114" t="n"/>
      <c r="X32" s="125" t="inlineStr">
        <is>
          <t>N</t>
        </is>
      </c>
      <c r="Y32" s="114" t="n"/>
      <c r="Z32" s="114" t="n"/>
      <c r="AA32" s="126" t="inlineStr">
        <is>
          <t>T</t>
        </is>
      </c>
      <c r="AB32" s="114" t="n"/>
      <c r="AC32" s="126" t="inlineStr">
        <is>
          <t>T</t>
        </is>
      </c>
      <c r="AD32" s="115" t="inlineStr">
        <is>
          <t>M</t>
        </is>
      </c>
      <c r="AE32" s="125" t="inlineStr">
        <is>
          <t>N</t>
        </is>
      </c>
      <c r="AF32" s="114" t="n"/>
      <c r="AG32" s="114" t="n"/>
      <c r="AH32" s="114" t="n"/>
      <c r="AI32" s="126" t="inlineStr">
        <is>
          <t>T</t>
        </is>
      </c>
      <c r="AJ32" s="114" t="n"/>
      <c r="AK32" s="100" t="n"/>
      <c r="AL32" s="100" t="n"/>
      <c r="AM32" s="100" t="n"/>
      <c r="AN32" s="116">
        <f>IFERROR(INDEX(MAR!I$8:I$73,MATCH($A32,MAR!$A$8:$A$73,0))&amp;"","")</f>
        <v/>
      </c>
      <c r="AO32" s="100" t="n"/>
      <c r="AP32" s="100" t="n"/>
      <c r="AQ32" s="100" t="n"/>
      <c r="AR32" s="100" t="n"/>
      <c r="AS32" s="100" t="n"/>
      <c r="AT32" s="117">
        <f>SUMPRODUCT(($C32:$I32="M")*6+($C32:$I32="T")*6+($C32:$I32="D")*12+($C32:$I32="N")*12+($C32:$I32="NT")*6+($C32:$I32="C")*10+($C32:$I32="A")*8+($C32:$I32="J")*5+($C32:$I32="CEP")*4+($C32:$I32="CP")*6+($C32:$I32="CRO")*6+($C32:$I32="M+")*6+($C32:$I32="T+")*6+($C32:$I32="D+")*12+($C32:$I32="N+")*12+($C32:$I32="Dm+")*12+($C32:$I32="Dt+")*12+($C32:$I32="Tm-")*6+($C32:$I32="Mt-")*6)</f>
        <v/>
      </c>
      <c r="AU32" s="118">
        <f>AT32-MAX(0,IFERROR(INDEX(CADASTRO!$I$4:$I$80,MATCH($A32,CADASTRO!$A$4:$A$80,0)),$B32)-CONFIG!$B$50*(COUNTIF($C32:$I32,"AB")+COUNTIF($C32:$I32,"FE")+COUNTIF($C32:$I32,"LM")))</f>
        <v/>
      </c>
      <c r="AV32" s="117">
        <f>SUMPRODUCT(($J32:$P32="M")*6+($J32:$P32="T")*6+($J32:$P32="D")*12+($J32:$P32="N")*12+($J32:$P32="NT")*6+($J32:$P32="C")*10+($J32:$P32="A")*8+($J32:$P32="J")*5+($J32:$P32="CEP")*4+($J32:$P32="CP")*6+($J32:$P32="CRO")*6+($J32:$P32="M+")*6+($J32:$P32="T+")*6+($J32:$P32="D+")*12+($J32:$P32="N+")*12+($J32:$P32="Dm+")*12+($J32:$P32="Dt+")*12+($J32:$P32="Tm-")*6+($J32:$P32="Mt-")*6)</f>
        <v/>
      </c>
      <c r="AW32" s="118">
        <f>AV32-MAX(0,IFERROR(INDEX(CADASTRO!$I$4:$I$80,MATCH($A32,CADASTRO!$A$4:$A$80,0)),$B32)-CONFIG!$B$50*(COUNTIF($J32:$P32,"AB")+COUNTIF($J32:$P32,"FE")+COUNTIF($J32:$P32,"LM")))</f>
        <v/>
      </c>
      <c r="AX32" s="117">
        <f>SUMPRODUCT(($Q32:$W32="M")*6+($Q32:$W32="T")*6+($Q32:$W32="D")*12+($Q32:$W32="N")*12+($Q32:$W32="NT")*6+($Q32:$W32="C")*10+($Q32:$W32="A")*8+($Q32:$W32="J")*5+($Q32:$W32="CEP")*4+($Q32:$W32="CP")*6+($Q32:$W32="CRO")*6+($Q32:$W32="M+")*6+($Q32:$W32="T+")*6+($Q32:$W32="D+")*12+($Q32:$W32="N+")*12+($Q32:$W32="Dm+")*12+($Q32:$W32="Dt+")*12+($Q32:$W32="Tm-")*6+($Q32:$W32="Mt-")*6)</f>
        <v/>
      </c>
      <c r="AY32" s="118">
        <f>AX32-MAX(0,IFERROR(INDEX(CADASTRO!$I$4:$I$80,MATCH($A32,CADASTRO!$A$4:$A$80,0)),$B32)-CONFIG!$B$50*(COUNTIF($Q32:$W32,"AB")+COUNTIF($Q32:$W32,"FE")+COUNTIF($Q32:$W32,"LM")))</f>
        <v/>
      </c>
      <c r="AZ32" s="117">
        <f>SUMPRODUCT(($X32:$AD32="M")*6+($X32:$AD32="T")*6+($X32:$AD32="D")*12+($X32:$AD32="N")*12+($X32:$AD32="NT")*6+($X32:$AD32="C")*10+($X32:$AD32="A")*8+($X32:$AD32="J")*5+($X32:$AD32="CEP")*4+($X32:$AD32="CP")*6+($X32:$AD32="CRO")*6+($X32:$AD32="M+")*6+($X32:$AD32="T+")*6+($X32:$AD32="D+")*12+($X32:$AD32="N+")*12+($X32:$AD32="Dm+")*12+($X32:$AD32="Dt+")*12+($X32:$AD32="Tm-")*6+($X32:$AD32="Mt-")*6)</f>
        <v/>
      </c>
      <c r="BA32" s="118">
        <f>AZ32-MAX(0,IFERROR(INDEX(CADASTRO!$I$4:$I$80,MATCH($A32,CADASTRO!$A$4:$A$80,0)),$B32)-CONFIG!$B$50*(COUNTIF($X32:$AD32,"AB")+COUNTIF($X32:$AD32,"FE")+COUNTIF($X32:$AD32,"LM")))</f>
        <v/>
      </c>
      <c r="BB32" s="117">
        <f>SUMPRODUCT(($AE32:$AJ32="M")*6+($AE32:$AJ32="T")*6+($AE32:$AJ32="D")*12+($AE32:$AJ32="N")*12+($AE32:$AJ32="NT")*6+($AE32:$AJ32="C")*10+($AE32:$AJ32="A")*8+($AE32:$AJ32="J")*5+($AE32:$AJ32="CEP")*4+($AE32:$AJ32="CP")*6+($AE32:$AJ32="CRO")*6+($AE32:$AJ32="M+")*6+($AE32:$AJ32="T+")*6+($AE32:$AJ32="D+")*12+($AE32:$AJ32="N+")*12+($AE32:$AJ32="Dm+")*12+($AE32:$AJ32="Dt+")*12+($AE32:$AJ32="Tm-")*6+($AE32:$AJ32="Mt-")*6)+SUMPRODUCT(($AN32:$AN32="M")*6+($AN32:$AN32="T")*6+($AN32:$AN32="D")*12+($AN32:$AN32="N")*12+($AN32:$AN32="NT")*6+($AN32:$AN32="C")*10+($AN32:$AN32="A")*8+($AN32:$AN32="J")*5+($AN32:$AN32="CEP")*4+($AN32:$AN32="CP")*6+($AN32:$AN32="CRO")*6+($AN32:$AN32="M+")*6+($AN32:$AN32="T+")*6+($AN32:$AN32="D+")*12+($AN32:$AN32="N+")*12+($AN32:$AN32="Dm+")*12+($AN32:$AN32="Dt+")*12+($AN32:$AN32="Tm-")*6+($AN32:$AN32="Mt-")*6)</f>
        <v/>
      </c>
      <c r="BC32" s="118">
        <f>BB32-MAX(0,IFERROR(INDEX(CADASTRO!$I$4:$I$80,MATCH($A32,CADASTRO!$A$4:$A$80,0)),$B32)-CONFIG!$B$50*(COUNTIF($AE32:$AJ32,"AB")+COUNTIF($AE32:$AJ32,"FE")+COUNTIF($AE32:$AJ32,"LM")+COUNTIF($AN32:$AN32,"AB")+COUNTIF($AN32:$AN32,"FE")+COUNTIF($AN32:$AN32,"LM")))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ROUND(B32*4.0,0)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36">
        <f>IFERROR(INDEX(JAN!AH$8:AH$73,MATCH($A33,JAN!$A$8:$A$73,0))&amp;"","")</f>
        <v/>
      </c>
      <c r="D33" s="136">
        <f>IFERROR(INDEX(JAN!AI$8:AI$73,MATCH($A33,JAN!$A$8:$A$73,0))&amp;"","")</f>
        <v/>
      </c>
      <c r="E33" s="136">
        <f>IFERROR(INDEX(JAN!AJ$8:AJ$73,MATCH($A33,JAN!$A$8:$A$73,0))&amp;"","")</f>
        <v/>
      </c>
      <c r="F33" s="136">
        <f>IFERROR(INDEX(JAN!AK$8:AK$73,MATCH($A33,JAN!$A$8:$A$73,0))&amp;"","")</f>
        <v/>
      </c>
      <c r="G33" s="136">
        <f>IFERROR(INDEX(JAN!AL$8:AL$73,MATCH($A33,JAN!$A$8:$A$73,0))&amp;"","")</f>
        <v/>
      </c>
      <c r="H33" s="116">
        <f>IFERROR(INDEX(JAN!AM$8:AM$73,MATCH($A33,JAN!$A$8:$A$73,0))&amp;"","")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00" t="n"/>
      <c r="AL33" s="100" t="n"/>
      <c r="AM33" s="100" t="n"/>
      <c r="AN33" s="116">
        <f>IFERROR(INDEX(MAR!I$8:I$73,MATCH($A33,MAR!$A$8:$A$73,0))&amp;"","")</f>
        <v/>
      </c>
      <c r="AO33" s="100" t="n"/>
      <c r="AP33" s="100" t="n"/>
      <c r="AQ33" s="100" t="n"/>
      <c r="AR33" s="100" t="n"/>
      <c r="AS33" s="100" t="n"/>
      <c r="AT33" s="117">
        <f>SUMPRODUCT(($C33:$I33="M")*6+($C33:$I33="T")*6+($C33:$I33="D")*12+($C33:$I33="N")*12+($C33:$I33="NT")*6+($C33:$I33="C")*10+($C33:$I33="A")*8+($C33:$I33="J")*5+($C33:$I33="CEP")*4+($C33:$I33="CP")*6+($C33:$I33="CRO")*6+($C33:$I33="M+")*6+($C33:$I33="T+")*6+($C33:$I33="D+")*12+($C33:$I33="N+")*12+($C33:$I33="Dm+")*12+($C33:$I33="Dt+")*12+($C33:$I33="Tm-")*6+($C33:$I33="Mt-")*6)</f>
        <v/>
      </c>
      <c r="AU33" s="118">
        <f>AT33-MAX(0,IFERROR(INDEX(CADASTRO!$I$4:$I$80,MATCH($A33,CADASTRO!$A$4:$A$80,0)),$B33)-CONFIG!$B$50*(COUNTIF($C33:$I33,"AB")+COUNTIF($C33:$I33,"FE")+COUNTIF($C33:$I33,"LM")))</f>
        <v/>
      </c>
      <c r="AV33" s="117">
        <f>SUMPRODUCT(($J33:$P33="M")*6+($J33:$P33="T")*6+($J33:$P33="D")*12+($J33:$P33="N")*12+($J33:$P33="NT")*6+($J33:$P33="C")*10+($J33:$P33="A")*8+($J33:$P33="J")*5+($J33:$P33="CEP")*4+($J33:$P33="CP")*6+($J33:$P33="CRO")*6+($J33:$P33="M+")*6+($J33:$P33="T+")*6+($J33:$P33="D+")*12+($J33:$P33="N+")*12+($J33:$P33="Dm+")*12+($J33:$P33="Dt+")*12+($J33:$P33="Tm-")*6+($J33:$P33="Mt-")*6)</f>
        <v/>
      </c>
      <c r="AW33" s="118">
        <f>AV33-MAX(0,IFERROR(INDEX(CADASTRO!$I$4:$I$80,MATCH($A33,CADASTRO!$A$4:$A$80,0)),$B33)-CONFIG!$B$50*(COUNTIF($J33:$P33,"AB")+COUNTIF($J33:$P33,"FE")+COUNTIF($J33:$P33,"LM")))</f>
        <v/>
      </c>
      <c r="AX33" s="117">
        <f>SUMPRODUCT(($Q33:$W33="M")*6+($Q33:$W33="T")*6+($Q33:$W33="D")*12+($Q33:$W33="N")*12+($Q33:$W33="NT")*6+($Q33:$W33="C")*10+($Q33:$W33="A")*8+($Q33:$W33="J")*5+($Q33:$W33="CEP")*4+($Q33:$W33="CP")*6+($Q33:$W33="CRO")*6+($Q33:$W33="M+")*6+($Q33:$W33="T+")*6+($Q33:$W33="D+")*12+($Q33:$W33="N+")*12+($Q33:$W33="Dm+")*12+($Q33:$W33="Dt+")*12+($Q33:$W33="Tm-")*6+($Q33:$W33="Mt-")*6)</f>
        <v/>
      </c>
      <c r="AY33" s="118">
        <f>AX33-MAX(0,IFERROR(INDEX(CADASTRO!$I$4:$I$80,MATCH($A33,CADASTRO!$A$4:$A$80,0)),$B33)-CONFIG!$B$50*(COUNTIF($Q33:$W33,"AB")+COUNTIF($Q33:$W33,"FE")+COUNTIF($Q33:$W33,"LM")))</f>
        <v/>
      </c>
      <c r="AZ33" s="117">
        <f>SUMPRODUCT(($X33:$AD33="M")*6+($X33:$AD33="T")*6+($X33:$AD33="D")*12+($X33:$AD33="N")*12+($X33:$AD33="NT")*6+($X33:$AD33="C")*10+($X33:$AD33="A")*8+($X33:$AD33="J")*5+($X33:$AD33="CEP")*4+($X33:$AD33="CP")*6+($X33:$AD33="CRO")*6+($X33:$AD33="M+")*6+($X33:$AD33="T+")*6+($X33:$AD33="D+")*12+($X33:$AD33="N+")*12+($X33:$AD33="Dm+")*12+($X33:$AD33="Dt+")*12+($X33:$AD33="Tm-")*6+($X33:$AD33="Mt-")*6)</f>
        <v/>
      </c>
      <c r="BA33" s="118">
        <f>AZ33-MAX(0,IFERROR(INDEX(CADASTRO!$I$4:$I$80,MATCH($A33,CADASTRO!$A$4:$A$80,0)),$B33)-CONFIG!$B$50*(COUNTIF($X33:$AD33,"AB")+COUNTIF($X33:$AD33,"FE")+COUNTIF($X33:$AD33,"LM")))</f>
        <v/>
      </c>
      <c r="BB33" s="117">
        <f>SUMPRODUCT(($AE33:$AJ33="M")*6+($AE33:$AJ33="T")*6+($AE33:$AJ33="D")*12+($AE33:$AJ33="N")*12+($AE33:$AJ33="NT")*6+($AE33:$AJ33="C")*10+($AE33:$AJ33="A")*8+($AE33:$AJ33="J")*5+($AE33:$AJ33="CEP")*4+($AE33:$AJ33="CP")*6+($AE33:$AJ33="CRO")*6+($AE33:$AJ33="M+")*6+($AE33:$AJ33="T+")*6+($AE33:$AJ33="D+")*12+($AE33:$AJ33="N+")*12+($AE33:$AJ33="Dm+")*12+($AE33:$AJ33="Dt+")*12+($AE33:$AJ33="Tm-")*6+($AE33:$AJ33="Mt-")*6)+SUMPRODUCT(($AN33:$AN33="M")*6+($AN33:$AN33="T")*6+($AN33:$AN33="D")*12+($AN33:$AN33="N")*12+($AN33:$AN33="NT")*6+($AN33:$AN33="C")*10+($AN33:$AN33="A")*8+($AN33:$AN33="J")*5+($AN33:$AN33="CEP")*4+($AN33:$AN33="CP")*6+($AN33:$AN33="CRO")*6+($AN33:$AN33="M+")*6+($AN33:$AN33="T+")*6+($AN33:$AN33="D+")*12+($AN33:$AN33="N+")*12+($AN33:$AN33="Dm+")*12+($AN33:$AN33="Dt+")*12+($AN33:$AN33="Tm-")*6+($AN33:$AN33="Mt-")*6)</f>
        <v/>
      </c>
      <c r="BC33" s="118">
        <f>BB33-MAX(0,IFERROR(INDEX(CADASTRO!$I$4:$I$80,MATCH($A33,CADASTRO!$A$4:$A$80,0)),$B33)-CONFIG!$B$50*(COUNTIF($AE33:$AJ33,"AB")+COUNTIF($AE33:$AJ33,"FE")+COUNTIF($AE33:$AJ33,"LM")+COUNTIF($AN33:$AN33,"AB")+COUNTIF($AN33:$AN33,"FE")+COUNTIF($AN33:$AN33,"LM")))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ROUND(B33*4.0,0)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36">
        <f>IFERROR(INDEX(JAN!AH$8:AH$73,MATCH($A34,JAN!$A$8:$A$73,0))&amp;"","")</f>
        <v/>
      </c>
      <c r="D34" s="136">
        <f>IFERROR(INDEX(JAN!AI$8:AI$73,MATCH($A34,JAN!$A$8:$A$73,0))&amp;"","")</f>
        <v/>
      </c>
      <c r="E34" s="136">
        <f>IFERROR(INDEX(JAN!AJ$8:AJ$73,MATCH($A34,JAN!$A$8:$A$73,0))&amp;"","")</f>
        <v/>
      </c>
      <c r="F34" s="136">
        <f>IFERROR(INDEX(JAN!AK$8:AK$73,MATCH($A34,JAN!$A$8:$A$73,0))&amp;"","")</f>
        <v/>
      </c>
      <c r="G34" s="136">
        <f>IFERROR(INDEX(JAN!AL$8:AL$73,MATCH($A34,JAN!$A$8:$A$73,0))&amp;"","")</f>
        <v/>
      </c>
      <c r="H34" s="116">
        <f>IFERROR(INDEX(JAN!AM$8:AM$73,MATCH($A34,JAN!$A$8:$A$73,0))&amp;"","")</f>
        <v/>
      </c>
      <c r="I34" s="114" t="n"/>
      <c r="J34" s="114" t="n"/>
      <c r="K34" s="114" t="n"/>
      <c r="L34" s="124" t="inlineStr">
        <is>
          <t>D</t>
        </is>
      </c>
      <c r="M34" s="114" t="n"/>
      <c r="N34" s="114" t="n"/>
      <c r="O34" s="124" t="inlineStr">
        <is>
          <t>D</t>
        </is>
      </c>
      <c r="P34" s="115" t="inlineStr">
        <is>
          <t>M</t>
        </is>
      </c>
      <c r="Q34" s="124" t="inlineStr">
        <is>
          <t>D</t>
        </is>
      </c>
      <c r="R34" s="115" t="inlineStr">
        <is>
          <t>M</t>
        </is>
      </c>
      <c r="S34" s="114" t="n"/>
      <c r="T34" s="114" t="n"/>
      <c r="U34" s="114" t="n"/>
      <c r="V34" s="124" t="inlineStr">
        <is>
          <t>D</t>
        </is>
      </c>
      <c r="W34" s="114" t="n"/>
      <c r="X34" s="114" t="n"/>
      <c r="Y34" s="124" t="inlineStr">
        <is>
          <t>D</t>
        </is>
      </c>
      <c r="Z34" s="115" t="inlineStr">
        <is>
          <t>M</t>
        </is>
      </c>
      <c r="AA34" s="124" t="inlineStr">
        <is>
          <t>D</t>
        </is>
      </c>
      <c r="AB34" s="114" t="n"/>
      <c r="AC34" s="114" t="n"/>
      <c r="AD34" s="114" t="n"/>
      <c r="AE34" s="114" t="n"/>
      <c r="AF34" s="124" t="inlineStr">
        <is>
          <t>D</t>
        </is>
      </c>
      <c r="AG34" s="115" t="inlineStr">
        <is>
          <t>M</t>
        </is>
      </c>
      <c r="AH34" s="124" t="inlineStr">
        <is>
          <t>D</t>
        </is>
      </c>
      <c r="AI34" s="114" t="n"/>
      <c r="AJ34" s="114" t="n"/>
      <c r="AK34" s="100" t="n"/>
      <c r="AL34" s="100" t="n"/>
      <c r="AM34" s="100" t="n"/>
      <c r="AN34" s="116">
        <f>IFERROR(INDEX(MAR!I$8:I$73,MATCH($A34,MAR!$A$8:$A$73,0))&amp;"","")</f>
        <v/>
      </c>
      <c r="AO34" s="100" t="n"/>
      <c r="AP34" s="100" t="n"/>
      <c r="AQ34" s="100" t="n"/>
      <c r="AR34" s="100" t="n"/>
      <c r="AS34" s="100" t="n"/>
      <c r="AT34" s="117">
        <f>SUMPRODUCT(($C34:$I34="M")*6+($C34:$I34="T")*6+($C34:$I34="D")*12+($C34:$I34="N")*12+($C34:$I34="NT")*6+($C34:$I34="C")*10+($C34:$I34="A")*8+($C34:$I34="J")*5+($C34:$I34="CEP")*4+($C34:$I34="CP")*6+($C34:$I34="CRO")*6+($C34:$I34="M+")*6+($C34:$I34="T+")*6+($C34:$I34="D+")*12+($C34:$I34="N+")*12+($C34:$I34="Dm+")*12+($C34:$I34="Dt+")*12+($C34:$I34="Tm-")*6+($C34:$I34="Mt-")*6)</f>
        <v/>
      </c>
      <c r="AU34" s="118">
        <f>AT34-MAX(0,IFERROR(INDEX(CADASTRO!$I$4:$I$80,MATCH($A34,CADASTRO!$A$4:$A$80,0)),$B34)-CONFIG!$B$50*(COUNTIF($C34:$I34,"AB")+COUNTIF($C34:$I34,"FE")+COUNTIF($C34:$I34,"LM")))</f>
        <v/>
      </c>
      <c r="AV34" s="117">
        <f>SUMPRODUCT(($J34:$P34="M")*6+($J34:$P34="T")*6+($J34:$P34="D")*12+($J34:$P34="N")*12+($J34:$P34="NT")*6+($J34:$P34="C")*10+($J34:$P34="A")*8+($J34:$P34="J")*5+($J34:$P34="CEP")*4+($J34:$P34="CP")*6+($J34:$P34="CRO")*6+($J34:$P34="M+")*6+($J34:$P34="T+")*6+($J34:$P34="D+")*12+($J34:$P34="N+")*12+($J34:$P34="Dm+")*12+($J34:$P34="Dt+")*12+($J34:$P34="Tm-")*6+($J34:$P34="Mt-")*6)</f>
        <v/>
      </c>
      <c r="AW34" s="118">
        <f>AV34-MAX(0,IFERROR(INDEX(CADASTRO!$I$4:$I$80,MATCH($A34,CADASTRO!$A$4:$A$80,0)),$B34)-CONFIG!$B$50*(COUNTIF($J34:$P34,"AB")+COUNTIF($J34:$P34,"FE")+COUNTIF($J34:$P34,"LM")))</f>
        <v/>
      </c>
      <c r="AX34" s="117">
        <f>SUMPRODUCT(($Q34:$W34="M")*6+($Q34:$W34="T")*6+($Q34:$W34="D")*12+($Q34:$W34="N")*12+($Q34:$W34="NT")*6+($Q34:$W34="C")*10+($Q34:$W34="A")*8+($Q34:$W34="J")*5+($Q34:$W34="CEP")*4+($Q34:$W34="CP")*6+($Q34:$W34="CRO")*6+($Q34:$W34="M+")*6+($Q34:$W34="T+")*6+($Q34:$W34="D+")*12+($Q34:$W34="N+")*12+($Q34:$W34="Dm+")*12+($Q34:$W34="Dt+")*12+($Q34:$W34="Tm-")*6+($Q34:$W34="Mt-")*6)</f>
        <v/>
      </c>
      <c r="AY34" s="118">
        <f>AX34-MAX(0,IFERROR(INDEX(CADASTRO!$I$4:$I$80,MATCH($A34,CADASTRO!$A$4:$A$80,0)),$B34)-CONFIG!$B$50*(COUNTIF($Q34:$W34,"AB")+COUNTIF($Q34:$W34,"FE")+COUNTIF($Q34:$W34,"LM")))</f>
        <v/>
      </c>
      <c r="AZ34" s="117">
        <f>SUMPRODUCT(($X34:$AD34="M")*6+($X34:$AD34="T")*6+($X34:$AD34="D")*12+($X34:$AD34="N")*12+($X34:$AD34="NT")*6+($X34:$AD34="C")*10+($X34:$AD34="A")*8+($X34:$AD34="J")*5+($X34:$AD34="CEP")*4+($X34:$AD34="CP")*6+($X34:$AD34="CRO")*6+($X34:$AD34="M+")*6+($X34:$AD34="T+")*6+($X34:$AD34="D+")*12+($X34:$AD34="N+")*12+($X34:$AD34="Dm+")*12+($X34:$AD34="Dt+")*12+($X34:$AD34="Tm-")*6+($X34:$AD34="Mt-")*6)</f>
        <v/>
      </c>
      <c r="BA34" s="118">
        <f>AZ34-MAX(0,IFERROR(INDEX(CADASTRO!$I$4:$I$80,MATCH($A34,CADASTRO!$A$4:$A$80,0)),$B34)-CONFIG!$B$50*(COUNTIF($X34:$AD34,"AB")+COUNTIF($X34:$AD34,"FE")+COUNTIF($X34:$AD34,"LM")))</f>
        <v/>
      </c>
      <c r="BB34" s="117">
        <f>SUMPRODUCT(($AE34:$AJ34="M")*6+($AE34:$AJ34="T")*6+($AE34:$AJ34="D")*12+($AE34:$AJ34="N")*12+($AE34:$AJ34="NT")*6+($AE34:$AJ34="C")*10+($AE34:$AJ34="A")*8+($AE34:$AJ34="J")*5+($AE34:$AJ34="CEP")*4+($AE34:$AJ34="CP")*6+($AE34:$AJ34="CRO")*6+($AE34:$AJ34="M+")*6+($AE34:$AJ34="T+")*6+($AE34:$AJ34="D+")*12+($AE34:$AJ34="N+")*12+($AE34:$AJ34="Dm+")*12+($AE34:$AJ34="Dt+")*12+($AE34:$AJ34="Tm-")*6+($AE34:$AJ34="Mt-")*6)+SUMPRODUCT(($AN34:$AN34="M")*6+($AN34:$AN34="T")*6+($AN34:$AN34="D")*12+($AN34:$AN34="N")*12+($AN34:$AN34="NT")*6+($AN34:$AN34="C")*10+($AN34:$AN34="A")*8+($AN34:$AN34="J")*5+($AN34:$AN34="CEP")*4+($AN34:$AN34="CP")*6+($AN34:$AN34="CRO")*6+($AN34:$AN34="M+")*6+($AN34:$AN34="T+")*6+($AN34:$AN34="D+")*12+($AN34:$AN34="N+")*12+($AN34:$AN34="Dm+")*12+($AN34:$AN34="Dt+")*12+($AN34:$AN34="Tm-")*6+($AN34:$AN34="Mt-")*6)</f>
        <v/>
      </c>
      <c r="BC34" s="118">
        <f>BB34-MAX(0,IFERROR(INDEX(CADASTRO!$I$4:$I$80,MATCH($A34,CADASTRO!$A$4:$A$80,0)),$B34)-CONFIG!$B$50*(COUNTIF($AE34:$AJ34,"AB")+COUNTIF($AE34:$AJ34,"FE")+COUNTIF($AE34:$AJ34,"LM")+COUNTIF($AN34:$AN34,"AB")+COUNTIF($AN34:$AN34,"FE")+COUNTIF($AN34:$AN34,"LM")))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ROUND(B34*4.0,0)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36">
        <f>IFERROR(INDEX(JAN!AH$8:AH$73,MATCH($A35,JAN!$A$8:$A$73,0))&amp;"","")</f>
        <v/>
      </c>
      <c r="D35" s="136">
        <f>IFERROR(INDEX(JAN!AI$8:AI$73,MATCH($A35,JAN!$A$8:$A$73,0))&amp;"","")</f>
        <v/>
      </c>
      <c r="E35" s="136">
        <f>IFERROR(INDEX(JAN!AJ$8:AJ$73,MATCH($A35,JAN!$A$8:$A$73,0))&amp;"","")</f>
        <v/>
      </c>
      <c r="F35" s="136">
        <f>IFERROR(INDEX(JAN!AK$8:AK$73,MATCH($A35,JAN!$A$8:$A$73,0))&amp;"","")</f>
        <v/>
      </c>
      <c r="G35" s="136">
        <f>IFERROR(INDEX(JAN!AL$8:AL$73,MATCH($A35,JAN!$A$8:$A$73,0))&amp;"","")</f>
        <v/>
      </c>
      <c r="H35" s="116">
        <f>IFERROR(INDEX(JAN!AM$8:AM$73,MATCH($A35,JAN!$A$8:$A$73,0))&amp;"","")</f>
        <v/>
      </c>
      <c r="I35" s="114" t="n"/>
      <c r="J35" s="125" t="inlineStr">
        <is>
          <t>N</t>
        </is>
      </c>
      <c r="K35" s="114" t="n"/>
      <c r="L35" s="114" t="n"/>
      <c r="M35" s="126" t="inlineStr">
        <is>
          <t>T</t>
        </is>
      </c>
      <c r="N35" s="114" t="n"/>
      <c r="O35" s="114" t="n"/>
      <c r="P35" s="125" t="inlineStr">
        <is>
          <t>N</t>
        </is>
      </c>
      <c r="Q35" s="125" t="inlineStr">
        <is>
          <t>N</t>
        </is>
      </c>
      <c r="R35" s="114" t="n"/>
      <c r="S35" s="126" t="inlineStr">
        <is>
          <t>T</t>
        </is>
      </c>
      <c r="T35" s="114" t="n"/>
      <c r="U35" s="125" t="inlineStr">
        <is>
          <t>N</t>
        </is>
      </c>
      <c r="V35" s="114" t="n"/>
      <c r="W35" s="114" t="n"/>
      <c r="X35" s="124" t="inlineStr">
        <is>
          <t>D</t>
        </is>
      </c>
      <c r="Y35" s="124" t="inlineStr">
        <is>
          <t>D</t>
        </is>
      </c>
      <c r="Z35" s="126" t="inlineStr">
        <is>
          <t>T</t>
        </is>
      </c>
      <c r="AA35" s="114" t="n"/>
      <c r="AB35" s="114" t="n"/>
      <c r="AC35" s="114" t="n"/>
      <c r="AD35" s="114" t="n"/>
      <c r="AE35" s="114" t="n"/>
      <c r="AF35" s="124" t="inlineStr">
        <is>
          <t>D</t>
        </is>
      </c>
      <c r="AG35" s="114" t="n"/>
      <c r="AH35" s="114" t="n"/>
      <c r="AI35" s="114" t="n"/>
      <c r="AJ35" s="124" t="inlineStr">
        <is>
          <t>D</t>
        </is>
      </c>
      <c r="AK35" s="100" t="n"/>
      <c r="AL35" s="100" t="n"/>
      <c r="AM35" s="100" t="n"/>
      <c r="AN35" s="116">
        <f>IFERROR(INDEX(MAR!I$8:I$73,MATCH($A35,MAR!$A$8:$A$73,0))&amp;"","")</f>
        <v/>
      </c>
      <c r="AO35" s="100" t="n"/>
      <c r="AP35" s="100" t="n"/>
      <c r="AQ35" s="100" t="n"/>
      <c r="AR35" s="100" t="n"/>
      <c r="AS35" s="100" t="n"/>
      <c r="AT35" s="117">
        <f>SUMPRODUCT(($C35:$I35="M")*6+($C35:$I35="T")*6+($C35:$I35="D")*12+($C35:$I35="N")*12+($C35:$I35="NT")*6+($C35:$I35="C")*10+($C35:$I35="A")*8+($C35:$I35="J")*5+($C35:$I35="CEP")*4+($C35:$I35="CP")*6+($C35:$I35="CRO")*6+($C35:$I35="M+")*6+($C35:$I35="T+")*6+($C35:$I35="D+")*12+($C35:$I35="N+")*12+($C35:$I35="Dm+")*12+($C35:$I35="Dt+")*12+($C35:$I35="Tm-")*6+($C35:$I35="Mt-")*6)</f>
        <v/>
      </c>
      <c r="AU35" s="118">
        <f>AT35-MAX(0,IFERROR(INDEX(CADASTRO!$I$4:$I$80,MATCH($A35,CADASTRO!$A$4:$A$80,0)),$B35)-CONFIG!$B$50*(COUNTIF($C35:$I35,"AB")+COUNTIF($C35:$I35,"FE")+COUNTIF($C35:$I35,"LM")))</f>
        <v/>
      </c>
      <c r="AV35" s="117">
        <f>SUMPRODUCT(($J35:$P35="M")*6+($J35:$P35="T")*6+($J35:$P35="D")*12+($J35:$P35="N")*12+($J35:$P35="NT")*6+($J35:$P35="C")*10+($J35:$P35="A")*8+($J35:$P35="J")*5+($J35:$P35="CEP")*4+($J35:$P35="CP")*6+($J35:$P35="CRO")*6+($J35:$P35="M+")*6+($J35:$P35="T+")*6+($J35:$P35="D+")*12+($J35:$P35="N+")*12+($J35:$P35="Dm+")*12+($J35:$P35="Dt+")*12+($J35:$P35="Tm-")*6+($J35:$P35="Mt-")*6)</f>
        <v/>
      </c>
      <c r="AW35" s="118">
        <f>AV35-MAX(0,IFERROR(INDEX(CADASTRO!$I$4:$I$80,MATCH($A35,CADASTRO!$A$4:$A$80,0)),$B35)-CONFIG!$B$50*(COUNTIF($J35:$P35,"AB")+COUNTIF($J35:$P35,"FE")+COUNTIF($J35:$P35,"LM")))</f>
        <v/>
      </c>
      <c r="AX35" s="117">
        <f>SUMPRODUCT(($Q35:$W35="M")*6+($Q35:$W35="T")*6+($Q35:$W35="D")*12+($Q35:$W35="N")*12+($Q35:$W35="NT")*6+($Q35:$W35="C")*10+($Q35:$W35="A")*8+($Q35:$W35="J")*5+($Q35:$W35="CEP")*4+($Q35:$W35="CP")*6+($Q35:$W35="CRO")*6+($Q35:$W35="M+")*6+($Q35:$W35="T+")*6+($Q35:$W35="D+")*12+($Q35:$W35="N+")*12+($Q35:$W35="Dm+")*12+($Q35:$W35="Dt+")*12+($Q35:$W35="Tm-")*6+($Q35:$W35="Mt-")*6)</f>
        <v/>
      </c>
      <c r="AY35" s="118">
        <f>AX35-MAX(0,IFERROR(INDEX(CADASTRO!$I$4:$I$80,MATCH($A35,CADASTRO!$A$4:$A$80,0)),$B35)-CONFIG!$B$50*(COUNTIF($Q35:$W35,"AB")+COUNTIF($Q35:$W35,"FE")+COUNTIF($Q35:$W35,"LM")))</f>
        <v/>
      </c>
      <c r="AZ35" s="117">
        <f>SUMPRODUCT(($X35:$AD35="M")*6+($X35:$AD35="T")*6+($X35:$AD35="D")*12+($X35:$AD35="N")*12+($X35:$AD35="NT")*6+($X35:$AD35="C")*10+($X35:$AD35="A")*8+($X35:$AD35="J")*5+($X35:$AD35="CEP")*4+($X35:$AD35="CP")*6+($X35:$AD35="CRO")*6+($X35:$AD35="M+")*6+($X35:$AD35="T+")*6+($X35:$AD35="D+")*12+($X35:$AD35="N+")*12+($X35:$AD35="Dm+")*12+($X35:$AD35="Dt+")*12+($X35:$AD35="Tm-")*6+($X35:$AD35="Mt-")*6)</f>
        <v/>
      </c>
      <c r="BA35" s="118">
        <f>AZ35-MAX(0,IFERROR(INDEX(CADASTRO!$I$4:$I$80,MATCH($A35,CADASTRO!$A$4:$A$80,0)),$B35)-CONFIG!$B$50*(COUNTIF($X35:$AD35,"AB")+COUNTIF($X35:$AD35,"FE")+COUNTIF($X35:$AD35,"LM")))</f>
        <v/>
      </c>
      <c r="BB35" s="117">
        <f>SUMPRODUCT(($AE35:$AJ35="M")*6+($AE35:$AJ35="T")*6+($AE35:$AJ35="D")*12+($AE35:$AJ35="N")*12+($AE35:$AJ35="NT")*6+($AE35:$AJ35="C")*10+($AE35:$AJ35="A")*8+($AE35:$AJ35="J")*5+($AE35:$AJ35="CEP")*4+($AE35:$AJ35="CP")*6+($AE35:$AJ35="CRO")*6+($AE35:$AJ35="M+")*6+($AE35:$AJ35="T+")*6+($AE35:$AJ35="D+")*12+($AE35:$AJ35="N+")*12+($AE35:$AJ35="Dm+")*12+($AE35:$AJ35="Dt+")*12+($AE35:$AJ35="Tm-")*6+($AE35:$AJ35="Mt-")*6)+SUMPRODUCT(($AN35:$AN35="M")*6+($AN35:$AN35="T")*6+($AN35:$AN35="D")*12+($AN35:$AN35="N")*12+($AN35:$AN35="NT")*6+($AN35:$AN35="C")*10+($AN35:$AN35="A")*8+($AN35:$AN35="J")*5+($AN35:$AN35="CEP")*4+($AN35:$AN35="CP")*6+($AN35:$AN35="CRO")*6+($AN35:$AN35="M+")*6+($AN35:$AN35="T+")*6+($AN35:$AN35="D+")*12+($AN35:$AN35="N+")*12+($AN35:$AN35="Dm+")*12+($AN35:$AN35="Dt+")*12+($AN35:$AN35="Tm-")*6+($AN35:$AN35="Mt-")*6)</f>
        <v/>
      </c>
      <c r="BC35" s="118">
        <f>BB35-MAX(0,IFERROR(INDEX(CADASTRO!$I$4:$I$80,MATCH($A35,CADASTRO!$A$4:$A$80,0)),$B35)-CONFIG!$B$50*(COUNTIF($AE35:$AJ35,"AB")+COUNTIF($AE35:$AJ35,"FE")+COUNTIF($AE35:$AJ35,"LM")+COUNTIF($AN35:$AN35,"AB")+COUNTIF($AN35:$AN35,"FE")+COUNTIF($AN35:$AN35,"LM")))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ROUND(B35*4.0,0)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36">
        <f>IFERROR(INDEX(JAN!AH$8:AH$73,MATCH($A36,JAN!$A$8:$A$73,0))&amp;"","")</f>
        <v/>
      </c>
      <c r="D36" s="136">
        <f>IFERROR(INDEX(JAN!AI$8:AI$73,MATCH($A36,JAN!$A$8:$A$73,0))&amp;"","")</f>
        <v/>
      </c>
      <c r="E36" s="136">
        <f>IFERROR(INDEX(JAN!AJ$8:AJ$73,MATCH($A36,JAN!$A$8:$A$73,0))&amp;"","")</f>
        <v/>
      </c>
      <c r="F36" s="136">
        <f>IFERROR(INDEX(JAN!AK$8:AK$73,MATCH($A36,JAN!$A$8:$A$73,0))&amp;"","")</f>
        <v/>
      </c>
      <c r="G36" s="136">
        <f>IFERROR(INDEX(JAN!AL$8:AL$73,MATCH($A36,JAN!$A$8:$A$73,0))&amp;"","")</f>
        <v/>
      </c>
      <c r="H36" s="116">
        <f>IFERROR(INDEX(JAN!AM$8:AM$73,MATCH($A36,JAN!$A$8:$A$73,0))&amp;"","")</f>
        <v/>
      </c>
      <c r="I36" s="114" t="n"/>
      <c r="J36" s="114" t="n"/>
      <c r="K36" s="125" t="inlineStr">
        <is>
          <t>N</t>
        </is>
      </c>
      <c r="L36" s="114" t="n"/>
      <c r="M36" s="114" t="n"/>
      <c r="N36" s="115" t="inlineStr">
        <is>
          <t>M</t>
        </is>
      </c>
      <c r="O36" s="124" t="inlineStr">
        <is>
          <t>D</t>
        </is>
      </c>
      <c r="P36" s="114" t="n"/>
      <c r="Q36" s="114" t="n"/>
      <c r="R36" s="114" t="n"/>
      <c r="S36" s="114" t="n"/>
      <c r="T36" s="114" t="n"/>
      <c r="U36" s="126" t="inlineStr">
        <is>
          <t>T</t>
        </is>
      </c>
      <c r="V36" s="124" t="inlineStr">
        <is>
          <t>D</t>
        </is>
      </c>
      <c r="W36" s="124" t="inlineStr">
        <is>
          <t>D</t>
        </is>
      </c>
      <c r="X36" s="114" t="n"/>
      <c r="Y36" s="125" t="inlineStr">
        <is>
          <t>N</t>
        </is>
      </c>
      <c r="Z36" s="114" t="n"/>
      <c r="AA36" s="115" t="inlineStr">
        <is>
          <t>M</t>
        </is>
      </c>
      <c r="AB36" s="124" t="inlineStr">
        <is>
          <t>D</t>
        </is>
      </c>
      <c r="AC36" s="114" t="n"/>
      <c r="AD36" s="114" t="n"/>
      <c r="AE36" s="114" t="n"/>
      <c r="AF36" s="114" t="n"/>
      <c r="AG36" s="126" t="inlineStr">
        <is>
          <t>T</t>
        </is>
      </c>
      <c r="AH36" s="124" t="inlineStr">
        <is>
          <t>D</t>
        </is>
      </c>
      <c r="AI36" s="125" t="inlineStr">
        <is>
          <t>N</t>
        </is>
      </c>
      <c r="AJ36" s="114" t="n"/>
      <c r="AK36" s="100" t="n"/>
      <c r="AL36" s="100" t="n"/>
      <c r="AM36" s="100" t="n"/>
      <c r="AN36" s="116">
        <f>IFERROR(INDEX(MAR!I$8:I$73,MATCH($A36,MAR!$A$8:$A$73,0))&amp;"","")</f>
        <v/>
      </c>
      <c r="AO36" s="100" t="n"/>
      <c r="AP36" s="100" t="n"/>
      <c r="AQ36" s="100" t="n"/>
      <c r="AR36" s="100" t="n"/>
      <c r="AS36" s="100" t="n"/>
      <c r="AT36" s="117">
        <f>SUMPRODUCT(($C36:$I36="M")*6+($C36:$I36="T")*6+($C36:$I36="D")*12+($C36:$I36="N")*12+($C36:$I36="NT")*6+($C36:$I36="C")*10+($C36:$I36="A")*8+($C36:$I36="J")*5+($C36:$I36="CEP")*4+($C36:$I36="CP")*6+($C36:$I36="CRO")*6+($C36:$I36="M+")*6+($C36:$I36="T+")*6+($C36:$I36="D+")*12+($C36:$I36="N+")*12+($C36:$I36="Dm+")*12+($C36:$I36="Dt+")*12+($C36:$I36="Tm-")*6+($C36:$I36="Mt-")*6)</f>
        <v/>
      </c>
      <c r="AU36" s="118">
        <f>AT36-MAX(0,IFERROR(INDEX(CADASTRO!$I$4:$I$80,MATCH($A36,CADASTRO!$A$4:$A$80,0)),$B36)-CONFIG!$B$50*(COUNTIF($C36:$I36,"AB")+COUNTIF($C36:$I36,"FE")+COUNTIF($C36:$I36,"LM")))</f>
        <v/>
      </c>
      <c r="AV36" s="117">
        <f>SUMPRODUCT(($J36:$P36="M")*6+($J36:$P36="T")*6+($J36:$P36="D")*12+($J36:$P36="N")*12+($J36:$P36="NT")*6+($J36:$P36="C")*10+($J36:$P36="A")*8+($J36:$P36="J")*5+($J36:$P36="CEP")*4+($J36:$P36="CP")*6+($J36:$P36="CRO")*6+($J36:$P36="M+")*6+($J36:$P36="T+")*6+($J36:$P36="D+")*12+($J36:$P36="N+")*12+($J36:$P36="Dm+")*12+($J36:$P36="Dt+")*12+($J36:$P36="Tm-")*6+($J36:$P36="Mt-")*6)</f>
        <v/>
      </c>
      <c r="AW36" s="118">
        <f>AV36-MAX(0,IFERROR(INDEX(CADASTRO!$I$4:$I$80,MATCH($A36,CADASTRO!$A$4:$A$80,0)),$B36)-CONFIG!$B$50*(COUNTIF($J36:$P36,"AB")+COUNTIF($J36:$P36,"FE")+COUNTIF($J36:$P36,"LM")))</f>
        <v/>
      </c>
      <c r="AX36" s="117">
        <f>SUMPRODUCT(($Q36:$W36="M")*6+($Q36:$W36="T")*6+($Q36:$W36="D")*12+($Q36:$W36="N")*12+($Q36:$W36="NT")*6+($Q36:$W36="C")*10+($Q36:$W36="A")*8+($Q36:$W36="J")*5+($Q36:$W36="CEP")*4+($Q36:$W36="CP")*6+($Q36:$W36="CRO")*6+($Q36:$W36="M+")*6+($Q36:$W36="T+")*6+($Q36:$W36="D+")*12+($Q36:$W36="N+")*12+($Q36:$W36="Dm+")*12+($Q36:$W36="Dt+")*12+($Q36:$W36="Tm-")*6+($Q36:$W36="Mt-")*6)</f>
        <v/>
      </c>
      <c r="AY36" s="118">
        <f>AX36-MAX(0,IFERROR(INDEX(CADASTRO!$I$4:$I$80,MATCH($A36,CADASTRO!$A$4:$A$80,0)),$B36)-CONFIG!$B$50*(COUNTIF($Q36:$W36,"AB")+COUNTIF($Q36:$W36,"FE")+COUNTIF($Q36:$W36,"LM")))</f>
        <v/>
      </c>
      <c r="AZ36" s="117">
        <f>SUMPRODUCT(($X36:$AD36="M")*6+($X36:$AD36="T")*6+($X36:$AD36="D")*12+($X36:$AD36="N")*12+($X36:$AD36="NT")*6+($X36:$AD36="C")*10+($X36:$AD36="A")*8+($X36:$AD36="J")*5+($X36:$AD36="CEP")*4+($X36:$AD36="CP")*6+($X36:$AD36="CRO")*6+($X36:$AD36="M+")*6+($X36:$AD36="T+")*6+($X36:$AD36="D+")*12+($X36:$AD36="N+")*12+($X36:$AD36="Dm+")*12+($X36:$AD36="Dt+")*12+($X36:$AD36="Tm-")*6+($X36:$AD36="Mt-")*6)</f>
        <v/>
      </c>
      <c r="BA36" s="118">
        <f>AZ36-MAX(0,IFERROR(INDEX(CADASTRO!$I$4:$I$80,MATCH($A36,CADASTRO!$A$4:$A$80,0)),$B36)-CONFIG!$B$50*(COUNTIF($X36:$AD36,"AB")+COUNTIF($X36:$AD36,"FE")+COUNTIF($X36:$AD36,"LM")))</f>
        <v/>
      </c>
      <c r="BB36" s="117">
        <f>SUMPRODUCT(($AE36:$AJ36="M")*6+($AE36:$AJ36="T")*6+($AE36:$AJ36="D")*12+($AE36:$AJ36="N")*12+($AE36:$AJ36="NT")*6+($AE36:$AJ36="C")*10+($AE36:$AJ36="A")*8+($AE36:$AJ36="J")*5+($AE36:$AJ36="CEP")*4+($AE36:$AJ36="CP")*6+($AE36:$AJ36="CRO")*6+($AE36:$AJ36="M+")*6+($AE36:$AJ36="T+")*6+($AE36:$AJ36="D+")*12+($AE36:$AJ36="N+")*12+($AE36:$AJ36="Dm+")*12+($AE36:$AJ36="Dt+")*12+($AE36:$AJ36="Tm-")*6+($AE36:$AJ36="Mt-")*6)+SUMPRODUCT(($AN36:$AN36="M")*6+($AN36:$AN36="T")*6+($AN36:$AN36="D")*12+($AN36:$AN36="N")*12+($AN36:$AN36="NT")*6+($AN36:$AN36="C")*10+($AN36:$AN36="A")*8+($AN36:$AN36="J")*5+($AN36:$AN36="CEP")*4+($AN36:$AN36="CP")*6+($AN36:$AN36="CRO")*6+($AN36:$AN36="M+")*6+($AN36:$AN36="T+")*6+($AN36:$AN36="D+")*12+($AN36:$AN36="N+")*12+($AN36:$AN36="Dm+")*12+($AN36:$AN36="Dt+")*12+($AN36:$AN36="Tm-")*6+($AN36:$AN36="Mt-")*6)</f>
        <v/>
      </c>
      <c r="BC36" s="118">
        <f>BB36-MAX(0,IFERROR(INDEX(CADASTRO!$I$4:$I$80,MATCH($A36,CADASTRO!$A$4:$A$80,0)),$B36)-CONFIG!$B$50*(COUNTIF($AE36:$AJ36,"AB")+COUNTIF($AE36:$AJ36,"FE")+COUNTIF($AE36:$AJ36,"LM")+COUNTIF($AN36:$AN36,"AB")+COUNTIF($AN36:$AN36,"FE")+COUNTIF($AN36:$AN36,"LM")))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ROUND(B36*4.0,0)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36">
        <f>IFERROR(INDEX(JAN!AH$8:AH$73,MATCH($A37,JAN!$A$8:$A$73,0))&amp;"","")</f>
        <v/>
      </c>
      <c r="D37" s="136">
        <f>IFERROR(INDEX(JAN!AI$8:AI$73,MATCH($A37,JAN!$A$8:$A$73,0))&amp;"","")</f>
        <v/>
      </c>
      <c r="E37" s="136">
        <f>IFERROR(INDEX(JAN!AJ$8:AJ$73,MATCH($A37,JAN!$A$8:$A$73,0))&amp;"","")</f>
        <v/>
      </c>
      <c r="F37" s="136">
        <f>IFERROR(INDEX(JAN!AK$8:AK$73,MATCH($A37,JAN!$A$8:$A$73,0))&amp;"","")</f>
        <v/>
      </c>
      <c r="G37" s="136">
        <f>IFERROR(INDEX(JAN!AL$8:AL$73,MATCH($A37,JAN!$A$8:$A$73,0))&amp;"","")</f>
        <v/>
      </c>
      <c r="H37" s="116">
        <f>IFERROR(INDEX(JAN!AM$8:AM$73,MATCH($A37,JAN!$A$8:$A$73,0))&amp;"","")</f>
        <v/>
      </c>
      <c r="I37" s="114" t="n"/>
      <c r="J37" s="126" t="inlineStr">
        <is>
          <t>T</t>
        </is>
      </c>
      <c r="K37" s="124" t="inlineStr">
        <is>
          <t>D</t>
        </is>
      </c>
      <c r="L37" s="114" t="n"/>
      <c r="M37" s="123" t="inlineStr">
        <is>
          <t>M+</t>
        </is>
      </c>
      <c r="N37" s="114" t="n"/>
      <c r="O37" s="114" t="n"/>
      <c r="P37" s="124" t="inlineStr">
        <is>
          <t>D</t>
        </is>
      </c>
      <c r="Q37" s="126" t="inlineStr">
        <is>
          <t>T</t>
        </is>
      </c>
      <c r="R37" s="127" t="inlineStr">
        <is>
          <t>M-</t>
        </is>
      </c>
      <c r="S37" s="114" t="n"/>
      <c r="T37" s="124" t="inlineStr">
        <is>
          <t>D</t>
        </is>
      </c>
      <c r="U37" s="115" t="inlineStr">
        <is>
          <t>M</t>
        </is>
      </c>
      <c r="V37" s="114" t="n"/>
      <c r="W37" s="114" t="n"/>
      <c r="X37" s="114" t="n"/>
      <c r="Y37" s="114" t="n"/>
      <c r="Z37" s="125" t="inlineStr">
        <is>
          <t>N</t>
        </is>
      </c>
      <c r="AA37" s="114" t="n"/>
      <c r="AB37" s="115" t="inlineStr">
        <is>
          <t>M</t>
        </is>
      </c>
      <c r="AC37" s="125" t="inlineStr">
        <is>
          <t>N</t>
        </is>
      </c>
      <c r="AD37" s="114" t="n"/>
      <c r="AE37" s="126" t="inlineStr">
        <is>
          <t>T</t>
        </is>
      </c>
      <c r="AF37" s="114" t="n"/>
      <c r="AG37" s="125" t="inlineStr">
        <is>
          <t>N</t>
        </is>
      </c>
      <c r="AH37" s="114" t="n"/>
      <c r="AI37" s="115" t="inlineStr">
        <is>
          <t>M</t>
        </is>
      </c>
      <c r="AJ37" s="126" t="inlineStr">
        <is>
          <t>T</t>
        </is>
      </c>
      <c r="AK37" s="100" t="n"/>
      <c r="AL37" s="100" t="n"/>
      <c r="AM37" s="100" t="n"/>
      <c r="AN37" s="116">
        <f>IFERROR(INDEX(MAR!I$8:I$73,MATCH($A37,MAR!$A$8:$A$73,0))&amp;"","")</f>
        <v/>
      </c>
      <c r="AO37" s="100" t="n"/>
      <c r="AP37" s="100" t="n"/>
      <c r="AQ37" s="100" t="n"/>
      <c r="AR37" s="100" t="n"/>
      <c r="AS37" s="100" t="n"/>
      <c r="AT37" s="117">
        <f>SUMPRODUCT(($C37:$I37="M")*6+($C37:$I37="T")*6+($C37:$I37="D")*12+($C37:$I37="N")*12+($C37:$I37="NT")*6+($C37:$I37="C")*10+($C37:$I37="A")*8+($C37:$I37="J")*5+($C37:$I37="CEP")*4+($C37:$I37="CP")*6+($C37:$I37="CRO")*6+($C37:$I37="M+")*6+($C37:$I37="T+")*6+($C37:$I37="D+")*12+($C37:$I37="N+")*12+($C37:$I37="Dm+")*12+($C37:$I37="Dt+")*12+($C37:$I37="Tm-")*6+($C37:$I37="Mt-")*6)</f>
        <v/>
      </c>
      <c r="AU37" s="118">
        <f>AT37-MAX(0,IFERROR(INDEX(CADASTRO!$I$4:$I$80,MATCH($A37,CADASTRO!$A$4:$A$80,0)),$B37)-CONFIG!$B$50*(COUNTIF($C37:$I37,"AB")+COUNTIF($C37:$I37,"FE")+COUNTIF($C37:$I37,"LM")))</f>
        <v/>
      </c>
      <c r="AV37" s="117">
        <f>SUMPRODUCT(($J37:$P37="M")*6+($J37:$P37="T")*6+($J37:$P37="D")*12+($J37:$P37="N")*12+($J37:$P37="NT")*6+($J37:$P37="C")*10+($J37:$P37="A")*8+($J37:$P37="J")*5+($J37:$P37="CEP")*4+($J37:$P37="CP")*6+($J37:$P37="CRO")*6+($J37:$P37="M+")*6+($J37:$P37="T+")*6+($J37:$P37="D+")*12+($J37:$P37="N+")*12+($J37:$P37="Dm+")*12+($J37:$P37="Dt+")*12+($J37:$P37="Tm-")*6+($J37:$P37="Mt-")*6)</f>
        <v/>
      </c>
      <c r="AW37" s="118">
        <f>AV37-MAX(0,IFERROR(INDEX(CADASTRO!$I$4:$I$80,MATCH($A37,CADASTRO!$A$4:$A$80,0)),$B37)-CONFIG!$B$50*(COUNTIF($J37:$P37,"AB")+COUNTIF($J37:$P37,"FE")+COUNTIF($J37:$P37,"LM")))</f>
        <v/>
      </c>
      <c r="AX37" s="117">
        <f>SUMPRODUCT(($Q37:$W37="M")*6+($Q37:$W37="T")*6+($Q37:$W37="D")*12+($Q37:$W37="N")*12+($Q37:$W37="NT")*6+($Q37:$W37="C")*10+($Q37:$W37="A")*8+($Q37:$W37="J")*5+($Q37:$W37="CEP")*4+($Q37:$W37="CP")*6+($Q37:$W37="CRO")*6+($Q37:$W37="M+")*6+($Q37:$W37="T+")*6+($Q37:$W37="D+")*12+($Q37:$W37="N+")*12+($Q37:$W37="Dm+")*12+($Q37:$W37="Dt+")*12+($Q37:$W37="Tm-")*6+($Q37:$W37="Mt-")*6)</f>
        <v/>
      </c>
      <c r="AY37" s="118">
        <f>AX37-MAX(0,IFERROR(INDEX(CADASTRO!$I$4:$I$80,MATCH($A37,CADASTRO!$A$4:$A$80,0)),$B37)-CONFIG!$B$50*(COUNTIF($Q37:$W37,"AB")+COUNTIF($Q37:$W37,"FE")+COUNTIF($Q37:$W37,"LM")))</f>
        <v/>
      </c>
      <c r="AZ37" s="117">
        <f>SUMPRODUCT(($X37:$AD37="M")*6+($X37:$AD37="T")*6+($X37:$AD37="D")*12+($X37:$AD37="N")*12+($X37:$AD37="NT")*6+($X37:$AD37="C")*10+($X37:$AD37="A")*8+($X37:$AD37="J")*5+($X37:$AD37="CEP")*4+($X37:$AD37="CP")*6+($X37:$AD37="CRO")*6+($X37:$AD37="M+")*6+($X37:$AD37="T+")*6+($X37:$AD37="D+")*12+($X37:$AD37="N+")*12+($X37:$AD37="Dm+")*12+($X37:$AD37="Dt+")*12+($X37:$AD37="Tm-")*6+($X37:$AD37="Mt-")*6)</f>
        <v/>
      </c>
      <c r="BA37" s="118">
        <f>AZ37-MAX(0,IFERROR(INDEX(CADASTRO!$I$4:$I$80,MATCH($A37,CADASTRO!$A$4:$A$80,0)),$B37)-CONFIG!$B$50*(COUNTIF($X37:$AD37,"AB")+COUNTIF($X37:$AD37,"FE")+COUNTIF($X37:$AD37,"LM")))</f>
        <v/>
      </c>
      <c r="BB37" s="117">
        <f>SUMPRODUCT(($AE37:$AJ37="M")*6+($AE37:$AJ37="T")*6+($AE37:$AJ37="D")*12+($AE37:$AJ37="N")*12+($AE37:$AJ37="NT")*6+($AE37:$AJ37="C")*10+($AE37:$AJ37="A")*8+($AE37:$AJ37="J")*5+($AE37:$AJ37="CEP")*4+($AE37:$AJ37="CP")*6+($AE37:$AJ37="CRO")*6+($AE37:$AJ37="M+")*6+($AE37:$AJ37="T+")*6+($AE37:$AJ37="D+")*12+($AE37:$AJ37="N+")*12+($AE37:$AJ37="Dm+")*12+($AE37:$AJ37="Dt+")*12+($AE37:$AJ37="Tm-")*6+($AE37:$AJ37="Mt-")*6)+SUMPRODUCT(($AN37:$AN37="M")*6+($AN37:$AN37="T")*6+($AN37:$AN37="D")*12+($AN37:$AN37="N")*12+($AN37:$AN37="NT")*6+($AN37:$AN37="C")*10+($AN37:$AN37="A")*8+($AN37:$AN37="J")*5+($AN37:$AN37="CEP")*4+($AN37:$AN37="CP")*6+($AN37:$AN37="CRO")*6+($AN37:$AN37="M+")*6+($AN37:$AN37="T+")*6+($AN37:$AN37="D+")*12+($AN37:$AN37="N+")*12+($AN37:$AN37="Dm+")*12+($AN37:$AN37="Dt+")*12+($AN37:$AN37="Tm-")*6+($AN37:$AN37="Mt-")*6)</f>
        <v/>
      </c>
      <c r="BC37" s="118">
        <f>BB37-MAX(0,IFERROR(INDEX(CADASTRO!$I$4:$I$80,MATCH($A37,CADASTRO!$A$4:$A$80,0)),$B37)-CONFIG!$B$50*(COUNTIF($AE37:$AJ37,"AB")+COUNTIF($AE37:$AJ37,"FE")+COUNTIF($AE37:$AJ37,"LM")+COUNTIF($AN37:$AN37,"AB")+COUNTIF($AN37:$AN37,"FE")+COUNTIF($AN37:$AN37,"LM")))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ROUND(B37*4.0,0)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36">
        <f>IFERROR(INDEX(JAN!AH$8:AH$73,MATCH($A38,JAN!$A$8:$A$73,0))&amp;"","")</f>
        <v/>
      </c>
      <c r="D38" s="136">
        <f>IFERROR(INDEX(JAN!AI$8:AI$73,MATCH($A38,JAN!$A$8:$A$73,0))&amp;"","")</f>
        <v/>
      </c>
      <c r="E38" s="136">
        <f>IFERROR(INDEX(JAN!AJ$8:AJ$73,MATCH($A38,JAN!$A$8:$A$73,0))&amp;"","")</f>
        <v/>
      </c>
      <c r="F38" s="136">
        <f>IFERROR(INDEX(JAN!AK$8:AK$73,MATCH($A38,JAN!$A$8:$A$73,0))&amp;"","")</f>
        <v/>
      </c>
      <c r="G38" s="136">
        <f>IFERROR(INDEX(JAN!AL$8:AL$73,MATCH($A38,JAN!$A$8:$A$73,0))&amp;"","")</f>
        <v/>
      </c>
      <c r="H38" s="116">
        <f>IFERROR(INDEX(JAN!AM$8:AM$73,MATCH($A38,JAN!$A$8:$A$73,0))&amp;"","")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00" t="n"/>
      <c r="AL38" s="100" t="n"/>
      <c r="AM38" s="100" t="n"/>
      <c r="AN38" s="116">
        <f>IFERROR(INDEX(MAR!I$8:I$73,MATCH($A38,MAR!$A$8:$A$73,0))&amp;"","")</f>
        <v/>
      </c>
      <c r="AO38" s="100" t="n"/>
      <c r="AP38" s="100" t="n"/>
      <c r="AQ38" s="100" t="n"/>
      <c r="AR38" s="100" t="n"/>
      <c r="AS38" s="100" t="n"/>
      <c r="AT38" s="117">
        <f>SUMPRODUCT(($C38:$I38="M")*6+($C38:$I38="T")*6+($C38:$I38="D")*12+($C38:$I38="N")*12+($C38:$I38="NT")*6+($C38:$I38="C")*10+($C38:$I38="A")*8+($C38:$I38="J")*5+($C38:$I38="CEP")*4+($C38:$I38="CP")*6+($C38:$I38="CRO")*6+($C38:$I38="M+")*6+($C38:$I38="T+")*6+($C38:$I38="D+")*12+($C38:$I38="N+")*12+($C38:$I38="Dm+")*12+($C38:$I38="Dt+")*12+($C38:$I38="Tm-")*6+($C38:$I38="Mt-")*6)</f>
        <v/>
      </c>
      <c r="AU38" s="118">
        <f>AT38-MAX(0,IFERROR(INDEX(CADASTRO!$I$4:$I$80,MATCH($A38,CADASTRO!$A$4:$A$80,0)),$B38)-CONFIG!$B$50*(COUNTIF($C38:$I38,"AB")+COUNTIF($C38:$I38,"FE")+COUNTIF($C38:$I38,"LM")))</f>
        <v/>
      </c>
      <c r="AV38" s="117">
        <f>SUMPRODUCT(($J38:$P38="M")*6+($J38:$P38="T")*6+($J38:$P38="D")*12+($J38:$P38="N")*12+($J38:$P38="NT")*6+($J38:$P38="C")*10+($J38:$P38="A")*8+($J38:$P38="J")*5+($J38:$P38="CEP")*4+($J38:$P38="CP")*6+($J38:$P38="CRO")*6+($J38:$P38="M+")*6+($J38:$P38="T+")*6+($J38:$P38="D+")*12+($J38:$P38="N+")*12+($J38:$P38="Dm+")*12+($J38:$P38="Dt+")*12+($J38:$P38="Tm-")*6+($J38:$P38="Mt-")*6)</f>
        <v/>
      </c>
      <c r="AW38" s="118">
        <f>AV38-MAX(0,IFERROR(INDEX(CADASTRO!$I$4:$I$80,MATCH($A38,CADASTRO!$A$4:$A$80,0)),$B38)-CONFIG!$B$50*(COUNTIF($J38:$P38,"AB")+COUNTIF($J38:$P38,"FE")+COUNTIF($J38:$P38,"LM")))</f>
        <v/>
      </c>
      <c r="AX38" s="117">
        <f>SUMPRODUCT(($Q38:$W38="M")*6+($Q38:$W38="T")*6+($Q38:$W38="D")*12+($Q38:$W38="N")*12+($Q38:$W38="NT")*6+($Q38:$W38="C")*10+($Q38:$W38="A")*8+($Q38:$W38="J")*5+($Q38:$W38="CEP")*4+($Q38:$W38="CP")*6+($Q38:$W38="CRO")*6+($Q38:$W38="M+")*6+($Q38:$W38="T+")*6+($Q38:$W38="D+")*12+($Q38:$W38="N+")*12+($Q38:$W38="Dm+")*12+($Q38:$W38="Dt+")*12+($Q38:$W38="Tm-")*6+($Q38:$W38="Mt-")*6)</f>
        <v/>
      </c>
      <c r="AY38" s="118">
        <f>AX38-MAX(0,IFERROR(INDEX(CADASTRO!$I$4:$I$80,MATCH($A38,CADASTRO!$A$4:$A$80,0)),$B38)-CONFIG!$B$50*(COUNTIF($Q38:$W38,"AB")+COUNTIF($Q38:$W38,"FE")+COUNTIF($Q38:$W38,"LM")))</f>
        <v/>
      </c>
      <c r="AZ38" s="117">
        <f>SUMPRODUCT(($X38:$AD38="M")*6+($X38:$AD38="T")*6+($X38:$AD38="D")*12+($X38:$AD38="N")*12+($X38:$AD38="NT")*6+($X38:$AD38="C")*10+($X38:$AD38="A")*8+($X38:$AD38="J")*5+($X38:$AD38="CEP")*4+($X38:$AD38="CP")*6+($X38:$AD38="CRO")*6+($X38:$AD38="M+")*6+($X38:$AD38="T+")*6+($X38:$AD38="D+")*12+($X38:$AD38="N+")*12+($X38:$AD38="Dm+")*12+($X38:$AD38="Dt+")*12+($X38:$AD38="Tm-")*6+($X38:$AD38="Mt-")*6)</f>
        <v/>
      </c>
      <c r="BA38" s="118">
        <f>AZ38-MAX(0,IFERROR(INDEX(CADASTRO!$I$4:$I$80,MATCH($A38,CADASTRO!$A$4:$A$80,0)),$B38)-CONFIG!$B$50*(COUNTIF($X38:$AD38,"AB")+COUNTIF($X38:$AD38,"FE")+COUNTIF($X38:$AD38,"LM")))</f>
        <v/>
      </c>
      <c r="BB38" s="117">
        <f>SUMPRODUCT(($AE38:$AJ38="M")*6+($AE38:$AJ38="T")*6+($AE38:$AJ38="D")*12+($AE38:$AJ38="N")*12+($AE38:$AJ38="NT")*6+($AE38:$AJ38="C")*10+($AE38:$AJ38="A")*8+($AE38:$AJ38="J")*5+($AE38:$AJ38="CEP")*4+($AE38:$AJ38="CP")*6+($AE38:$AJ38="CRO")*6+($AE38:$AJ38="M+")*6+($AE38:$AJ38="T+")*6+($AE38:$AJ38="D+")*12+($AE38:$AJ38="N+")*12+($AE38:$AJ38="Dm+")*12+($AE38:$AJ38="Dt+")*12+($AE38:$AJ38="Tm-")*6+($AE38:$AJ38="Mt-")*6)+SUMPRODUCT(($AN38:$AN38="M")*6+($AN38:$AN38="T")*6+($AN38:$AN38="D")*12+($AN38:$AN38="N")*12+($AN38:$AN38="NT")*6+($AN38:$AN38="C")*10+($AN38:$AN38="A")*8+($AN38:$AN38="J")*5+($AN38:$AN38="CEP")*4+($AN38:$AN38="CP")*6+($AN38:$AN38="CRO")*6+($AN38:$AN38="M+")*6+($AN38:$AN38="T+")*6+($AN38:$AN38="D+")*12+($AN38:$AN38="N+")*12+($AN38:$AN38="Dm+")*12+($AN38:$AN38="Dt+")*12+($AN38:$AN38="Tm-")*6+($AN38:$AN38="Mt-")*6)</f>
        <v/>
      </c>
      <c r="BC38" s="118">
        <f>BB38-MAX(0,IFERROR(INDEX(CADASTRO!$I$4:$I$80,MATCH($A38,CADASTRO!$A$4:$A$80,0)),$B38)-CONFIG!$B$50*(COUNTIF($AE38:$AJ38,"AB")+COUNTIF($AE38:$AJ38,"FE")+COUNTIF($AE38:$AJ38,"LM")+COUNTIF($AN38:$AN38,"AB")+COUNTIF($AN38:$AN38,"FE")+COUNTIF($AN38:$AN38,"LM")))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ROUND(B38*4.0,0)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36">
        <f>IFERROR(INDEX(JAN!AH$8:AH$73,MATCH($A39,JAN!$A$8:$A$73,0))&amp;"","")</f>
        <v/>
      </c>
      <c r="D39" s="136">
        <f>IFERROR(INDEX(JAN!AI$8:AI$73,MATCH($A39,JAN!$A$8:$A$73,0))&amp;"","")</f>
        <v/>
      </c>
      <c r="E39" s="136">
        <f>IFERROR(INDEX(JAN!AJ$8:AJ$73,MATCH($A39,JAN!$A$8:$A$73,0))&amp;"","")</f>
        <v/>
      </c>
      <c r="F39" s="136">
        <f>IFERROR(INDEX(JAN!AK$8:AK$73,MATCH($A39,JAN!$A$8:$A$73,0))&amp;"","")</f>
        <v/>
      </c>
      <c r="G39" s="136">
        <f>IFERROR(INDEX(JAN!AL$8:AL$73,MATCH($A39,JAN!$A$8:$A$73,0))&amp;"","")</f>
        <v/>
      </c>
      <c r="H39" s="116">
        <f>IFERROR(INDEX(JAN!AM$8:AM$73,MATCH($A39,JAN!$A$8:$A$73,0))&amp;"","")</f>
        <v/>
      </c>
      <c r="I39" s="114" t="n"/>
      <c r="J39" s="126" t="inlineStr">
        <is>
          <t>T</t>
        </is>
      </c>
      <c r="K39" s="114" t="n"/>
      <c r="L39" s="114" t="n"/>
      <c r="M39" s="114" t="n"/>
      <c r="N39" s="125" t="inlineStr">
        <is>
          <t>N</t>
        </is>
      </c>
      <c r="O39" s="114" t="n"/>
      <c r="P39" s="126" t="inlineStr">
        <is>
          <t>T</t>
        </is>
      </c>
      <c r="Q39" s="114" t="n"/>
      <c r="R39" s="114" t="n"/>
      <c r="S39" s="115" t="inlineStr">
        <is>
          <t>M</t>
        </is>
      </c>
      <c r="T39" s="114" t="n"/>
      <c r="U39" s="115" t="inlineStr">
        <is>
          <t>M</t>
        </is>
      </c>
      <c r="V39" s="125" t="inlineStr">
        <is>
          <t>N</t>
        </is>
      </c>
      <c r="W39" s="114" t="n"/>
      <c r="X39" s="124" t="inlineStr">
        <is>
          <t>D</t>
        </is>
      </c>
      <c r="Y39" s="115" t="inlineStr">
        <is>
          <t>M</t>
        </is>
      </c>
      <c r="Z39" s="114" t="n"/>
      <c r="AA39" s="114" t="n"/>
      <c r="AB39" s="114" t="n"/>
      <c r="AC39" s="114" t="n"/>
      <c r="AD39" s="126" t="inlineStr">
        <is>
          <t>T</t>
        </is>
      </c>
      <c r="AE39" s="125" t="inlineStr">
        <is>
          <t>N</t>
        </is>
      </c>
      <c r="AF39" s="114" t="n"/>
      <c r="AG39" s="114" t="n"/>
      <c r="AH39" s="114" t="n"/>
      <c r="AI39" s="126" t="inlineStr">
        <is>
          <t>T</t>
        </is>
      </c>
      <c r="AJ39" s="114" t="n"/>
      <c r="AK39" s="100" t="n"/>
      <c r="AL39" s="100" t="n"/>
      <c r="AM39" s="100" t="n"/>
      <c r="AN39" s="116">
        <f>IFERROR(INDEX(MAR!I$8:I$73,MATCH($A39,MAR!$A$8:$A$73,0))&amp;"","")</f>
        <v/>
      </c>
      <c r="AO39" s="100" t="n"/>
      <c r="AP39" s="100" t="n"/>
      <c r="AQ39" s="100" t="n"/>
      <c r="AR39" s="100" t="n"/>
      <c r="AS39" s="100" t="n"/>
      <c r="AT39" s="117">
        <f>SUMPRODUCT(($C39:$I39="M")*6+($C39:$I39="T")*6+($C39:$I39="D")*12+($C39:$I39="N")*12+($C39:$I39="NT")*6+($C39:$I39="C")*10+($C39:$I39="A")*8+($C39:$I39="J")*5+($C39:$I39="CEP")*4+($C39:$I39="CP")*6+($C39:$I39="CRO")*6+($C39:$I39="M+")*6+($C39:$I39="T+")*6+($C39:$I39="D+")*12+($C39:$I39="N+")*12+($C39:$I39="Dm+")*12+($C39:$I39="Dt+")*12+($C39:$I39="Tm-")*6+($C39:$I39="Mt-")*6)</f>
        <v/>
      </c>
      <c r="AU39" s="118">
        <f>AT39-MAX(0,IFERROR(INDEX(CADASTRO!$I$4:$I$80,MATCH($A39,CADASTRO!$A$4:$A$80,0)),$B39)-CONFIG!$B$50*(COUNTIF($C39:$I39,"AB")+COUNTIF($C39:$I39,"FE")+COUNTIF($C39:$I39,"LM")))</f>
        <v/>
      </c>
      <c r="AV39" s="117">
        <f>SUMPRODUCT(($J39:$P39="M")*6+($J39:$P39="T")*6+($J39:$P39="D")*12+($J39:$P39="N")*12+($J39:$P39="NT")*6+($J39:$P39="C")*10+($J39:$P39="A")*8+($J39:$P39="J")*5+($J39:$P39="CEP")*4+($J39:$P39="CP")*6+($J39:$P39="CRO")*6+($J39:$P39="M+")*6+($J39:$P39="T+")*6+($J39:$P39="D+")*12+($J39:$P39="N+")*12+($J39:$P39="Dm+")*12+($J39:$P39="Dt+")*12+($J39:$P39="Tm-")*6+($J39:$P39="Mt-")*6)</f>
        <v/>
      </c>
      <c r="AW39" s="118">
        <f>AV39-MAX(0,IFERROR(INDEX(CADASTRO!$I$4:$I$80,MATCH($A39,CADASTRO!$A$4:$A$80,0)),$B39)-CONFIG!$B$50*(COUNTIF($J39:$P39,"AB")+COUNTIF($J39:$P39,"FE")+COUNTIF($J39:$P39,"LM")))</f>
        <v/>
      </c>
      <c r="AX39" s="117">
        <f>SUMPRODUCT(($Q39:$W39="M")*6+($Q39:$W39="T")*6+($Q39:$W39="D")*12+($Q39:$W39="N")*12+($Q39:$W39="NT")*6+($Q39:$W39="C")*10+($Q39:$W39="A")*8+($Q39:$W39="J")*5+($Q39:$W39="CEP")*4+($Q39:$W39="CP")*6+($Q39:$W39="CRO")*6+($Q39:$W39="M+")*6+($Q39:$W39="T+")*6+($Q39:$W39="D+")*12+($Q39:$W39="N+")*12+($Q39:$W39="Dm+")*12+($Q39:$W39="Dt+")*12+($Q39:$W39="Tm-")*6+($Q39:$W39="Mt-")*6)</f>
        <v/>
      </c>
      <c r="AY39" s="118">
        <f>AX39-MAX(0,IFERROR(INDEX(CADASTRO!$I$4:$I$80,MATCH($A39,CADASTRO!$A$4:$A$80,0)),$B39)-CONFIG!$B$50*(COUNTIF($Q39:$W39,"AB")+COUNTIF($Q39:$W39,"FE")+COUNTIF($Q39:$W39,"LM")))</f>
        <v/>
      </c>
      <c r="AZ39" s="117">
        <f>SUMPRODUCT(($X39:$AD39="M")*6+($X39:$AD39="T")*6+($X39:$AD39="D")*12+($X39:$AD39="N")*12+($X39:$AD39="NT")*6+($X39:$AD39="C")*10+($X39:$AD39="A")*8+($X39:$AD39="J")*5+($X39:$AD39="CEP")*4+($X39:$AD39="CP")*6+($X39:$AD39="CRO")*6+($X39:$AD39="M+")*6+($X39:$AD39="T+")*6+($X39:$AD39="D+")*12+($X39:$AD39="N+")*12+($X39:$AD39="Dm+")*12+($X39:$AD39="Dt+")*12+($X39:$AD39="Tm-")*6+($X39:$AD39="Mt-")*6)</f>
        <v/>
      </c>
      <c r="BA39" s="118">
        <f>AZ39-MAX(0,IFERROR(INDEX(CADASTRO!$I$4:$I$80,MATCH($A39,CADASTRO!$A$4:$A$80,0)),$B39)-CONFIG!$B$50*(COUNTIF($X39:$AD39,"AB")+COUNTIF($X39:$AD39,"FE")+COUNTIF($X39:$AD39,"LM")))</f>
        <v/>
      </c>
      <c r="BB39" s="117">
        <f>SUMPRODUCT(($AE39:$AJ39="M")*6+($AE39:$AJ39="T")*6+($AE39:$AJ39="D")*12+($AE39:$AJ39="N")*12+($AE39:$AJ39="NT")*6+($AE39:$AJ39="C")*10+($AE39:$AJ39="A")*8+($AE39:$AJ39="J")*5+($AE39:$AJ39="CEP")*4+($AE39:$AJ39="CP")*6+($AE39:$AJ39="CRO")*6+($AE39:$AJ39="M+")*6+($AE39:$AJ39="T+")*6+($AE39:$AJ39="D+")*12+($AE39:$AJ39="N+")*12+($AE39:$AJ39="Dm+")*12+($AE39:$AJ39="Dt+")*12+($AE39:$AJ39="Tm-")*6+($AE39:$AJ39="Mt-")*6)+SUMPRODUCT(($AN39:$AN39="M")*6+($AN39:$AN39="T")*6+($AN39:$AN39="D")*12+($AN39:$AN39="N")*12+($AN39:$AN39="NT")*6+($AN39:$AN39="C")*10+($AN39:$AN39="A")*8+($AN39:$AN39="J")*5+($AN39:$AN39="CEP")*4+($AN39:$AN39="CP")*6+($AN39:$AN39="CRO")*6+($AN39:$AN39="M+")*6+($AN39:$AN39="T+")*6+($AN39:$AN39="D+")*12+($AN39:$AN39="N+")*12+($AN39:$AN39="Dm+")*12+($AN39:$AN39="Dt+")*12+($AN39:$AN39="Tm-")*6+($AN39:$AN39="Mt-")*6)</f>
        <v/>
      </c>
      <c r="BC39" s="118">
        <f>BB39-MAX(0,IFERROR(INDEX(CADASTRO!$I$4:$I$80,MATCH($A39,CADASTRO!$A$4:$A$80,0)),$B39)-CONFIG!$B$50*(COUNTIF($AE39:$AJ39,"AB")+COUNTIF($AE39:$AJ39,"FE")+COUNTIF($AE39:$AJ39,"LM")+COUNTIF($AN39:$AN39,"AB")+COUNTIF($AN39:$AN39,"FE")+COUNTIF($AN39:$AN39,"LM")))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ROUND(B39*4.0,0)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36">
        <f>IFERROR(INDEX(JAN!AH$8:AH$73,MATCH($A40,JAN!$A$8:$A$73,0))&amp;"","")</f>
        <v/>
      </c>
      <c r="D40" s="136">
        <f>IFERROR(INDEX(JAN!AI$8:AI$73,MATCH($A40,JAN!$A$8:$A$73,0))&amp;"","")</f>
        <v/>
      </c>
      <c r="E40" s="136">
        <f>IFERROR(INDEX(JAN!AJ$8:AJ$73,MATCH($A40,JAN!$A$8:$A$73,0))&amp;"","")</f>
        <v/>
      </c>
      <c r="F40" s="136">
        <f>IFERROR(INDEX(JAN!AK$8:AK$73,MATCH($A40,JAN!$A$8:$A$73,0))&amp;"","")</f>
        <v/>
      </c>
      <c r="G40" s="136">
        <f>IFERROR(INDEX(JAN!AL$8:AL$73,MATCH($A40,JAN!$A$8:$A$73,0))&amp;"","")</f>
        <v/>
      </c>
      <c r="H40" s="116">
        <f>IFERROR(INDEX(JAN!AM$8:AM$73,MATCH($A40,JAN!$A$8:$A$73,0))&amp;"","")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00" t="n"/>
      <c r="AL40" s="100" t="n"/>
      <c r="AM40" s="100" t="n"/>
      <c r="AN40" s="116">
        <f>IFERROR(INDEX(MAR!I$8:I$73,MATCH($A40,MAR!$A$8:$A$73,0))&amp;"","")</f>
        <v/>
      </c>
      <c r="AO40" s="100" t="n"/>
      <c r="AP40" s="100" t="n"/>
      <c r="AQ40" s="100" t="n"/>
      <c r="AR40" s="100" t="n"/>
      <c r="AS40" s="100" t="n"/>
      <c r="AT40" s="117">
        <f>SUMPRODUCT(($C40:$I40="M")*6+($C40:$I40="T")*6+($C40:$I40="D")*12+($C40:$I40="N")*12+($C40:$I40="NT")*6+($C40:$I40="C")*10+($C40:$I40="A")*8+($C40:$I40="J")*5+($C40:$I40="CEP")*4+($C40:$I40="CP")*6+($C40:$I40="CRO")*6+($C40:$I40="M+")*6+($C40:$I40="T+")*6+($C40:$I40="D+")*12+($C40:$I40="N+")*12+($C40:$I40="Dm+")*12+($C40:$I40="Dt+")*12+($C40:$I40="Tm-")*6+($C40:$I40="Mt-")*6)</f>
        <v/>
      </c>
      <c r="AU40" s="118">
        <f>AT40-MAX(0,IFERROR(INDEX(CADASTRO!$I$4:$I$80,MATCH($A40,CADASTRO!$A$4:$A$80,0)),$B40)-CONFIG!$B$50*(COUNTIF($C40:$I40,"AB")+COUNTIF($C40:$I40,"FE")+COUNTIF($C40:$I40,"LM")))</f>
        <v/>
      </c>
      <c r="AV40" s="117">
        <f>SUMPRODUCT(($J40:$P40="M")*6+($J40:$P40="T")*6+($J40:$P40="D")*12+($J40:$P40="N")*12+($J40:$P40="NT")*6+($J40:$P40="C")*10+($J40:$P40="A")*8+($J40:$P40="J")*5+($J40:$P40="CEP")*4+($J40:$P40="CP")*6+($J40:$P40="CRO")*6+($J40:$P40="M+")*6+($J40:$P40="T+")*6+($J40:$P40="D+")*12+($J40:$P40="N+")*12+($J40:$P40="Dm+")*12+($J40:$P40="Dt+")*12+($J40:$P40="Tm-")*6+($J40:$P40="Mt-")*6)</f>
        <v/>
      </c>
      <c r="AW40" s="118">
        <f>AV40-MAX(0,IFERROR(INDEX(CADASTRO!$I$4:$I$80,MATCH($A40,CADASTRO!$A$4:$A$80,0)),$B40)-CONFIG!$B$50*(COUNTIF($J40:$P40,"AB")+COUNTIF($J40:$P40,"FE")+COUNTIF($J40:$P40,"LM")))</f>
        <v/>
      </c>
      <c r="AX40" s="117">
        <f>SUMPRODUCT(($Q40:$W40="M")*6+($Q40:$W40="T")*6+($Q40:$W40="D")*12+($Q40:$W40="N")*12+($Q40:$W40="NT")*6+($Q40:$W40="C")*10+($Q40:$W40="A")*8+($Q40:$W40="J")*5+($Q40:$W40="CEP")*4+($Q40:$W40="CP")*6+($Q40:$W40="CRO")*6+($Q40:$W40="M+")*6+($Q40:$W40="T+")*6+($Q40:$W40="D+")*12+($Q40:$W40="N+")*12+($Q40:$W40="Dm+")*12+($Q40:$W40="Dt+")*12+($Q40:$W40="Tm-")*6+($Q40:$W40="Mt-")*6)</f>
        <v/>
      </c>
      <c r="AY40" s="118">
        <f>AX40-MAX(0,IFERROR(INDEX(CADASTRO!$I$4:$I$80,MATCH($A40,CADASTRO!$A$4:$A$80,0)),$B40)-CONFIG!$B$50*(COUNTIF($Q40:$W40,"AB")+COUNTIF($Q40:$W40,"FE")+COUNTIF($Q40:$W40,"LM")))</f>
        <v/>
      </c>
      <c r="AZ40" s="117">
        <f>SUMPRODUCT(($X40:$AD40="M")*6+($X40:$AD40="T")*6+($X40:$AD40="D")*12+($X40:$AD40="N")*12+($X40:$AD40="NT")*6+($X40:$AD40="C")*10+($X40:$AD40="A")*8+($X40:$AD40="J")*5+($X40:$AD40="CEP")*4+($X40:$AD40="CP")*6+($X40:$AD40="CRO")*6+($X40:$AD40="M+")*6+($X40:$AD40="T+")*6+($X40:$AD40="D+")*12+($X40:$AD40="N+")*12+($X40:$AD40="Dm+")*12+($X40:$AD40="Dt+")*12+($X40:$AD40="Tm-")*6+($X40:$AD40="Mt-")*6)</f>
        <v/>
      </c>
      <c r="BA40" s="118">
        <f>AZ40-MAX(0,IFERROR(INDEX(CADASTRO!$I$4:$I$80,MATCH($A40,CADASTRO!$A$4:$A$80,0)),$B40)-CONFIG!$B$50*(COUNTIF($X40:$AD40,"AB")+COUNTIF($X40:$AD40,"FE")+COUNTIF($X40:$AD40,"LM")))</f>
        <v/>
      </c>
      <c r="BB40" s="117">
        <f>SUMPRODUCT(($AE40:$AJ40="M")*6+($AE40:$AJ40="T")*6+($AE40:$AJ40="D")*12+($AE40:$AJ40="N")*12+($AE40:$AJ40="NT")*6+($AE40:$AJ40="C")*10+($AE40:$AJ40="A")*8+($AE40:$AJ40="J")*5+($AE40:$AJ40="CEP")*4+($AE40:$AJ40="CP")*6+($AE40:$AJ40="CRO")*6+($AE40:$AJ40="M+")*6+($AE40:$AJ40="T+")*6+($AE40:$AJ40="D+")*12+($AE40:$AJ40="N+")*12+($AE40:$AJ40="Dm+")*12+($AE40:$AJ40="Dt+")*12+($AE40:$AJ40="Tm-")*6+($AE40:$AJ40="Mt-")*6)+SUMPRODUCT(($AN40:$AN40="M")*6+($AN40:$AN40="T")*6+($AN40:$AN40="D")*12+($AN40:$AN40="N")*12+($AN40:$AN40="NT")*6+($AN40:$AN40="C")*10+($AN40:$AN40="A")*8+($AN40:$AN40="J")*5+($AN40:$AN40="CEP")*4+($AN40:$AN40="CP")*6+($AN40:$AN40="CRO")*6+($AN40:$AN40="M+")*6+($AN40:$AN40="T+")*6+($AN40:$AN40="D+")*12+($AN40:$AN40="N+")*12+($AN40:$AN40="Dm+")*12+($AN40:$AN40="Dt+")*12+($AN40:$AN40="Tm-")*6+($AN40:$AN40="Mt-")*6)</f>
        <v/>
      </c>
      <c r="BC40" s="118">
        <f>BB40-MAX(0,IFERROR(INDEX(CADASTRO!$I$4:$I$80,MATCH($A40,CADASTRO!$A$4:$A$80,0)),$B40)-CONFIG!$B$50*(COUNTIF($AE40:$AJ40,"AB")+COUNTIF($AE40:$AJ40,"FE")+COUNTIF($AE40:$AJ40,"LM")+COUNTIF($AN40:$AN40,"AB")+COUNTIF($AN40:$AN40,"FE")+COUNTIF($AN40:$AN40,"LM")))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ROUND(B40*4.0,0)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36">
        <f>IFERROR(INDEX(JAN!AH$8:AH$73,MATCH($A41,JAN!$A$8:$A$73,0))&amp;"","")</f>
        <v/>
      </c>
      <c r="D41" s="136">
        <f>IFERROR(INDEX(JAN!AI$8:AI$73,MATCH($A41,JAN!$A$8:$A$73,0))&amp;"","")</f>
        <v/>
      </c>
      <c r="E41" s="136">
        <f>IFERROR(INDEX(JAN!AJ$8:AJ$73,MATCH($A41,JAN!$A$8:$A$73,0))&amp;"","")</f>
        <v/>
      </c>
      <c r="F41" s="136">
        <f>IFERROR(INDEX(JAN!AK$8:AK$73,MATCH($A41,JAN!$A$8:$A$73,0))&amp;"","")</f>
        <v/>
      </c>
      <c r="G41" s="136">
        <f>IFERROR(INDEX(JAN!AL$8:AL$73,MATCH($A41,JAN!$A$8:$A$73,0))&amp;"","")</f>
        <v/>
      </c>
      <c r="H41" s="116">
        <f>IFERROR(INDEX(JAN!AM$8:AM$73,MATCH($A41,JAN!$A$8:$A$73,0))&amp;"","")</f>
        <v/>
      </c>
      <c r="I41" s="124" t="inlineStr">
        <is>
          <t>D</t>
        </is>
      </c>
      <c r="J41" s="124" t="inlineStr">
        <is>
          <t>D</t>
        </is>
      </c>
      <c r="K41" s="127" t="inlineStr">
        <is>
          <t>Mt-</t>
        </is>
      </c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5" t="inlineStr">
        <is>
          <t>M</t>
        </is>
      </c>
      <c r="U41" s="126" t="inlineStr">
        <is>
          <t>T</t>
        </is>
      </c>
      <c r="V41" s="114" t="n"/>
      <c r="W41" s="124" t="inlineStr">
        <is>
          <t>D</t>
        </is>
      </c>
      <c r="X41" s="124" t="inlineStr">
        <is>
          <t>D</t>
        </is>
      </c>
      <c r="Y41" s="114" t="n"/>
      <c r="Z41" s="114" t="n"/>
      <c r="AA41" s="114" t="n"/>
      <c r="AB41" s="125" t="inlineStr">
        <is>
          <t>N</t>
        </is>
      </c>
      <c r="AC41" s="114" t="n"/>
      <c r="AD41" s="114" t="n"/>
      <c r="AE41" s="123" t="inlineStr">
        <is>
          <t>T+</t>
        </is>
      </c>
      <c r="AF41" s="114" t="n"/>
      <c r="AG41" s="114" t="n"/>
      <c r="AH41" s="114" t="n"/>
      <c r="AI41" s="124" t="inlineStr">
        <is>
          <t>D</t>
        </is>
      </c>
      <c r="AJ41" s="114" t="n"/>
      <c r="AK41" s="100" t="n"/>
      <c r="AL41" s="100" t="n"/>
      <c r="AM41" s="100" t="n"/>
      <c r="AN41" s="116">
        <f>IFERROR(INDEX(MAR!I$8:I$73,MATCH($A41,MAR!$A$8:$A$73,0))&amp;"","")</f>
        <v/>
      </c>
      <c r="AO41" s="100" t="n"/>
      <c r="AP41" s="100" t="n"/>
      <c r="AQ41" s="100" t="n"/>
      <c r="AR41" s="100" t="n"/>
      <c r="AS41" s="100" t="n"/>
      <c r="AT41" s="117">
        <f>SUMPRODUCT(($C41:$I41="M")*6+($C41:$I41="T")*6+($C41:$I41="D")*12+($C41:$I41="N")*12+($C41:$I41="NT")*6+($C41:$I41="C")*10+($C41:$I41="A")*8+($C41:$I41="J")*5+($C41:$I41="CEP")*4+($C41:$I41="CP")*6+($C41:$I41="CRO")*6+($C41:$I41="M+")*6+($C41:$I41="T+")*6+($C41:$I41="D+")*12+($C41:$I41="N+")*12+($C41:$I41="Dm+")*12+($C41:$I41="Dt+")*12+($C41:$I41="Tm-")*6+($C41:$I41="Mt-")*6)</f>
        <v/>
      </c>
      <c r="AU41" s="118">
        <f>AT41-MAX(0,IFERROR(INDEX(CADASTRO!$I$4:$I$80,MATCH($A41,CADASTRO!$A$4:$A$80,0)),$B41)-CONFIG!$B$50*(COUNTIF($C41:$I41,"AB")+COUNTIF($C41:$I41,"FE")+COUNTIF($C41:$I41,"LM")))</f>
        <v/>
      </c>
      <c r="AV41" s="117">
        <f>SUMPRODUCT(($J41:$P41="M")*6+($J41:$P41="T")*6+($J41:$P41="D")*12+($J41:$P41="N")*12+($J41:$P41="NT")*6+($J41:$P41="C")*10+($J41:$P41="A")*8+($J41:$P41="J")*5+($J41:$P41="CEP")*4+($J41:$P41="CP")*6+($J41:$P41="CRO")*6+($J41:$P41="M+")*6+($J41:$P41="T+")*6+($J41:$P41="D+")*12+($J41:$P41="N+")*12+($J41:$P41="Dm+")*12+($J41:$P41="Dt+")*12+($J41:$P41="Tm-")*6+($J41:$P41="Mt-")*6)</f>
        <v/>
      </c>
      <c r="AW41" s="118">
        <f>AV41-MAX(0,IFERROR(INDEX(CADASTRO!$I$4:$I$80,MATCH($A41,CADASTRO!$A$4:$A$80,0)),$B41)-CONFIG!$B$50*(COUNTIF($J41:$P41,"AB")+COUNTIF($J41:$P41,"FE")+COUNTIF($J41:$P41,"LM")))</f>
        <v/>
      </c>
      <c r="AX41" s="117">
        <f>SUMPRODUCT(($Q41:$W41="M")*6+($Q41:$W41="T")*6+($Q41:$W41="D")*12+($Q41:$W41="N")*12+($Q41:$W41="NT")*6+($Q41:$W41="C")*10+($Q41:$W41="A")*8+($Q41:$W41="J")*5+($Q41:$W41="CEP")*4+($Q41:$W41="CP")*6+($Q41:$W41="CRO")*6+($Q41:$W41="M+")*6+($Q41:$W41="T+")*6+($Q41:$W41="D+")*12+($Q41:$W41="N+")*12+($Q41:$W41="Dm+")*12+($Q41:$W41="Dt+")*12+($Q41:$W41="Tm-")*6+($Q41:$W41="Mt-")*6)</f>
        <v/>
      </c>
      <c r="AY41" s="118">
        <f>AX41-MAX(0,IFERROR(INDEX(CADASTRO!$I$4:$I$80,MATCH($A41,CADASTRO!$A$4:$A$80,0)),$B41)-CONFIG!$B$50*(COUNTIF($Q41:$W41,"AB")+COUNTIF($Q41:$W41,"FE")+COUNTIF($Q41:$W41,"LM")))</f>
        <v/>
      </c>
      <c r="AZ41" s="117">
        <f>SUMPRODUCT(($X41:$AD41="M")*6+($X41:$AD41="T")*6+($X41:$AD41="D")*12+($X41:$AD41="N")*12+($X41:$AD41="NT")*6+($X41:$AD41="C")*10+($X41:$AD41="A")*8+($X41:$AD41="J")*5+($X41:$AD41="CEP")*4+($X41:$AD41="CP")*6+($X41:$AD41="CRO")*6+($X41:$AD41="M+")*6+($X41:$AD41="T+")*6+($X41:$AD41="D+")*12+($X41:$AD41="N+")*12+($X41:$AD41="Dm+")*12+($X41:$AD41="Dt+")*12+($X41:$AD41="Tm-")*6+($X41:$AD41="Mt-")*6)</f>
        <v/>
      </c>
      <c r="BA41" s="118">
        <f>AZ41-MAX(0,IFERROR(INDEX(CADASTRO!$I$4:$I$80,MATCH($A41,CADASTRO!$A$4:$A$80,0)),$B41)-CONFIG!$B$50*(COUNTIF($X41:$AD41,"AB")+COUNTIF($X41:$AD41,"FE")+COUNTIF($X41:$AD41,"LM")))</f>
        <v/>
      </c>
      <c r="BB41" s="117">
        <f>SUMPRODUCT(($AE41:$AJ41="M")*6+($AE41:$AJ41="T")*6+($AE41:$AJ41="D")*12+($AE41:$AJ41="N")*12+($AE41:$AJ41="NT")*6+($AE41:$AJ41="C")*10+($AE41:$AJ41="A")*8+($AE41:$AJ41="J")*5+($AE41:$AJ41="CEP")*4+($AE41:$AJ41="CP")*6+($AE41:$AJ41="CRO")*6+($AE41:$AJ41="M+")*6+($AE41:$AJ41="T+")*6+($AE41:$AJ41="D+")*12+($AE41:$AJ41="N+")*12+($AE41:$AJ41="Dm+")*12+($AE41:$AJ41="Dt+")*12+($AE41:$AJ41="Tm-")*6+($AE41:$AJ41="Mt-")*6)+SUMPRODUCT(($AN41:$AN41="M")*6+($AN41:$AN41="T")*6+($AN41:$AN41="D")*12+($AN41:$AN41="N")*12+($AN41:$AN41="NT")*6+($AN41:$AN41="C")*10+($AN41:$AN41="A")*8+($AN41:$AN41="J")*5+($AN41:$AN41="CEP")*4+($AN41:$AN41="CP")*6+($AN41:$AN41="CRO")*6+($AN41:$AN41="M+")*6+($AN41:$AN41="T+")*6+($AN41:$AN41="D+")*12+($AN41:$AN41="N+")*12+($AN41:$AN41="Dm+")*12+($AN41:$AN41="Dt+")*12+($AN41:$AN41="Tm-")*6+($AN41:$AN41="Mt-")*6)</f>
        <v/>
      </c>
      <c r="BC41" s="118">
        <f>BB41-MAX(0,IFERROR(INDEX(CADASTRO!$I$4:$I$80,MATCH($A41,CADASTRO!$A$4:$A$80,0)),$B41)-CONFIG!$B$50*(COUNTIF($AE41:$AJ41,"AB")+COUNTIF($AE41:$AJ41,"FE")+COUNTIF($AE41:$AJ41,"LM")+COUNTIF($AN41:$AN41,"AB")+COUNTIF($AN41:$AN41,"FE")+COUNTIF($AN41:$AN41,"LM")))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ROUND(B41*4.0,0)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36">
        <f>IFERROR(INDEX(JAN!AH$8:AH$73,MATCH($A42,JAN!$A$8:$A$73,0))&amp;"","")</f>
        <v/>
      </c>
      <c r="D42" s="136">
        <f>IFERROR(INDEX(JAN!AI$8:AI$73,MATCH($A42,JAN!$A$8:$A$73,0))&amp;"","")</f>
        <v/>
      </c>
      <c r="E42" s="136">
        <f>IFERROR(INDEX(JAN!AJ$8:AJ$73,MATCH($A42,JAN!$A$8:$A$73,0))&amp;"","")</f>
        <v/>
      </c>
      <c r="F42" s="136">
        <f>IFERROR(INDEX(JAN!AK$8:AK$73,MATCH($A42,JAN!$A$8:$A$73,0))&amp;"","")</f>
        <v/>
      </c>
      <c r="G42" s="136">
        <f>IFERROR(INDEX(JAN!AL$8:AL$73,MATCH($A42,JAN!$A$8:$A$73,0))&amp;"","")</f>
        <v/>
      </c>
      <c r="H42" s="116">
        <f>IFERROR(INDEX(JAN!AM$8:AM$73,MATCH($A42,JAN!$A$8:$A$73,0))&amp;"","")</f>
        <v/>
      </c>
      <c r="I42" s="114" t="n"/>
      <c r="J42" s="114" t="n"/>
      <c r="K42" s="114" t="n"/>
      <c r="L42" s="114" t="n"/>
      <c r="M42" s="114" t="n"/>
      <c r="N42" s="126" t="inlineStr">
        <is>
          <t>T</t>
        </is>
      </c>
      <c r="O42" s="124" t="inlineStr">
        <is>
          <t>D</t>
        </is>
      </c>
      <c r="P42" s="114" t="n"/>
      <c r="Q42" s="114" t="n"/>
      <c r="R42" s="114" t="n"/>
      <c r="S42" s="124" t="inlineStr">
        <is>
          <t>D</t>
        </is>
      </c>
      <c r="T42" s="124" t="inlineStr">
        <is>
          <t>D</t>
        </is>
      </c>
      <c r="U42" s="114" t="n"/>
      <c r="V42" s="114" t="n"/>
      <c r="W42" s="114" t="n"/>
      <c r="X42" s="124" t="inlineStr">
        <is>
          <t>D</t>
        </is>
      </c>
      <c r="Y42" s="114" t="n"/>
      <c r="Z42" s="114" t="n"/>
      <c r="AA42" s="114" t="n"/>
      <c r="AB42" s="125" t="inlineStr">
        <is>
          <t>N</t>
        </is>
      </c>
      <c r="AC42" s="114" t="n"/>
      <c r="AD42" s="114" t="n"/>
      <c r="AE42" s="114" t="n"/>
      <c r="AF42" s="125" t="inlineStr">
        <is>
          <t>N</t>
        </is>
      </c>
      <c r="AG42" s="114" t="n"/>
      <c r="AH42" s="114" t="n"/>
      <c r="AI42" s="114" t="n"/>
      <c r="AJ42" s="125" t="inlineStr">
        <is>
          <t>N</t>
        </is>
      </c>
      <c r="AK42" s="100" t="n"/>
      <c r="AL42" s="100" t="n"/>
      <c r="AM42" s="100" t="n"/>
      <c r="AN42" s="116">
        <f>IFERROR(INDEX(MAR!I$8:I$73,MATCH($A42,MAR!$A$8:$A$73,0))&amp;"","")</f>
        <v/>
      </c>
      <c r="AO42" s="100" t="n"/>
      <c r="AP42" s="100" t="n"/>
      <c r="AQ42" s="100" t="n"/>
      <c r="AR42" s="100" t="n"/>
      <c r="AS42" s="100" t="n"/>
      <c r="AT42" s="117">
        <f>SUMPRODUCT(($C42:$I42="M")*6+($C42:$I42="T")*6+($C42:$I42="D")*12+($C42:$I42="N")*12+($C42:$I42="NT")*6+($C42:$I42="C")*10+($C42:$I42="A")*8+($C42:$I42="J")*5+($C42:$I42="CEP")*4+($C42:$I42="CP")*6+($C42:$I42="CRO")*6+($C42:$I42="M+")*6+($C42:$I42="T+")*6+($C42:$I42="D+")*12+($C42:$I42="N+")*12+($C42:$I42="Dm+")*12+($C42:$I42="Dt+")*12+($C42:$I42="Tm-")*6+($C42:$I42="Mt-")*6)</f>
        <v/>
      </c>
      <c r="AU42" s="118">
        <f>AT42-MAX(0,IFERROR(INDEX(CADASTRO!$I$4:$I$80,MATCH($A42,CADASTRO!$A$4:$A$80,0)),$B42)-CONFIG!$B$50*(COUNTIF($C42:$I42,"AB")+COUNTIF($C42:$I42,"FE")+COUNTIF($C42:$I42,"LM")))</f>
        <v/>
      </c>
      <c r="AV42" s="117">
        <f>SUMPRODUCT(($J42:$P42="M")*6+($J42:$P42="T")*6+($J42:$P42="D")*12+($J42:$P42="N")*12+($J42:$P42="NT")*6+($J42:$P42="C")*10+($J42:$P42="A")*8+($J42:$P42="J")*5+($J42:$P42="CEP")*4+($J42:$P42="CP")*6+($J42:$P42="CRO")*6+($J42:$P42="M+")*6+($J42:$P42="T+")*6+($J42:$P42="D+")*12+($J42:$P42="N+")*12+($J42:$P42="Dm+")*12+($J42:$P42="Dt+")*12+($J42:$P42="Tm-")*6+($J42:$P42="Mt-")*6)</f>
        <v/>
      </c>
      <c r="AW42" s="118">
        <f>AV42-MAX(0,IFERROR(INDEX(CADASTRO!$I$4:$I$80,MATCH($A42,CADASTRO!$A$4:$A$80,0)),$B42)-CONFIG!$B$50*(COUNTIF($J42:$P42,"AB")+COUNTIF($J42:$P42,"FE")+COUNTIF($J42:$P42,"LM")))</f>
        <v/>
      </c>
      <c r="AX42" s="117">
        <f>SUMPRODUCT(($Q42:$W42="M")*6+($Q42:$W42="T")*6+($Q42:$W42="D")*12+($Q42:$W42="N")*12+($Q42:$W42="NT")*6+($Q42:$W42="C")*10+($Q42:$W42="A")*8+($Q42:$W42="J")*5+($Q42:$W42="CEP")*4+($Q42:$W42="CP")*6+($Q42:$W42="CRO")*6+($Q42:$W42="M+")*6+($Q42:$W42="T+")*6+($Q42:$W42="D+")*12+($Q42:$W42="N+")*12+($Q42:$W42="Dm+")*12+($Q42:$W42="Dt+")*12+($Q42:$W42="Tm-")*6+($Q42:$W42="Mt-")*6)</f>
        <v/>
      </c>
      <c r="AY42" s="118">
        <f>AX42-MAX(0,IFERROR(INDEX(CADASTRO!$I$4:$I$80,MATCH($A42,CADASTRO!$A$4:$A$80,0)),$B42)-CONFIG!$B$50*(COUNTIF($Q42:$W42,"AB")+COUNTIF($Q42:$W42,"FE")+COUNTIF($Q42:$W42,"LM")))</f>
        <v/>
      </c>
      <c r="AZ42" s="117">
        <f>SUMPRODUCT(($X42:$AD42="M")*6+($X42:$AD42="T")*6+($X42:$AD42="D")*12+($X42:$AD42="N")*12+($X42:$AD42="NT")*6+($X42:$AD42="C")*10+($X42:$AD42="A")*8+($X42:$AD42="J")*5+($X42:$AD42="CEP")*4+($X42:$AD42="CP")*6+($X42:$AD42="CRO")*6+($X42:$AD42="M+")*6+($X42:$AD42="T+")*6+($X42:$AD42="D+")*12+($X42:$AD42="N+")*12+($X42:$AD42="Dm+")*12+($X42:$AD42="Dt+")*12+($X42:$AD42="Tm-")*6+($X42:$AD42="Mt-")*6)</f>
        <v/>
      </c>
      <c r="BA42" s="118">
        <f>AZ42-MAX(0,IFERROR(INDEX(CADASTRO!$I$4:$I$80,MATCH($A42,CADASTRO!$A$4:$A$80,0)),$B42)-CONFIG!$B$50*(COUNTIF($X42:$AD42,"AB")+COUNTIF($X42:$AD42,"FE")+COUNTIF($X42:$AD42,"LM")))</f>
        <v/>
      </c>
      <c r="BB42" s="117">
        <f>SUMPRODUCT(($AE42:$AJ42="M")*6+($AE42:$AJ42="T")*6+($AE42:$AJ42="D")*12+($AE42:$AJ42="N")*12+($AE42:$AJ42="NT")*6+($AE42:$AJ42="C")*10+($AE42:$AJ42="A")*8+($AE42:$AJ42="J")*5+($AE42:$AJ42="CEP")*4+($AE42:$AJ42="CP")*6+($AE42:$AJ42="CRO")*6+($AE42:$AJ42="M+")*6+($AE42:$AJ42="T+")*6+($AE42:$AJ42="D+")*12+($AE42:$AJ42="N+")*12+($AE42:$AJ42="Dm+")*12+($AE42:$AJ42="Dt+")*12+($AE42:$AJ42="Tm-")*6+($AE42:$AJ42="Mt-")*6)+SUMPRODUCT(($AN42:$AN42="M")*6+($AN42:$AN42="T")*6+($AN42:$AN42="D")*12+($AN42:$AN42="N")*12+($AN42:$AN42="NT")*6+($AN42:$AN42="C")*10+($AN42:$AN42="A")*8+($AN42:$AN42="J")*5+($AN42:$AN42="CEP")*4+($AN42:$AN42="CP")*6+($AN42:$AN42="CRO")*6+($AN42:$AN42="M+")*6+($AN42:$AN42="T+")*6+($AN42:$AN42="D+")*12+($AN42:$AN42="N+")*12+($AN42:$AN42="Dm+")*12+($AN42:$AN42="Dt+")*12+($AN42:$AN42="Tm-")*6+($AN42:$AN42="Mt-")*6)</f>
        <v/>
      </c>
      <c r="BC42" s="118">
        <f>BB42-MAX(0,IFERROR(INDEX(CADASTRO!$I$4:$I$80,MATCH($A42,CADASTRO!$A$4:$A$80,0)),$B42)-CONFIG!$B$50*(COUNTIF($AE42:$AJ42,"AB")+COUNTIF($AE42:$AJ42,"FE")+COUNTIF($AE42:$AJ42,"LM")+COUNTIF($AN42:$AN42,"AB")+COUNTIF($AN42:$AN42,"FE")+COUNTIF($AN42:$AN42,"LM")))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ROUND(B42*4.0,0)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36">
        <f>IFERROR(INDEX(JAN!AH$8:AH$73,MATCH($A43,JAN!$A$8:$A$73,0))&amp;"","")</f>
        <v/>
      </c>
      <c r="D43" s="136">
        <f>IFERROR(INDEX(JAN!AI$8:AI$73,MATCH($A43,JAN!$A$8:$A$73,0))&amp;"","")</f>
        <v/>
      </c>
      <c r="E43" s="136">
        <f>IFERROR(INDEX(JAN!AJ$8:AJ$73,MATCH($A43,JAN!$A$8:$A$73,0))&amp;"","")</f>
        <v/>
      </c>
      <c r="F43" s="136">
        <f>IFERROR(INDEX(JAN!AK$8:AK$73,MATCH($A43,JAN!$A$8:$A$73,0))&amp;"","")</f>
        <v/>
      </c>
      <c r="G43" s="136">
        <f>IFERROR(INDEX(JAN!AL$8:AL$73,MATCH($A43,JAN!$A$8:$A$73,0))&amp;"","")</f>
        <v/>
      </c>
      <c r="H43" s="116">
        <f>IFERROR(INDEX(JAN!AM$8:AM$73,MATCH($A43,JAN!$A$8:$A$73,0))&amp;"","")</f>
        <v/>
      </c>
      <c r="I43" s="125" t="inlineStr">
        <is>
          <t>N</t>
        </is>
      </c>
      <c r="J43" s="114" t="n"/>
      <c r="K43" s="125" t="inlineStr">
        <is>
          <t>N</t>
        </is>
      </c>
      <c r="L43" s="114" t="n"/>
      <c r="M43" s="114" t="n"/>
      <c r="N43" s="125" t="inlineStr">
        <is>
          <t>N</t>
        </is>
      </c>
      <c r="O43" s="114" t="n"/>
      <c r="P43" s="114" t="n"/>
      <c r="Q43" s="114" t="n"/>
      <c r="R43" s="125" t="inlineStr">
        <is>
          <t>N</t>
        </is>
      </c>
      <c r="S43" s="114" t="n"/>
      <c r="T43" s="114" t="n"/>
      <c r="U43" s="114" t="n"/>
      <c r="V43" s="125" t="inlineStr">
        <is>
          <t>N</t>
        </is>
      </c>
      <c r="W43" s="114" t="n"/>
      <c r="X43" s="125" t="inlineStr">
        <is>
          <t>N</t>
        </is>
      </c>
      <c r="Y43" s="125" t="inlineStr">
        <is>
          <t>N</t>
        </is>
      </c>
      <c r="Z43" s="114" t="n"/>
      <c r="AA43" s="114" t="n"/>
      <c r="AB43" s="114" t="n"/>
      <c r="AC43" s="114" t="n"/>
      <c r="AD43" s="114" t="n"/>
      <c r="AE43" s="125" t="inlineStr">
        <is>
          <t>N</t>
        </is>
      </c>
      <c r="AF43" s="125" t="inlineStr">
        <is>
          <t>N</t>
        </is>
      </c>
      <c r="AG43" s="114" t="n"/>
      <c r="AH43" s="114" t="n"/>
      <c r="AI43" s="114" t="n"/>
      <c r="AJ43" s="114" t="n"/>
      <c r="AK43" s="100" t="n"/>
      <c r="AL43" s="100" t="n"/>
      <c r="AM43" s="100" t="n"/>
      <c r="AN43" s="116">
        <f>IFERROR(INDEX(MAR!I$8:I$73,MATCH($A43,MAR!$A$8:$A$73,0))&amp;"","")</f>
        <v/>
      </c>
      <c r="AO43" s="100" t="n"/>
      <c r="AP43" s="100" t="n"/>
      <c r="AQ43" s="100" t="n"/>
      <c r="AR43" s="100" t="n"/>
      <c r="AS43" s="100" t="n"/>
      <c r="AT43" s="117">
        <f>SUMPRODUCT(($C43:$I43="M")*6+($C43:$I43="T")*6+($C43:$I43="D")*12+($C43:$I43="N")*12+($C43:$I43="NT")*6+($C43:$I43="C")*10+($C43:$I43="A")*8+($C43:$I43="J")*5+($C43:$I43="CEP")*4+($C43:$I43="CP")*6+($C43:$I43="CRO")*6+($C43:$I43="M+")*6+($C43:$I43="T+")*6+($C43:$I43="D+")*12+($C43:$I43="N+")*12+($C43:$I43="Dm+")*12+($C43:$I43="Dt+")*12+($C43:$I43="Tm-")*6+($C43:$I43="Mt-")*6)</f>
        <v/>
      </c>
      <c r="AU43" s="118">
        <f>AT43-MAX(0,IFERROR(INDEX(CADASTRO!$I$4:$I$80,MATCH($A43,CADASTRO!$A$4:$A$80,0)),$B43)-CONFIG!$B$50*(COUNTIF($C43:$I43,"AB")+COUNTIF($C43:$I43,"FE")+COUNTIF($C43:$I43,"LM")))</f>
        <v/>
      </c>
      <c r="AV43" s="117">
        <f>SUMPRODUCT(($J43:$P43="M")*6+($J43:$P43="T")*6+($J43:$P43="D")*12+($J43:$P43="N")*12+($J43:$P43="NT")*6+($J43:$P43="C")*10+($J43:$P43="A")*8+($J43:$P43="J")*5+($J43:$P43="CEP")*4+($J43:$P43="CP")*6+($J43:$P43="CRO")*6+($J43:$P43="M+")*6+($J43:$P43="T+")*6+($J43:$P43="D+")*12+($J43:$P43="N+")*12+($J43:$P43="Dm+")*12+($J43:$P43="Dt+")*12+($J43:$P43="Tm-")*6+($J43:$P43="Mt-")*6)</f>
        <v/>
      </c>
      <c r="AW43" s="118">
        <f>AV43-MAX(0,IFERROR(INDEX(CADASTRO!$I$4:$I$80,MATCH($A43,CADASTRO!$A$4:$A$80,0)),$B43)-CONFIG!$B$50*(COUNTIF($J43:$P43,"AB")+COUNTIF($J43:$P43,"FE")+COUNTIF($J43:$P43,"LM")))</f>
        <v/>
      </c>
      <c r="AX43" s="117">
        <f>SUMPRODUCT(($Q43:$W43="M")*6+($Q43:$W43="T")*6+($Q43:$W43="D")*12+($Q43:$W43="N")*12+($Q43:$W43="NT")*6+($Q43:$W43="C")*10+($Q43:$W43="A")*8+($Q43:$W43="J")*5+($Q43:$W43="CEP")*4+($Q43:$W43="CP")*6+($Q43:$W43="CRO")*6+($Q43:$W43="M+")*6+($Q43:$W43="T+")*6+($Q43:$W43="D+")*12+($Q43:$W43="N+")*12+($Q43:$W43="Dm+")*12+($Q43:$W43="Dt+")*12+($Q43:$W43="Tm-")*6+($Q43:$W43="Mt-")*6)</f>
        <v/>
      </c>
      <c r="AY43" s="118">
        <f>AX43-MAX(0,IFERROR(INDEX(CADASTRO!$I$4:$I$80,MATCH($A43,CADASTRO!$A$4:$A$80,0)),$B43)-CONFIG!$B$50*(COUNTIF($Q43:$W43,"AB")+COUNTIF($Q43:$W43,"FE")+COUNTIF($Q43:$W43,"LM")))</f>
        <v/>
      </c>
      <c r="AZ43" s="117">
        <f>SUMPRODUCT(($X43:$AD43="M")*6+($X43:$AD43="T")*6+($X43:$AD43="D")*12+($X43:$AD43="N")*12+($X43:$AD43="NT")*6+($X43:$AD43="C")*10+($X43:$AD43="A")*8+($X43:$AD43="J")*5+($X43:$AD43="CEP")*4+($X43:$AD43="CP")*6+($X43:$AD43="CRO")*6+($X43:$AD43="M+")*6+($X43:$AD43="T+")*6+($X43:$AD43="D+")*12+($X43:$AD43="N+")*12+($X43:$AD43="Dm+")*12+($X43:$AD43="Dt+")*12+($X43:$AD43="Tm-")*6+($X43:$AD43="Mt-")*6)</f>
        <v/>
      </c>
      <c r="BA43" s="118">
        <f>AZ43-MAX(0,IFERROR(INDEX(CADASTRO!$I$4:$I$80,MATCH($A43,CADASTRO!$A$4:$A$80,0)),$B43)-CONFIG!$B$50*(COUNTIF($X43:$AD43,"AB")+COUNTIF($X43:$AD43,"FE")+COUNTIF($X43:$AD43,"LM")))</f>
        <v/>
      </c>
      <c r="BB43" s="117">
        <f>SUMPRODUCT(($AE43:$AJ43="M")*6+($AE43:$AJ43="T")*6+($AE43:$AJ43="D")*12+($AE43:$AJ43="N")*12+($AE43:$AJ43="NT")*6+($AE43:$AJ43="C")*10+($AE43:$AJ43="A")*8+($AE43:$AJ43="J")*5+($AE43:$AJ43="CEP")*4+($AE43:$AJ43="CP")*6+($AE43:$AJ43="CRO")*6+($AE43:$AJ43="M+")*6+($AE43:$AJ43="T+")*6+($AE43:$AJ43="D+")*12+($AE43:$AJ43="N+")*12+($AE43:$AJ43="Dm+")*12+($AE43:$AJ43="Dt+")*12+($AE43:$AJ43="Tm-")*6+($AE43:$AJ43="Mt-")*6)+SUMPRODUCT(($AN43:$AN43="M")*6+($AN43:$AN43="T")*6+($AN43:$AN43="D")*12+($AN43:$AN43="N")*12+($AN43:$AN43="NT")*6+($AN43:$AN43="C")*10+($AN43:$AN43="A")*8+($AN43:$AN43="J")*5+($AN43:$AN43="CEP")*4+($AN43:$AN43="CP")*6+($AN43:$AN43="CRO")*6+($AN43:$AN43="M+")*6+($AN43:$AN43="T+")*6+($AN43:$AN43="D+")*12+($AN43:$AN43="N+")*12+($AN43:$AN43="Dm+")*12+($AN43:$AN43="Dt+")*12+($AN43:$AN43="Tm-")*6+($AN43:$AN43="Mt-")*6)</f>
        <v/>
      </c>
      <c r="BC43" s="118">
        <f>BB43-MAX(0,IFERROR(INDEX(CADASTRO!$I$4:$I$80,MATCH($A43,CADASTRO!$A$4:$A$80,0)),$B43)-CONFIG!$B$50*(COUNTIF($AE43:$AJ43,"AB")+COUNTIF($AE43:$AJ43,"FE")+COUNTIF($AE43:$AJ43,"LM")+COUNTIF($AN43:$AN43,"AB")+COUNTIF($AN43:$AN43,"FE")+COUNTIF($AN43:$AN43,"LM")))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ROUND(B43*4.0,0)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36">
        <f>IFERROR(INDEX(JAN!AH$8:AH$73,MATCH($A44,JAN!$A$8:$A$73,0))&amp;"","")</f>
        <v/>
      </c>
      <c r="D44" s="136">
        <f>IFERROR(INDEX(JAN!AI$8:AI$73,MATCH($A44,JAN!$A$8:$A$73,0))&amp;"","")</f>
        <v/>
      </c>
      <c r="E44" s="136">
        <f>IFERROR(INDEX(JAN!AJ$8:AJ$73,MATCH($A44,JAN!$A$8:$A$73,0))&amp;"","")</f>
        <v/>
      </c>
      <c r="F44" s="136">
        <f>IFERROR(INDEX(JAN!AK$8:AK$73,MATCH($A44,JAN!$A$8:$A$73,0))&amp;"","")</f>
        <v/>
      </c>
      <c r="G44" s="136">
        <f>IFERROR(INDEX(JAN!AL$8:AL$73,MATCH($A44,JAN!$A$8:$A$73,0))&amp;"","")</f>
        <v/>
      </c>
      <c r="H44" s="116">
        <f>IFERROR(INDEX(JAN!AM$8:AM$73,MATCH($A44,JAN!$A$8:$A$73,0))&amp;"","")</f>
        <v/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4" t="n"/>
      <c r="AF44" s="114" t="n"/>
      <c r="AG44" s="114" t="n"/>
      <c r="AH44" s="114" t="n"/>
      <c r="AI44" s="114" t="n"/>
      <c r="AJ44" s="114" t="n"/>
      <c r="AK44" s="100" t="n"/>
      <c r="AL44" s="100" t="n"/>
      <c r="AM44" s="100" t="n"/>
      <c r="AN44" s="116">
        <f>IFERROR(INDEX(MAR!I$8:I$73,MATCH($A44,MAR!$A$8:$A$73,0))&amp;"","")</f>
        <v/>
      </c>
      <c r="AO44" s="100" t="n"/>
      <c r="AP44" s="100" t="n"/>
      <c r="AQ44" s="100" t="n"/>
      <c r="AR44" s="100" t="n"/>
      <c r="AS44" s="100" t="n"/>
      <c r="AT44" s="117">
        <f>SUMPRODUCT(($C44:$I44="M")*6+($C44:$I44="T")*6+($C44:$I44="D")*12+($C44:$I44="N")*12+($C44:$I44="NT")*6+($C44:$I44="C")*10+($C44:$I44="A")*8+($C44:$I44="J")*5+($C44:$I44="CEP")*4+($C44:$I44="CP")*6+($C44:$I44="CRO")*6+($C44:$I44="M+")*6+($C44:$I44="T+")*6+($C44:$I44="D+")*12+($C44:$I44="N+")*12+($C44:$I44="Dm+")*12+($C44:$I44="Dt+")*12+($C44:$I44="Tm-")*6+($C44:$I44="Mt-")*6)</f>
        <v/>
      </c>
      <c r="AU44" s="118">
        <f>AT44-MAX(0,IFERROR(INDEX(CADASTRO!$I$4:$I$80,MATCH($A44,CADASTRO!$A$4:$A$80,0)),$B44)-CONFIG!$B$50*(COUNTIF($C44:$I44,"AB")+COUNTIF($C44:$I44,"FE")+COUNTIF($C44:$I44,"LM")))</f>
        <v/>
      </c>
      <c r="AV44" s="117">
        <f>SUMPRODUCT(($J44:$P44="M")*6+($J44:$P44="T")*6+($J44:$P44="D")*12+($J44:$P44="N")*12+($J44:$P44="NT")*6+($J44:$P44="C")*10+($J44:$P44="A")*8+($J44:$P44="J")*5+($J44:$P44="CEP")*4+($J44:$P44="CP")*6+($J44:$P44="CRO")*6+($J44:$P44="M+")*6+($J44:$P44="T+")*6+($J44:$P44="D+")*12+($J44:$P44="N+")*12+($J44:$P44="Dm+")*12+($J44:$P44="Dt+")*12+($J44:$P44="Tm-")*6+($J44:$P44="Mt-")*6)</f>
        <v/>
      </c>
      <c r="AW44" s="118">
        <f>AV44-MAX(0,IFERROR(INDEX(CADASTRO!$I$4:$I$80,MATCH($A44,CADASTRO!$A$4:$A$80,0)),$B44)-CONFIG!$B$50*(COUNTIF($J44:$P44,"AB")+COUNTIF($J44:$P44,"FE")+COUNTIF($J44:$P44,"LM")))</f>
        <v/>
      </c>
      <c r="AX44" s="117">
        <f>SUMPRODUCT(($Q44:$W44="M")*6+($Q44:$W44="T")*6+($Q44:$W44="D")*12+($Q44:$W44="N")*12+($Q44:$W44="NT")*6+($Q44:$W44="C")*10+($Q44:$W44="A")*8+($Q44:$W44="J")*5+($Q44:$W44="CEP")*4+($Q44:$W44="CP")*6+($Q44:$W44="CRO")*6+($Q44:$W44="M+")*6+($Q44:$W44="T+")*6+($Q44:$W44="D+")*12+($Q44:$W44="N+")*12+($Q44:$W44="Dm+")*12+($Q44:$W44="Dt+")*12+($Q44:$W44="Tm-")*6+($Q44:$W44="Mt-")*6)</f>
        <v/>
      </c>
      <c r="AY44" s="118">
        <f>AX44-MAX(0,IFERROR(INDEX(CADASTRO!$I$4:$I$80,MATCH($A44,CADASTRO!$A$4:$A$80,0)),$B44)-CONFIG!$B$50*(COUNTIF($Q44:$W44,"AB")+COUNTIF($Q44:$W44,"FE")+COUNTIF($Q44:$W44,"LM")))</f>
        <v/>
      </c>
      <c r="AZ44" s="117">
        <f>SUMPRODUCT(($X44:$AD44="M")*6+($X44:$AD44="T")*6+($X44:$AD44="D")*12+($X44:$AD44="N")*12+($X44:$AD44="NT")*6+($X44:$AD44="C")*10+($X44:$AD44="A")*8+($X44:$AD44="J")*5+($X44:$AD44="CEP")*4+($X44:$AD44="CP")*6+($X44:$AD44="CRO")*6+($X44:$AD44="M+")*6+($X44:$AD44="T+")*6+($X44:$AD44="D+")*12+($X44:$AD44="N+")*12+($X44:$AD44="Dm+")*12+($X44:$AD44="Dt+")*12+($X44:$AD44="Tm-")*6+($X44:$AD44="Mt-")*6)</f>
        <v/>
      </c>
      <c r="BA44" s="118">
        <f>AZ44-MAX(0,IFERROR(INDEX(CADASTRO!$I$4:$I$80,MATCH($A44,CADASTRO!$A$4:$A$80,0)),$B44)-CONFIG!$B$50*(COUNTIF($X44:$AD44,"AB")+COUNTIF($X44:$AD44,"FE")+COUNTIF($X44:$AD44,"LM")))</f>
        <v/>
      </c>
      <c r="BB44" s="117">
        <f>SUMPRODUCT(($AE44:$AJ44="M")*6+($AE44:$AJ44="T")*6+($AE44:$AJ44="D")*12+($AE44:$AJ44="N")*12+($AE44:$AJ44="NT")*6+($AE44:$AJ44="C")*10+($AE44:$AJ44="A")*8+($AE44:$AJ44="J")*5+($AE44:$AJ44="CEP")*4+($AE44:$AJ44="CP")*6+($AE44:$AJ44="CRO")*6+($AE44:$AJ44="M+")*6+($AE44:$AJ44="T+")*6+($AE44:$AJ44="D+")*12+($AE44:$AJ44="N+")*12+($AE44:$AJ44="Dm+")*12+($AE44:$AJ44="Dt+")*12+($AE44:$AJ44="Tm-")*6+($AE44:$AJ44="Mt-")*6)+SUMPRODUCT(($AN44:$AN44="M")*6+($AN44:$AN44="T")*6+($AN44:$AN44="D")*12+($AN44:$AN44="N")*12+($AN44:$AN44="NT")*6+($AN44:$AN44="C")*10+($AN44:$AN44="A")*8+($AN44:$AN44="J")*5+($AN44:$AN44="CEP")*4+($AN44:$AN44="CP")*6+($AN44:$AN44="CRO")*6+($AN44:$AN44="M+")*6+($AN44:$AN44="T+")*6+($AN44:$AN44="D+")*12+($AN44:$AN44="N+")*12+($AN44:$AN44="Dm+")*12+($AN44:$AN44="Dt+")*12+($AN44:$AN44="Tm-")*6+($AN44:$AN44="Mt-")*6)</f>
        <v/>
      </c>
      <c r="BC44" s="118">
        <f>BB44-MAX(0,IFERROR(INDEX(CADASTRO!$I$4:$I$80,MATCH($A44,CADASTRO!$A$4:$A$80,0)),$B44)-CONFIG!$B$50*(COUNTIF($AE44:$AJ44,"AB")+COUNTIF($AE44:$AJ44,"FE")+COUNTIF($AE44:$AJ44,"LM")+COUNTIF($AN44:$AN44,"AB")+COUNTIF($AN44:$AN44,"FE")+COUNTIF($AN44:$AN44,"LM")))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ROUND(B44*4.0,0)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36">
        <f>IFERROR(INDEX(JAN!AH$8:AH$73,MATCH($A45,JAN!$A$8:$A$73,0))&amp;"","")</f>
        <v/>
      </c>
      <c r="D45" s="136">
        <f>IFERROR(INDEX(JAN!AI$8:AI$73,MATCH($A45,JAN!$A$8:$A$73,0))&amp;"","")</f>
        <v/>
      </c>
      <c r="E45" s="136">
        <f>IFERROR(INDEX(JAN!AJ$8:AJ$73,MATCH($A45,JAN!$A$8:$A$73,0))&amp;"","")</f>
        <v/>
      </c>
      <c r="F45" s="136">
        <f>IFERROR(INDEX(JAN!AK$8:AK$73,MATCH($A45,JAN!$A$8:$A$73,0))&amp;"","")</f>
        <v/>
      </c>
      <c r="G45" s="136">
        <f>IFERROR(INDEX(JAN!AL$8:AL$73,MATCH($A45,JAN!$A$8:$A$73,0))&amp;"","")</f>
        <v/>
      </c>
      <c r="H45" s="116">
        <f>IFERROR(INDEX(JAN!AM$8:AM$73,MATCH($A45,JAN!$A$8:$A$73,0))&amp;"","")</f>
        <v/>
      </c>
      <c r="I45" s="114" t="n"/>
      <c r="J45" s="114" t="n"/>
      <c r="K45" s="114" t="n"/>
      <c r="L45" s="114" t="n"/>
      <c r="M45" s="115" t="inlineStr">
        <is>
          <t>M</t>
        </is>
      </c>
      <c r="N45" s="115" t="inlineStr">
        <is>
          <t>M</t>
        </is>
      </c>
      <c r="O45" s="114" t="n"/>
      <c r="P45" s="115" t="inlineStr">
        <is>
          <t>M</t>
        </is>
      </c>
      <c r="Q45" s="115" t="inlineStr">
        <is>
          <t>M</t>
        </is>
      </c>
      <c r="R45" s="114" t="n"/>
      <c r="S45" s="114" t="n"/>
      <c r="T45" s="114" t="n"/>
      <c r="U45" s="115" t="inlineStr">
        <is>
          <t>M</t>
        </is>
      </c>
      <c r="V45" s="125" t="inlineStr">
        <is>
          <t>N</t>
        </is>
      </c>
      <c r="W45" s="114" t="n"/>
      <c r="X45" s="115" t="inlineStr">
        <is>
          <t>M</t>
        </is>
      </c>
      <c r="Y45" s="114" t="n"/>
      <c r="Z45" s="115" t="inlineStr">
        <is>
          <t>M</t>
        </is>
      </c>
      <c r="AA45" s="114" t="n"/>
      <c r="AB45" s="114" t="n"/>
      <c r="AC45" s="114" t="n"/>
      <c r="AD45" s="115" t="inlineStr">
        <is>
          <t>M</t>
        </is>
      </c>
      <c r="AE45" s="115" t="inlineStr">
        <is>
          <t>M</t>
        </is>
      </c>
      <c r="AF45" s="115" t="inlineStr">
        <is>
          <t>M</t>
        </is>
      </c>
      <c r="AG45" s="114" t="n"/>
      <c r="AH45" s="115" t="inlineStr">
        <is>
          <t>M</t>
        </is>
      </c>
      <c r="AI45" s="115" t="inlineStr">
        <is>
          <t>M</t>
        </is>
      </c>
      <c r="AJ45" s="114" t="n"/>
      <c r="AK45" s="100" t="n"/>
      <c r="AL45" s="100" t="n"/>
      <c r="AM45" s="100" t="n"/>
      <c r="AN45" s="116">
        <f>IFERROR(INDEX(MAR!I$8:I$73,MATCH($A45,MAR!$A$8:$A$73,0))&amp;"","")</f>
        <v/>
      </c>
      <c r="AO45" s="100" t="n"/>
      <c r="AP45" s="100" t="n"/>
      <c r="AQ45" s="100" t="n"/>
      <c r="AR45" s="100" t="n"/>
      <c r="AS45" s="100" t="n"/>
      <c r="AT45" s="117">
        <f>SUMPRODUCT(($C45:$I45="M")*6+($C45:$I45="T")*6+($C45:$I45="D")*12+($C45:$I45="N")*12+($C45:$I45="NT")*6+($C45:$I45="C")*10+($C45:$I45="A")*8+($C45:$I45="J")*5+($C45:$I45="CEP")*4+($C45:$I45="CP")*6+($C45:$I45="CRO")*6+($C45:$I45="M+")*6+($C45:$I45="T+")*6+($C45:$I45="D+")*12+($C45:$I45="N+")*12+($C45:$I45="Dm+")*12+($C45:$I45="Dt+")*12+($C45:$I45="Tm-")*6+($C45:$I45="Mt-")*6)</f>
        <v/>
      </c>
      <c r="AU45" s="118">
        <f>AT45-MAX(0,IFERROR(INDEX(CADASTRO!$I$4:$I$80,MATCH($A45,CADASTRO!$A$4:$A$80,0)),$B45)-CONFIG!$B$50*(COUNTIF($C45:$I45,"AB")+COUNTIF($C45:$I45,"FE")+COUNTIF($C45:$I45,"LM")))</f>
        <v/>
      </c>
      <c r="AV45" s="117">
        <f>SUMPRODUCT(($J45:$P45="M")*6+($J45:$P45="T")*6+($J45:$P45="D")*12+($J45:$P45="N")*12+($J45:$P45="NT")*6+($J45:$P45="C")*10+($J45:$P45="A")*8+($J45:$P45="J")*5+($J45:$P45="CEP")*4+($J45:$P45="CP")*6+($J45:$P45="CRO")*6+($J45:$P45="M+")*6+($J45:$P45="T+")*6+($J45:$P45="D+")*12+($J45:$P45="N+")*12+($J45:$P45="Dm+")*12+($J45:$P45="Dt+")*12+($J45:$P45="Tm-")*6+($J45:$P45="Mt-")*6)</f>
        <v/>
      </c>
      <c r="AW45" s="118">
        <f>AV45-MAX(0,IFERROR(INDEX(CADASTRO!$I$4:$I$80,MATCH($A45,CADASTRO!$A$4:$A$80,0)),$B45)-CONFIG!$B$50*(COUNTIF($J45:$P45,"AB")+COUNTIF($J45:$P45,"FE")+COUNTIF($J45:$P45,"LM")))</f>
        <v/>
      </c>
      <c r="AX45" s="117">
        <f>SUMPRODUCT(($Q45:$W45="M")*6+($Q45:$W45="T")*6+($Q45:$W45="D")*12+($Q45:$W45="N")*12+($Q45:$W45="NT")*6+($Q45:$W45="C")*10+($Q45:$W45="A")*8+($Q45:$W45="J")*5+($Q45:$W45="CEP")*4+($Q45:$W45="CP")*6+($Q45:$W45="CRO")*6+($Q45:$W45="M+")*6+($Q45:$W45="T+")*6+($Q45:$W45="D+")*12+($Q45:$W45="N+")*12+($Q45:$W45="Dm+")*12+($Q45:$W45="Dt+")*12+($Q45:$W45="Tm-")*6+($Q45:$W45="Mt-")*6)</f>
        <v/>
      </c>
      <c r="AY45" s="118">
        <f>AX45-MAX(0,IFERROR(INDEX(CADASTRO!$I$4:$I$80,MATCH($A45,CADASTRO!$A$4:$A$80,0)),$B45)-CONFIG!$B$50*(COUNTIF($Q45:$W45,"AB")+COUNTIF($Q45:$W45,"FE")+COUNTIF($Q45:$W45,"LM")))</f>
        <v/>
      </c>
      <c r="AZ45" s="117">
        <f>SUMPRODUCT(($X45:$AD45="M")*6+($X45:$AD45="T")*6+($X45:$AD45="D")*12+($X45:$AD45="N")*12+($X45:$AD45="NT")*6+($X45:$AD45="C")*10+($X45:$AD45="A")*8+($X45:$AD45="J")*5+($X45:$AD45="CEP")*4+($X45:$AD45="CP")*6+($X45:$AD45="CRO")*6+($X45:$AD45="M+")*6+($X45:$AD45="T+")*6+($X45:$AD45="D+")*12+($X45:$AD45="N+")*12+($X45:$AD45="Dm+")*12+($X45:$AD45="Dt+")*12+($X45:$AD45="Tm-")*6+($X45:$AD45="Mt-")*6)</f>
        <v/>
      </c>
      <c r="BA45" s="118">
        <f>AZ45-MAX(0,IFERROR(INDEX(CADASTRO!$I$4:$I$80,MATCH($A45,CADASTRO!$A$4:$A$80,0)),$B45)-CONFIG!$B$50*(COUNTIF($X45:$AD45,"AB")+COUNTIF($X45:$AD45,"FE")+COUNTIF($X45:$AD45,"LM")))</f>
        <v/>
      </c>
      <c r="BB45" s="117">
        <f>SUMPRODUCT(($AE45:$AJ45="M")*6+($AE45:$AJ45="T")*6+($AE45:$AJ45="D")*12+($AE45:$AJ45="N")*12+($AE45:$AJ45="NT")*6+($AE45:$AJ45="C")*10+($AE45:$AJ45="A")*8+($AE45:$AJ45="J")*5+($AE45:$AJ45="CEP")*4+($AE45:$AJ45="CP")*6+($AE45:$AJ45="CRO")*6+($AE45:$AJ45="M+")*6+($AE45:$AJ45="T+")*6+($AE45:$AJ45="D+")*12+($AE45:$AJ45="N+")*12+($AE45:$AJ45="Dm+")*12+($AE45:$AJ45="Dt+")*12+($AE45:$AJ45="Tm-")*6+($AE45:$AJ45="Mt-")*6)+SUMPRODUCT(($AN45:$AN45="M")*6+($AN45:$AN45="T")*6+($AN45:$AN45="D")*12+($AN45:$AN45="N")*12+($AN45:$AN45="NT")*6+($AN45:$AN45="C")*10+($AN45:$AN45="A")*8+($AN45:$AN45="J")*5+($AN45:$AN45="CEP")*4+($AN45:$AN45="CP")*6+($AN45:$AN45="CRO")*6+($AN45:$AN45="M+")*6+($AN45:$AN45="T+")*6+($AN45:$AN45="D+")*12+($AN45:$AN45="N+")*12+($AN45:$AN45="Dm+")*12+($AN45:$AN45="Dt+")*12+($AN45:$AN45="Tm-")*6+($AN45:$AN45="Mt-")*6)</f>
        <v/>
      </c>
      <c r="BC45" s="118">
        <f>BB45-MAX(0,IFERROR(INDEX(CADASTRO!$I$4:$I$80,MATCH($A45,CADASTRO!$A$4:$A$80,0)),$B45)-CONFIG!$B$50*(COUNTIF($AE45:$AJ45,"AB")+COUNTIF($AE45:$AJ45,"FE")+COUNTIF($AE45:$AJ45,"LM")+COUNTIF($AN45:$AN45,"AB")+COUNTIF($AN45:$AN45,"FE")+COUNTIF($AN45:$AN45,"LM")))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ROUND(B45*4.0,0)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36">
        <f>IFERROR(INDEX(JAN!AH$8:AH$73,MATCH($A46,JAN!$A$8:$A$73,0))&amp;"","")</f>
        <v/>
      </c>
      <c r="D46" s="136">
        <f>IFERROR(INDEX(JAN!AI$8:AI$73,MATCH($A46,JAN!$A$8:$A$73,0))&amp;"","")</f>
        <v/>
      </c>
      <c r="E46" s="136">
        <f>IFERROR(INDEX(JAN!AJ$8:AJ$73,MATCH($A46,JAN!$A$8:$A$73,0))&amp;"","")</f>
        <v/>
      </c>
      <c r="F46" s="136">
        <f>IFERROR(INDEX(JAN!AK$8:AK$73,MATCH($A46,JAN!$A$8:$A$73,0))&amp;"","")</f>
        <v/>
      </c>
      <c r="G46" s="136">
        <f>IFERROR(INDEX(JAN!AL$8:AL$73,MATCH($A46,JAN!$A$8:$A$73,0))&amp;"","")</f>
        <v/>
      </c>
      <c r="H46" s="116">
        <f>IFERROR(INDEX(JAN!AM$8:AM$73,MATCH($A46,JAN!$A$8:$A$73,0))&amp;"","")</f>
        <v/>
      </c>
      <c r="I46" s="124" t="inlineStr">
        <is>
          <t>D</t>
        </is>
      </c>
      <c r="J46" s="114" t="n"/>
      <c r="K46" s="124" t="inlineStr">
        <is>
          <t>D</t>
        </is>
      </c>
      <c r="L46" s="124" t="inlineStr">
        <is>
          <t>D</t>
        </is>
      </c>
      <c r="M46" s="114" t="n"/>
      <c r="N46" s="114" t="n"/>
      <c r="O46" s="114" t="n"/>
      <c r="P46" s="114" t="n"/>
      <c r="Q46" s="114" t="n"/>
      <c r="R46" s="124" t="inlineStr">
        <is>
          <t>D</t>
        </is>
      </c>
      <c r="S46" s="115" t="inlineStr">
        <is>
          <t>M</t>
        </is>
      </c>
      <c r="T46" s="114" t="n"/>
      <c r="U46" s="126" t="inlineStr">
        <is>
          <t>T</t>
        </is>
      </c>
      <c r="V46" s="114" t="n"/>
      <c r="W46" s="123" t="inlineStr">
        <is>
          <t>T+</t>
        </is>
      </c>
      <c r="X46" s="114" t="n"/>
      <c r="Y46" s="124" t="inlineStr">
        <is>
          <t>D</t>
        </is>
      </c>
      <c r="Z46" s="114" t="n"/>
      <c r="AA46" s="114" t="n"/>
      <c r="AB46" s="114" t="n"/>
      <c r="AC46" s="114" t="n"/>
      <c r="AD46" s="125" t="inlineStr">
        <is>
          <t>N</t>
        </is>
      </c>
      <c r="AE46" s="114" t="n"/>
      <c r="AF46" s="124" t="inlineStr">
        <is>
          <t>D</t>
        </is>
      </c>
      <c r="AG46" s="124" t="inlineStr">
        <is>
          <t>D</t>
        </is>
      </c>
      <c r="AH46" s="114" t="n"/>
      <c r="AI46" s="114" t="n"/>
      <c r="AJ46" s="114" t="n"/>
      <c r="AK46" s="100" t="n"/>
      <c r="AL46" s="100" t="n"/>
      <c r="AM46" s="100" t="n"/>
      <c r="AN46" s="116">
        <f>IFERROR(INDEX(MAR!I$8:I$73,MATCH($A46,MAR!$A$8:$A$73,0))&amp;"","")</f>
        <v/>
      </c>
      <c r="AO46" s="100" t="n"/>
      <c r="AP46" s="100" t="n"/>
      <c r="AQ46" s="100" t="n"/>
      <c r="AR46" s="100" t="n"/>
      <c r="AS46" s="100" t="n"/>
      <c r="AT46" s="117">
        <f>SUMPRODUCT(($C46:$I46="M")*6+($C46:$I46="T")*6+($C46:$I46="D")*12+($C46:$I46="N")*12+($C46:$I46="NT")*6+($C46:$I46="C")*10+($C46:$I46="A")*8+($C46:$I46="J")*5+($C46:$I46="CEP")*4+($C46:$I46="CP")*6+($C46:$I46="CRO")*6+($C46:$I46="M+")*6+($C46:$I46="T+")*6+($C46:$I46="D+")*12+($C46:$I46="N+")*12+($C46:$I46="Dm+")*12+($C46:$I46="Dt+")*12+($C46:$I46="Tm-")*6+($C46:$I46="Mt-")*6)</f>
        <v/>
      </c>
      <c r="AU46" s="118">
        <f>AT46-MAX(0,IFERROR(INDEX(CADASTRO!$I$4:$I$80,MATCH($A46,CADASTRO!$A$4:$A$80,0)),$B46)-CONFIG!$B$50*(COUNTIF($C46:$I46,"AB")+COUNTIF($C46:$I46,"FE")+COUNTIF($C46:$I46,"LM")))</f>
        <v/>
      </c>
      <c r="AV46" s="117">
        <f>SUMPRODUCT(($J46:$P46="M")*6+($J46:$P46="T")*6+($J46:$P46="D")*12+($J46:$P46="N")*12+($J46:$P46="NT")*6+($J46:$P46="C")*10+($J46:$P46="A")*8+($J46:$P46="J")*5+($J46:$P46="CEP")*4+($J46:$P46="CP")*6+($J46:$P46="CRO")*6+($J46:$P46="M+")*6+($J46:$P46="T+")*6+($J46:$P46="D+")*12+($J46:$P46="N+")*12+($J46:$P46="Dm+")*12+($J46:$P46="Dt+")*12+($J46:$P46="Tm-")*6+($J46:$P46="Mt-")*6)</f>
        <v/>
      </c>
      <c r="AW46" s="118">
        <f>AV46-MAX(0,IFERROR(INDEX(CADASTRO!$I$4:$I$80,MATCH($A46,CADASTRO!$A$4:$A$80,0)),$B46)-CONFIG!$B$50*(COUNTIF($J46:$P46,"AB")+COUNTIF($J46:$P46,"FE")+COUNTIF($J46:$P46,"LM")))</f>
        <v/>
      </c>
      <c r="AX46" s="117">
        <f>SUMPRODUCT(($Q46:$W46="M")*6+($Q46:$W46="T")*6+($Q46:$W46="D")*12+($Q46:$W46="N")*12+($Q46:$W46="NT")*6+($Q46:$W46="C")*10+($Q46:$W46="A")*8+($Q46:$W46="J")*5+($Q46:$W46="CEP")*4+($Q46:$W46="CP")*6+($Q46:$W46="CRO")*6+($Q46:$W46="M+")*6+($Q46:$W46="T+")*6+($Q46:$W46="D+")*12+($Q46:$W46="N+")*12+($Q46:$W46="Dm+")*12+($Q46:$W46="Dt+")*12+($Q46:$W46="Tm-")*6+($Q46:$W46="Mt-")*6)</f>
        <v/>
      </c>
      <c r="AY46" s="118">
        <f>AX46-MAX(0,IFERROR(INDEX(CADASTRO!$I$4:$I$80,MATCH($A46,CADASTRO!$A$4:$A$80,0)),$B46)-CONFIG!$B$50*(COUNTIF($Q46:$W46,"AB")+COUNTIF($Q46:$W46,"FE")+COUNTIF($Q46:$W46,"LM")))</f>
        <v/>
      </c>
      <c r="AZ46" s="117">
        <f>SUMPRODUCT(($X46:$AD46="M")*6+($X46:$AD46="T")*6+($X46:$AD46="D")*12+($X46:$AD46="N")*12+($X46:$AD46="NT")*6+($X46:$AD46="C")*10+($X46:$AD46="A")*8+($X46:$AD46="J")*5+($X46:$AD46="CEP")*4+($X46:$AD46="CP")*6+($X46:$AD46="CRO")*6+($X46:$AD46="M+")*6+($X46:$AD46="T+")*6+($X46:$AD46="D+")*12+($X46:$AD46="N+")*12+($X46:$AD46="Dm+")*12+($X46:$AD46="Dt+")*12+($X46:$AD46="Tm-")*6+($X46:$AD46="Mt-")*6)</f>
        <v/>
      </c>
      <c r="BA46" s="118">
        <f>AZ46-MAX(0,IFERROR(INDEX(CADASTRO!$I$4:$I$80,MATCH($A46,CADASTRO!$A$4:$A$80,0)),$B46)-CONFIG!$B$50*(COUNTIF($X46:$AD46,"AB")+COUNTIF($X46:$AD46,"FE")+COUNTIF($X46:$AD46,"LM")))</f>
        <v/>
      </c>
      <c r="BB46" s="117">
        <f>SUMPRODUCT(($AE46:$AJ46="M")*6+($AE46:$AJ46="T")*6+($AE46:$AJ46="D")*12+($AE46:$AJ46="N")*12+($AE46:$AJ46="NT")*6+($AE46:$AJ46="C")*10+($AE46:$AJ46="A")*8+($AE46:$AJ46="J")*5+($AE46:$AJ46="CEP")*4+($AE46:$AJ46="CP")*6+($AE46:$AJ46="CRO")*6+($AE46:$AJ46="M+")*6+($AE46:$AJ46="T+")*6+($AE46:$AJ46="D+")*12+($AE46:$AJ46="N+")*12+($AE46:$AJ46="Dm+")*12+($AE46:$AJ46="Dt+")*12+($AE46:$AJ46="Tm-")*6+($AE46:$AJ46="Mt-")*6)+SUMPRODUCT(($AN46:$AN46="M")*6+($AN46:$AN46="T")*6+($AN46:$AN46="D")*12+($AN46:$AN46="N")*12+($AN46:$AN46="NT")*6+($AN46:$AN46="C")*10+($AN46:$AN46="A")*8+($AN46:$AN46="J")*5+($AN46:$AN46="CEP")*4+($AN46:$AN46="CP")*6+($AN46:$AN46="CRO")*6+($AN46:$AN46="M+")*6+($AN46:$AN46="T+")*6+($AN46:$AN46="D+")*12+($AN46:$AN46="N+")*12+($AN46:$AN46="Dm+")*12+($AN46:$AN46="Dt+")*12+($AN46:$AN46="Tm-")*6+($AN46:$AN46="Mt-")*6)</f>
        <v/>
      </c>
      <c r="BC46" s="118">
        <f>BB46-MAX(0,IFERROR(INDEX(CADASTRO!$I$4:$I$80,MATCH($A46,CADASTRO!$A$4:$A$80,0)),$B46)-CONFIG!$B$50*(COUNTIF($AE46:$AJ46,"AB")+COUNTIF($AE46:$AJ46,"FE")+COUNTIF($AE46:$AJ46,"LM")+COUNTIF($AN46:$AN46,"AB")+COUNTIF($AN46:$AN46,"FE")+COUNTIF($AN46:$AN46,"LM")))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ROUND(B46*4.0,0)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36">
        <f>IFERROR(INDEX(JAN!AH$8:AH$73,MATCH($A47,JAN!$A$8:$A$73,0))&amp;"","")</f>
        <v/>
      </c>
      <c r="D47" s="136">
        <f>IFERROR(INDEX(JAN!AI$8:AI$73,MATCH($A47,JAN!$A$8:$A$73,0))&amp;"","")</f>
        <v/>
      </c>
      <c r="E47" s="136">
        <f>IFERROR(INDEX(JAN!AJ$8:AJ$73,MATCH($A47,JAN!$A$8:$A$73,0))&amp;"","")</f>
        <v/>
      </c>
      <c r="F47" s="136">
        <f>IFERROR(INDEX(JAN!AK$8:AK$73,MATCH($A47,JAN!$A$8:$A$73,0))&amp;"","")</f>
        <v/>
      </c>
      <c r="G47" s="136">
        <f>IFERROR(INDEX(JAN!AL$8:AL$73,MATCH($A47,JAN!$A$8:$A$73,0))&amp;"","")</f>
        <v/>
      </c>
      <c r="H47" s="116">
        <f>IFERROR(INDEX(JAN!AM$8:AM$73,MATCH($A47,JAN!$A$8:$A$73,0))&amp;"","")</f>
        <v/>
      </c>
      <c r="I47" s="114" t="n"/>
      <c r="J47" s="114" t="n"/>
      <c r="K47" s="126" t="inlineStr">
        <is>
          <t>T</t>
        </is>
      </c>
      <c r="L47" s="114" t="n"/>
      <c r="M47" s="126" t="inlineStr">
        <is>
          <t>T</t>
        </is>
      </c>
      <c r="N47" s="125" t="inlineStr">
        <is>
          <t>N</t>
        </is>
      </c>
      <c r="O47" s="114" t="n"/>
      <c r="P47" s="114" t="n"/>
      <c r="Q47" s="114" t="n"/>
      <c r="R47" s="114" t="n"/>
      <c r="S47" s="114" t="n"/>
      <c r="T47" s="114" t="n"/>
      <c r="U47" s="125" t="inlineStr">
        <is>
          <t>N</t>
        </is>
      </c>
      <c r="V47" s="114" t="n"/>
      <c r="W47" s="125" t="inlineStr">
        <is>
          <t>N</t>
        </is>
      </c>
      <c r="X47" s="114" t="n"/>
      <c r="Y47" s="126" t="inlineStr">
        <is>
          <t>T</t>
        </is>
      </c>
      <c r="Z47" s="126" t="inlineStr">
        <is>
          <t>T</t>
        </is>
      </c>
      <c r="AA47" s="114" t="n"/>
      <c r="AB47" s="126" t="inlineStr">
        <is>
          <t>T</t>
        </is>
      </c>
      <c r="AC47" s="114" t="n"/>
      <c r="AD47" s="126" t="inlineStr">
        <is>
          <t>T</t>
        </is>
      </c>
      <c r="AE47" s="114" t="n"/>
      <c r="AF47" s="114" t="n"/>
      <c r="AG47" s="126" t="inlineStr">
        <is>
          <t>T</t>
        </is>
      </c>
      <c r="AH47" s="114" t="n"/>
      <c r="AI47" s="126" t="inlineStr">
        <is>
          <t>T</t>
        </is>
      </c>
      <c r="AJ47" s="114" t="n"/>
      <c r="AK47" s="100" t="n"/>
      <c r="AL47" s="100" t="n"/>
      <c r="AM47" s="100" t="n"/>
      <c r="AN47" s="116">
        <f>IFERROR(INDEX(MAR!I$8:I$73,MATCH($A47,MAR!$A$8:$A$73,0))&amp;"","")</f>
        <v/>
      </c>
      <c r="AO47" s="100" t="n"/>
      <c r="AP47" s="100" t="n"/>
      <c r="AQ47" s="100" t="n"/>
      <c r="AR47" s="100" t="n"/>
      <c r="AS47" s="100" t="n"/>
      <c r="AT47" s="117">
        <f>SUMPRODUCT(($C47:$I47="M")*6+($C47:$I47="T")*6+($C47:$I47="D")*12+($C47:$I47="N")*12+($C47:$I47="NT")*6+($C47:$I47="C")*10+($C47:$I47="A")*8+($C47:$I47="J")*5+($C47:$I47="CEP")*4+($C47:$I47="CP")*6+($C47:$I47="CRO")*6+($C47:$I47="M+")*6+($C47:$I47="T+")*6+($C47:$I47="D+")*12+($C47:$I47="N+")*12+($C47:$I47="Dm+")*12+($C47:$I47="Dt+")*12+($C47:$I47="Tm-")*6+($C47:$I47="Mt-")*6)</f>
        <v/>
      </c>
      <c r="AU47" s="118">
        <f>AT47-MAX(0,IFERROR(INDEX(CADASTRO!$I$4:$I$80,MATCH($A47,CADASTRO!$A$4:$A$80,0)),$B47)-CONFIG!$B$50*(COUNTIF($C47:$I47,"AB")+COUNTIF($C47:$I47,"FE")+COUNTIF($C47:$I47,"LM")))</f>
        <v/>
      </c>
      <c r="AV47" s="117">
        <f>SUMPRODUCT(($J47:$P47="M")*6+($J47:$P47="T")*6+($J47:$P47="D")*12+($J47:$P47="N")*12+($J47:$P47="NT")*6+($J47:$P47="C")*10+($J47:$P47="A")*8+($J47:$P47="J")*5+($J47:$P47="CEP")*4+($J47:$P47="CP")*6+($J47:$P47="CRO")*6+($J47:$P47="M+")*6+($J47:$P47="T+")*6+($J47:$P47="D+")*12+($J47:$P47="N+")*12+($J47:$P47="Dm+")*12+($J47:$P47="Dt+")*12+($J47:$P47="Tm-")*6+($J47:$P47="Mt-")*6)</f>
        <v/>
      </c>
      <c r="AW47" s="118">
        <f>AV47-MAX(0,IFERROR(INDEX(CADASTRO!$I$4:$I$80,MATCH($A47,CADASTRO!$A$4:$A$80,0)),$B47)-CONFIG!$B$50*(COUNTIF($J47:$P47,"AB")+COUNTIF($J47:$P47,"FE")+COUNTIF($J47:$P47,"LM")))</f>
        <v/>
      </c>
      <c r="AX47" s="117">
        <f>SUMPRODUCT(($Q47:$W47="M")*6+($Q47:$W47="T")*6+($Q47:$W47="D")*12+($Q47:$W47="N")*12+($Q47:$W47="NT")*6+($Q47:$W47="C")*10+($Q47:$W47="A")*8+($Q47:$W47="J")*5+($Q47:$W47="CEP")*4+($Q47:$W47="CP")*6+($Q47:$W47="CRO")*6+($Q47:$W47="M+")*6+($Q47:$W47="T+")*6+($Q47:$W47="D+")*12+($Q47:$W47="N+")*12+($Q47:$W47="Dm+")*12+($Q47:$W47="Dt+")*12+($Q47:$W47="Tm-")*6+($Q47:$W47="Mt-")*6)</f>
        <v/>
      </c>
      <c r="AY47" s="118">
        <f>AX47-MAX(0,IFERROR(INDEX(CADASTRO!$I$4:$I$80,MATCH($A47,CADASTRO!$A$4:$A$80,0)),$B47)-CONFIG!$B$50*(COUNTIF($Q47:$W47,"AB")+COUNTIF($Q47:$W47,"FE")+COUNTIF($Q47:$W47,"LM")))</f>
        <v/>
      </c>
      <c r="AZ47" s="117">
        <f>SUMPRODUCT(($X47:$AD47="M")*6+($X47:$AD47="T")*6+($X47:$AD47="D")*12+($X47:$AD47="N")*12+($X47:$AD47="NT")*6+($X47:$AD47="C")*10+($X47:$AD47="A")*8+($X47:$AD47="J")*5+($X47:$AD47="CEP")*4+($X47:$AD47="CP")*6+($X47:$AD47="CRO")*6+($X47:$AD47="M+")*6+($X47:$AD47="T+")*6+($X47:$AD47="D+")*12+($X47:$AD47="N+")*12+($X47:$AD47="Dm+")*12+($X47:$AD47="Dt+")*12+($X47:$AD47="Tm-")*6+($X47:$AD47="Mt-")*6)</f>
        <v/>
      </c>
      <c r="BA47" s="118">
        <f>AZ47-MAX(0,IFERROR(INDEX(CADASTRO!$I$4:$I$80,MATCH($A47,CADASTRO!$A$4:$A$80,0)),$B47)-CONFIG!$B$50*(COUNTIF($X47:$AD47,"AB")+COUNTIF($X47:$AD47,"FE")+COUNTIF($X47:$AD47,"LM")))</f>
        <v/>
      </c>
      <c r="BB47" s="117">
        <f>SUMPRODUCT(($AE47:$AJ47="M")*6+($AE47:$AJ47="T")*6+($AE47:$AJ47="D")*12+($AE47:$AJ47="N")*12+($AE47:$AJ47="NT")*6+($AE47:$AJ47="C")*10+($AE47:$AJ47="A")*8+($AE47:$AJ47="J")*5+($AE47:$AJ47="CEP")*4+($AE47:$AJ47="CP")*6+($AE47:$AJ47="CRO")*6+($AE47:$AJ47="M+")*6+($AE47:$AJ47="T+")*6+($AE47:$AJ47="D+")*12+($AE47:$AJ47="N+")*12+($AE47:$AJ47="Dm+")*12+($AE47:$AJ47="Dt+")*12+($AE47:$AJ47="Tm-")*6+($AE47:$AJ47="Mt-")*6)+SUMPRODUCT(($AN47:$AN47="M")*6+($AN47:$AN47="T")*6+($AN47:$AN47="D")*12+($AN47:$AN47="N")*12+($AN47:$AN47="NT")*6+($AN47:$AN47="C")*10+($AN47:$AN47="A")*8+($AN47:$AN47="J")*5+($AN47:$AN47="CEP")*4+($AN47:$AN47="CP")*6+($AN47:$AN47="CRO")*6+($AN47:$AN47="M+")*6+($AN47:$AN47="T+")*6+($AN47:$AN47="D+")*12+($AN47:$AN47="N+")*12+($AN47:$AN47="Dm+")*12+($AN47:$AN47="Dt+")*12+($AN47:$AN47="Tm-")*6+($AN47:$AN47="Mt-")*6)</f>
        <v/>
      </c>
      <c r="BC47" s="118">
        <f>BB47-MAX(0,IFERROR(INDEX(CADASTRO!$I$4:$I$80,MATCH($A47,CADASTRO!$A$4:$A$80,0)),$B47)-CONFIG!$B$50*(COUNTIF($AE47:$AJ47,"AB")+COUNTIF($AE47:$AJ47,"FE")+COUNTIF($AE47:$AJ47,"LM")+COUNTIF($AN47:$AN47,"AB")+COUNTIF($AN47:$AN47,"FE")+COUNTIF($AN47:$AN47,"LM")))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ROUND(B47*4.0,0)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36">
        <f>IFERROR(INDEX(JAN!AH$8:AH$73,MATCH($A48,JAN!$A$8:$A$73,0))&amp;"","")</f>
        <v/>
      </c>
      <c r="D48" s="136">
        <f>IFERROR(INDEX(JAN!AI$8:AI$73,MATCH($A48,JAN!$A$8:$A$73,0))&amp;"","")</f>
        <v/>
      </c>
      <c r="E48" s="136">
        <f>IFERROR(INDEX(JAN!AJ$8:AJ$73,MATCH($A48,JAN!$A$8:$A$73,0))&amp;"","")</f>
        <v/>
      </c>
      <c r="F48" s="136">
        <f>IFERROR(INDEX(JAN!AK$8:AK$73,MATCH($A48,JAN!$A$8:$A$73,0))&amp;"","")</f>
        <v/>
      </c>
      <c r="G48" s="136">
        <f>IFERROR(INDEX(JAN!AL$8:AL$73,MATCH($A48,JAN!$A$8:$A$73,0))&amp;"","")</f>
        <v/>
      </c>
      <c r="H48" s="116">
        <f>IFERROR(INDEX(JAN!AM$8:AM$73,MATCH($A48,JAN!$A$8:$A$73,0))&amp;"","")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00" t="n"/>
      <c r="AL48" s="100" t="n"/>
      <c r="AM48" s="100" t="n"/>
      <c r="AN48" s="116">
        <f>IFERROR(INDEX(MAR!I$8:I$73,MATCH($A48,MAR!$A$8:$A$73,0))&amp;"","")</f>
        <v/>
      </c>
      <c r="AO48" s="100" t="n"/>
      <c r="AP48" s="100" t="n"/>
      <c r="AQ48" s="100" t="n"/>
      <c r="AR48" s="100" t="n"/>
      <c r="AS48" s="100" t="n"/>
      <c r="AT48" s="117">
        <f>SUMPRODUCT(($C48:$I48="M")*6+($C48:$I48="T")*6+($C48:$I48="D")*12+($C48:$I48="N")*12+($C48:$I48="NT")*6+($C48:$I48="C")*10+($C48:$I48="A")*8+($C48:$I48="J")*5+($C48:$I48="CEP")*4+($C48:$I48="CP")*6+($C48:$I48="CRO")*6+($C48:$I48="M+")*6+($C48:$I48="T+")*6+($C48:$I48="D+")*12+($C48:$I48="N+")*12+($C48:$I48="Dm+")*12+($C48:$I48="Dt+")*12+($C48:$I48="Tm-")*6+($C48:$I48="Mt-")*6)</f>
        <v/>
      </c>
      <c r="AU48" s="118">
        <f>AT48-MAX(0,IFERROR(INDEX(CADASTRO!$I$4:$I$80,MATCH($A48,CADASTRO!$A$4:$A$80,0)),$B48)-CONFIG!$B$50*(COUNTIF($C48:$I48,"AB")+COUNTIF($C48:$I48,"FE")+COUNTIF($C48:$I48,"LM")))</f>
        <v/>
      </c>
      <c r="AV48" s="117">
        <f>SUMPRODUCT(($J48:$P48="M")*6+($J48:$P48="T")*6+($J48:$P48="D")*12+($J48:$P48="N")*12+($J48:$P48="NT")*6+($J48:$P48="C")*10+($J48:$P48="A")*8+($J48:$P48="J")*5+($J48:$P48="CEP")*4+($J48:$P48="CP")*6+($J48:$P48="CRO")*6+($J48:$P48="M+")*6+($J48:$P48="T+")*6+($J48:$P48="D+")*12+($J48:$P48="N+")*12+($J48:$P48="Dm+")*12+($J48:$P48="Dt+")*12+($J48:$P48="Tm-")*6+($J48:$P48="Mt-")*6)</f>
        <v/>
      </c>
      <c r="AW48" s="118">
        <f>AV48-MAX(0,IFERROR(INDEX(CADASTRO!$I$4:$I$80,MATCH($A48,CADASTRO!$A$4:$A$80,0)),$B48)-CONFIG!$B$50*(COUNTIF($J48:$P48,"AB")+COUNTIF($J48:$P48,"FE")+COUNTIF($J48:$P48,"LM")))</f>
        <v/>
      </c>
      <c r="AX48" s="117">
        <f>SUMPRODUCT(($Q48:$W48="M")*6+($Q48:$W48="T")*6+($Q48:$W48="D")*12+($Q48:$W48="N")*12+($Q48:$W48="NT")*6+($Q48:$W48="C")*10+($Q48:$W48="A")*8+($Q48:$W48="J")*5+($Q48:$W48="CEP")*4+($Q48:$W48="CP")*6+($Q48:$W48="CRO")*6+($Q48:$W48="M+")*6+($Q48:$W48="T+")*6+($Q48:$W48="D+")*12+($Q48:$W48="N+")*12+($Q48:$W48="Dm+")*12+($Q48:$W48="Dt+")*12+($Q48:$W48="Tm-")*6+($Q48:$W48="Mt-")*6)</f>
        <v/>
      </c>
      <c r="AY48" s="118">
        <f>AX48-MAX(0,IFERROR(INDEX(CADASTRO!$I$4:$I$80,MATCH($A48,CADASTRO!$A$4:$A$80,0)),$B48)-CONFIG!$B$50*(COUNTIF($Q48:$W48,"AB")+COUNTIF($Q48:$W48,"FE")+COUNTIF($Q48:$W48,"LM")))</f>
        <v/>
      </c>
      <c r="AZ48" s="117">
        <f>SUMPRODUCT(($X48:$AD48="M")*6+($X48:$AD48="T")*6+($X48:$AD48="D")*12+($X48:$AD48="N")*12+($X48:$AD48="NT")*6+($X48:$AD48="C")*10+($X48:$AD48="A")*8+($X48:$AD48="J")*5+($X48:$AD48="CEP")*4+($X48:$AD48="CP")*6+($X48:$AD48="CRO")*6+($X48:$AD48="M+")*6+($X48:$AD48="T+")*6+($X48:$AD48="D+")*12+($X48:$AD48="N+")*12+($X48:$AD48="Dm+")*12+($X48:$AD48="Dt+")*12+($X48:$AD48="Tm-")*6+($X48:$AD48="Mt-")*6)</f>
        <v/>
      </c>
      <c r="BA48" s="118">
        <f>AZ48-MAX(0,IFERROR(INDEX(CADASTRO!$I$4:$I$80,MATCH($A48,CADASTRO!$A$4:$A$80,0)),$B48)-CONFIG!$B$50*(COUNTIF($X48:$AD48,"AB")+COUNTIF($X48:$AD48,"FE")+COUNTIF($X48:$AD48,"LM")))</f>
        <v/>
      </c>
      <c r="BB48" s="117">
        <f>SUMPRODUCT(($AE48:$AJ48="M")*6+($AE48:$AJ48="T")*6+($AE48:$AJ48="D")*12+($AE48:$AJ48="N")*12+($AE48:$AJ48="NT")*6+($AE48:$AJ48="C")*10+($AE48:$AJ48="A")*8+($AE48:$AJ48="J")*5+($AE48:$AJ48="CEP")*4+($AE48:$AJ48="CP")*6+($AE48:$AJ48="CRO")*6+($AE48:$AJ48="M+")*6+($AE48:$AJ48="T+")*6+($AE48:$AJ48="D+")*12+($AE48:$AJ48="N+")*12+($AE48:$AJ48="Dm+")*12+($AE48:$AJ48="Dt+")*12+($AE48:$AJ48="Tm-")*6+($AE48:$AJ48="Mt-")*6)+SUMPRODUCT(($AN48:$AN48="M")*6+($AN48:$AN48="T")*6+($AN48:$AN48="D")*12+($AN48:$AN48="N")*12+($AN48:$AN48="NT")*6+($AN48:$AN48="C")*10+($AN48:$AN48="A")*8+($AN48:$AN48="J")*5+($AN48:$AN48="CEP")*4+($AN48:$AN48="CP")*6+($AN48:$AN48="CRO")*6+($AN48:$AN48="M+")*6+($AN48:$AN48="T+")*6+($AN48:$AN48="D+")*12+($AN48:$AN48="N+")*12+($AN48:$AN48="Dm+")*12+($AN48:$AN48="Dt+")*12+($AN48:$AN48="Tm-")*6+($AN48:$AN48="Mt-")*6)</f>
        <v/>
      </c>
      <c r="BC48" s="118">
        <f>BB48-MAX(0,IFERROR(INDEX(CADASTRO!$I$4:$I$80,MATCH($A48,CADASTRO!$A$4:$A$80,0)),$B48)-CONFIG!$B$50*(COUNTIF($AE48:$AJ48,"AB")+COUNTIF($AE48:$AJ48,"FE")+COUNTIF($AE48:$AJ48,"LM")+COUNTIF($AN48:$AN48,"AB")+COUNTIF($AN48:$AN48,"FE")+COUNTIF($AN48:$AN48,"LM")))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ROUND(B48*4.0,0)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36">
        <f>IFERROR(INDEX(JAN!AH$8:AH$73,MATCH($A49,JAN!$A$8:$A$73,0))&amp;"","")</f>
        <v/>
      </c>
      <c r="D49" s="136">
        <f>IFERROR(INDEX(JAN!AI$8:AI$73,MATCH($A49,JAN!$A$8:$A$73,0))&amp;"","")</f>
        <v/>
      </c>
      <c r="E49" s="136">
        <f>IFERROR(INDEX(JAN!AJ$8:AJ$73,MATCH($A49,JAN!$A$8:$A$73,0))&amp;"","")</f>
        <v/>
      </c>
      <c r="F49" s="136">
        <f>IFERROR(INDEX(JAN!AK$8:AK$73,MATCH($A49,JAN!$A$8:$A$73,0))&amp;"","")</f>
        <v/>
      </c>
      <c r="G49" s="136">
        <f>IFERROR(INDEX(JAN!AL$8:AL$73,MATCH($A49,JAN!$A$8:$A$73,0))&amp;"","")</f>
        <v/>
      </c>
      <c r="H49" s="116">
        <f>IFERROR(INDEX(JAN!AM$8:AM$73,MATCH($A49,JAN!$A$8:$A$73,0))&amp;"","")</f>
        <v/>
      </c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26" t="inlineStr">
        <is>
          <t>T</t>
        </is>
      </c>
      <c r="AA49" s="114" t="n"/>
      <c r="AB49" s="126" t="inlineStr">
        <is>
          <t>T</t>
        </is>
      </c>
      <c r="AC49" s="114" t="n"/>
      <c r="AD49" s="124" t="inlineStr">
        <is>
          <t>D</t>
        </is>
      </c>
      <c r="AE49" s="125" t="inlineStr">
        <is>
          <t>N</t>
        </is>
      </c>
      <c r="AF49" s="114" t="n"/>
      <c r="AG49" s="126" t="inlineStr">
        <is>
          <t>T</t>
        </is>
      </c>
      <c r="AH49" s="114" t="n"/>
      <c r="AI49" s="126" t="inlineStr">
        <is>
          <t>T</t>
        </is>
      </c>
      <c r="AJ49" s="114" t="n"/>
      <c r="AK49" s="100" t="n"/>
      <c r="AL49" s="100" t="n"/>
      <c r="AM49" s="100" t="n"/>
      <c r="AN49" s="116">
        <f>IFERROR(INDEX(MAR!I$8:I$73,MATCH($A49,MAR!$A$8:$A$73,0))&amp;"","")</f>
        <v/>
      </c>
      <c r="AO49" s="100" t="n"/>
      <c r="AP49" s="100" t="n"/>
      <c r="AQ49" s="100" t="n"/>
      <c r="AR49" s="100" t="n"/>
      <c r="AS49" s="100" t="n"/>
      <c r="AT49" s="117">
        <f>SUMPRODUCT(($C49:$I49="M")*6+($C49:$I49="T")*6+($C49:$I49="D")*12+($C49:$I49="N")*12+($C49:$I49="NT")*6+($C49:$I49="C")*10+($C49:$I49="A")*8+($C49:$I49="J")*5+($C49:$I49="CEP")*4+($C49:$I49="CP")*6+($C49:$I49="CRO")*6+($C49:$I49="M+")*6+($C49:$I49="T+")*6+($C49:$I49="D+")*12+($C49:$I49="N+")*12+($C49:$I49="Dm+")*12+($C49:$I49="Dt+")*12+($C49:$I49="Tm-")*6+($C49:$I49="Mt-")*6)</f>
        <v/>
      </c>
      <c r="AU49" s="118">
        <f>AT49-MAX(0,IFERROR(INDEX(CADASTRO!$I$4:$I$80,MATCH($A49,CADASTRO!$A$4:$A$80,0)),$B49)-CONFIG!$B$50*(COUNTIF($C49:$I49,"AB")+COUNTIF($C49:$I49,"FE")+COUNTIF($C49:$I49,"LM")))</f>
        <v/>
      </c>
      <c r="AV49" s="117">
        <f>SUMPRODUCT(($J49:$P49="M")*6+($J49:$P49="T")*6+($J49:$P49="D")*12+($J49:$P49="N")*12+($J49:$P49="NT")*6+($J49:$P49="C")*10+($J49:$P49="A")*8+($J49:$P49="J")*5+($J49:$P49="CEP")*4+($J49:$P49="CP")*6+($J49:$P49="CRO")*6+($J49:$P49="M+")*6+($J49:$P49="T+")*6+($J49:$P49="D+")*12+($J49:$P49="N+")*12+($J49:$P49="Dm+")*12+($J49:$P49="Dt+")*12+($J49:$P49="Tm-")*6+($J49:$P49="Mt-")*6)</f>
        <v/>
      </c>
      <c r="AW49" s="118">
        <f>AV49-MAX(0,IFERROR(INDEX(CADASTRO!$I$4:$I$80,MATCH($A49,CADASTRO!$A$4:$A$80,0)),$B49)-CONFIG!$B$50*(COUNTIF($J49:$P49,"AB")+COUNTIF($J49:$P49,"FE")+COUNTIF($J49:$P49,"LM")))</f>
        <v/>
      </c>
      <c r="AX49" s="117">
        <f>SUMPRODUCT(($Q49:$W49="M")*6+($Q49:$W49="T")*6+($Q49:$W49="D")*12+($Q49:$W49="N")*12+($Q49:$W49="NT")*6+($Q49:$W49="C")*10+($Q49:$W49="A")*8+($Q49:$W49="J")*5+($Q49:$W49="CEP")*4+($Q49:$W49="CP")*6+($Q49:$W49="CRO")*6+($Q49:$W49="M+")*6+($Q49:$W49="T+")*6+($Q49:$W49="D+")*12+($Q49:$W49="N+")*12+($Q49:$W49="Dm+")*12+($Q49:$W49="Dt+")*12+($Q49:$W49="Tm-")*6+($Q49:$W49="Mt-")*6)</f>
        <v/>
      </c>
      <c r="AY49" s="118">
        <f>AX49-MAX(0,IFERROR(INDEX(CADASTRO!$I$4:$I$80,MATCH($A49,CADASTRO!$A$4:$A$80,0)),$B49)-CONFIG!$B$50*(COUNTIF($Q49:$W49,"AB")+COUNTIF($Q49:$W49,"FE")+COUNTIF($Q49:$W49,"LM")))</f>
        <v/>
      </c>
      <c r="AZ49" s="117">
        <f>SUMPRODUCT(($X49:$AD49="M")*6+($X49:$AD49="T")*6+($X49:$AD49="D")*12+($X49:$AD49="N")*12+($X49:$AD49="NT")*6+($X49:$AD49="C")*10+($X49:$AD49="A")*8+($X49:$AD49="J")*5+($X49:$AD49="CEP")*4+($X49:$AD49="CP")*6+($X49:$AD49="CRO")*6+($X49:$AD49="M+")*6+($X49:$AD49="T+")*6+($X49:$AD49="D+")*12+($X49:$AD49="N+")*12+($X49:$AD49="Dm+")*12+($X49:$AD49="Dt+")*12+($X49:$AD49="Tm-")*6+($X49:$AD49="Mt-")*6)</f>
        <v/>
      </c>
      <c r="BA49" s="118">
        <f>AZ49-MAX(0,IFERROR(INDEX(CADASTRO!$I$4:$I$80,MATCH($A49,CADASTRO!$A$4:$A$80,0)),$B49)-CONFIG!$B$50*(COUNTIF($X49:$AD49,"AB")+COUNTIF($X49:$AD49,"FE")+COUNTIF($X49:$AD49,"LM")))</f>
        <v/>
      </c>
      <c r="BB49" s="117">
        <f>SUMPRODUCT(($AE49:$AJ49="M")*6+($AE49:$AJ49="T")*6+($AE49:$AJ49="D")*12+($AE49:$AJ49="N")*12+($AE49:$AJ49="NT")*6+($AE49:$AJ49="C")*10+($AE49:$AJ49="A")*8+($AE49:$AJ49="J")*5+($AE49:$AJ49="CEP")*4+($AE49:$AJ49="CP")*6+($AE49:$AJ49="CRO")*6+($AE49:$AJ49="M+")*6+($AE49:$AJ49="T+")*6+($AE49:$AJ49="D+")*12+($AE49:$AJ49="N+")*12+($AE49:$AJ49="Dm+")*12+($AE49:$AJ49="Dt+")*12+($AE49:$AJ49="Tm-")*6+($AE49:$AJ49="Mt-")*6)+SUMPRODUCT(($AN49:$AN49="M")*6+($AN49:$AN49="T")*6+($AN49:$AN49="D")*12+($AN49:$AN49="N")*12+($AN49:$AN49="NT")*6+($AN49:$AN49="C")*10+($AN49:$AN49="A")*8+($AN49:$AN49="J")*5+($AN49:$AN49="CEP")*4+($AN49:$AN49="CP")*6+($AN49:$AN49="CRO")*6+($AN49:$AN49="M+")*6+($AN49:$AN49="T+")*6+($AN49:$AN49="D+")*12+($AN49:$AN49="N+")*12+($AN49:$AN49="Dm+")*12+($AN49:$AN49="Dt+")*12+($AN49:$AN49="Tm-")*6+($AN49:$AN49="Mt-")*6)</f>
        <v/>
      </c>
      <c r="BC49" s="118">
        <f>BB49-MAX(0,IFERROR(INDEX(CADASTRO!$I$4:$I$80,MATCH($A49,CADASTRO!$A$4:$A$80,0)),$B49)-CONFIG!$B$50*(COUNTIF($AE49:$AJ49,"AB")+COUNTIF($AE49:$AJ49,"FE")+COUNTIF($AE49:$AJ49,"LM")+COUNTIF($AN49:$AN49,"AB")+COUNTIF($AN49:$AN49,"FE")+COUNTIF($AN49:$AN49,"LM")))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ROUND(B49*4.0,0)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36">
        <f>IFERROR(INDEX(JAN!AH$8:AH$73,MATCH($A50,JAN!$A$8:$A$73,0))&amp;"","")</f>
        <v/>
      </c>
      <c r="D50" s="136">
        <f>IFERROR(INDEX(JAN!AI$8:AI$73,MATCH($A50,JAN!$A$8:$A$73,0))&amp;"","")</f>
        <v/>
      </c>
      <c r="E50" s="136">
        <f>IFERROR(INDEX(JAN!AJ$8:AJ$73,MATCH($A50,JAN!$A$8:$A$73,0))&amp;"","")</f>
        <v/>
      </c>
      <c r="F50" s="136">
        <f>IFERROR(INDEX(JAN!AK$8:AK$73,MATCH($A50,JAN!$A$8:$A$73,0))&amp;"","")</f>
        <v/>
      </c>
      <c r="G50" s="136">
        <f>IFERROR(INDEX(JAN!AL$8:AL$73,MATCH($A50,JAN!$A$8:$A$73,0))&amp;"","")</f>
        <v/>
      </c>
      <c r="H50" s="116">
        <f>IFERROR(INDEX(JAN!AM$8:AM$73,MATCH($A50,JAN!$A$8:$A$73,0))&amp;"","")</f>
        <v/>
      </c>
      <c r="I50" s="114" t="n"/>
      <c r="J50" s="126" t="inlineStr">
        <is>
          <t>T</t>
        </is>
      </c>
      <c r="K50" s="126" t="inlineStr">
        <is>
          <t>T</t>
        </is>
      </c>
      <c r="L50" s="114" t="n"/>
      <c r="M50" s="126" t="inlineStr">
        <is>
          <t>T</t>
        </is>
      </c>
      <c r="N50" s="126" t="inlineStr">
        <is>
          <t>T</t>
        </is>
      </c>
      <c r="O50" s="114" t="n"/>
      <c r="P50" s="114" t="n"/>
      <c r="Q50" s="114" t="n"/>
      <c r="R50" s="114" t="n"/>
      <c r="S50" s="114" t="n"/>
      <c r="T50" s="115" t="inlineStr">
        <is>
          <t>M</t>
        </is>
      </c>
      <c r="U50" s="126" t="inlineStr">
        <is>
          <t>T</t>
        </is>
      </c>
      <c r="V50" s="114" t="n"/>
      <c r="W50" s="124" t="inlineStr">
        <is>
          <t>D</t>
        </is>
      </c>
      <c r="X50" s="124" t="inlineStr">
        <is>
          <t>D</t>
        </is>
      </c>
      <c r="Y50" s="114" t="n"/>
      <c r="Z50" s="114" t="n"/>
      <c r="AA50" s="114" t="n"/>
      <c r="AB50" s="125" t="inlineStr">
        <is>
          <t>N</t>
        </is>
      </c>
      <c r="AC50" s="114" t="n"/>
      <c r="AD50" s="114" t="n"/>
      <c r="AE50" s="114" t="n"/>
      <c r="AF50" s="114" t="n"/>
      <c r="AG50" s="114" t="n"/>
      <c r="AH50" s="126" t="inlineStr">
        <is>
          <t>T</t>
        </is>
      </c>
      <c r="AI50" s="126" t="inlineStr">
        <is>
          <t>T</t>
        </is>
      </c>
      <c r="AJ50" s="125" t="inlineStr">
        <is>
          <t>N</t>
        </is>
      </c>
      <c r="AK50" s="100" t="n"/>
      <c r="AL50" s="100" t="n"/>
      <c r="AM50" s="100" t="n"/>
      <c r="AN50" s="116">
        <f>IFERROR(INDEX(MAR!I$8:I$73,MATCH($A50,MAR!$A$8:$A$73,0))&amp;"","")</f>
        <v/>
      </c>
      <c r="AO50" s="100" t="n"/>
      <c r="AP50" s="100" t="n"/>
      <c r="AQ50" s="100" t="n"/>
      <c r="AR50" s="100" t="n"/>
      <c r="AS50" s="100" t="n"/>
      <c r="AT50" s="117">
        <f>SUMPRODUCT(($C50:$I50="M")*6+($C50:$I50="T")*6+($C50:$I50="D")*12+($C50:$I50="N")*12+($C50:$I50="NT")*6+($C50:$I50="C")*10+($C50:$I50="A")*8+($C50:$I50="J")*5+($C50:$I50="CEP")*4+($C50:$I50="CP")*6+($C50:$I50="CRO")*6+($C50:$I50="M+")*6+($C50:$I50="T+")*6+($C50:$I50="D+")*12+($C50:$I50="N+")*12+($C50:$I50="Dm+")*12+($C50:$I50="Dt+")*12+($C50:$I50="Tm-")*6+($C50:$I50="Mt-")*6)</f>
        <v/>
      </c>
      <c r="AU50" s="118">
        <f>AT50-MAX(0,IFERROR(INDEX(CADASTRO!$I$4:$I$80,MATCH($A50,CADASTRO!$A$4:$A$80,0)),$B50)-CONFIG!$B$50*(COUNTIF($C50:$I50,"AB")+COUNTIF($C50:$I50,"FE")+COUNTIF($C50:$I50,"LM")))</f>
        <v/>
      </c>
      <c r="AV50" s="117">
        <f>SUMPRODUCT(($J50:$P50="M")*6+($J50:$P50="T")*6+($J50:$P50="D")*12+($J50:$P50="N")*12+($J50:$P50="NT")*6+($J50:$P50="C")*10+($J50:$P50="A")*8+($J50:$P50="J")*5+($J50:$P50="CEP")*4+($J50:$P50="CP")*6+($J50:$P50="CRO")*6+($J50:$P50="M+")*6+($J50:$P50="T+")*6+($J50:$P50="D+")*12+($J50:$P50="N+")*12+($J50:$P50="Dm+")*12+($J50:$P50="Dt+")*12+($J50:$P50="Tm-")*6+($J50:$P50="Mt-")*6)</f>
        <v/>
      </c>
      <c r="AW50" s="118">
        <f>AV50-MAX(0,IFERROR(INDEX(CADASTRO!$I$4:$I$80,MATCH($A50,CADASTRO!$A$4:$A$80,0)),$B50)-CONFIG!$B$50*(COUNTIF($J50:$P50,"AB")+COUNTIF($J50:$P50,"FE")+COUNTIF($J50:$P50,"LM")))</f>
        <v/>
      </c>
      <c r="AX50" s="117">
        <f>SUMPRODUCT(($Q50:$W50="M")*6+($Q50:$W50="T")*6+($Q50:$W50="D")*12+($Q50:$W50="N")*12+($Q50:$W50="NT")*6+($Q50:$W50="C")*10+($Q50:$W50="A")*8+($Q50:$W50="J")*5+($Q50:$W50="CEP")*4+($Q50:$W50="CP")*6+($Q50:$W50="CRO")*6+($Q50:$W50="M+")*6+($Q50:$W50="T+")*6+($Q50:$W50="D+")*12+($Q50:$W50="N+")*12+($Q50:$W50="Dm+")*12+($Q50:$W50="Dt+")*12+($Q50:$W50="Tm-")*6+($Q50:$W50="Mt-")*6)</f>
        <v/>
      </c>
      <c r="AY50" s="118">
        <f>AX50-MAX(0,IFERROR(INDEX(CADASTRO!$I$4:$I$80,MATCH($A50,CADASTRO!$A$4:$A$80,0)),$B50)-CONFIG!$B$50*(COUNTIF($Q50:$W50,"AB")+COUNTIF($Q50:$W50,"FE")+COUNTIF($Q50:$W50,"LM")))</f>
        <v/>
      </c>
      <c r="AZ50" s="117">
        <f>SUMPRODUCT(($X50:$AD50="M")*6+($X50:$AD50="T")*6+($X50:$AD50="D")*12+($X50:$AD50="N")*12+($X50:$AD50="NT")*6+($X50:$AD50="C")*10+($X50:$AD50="A")*8+($X50:$AD50="J")*5+($X50:$AD50="CEP")*4+($X50:$AD50="CP")*6+($X50:$AD50="CRO")*6+($X50:$AD50="M+")*6+($X50:$AD50="T+")*6+($X50:$AD50="D+")*12+($X50:$AD50="N+")*12+($X50:$AD50="Dm+")*12+($X50:$AD50="Dt+")*12+($X50:$AD50="Tm-")*6+($X50:$AD50="Mt-")*6)</f>
        <v/>
      </c>
      <c r="BA50" s="118">
        <f>AZ50-MAX(0,IFERROR(INDEX(CADASTRO!$I$4:$I$80,MATCH($A50,CADASTRO!$A$4:$A$80,0)),$B50)-CONFIG!$B$50*(COUNTIF($X50:$AD50,"AB")+COUNTIF($X50:$AD50,"FE")+COUNTIF($X50:$AD50,"LM")))</f>
        <v/>
      </c>
      <c r="BB50" s="117">
        <f>SUMPRODUCT(($AE50:$AJ50="M")*6+($AE50:$AJ50="T")*6+($AE50:$AJ50="D")*12+($AE50:$AJ50="N")*12+($AE50:$AJ50="NT")*6+($AE50:$AJ50="C")*10+($AE50:$AJ50="A")*8+($AE50:$AJ50="J")*5+($AE50:$AJ50="CEP")*4+($AE50:$AJ50="CP")*6+($AE50:$AJ50="CRO")*6+($AE50:$AJ50="M+")*6+($AE50:$AJ50="T+")*6+($AE50:$AJ50="D+")*12+($AE50:$AJ50="N+")*12+($AE50:$AJ50="Dm+")*12+($AE50:$AJ50="Dt+")*12+($AE50:$AJ50="Tm-")*6+($AE50:$AJ50="Mt-")*6)+SUMPRODUCT(($AN50:$AN50="M")*6+($AN50:$AN50="T")*6+($AN50:$AN50="D")*12+($AN50:$AN50="N")*12+($AN50:$AN50="NT")*6+($AN50:$AN50="C")*10+($AN50:$AN50="A")*8+($AN50:$AN50="J")*5+($AN50:$AN50="CEP")*4+($AN50:$AN50="CP")*6+($AN50:$AN50="CRO")*6+($AN50:$AN50="M+")*6+($AN50:$AN50="T+")*6+($AN50:$AN50="D+")*12+($AN50:$AN50="N+")*12+($AN50:$AN50="Dm+")*12+($AN50:$AN50="Dt+")*12+($AN50:$AN50="Tm-")*6+($AN50:$AN50="Mt-")*6)</f>
        <v/>
      </c>
      <c r="BC50" s="118">
        <f>BB50-MAX(0,IFERROR(INDEX(CADASTRO!$I$4:$I$80,MATCH($A50,CADASTRO!$A$4:$A$80,0)),$B50)-CONFIG!$B$50*(COUNTIF($AE50:$AJ50,"AB")+COUNTIF($AE50:$AJ50,"FE")+COUNTIF($AE50:$AJ50,"LM")+COUNTIF($AN50:$AN50,"AB")+COUNTIF($AN50:$AN50,"FE")+COUNTIF($AN50:$AN50,"LM")))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ROUND(B50*4.0,0)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36">
        <f>IFERROR(INDEX(JAN!AH$8:AH$73,MATCH($A51,JAN!$A$8:$A$73,0))&amp;"","")</f>
        <v/>
      </c>
      <c r="D51" s="136">
        <f>IFERROR(INDEX(JAN!AI$8:AI$73,MATCH($A51,JAN!$A$8:$A$73,0))&amp;"","")</f>
        <v/>
      </c>
      <c r="E51" s="136">
        <f>IFERROR(INDEX(JAN!AJ$8:AJ$73,MATCH($A51,JAN!$A$8:$A$73,0))&amp;"","")</f>
        <v/>
      </c>
      <c r="F51" s="136">
        <f>IFERROR(INDEX(JAN!AK$8:AK$73,MATCH($A51,JAN!$A$8:$A$73,0))&amp;"","")</f>
        <v/>
      </c>
      <c r="G51" s="136">
        <f>IFERROR(INDEX(JAN!AL$8:AL$73,MATCH($A51,JAN!$A$8:$A$73,0))&amp;"","")</f>
        <v/>
      </c>
      <c r="H51" s="116">
        <f>IFERROR(INDEX(JAN!AM$8:AM$73,MATCH($A51,JAN!$A$8:$A$73,0))&amp;"","")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00" t="n"/>
      <c r="AL51" s="100" t="n"/>
      <c r="AM51" s="100" t="n"/>
      <c r="AN51" s="116">
        <f>IFERROR(INDEX(MAR!I$8:I$73,MATCH($A51,MAR!$A$8:$A$73,0))&amp;"","")</f>
        <v/>
      </c>
      <c r="AO51" s="100" t="n"/>
      <c r="AP51" s="100" t="n"/>
      <c r="AQ51" s="100" t="n"/>
      <c r="AR51" s="100" t="n"/>
      <c r="AS51" s="100" t="n"/>
      <c r="AT51" s="117">
        <f>SUMPRODUCT(($C51:$I51="M")*6+($C51:$I51="T")*6+($C51:$I51="D")*12+($C51:$I51="N")*12+($C51:$I51="NT")*6+($C51:$I51="C")*10+($C51:$I51="A")*8+($C51:$I51="J")*5+($C51:$I51="CEP")*4+($C51:$I51="CP")*6+($C51:$I51="CRO")*6+($C51:$I51="M+")*6+($C51:$I51="T+")*6+($C51:$I51="D+")*12+($C51:$I51="N+")*12+($C51:$I51="Dm+")*12+($C51:$I51="Dt+")*12+($C51:$I51="Tm-")*6+($C51:$I51="Mt-")*6)</f>
        <v/>
      </c>
      <c r="AU51" s="118">
        <f>AT51-MAX(0,IFERROR(INDEX(CADASTRO!$I$4:$I$80,MATCH($A51,CADASTRO!$A$4:$A$80,0)),$B51)-CONFIG!$B$50*(COUNTIF($C51:$I51,"AB")+COUNTIF($C51:$I51,"FE")+COUNTIF($C51:$I51,"LM")))</f>
        <v/>
      </c>
      <c r="AV51" s="117">
        <f>SUMPRODUCT(($J51:$P51="M")*6+($J51:$P51="T")*6+($J51:$P51="D")*12+($J51:$P51="N")*12+($J51:$P51="NT")*6+($J51:$P51="C")*10+($J51:$P51="A")*8+($J51:$P51="J")*5+($J51:$P51="CEP")*4+($J51:$P51="CP")*6+($J51:$P51="CRO")*6+($J51:$P51="M+")*6+($J51:$P51="T+")*6+($J51:$P51="D+")*12+($J51:$P51="N+")*12+($J51:$P51="Dm+")*12+($J51:$P51="Dt+")*12+($J51:$P51="Tm-")*6+($J51:$P51="Mt-")*6)</f>
        <v/>
      </c>
      <c r="AW51" s="118">
        <f>AV51-MAX(0,IFERROR(INDEX(CADASTRO!$I$4:$I$80,MATCH($A51,CADASTRO!$A$4:$A$80,0)),$B51)-CONFIG!$B$50*(COUNTIF($J51:$P51,"AB")+COUNTIF($J51:$P51,"FE")+COUNTIF($J51:$P51,"LM")))</f>
        <v/>
      </c>
      <c r="AX51" s="117">
        <f>SUMPRODUCT(($Q51:$W51="M")*6+($Q51:$W51="T")*6+($Q51:$W51="D")*12+($Q51:$W51="N")*12+($Q51:$W51="NT")*6+($Q51:$W51="C")*10+($Q51:$W51="A")*8+($Q51:$W51="J")*5+($Q51:$W51="CEP")*4+($Q51:$W51="CP")*6+($Q51:$W51="CRO")*6+($Q51:$W51="M+")*6+($Q51:$W51="T+")*6+($Q51:$W51="D+")*12+($Q51:$W51="N+")*12+($Q51:$W51="Dm+")*12+($Q51:$W51="Dt+")*12+($Q51:$W51="Tm-")*6+($Q51:$W51="Mt-")*6)</f>
        <v/>
      </c>
      <c r="AY51" s="118">
        <f>AX51-MAX(0,IFERROR(INDEX(CADASTRO!$I$4:$I$80,MATCH($A51,CADASTRO!$A$4:$A$80,0)),$B51)-CONFIG!$B$50*(COUNTIF($Q51:$W51,"AB")+COUNTIF($Q51:$W51,"FE")+COUNTIF($Q51:$W51,"LM")))</f>
        <v/>
      </c>
      <c r="AZ51" s="117">
        <f>SUMPRODUCT(($X51:$AD51="M")*6+($X51:$AD51="T")*6+($X51:$AD51="D")*12+($X51:$AD51="N")*12+($X51:$AD51="NT")*6+($X51:$AD51="C")*10+($X51:$AD51="A")*8+($X51:$AD51="J")*5+($X51:$AD51="CEP")*4+($X51:$AD51="CP")*6+($X51:$AD51="CRO")*6+($X51:$AD51="M+")*6+($X51:$AD51="T+")*6+($X51:$AD51="D+")*12+($X51:$AD51="N+")*12+($X51:$AD51="Dm+")*12+($X51:$AD51="Dt+")*12+($X51:$AD51="Tm-")*6+($X51:$AD51="Mt-")*6)</f>
        <v/>
      </c>
      <c r="BA51" s="118">
        <f>AZ51-MAX(0,IFERROR(INDEX(CADASTRO!$I$4:$I$80,MATCH($A51,CADASTRO!$A$4:$A$80,0)),$B51)-CONFIG!$B$50*(COUNTIF($X51:$AD51,"AB")+COUNTIF($X51:$AD51,"FE")+COUNTIF($X51:$AD51,"LM")))</f>
        <v/>
      </c>
      <c r="BB51" s="117">
        <f>SUMPRODUCT(($AE51:$AJ51="M")*6+($AE51:$AJ51="T")*6+($AE51:$AJ51="D")*12+($AE51:$AJ51="N")*12+($AE51:$AJ51="NT")*6+($AE51:$AJ51="C")*10+($AE51:$AJ51="A")*8+($AE51:$AJ51="J")*5+($AE51:$AJ51="CEP")*4+($AE51:$AJ51="CP")*6+($AE51:$AJ51="CRO")*6+($AE51:$AJ51="M+")*6+($AE51:$AJ51="T+")*6+($AE51:$AJ51="D+")*12+($AE51:$AJ51="N+")*12+($AE51:$AJ51="Dm+")*12+($AE51:$AJ51="Dt+")*12+($AE51:$AJ51="Tm-")*6+($AE51:$AJ51="Mt-")*6)+SUMPRODUCT(($AN51:$AN51="M")*6+($AN51:$AN51="T")*6+($AN51:$AN51="D")*12+($AN51:$AN51="N")*12+($AN51:$AN51="NT")*6+($AN51:$AN51="C")*10+($AN51:$AN51="A")*8+($AN51:$AN51="J")*5+($AN51:$AN51="CEP")*4+($AN51:$AN51="CP")*6+($AN51:$AN51="CRO")*6+($AN51:$AN51="M+")*6+($AN51:$AN51="T+")*6+($AN51:$AN51="D+")*12+($AN51:$AN51="N+")*12+($AN51:$AN51="Dm+")*12+($AN51:$AN51="Dt+")*12+($AN51:$AN51="Tm-")*6+($AN51:$AN51="Mt-")*6)</f>
        <v/>
      </c>
      <c r="BC51" s="118">
        <f>BB51-MAX(0,IFERROR(INDEX(CADASTRO!$I$4:$I$80,MATCH($A51,CADASTRO!$A$4:$A$80,0)),$B51)-CONFIG!$B$50*(COUNTIF($AE51:$AJ51,"AB")+COUNTIF($AE51:$AJ51,"FE")+COUNTIF($AE51:$AJ51,"LM")+COUNTIF($AN51:$AN51,"AB")+COUNTIF($AN51:$AN51,"FE")+COUNTIF($AN51:$AN51,"LM")))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ROUND(B51*4.0,0)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36">
        <f>IFERROR(INDEX(JAN!AH$8:AH$73,MATCH($A52,JAN!$A$8:$A$73,0))&amp;"","")</f>
        <v/>
      </c>
      <c r="D52" s="136">
        <f>IFERROR(INDEX(JAN!AI$8:AI$73,MATCH($A52,JAN!$A$8:$A$73,0))&amp;"","")</f>
        <v/>
      </c>
      <c r="E52" s="136">
        <f>IFERROR(INDEX(JAN!AJ$8:AJ$73,MATCH($A52,JAN!$A$8:$A$73,0))&amp;"","")</f>
        <v/>
      </c>
      <c r="F52" s="136">
        <f>IFERROR(INDEX(JAN!AK$8:AK$73,MATCH($A52,JAN!$A$8:$A$73,0))&amp;"","")</f>
        <v/>
      </c>
      <c r="G52" s="136">
        <f>IFERROR(INDEX(JAN!AL$8:AL$73,MATCH($A52,JAN!$A$8:$A$73,0))&amp;"","")</f>
        <v/>
      </c>
      <c r="H52" s="116">
        <f>IFERROR(INDEX(JAN!AM$8:AM$73,MATCH($A52,JAN!$A$8:$A$73,0))&amp;"","")</f>
        <v/>
      </c>
      <c r="I52" s="114" t="n"/>
      <c r="J52" s="125" t="inlineStr">
        <is>
          <t>N</t>
        </is>
      </c>
      <c r="K52" s="114" t="n"/>
      <c r="L52" s="114" t="n"/>
      <c r="M52" s="125" t="inlineStr">
        <is>
          <t>N</t>
        </is>
      </c>
      <c r="N52" s="114" t="n"/>
      <c r="O52" s="114" t="n"/>
      <c r="P52" s="114" t="n"/>
      <c r="Q52" s="125" t="inlineStr">
        <is>
          <t>N</t>
        </is>
      </c>
      <c r="R52" s="114" t="n"/>
      <c r="S52" s="114" t="n"/>
      <c r="T52" s="114" t="n"/>
      <c r="U52" s="114" t="n"/>
      <c r="V52" s="125" t="inlineStr">
        <is>
          <t>N</t>
        </is>
      </c>
      <c r="W52" s="114" t="n"/>
      <c r="X52" s="125" t="inlineStr">
        <is>
          <t>N</t>
        </is>
      </c>
      <c r="Y52" s="114" t="n"/>
      <c r="Z52" s="114" t="n"/>
      <c r="AA52" s="125" t="inlineStr">
        <is>
          <t>N</t>
        </is>
      </c>
      <c r="AB52" s="114" t="n"/>
      <c r="AC52" s="114" t="n"/>
      <c r="AD52" s="114" t="n"/>
      <c r="AE52" s="125" t="inlineStr">
        <is>
          <t>N</t>
        </is>
      </c>
      <c r="AF52" s="114" t="n"/>
      <c r="AG52" s="114" t="n"/>
      <c r="AH52" s="114" t="n"/>
      <c r="AI52" s="114" t="n"/>
      <c r="AJ52" s="125" t="inlineStr">
        <is>
          <t>N</t>
        </is>
      </c>
      <c r="AK52" s="100" t="n"/>
      <c r="AL52" s="100" t="n"/>
      <c r="AM52" s="100" t="n"/>
      <c r="AN52" s="116">
        <f>IFERROR(INDEX(MAR!I$8:I$73,MATCH($A52,MAR!$A$8:$A$73,0))&amp;"","")</f>
        <v/>
      </c>
      <c r="AO52" s="100" t="n"/>
      <c r="AP52" s="100" t="n"/>
      <c r="AQ52" s="100" t="n"/>
      <c r="AR52" s="100" t="n"/>
      <c r="AS52" s="100" t="n"/>
      <c r="AT52" s="117">
        <f>SUMPRODUCT(($C52:$I52="M")*6+($C52:$I52="T")*6+($C52:$I52="D")*12+($C52:$I52="N")*12+($C52:$I52="NT")*6+($C52:$I52="C")*10+($C52:$I52="A")*8+($C52:$I52="J")*5+($C52:$I52="CEP")*4+($C52:$I52="CP")*6+($C52:$I52="CRO")*6+($C52:$I52="M+")*6+($C52:$I52="T+")*6+($C52:$I52="D+")*12+($C52:$I52="N+")*12+($C52:$I52="Dm+")*12+($C52:$I52="Dt+")*12+($C52:$I52="Tm-")*6+($C52:$I52="Mt-")*6)</f>
        <v/>
      </c>
      <c r="AU52" s="118">
        <f>AT52-MAX(0,IFERROR(INDEX(CADASTRO!$I$4:$I$80,MATCH($A52,CADASTRO!$A$4:$A$80,0)),$B52)-CONFIG!$B$50*(COUNTIF($C52:$I52,"AB")+COUNTIF($C52:$I52,"FE")+COUNTIF($C52:$I52,"LM")))</f>
        <v/>
      </c>
      <c r="AV52" s="117">
        <f>SUMPRODUCT(($J52:$P52="M")*6+($J52:$P52="T")*6+($J52:$P52="D")*12+($J52:$P52="N")*12+($J52:$P52="NT")*6+($J52:$P52="C")*10+($J52:$P52="A")*8+($J52:$P52="J")*5+($J52:$P52="CEP")*4+($J52:$P52="CP")*6+($J52:$P52="CRO")*6+($J52:$P52="M+")*6+($J52:$P52="T+")*6+($J52:$P52="D+")*12+($J52:$P52="N+")*12+($J52:$P52="Dm+")*12+($J52:$P52="Dt+")*12+($J52:$P52="Tm-")*6+($J52:$P52="Mt-")*6)</f>
        <v/>
      </c>
      <c r="AW52" s="118">
        <f>AV52-MAX(0,IFERROR(INDEX(CADASTRO!$I$4:$I$80,MATCH($A52,CADASTRO!$A$4:$A$80,0)),$B52)-CONFIG!$B$50*(COUNTIF($J52:$P52,"AB")+COUNTIF($J52:$P52,"FE")+COUNTIF($J52:$P52,"LM")))</f>
        <v/>
      </c>
      <c r="AX52" s="117">
        <f>SUMPRODUCT(($Q52:$W52="M")*6+($Q52:$W52="T")*6+($Q52:$W52="D")*12+($Q52:$W52="N")*12+($Q52:$W52="NT")*6+($Q52:$W52="C")*10+($Q52:$W52="A")*8+($Q52:$W52="J")*5+($Q52:$W52="CEP")*4+($Q52:$W52="CP")*6+($Q52:$W52="CRO")*6+($Q52:$W52="M+")*6+($Q52:$W52="T+")*6+($Q52:$W52="D+")*12+($Q52:$W52="N+")*12+($Q52:$W52="Dm+")*12+($Q52:$W52="Dt+")*12+($Q52:$W52="Tm-")*6+($Q52:$W52="Mt-")*6)</f>
        <v/>
      </c>
      <c r="AY52" s="118">
        <f>AX52-MAX(0,IFERROR(INDEX(CADASTRO!$I$4:$I$80,MATCH($A52,CADASTRO!$A$4:$A$80,0)),$B52)-CONFIG!$B$50*(COUNTIF($Q52:$W52,"AB")+COUNTIF($Q52:$W52,"FE")+COUNTIF($Q52:$W52,"LM")))</f>
        <v/>
      </c>
      <c r="AZ52" s="117">
        <f>SUMPRODUCT(($X52:$AD52="M")*6+($X52:$AD52="T")*6+($X52:$AD52="D")*12+($X52:$AD52="N")*12+($X52:$AD52="NT")*6+($X52:$AD52="C")*10+($X52:$AD52="A")*8+($X52:$AD52="J")*5+($X52:$AD52="CEP")*4+($X52:$AD52="CP")*6+($X52:$AD52="CRO")*6+($X52:$AD52="M+")*6+($X52:$AD52="T+")*6+($X52:$AD52="D+")*12+($X52:$AD52="N+")*12+($X52:$AD52="Dm+")*12+($X52:$AD52="Dt+")*12+($X52:$AD52="Tm-")*6+($X52:$AD52="Mt-")*6)</f>
        <v/>
      </c>
      <c r="BA52" s="118">
        <f>AZ52-MAX(0,IFERROR(INDEX(CADASTRO!$I$4:$I$80,MATCH($A52,CADASTRO!$A$4:$A$80,0)),$B52)-CONFIG!$B$50*(COUNTIF($X52:$AD52,"AB")+COUNTIF($X52:$AD52,"FE")+COUNTIF($X52:$AD52,"LM")))</f>
        <v/>
      </c>
      <c r="BB52" s="117">
        <f>SUMPRODUCT(($AE52:$AJ52="M")*6+($AE52:$AJ52="T")*6+($AE52:$AJ52="D")*12+($AE52:$AJ52="N")*12+($AE52:$AJ52="NT")*6+($AE52:$AJ52="C")*10+($AE52:$AJ52="A")*8+($AE52:$AJ52="J")*5+($AE52:$AJ52="CEP")*4+($AE52:$AJ52="CP")*6+($AE52:$AJ52="CRO")*6+($AE52:$AJ52="M+")*6+($AE52:$AJ52="T+")*6+($AE52:$AJ52="D+")*12+($AE52:$AJ52="N+")*12+($AE52:$AJ52="Dm+")*12+($AE52:$AJ52="Dt+")*12+($AE52:$AJ52="Tm-")*6+($AE52:$AJ52="Mt-")*6)+SUMPRODUCT(($AN52:$AN52="M")*6+($AN52:$AN52="T")*6+($AN52:$AN52="D")*12+($AN52:$AN52="N")*12+($AN52:$AN52="NT")*6+($AN52:$AN52="C")*10+($AN52:$AN52="A")*8+($AN52:$AN52="J")*5+($AN52:$AN52="CEP")*4+($AN52:$AN52="CP")*6+($AN52:$AN52="CRO")*6+($AN52:$AN52="M+")*6+($AN52:$AN52="T+")*6+($AN52:$AN52="D+")*12+($AN52:$AN52="N+")*12+($AN52:$AN52="Dm+")*12+($AN52:$AN52="Dt+")*12+($AN52:$AN52="Tm-")*6+($AN52:$AN52="Mt-")*6)</f>
        <v/>
      </c>
      <c r="BC52" s="118">
        <f>BB52-MAX(0,IFERROR(INDEX(CADASTRO!$I$4:$I$80,MATCH($A52,CADASTRO!$A$4:$A$80,0)),$B52)-CONFIG!$B$50*(COUNTIF($AE52:$AJ52,"AB")+COUNTIF($AE52:$AJ52,"FE")+COUNTIF($AE52:$AJ52,"LM")+COUNTIF($AN52:$AN52,"AB")+COUNTIF($AN52:$AN52,"FE")+COUNTIF($AN52:$AN52,"LM")))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ROUND(B52*4.0,0)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36">
        <f>IFERROR(INDEX(JAN!AH$8:AH$73,MATCH($A53,JAN!$A$8:$A$73,0))&amp;"","")</f>
        <v/>
      </c>
      <c r="D53" s="136">
        <f>IFERROR(INDEX(JAN!AI$8:AI$73,MATCH($A53,JAN!$A$8:$A$73,0))&amp;"","")</f>
        <v/>
      </c>
      <c r="E53" s="136">
        <f>IFERROR(INDEX(JAN!AJ$8:AJ$73,MATCH($A53,JAN!$A$8:$A$73,0))&amp;"","")</f>
        <v/>
      </c>
      <c r="F53" s="136">
        <f>IFERROR(INDEX(JAN!AK$8:AK$73,MATCH($A53,JAN!$A$8:$A$73,0))&amp;"","")</f>
        <v/>
      </c>
      <c r="G53" s="136">
        <f>IFERROR(INDEX(JAN!AL$8:AL$73,MATCH($A53,JAN!$A$8:$A$73,0))&amp;"","")</f>
        <v/>
      </c>
      <c r="H53" s="116">
        <f>IFERROR(INDEX(JAN!AM$8:AM$73,MATCH($A53,JAN!$A$8:$A$73,0))&amp;"","")</f>
        <v/>
      </c>
      <c r="I53" s="124" t="inlineStr">
        <is>
          <t>D</t>
        </is>
      </c>
      <c r="J53" s="115" t="inlineStr">
        <is>
          <t>M</t>
        </is>
      </c>
      <c r="K53" s="115" t="inlineStr">
        <is>
          <t>M</t>
        </is>
      </c>
      <c r="L53" s="114" t="n"/>
      <c r="M53" s="114" t="n"/>
      <c r="N53" s="125" t="inlineStr">
        <is>
          <t>N</t>
        </is>
      </c>
      <c r="O53" s="114" t="n"/>
      <c r="P53" s="114" t="n"/>
      <c r="Q53" s="125" t="inlineStr">
        <is>
          <t>N</t>
        </is>
      </c>
      <c r="R53" s="114" t="n"/>
      <c r="S53" s="114" t="n"/>
      <c r="T53" s="114" t="n"/>
      <c r="U53" s="114" t="n"/>
      <c r="V53" s="125" t="inlineStr">
        <is>
          <t>N</t>
        </is>
      </c>
      <c r="W53" s="114" t="n"/>
      <c r="X53" s="114" t="n"/>
      <c r="Y53" s="125" t="inlineStr">
        <is>
          <t>N</t>
        </is>
      </c>
      <c r="Z53" s="114" t="n"/>
      <c r="AA53" s="114" t="n"/>
      <c r="AB53" s="114" t="n"/>
      <c r="AC53" s="124" t="inlineStr">
        <is>
          <t>D</t>
        </is>
      </c>
      <c r="AD53" s="114" t="n"/>
      <c r="AE53" s="125" t="inlineStr">
        <is>
          <t>N</t>
        </is>
      </c>
      <c r="AF53" s="125" t="inlineStr">
        <is>
          <t>N</t>
        </is>
      </c>
      <c r="AG53" s="114" t="n"/>
      <c r="AH53" s="114" t="n"/>
      <c r="AI53" s="114" t="n"/>
      <c r="AJ53" s="114" t="n"/>
      <c r="AK53" s="100" t="n"/>
      <c r="AL53" s="100" t="n"/>
      <c r="AM53" s="100" t="n"/>
      <c r="AN53" s="116">
        <f>IFERROR(INDEX(MAR!I$8:I$73,MATCH($A53,MAR!$A$8:$A$73,0))&amp;"","")</f>
        <v/>
      </c>
      <c r="AO53" s="100" t="n"/>
      <c r="AP53" s="100" t="n"/>
      <c r="AQ53" s="100" t="n"/>
      <c r="AR53" s="100" t="n"/>
      <c r="AS53" s="100" t="n"/>
      <c r="AT53" s="117">
        <f>SUMPRODUCT(($C53:$I53="M")*6+($C53:$I53="T")*6+($C53:$I53="D")*12+($C53:$I53="N")*12+($C53:$I53="NT")*6+($C53:$I53="C")*10+($C53:$I53="A")*8+($C53:$I53="J")*5+($C53:$I53="CEP")*4+($C53:$I53="CP")*6+($C53:$I53="CRO")*6+($C53:$I53="M+")*6+($C53:$I53="T+")*6+($C53:$I53="D+")*12+($C53:$I53="N+")*12+($C53:$I53="Dm+")*12+($C53:$I53="Dt+")*12+($C53:$I53="Tm-")*6+($C53:$I53="Mt-")*6)</f>
        <v/>
      </c>
      <c r="AU53" s="118">
        <f>AT53-MAX(0,IFERROR(INDEX(CADASTRO!$I$4:$I$80,MATCH($A53,CADASTRO!$A$4:$A$80,0)),$B53)-CONFIG!$B$50*(COUNTIF($C53:$I53,"AB")+COUNTIF($C53:$I53,"FE")+COUNTIF($C53:$I53,"LM")))</f>
        <v/>
      </c>
      <c r="AV53" s="117">
        <f>SUMPRODUCT(($J53:$P53="M")*6+($J53:$P53="T")*6+($J53:$P53="D")*12+($J53:$P53="N")*12+($J53:$P53="NT")*6+($J53:$P53="C")*10+($J53:$P53="A")*8+($J53:$P53="J")*5+($J53:$P53="CEP")*4+($J53:$P53="CP")*6+($J53:$P53="CRO")*6+($J53:$P53="M+")*6+($J53:$P53="T+")*6+($J53:$P53="D+")*12+($J53:$P53="N+")*12+($J53:$P53="Dm+")*12+($J53:$P53="Dt+")*12+($J53:$P53="Tm-")*6+($J53:$P53="Mt-")*6)</f>
        <v/>
      </c>
      <c r="AW53" s="118">
        <f>AV53-MAX(0,IFERROR(INDEX(CADASTRO!$I$4:$I$80,MATCH($A53,CADASTRO!$A$4:$A$80,0)),$B53)-CONFIG!$B$50*(COUNTIF($J53:$P53,"AB")+COUNTIF($J53:$P53,"FE")+COUNTIF($J53:$P53,"LM")))</f>
        <v/>
      </c>
      <c r="AX53" s="117">
        <f>SUMPRODUCT(($Q53:$W53="M")*6+($Q53:$W53="T")*6+($Q53:$W53="D")*12+($Q53:$W53="N")*12+($Q53:$W53="NT")*6+($Q53:$W53="C")*10+($Q53:$W53="A")*8+($Q53:$W53="J")*5+($Q53:$W53="CEP")*4+($Q53:$W53="CP")*6+($Q53:$W53="CRO")*6+($Q53:$W53="M+")*6+($Q53:$W53="T+")*6+($Q53:$W53="D+")*12+($Q53:$W53="N+")*12+($Q53:$W53="Dm+")*12+($Q53:$W53="Dt+")*12+($Q53:$W53="Tm-")*6+($Q53:$W53="Mt-")*6)</f>
        <v/>
      </c>
      <c r="AY53" s="118">
        <f>AX53-MAX(0,IFERROR(INDEX(CADASTRO!$I$4:$I$80,MATCH($A53,CADASTRO!$A$4:$A$80,0)),$B53)-CONFIG!$B$50*(COUNTIF($Q53:$W53,"AB")+COUNTIF($Q53:$W53,"FE")+COUNTIF($Q53:$W53,"LM")))</f>
        <v/>
      </c>
      <c r="AZ53" s="117">
        <f>SUMPRODUCT(($X53:$AD53="M")*6+($X53:$AD53="T")*6+($X53:$AD53="D")*12+($X53:$AD53="N")*12+($X53:$AD53="NT")*6+($X53:$AD53="C")*10+($X53:$AD53="A")*8+($X53:$AD53="J")*5+($X53:$AD53="CEP")*4+($X53:$AD53="CP")*6+($X53:$AD53="CRO")*6+($X53:$AD53="M+")*6+($X53:$AD53="T+")*6+($X53:$AD53="D+")*12+($X53:$AD53="N+")*12+($X53:$AD53="Dm+")*12+($X53:$AD53="Dt+")*12+($X53:$AD53="Tm-")*6+($X53:$AD53="Mt-")*6)</f>
        <v/>
      </c>
      <c r="BA53" s="118">
        <f>AZ53-MAX(0,IFERROR(INDEX(CADASTRO!$I$4:$I$80,MATCH($A53,CADASTRO!$A$4:$A$80,0)),$B53)-CONFIG!$B$50*(COUNTIF($X53:$AD53,"AB")+COUNTIF($X53:$AD53,"FE")+COUNTIF($X53:$AD53,"LM")))</f>
        <v/>
      </c>
      <c r="BB53" s="117">
        <f>SUMPRODUCT(($AE53:$AJ53="M")*6+($AE53:$AJ53="T")*6+($AE53:$AJ53="D")*12+($AE53:$AJ53="N")*12+($AE53:$AJ53="NT")*6+($AE53:$AJ53="C")*10+($AE53:$AJ53="A")*8+($AE53:$AJ53="J")*5+($AE53:$AJ53="CEP")*4+($AE53:$AJ53="CP")*6+($AE53:$AJ53="CRO")*6+($AE53:$AJ53="M+")*6+($AE53:$AJ53="T+")*6+($AE53:$AJ53="D+")*12+($AE53:$AJ53="N+")*12+($AE53:$AJ53="Dm+")*12+($AE53:$AJ53="Dt+")*12+($AE53:$AJ53="Tm-")*6+($AE53:$AJ53="Mt-")*6)+SUMPRODUCT(($AN53:$AN53="M")*6+($AN53:$AN53="T")*6+($AN53:$AN53="D")*12+($AN53:$AN53="N")*12+($AN53:$AN53="NT")*6+($AN53:$AN53="C")*10+($AN53:$AN53="A")*8+($AN53:$AN53="J")*5+($AN53:$AN53="CEP")*4+($AN53:$AN53="CP")*6+($AN53:$AN53="CRO")*6+($AN53:$AN53="M+")*6+($AN53:$AN53="T+")*6+($AN53:$AN53="D+")*12+($AN53:$AN53="N+")*12+($AN53:$AN53="Dm+")*12+($AN53:$AN53="Dt+")*12+($AN53:$AN53="Tm-")*6+($AN53:$AN53="Mt-")*6)</f>
        <v/>
      </c>
      <c r="BC53" s="118">
        <f>BB53-MAX(0,IFERROR(INDEX(CADASTRO!$I$4:$I$80,MATCH($A53,CADASTRO!$A$4:$A$80,0)),$B53)-CONFIG!$B$50*(COUNTIF($AE53:$AJ53,"AB")+COUNTIF($AE53:$AJ53,"FE")+COUNTIF($AE53:$AJ53,"LM")+COUNTIF($AN53:$AN53,"AB")+COUNTIF($AN53:$AN53,"FE")+COUNTIF($AN53:$AN53,"LM")))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ROUND(B53*4.0,0)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36">
        <f>IFERROR(INDEX(JAN!AH$8:AH$73,MATCH($A54,JAN!$A$8:$A$73,0))&amp;"","")</f>
        <v/>
      </c>
      <c r="D54" s="136">
        <f>IFERROR(INDEX(JAN!AI$8:AI$73,MATCH($A54,JAN!$A$8:$A$73,0))&amp;"","")</f>
        <v/>
      </c>
      <c r="E54" s="136">
        <f>IFERROR(INDEX(JAN!AJ$8:AJ$73,MATCH($A54,JAN!$A$8:$A$73,0))&amp;"","")</f>
        <v/>
      </c>
      <c r="F54" s="136">
        <f>IFERROR(INDEX(JAN!AK$8:AK$73,MATCH($A54,JAN!$A$8:$A$73,0))&amp;"","")</f>
        <v/>
      </c>
      <c r="G54" s="136">
        <f>IFERROR(INDEX(JAN!AL$8:AL$73,MATCH($A54,JAN!$A$8:$A$73,0))&amp;"","")</f>
        <v/>
      </c>
      <c r="H54" s="116">
        <f>IFERROR(INDEX(JAN!AM$8:AM$73,MATCH($A54,JAN!$A$8:$A$73,0))&amp;"","")</f>
        <v/>
      </c>
      <c r="I54" s="126" t="inlineStr">
        <is>
          <t>T</t>
        </is>
      </c>
      <c r="J54" s="127" t="inlineStr">
        <is>
          <t>T-</t>
        </is>
      </c>
      <c r="K54" s="114" t="n"/>
      <c r="L54" s="126" t="inlineStr">
        <is>
          <t>T</t>
        </is>
      </c>
      <c r="M54" s="125" t="inlineStr">
        <is>
          <t>N</t>
        </is>
      </c>
      <c r="N54" s="114" t="n"/>
      <c r="O54" s="114" t="n"/>
      <c r="P54" s="114" t="n"/>
      <c r="Q54" s="114" t="n"/>
      <c r="R54" s="114" t="n"/>
      <c r="S54" s="126" t="inlineStr">
        <is>
          <t>T</t>
        </is>
      </c>
      <c r="T54" s="125" t="inlineStr">
        <is>
          <t>N</t>
        </is>
      </c>
      <c r="U54" s="127" t="inlineStr">
        <is>
          <t>T-</t>
        </is>
      </c>
      <c r="V54" s="114" t="n"/>
      <c r="W54" s="114" t="n"/>
      <c r="X54" s="114" t="n"/>
      <c r="Y54" s="114" t="n"/>
      <c r="Z54" s="123" t="inlineStr">
        <is>
          <t>T+</t>
        </is>
      </c>
      <c r="AA54" s="125" t="inlineStr">
        <is>
          <t>N</t>
        </is>
      </c>
      <c r="AB54" s="114" t="n"/>
      <c r="AC54" s="125" t="inlineStr">
        <is>
          <t>N</t>
        </is>
      </c>
      <c r="AD54" s="114" t="n"/>
      <c r="AE54" s="114" t="n"/>
      <c r="AF54" s="114" t="n"/>
      <c r="AG54" s="123" t="inlineStr">
        <is>
          <t>T+</t>
        </is>
      </c>
      <c r="AH54" s="125" t="inlineStr">
        <is>
          <t>N</t>
        </is>
      </c>
      <c r="AI54" s="114" t="n"/>
      <c r="AJ54" s="125" t="inlineStr">
        <is>
          <t>N</t>
        </is>
      </c>
      <c r="AK54" s="100" t="n"/>
      <c r="AL54" s="100" t="n"/>
      <c r="AM54" s="100" t="n"/>
      <c r="AN54" s="116">
        <f>IFERROR(INDEX(MAR!I$8:I$73,MATCH($A54,MAR!$A$8:$A$73,0))&amp;"","")</f>
        <v/>
      </c>
      <c r="AO54" s="100" t="n"/>
      <c r="AP54" s="100" t="n"/>
      <c r="AQ54" s="100" t="n"/>
      <c r="AR54" s="100" t="n"/>
      <c r="AS54" s="100" t="n"/>
      <c r="AT54" s="117">
        <f>SUMPRODUCT(($C54:$I54="M")*6+($C54:$I54="T")*6+($C54:$I54="D")*12+($C54:$I54="N")*12+($C54:$I54="NT")*6+($C54:$I54="C")*10+($C54:$I54="A")*8+($C54:$I54="J")*5+($C54:$I54="CEP")*4+($C54:$I54="CP")*6+($C54:$I54="CRO")*6+($C54:$I54="M+")*6+($C54:$I54="T+")*6+($C54:$I54="D+")*12+($C54:$I54="N+")*12+($C54:$I54="Dm+")*12+($C54:$I54="Dt+")*12+($C54:$I54="Tm-")*6+($C54:$I54="Mt-")*6)</f>
        <v/>
      </c>
      <c r="AU54" s="118">
        <f>AT54-MAX(0,IFERROR(INDEX(CADASTRO!$I$4:$I$80,MATCH($A54,CADASTRO!$A$4:$A$80,0)),$B54)-CONFIG!$B$50*(COUNTIF($C54:$I54,"AB")+COUNTIF($C54:$I54,"FE")+COUNTIF($C54:$I54,"LM")))</f>
        <v/>
      </c>
      <c r="AV54" s="117">
        <f>SUMPRODUCT(($J54:$P54="M")*6+($J54:$P54="T")*6+($J54:$P54="D")*12+($J54:$P54="N")*12+($J54:$P54="NT")*6+($J54:$P54="C")*10+($J54:$P54="A")*8+($J54:$P54="J")*5+($J54:$P54="CEP")*4+($J54:$P54="CP")*6+($J54:$P54="CRO")*6+($J54:$P54="M+")*6+($J54:$P54="T+")*6+($J54:$P54="D+")*12+($J54:$P54="N+")*12+($J54:$P54="Dm+")*12+($J54:$P54="Dt+")*12+($J54:$P54="Tm-")*6+($J54:$P54="Mt-")*6)</f>
        <v/>
      </c>
      <c r="AW54" s="118">
        <f>AV54-MAX(0,IFERROR(INDEX(CADASTRO!$I$4:$I$80,MATCH($A54,CADASTRO!$A$4:$A$80,0)),$B54)-CONFIG!$B$50*(COUNTIF($J54:$P54,"AB")+COUNTIF($J54:$P54,"FE")+COUNTIF($J54:$P54,"LM")))</f>
        <v/>
      </c>
      <c r="AX54" s="117">
        <f>SUMPRODUCT(($Q54:$W54="M")*6+($Q54:$W54="T")*6+($Q54:$W54="D")*12+($Q54:$W54="N")*12+($Q54:$W54="NT")*6+($Q54:$W54="C")*10+($Q54:$W54="A")*8+($Q54:$W54="J")*5+($Q54:$W54="CEP")*4+($Q54:$W54="CP")*6+($Q54:$W54="CRO")*6+($Q54:$W54="M+")*6+($Q54:$W54="T+")*6+($Q54:$W54="D+")*12+($Q54:$W54="N+")*12+($Q54:$W54="Dm+")*12+($Q54:$W54="Dt+")*12+($Q54:$W54="Tm-")*6+($Q54:$W54="Mt-")*6)</f>
        <v/>
      </c>
      <c r="AY54" s="118">
        <f>AX54-MAX(0,IFERROR(INDEX(CADASTRO!$I$4:$I$80,MATCH($A54,CADASTRO!$A$4:$A$80,0)),$B54)-CONFIG!$B$50*(COUNTIF($Q54:$W54,"AB")+COUNTIF($Q54:$W54,"FE")+COUNTIF($Q54:$W54,"LM")))</f>
        <v/>
      </c>
      <c r="AZ54" s="117">
        <f>SUMPRODUCT(($X54:$AD54="M")*6+($X54:$AD54="T")*6+($X54:$AD54="D")*12+($X54:$AD54="N")*12+($X54:$AD54="NT")*6+($X54:$AD54="C")*10+($X54:$AD54="A")*8+($X54:$AD54="J")*5+($X54:$AD54="CEP")*4+($X54:$AD54="CP")*6+($X54:$AD54="CRO")*6+($X54:$AD54="M+")*6+($X54:$AD54="T+")*6+($X54:$AD54="D+")*12+($X54:$AD54="N+")*12+($X54:$AD54="Dm+")*12+($X54:$AD54="Dt+")*12+($X54:$AD54="Tm-")*6+($X54:$AD54="Mt-")*6)</f>
        <v/>
      </c>
      <c r="BA54" s="118">
        <f>AZ54-MAX(0,IFERROR(INDEX(CADASTRO!$I$4:$I$80,MATCH($A54,CADASTRO!$A$4:$A$80,0)),$B54)-CONFIG!$B$50*(COUNTIF($X54:$AD54,"AB")+COUNTIF($X54:$AD54,"FE")+COUNTIF($X54:$AD54,"LM")))</f>
        <v/>
      </c>
      <c r="BB54" s="117">
        <f>SUMPRODUCT(($AE54:$AJ54="M")*6+($AE54:$AJ54="T")*6+($AE54:$AJ54="D")*12+($AE54:$AJ54="N")*12+($AE54:$AJ54="NT")*6+($AE54:$AJ54="C")*10+($AE54:$AJ54="A")*8+($AE54:$AJ54="J")*5+($AE54:$AJ54="CEP")*4+($AE54:$AJ54="CP")*6+($AE54:$AJ54="CRO")*6+($AE54:$AJ54="M+")*6+($AE54:$AJ54="T+")*6+($AE54:$AJ54="D+")*12+($AE54:$AJ54="N+")*12+($AE54:$AJ54="Dm+")*12+($AE54:$AJ54="Dt+")*12+($AE54:$AJ54="Tm-")*6+($AE54:$AJ54="Mt-")*6)+SUMPRODUCT(($AN54:$AN54="M")*6+($AN54:$AN54="T")*6+($AN54:$AN54="D")*12+($AN54:$AN54="N")*12+($AN54:$AN54="NT")*6+($AN54:$AN54="C")*10+($AN54:$AN54="A")*8+($AN54:$AN54="J")*5+($AN54:$AN54="CEP")*4+($AN54:$AN54="CP")*6+($AN54:$AN54="CRO")*6+($AN54:$AN54="M+")*6+($AN54:$AN54="T+")*6+($AN54:$AN54="D+")*12+($AN54:$AN54="N+")*12+($AN54:$AN54="Dm+")*12+($AN54:$AN54="Dt+")*12+($AN54:$AN54="Tm-")*6+($AN54:$AN54="Mt-")*6)</f>
        <v/>
      </c>
      <c r="BC54" s="118">
        <f>BB54-MAX(0,IFERROR(INDEX(CADASTRO!$I$4:$I$80,MATCH($A54,CADASTRO!$A$4:$A$80,0)),$B54)-CONFIG!$B$50*(COUNTIF($AE54:$AJ54,"AB")+COUNTIF($AE54:$AJ54,"FE")+COUNTIF($AE54:$AJ54,"LM")+COUNTIF($AN54:$AN54,"AB")+COUNTIF($AN54:$AN54,"FE")+COUNTIF($AN54:$AN54,"LM")))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ROUND(B54*4.0,0)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36">
        <f>IFERROR(INDEX(JAN!AH$8:AH$73,MATCH($A55,JAN!$A$8:$A$73,0))&amp;"","")</f>
        <v/>
      </c>
      <c r="D55" s="136">
        <f>IFERROR(INDEX(JAN!AI$8:AI$73,MATCH($A55,JAN!$A$8:$A$73,0))&amp;"","")</f>
        <v/>
      </c>
      <c r="E55" s="136">
        <f>IFERROR(INDEX(JAN!AJ$8:AJ$73,MATCH($A55,JAN!$A$8:$A$73,0))&amp;"","")</f>
        <v/>
      </c>
      <c r="F55" s="136">
        <f>IFERROR(INDEX(JAN!AK$8:AK$73,MATCH($A55,JAN!$A$8:$A$73,0))&amp;"","")</f>
        <v/>
      </c>
      <c r="G55" s="136">
        <f>IFERROR(INDEX(JAN!AL$8:AL$73,MATCH($A55,JAN!$A$8:$A$73,0))&amp;"","")</f>
        <v/>
      </c>
      <c r="H55" s="116">
        <f>IFERROR(INDEX(JAN!AM$8:AM$73,MATCH($A55,JAN!$A$8:$A$73,0))&amp;"","")</f>
        <v/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14" t="n"/>
      <c r="AF55" s="114" t="n"/>
      <c r="AG55" s="114" t="n"/>
      <c r="AH55" s="114" t="n"/>
      <c r="AI55" s="114" t="n"/>
      <c r="AJ55" s="114" t="n"/>
      <c r="AK55" s="100" t="n"/>
      <c r="AL55" s="100" t="n"/>
      <c r="AM55" s="100" t="n"/>
      <c r="AN55" s="116">
        <f>IFERROR(INDEX(MAR!I$8:I$73,MATCH($A55,MAR!$A$8:$A$73,0))&amp;"","")</f>
        <v/>
      </c>
      <c r="AO55" s="100" t="n"/>
      <c r="AP55" s="100" t="n"/>
      <c r="AQ55" s="100" t="n"/>
      <c r="AR55" s="100" t="n"/>
      <c r="AS55" s="100" t="n"/>
      <c r="AT55" s="117">
        <f>SUMPRODUCT(($C55:$I55="M")*6+($C55:$I55="T")*6+($C55:$I55="D")*12+($C55:$I55="N")*12+($C55:$I55="NT")*6+($C55:$I55="C")*10+($C55:$I55="A")*8+($C55:$I55="J")*5+($C55:$I55="CEP")*4+($C55:$I55="CP")*6+($C55:$I55="CRO")*6+($C55:$I55="M+")*6+($C55:$I55="T+")*6+($C55:$I55="D+")*12+($C55:$I55="N+")*12+($C55:$I55="Dm+")*12+($C55:$I55="Dt+")*12+($C55:$I55="Tm-")*6+($C55:$I55="Mt-")*6)</f>
        <v/>
      </c>
      <c r="AU55" s="118">
        <f>AT55-MAX(0,IFERROR(INDEX(CADASTRO!$I$4:$I$80,MATCH($A55,CADASTRO!$A$4:$A$80,0)),$B55)-CONFIG!$B$50*(COUNTIF($C55:$I55,"AB")+COUNTIF($C55:$I55,"FE")+COUNTIF($C55:$I55,"LM")))</f>
        <v/>
      </c>
      <c r="AV55" s="117">
        <f>SUMPRODUCT(($J55:$P55="M")*6+($J55:$P55="T")*6+($J55:$P55="D")*12+($J55:$P55="N")*12+($J55:$P55="NT")*6+($J55:$P55="C")*10+($J55:$P55="A")*8+($J55:$P55="J")*5+($J55:$P55="CEP")*4+($J55:$P55="CP")*6+($J55:$P55="CRO")*6+($J55:$P55="M+")*6+($J55:$P55="T+")*6+($J55:$P55="D+")*12+($J55:$P55="N+")*12+($J55:$P55="Dm+")*12+($J55:$P55="Dt+")*12+($J55:$P55="Tm-")*6+($J55:$P55="Mt-")*6)</f>
        <v/>
      </c>
      <c r="AW55" s="118">
        <f>AV55-MAX(0,IFERROR(INDEX(CADASTRO!$I$4:$I$80,MATCH($A55,CADASTRO!$A$4:$A$80,0)),$B55)-CONFIG!$B$50*(COUNTIF($J55:$P55,"AB")+COUNTIF($J55:$P55,"FE")+COUNTIF($J55:$P55,"LM")))</f>
        <v/>
      </c>
      <c r="AX55" s="117">
        <f>SUMPRODUCT(($Q55:$W55="M")*6+($Q55:$W55="T")*6+($Q55:$W55="D")*12+($Q55:$W55="N")*12+($Q55:$W55="NT")*6+($Q55:$W55="C")*10+($Q55:$W55="A")*8+($Q55:$W55="J")*5+($Q55:$W55="CEP")*4+($Q55:$W55="CP")*6+($Q55:$W55="CRO")*6+($Q55:$W55="M+")*6+($Q55:$W55="T+")*6+($Q55:$W55="D+")*12+($Q55:$W55="N+")*12+($Q55:$W55="Dm+")*12+($Q55:$W55="Dt+")*12+($Q55:$W55="Tm-")*6+($Q55:$W55="Mt-")*6)</f>
        <v/>
      </c>
      <c r="AY55" s="118">
        <f>AX55-MAX(0,IFERROR(INDEX(CADASTRO!$I$4:$I$80,MATCH($A55,CADASTRO!$A$4:$A$80,0)),$B55)-CONFIG!$B$50*(COUNTIF($Q55:$W55,"AB")+COUNTIF($Q55:$W55,"FE")+COUNTIF($Q55:$W55,"LM")))</f>
        <v/>
      </c>
      <c r="AZ55" s="117">
        <f>SUMPRODUCT(($X55:$AD55="M")*6+($X55:$AD55="T")*6+($X55:$AD55="D")*12+($X55:$AD55="N")*12+($X55:$AD55="NT")*6+($X55:$AD55="C")*10+($X55:$AD55="A")*8+($X55:$AD55="J")*5+($X55:$AD55="CEP")*4+($X55:$AD55="CP")*6+($X55:$AD55="CRO")*6+($X55:$AD55="M+")*6+($X55:$AD55="T+")*6+($X55:$AD55="D+")*12+($X55:$AD55="N+")*12+($X55:$AD55="Dm+")*12+($X55:$AD55="Dt+")*12+($X55:$AD55="Tm-")*6+($X55:$AD55="Mt-")*6)</f>
        <v/>
      </c>
      <c r="BA55" s="118">
        <f>AZ55-MAX(0,IFERROR(INDEX(CADASTRO!$I$4:$I$80,MATCH($A55,CADASTRO!$A$4:$A$80,0)),$B55)-CONFIG!$B$50*(COUNTIF($X55:$AD55,"AB")+COUNTIF($X55:$AD55,"FE")+COUNTIF($X55:$AD55,"LM")))</f>
        <v/>
      </c>
      <c r="BB55" s="117">
        <f>SUMPRODUCT(($AE55:$AJ55="M")*6+($AE55:$AJ55="T")*6+($AE55:$AJ55="D")*12+($AE55:$AJ55="N")*12+($AE55:$AJ55="NT")*6+($AE55:$AJ55="C")*10+($AE55:$AJ55="A")*8+($AE55:$AJ55="J")*5+($AE55:$AJ55="CEP")*4+($AE55:$AJ55="CP")*6+($AE55:$AJ55="CRO")*6+($AE55:$AJ55="M+")*6+($AE55:$AJ55="T+")*6+($AE55:$AJ55="D+")*12+($AE55:$AJ55="N+")*12+($AE55:$AJ55="Dm+")*12+($AE55:$AJ55="Dt+")*12+($AE55:$AJ55="Tm-")*6+($AE55:$AJ55="Mt-")*6)+SUMPRODUCT(($AN55:$AN55="M")*6+($AN55:$AN55="T")*6+($AN55:$AN55="D")*12+($AN55:$AN55="N")*12+($AN55:$AN55="NT")*6+($AN55:$AN55="C")*10+($AN55:$AN55="A")*8+($AN55:$AN55="J")*5+($AN55:$AN55="CEP")*4+($AN55:$AN55="CP")*6+($AN55:$AN55="CRO")*6+($AN55:$AN55="M+")*6+($AN55:$AN55="T+")*6+($AN55:$AN55="D+")*12+($AN55:$AN55="N+")*12+($AN55:$AN55="Dm+")*12+($AN55:$AN55="Dt+")*12+($AN55:$AN55="Tm-")*6+($AN55:$AN55="Mt-")*6)</f>
        <v/>
      </c>
      <c r="BC55" s="118">
        <f>BB55-MAX(0,IFERROR(INDEX(CADASTRO!$I$4:$I$80,MATCH($A55,CADASTRO!$A$4:$A$80,0)),$B55)-CONFIG!$B$50*(COUNTIF($AE55:$AJ55,"AB")+COUNTIF($AE55:$AJ55,"FE")+COUNTIF($AE55:$AJ55,"LM")+COUNTIF($AN55:$AN55,"AB")+COUNTIF($AN55:$AN55,"FE")+COUNTIF($AN55:$AN55,"LM")))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ROUND(B55*4.0,0)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36">
        <f>IFERROR(INDEX(JAN!AH$8:AH$73,MATCH($A56,JAN!$A$8:$A$73,0))&amp;"","")</f>
        <v/>
      </c>
      <c r="D56" s="136">
        <f>IFERROR(INDEX(JAN!AI$8:AI$73,MATCH($A56,JAN!$A$8:$A$73,0))&amp;"","")</f>
        <v/>
      </c>
      <c r="E56" s="136">
        <f>IFERROR(INDEX(JAN!AJ$8:AJ$73,MATCH($A56,JAN!$A$8:$A$73,0))&amp;"","")</f>
        <v/>
      </c>
      <c r="F56" s="136">
        <f>IFERROR(INDEX(JAN!AK$8:AK$73,MATCH($A56,JAN!$A$8:$A$73,0))&amp;"","")</f>
        <v/>
      </c>
      <c r="G56" s="136">
        <f>IFERROR(INDEX(JAN!AL$8:AL$73,MATCH($A56,JAN!$A$8:$A$73,0))&amp;"","")</f>
        <v/>
      </c>
      <c r="H56" s="116">
        <f>IFERROR(INDEX(JAN!AM$8:AM$73,MATCH($A56,JAN!$A$8:$A$73,0))&amp;"","")</f>
        <v/>
      </c>
      <c r="I56" s="115" t="inlineStr">
        <is>
          <t>M</t>
        </is>
      </c>
      <c r="J56" s="114" t="n"/>
      <c r="K56" s="115" t="inlineStr">
        <is>
          <t>M</t>
        </is>
      </c>
      <c r="L56" s="114" t="n"/>
      <c r="M56" s="124" t="inlineStr">
        <is>
          <t>D</t>
        </is>
      </c>
      <c r="N56" s="114" t="n"/>
      <c r="O56" s="115" t="inlineStr">
        <is>
          <t>M</t>
        </is>
      </c>
      <c r="P56" s="114" t="n"/>
      <c r="Q56" s="114" t="n"/>
      <c r="R56" s="124" t="inlineStr">
        <is>
          <t>D</t>
        </is>
      </c>
      <c r="S56" s="114" t="n"/>
      <c r="T56" s="124" t="inlineStr">
        <is>
          <t>D</t>
        </is>
      </c>
      <c r="U56" s="114" t="n"/>
      <c r="V56" s="114" t="n"/>
      <c r="W56" s="114" t="n"/>
      <c r="X56" s="114" t="n"/>
      <c r="Y56" s="114" t="n"/>
      <c r="Z56" s="114" t="n"/>
      <c r="AA56" s="124" t="inlineStr">
        <is>
          <t>D</t>
        </is>
      </c>
      <c r="AB56" s="114" t="n"/>
      <c r="AC56" s="124" t="inlineStr">
        <is>
          <t>D</t>
        </is>
      </c>
      <c r="AD56" s="114" t="n"/>
      <c r="AE56" s="114" t="n"/>
      <c r="AF56" s="124" t="inlineStr">
        <is>
          <t>D</t>
        </is>
      </c>
      <c r="AG56" s="114" t="n"/>
      <c r="AH56" s="124" t="inlineStr">
        <is>
          <t>D</t>
        </is>
      </c>
      <c r="AI56" s="114" t="n"/>
      <c r="AJ56" s="114" t="n"/>
      <c r="AK56" s="100" t="n"/>
      <c r="AL56" s="100" t="n"/>
      <c r="AM56" s="100" t="n"/>
      <c r="AN56" s="116">
        <f>IFERROR(INDEX(MAR!I$8:I$73,MATCH($A56,MAR!$A$8:$A$73,0))&amp;"","")</f>
        <v/>
      </c>
      <c r="AO56" s="100" t="n"/>
      <c r="AP56" s="100" t="n"/>
      <c r="AQ56" s="100" t="n"/>
      <c r="AR56" s="100" t="n"/>
      <c r="AS56" s="100" t="n"/>
      <c r="AT56" s="117">
        <f>SUMPRODUCT(($C56:$I56="M")*6+($C56:$I56="T")*6+($C56:$I56="D")*12+($C56:$I56="N")*12+($C56:$I56="NT")*6+($C56:$I56="C")*10+($C56:$I56="A")*8+($C56:$I56="J")*5+($C56:$I56="CEP")*4+($C56:$I56="CP")*6+($C56:$I56="CRO")*6+($C56:$I56="M+")*6+($C56:$I56="T+")*6+($C56:$I56="D+")*12+($C56:$I56="N+")*12+($C56:$I56="Dm+")*12+($C56:$I56="Dt+")*12+($C56:$I56="Tm-")*6+($C56:$I56="Mt-")*6)</f>
        <v/>
      </c>
      <c r="AU56" s="118">
        <f>AT56-MAX(0,IFERROR(INDEX(CADASTRO!$I$4:$I$80,MATCH($A56,CADASTRO!$A$4:$A$80,0)),$B56)-CONFIG!$B$50*(COUNTIF($C56:$I56,"AB")+COUNTIF($C56:$I56,"FE")+COUNTIF($C56:$I56,"LM")))</f>
        <v/>
      </c>
      <c r="AV56" s="117">
        <f>SUMPRODUCT(($J56:$P56="M")*6+($J56:$P56="T")*6+($J56:$P56="D")*12+($J56:$P56="N")*12+($J56:$P56="NT")*6+($J56:$P56="C")*10+($J56:$P56="A")*8+($J56:$P56="J")*5+($J56:$P56="CEP")*4+($J56:$P56="CP")*6+($J56:$P56="CRO")*6+($J56:$P56="M+")*6+($J56:$P56="T+")*6+($J56:$P56="D+")*12+($J56:$P56="N+")*12+($J56:$P56="Dm+")*12+($J56:$P56="Dt+")*12+($J56:$P56="Tm-")*6+($J56:$P56="Mt-")*6)</f>
        <v/>
      </c>
      <c r="AW56" s="118">
        <f>AV56-MAX(0,IFERROR(INDEX(CADASTRO!$I$4:$I$80,MATCH($A56,CADASTRO!$A$4:$A$80,0)),$B56)-CONFIG!$B$50*(COUNTIF($J56:$P56,"AB")+COUNTIF($J56:$P56,"FE")+COUNTIF($J56:$P56,"LM")))</f>
        <v/>
      </c>
      <c r="AX56" s="117">
        <f>SUMPRODUCT(($Q56:$W56="M")*6+($Q56:$W56="T")*6+($Q56:$W56="D")*12+($Q56:$W56="N")*12+($Q56:$W56="NT")*6+($Q56:$W56="C")*10+($Q56:$W56="A")*8+($Q56:$W56="J")*5+($Q56:$W56="CEP")*4+($Q56:$W56="CP")*6+($Q56:$W56="CRO")*6+($Q56:$W56="M+")*6+($Q56:$W56="T+")*6+($Q56:$W56="D+")*12+($Q56:$W56="N+")*12+($Q56:$W56="Dm+")*12+($Q56:$W56="Dt+")*12+($Q56:$W56="Tm-")*6+($Q56:$W56="Mt-")*6)</f>
        <v/>
      </c>
      <c r="AY56" s="118">
        <f>AX56-MAX(0,IFERROR(INDEX(CADASTRO!$I$4:$I$80,MATCH($A56,CADASTRO!$A$4:$A$80,0)),$B56)-CONFIG!$B$50*(COUNTIF($Q56:$W56,"AB")+COUNTIF($Q56:$W56,"FE")+COUNTIF($Q56:$W56,"LM")))</f>
        <v/>
      </c>
      <c r="AZ56" s="117">
        <f>SUMPRODUCT(($X56:$AD56="M")*6+($X56:$AD56="T")*6+($X56:$AD56="D")*12+($X56:$AD56="N")*12+($X56:$AD56="NT")*6+($X56:$AD56="C")*10+($X56:$AD56="A")*8+($X56:$AD56="J")*5+($X56:$AD56="CEP")*4+($X56:$AD56="CP")*6+($X56:$AD56="CRO")*6+($X56:$AD56="M+")*6+($X56:$AD56="T+")*6+($X56:$AD56="D+")*12+($X56:$AD56="N+")*12+($X56:$AD56="Dm+")*12+($X56:$AD56="Dt+")*12+($X56:$AD56="Tm-")*6+($X56:$AD56="Mt-")*6)</f>
        <v/>
      </c>
      <c r="BA56" s="118">
        <f>AZ56-MAX(0,IFERROR(INDEX(CADASTRO!$I$4:$I$80,MATCH($A56,CADASTRO!$A$4:$A$80,0)),$B56)-CONFIG!$B$50*(COUNTIF($X56:$AD56,"AB")+COUNTIF($X56:$AD56,"FE")+COUNTIF($X56:$AD56,"LM")))</f>
        <v/>
      </c>
      <c r="BB56" s="117">
        <f>SUMPRODUCT(($AE56:$AJ56="M")*6+($AE56:$AJ56="T")*6+($AE56:$AJ56="D")*12+($AE56:$AJ56="N")*12+($AE56:$AJ56="NT")*6+($AE56:$AJ56="C")*10+($AE56:$AJ56="A")*8+($AE56:$AJ56="J")*5+($AE56:$AJ56="CEP")*4+($AE56:$AJ56="CP")*6+($AE56:$AJ56="CRO")*6+($AE56:$AJ56="M+")*6+($AE56:$AJ56="T+")*6+($AE56:$AJ56="D+")*12+($AE56:$AJ56="N+")*12+($AE56:$AJ56="Dm+")*12+($AE56:$AJ56="Dt+")*12+($AE56:$AJ56="Tm-")*6+($AE56:$AJ56="Mt-")*6)+SUMPRODUCT(($AN56:$AN56="M")*6+($AN56:$AN56="T")*6+($AN56:$AN56="D")*12+($AN56:$AN56="N")*12+($AN56:$AN56="NT")*6+($AN56:$AN56="C")*10+($AN56:$AN56="A")*8+($AN56:$AN56="J")*5+($AN56:$AN56="CEP")*4+($AN56:$AN56="CP")*6+($AN56:$AN56="CRO")*6+($AN56:$AN56="M+")*6+($AN56:$AN56="T+")*6+($AN56:$AN56="D+")*12+($AN56:$AN56="N+")*12+($AN56:$AN56="Dm+")*12+($AN56:$AN56="Dt+")*12+($AN56:$AN56="Tm-")*6+($AN56:$AN56="Mt-")*6)</f>
        <v/>
      </c>
      <c r="BC56" s="118">
        <f>BB56-MAX(0,IFERROR(INDEX(CADASTRO!$I$4:$I$80,MATCH($A56,CADASTRO!$A$4:$A$80,0)),$B56)-CONFIG!$B$50*(COUNTIF($AE56:$AJ56,"AB")+COUNTIF($AE56:$AJ56,"FE")+COUNTIF($AE56:$AJ56,"LM")+COUNTIF($AN56:$AN56,"AB")+COUNTIF($AN56:$AN56,"FE")+COUNTIF($AN56:$AN56,"LM")))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ROUND(B56*4.0,0)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36">
        <f>IFERROR(INDEX(JAN!AH$8:AH$73,MATCH($A57,JAN!$A$8:$A$73,0))&amp;"","")</f>
        <v/>
      </c>
      <c r="D57" s="136">
        <f>IFERROR(INDEX(JAN!AI$8:AI$73,MATCH($A57,JAN!$A$8:$A$73,0))&amp;"","")</f>
        <v/>
      </c>
      <c r="E57" s="136">
        <f>IFERROR(INDEX(JAN!AJ$8:AJ$73,MATCH($A57,JAN!$A$8:$A$73,0))&amp;"","")</f>
        <v/>
      </c>
      <c r="F57" s="136">
        <f>IFERROR(INDEX(JAN!AK$8:AK$73,MATCH($A57,JAN!$A$8:$A$73,0))&amp;"","")</f>
        <v/>
      </c>
      <c r="G57" s="136">
        <f>IFERROR(INDEX(JAN!AL$8:AL$73,MATCH($A57,JAN!$A$8:$A$73,0))&amp;"","")</f>
        <v/>
      </c>
      <c r="H57" s="116">
        <f>IFERROR(INDEX(JAN!AM$8:AM$73,MATCH($A57,JAN!$A$8:$A$73,0))&amp;"","")</f>
        <v/>
      </c>
      <c r="I57" s="114" t="n"/>
      <c r="J57" s="114" t="n"/>
      <c r="K57" s="125" t="inlineStr">
        <is>
          <t>N</t>
        </is>
      </c>
      <c r="L57" s="125" t="inlineStr">
        <is>
          <t>N</t>
        </is>
      </c>
      <c r="M57" s="114" t="n"/>
      <c r="N57" s="114" t="n"/>
      <c r="O57" s="114" t="n"/>
      <c r="P57" s="114" t="n"/>
      <c r="Q57" s="125" t="inlineStr">
        <is>
          <t>N</t>
        </is>
      </c>
      <c r="R57" s="114" t="n"/>
      <c r="S57" s="114" t="n"/>
      <c r="T57" s="114" t="n"/>
      <c r="U57" s="125" t="inlineStr">
        <is>
          <t>N</t>
        </is>
      </c>
      <c r="V57" s="114" t="n"/>
      <c r="W57" s="114" t="n"/>
      <c r="X57" s="114" t="n"/>
      <c r="Y57" s="114" t="n"/>
      <c r="Z57" s="114" t="n"/>
      <c r="AA57" s="125" t="inlineStr">
        <is>
          <t>N</t>
        </is>
      </c>
      <c r="AB57" s="114" t="n"/>
      <c r="AC57" s="114" t="n"/>
      <c r="AD57" s="124" t="inlineStr">
        <is>
          <t>D</t>
        </is>
      </c>
      <c r="AE57" s="114" t="n"/>
      <c r="AF57" s="125" t="inlineStr">
        <is>
          <t>N</t>
        </is>
      </c>
      <c r="AG57" s="114" t="n"/>
      <c r="AH57" s="114" t="n"/>
      <c r="AI57" s="114" t="n"/>
      <c r="AJ57" s="124" t="inlineStr">
        <is>
          <t>D</t>
        </is>
      </c>
      <c r="AK57" s="100" t="n"/>
      <c r="AL57" s="100" t="n"/>
      <c r="AM57" s="100" t="n"/>
      <c r="AN57" s="116">
        <f>IFERROR(INDEX(MAR!I$8:I$73,MATCH($A57,MAR!$A$8:$A$73,0))&amp;"","")</f>
        <v/>
      </c>
      <c r="AO57" s="100" t="n"/>
      <c r="AP57" s="100" t="n"/>
      <c r="AQ57" s="100" t="n"/>
      <c r="AR57" s="100" t="n"/>
      <c r="AS57" s="100" t="n"/>
      <c r="AT57" s="117">
        <f>SUMPRODUCT(($C57:$I57="M")*6+($C57:$I57="T")*6+($C57:$I57="D")*12+($C57:$I57="N")*12+($C57:$I57="NT")*6+($C57:$I57="C")*10+($C57:$I57="A")*8+($C57:$I57="J")*5+($C57:$I57="CEP")*4+($C57:$I57="CP")*6+($C57:$I57="CRO")*6+($C57:$I57="M+")*6+($C57:$I57="T+")*6+($C57:$I57="D+")*12+($C57:$I57="N+")*12+($C57:$I57="Dm+")*12+($C57:$I57="Dt+")*12+($C57:$I57="Tm-")*6+($C57:$I57="Mt-")*6)</f>
        <v/>
      </c>
      <c r="AU57" s="118">
        <f>AT57-MAX(0,IFERROR(INDEX(CADASTRO!$I$4:$I$80,MATCH($A57,CADASTRO!$A$4:$A$80,0)),$B57)-CONFIG!$B$50*(COUNTIF($C57:$I57,"AB")+COUNTIF($C57:$I57,"FE")+COUNTIF($C57:$I57,"LM")))</f>
        <v/>
      </c>
      <c r="AV57" s="117">
        <f>SUMPRODUCT(($J57:$P57="M")*6+($J57:$P57="T")*6+($J57:$P57="D")*12+($J57:$P57="N")*12+($J57:$P57="NT")*6+($J57:$P57="C")*10+($J57:$P57="A")*8+($J57:$P57="J")*5+($J57:$P57="CEP")*4+($J57:$P57="CP")*6+($J57:$P57="CRO")*6+($J57:$P57="M+")*6+($J57:$P57="T+")*6+($J57:$P57="D+")*12+($J57:$P57="N+")*12+($J57:$P57="Dm+")*12+($J57:$P57="Dt+")*12+($J57:$P57="Tm-")*6+($J57:$P57="Mt-")*6)</f>
        <v/>
      </c>
      <c r="AW57" s="118">
        <f>AV57-MAX(0,IFERROR(INDEX(CADASTRO!$I$4:$I$80,MATCH($A57,CADASTRO!$A$4:$A$80,0)),$B57)-CONFIG!$B$50*(COUNTIF($J57:$P57,"AB")+COUNTIF($J57:$P57,"FE")+COUNTIF($J57:$P57,"LM")))</f>
        <v/>
      </c>
      <c r="AX57" s="117">
        <f>SUMPRODUCT(($Q57:$W57="M")*6+($Q57:$W57="T")*6+($Q57:$W57="D")*12+($Q57:$W57="N")*12+($Q57:$W57="NT")*6+($Q57:$W57="C")*10+($Q57:$W57="A")*8+($Q57:$W57="J")*5+($Q57:$W57="CEP")*4+($Q57:$W57="CP")*6+($Q57:$W57="CRO")*6+($Q57:$W57="M+")*6+($Q57:$W57="T+")*6+($Q57:$W57="D+")*12+($Q57:$W57="N+")*12+($Q57:$W57="Dm+")*12+($Q57:$W57="Dt+")*12+($Q57:$W57="Tm-")*6+($Q57:$W57="Mt-")*6)</f>
        <v/>
      </c>
      <c r="AY57" s="118">
        <f>AX57-MAX(0,IFERROR(INDEX(CADASTRO!$I$4:$I$80,MATCH($A57,CADASTRO!$A$4:$A$80,0)),$B57)-CONFIG!$B$50*(COUNTIF($Q57:$W57,"AB")+COUNTIF($Q57:$W57,"FE")+COUNTIF($Q57:$W57,"LM")))</f>
        <v/>
      </c>
      <c r="AZ57" s="117">
        <f>SUMPRODUCT(($X57:$AD57="M")*6+($X57:$AD57="T")*6+($X57:$AD57="D")*12+($X57:$AD57="N")*12+($X57:$AD57="NT")*6+($X57:$AD57="C")*10+($X57:$AD57="A")*8+($X57:$AD57="J")*5+($X57:$AD57="CEP")*4+($X57:$AD57="CP")*6+($X57:$AD57="CRO")*6+($X57:$AD57="M+")*6+($X57:$AD57="T+")*6+($X57:$AD57="D+")*12+($X57:$AD57="N+")*12+($X57:$AD57="Dm+")*12+($X57:$AD57="Dt+")*12+($X57:$AD57="Tm-")*6+($X57:$AD57="Mt-")*6)</f>
        <v/>
      </c>
      <c r="BA57" s="118">
        <f>AZ57-MAX(0,IFERROR(INDEX(CADASTRO!$I$4:$I$80,MATCH($A57,CADASTRO!$A$4:$A$80,0)),$B57)-CONFIG!$B$50*(COUNTIF($X57:$AD57,"AB")+COUNTIF($X57:$AD57,"FE")+COUNTIF($X57:$AD57,"LM")))</f>
        <v/>
      </c>
      <c r="BB57" s="117">
        <f>SUMPRODUCT(($AE57:$AJ57="M")*6+($AE57:$AJ57="T")*6+($AE57:$AJ57="D")*12+($AE57:$AJ57="N")*12+($AE57:$AJ57="NT")*6+($AE57:$AJ57="C")*10+($AE57:$AJ57="A")*8+($AE57:$AJ57="J")*5+($AE57:$AJ57="CEP")*4+($AE57:$AJ57="CP")*6+($AE57:$AJ57="CRO")*6+($AE57:$AJ57="M+")*6+($AE57:$AJ57="T+")*6+($AE57:$AJ57="D+")*12+($AE57:$AJ57="N+")*12+($AE57:$AJ57="Dm+")*12+($AE57:$AJ57="Dt+")*12+($AE57:$AJ57="Tm-")*6+($AE57:$AJ57="Mt-")*6)+SUMPRODUCT(($AN57:$AN57="M")*6+($AN57:$AN57="T")*6+($AN57:$AN57="D")*12+($AN57:$AN57="N")*12+($AN57:$AN57="NT")*6+($AN57:$AN57="C")*10+($AN57:$AN57="A")*8+($AN57:$AN57="J")*5+($AN57:$AN57="CEP")*4+($AN57:$AN57="CP")*6+($AN57:$AN57="CRO")*6+($AN57:$AN57="M+")*6+($AN57:$AN57="T+")*6+($AN57:$AN57="D+")*12+($AN57:$AN57="N+")*12+($AN57:$AN57="Dm+")*12+($AN57:$AN57="Dt+")*12+($AN57:$AN57="Tm-")*6+($AN57:$AN57="Mt-")*6)</f>
        <v/>
      </c>
      <c r="BC57" s="118">
        <f>BB57-MAX(0,IFERROR(INDEX(CADASTRO!$I$4:$I$80,MATCH($A57,CADASTRO!$A$4:$A$80,0)),$B57)-CONFIG!$B$50*(COUNTIF($AE57:$AJ57,"AB")+COUNTIF($AE57:$AJ57,"FE")+COUNTIF($AE57:$AJ57,"LM")+COUNTIF($AN57:$AN57,"AB")+COUNTIF($AN57:$AN57,"FE")+COUNTIF($AN57:$AN57,"LM")))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ROUND(B57*4.0,0)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36">
        <f>IFERROR(INDEX(JAN!AH$8:AH$73,MATCH($A58,JAN!$A$8:$A$73,0))&amp;"","")</f>
        <v/>
      </c>
      <c r="D58" s="136">
        <f>IFERROR(INDEX(JAN!AI$8:AI$73,MATCH($A58,JAN!$A$8:$A$73,0))&amp;"","")</f>
        <v/>
      </c>
      <c r="E58" s="136">
        <f>IFERROR(INDEX(JAN!AJ$8:AJ$73,MATCH($A58,JAN!$A$8:$A$73,0))&amp;"","")</f>
        <v/>
      </c>
      <c r="F58" s="136">
        <f>IFERROR(INDEX(JAN!AK$8:AK$73,MATCH($A58,JAN!$A$8:$A$73,0))&amp;"","")</f>
        <v/>
      </c>
      <c r="G58" s="136">
        <f>IFERROR(INDEX(JAN!AL$8:AL$73,MATCH($A58,JAN!$A$8:$A$73,0))&amp;"","")</f>
        <v/>
      </c>
      <c r="H58" s="116">
        <f>IFERROR(INDEX(JAN!AM$8:AM$73,MATCH($A58,JAN!$A$8:$A$73,0))&amp;"","")</f>
        <v/>
      </c>
      <c r="I58" s="114" t="n"/>
      <c r="J58" s="124" t="inlineStr">
        <is>
          <t>D</t>
        </is>
      </c>
      <c r="K58" s="114" t="n"/>
      <c r="L58" s="114" t="n"/>
      <c r="M58" s="114" t="n"/>
      <c r="N58" s="125" t="inlineStr">
        <is>
          <t>N</t>
        </is>
      </c>
      <c r="O58" s="114" t="n"/>
      <c r="P58" s="123" t="inlineStr">
        <is>
          <t>T+</t>
        </is>
      </c>
      <c r="Q58" s="127" t="inlineStr">
        <is>
          <t>Tm-</t>
        </is>
      </c>
      <c r="R58" s="114" t="n"/>
      <c r="S58" s="125" t="inlineStr">
        <is>
          <t>N</t>
        </is>
      </c>
      <c r="T58" s="114" t="n"/>
      <c r="U58" s="114" t="n"/>
      <c r="V58" s="114" t="n"/>
      <c r="W58" s="114" t="n"/>
      <c r="X58" s="114" t="n"/>
      <c r="Y58" s="114" t="n"/>
      <c r="Z58" s="125" t="inlineStr">
        <is>
          <t>N</t>
        </is>
      </c>
      <c r="AA58" s="114" t="n"/>
      <c r="AB58" s="114" t="n"/>
      <c r="AC58" s="124" t="inlineStr">
        <is>
          <t>D</t>
        </is>
      </c>
      <c r="AD58" s="114" t="n"/>
      <c r="AE58" s="126" t="inlineStr">
        <is>
          <t>T</t>
        </is>
      </c>
      <c r="AF58" s="114" t="n"/>
      <c r="AG58" s="125" t="inlineStr">
        <is>
          <t>N</t>
        </is>
      </c>
      <c r="AH58" s="114" t="n"/>
      <c r="AI58" s="114" t="n"/>
      <c r="AJ58" s="126" t="inlineStr">
        <is>
          <t>T</t>
        </is>
      </c>
      <c r="AK58" s="100" t="n"/>
      <c r="AL58" s="100" t="n"/>
      <c r="AM58" s="100" t="n"/>
      <c r="AN58" s="116">
        <f>IFERROR(INDEX(MAR!I$8:I$73,MATCH($A58,MAR!$A$8:$A$73,0))&amp;"","")</f>
        <v/>
      </c>
      <c r="AO58" s="100" t="n"/>
      <c r="AP58" s="100" t="n"/>
      <c r="AQ58" s="100" t="n"/>
      <c r="AR58" s="100" t="n"/>
      <c r="AS58" s="100" t="n"/>
      <c r="AT58" s="117">
        <f>SUMPRODUCT(($C58:$I58="M")*6+($C58:$I58="T")*6+($C58:$I58="D")*12+($C58:$I58="N")*12+($C58:$I58="NT")*6+($C58:$I58="C")*10+($C58:$I58="A")*8+($C58:$I58="J")*5+($C58:$I58="CEP")*4+($C58:$I58="CP")*6+($C58:$I58="CRO")*6+($C58:$I58="M+")*6+($C58:$I58="T+")*6+($C58:$I58="D+")*12+($C58:$I58="N+")*12+($C58:$I58="Dm+")*12+($C58:$I58="Dt+")*12+($C58:$I58="Tm-")*6+($C58:$I58="Mt-")*6)</f>
        <v/>
      </c>
      <c r="AU58" s="118">
        <f>AT58-MAX(0,IFERROR(INDEX(CADASTRO!$I$4:$I$80,MATCH($A58,CADASTRO!$A$4:$A$80,0)),$B58)-CONFIG!$B$50*(COUNTIF($C58:$I58,"AB")+COUNTIF($C58:$I58,"FE")+COUNTIF($C58:$I58,"LM")))</f>
        <v/>
      </c>
      <c r="AV58" s="117">
        <f>SUMPRODUCT(($J58:$P58="M")*6+($J58:$P58="T")*6+($J58:$P58="D")*12+($J58:$P58="N")*12+($J58:$P58="NT")*6+($J58:$P58="C")*10+($J58:$P58="A")*8+($J58:$P58="J")*5+($J58:$P58="CEP")*4+($J58:$P58="CP")*6+($J58:$P58="CRO")*6+($J58:$P58="M+")*6+($J58:$P58="T+")*6+($J58:$P58="D+")*12+($J58:$P58="N+")*12+($J58:$P58="Dm+")*12+($J58:$P58="Dt+")*12+($J58:$P58="Tm-")*6+($J58:$P58="Mt-")*6)</f>
        <v/>
      </c>
      <c r="AW58" s="118">
        <f>AV58-MAX(0,IFERROR(INDEX(CADASTRO!$I$4:$I$80,MATCH($A58,CADASTRO!$A$4:$A$80,0)),$B58)-CONFIG!$B$50*(COUNTIF($J58:$P58,"AB")+COUNTIF($J58:$P58,"FE")+COUNTIF($J58:$P58,"LM")))</f>
        <v/>
      </c>
      <c r="AX58" s="117">
        <f>SUMPRODUCT(($Q58:$W58="M")*6+($Q58:$W58="T")*6+($Q58:$W58="D")*12+($Q58:$W58="N")*12+($Q58:$W58="NT")*6+($Q58:$W58="C")*10+($Q58:$W58="A")*8+($Q58:$W58="J")*5+($Q58:$W58="CEP")*4+($Q58:$W58="CP")*6+($Q58:$W58="CRO")*6+($Q58:$W58="M+")*6+($Q58:$W58="T+")*6+($Q58:$W58="D+")*12+($Q58:$W58="N+")*12+($Q58:$W58="Dm+")*12+($Q58:$W58="Dt+")*12+($Q58:$W58="Tm-")*6+($Q58:$W58="Mt-")*6)</f>
        <v/>
      </c>
      <c r="AY58" s="118">
        <f>AX58-MAX(0,IFERROR(INDEX(CADASTRO!$I$4:$I$80,MATCH($A58,CADASTRO!$A$4:$A$80,0)),$B58)-CONFIG!$B$50*(COUNTIF($Q58:$W58,"AB")+COUNTIF($Q58:$W58,"FE")+COUNTIF($Q58:$W58,"LM")))</f>
        <v/>
      </c>
      <c r="AZ58" s="117">
        <f>SUMPRODUCT(($X58:$AD58="M")*6+($X58:$AD58="T")*6+($X58:$AD58="D")*12+($X58:$AD58="N")*12+($X58:$AD58="NT")*6+($X58:$AD58="C")*10+($X58:$AD58="A")*8+($X58:$AD58="J")*5+($X58:$AD58="CEP")*4+($X58:$AD58="CP")*6+($X58:$AD58="CRO")*6+($X58:$AD58="M+")*6+($X58:$AD58="T+")*6+($X58:$AD58="D+")*12+($X58:$AD58="N+")*12+($X58:$AD58="Dm+")*12+($X58:$AD58="Dt+")*12+($X58:$AD58="Tm-")*6+($X58:$AD58="Mt-")*6)</f>
        <v/>
      </c>
      <c r="BA58" s="118">
        <f>AZ58-MAX(0,IFERROR(INDEX(CADASTRO!$I$4:$I$80,MATCH($A58,CADASTRO!$A$4:$A$80,0)),$B58)-CONFIG!$B$50*(COUNTIF($X58:$AD58,"AB")+COUNTIF($X58:$AD58,"FE")+COUNTIF($X58:$AD58,"LM")))</f>
        <v/>
      </c>
      <c r="BB58" s="117">
        <f>SUMPRODUCT(($AE58:$AJ58="M")*6+($AE58:$AJ58="T")*6+($AE58:$AJ58="D")*12+($AE58:$AJ58="N")*12+($AE58:$AJ58="NT")*6+($AE58:$AJ58="C")*10+($AE58:$AJ58="A")*8+($AE58:$AJ58="J")*5+($AE58:$AJ58="CEP")*4+($AE58:$AJ58="CP")*6+($AE58:$AJ58="CRO")*6+($AE58:$AJ58="M+")*6+($AE58:$AJ58="T+")*6+($AE58:$AJ58="D+")*12+($AE58:$AJ58="N+")*12+($AE58:$AJ58="Dm+")*12+($AE58:$AJ58="Dt+")*12+($AE58:$AJ58="Tm-")*6+($AE58:$AJ58="Mt-")*6)+SUMPRODUCT(($AN58:$AN58="M")*6+($AN58:$AN58="T")*6+($AN58:$AN58="D")*12+($AN58:$AN58="N")*12+($AN58:$AN58="NT")*6+($AN58:$AN58="C")*10+($AN58:$AN58="A")*8+($AN58:$AN58="J")*5+($AN58:$AN58="CEP")*4+($AN58:$AN58="CP")*6+($AN58:$AN58="CRO")*6+($AN58:$AN58="M+")*6+($AN58:$AN58="T+")*6+($AN58:$AN58="D+")*12+($AN58:$AN58="N+")*12+($AN58:$AN58="Dm+")*12+($AN58:$AN58="Dt+")*12+($AN58:$AN58="Tm-")*6+($AN58:$AN58="Mt-")*6)</f>
        <v/>
      </c>
      <c r="BC58" s="118">
        <f>BB58-MAX(0,IFERROR(INDEX(CADASTRO!$I$4:$I$80,MATCH($A58,CADASTRO!$A$4:$A$80,0)),$B58)-CONFIG!$B$50*(COUNTIF($AE58:$AJ58,"AB")+COUNTIF($AE58:$AJ58,"FE")+COUNTIF($AE58:$AJ58,"LM")+COUNTIF($AN58:$AN58,"AB")+COUNTIF($AN58:$AN58,"FE")+COUNTIF($AN58:$AN58,"LM")))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ROUND(B58*4.0,0)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36">
        <f>IFERROR(INDEX(JAN!AH$8:AH$73,MATCH($A59,JAN!$A$8:$A$73,0))&amp;"","")</f>
        <v/>
      </c>
      <c r="D59" s="136">
        <f>IFERROR(INDEX(JAN!AI$8:AI$73,MATCH($A59,JAN!$A$8:$A$73,0))&amp;"","")</f>
        <v/>
      </c>
      <c r="E59" s="136">
        <f>IFERROR(INDEX(JAN!AJ$8:AJ$73,MATCH($A59,JAN!$A$8:$A$73,0))&amp;"","")</f>
        <v/>
      </c>
      <c r="F59" s="136">
        <f>IFERROR(INDEX(JAN!AK$8:AK$73,MATCH($A59,JAN!$A$8:$A$73,0))&amp;"","")</f>
        <v/>
      </c>
      <c r="G59" s="136">
        <f>IFERROR(INDEX(JAN!AL$8:AL$73,MATCH($A59,JAN!$A$8:$A$73,0))&amp;"","")</f>
        <v/>
      </c>
      <c r="H59" s="116">
        <f>IFERROR(INDEX(JAN!AM$8:AM$73,MATCH($A59,JAN!$A$8:$A$73,0))&amp;"","")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00" t="n"/>
      <c r="AL59" s="100" t="n"/>
      <c r="AM59" s="100" t="n"/>
      <c r="AN59" s="116">
        <f>IFERROR(INDEX(MAR!I$8:I$73,MATCH($A59,MAR!$A$8:$A$73,0))&amp;"","")</f>
        <v/>
      </c>
      <c r="AO59" s="100" t="n"/>
      <c r="AP59" s="100" t="n"/>
      <c r="AQ59" s="100" t="n"/>
      <c r="AR59" s="100" t="n"/>
      <c r="AS59" s="100" t="n"/>
      <c r="AT59" s="117">
        <f>SUMPRODUCT(($C59:$I59="M")*6+($C59:$I59="T")*6+($C59:$I59="D")*12+($C59:$I59="N")*12+($C59:$I59="NT")*6+($C59:$I59="C")*10+($C59:$I59="A")*8+($C59:$I59="J")*5+($C59:$I59="CEP")*4+($C59:$I59="CP")*6+($C59:$I59="CRO")*6+($C59:$I59="M+")*6+($C59:$I59="T+")*6+($C59:$I59="D+")*12+($C59:$I59="N+")*12+($C59:$I59="Dm+")*12+($C59:$I59="Dt+")*12+($C59:$I59="Tm-")*6+($C59:$I59="Mt-")*6)</f>
        <v/>
      </c>
      <c r="AU59" s="118">
        <f>AT59-MAX(0,IFERROR(INDEX(CADASTRO!$I$4:$I$80,MATCH($A59,CADASTRO!$A$4:$A$80,0)),$B59)-CONFIG!$B$50*(COUNTIF($C59:$I59,"AB")+COUNTIF($C59:$I59,"FE")+COUNTIF($C59:$I59,"LM")))</f>
        <v/>
      </c>
      <c r="AV59" s="117">
        <f>SUMPRODUCT(($J59:$P59="M")*6+($J59:$P59="T")*6+($J59:$P59="D")*12+($J59:$P59="N")*12+($J59:$P59="NT")*6+($J59:$P59="C")*10+($J59:$P59="A")*8+($J59:$P59="J")*5+($J59:$P59="CEP")*4+($J59:$P59="CP")*6+($J59:$P59="CRO")*6+($J59:$P59="M+")*6+($J59:$P59="T+")*6+($J59:$P59="D+")*12+($J59:$P59="N+")*12+($J59:$P59="Dm+")*12+($J59:$P59="Dt+")*12+($J59:$P59="Tm-")*6+($J59:$P59="Mt-")*6)</f>
        <v/>
      </c>
      <c r="AW59" s="118">
        <f>AV59-MAX(0,IFERROR(INDEX(CADASTRO!$I$4:$I$80,MATCH($A59,CADASTRO!$A$4:$A$80,0)),$B59)-CONFIG!$B$50*(COUNTIF($J59:$P59,"AB")+COUNTIF($J59:$P59,"FE")+COUNTIF($J59:$P59,"LM")))</f>
        <v/>
      </c>
      <c r="AX59" s="117">
        <f>SUMPRODUCT(($Q59:$W59="M")*6+($Q59:$W59="T")*6+($Q59:$W59="D")*12+($Q59:$W59="N")*12+($Q59:$W59="NT")*6+($Q59:$W59="C")*10+($Q59:$W59="A")*8+($Q59:$W59="J")*5+($Q59:$W59="CEP")*4+($Q59:$W59="CP")*6+($Q59:$W59="CRO")*6+($Q59:$W59="M+")*6+($Q59:$W59="T+")*6+($Q59:$W59="D+")*12+($Q59:$W59="N+")*12+($Q59:$W59="Dm+")*12+($Q59:$W59="Dt+")*12+($Q59:$W59="Tm-")*6+($Q59:$W59="Mt-")*6)</f>
        <v/>
      </c>
      <c r="AY59" s="118">
        <f>AX59-MAX(0,IFERROR(INDEX(CADASTRO!$I$4:$I$80,MATCH($A59,CADASTRO!$A$4:$A$80,0)),$B59)-CONFIG!$B$50*(COUNTIF($Q59:$W59,"AB")+COUNTIF($Q59:$W59,"FE")+COUNTIF($Q59:$W59,"LM")))</f>
        <v/>
      </c>
      <c r="AZ59" s="117">
        <f>SUMPRODUCT(($X59:$AD59="M")*6+($X59:$AD59="T")*6+($X59:$AD59="D")*12+($X59:$AD59="N")*12+($X59:$AD59="NT")*6+($X59:$AD59="C")*10+($X59:$AD59="A")*8+($X59:$AD59="J")*5+($X59:$AD59="CEP")*4+($X59:$AD59="CP")*6+($X59:$AD59="CRO")*6+($X59:$AD59="M+")*6+($X59:$AD59="T+")*6+($X59:$AD59="D+")*12+($X59:$AD59="N+")*12+($X59:$AD59="Dm+")*12+($X59:$AD59="Dt+")*12+($X59:$AD59="Tm-")*6+($X59:$AD59="Mt-")*6)</f>
        <v/>
      </c>
      <c r="BA59" s="118">
        <f>AZ59-MAX(0,IFERROR(INDEX(CADASTRO!$I$4:$I$80,MATCH($A59,CADASTRO!$A$4:$A$80,0)),$B59)-CONFIG!$B$50*(COUNTIF($X59:$AD59,"AB")+COUNTIF($X59:$AD59,"FE")+COUNTIF($X59:$AD59,"LM")))</f>
        <v/>
      </c>
      <c r="BB59" s="117">
        <f>SUMPRODUCT(($AE59:$AJ59="M")*6+($AE59:$AJ59="T")*6+($AE59:$AJ59="D")*12+($AE59:$AJ59="N")*12+($AE59:$AJ59="NT")*6+($AE59:$AJ59="C")*10+($AE59:$AJ59="A")*8+($AE59:$AJ59="J")*5+($AE59:$AJ59="CEP")*4+($AE59:$AJ59="CP")*6+($AE59:$AJ59="CRO")*6+($AE59:$AJ59="M+")*6+($AE59:$AJ59="T+")*6+($AE59:$AJ59="D+")*12+($AE59:$AJ59="N+")*12+($AE59:$AJ59="Dm+")*12+($AE59:$AJ59="Dt+")*12+($AE59:$AJ59="Tm-")*6+($AE59:$AJ59="Mt-")*6)+SUMPRODUCT(($AN59:$AN59="M")*6+($AN59:$AN59="T")*6+($AN59:$AN59="D")*12+($AN59:$AN59="N")*12+($AN59:$AN59="NT")*6+($AN59:$AN59="C")*10+($AN59:$AN59="A")*8+($AN59:$AN59="J")*5+($AN59:$AN59="CEP")*4+($AN59:$AN59="CP")*6+($AN59:$AN59="CRO")*6+($AN59:$AN59="M+")*6+($AN59:$AN59="T+")*6+($AN59:$AN59="D+")*12+($AN59:$AN59="N+")*12+($AN59:$AN59="Dm+")*12+($AN59:$AN59="Dt+")*12+($AN59:$AN59="Tm-")*6+($AN59:$AN59="Mt-")*6)</f>
        <v/>
      </c>
      <c r="BC59" s="118">
        <f>BB59-MAX(0,IFERROR(INDEX(CADASTRO!$I$4:$I$80,MATCH($A59,CADASTRO!$A$4:$A$80,0)),$B59)-CONFIG!$B$50*(COUNTIF($AE59:$AJ59,"AB")+COUNTIF($AE59:$AJ59,"FE")+COUNTIF($AE59:$AJ59,"LM")+COUNTIF($AN59:$AN59,"AB")+COUNTIF($AN59:$AN59,"FE")+COUNTIF($AN59:$AN59,"LM")))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ROUND(B59*4.0,0)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36">
        <f>IFERROR(INDEX(JAN!AH$8:AH$73,MATCH($A60,JAN!$A$8:$A$73,0))&amp;"","")</f>
        <v/>
      </c>
      <c r="D60" s="136">
        <f>IFERROR(INDEX(JAN!AI$8:AI$73,MATCH($A60,JAN!$A$8:$A$73,0))&amp;"","")</f>
        <v/>
      </c>
      <c r="E60" s="136">
        <f>IFERROR(INDEX(JAN!AJ$8:AJ$73,MATCH($A60,JAN!$A$8:$A$73,0))&amp;"","")</f>
        <v/>
      </c>
      <c r="F60" s="136">
        <f>IFERROR(INDEX(JAN!AK$8:AK$73,MATCH($A60,JAN!$A$8:$A$73,0))&amp;"","")</f>
        <v/>
      </c>
      <c r="G60" s="136">
        <f>IFERROR(INDEX(JAN!AL$8:AL$73,MATCH($A60,JAN!$A$8:$A$73,0))&amp;"","")</f>
        <v/>
      </c>
      <c r="H60" s="116">
        <f>IFERROR(INDEX(JAN!AM$8:AM$73,MATCH($A60,JAN!$A$8:$A$73,0))&amp;"","")</f>
        <v/>
      </c>
      <c r="I60" s="115" t="inlineStr">
        <is>
          <t>M</t>
        </is>
      </c>
      <c r="J60" s="114" t="n"/>
      <c r="K60" s="114" t="n"/>
      <c r="L60" s="126" t="inlineStr">
        <is>
          <t>T</t>
        </is>
      </c>
      <c r="M60" s="114" t="n"/>
      <c r="N60" s="126" t="inlineStr">
        <is>
          <t>T</t>
        </is>
      </c>
      <c r="O60" s="114" t="n"/>
      <c r="P60" s="124" t="inlineStr">
        <is>
          <t>D</t>
        </is>
      </c>
      <c r="Q60" s="114" t="n"/>
      <c r="R60" s="126" t="inlineStr">
        <is>
          <t>T</t>
        </is>
      </c>
      <c r="S60" s="114" t="n"/>
      <c r="T60" s="127" t="inlineStr">
        <is>
          <t>Tm-</t>
        </is>
      </c>
      <c r="U60" s="126" t="inlineStr">
        <is>
          <t>T</t>
        </is>
      </c>
      <c r="V60" s="114" t="n"/>
      <c r="W60" s="114" t="n"/>
      <c r="X60" s="114" t="n"/>
      <c r="Y60" s="124" t="inlineStr">
        <is>
          <t>D</t>
        </is>
      </c>
      <c r="Z60" s="123" t="inlineStr">
        <is>
          <t>M+</t>
        </is>
      </c>
      <c r="AA60" s="114" t="n"/>
      <c r="AB60" s="114" t="n"/>
      <c r="AC60" s="114" t="n"/>
      <c r="AD60" s="124" t="inlineStr">
        <is>
          <t>D</t>
        </is>
      </c>
      <c r="AE60" s="114" t="n"/>
      <c r="AF60" s="114" t="n"/>
      <c r="AG60" s="114" t="n"/>
      <c r="AH60" s="114" t="n"/>
      <c r="AI60" s="125" t="inlineStr">
        <is>
          <t>N</t>
        </is>
      </c>
      <c r="AJ60" s="114" t="n"/>
      <c r="AK60" s="100" t="n"/>
      <c r="AL60" s="100" t="n"/>
      <c r="AM60" s="100" t="n"/>
      <c r="AN60" s="116">
        <f>IFERROR(INDEX(MAR!I$8:I$73,MATCH($A60,MAR!$A$8:$A$73,0))&amp;"","")</f>
        <v/>
      </c>
      <c r="AO60" s="100" t="n"/>
      <c r="AP60" s="100" t="n"/>
      <c r="AQ60" s="100" t="n"/>
      <c r="AR60" s="100" t="n"/>
      <c r="AS60" s="100" t="n"/>
      <c r="AT60" s="117">
        <f>SUMPRODUCT(($C60:$I60="M")*6+($C60:$I60="T")*6+($C60:$I60="D")*12+($C60:$I60="N")*12+($C60:$I60="NT")*6+($C60:$I60="C")*10+($C60:$I60="A")*8+($C60:$I60="J")*5+($C60:$I60="CEP")*4+($C60:$I60="CP")*6+($C60:$I60="CRO")*6+($C60:$I60="M+")*6+($C60:$I60="T+")*6+($C60:$I60="D+")*12+($C60:$I60="N+")*12+($C60:$I60="Dm+")*12+($C60:$I60="Dt+")*12+($C60:$I60="Tm-")*6+($C60:$I60="Mt-")*6)</f>
        <v/>
      </c>
      <c r="AU60" s="118">
        <f>AT60-MAX(0,IFERROR(INDEX(CADASTRO!$I$4:$I$80,MATCH($A60,CADASTRO!$A$4:$A$80,0)),$B60)-CONFIG!$B$50*(COUNTIF($C60:$I60,"AB")+COUNTIF($C60:$I60,"FE")+COUNTIF($C60:$I60,"LM")))</f>
        <v/>
      </c>
      <c r="AV60" s="117">
        <f>SUMPRODUCT(($J60:$P60="M")*6+($J60:$P60="T")*6+($J60:$P60="D")*12+($J60:$P60="N")*12+($J60:$P60="NT")*6+($J60:$P60="C")*10+($J60:$P60="A")*8+($J60:$P60="J")*5+($J60:$P60="CEP")*4+($J60:$P60="CP")*6+($J60:$P60="CRO")*6+($J60:$P60="M+")*6+($J60:$P60="T+")*6+($J60:$P60="D+")*12+($J60:$P60="N+")*12+($J60:$P60="Dm+")*12+($J60:$P60="Dt+")*12+($J60:$P60="Tm-")*6+($J60:$P60="Mt-")*6)</f>
        <v/>
      </c>
      <c r="AW60" s="118">
        <f>AV60-MAX(0,IFERROR(INDEX(CADASTRO!$I$4:$I$80,MATCH($A60,CADASTRO!$A$4:$A$80,0)),$B60)-CONFIG!$B$50*(COUNTIF($J60:$P60,"AB")+COUNTIF($J60:$P60,"FE")+COUNTIF($J60:$P60,"LM")))</f>
        <v/>
      </c>
      <c r="AX60" s="117">
        <f>SUMPRODUCT(($Q60:$W60="M")*6+($Q60:$W60="T")*6+($Q60:$W60="D")*12+($Q60:$W60="N")*12+($Q60:$W60="NT")*6+($Q60:$W60="C")*10+($Q60:$W60="A")*8+($Q60:$W60="J")*5+($Q60:$W60="CEP")*4+($Q60:$W60="CP")*6+($Q60:$W60="CRO")*6+($Q60:$W60="M+")*6+($Q60:$W60="T+")*6+($Q60:$W60="D+")*12+($Q60:$W60="N+")*12+($Q60:$W60="Dm+")*12+($Q60:$W60="Dt+")*12+($Q60:$W60="Tm-")*6+($Q60:$W60="Mt-")*6)</f>
        <v/>
      </c>
      <c r="AY60" s="118">
        <f>AX60-MAX(0,IFERROR(INDEX(CADASTRO!$I$4:$I$80,MATCH($A60,CADASTRO!$A$4:$A$80,0)),$B60)-CONFIG!$B$50*(COUNTIF($Q60:$W60,"AB")+COUNTIF($Q60:$W60,"FE")+COUNTIF($Q60:$W60,"LM")))</f>
        <v/>
      </c>
      <c r="AZ60" s="117">
        <f>SUMPRODUCT(($X60:$AD60="M")*6+($X60:$AD60="T")*6+($X60:$AD60="D")*12+($X60:$AD60="N")*12+($X60:$AD60="NT")*6+($X60:$AD60="C")*10+($X60:$AD60="A")*8+($X60:$AD60="J")*5+($X60:$AD60="CEP")*4+($X60:$AD60="CP")*6+($X60:$AD60="CRO")*6+($X60:$AD60="M+")*6+($X60:$AD60="T+")*6+($X60:$AD60="D+")*12+($X60:$AD60="N+")*12+($X60:$AD60="Dm+")*12+($X60:$AD60="Dt+")*12+($X60:$AD60="Tm-")*6+($X60:$AD60="Mt-")*6)</f>
        <v/>
      </c>
      <c r="BA60" s="118">
        <f>AZ60-MAX(0,IFERROR(INDEX(CADASTRO!$I$4:$I$80,MATCH($A60,CADASTRO!$A$4:$A$80,0)),$B60)-CONFIG!$B$50*(COUNTIF($X60:$AD60,"AB")+COUNTIF($X60:$AD60,"FE")+COUNTIF($X60:$AD60,"LM")))</f>
        <v/>
      </c>
      <c r="BB60" s="117">
        <f>SUMPRODUCT(($AE60:$AJ60="M")*6+($AE60:$AJ60="T")*6+($AE60:$AJ60="D")*12+($AE60:$AJ60="N")*12+($AE60:$AJ60="NT")*6+($AE60:$AJ60="C")*10+($AE60:$AJ60="A")*8+($AE60:$AJ60="J")*5+($AE60:$AJ60="CEP")*4+($AE60:$AJ60="CP")*6+($AE60:$AJ60="CRO")*6+($AE60:$AJ60="M+")*6+($AE60:$AJ60="T+")*6+($AE60:$AJ60="D+")*12+($AE60:$AJ60="N+")*12+($AE60:$AJ60="Dm+")*12+($AE60:$AJ60="Dt+")*12+($AE60:$AJ60="Tm-")*6+($AE60:$AJ60="Mt-")*6)+SUMPRODUCT(($AN60:$AN60="M")*6+($AN60:$AN60="T")*6+($AN60:$AN60="D")*12+($AN60:$AN60="N")*12+($AN60:$AN60="NT")*6+($AN60:$AN60="C")*10+($AN60:$AN60="A")*8+($AN60:$AN60="J")*5+($AN60:$AN60="CEP")*4+($AN60:$AN60="CP")*6+($AN60:$AN60="CRO")*6+($AN60:$AN60="M+")*6+($AN60:$AN60="T+")*6+($AN60:$AN60="D+")*12+($AN60:$AN60="N+")*12+($AN60:$AN60="Dm+")*12+($AN60:$AN60="Dt+")*12+($AN60:$AN60="Tm-")*6+($AN60:$AN60="Mt-")*6)</f>
        <v/>
      </c>
      <c r="BC60" s="118">
        <f>BB60-MAX(0,IFERROR(INDEX(CADASTRO!$I$4:$I$80,MATCH($A60,CADASTRO!$A$4:$A$80,0)),$B60)-CONFIG!$B$50*(COUNTIF($AE60:$AJ60,"AB")+COUNTIF($AE60:$AJ60,"FE")+COUNTIF($AE60:$AJ60,"LM")+COUNTIF($AN60:$AN60,"AB")+COUNTIF($AN60:$AN60,"FE")+COUNTIF($AN60:$AN60,"LM")))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ROUND(B60*4.0,0)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36">
        <f>IFERROR(INDEX(JAN!AH$8:AH$73,MATCH($A61,JAN!$A$8:$A$73,0))&amp;"","")</f>
        <v/>
      </c>
      <c r="D61" s="136">
        <f>IFERROR(INDEX(JAN!AI$8:AI$73,MATCH($A61,JAN!$A$8:$A$73,0))&amp;"","")</f>
        <v/>
      </c>
      <c r="E61" s="136">
        <f>IFERROR(INDEX(JAN!AJ$8:AJ$73,MATCH($A61,JAN!$A$8:$A$73,0))&amp;"","")</f>
        <v/>
      </c>
      <c r="F61" s="136">
        <f>IFERROR(INDEX(JAN!AK$8:AK$73,MATCH($A61,JAN!$A$8:$A$73,0))&amp;"","")</f>
        <v/>
      </c>
      <c r="G61" s="136">
        <f>IFERROR(INDEX(JAN!AL$8:AL$73,MATCH($A61,JAN!$A$8:$A$73,0))&amp;"","")</f>
        <v/>
      </c>
      <c r="H61" s="116">
        <f>IFERROR(INDEX(JAN!AM$8:AM$73,MATCH($A61,JAN!$A$8:$A$73,0))&amp;"","")</f>
        <v/>
      </c>
      <c r="I61" s="114" t="n"/>
      <c r="J61" s="124" t="inlineStr">
        <is>
          <t>D</t>
        </is>
      </c>
      <c r="K61" s="114" t="n"/>
      <c r="L61" s="114" t="n"/>
      <c r="M61" s="114" t="n"/>
      <c r="N61" s="124" t="inlineStr">
        <is>
          <t>D</t>
        </is>
      </c>
      <c r="O61" s="114" t="n"/>
      <c r="P61" s="114" t="n"/>
      <c r="Q61" s="124" t="inlineStr">
        <is>
          <t>D</t>
        </is>
      </c>
      <c r="R61" s="114" t="n"/>
      <c r="S61" s="114" t="n"/>
      <c r="T61" s="114" t="n"/>
      <c r="U61" s="114" t="n"/>
      <c r="V61" s="114" t="n"/>
      <c r="W61" s="124" t="inlineStr">
        <is>
          <t>D</t>
        </is>
      </c>
      <c r="X61" s="124" t="inlineStr">
        <is>
          <t>D</t>
        </is>
      </c>
      <c r="Y61" s="114" t="n"/>
      <c r="Z61" s="114" t="n"/>
      <c r="AA61" s="114" t="n"/>
      <c r="AB61" s="114" t="n"/>
      <c r="AC61" s="125" t="inlineStr">
        <is>
          <t>N</t>
        </is>
      </c>
      <c r="AD61" s="114" t="n"/>
      <c r="AE61" s="124" t="inlineStr">
        <is>
          <t>D</t>
        </is>
      </c>
      <c r="AF61" s="114" t="n"/>
      <c r="AG61" s="114" t="n"/>
      <c r="AH61" s="114" t="n"/>
      <c r="AI61" s="126" t="inlineStr">
        <is>
          <t>T</t>
        </is>
      </c>
      <c r="AJ61" s="114" t="n"/>
      <c r="AK61" s="100" t="n"/>
      <c r="AL61" s="100" t="n"/>
      <c r="AM61" s="100" t="n"/>
      <c r="AN61" s="116">
        <f>IFERROR(INDEX(MAR!I$8:I$73,MATCH($A61,MAR!$A$8:$A$73,0))&amp;"","")</f>
        <v/>
      </c>
      <c r="AO61" s="100" t="n"/>
      <c r="AP61" s="100" t="n"/>
      <c r="AQ61" s="100" t="n"/>
      <c r="AR61" s="100" t="n"/>
      <c r="AS61" s="100" t="n"/>
      <c r="AT61" s="117">
        <f>SUMPRODUCT(($C61:$I61="M")*6+($C61:$I61="T")*6+($C61:$I61="D")*12+($C61:$I61="N")*12+($C61:$I61="NT")*6+($C61:$I61="C")*10+($C61:$I61="A")*8+($C61:$I61="J")*5+($C61:$I61="CEP")*4+($C61:$I61="CP")*6+($C61:$I61="CRO")*6+($C61:$I61="M+")*6+($C61:$I61="T+")*6+($C61:$I61="D+")*12+($C61:$I61="N+")*12+($C61:$I61="Dm+")*12+($C61:$I61="Dt+")*12+($C61:$I61="Tm-")*6+($C61:$I61="Mt-")*6)</f>
        <v/>
      </c>
      <c r="AU61" s="118">
        <f>AT61-MAX(0,IFERROR(INDEX(CADASTRO!$I$4:$I$80,MATCH($A61,CADASTRO!$A$4:$A$80,0)),$B61)-CONFIG!$B$50*(COUNTIF($C61:$I61,"AB")+COUNTIF($C61:$I61,"FE")+COUNTIF($C61:$I61,"LM")))</f>
        <v/>
      </c>
      <c r="AV61" s="117">
        <f>SUMPRODUCT(($J61:$P61="M")*6+($J61:$P61="T")*6+($J61:$P61="D")*12+($J61:$P61="N")*12+($J61:$P61="NT")*6+($J61:$P61="C")*10+($J61:$P61="A")*8+($J61:$P61="J")*5+($J61:$P61="CEP")*4+($J61:$P61="CP")*6+($J61:$P61="CRO")*6+($J61:$P61="M+")*6+($J61:$P61="T+")*6+($J61:$P61="D+")*12+($J61:$P61="N+")*12+($J61:$P61="Dm+")*12+($J61:$P61="Dt+")*12+($J61:$P61="Tm-")*6+($J61:$P61="Mt-")*6)</f>
        <v/>
      </c>
      <c r="AW61" s="118">
        <f>AV61-MAX(0,IFERROR(INDEX(CADASTRO!$I$4:$I$80,MATCH($A61,CADASTRO!$A$4:$A$80,0)),$B61)-CONFIG!$B$50*(COUNTIF($J61:$P61,"AB")+COUNTIF($J61:$P61,"FE")+COUNTIF($J61:$P61,"LM")))</f>
        <v/>
      </c>
      <c r="AX61" s="117">
        <f>SUMPRODUCT(($Q61:$W61="M")*6+($Q61:$W61="T")*6+($Q61:$W61="D")*12+($Q61:$W61="N")*12+($Q61:$W61="NT")*6+($Q61:$W61="C")*10+($Q61:$W61="A")*8+($Q61:$W61="J")*5+($Q61:$W61="CEP")*4+($Q61:$W61="CP")*6+($Q61:$W61="CRO")*6+($Q61:$W61="M+")*6+($Q61:$W61="T+")*6+($Q61:$W61="D+")*12+($Q61:$W61="N+")*12+($Q61:$W61="Dm+")*12+($Q61:$W61="Dt+")*12+($Q61:$W61="Tm-")*6+($Q61:$W61="Mt-")*6)</f>
        <v/>
      </c>
      <c r="AY61" s="118">
        <f>AX61-MAX(0,IFERROR(INDEX(CADASTRO!$I$4:$I$80,MATCH($A61,CADASTRO!$A$4:$A$80,0)),$B61)-CONFIG!$B$50*(COUNTIF($Q61:$W61,"AB")+COUNTIF($Q61:$W61,"FE")+COUNTIF($Q61:$W61,"LM")))</f>
        <v/>
      </c>
      <c r="AZ61" s="117">
        <f>SUMPRODUCT(($X61:$AD61="M")*6+($X61:$AD61="T")*6+($X61:$AD61="D")*12+($X61:$AD61="N")*12+($X61:$AD61="NT")*6+($X61:$AD61="C")*10+($X61:$AD61="A")*8+($X61:$AD61="J")*5+($X61:$AD61="CEP")*4+($X61:$AD61="CP")*6+($X61:$AD61="CRO")*6+($X61:$AD61="M+")*6+($X61:$AD61="T+")*6+($X61:$AD61="D+")*12+($X61:$AD61="N+")*12+($X61:$AD61="Dm+")*12+($X61:$AD61="Dt+")*12+($X61:$AD61="Tm-")*6+($X61:$AD61="Mt-")*6)</f>
        <v/>
      </c>
      <c r="BA61" s="118">
        <f>AZ61-MAX(0,IFERROR(INDEX(CADASTRO!$I$4:$I$80,MATCH($A61,CADASTRO!$A$4:$A$80,0)),$B61)-CONFIG!$B$50*(COUNTIF($X61:$AD61,"AB")+COUNTIF($X61:$AD61,"FE")+COUNTIF($X61:$AD61,"LM")))</f>
        <v/>
      </c>
      <c r="BB61" s="117">
        <f>SUMPRODUCT(($AE61:$AJ61="M")*6+($AE61:$AJ61="T")*6+($AE61:$AJ61="D")*12+($AE61:$AJ61="N")*12+($AE61:$AJ61="NT")*6+($AE61:$AJ61="C")*10+($AE61:$AJ61="A")*8+($AE61:$AJ61="J")*5+($AE61:$AJ61="CEP")*4+($AE61:$AJ61="CP")*6+($AE61:$AJ61="CRO")*6+($AE61:$AJ61="M+")*6+($AE61:$AJ61="T+")*6+($AE61:$AJ61="D+")*12+($AE61:$AJ61="N+")*12+($AE61:$AJ61="Dm+")*12+($AE61:$AJ61="Dt+")*12+($AE61:$AJ61="Tm-")*6+($AE61:$AJ61="Mt-")*6)+SUMPRODUCT(($AN61:$AN61="M")*6+($AN61:$AN61="T")*6+($AN61:$AN61="D")*12+($AN61:$AN61="N")*12+($AN61:$AN61="NT")*6+($AN61:$AN61="C")*10+($AN61:$AN61="A")*8+($AN61:$AN61="J")*5+($AN61:$AN61="CEP")*4+($AN61:$AN61="CP")*6+($AN61:$AN61="CRO")*6+($AN61:$AN61="M+")*6+($AN61:$AN61="T+")*6+($AN61:$AN61="D+")*12+($AN61:$AN61="N+")*12+($AN61:$AN61="Dm+")*12+($AN61:$AN61="Dt+")*12+($AN61:$AN61="Tm-")*6+($AN61:$AN61="Mt-")*6)</f>
        <v/>
      </c>
      <c r="BC61" s="118">
        <f>BB61-MAX(0,IFERROR(INDEX(CADASTRO!$I$4:$I$80,MATCH($A61,CADASTRO!$A$4:$A$80,0)),$B61)-CONFIG!$B$50*(COUNTIF($AE61:$AJ61,"AB")+COUNTIF($AE61:$AJ61,"FE")+COUNTIF($AE61:$AJ61,"LM")+COUNTIF($AN61:$AN61,"AB")+COUNTIF($AN61:$AN61,"FE")+COUNTIF($AN61:$AN61,"LM")))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ROUND(B61*4.0,0)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36">
        <f>IFERROR(INDEX(JAN!AH$8:AH$73,MATCH($A62,JAN!$A$8:$A$73,0))&amp;"","")</f>
        <v/>
      </c>
      <c r="D62" s="136">
        <f>IFERROR(INDEX(JAN!AI$8:AI$73,MATCH($A62,JAN!$A$8:$A$73,0))&amp;"","")</f>
        <v/>
      </c>
      <c r="E62" s="136">
        <f>IFERROR(INDEX(JAN!AJ$8:AJ$73,MATCH($A62,JAN!$A$8:$A$73,0))&amp;"","")</f>
        <v/>
      </c>
      <c r="F62" s="136">
        <f>IFERROR(INDEX(JAN!AK$8:AK$73,MATCH($A62,JAN!$A$8:$A$73,0))&amp;"","")</f>
        <v/>
      </c>
      <c r="G62" s="136">
        <f>IFERROR(INDEX(JAN!AL$8:AL$73,MATCH($A62,JAN!$A$8:$A$73,0))&amp;"","")</f>
        <v/>
      </c>
      <c r="H62" s="116">
        <f>IFERROR(INDEX(JAN!AM$8:AM$73,MATCH($A62,JAN!$A$8:$A$73,0))&amp;"","")</f>
        <v/>
      </c>
      <c r="I62" s="114" t="n"/>
      <c r="J62" s="114" t="n"/>
      <c r="K62" s="125" t="inlineStr">
        <is>
          <t>N</t>
        </is>
      </c>
      <c r="L62" s="114" t="n"/>
      <c r="M62" s="124" t="inlineStr">
        <is>
          <t>D</t>
        </is>
      </c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24" t="inlineStr">
        <is>
          <t>D</t>
        </is>
      </c>
      <c r="W62" s="124" t="inlineStr">
        <is>
          <t>D</t>
        </is>
      </c>
      <c r="X62" s="114" t="n"/>
      <c r="Y62" s="125" t="inlineStr">
        <is>
          <t>N</t>
        </is>
      </c>
      <c r="Z62" s="114" t="n"/>
      <c r="AA62" s="114" t="n"/>
      <c r="AB62" s="124" t="inlineStr">
        <is>
          <t>D</t>
        </is>
      </c>
      <c r="AC62" s="114" t="n"/>
      <c r="AD62" s="114" t="n"/>
      <c r="AE62" s="114" t="n"/>
      <c r="AF62" s="114" t="n"/>
      <c r="AG62" s="114" t="n"/>
      <c r="AH62" s="124" t="inlineStr">
        <is>
          <t>D</t>
        </is>
      </c>
      <c r="AI62" s="125" t="inlineStr">
        <is>
          <t>N</t>
        </is>
      </c>
      <c r="AJ62" s="114" t="n"/>
      <c r="AK62" s="100" t="n"/>
      <c r="AL62" s="100" t="n"/>
      <c r="AM62" s="100" t="n"/>
      <c r="AN62" s="116">
        <f>IFERROR(INDEX(MAR!I$8:I$73,MATCH($A62,MAR!$A$8:$A$73,0))&amp;"","")</f>
        <v/>
      </c>
      <c r="AO62" s="100" t="n"/>
      <c r="AP62" s="100" t="n"/>
      <c r="AQ62" s="100" t="n"/>
      <c r="AR62" s="100" t="n"/>
      <c r="AS62" s="100" t="n"/>
      <c r="AT62" s="117">
        <f>SUMPRODUCT(($C62:$I62="M")*6+($C62:$I62="T")*6+($C62:$I62="D")*12+($C62:$I62="N")*12+($C62:$I62="NT")*6+($C62:$I62="C")*10+($C62:$I62="A")*8+($C62:$I62="J")*5+($C62:$I62="CEP")*4+($C62:$I62="CP")*6+($C62:$I62="CRO")*6+($C62:$I62="M+")*6+($C62:$I62="T+")*6+($C62:$I62="D+")*12+($C62:$I62="N+")*12+($C62:$I62="Dm+")*12+($C62:$I62="Dt+")*12+($C62:$I62="Tm-")*6+($C62:$I62="Mt-")*6)</f>
        <v/>
      </c>
      <c r="AU62" s="118">
        <f>AT62-MAX(0,IFERROR(INDEX(CADASTRO!$I$4:$I$80,MATCH($A62,CADASTRO!$A$4:$A$80,0)),$B62)-CONFIG!$B$50*(COUNTIF($C62:$I62,"AB")+COUNTIF($C62:$I62,"FE")+COUNTIF($C62:$I62,"LM")))</f>
        <v/>
      </c>
      <c r="AV62" s="117">
        <f>SUMPRODUCT(($J62:$P62="M")*6+($J62:$P62="T")*6+($J62:$P62="D")*12+($J62:$P62="N")*12+($J62:$P62="NT")*6+($J62:$P62="C")*10+($J62:$P62="A")*8+($J62:$P62="J")*5+($J62:$P62="CEP")*4+($J62:$P62="CP")*6+($J62:$P62="CRO")*6+($J62:$P62="M+")*6+($J62:$P62="T+")*6+($J62:$P62="D+")*12+($J62:$P62="N+")*12+($J62:$P62="Dm+")*12+($J62:$P62="Dt+")*12+($J62:$P62="Tm-")*6+($J62:$P62="Mt-")*6)</f>
        <v/>
      </c>
      <c r="AW62" s="118">
        <f>AV62-MAX(0,IFERROR(INDEX(CADASTRO!$I$4:$I$80,MATCH($A62,CADASTRO!$A$4:$A$80,0)),$B62)-CONFIG!$B$50*(COUNTIF($J62:$P62,"AB")+COUNTIF($J62:$P62,"FE")+COUNTIF($J62:$P62,"LM")))</f>
        <v/>
      </c>
      <c r="AX62" s="117">
        <f>SUMPRODUCT(($Q62:$W62="M")*6+($Q62:$W62="T")*6+($Q62:$W62="D")*12+($Q62:$W62="N")*12+($Q62:$W62="NT")*6+($Q62:$W62="C")*10+($Q62:$W62="A")*8+($Q62:$W62="J")*5+($Q62:$W62="CEP")*4+($Q62:$W62="CP")*6+($Q62:$W62="CRO")*6+($Q62:$W62="M+")*6+($Q62:$W62="T+")*6+($Q62:$W62="D+")*12+($Q62:$W62="N+")*12+($Q62:$W62="Dm+")*12+($Q62:$W62="Dt+")*12+($Q62:$W62="Tm-")*6+($Q62:$W62="Mt-")*6)</f>
        <v/>
      </c>
      <c r="AY62" s="118">
        <f>AX62-MAX(0,IFERROR(INDEX(CADASTRO!$I$4:$I$80,MATCH($A62,CADASTRO!$A$4:$A$80,0)),$B62)-CONFIG!$B$50*(COUNTIF($Q62:$W62,"AB")+COUNTIF($Q62:$W62,"FE")+COUNTIF($Q62:$W62,"LM")))</f>
        <v/>
      </c>
      <c r="AZ62" s="117">
        <f>SUMPRODUCT(($X62:$AD62="M")*6+($X62:$AD62="T")*6+($X62:$AD62="D")*12+($X62:$AD62="N")*12+($X62:$AD62="NT")*6+($X62:$AD62="C")*10+($X62:$AD62="A")*8+($X62:$AD62="J")*5+($X62:$AD62="CEP")*4+($X62:$AD62="CP")*6+($X62:$AD62="CRO")*6+($X62:$AD62="M+")*6+($X62:$AD62="T+")*6+($X62:$AD62="D+")*12+($X62:$AD62="N+")*12+($X62:$AD62="Dm+")*12+($X62:$AD62="Dt+")*12+($X62:$AD62="Tm-")*6+($X62:$AD62="Mt-")*6)</f>
        <v/>
      </c>
      <c r="BA62" s="118">
        <f>AZ62-MAX(0,IFERROR(INDEX(CADASTRO!$I$4:$I$80,MATCH($A62,CADASTRO!$A$4:$A$80,0)),$B62)-CONFIG!$B$50*(COUNTIF($X62:$AD62,"AB")+COUNTIF($X62:$AD62,"FE")+COUNTIF($X62:$AD62,"LM")))</f>
        <v/>
      </c>
      <c r="BB62" s="117">
        <f>SUMPRODUCT(($AE62:$AJ62="M")*6+($AE62:$AJ62="T")*6+($AE62:$AJ62="D")*12+($AE62:$AJ62="N")*12+($AE62:$AJ62="NT")*6+($AE62:$AJ62="C")*10+($AE62:$AJ62="A")*8+($AE62:$AJ62="J")*5+($AE62:$AJ62="CEP")*4+($AE62:$AJ62="CP")*6+($AE62:$AJ62="CRO")*6+($AE62:$AJ62="M+")*6+($AE62:$AJ62="T+")*6+($AE62:$AJ62="D+")*12+($AE62:$AJ62="N+")*12+($AE62:$AJ62="Dm+")*12+($AE62:$AJ62="Dt+")*12+($AE62:$AJ62="Tm-")*6+($AE62:$AJ62="Mt-")*6)+SUMPRODUCT(($AN62:$AN62="M")*6+($AN62:$AN62="T")*6+($AN62:$AN62="D")*12+($AN62:$AN62="N")*12+($AN62:$AN62="NT")*6+($AN62:$AN62="C")*10+($AN62:$AN62="A")*8+($AN62:$AN62="J")*5+($AN62:$AN62="CEP")*4+($AN62:$AN62="CP")*6+($AN62:$AN62="CRO")*6+($AN62:$AN62="M+")*6+($AN62:$AN62="T+")*6+($AN62:$AN62="D+")*12+($AN62:$AN62="N+")*12+($AN62:$AN62="Dm+")*12+($AN62:$AN62="Dt+")*12+($AN62:$AN62="Tm-")*6+($AN62:$AN62="Mt-")*6)</f>
        <v/>
      </c>
      <c r="BC62" s="118">
        <f>BB62-MAX(0,IFERROR(INDEX(CADASTRO!$I$4:$I$80,MATCH($A62,CADASTRO!$A$4:$A$80,0)),$B62)-CONFIG!$B$50*(COUNTIF($AE62:$AJ62,"AB")+COUNTIF($AE62:$AJ62,"FE")+COUNTIF($AE62:$AJ62,"LM")+COUNTIF($AN62:$AN62,"AB")+COUNTIF($AN62:$AN62,"FE")+COUNTIF($AN62:$AN62,"LM")))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ROUND(B62*4.0,0)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36">
        <f>IFERROR(INDEX(JAN!AH$8:AH$73,MATCH($A63,JAN!$A$8:$A$73,0))&amp;"","")</f>
        <v/>
      </c>
      <c r="D63" s="136">
        <f>IFERROR(INDEX(JAN!AI$8:AI$73,MATCH($A63,JAN!$A$8:$A$73,0))&amp;"","")</f>
        <v/>
      </c>
      <c r="E63" s="136">
        <f>IFERROR(INDEX(JAN!AJ$8:AJ$73,MATCH($A63,JAN!$A$8:$A$73,0))&amp;"","")</f>
        <v/>
      </c>
      <c r="F63" s="136">
        <f>IFERROR(INDEX(JAN!AK$8:AK$73,MATCH($A63,JAN!$A$8:$A$73,0))&amp;"","")</f>
        <v/>
      </c>
      <c r="G63" s="136">
        <f>IFERROR(INDEX(JAN!AL$8:AL$73,MATCH($A63,JAN!$A$8:$A$73,0))&amp;"","")</f>
        <v/>
      </c>
      <c r="H63" s="116">
        <f>IFERROR(INDEX(JAN!AM$8:AM$73,MATCH($A63,JAN!$A$8:$A$73,0))&amp;"","")</f>
        <v/>
      </c>
      <c r="I63" s="114" t="n"/>
      <c r="J63" s="114" t="n"/>
      <c r="K63" s="114" t="n"/>
      <c r="L63" s="114" t="n"/>
      <c r="M63" s="124" t="inlineStr">
        <is>
          <t>D</t>
        </is>
      </c>
      <c r="N63" s="114" t="n"/>
      <c r="O63" s="124" t="inlineStr">
        <is>
          <t>D</t>
        </is>
      </c>
      <c r="P63" s="114" t="n"/>
      <c r="Q63" s="114" t="n"/>
      <c r="R63" s="115" t="inlineStr">
        <is>
          <t>M</t>
        </is>
      </c>
      <c r="S63" s="126" t="inlineStr">
        <is>
          <t>T</t>
        </is>
      </c>
      <c r="T63" s="124" t="inlineStr">
        <is>
          <t>D</t>
        </is>
      </c>
      <c r="U63" s="114" t="n"/>
      <c r="V63" s="114" t="n"/>
      <c r="W63" s="114" t="n"/>
      <c r="X63" s="114" t="n"/>
      <c r="Y63" s="114" t="n"/>
      <c r="Z63" s="114" t="n"/>
      <c r="AA63" s="124" t="inlineStr">
        <is>
          <t>D</t>
        </is>
      </c>
      <c r="AB63" s="114" t="n"/>
      <c r="AC63" s="114" t="n"/>
      <c r="AD63" s="124" t="inlineStr">
        <is>
          <t>D</t>
        </is>
      </c>
      <c r="AE63" s="115" t="inlineStr">
        <is>
          <t>M</t>
        </is>
      </c>
      <c r="AF63" s="115" t="inlineStr">
        <is>
          <t>M</t>
        </is>
      </c>
      <c r="AG63" s="114" t="n"/>
      <c r="AH63" s="124" t="inlineStr">
        <is>
          <t>D</t>
        </is>
      </c>
      <c r="AI63" s="114" t="n"/>
      <c r="AJ63" s="114" t="n"/>
      <c r="AK63" s="100" t="n"/>
      <c r="AL63" s="100" t="n"/>
      <c r="AM63" s="100" t="n"/>
      <c r="AN63" s="116">
        <f>IFERROR(INDEX(MAR!I$8:I$73,MATCH($A63,MAR!$A$8:$A$73,0))&amp;"","")</f>
        <v/>
      </c>
      <c r="AO63" s="100" t="n"/>
      <c r="AP63" s="100" t="n"/>
      <c r="AQ63" s="100" t="n"/>
      <c r="AR63" s="100" t="n"/>
      <c r="AS63" s="100" t="n"/>
      <c r="AT63" s="117">
        <f>SUMPRODUCT(($C63:$I63="M")*6+($C63:$I63="T")*6+($C63:$I63="D")*12+($C63:$I63="N")*12+($C63:$I63="NT")*6+($C63:$I63="C")*10+($C63:$I63="A")*8+($C63:$I63="J")*5+($C63:$I63="CEP")*4+($C63:$I63="CP")*6+($C63:$I63="CRO")*6+($C63:$I63="M+")*6+($C63:$I63="T+")*6+($C63:$I63="D+")*12+($C63:$I63="N+")*12+($C63:$I63="Dm+")*12+($C63:$I63="Dt+")*12+($C63:$I63="Tm-")*6+($C63:$I63="Mt-")*6)</f>
        <v/>
      </c>
      <c r="AU63" s="118">
        <f>AT63-MAX(0,IFERROR(INDEX(CADASTRO!$I$4:$I$80,MATCH($A63,CADASTRO!$A$4:$A$80,0)),$B63)-CONFIG!$B$50*(COUNTIF($C63:$I63,"AB")+COUNTIF($C63:$I63,"FE")+COUNTIF($C63:$I63,"LM")))</f>
        <v/>
      </c>
      <c r="AV63" s="117">
        <f>SUMPRODUCT(($J63:$P63="M")*6+($J63:$P63="T")*6+($J63:$P63="D")*12+($J63:$P63="N")*12+($J63:$P63="NT")*6+($J63:$P63="C")*10+($J63:$P63="A")*8+($J63:$P63="J")*5+($J63:$P63="CEP")*4+($J63:$P63="CP")*6+($J63:$P63="CRO")*6+($J63:$P63="M+")*6+($J63:$P63="T+")*6+($J63:$P63="D+")*12+($J63:$P63="N+")*12+($J63:$P63="Dm+")*12+($J63:$P63="Dt+")*12+($J63:$P63="Tm-")*6+($J63:$P63="Mt-")*6)</f>
        <v/>
      </c>
      <c r="AW63" s="118">
        <f>AV63-MAX(0,IFERROR(INDEX(CADASTRO!$I$4:$I$80,MATCH($A63,CADASTRO!$A$4:$A$80,0)),$B63)-CONFIG!$B$50*(COUNTIF($J63:$P63,"AB")+COUNTIF($J63:$P63,"FE")+COUNTIF($J63:$P63,"LM")))</f>
        <v/>
      </c>
      <c r="AX63" s="117">
        <f>SUMPRODUCT(($Q63:$W63="M")*6+($Q63:$W63="T")*6+($Q63:$W63="D")*12+($Q63:$W63="N")*12+($Q63:$W63="NT")*6+($Q63:$W63="C")*10+($Q63:$W63="A")*8+($Q63:$W63="J")*5+($Q63:$W63="CEP")*4+($Q63:$W63="CP")*6+($Q63:$W63="CRO")*6+($Q63:$W63="M+")*6+($Q63:$W63="T+")*6+($Q63:$W63="D+")*12+($Q63:$W63="N+")*12+($Q63:$W63="Dm+")*12+($Q63:$W63="Dt+")*12+($Q63:$W63="Tm-")*6+($Q63:$W63="Mt-")*6)</f>
        <v/>
      </c>
      <c r="AY63" s="118">
        <f>AX63-MAX(0,IFERROR(INDEX(CADASTRO!$I$4:$I$80,MATCH($A63,CADASTRO!$A$4:$A$80,0)),$B63)-CONFIG!$B$50*(COUNTIF($Q63:$W63,"AB")+COUNTIF($Q63:$W63,"FE")+COUNTIF($Q63:$W63,"LM")))</f>
        <v/>
      </c>
      <c r="AZ63" s="117">
        <f>SUMPRODUCT(($X63:$AD63="M")*6+($X63:$AD63="T")*6+($X63:$AD63="D")*12+($X63:$AD63="N")*12+($X63:$AD63="NT")*6+($X63:$AD63="C")*10+($X63:$AD63="A")*8+($X63:$AD63="J")*5+($X63:$AD63="CEP")*4+($X63:$AD63="CP")*6+($X63:$AD63="CRO")*6+($X63:$AD63="M+")*6+($X63:$AD63="T+")*6+($X63:$AD63="D+")*12+($X63:$AD63="N+")*12+($X63:$AD63="Dm+")*12+($X63:$AD63="Dt+")*12+($X63:$AD63="Tm-")*6+($X63:$AD63="Mt-")*6)</f>
        <v/>
      </c>
      <c r="BA63" s="118">
        <f>AZ63-MAX(0,IFERROR(INDEX(CADASTRO!$I$4:$I$80,MATCH($A63,CADASTRO!$A$4:$A$80,0)),$B63)-CONFIG!$B$50*(COUNTIF($X63:$AD63,"AB")+COUNTIF($X63:$AD63,"FE")+COUNTIF($X63:$AD63,"LM")))</f>
        <v/>
      </c>
      <c r="BB63" s="117">
        <f>SUMPRODUCT(($AE63:$AJ63="M")*6+($AE63:$AJ63="T")*6+($AE63:$AJ63="D")*12+($AE63:$AJ63="N")*12+($AE63:$AJ63="NT")*6+($AE63:$AJ63="C")*10+($AE63:$AJ63="A")*8+($AE63:$AJ63="J")*5+($AE63:$AJ63="CEP")*4+($AE63:$AJ63="CP")*6+($AE63:$AJ63="CRO")*6+($AE63:$AJ63="M+")*6+($AE63:$AJ63="T+")*6+($AE63:$AJ63="D+")*12+($AE63:$AJ63="N+")*12+($AE63:$AJ63="Dm+")*12+($AE63:$AJ63="Dt+")*12+($AE63:$AJ63="Tm-")*6+($AE63:$AJ63="Mt-")*6)+SUMPRODUCT(($AN63:$AN63="M")*6+($AN63:$AN63="T")*6+($AN63:$AN63="D")*12+($AN63:$AN63="N")*12+($AN63:$AN63="NT")*6+($AN63:$AN63="C")*10+($AN63:$AN63="A")*8+($AN63:$AN63="J")*5+($AN63:$AN63="CEP")*4+($AN63:$AN63="CP")*6+($AN63:$AN63="CRO")*6+($AN63:$AN63="M+")*6+($AN63:$AN63="T+")*6+($AN63:$AN63="D+")*12+($AN63:$AN63="N+")*12+($AN63:$AN63="Dm+")*12+($AN63:$AN63="Dt+")*12+($AN63:$AN63="Tm-")*6+($AN63:$AN63="Mt-")*6)</f>
        <v/>
      </c>
      <c r="BC63" s="118">
        <f>BB63-MAX(0,IFERROR(INDEX(CADASTRO!$I$4:$I$80,MATCH($A63,CADASTRO!$A$4:$A$80,0)),$B63)-CONFIG!$B$50*(COUNTIF($AE63:$AJ63,"AB")+COUNTIF($AE63:$AJ63,"FE")+COUNTIF($AE63:$AJ63,"LM")+COUNTIF($AN63:$AN63,"AB")+COUNTIF($AN63:$AN63,"FE")+COUNTIF($AN63:$AN63,"LM")))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ROUND(B63*4.0,0)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36">
        <f>IFERROR(INDEX(JAN!AH$8:AH$73,MATCH($A64,JAN!$A$8:$A$73,0))&amp;"","")</f>
        <v/>
      </c>
      <c r="D64" s="136">
        <f>IFERROR(INDEX(JAN!AI$8:AI$73,MATCH($A64,JAN!$A$8:$A$73,0))&amp;"","")</f>
        <v/>
      </c>
      <c r="E64" s="136">
        <f>IFERROR(INDEX(JAN!AJ$8:AJ$73,MATCH($A64,JAN!$A$8:$A$73,0))&amp;"","")</f>
        <v/>
      </c>
      <c r="F64" s="136">
        <f>IFERROR(INDEX(JAN!AK$8:AK$73,MATCH($A64,JAN!$A$8:$A$73,0))&amp;"","")</f>
        <v/>
      </c>
      <c r="G64" s="136">
        <f>IFERROR(INDEX(JAN!AL$8:AL$73,MATCH($A64,JAN!$A$8:$A$73,0))&amp;"","")</f>
        <v/>
      </c>
      <c r="H64" s="116">
        <f>IFERROR(INDEX(JAN!AM$8:AM$73,MATCH($A64,JAN!$A$8:$A$73,0))&amp;"","")</f>
        <v/>
      </c>
      <c r="I64" s="114" t="n"/>
      <c r="J64" s="125" t="inlineStr">
        <is>
          <t>N</t>
        </is>
      </c>
      <c r="K64" s="114" t="n"/>
      <c r="L64" s="125" t="inlineStr">
        <is>
          <t>N</t>
        </is>
      </c>
      <c r="M64" s="126" t="inlineStr">
        <is>
          <t>T</t>
        </is>
      </c>
      <c r="N64" s="114" t="n"/>
      <c r="O64" s="114" t="n"/>
      <c r="P64" s="114" t="n"/>
      <c r="Q64" s="114" t="n"/>
      <c r="R64" s="114" t="n"/>
      <c r="S64" s="125" t="inlineStr">
        <is>
          <t>N</t>
        </is>
      </c>
      <c r="T64" s="126" t="inlineStr">
        <is>
          <t>T</t>
        </is>
      </c>
      <c r="U64" s="125" t="inlineStr">
        <is>
          <t>N</t>
        </is>
      </c>
      <c r="V64" s="114" t="n"/>
      <c r="W64" s="114" t="n"/>
      <c r="X64" s="114" t="n"/>
      <c r="Y64" s="114" t="n"/>
      <c r="Z64" s="114" t="n"/>
      <c r="AA64" s="126" t="inlineStr">
        <is>
          <t>T</t>
        </is>
      </c>
      <c r="AB64" s="114" t="n"/>
      <c r="AC64" s="125" t="inlineStr">
        <is>
          <t>N</t>
        </is>
      </c>
      <c r="AD64" s="125" t="inlineStr">
        <is>
          <t>N</t>
        </is>
      </c>
      <c r="AE64" s="114" t="n"/>
      <c r="AF64" s="114" t="n"/>
      <c r="AG64" s="125" t="inlineStr">
        <is>
          <t>N</t>
        </is>
      </c>
      <c r="AH64" s="125" t="inlineStr">
        <is>
          <t>N</t>
        </is>
      </c>
      <c r="AI64" s="114" t="n"/>
      <c r="AJ64" s="126" t="inlineStr">
        <is>
          <t>T</t>
        </is>
      </c>
      <c r="AK64" s="100" t="n"/>
      <c r="AL64" s="100" t="n"/>
      <c r="AM64" s="100" t="n"/>
      <c r="AN64" s="116">
        <f>IFERROR(INDEX(MAR!I$8:I$73,MATCH($A64,MAR!$A$8:$A$73,0))&amp;"","")</f>
        <v/>
      </c>
      <c r="AO64" s="100" t="n"/>
      <c r="AP64" s="100" t="n"/>
      <c r="AQ64" s="100" t="n"/>
      <c r="AR64" s="100" t="n"/>
      <c r="AS64" s="100" t="n"/>
      <c r="AT64" s="117">
        <f>SUMPRODUCT(($C64:$I64="M")*6+($C64:$I64="T")*6+($C64:$I64="D")*12+($C64:$I64="N")*12+($C64:$I64="NT")*6+($C64:$I64="C")*10+($C64:$I64="A")*8+($C64:$I64="J")*5+($C64:$I64="CEP")*4+($C64:$I64="CP")*6+($C64:$I64="CRO")*6+($C64:$I64="M+")*6+($C64:$I64="T+")*6+($C64:$I64="D+")*12+($C64:$I64="N+")*12+($C64:$I64="Dm+")*12+($C64:$I64="Dt+")*12+($C64:$I64="Tm-")*6+($C64:$I64="Mt-")*6)</f>
        <v/>
      </c>
      <c r="AU64" s="118">
        <f>AT64-MAX(0,IFERROR(INDEX(CADASTRO!$I$4:$I$80,MATCH($A64,CADASTRO!$A$4:$A$80,0)),$B64)-CONFIG!$B$50*(COUNTIF($C64:$I64,"AB")+COUNTIF($C64:$I64,"FE")+COUNTIF($C64:$I64,"LM")))</f>
        <v/>
      </c>
      <c r="AV64" s="117">
        <f>SUMPRODUCT(($J64:$P64="M")*6+($J64:$P64="T")*6+($J64:$P64="D")*12+($J64:$P64="N")*12+($J64:$P64="NT")*6+($J64:$P64="C")*10+($J64:$P64="A")*8+($J64:$P64="J")*5+($J64:$P64="CEP")*4+($J64:$P64="CP")*6+($J64:$P64="CRO")*6+($J64:$P64="M+")*6+($J64:$P64="T+")*6+($J64:$P64="D+")*12+($J64:$P64="N+")*12+($J64:$P64="Dm+")*12+($J64:$P64="Dt+")*12+($J64:$P64="Tm-")*6+($J64:$P64="Mt-")*6)</f>
        <v/>
      </c>
      <c r="AW64" s="118">
        <f>AV64-MAX(0,IFERROR(INDEX(CADASTRO!$I$4:$I$80,MATCH($A64,CADASTRO!$A$4:$A$80,0)),$B64)-CONFIG!$B$50*(COUNTIF($J64:$P64,"AB")+COUNTIF($J64:$P64,"FE")+COUNTIF($J64:$P64,"LM")))</f>
        <v/>
      </c>
      <c r="AX64" s="117">
        <f>SUMPRODUCT(($Q64:$W64="M")*6+($Q64:$W64="T")*6+($Q64:$W64="D")*12+($Q64:$W64="N")*12+($Q64:$W64="NT")*6+($Q64:$W64="C")*10+($Q64:$W64="A")*8+($Q64:$W64="J")*5+($Q64:$W64="CEP")*4+($Q64:$W64="CP")*6+($Q64:$W64="CRO")*6+($Q64:$W64="M+")*6+($Q64:$W64="T+")*6+($Q64:$W64="D+")*12+($Q64:$W64="N+")*12+($Q64:$W64="Dm+")*12+($Q64:$W64="Dt+")*12+($Q64:$W64="Tm-")*6+($Q64:$W64="Mt-")*6)</f>
        <v/>
      </c>
      <c r="AY64" s="118">
        <f>AX64-MAX(0,IFERROR(INDEX(CADASTRO!$I$4:$I$80,MATCH($A64,CADASTRO!$A$4:$A$80,0)),$B64)-CONFIG!$B$50*(COUNTIF($Q64:$W64,"AB")+COUNTIF($Q64:$W64,"FE")+COUNTIF($Q64:$W64,"LM")))</f>
        <v/>
      </c>
      <c r="AZ64" s="117">
        <f>SUMPRODUCT(($X64:$AD64="M")*6+($X64:$AD64="T")*6+($X64:$AD64="D")*12+($X64:$AD64="N")*12+($X64:$AD64="NT")*6+($X64:$AD64="C")*10+($X64:$AD64="A")*8+($X64:$AD64="J")*5+($X64:$AD64="CEP")*4+($X64:$AD64="CP")*6+($X64:$AD64="CRO")*6+($X64:$AD64="M+")*6+($X64:$AD64="T+")*6+($X64:$AD64="D+")*12+($X64:$AD64="N+")*12+($X64:$AD64="Dm+")*12+($X64:$AD64="Dt+")*12+($X64:$AD64="Tm-")*6+($X64:$AD64="Mt-")*6)</f>
        <v/>
      </c>
      <c r="BA64" s="118">
        <f>AZ64-MAX(0,IFERROR(INDEX(CADASTRO!$I$4:$I$80,MATCH($A64,CADASTRO!$A$4:$A$80,0)),$B64)-CONFIG!$B$50*(COUNTIF($X64:$AD64,"AB")+COUNTIF($X64:$AD64,"FE")+COUNTIF($X64:$AD64,"LM")))</f>
        <v/>
      </c>
      <c r="BB64" s="117">
        <f>SUMPRODUCT(($AE64:$AJ64="M")*6+($AE64:$AJ64="T")*6+($AE64:$AJ64="D")*12+($AE64:$AJ64="N")*12+($AE64:$AJ64="NT")*6+($AE64:$AJ64="C")*10+($AE64:$AJ64="A")*8+($AE64:$AJ64="J")*5+($AE64:$AJ64="CEP")*4+($AE64:$AJ64="CP")*6+($AE64:$AJ64="CRO")*6+($AE64:$AJ64="M+")*6+($AE64:$AJ64="T+")*6+($AE64:$AJ64="D+")*12+($AE64:$AJ64="N+")*12+($AE64:$AJ64="Dm+")*12+($AE64:$AJ64="Dt+")*12+($AE64:$AJ64="Tm-")*6+($AE64:$AJ64="Mt-")*6)+SUMPRODUCT(($AN64:$AN64="M")*6+($AN64:$AN64="T")*6+($AN64:$AN64="D")*12+($AN64:$AN64="N")*12+($AN64:$AN64="NT")*6+($AN64:$AN64="C")*10+($AN64:$AN64="A")*8+($AN64:$AN64="J")*5+($AN64:$AN64="CEP")*4+($AN64:$AN64="CP")*6+($AN64:$AN64="CRO")*6+($AN64:$AN64="M+")*6+($AN64:$AN64="T+")*6+($AN64:$AN64="D+")*12+($AN64:$AN64="N+")*12+($AN64:$AN64="Dm+")*12+($AN64:$AN64="Dt+")*12+($AN64:$AN64="Tm-")*6+($AN64:$AN64="Mt-")*6)</f>
        <v/>
      </c>
      <c r="BC64" s="118">
        <f>BB64-MAX(0,IFERROR(INDEX(CADASTRO!$I$4:$I$80,MATCH($A64,CADASTRO!$A$4:$A$80,0)),$B64)-CONFIG!$B$50*(COUNTIF($AE64:$AJ64,"AB")+COUNTIF($AE64:$AJ64,"FE")+COUNTIF($AE64:$AJ64,"LM")+COUNTIF($AN64:$AN64,"AB")+COUNTIF($AN64:$AN64,"FE")+COUNTIF($AN64:$AN64,"LM")))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ROUND(B64*4.0,0)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36">
        <f>IFERROR(INDEX(JAN!AH$8:AH$73,MATCH($A65,JAN!$A$8:$A$73,0))&amp;"","")</f>
        <v/>
      </c>
      <c r="D65" s="136">
        <f>IFERROR(INDEX(JAN!AI$8:AI$73,MATCH($A65,JAN!$A$8:$A$73,0))&amp;"","")</f>
        <v/>
      </c>
      <c r="E65" s="136">
        <f>IFERROR(INDEX(JAN!AJ$8:AJ$73,MATCH($A65,JAN!$A$8:$A$73,0))&amp;"","")</f>
        <v/>
      </c>
      <c r="F65" s="136">
        <f>IFERROR(INDEX(JAN!AK$8:AK$73,MATCH($A65,JAN!$A$8:$A$73,0))&amp;"","")</f>
        <v/>
      </c>
      <c r="G65" s="136">
        <f>IFERROR(INDEX(JAN!AL$8:AL$73,MATCH($A65,JAN!$A$8:$A$73,0))&amp;"","")</f>
        <v/>
      </c>
      <c r="H65" s="116">
        <f>IFERROR(INDEX(JAN!AM$8:AM$73,MATCH($A65,JAN!$A$8:$A$73,0))&amp;"","")</f>
        <v/>
      </c>
      <c r="I65" s="115" t="inlineStr">
        <is>
          <t>M</t>
        </is>
      </c>
      <c r="J65" s="114" t="n"/>
      <c r="K65" s="114" t="n"/>
      <c r="L65" s="124" t="inlineStr">
        <is>
          <t>D</t>
        </is>
      </c>
      <c r="M65" s="127" t="inlineStr">
        <is>
          <t>M-</t>
        </is>
      </c>
      <c r="N65" s="124" t="inlineStr">
        <is>
          <t>D</t>
        </is>
      </c>
      <c r="O65" s="114" t="n"/>
      <c r="P65" s="114" t="n"/>
      <c r="Q65" s="114" t="n"/>
      <c r="R65" s="114" t="n"/>
      <c r="S65" s="114" t="n"/>
      <c r="T65" s="114" t="n"/>
      <c r="U65" s="124" t="inlineStr">
        <is>
          <t>D</t>
        </is>
      </c>
      <c r="V65" s="124" t="inlineStr">
        <is>
          <t>D</t>
        </is>
      </c>
      <c r="W65" s="123" t="inlineStr">
        <is>
          <t>M+</t>
        </is>
      </c>
      <c r="X65" s="114" t="n"/>
      <c r="Y65" s="114" t="n"/>
      <c r="Z65" s="124" t="inlineStr">
        <is>
          <t>D</t>
        </is>
      </c>
      <c r="AA65" s="114" t="n"/>
      <c r="AB65" s="124" t="inlineStr">
        <is>
          <t>D</t>
        </is>
      </c>
      <c r="AC65" s="114" t="n"/>
      <c r="AD65" s="114" t="n"/>
      <c r="AE65" s="114" t="n"/>
      <c r="AF65" s="114" t="n"/>
      <c r="AG65" s="124" t="inlineStr">
        <is>
          <t>D</t>
        </is>
      </c>
      <c r="AH65" s="114" t="n"/>
      <c r="AI65" s="124" t="inlineStr">
        <is>
          <t>D</t>
        </is>
      </c>
      <c r="AJ65" s="114" t="n"/>
      <c r="AK65" s="100" t="n"/>
      <c r="AL65" s="100" t="n"/>
      <c r="AM65" s="100" t="n"/>
      <c r="AN65" s="116">
        <f>IFERROR(INDEX(MAR!I$8:I$73,MATCH($A65,MAR!$A$8:$A$73,0))&amp;"","")</f>
        <v/>
      </c>
      <c r="AO65" s="100" t="n"/>
      <c r="AP65" s="100" t="n"/>
      <c r="AQ65" s="100" t="n"/>
      <c r="AR65" s="100" t="n"/>
      <c r="AS65" s="100" t="n"/>
      <c r="AT65" s="117">
        <f>SUMPRODUCT(($C65:$I65="M")*6+($C65:$I65="T")*6+($C65:$I65="D")*12+($C65:$I65="N")*12+($C65:$I65="NT")*6+($C65:$I65="C")*10+($C65:$I65="A")*8+($C65:$I65="J")*5+($C65:$I65="CEP")*4+($C65:$I65="CP")*6+($C65:$I65="CRO")*6+($C65:$I65="M+")*6+($C65:$I65="T+")*6+($C65:$I65="D+")*12+($C65:$I65="N+")*12+($C65:$I65="Dm+")*12+($C65:$I65="Dt+")*12+($C65:$I65="Tm-")*6+($C65:$I65="Mt-")*6)</f>
        <v/>
      </c>
      <c r="AU65" s="118">
        <f>AT65-MAX(0,IFERROR(INDEX(CADASTRO!$I$4:$I$80,MATCH($A65,CADASTRO!$A$4:$A$80,0)),$B65)-CONFIG!$B$50*(COUNTIF($C65:$I65,"AB")+COUNTIF($C65:$I65,"FE")+COUNTIF($C65:$I65,"LM")))</f>
        <v/>
      </c>
      <c r="AV65" s="117">
        <f>SUMPRODUCT(($J65:$P65="M")*6+($J65:$P65="T")*6+($J65:$P65="D")*12+($J65:$P65="N")*12+($J65:$P65="NT")*6+($J65:$P65="C")*10+($J65:$P65="A")*8+($J65:$P65="J")*5+($J65:$P65="CEP")*4+($J65:$P65="CP")*6+($J65:$P65="CRO")*6+($J65:$P65="M+")*6+($J65:$P65="T+")*6+($J65:$P65="D+")*12+($J65:$P65="N+")*12+($J65:$P65="Dm+")*12+($J65:$P65="Dt+")*12+($J65:$P65="Tm-")*6+($J65:$P65="Mt-")*6)</f>
        <v/>
      </c>
      <c r="AW65" s="118">
        <f>AV65-MAX(0,IFERROR(INDEX(CADASTRO!$I$4:$I$80,MATCH($A65,CADASTRO!$A$4:$A$80,0)),$B65)-CONFIG!$B$50*(COUNTIF($J65:$P65,"AB")+COUNTIF($J65:$P65,"FE")+COUNTIF($J65:$P65,"LM")))</f>
        <v/>
      </c>
      <c r="AX65" s="117">
        <f>SUMPRODUCT(($Q65:$W65="M")*6+($Q65:$W65="T")*6+($Q65:$W65="D")*12+($Q65:$W65="N")*12+($Q65:$W65="NT")*6+($Q65:$W65="C")*10+($Q65:$W65="A")*8+($Q65:$W65="J")*5+($Q65:$W65="CEP")*4+($Q65:$W65="CP")*6+($Q65:$W65="CRO")*6+($Q65:$W65="M+")*6+($Q65:$W65="T+")*6+($Q65:$W65="D+")*12+($Q65:$W65="N+")*12+($Q65:$W65="Dm+")*12+($Q65:$W65="Dt+")*12+($Q65:$W65="Tm-")*6+($Q65:$W65="Mt-")*6)</f>
        <v/>
      </c>
      <c r="AY65" s="118">
        <f>AX65-MAX(0,IFERROR(INDEX(CADASTRO!$I$4:$I$80,MATCH($A65,CADASTRO!$A$4:$A$80,0)),$B65)-CONFIG!$B$50*(COUNTIF($Q65:$W65,"AB")+COUNTIF($Q65:$W65,"FE")+COUNTIF($Q65:$W65,"LM")))</f>
        <v/>
      </c>
      <c r="AZ65" s="117">
        <f>SUMPRODUCT(($X65:$AD65="M")*6+($X65:$AD65="T")*6+($X65:$AD65="D")*12+($X65:$AD65="N")*12+($X65:$AD65="NT")*6+($X65:$AD65="C")*10+($X65:$AD65="A")*8+($X65:$AD65="J")*5+($X65:$AD65="CEP")*4+($X65:$AD65="CP")*6+($X65:$AD65="CRO")*6+($X65:$AD65="M+")*6+($X65:$AD65="T+")*6+($X65:$AD65="D+")*12+($X65:$AD65="N+")*12+($X65:$AD65="Dm+")*12+($X65:$AD65="Dt+")*12+($X65:$AD65="Tm-")*6+($X65:$AD65="Mt-")*6)</f>
        <v/>
      </c>
      <c r="BA65" s="118">
        <f>AZ65-MAX(0,IFERROR(INDEX(CADASTRO!$I$4:$I$80,MATCH($A65,CADASTRO!$A$4:$A$80,0)),$B65)-CONFIG!$B$50*(COUNTIF($X65:$AD65,"AB")+COUNTIF($X65:$AD65,"FE")+COUNTIF($X65:$AD65,"LM")))</f>
        <v/>
      </c>
      <c r="BB65" s="117">
        <f>SUMPRODUCT(($AE65:$AJ65="M")*6+($AE65:$AJ65="T")*6+($AE65:$AJ65="D")*12+($AE65:$AJ65="N")*12+($AE65:$AJ65="NT")*6+($AE65:$AJ65="C")*10+($AE65:$AJ65="A")*8+($AE65:$AJ65="J")*5+($AE65:$AJ65="CEP")*4+($AE65:$AJ65="CP")*6+($AE65:$AJ65="CRO")*6+($AE65:$AJ65="M+")*6+($AE65:$AJ65="T+")*6+($AE65:$AJ65="D+")*12+($AE65:$AJ65="N+")*12+($AE65:$AJ65="Dm+")*12+($AE65:$AJ65="Dt+")*12+($AE65:$AJ65="Tm-")*6+($AE65:$AJ65="Mt-")*6)+SUMPRODUCT(($AN65:$AN65="M")*6+($AN65:$AN65="T")*6+($AN65:$AN65="D")*12+($AN65:$AN65="N")*12+($AN65:$AN65="NT")*6+($AN65:$AN65="C")*10+($AN65:$AN65="A")*8+($AN65:$AN65="J")*5+($AN65:$AN65="CEP")*4+($AN65:$AN65="CP")*6+($AN65:$AN65="CRO")*6+($AN65:$AN65="M+")*6+($AN65:$AN65="T+")*6+($AN65:$AN65="D+")*12+($AN65:$AN65="N+")*12+($AN65:$AN65="Dm+")*12+($AN65:$AN65="Dt+")*12+($AN65:$AN65="Tm-")*6+($AN65:$AN65="Mt-")*6)</f>
        <v/>
      </c>
      <c r="BC65" s="118">
        <f>BB65-MAX(0,IFERROR(INDEX(CADASTRO!$I$4:$I$80,MATCH($A65,CADASTRO!$A$4:$A$80,0)),$B65)-CONFIG!$B$50*(COUNTIF($AE65:$AJ65,"AB")+COUNTIF($AE65:$AJ65,"FE")+COUNTIF($AE65:$AJ65,"LM")+COUNTIF($AN65:$AN65,"AB")+COUNTIF($AN65:$AN65,"FE")+COUNTIF($AN65:$AN65,"LM")))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ROUND(B65*4.0,0)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36">
        <f>IFERROR(INDEX(JAN!AH$8:AH$73,MATCH($A66,JAN!$A$8:$A$73,0))&amp;"","")</f>
        <v/>
      </c>
      <c r="D66" s="136">
        <f>IFERROR(INDEX(JAN!AI$8:AI$73,MATCH($A66,JAN!$A$8:$A$73,0))&amp;"","")</f>
        <v/>
      </c>
      <c r="E66" s="136">
        <f>IFERROR(INDEX(JAN!AJ$8:AJ$73,MATCH($A66,JAN!$A$8:$A$73,0))&amp;"","")</f>
        <v/>
      </c>
      <c r="F66" s="136">
        <f>IFERROR(INDEX(JAN!AK$8:AK$73,MATCH($A66,JAN!$A$8:$A$73,0))&amp;"","")</f>
        <v/>
      </c>
      <c r="G66" s="136">
        <f>IFERROR(INDEX(JAN!AL$8:AL$73,MATCH($A66,JAN!$A$8:$A$73,0))&amp;"","")</f>
        <v/>
      </c>
      <c r="H66" s="116">
        <f>IFERROR(INDEX(JAN!AM$8:AM$73,MATCH($A66,JAN!$A$8:$A$73,0))&amp;"","")</f>
        <v/>
      </c>
      <c r="I66" s="114" t="n"/>
      <c r="J66" s="125" t="inlineStr">
        <is>
          <t>N</t>
        </is>
      </c>
      <c r="K66" s="126" t="inlineStr">
        <is>
          <t>T</t>
        </is>
      </c>
      <c r="L66" s="114" t="n"/>
      <c r="M66" s="114" t="n"/>
      <c r="N66" s="126" t="inlineStr">
        <is>
          <t>T</t>
        </is>
      </c>
      <c r="O66" s="125" t="inlineStr">
        <is>
          <t>N</t>
        </is>
      </c>
      <c r="P66" s="114" t="n"/>
      <c r="Q66" s="125" t="inlineStr">
        <is>
          <t>N</t>
        </is>
      </c>
      <c r="R66" s="126" t="inlineStr">
        <is>
          <t>T</t>
        </is>
      </c>
      <c r="S66" s="125" t="inlineStr">
        <is>
          <t>N</t>
        </is>
      </c>
      <c r="T66" s="126" t="inlineStr">
        <is>
          <t>T</t>
        </is>
      </c>
      <c r="U66" s="114" t="n"/>
      <c r="V66" s="114" t="n"/>
      <c r="W66" s="114" t="n"/>
      <c r="X66" s="114" t="n"/>
      <c r="Y66" s="114" t="n"/>
      <c r="Z66" s="125" t="inlineStr">
        <is>
          <t>N</t>
        </is>
      </c>
      <c r="AA66" s="114" t="n"/>
      <c r="AB66" s="125" t="inlineStr">
        <is>
          <t>N</t>
        </is>
      </c>
      <c r="AC66" s="114" t="n"/>
      <c r="AD66" s="124" t="inlineStr">
        <is>
          <t>D</t>
        </is>
      </c>
      <c r="AE66" s="125" t="inlineStr">
        <is>
          <t>N</t>
        </is>
      </c>
      <c r="AF66" s="126" t="inlineStr">
        <is>
          <t>T</t>
        </is>
      </c>
      <c r="AG66" s="114" t="n"/>
      <c r="AH66" s="114" t="n"/>
      <c r="AI66" s="114" t="n"/>
      <c r="AJ66" s="125" t="inlineStr">
        <is>
          <t>N</t>
        </is>
      </c>
      <c r="AK66" s="100" t="n"/>
      <c r="AL66" s="100" t="n"/>
      <c r="AM66" s="100" t="n"/>
      <c r="AN66" s="116">
        <f>IFERROR(INDEX(MAR!I$8:I$73,MATCH($A66,MAR!$A$8:$A$73,0))&amp;"","")</f>
        <v/>
      </c>
      <c r="AO66" s="100" t="n"/>
      <c r="AP66" s="100" t="n"/>
      <c r="AQ66" s="100" t="n"/>
      <c r="AR66" s="100" t="n"/>
      <c r="AS66" s="100" t="n"/>
      <c r="AT66" s="117">
        <f>SUMPRODUCT(($C66:$I66="M")*6+($C66:$I66="T")*6+($C66:$I66="D")*12+($C66:$I66="N")*12+($C66:$I66="NT")*6+($C66:$I66="C")*10+($C66:$I66="A")*8+($C66:$I66="J")*5+($C66:$I66="CEP")*4+($C66:$I66="CP")*6+($C66:$I66="CRO")*6+($C66:$I66="M+")*6+($C66:$I66="T+")*6+($C66:$I66="D+")*12+($C66:$I66="N+")*12+($C66:$I66="Dm+")*12+($C66:$I66="Dt+")*12+($C66:$I66="Tm-")*6+($C66:$I66="Mt-")*6)</f>
        <v/>
      </c>
      <c r="AU66" s="118">
        <f>AT66-MAX(0,IFERROR(INDEX(CADASTRO!$I$4:$I$80,MATCH($A66,CADASTRO!$A$4:$A$80,0)),$B66)-CONFIG!$B$50*(COUNTIF($C66:$I66,"AB")+COUNTIF($C66:$I66,"FE")+COUNTIF($C66:$I66,"LM")))</f>
        <v/>
      </c>
      <c r="AV66" s="117">
        <f>SUMPRODUCT(($J66:$P66="M")*6+($J66:$P66="T")*6+($J66:$P66="D")*12+($J66:$P66="N")*12+($J66:$P66="NT")*6+($J66:$P66="C")*10+($J66:$P66="A")*8+($J66:$P66="J")*5+($J66:$P66="CEP")*4+($J66:$P66="CP")*6+($J66:$P66="CRO")*6+($J66:$P66="M+")*6+($J66:$P66="T+")*6+($J66:$P66="D+")*12+($J66:$P66="N+")*12+($J66:$P66="Dm+")*12+($J66:$P66="Dt+")*12+($J66:$P66="Tm-")*6+($J66:$P66="Mt-")*6)</f>
        <v/>
      </c>
      <c r="AW66" s="118">
        <f>AV66-MAX(0,IFERROR(INDEX(CADASTRO!$I$4:$I$80,MATCH($A66,CADASTRO!$A$4:$A$80,0)),$B66)-CONFIG!$B$50*(COUNTIF($J66:$P66,"AB")+COUNTIF($J66:$P66,"FE")+COUNTIF($J66:$P66,"LM")))</f>
        <v/>
      </c>
      <c r="AX66" s="117">
        <f>SUMPRODUCT(($Q66:$W66="M")*6+($Q66:$W66="T")*6+($Q66:$W66="D")*12+($Q66:$W66="N")*12+($Q66:$W66="NT")*6+($Q66:$W66="C")*10+($Q66:$W66="A")*8+($Q66:$W66="J")*5+($Q66:$W66="CEP")*4+($Q66:$W66="CP")*6+($Q66:$W66="CRO")*6+($Q66:$W66="M+")*6+($Q66:$W66="T+")*6+($Q66:$W66="D+")*12+($Q66:$W66="N+")*12+($Q66:$W66="Dm+")*12+($Q66:$W66="Dt+")*12+($Q66:$W66="Tm-")*6+($Q66:$W66="Mt-")*6)</f>
        <v/>
      </c>
      <c r="AY66" s="118">
        <f>AX66-MAX(0,IFERROR(INDEX(CADASTRO!$I$4:$I$80,MATCH($A66,CADASTRO!$A$4:$A$80,0)),$B66)-CONFIG!$B$50*(COUNTIF($Q66:$W66,"AB")+COUNTIF($Q66:$W66,"FE")+COUNTIF($Q66:$W66,"LM")))</f>
        <v/>
      </c>
      <c r="AZ66" s="117">
        <f>SUMPRODUCT(($X66:$AD66="M")*6+($X66:$AD66="T")*6+($X66:$AD66="D")*12+($X66:$AD66="N")*12+($X66:$AD66="NT")*6+($X66:$AD66="C")*10+($X66:$AD66="A")*8+($X66:$AD66="J")*5+($X66:$AD66="CEP")*4+($X66:$AD66="CP")*6+($X66:$AD66="CRO")*6+($X66:$AD66="M+")*6+($X66:$AD66="T+")*6+($X66:$AD66="D+")*12+($X66:$AD66="N+")*12+($X66:$AD66="Dm+")*12+($X66:$AD66="Dt+")*12+($X66:$AD66="Tm-")*6+($X66:$AD66="Mt-")*6)</f>
        <v/>
      </c>
      <c r="BA66" s="118">
        <f>AZ66-MAX(0,IFERROR(INDEX(CADASTRO!$I$4:$I$80,MATCH($A66,CADASTRO!$A$4:$A$80,0)),$B66)-CONFIG!$B$50*(COUNTIF($X66:$AD66,"AB")+COUNTIF($X66:$AD66,"FE")+COUNTIF($X66:$AD66,"LM")))</f>
        <v/>
      </c>
      <c r="BB66" s="117">
        <f>SUMPRODUCT(($AE66:$AJ66="M")*6+($AE66:$AJ66="T")*6+($AE66:$AJ66="D")*12+($AE66:$AJ66="N")*12+($AE66:$AJ66="NT")*6+($AE66:$AJ66="C")*10+($AE66:$AJ66="A")*8+($AE66:$AJ66="J")*5+($AE66:$AJ66="CEP")*4+($AE66:$AJ66="CP")*6+($AE66:$AJ66="CRO")*6+($AE66:$AJ66="M+")*6+($AE66:$AJ66="T+")*6+($AE66:$AJ66="D+")*12+($AE66:$AJ66="N+")*12+($AE66:$AJ66="Dm+")*12+($AE66:$AJ66="Dt+")*12+($AE66:$AJ66="Tm-")*6+($AE66:$AJ66="Mt-")*6)+SUMPRODUCT(($AN66:$AN66="M")*6+($AN66:$AN66="T")*6+($AN66:$AN66="D")*12+($AN66:$AN66="N")*12+($AN66:$AN66="NT")*6+($AN66:$AN66="C")*10+($AN66:$AN66="A")*8+($AN66:$AN66="J")*5+($AN66:$AN66="CEP")*4+($AN66:$AN66="CP")*6+($AN66:$AN66="CRO")*6+($AN66:$AN66="M+")*6+($AN66:$AN66="T+")*6+($AN66:$AN66="D+")*12+($AN66:$AN66="N+")*12+($AN66:$AN66="Dm+")*12+($AN66:$AN66="Dt+")*12+($AN66:$AN66="Tm-")*6+($AN66:$AN66="Mt-")*6)</f>
        <v/>
      </c>
      <c r="BC66" s="118">
        <f>BB66-MAX(0,IFERROR(INDEX(CADASTRO!$I$4:$I$80,MATCH($A66,CADASTRO!$A$4:$A$80,0)),$B66)-CONFIG!$B$50*(COUNTIF($AE66:$AJ66,"AB")+COUNTIF($AE66:$AJ66,"FE")+COUNTIF($AE66:$AJ66,"LM")+COUNTIF($AN66:$AN66,"AB")+COUNTIF($AN66:$AN66,"FE")+COUNTIF($AN66:$AN66,"LM")))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ROUND(B66*4.0,0)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36">
        <f>IFERROR(INDEX(JAN!AH$8:AH$73,MATCH($A67,JAN!$A$8:$A$73,0))&amp;"","")</f>
        <v/>
      </c>
      <c r="D67" s="136">
        <f>IFERROR(INDEX(JAN!AI$8:AI$73,MATCH($A67,JAN!$A$8:$A$73,0))&amp;"","")</f>
        <v/>
      </c>
      <c r="E67" s="136">
        <f>IFERROR(INDEX(JAN!AJ$8:AJ$73,MATCH($A67,JAN!$A$8:$A$73,0))&amp;"","")</f>
        <v/>
      </c>
      <c r="F67" s="136">
        <f>IFERROR(INDEX(JAN!AK$8:AK$73,MATCH($A67,JAN!$A$8:$A$73,0))&amp;"","")</f>
        <v/>
      </c>
      <c r="G67" s="136">
        <f>IFERROR(INDEX(JAN!AL$8:AL$73,MATCH($A67,JAN!$A$8:$A$73,0))&amp;"","")</f>
        <v/>
      </c>
      <c r="H67" s="116">
        <f>IFERROR(INDEX(JAN!AM$8:AM$73,MATCH($A67,JAN!$A$8:$A$73,0))&amp;"","")</f>
        <v/>
      </c>
      <c r="I67" s="114" t="n"/>
      <c r="J67" s="131" t="inlineStr">
        <is>
          <t>CP</t>
        </is>
      </c>
      <c r="K67" s="125" t="inlineStr">
        <is>
          <t>N</t>
        </is>
      </c>
      <c r="L67" s="131" t="inlineStr">
        <is>
          <t>CP</t>
        </is>
      </c>
      <c r="M67" s="127" t="inlineStr">
        <is>
          <t>M-</t>
        </is>
      </c>
      <c r="N67" s="114" t="n"/>
      <c r="O67" s="114" t="n"/>
      <c r="P67" s="114" t="n"/>
      <c r="Q67" s="131" t="inlineStr">
        <is>
          <t>CP</t>
        </is>
      </c>
      <c r="R67" s="123" t="inlineStr">
        <is>
          <t>M+</t>
        </is>
      </c>
      <c r="S67" s="131" t="inlineStr">
        <is>
          <t>CP</t>
        </is>
      </c>
      <c r="T67" s="114" t="n"/>
      <c r="U67" s="126" t="inlineStr">
        <is>
          <t>T</t>
        </is>
      </c>
      <c r="V67" s="114" t="n"/>
      <c r="W67" s="125" t="inlineStr">
        <is>
          <t>N</t>
        </is>
      </c>
      <c r="X67" s="131" t="inlineStr">
        <is>
          <t>CP</t>
        </is>
      </c>
      <c r="Y67" s="123" t="inlineStr">
        <is>
          <t>M+</t>
        </is>
      </c>
      <c r="Z67" s="131" t="inlineStr">
        <is>
          <t>CP</t>
        </is>
      </c>
      <c r="AA67" s="114" t="n"/>
      <c r="AB67" s="125" t="inlineStr">
        <is>
          <t>N</t>
        </is>
      </c>
      <c r="AC67" s="114" t="n"/>
      <c r="AD67" s="115" t="inlineStr">
        <is>
          <t>M</t>
        </is>
      </c>
      <c r="AE67" s="131" t="inlineStr">
        <is>
          <t>CP</t>
        </is>
      </c>
      <c r="AF67" s="125" t="inlineStr">
        <is>
          <t>N</t>
        </is>
      </c>
      <c r="AG67" s="131" t="inlineStr">
        <is>
          <t>CP</t>
        </is>
      </c>
      <c r="AH67" s="127" t="inlineStr">
        <is>
          <t>T-</t>
        </is>
      </c>
      <c r="AI67" s="114" t="n"/>
      <c r="AJ67" s="114" t="n"/>
      <c r="AK67" s="100" t="n"/>
      <c r="AL67" s="100" t="n"/>
      <c r="AM67" s="100" t="n"/>
      <c r="AN67" s="116">
        <f>IFERROR(INDEX(MAR!I$8:I$73,MATCH($A67,MAR!$A$8:$A$73,0))&amp;"","")</f>
        <v/>
      </c>
      <c r="AO67" s="100" t="n"/>
      <c r="AP67" s="100" t="n"/>
      <c r="AQ67" s="100" t="n"/>
      <c r="AR67" s="100" t="n"/>
      <c r="AS67" s="100" t="n"/>
      <c r="AT67" s="117">
        <f>SUMPRODUCT(($C67:$I67="M")*6+($C67:$I67="T")*6+($C67:$I67="D")*12+($C67:$I67="N")*12+($C67:$I67="NT")*6+($C67:$I67="C")*10+($C67:$I67="A")*8+($C67:$I67="J")*5+($C67:$I67="CEP")*4+($C67:$I67="CP")*6+($C67:$I67="CRO")*6+($C67:$I67="M+")*6+($C67:$I67="T+")*6+($C67:$I67="D+")*12+($C67:$I67="N+")*12+($C67:$I67="Dm+")*12+($C67:$I67="Dt+")*12+($C67:$I67="Tm-")*6+($C67:$I67="Mt-")*6)</f>
        <v/>
      </c>
      <c r="AU67" s="118">
        <f>AT67-MAX(0,IFERROR(INDEX(CADASTRO!$I$4:$I$80,MATCH($A67,CADASTRO!$A$4:$A$80,0)),$B67)-CONFIG!$B$50*(COUNTIF($C67:$I67,"AB")+COUNTIF($C67:$I67,"FE")+COUNTIF($C67:$I67,"LM")))</f>
        <v/>
      </c>
      <c r="AV67" s="117">
        <f>SUMPRODUCT(($J67:$P67="M")*6+($J67:$P67="T")*6+($J67:$P67="D")*12+($J67:$P67="N")*12+($J67:$P67="NT")*6+($J67:$P67="C")*10+($J67:$P67="A")*8+($J67:$P67="J")*5+($J67:$P67="CEP")*4+($J67:$P67="CP")*6+($J67:$P67="CRO")*6+($J67:$P67="M+")*6+($J67:$P67="T+")*6+($J67:$P67="D+")*12+($J67:$P67="N+")*12+($J67:$P67="Dm+")*12+($J67:$P67="Dt+")*12+($J67:$P67="Tm-")*6+($J67:$P67="Mt-")*6)</f>
        <v/>
      </c>
      <c r="AW67" s="118">
        <f>AV67-MAX(0,IFERROR(INDEX(CADASTRO!$I$4:$I$80,MATCH($A67,CADASTRO!$A$4:$A$80,0)),$B67)-CONFIG!$B$50*(COUNTIF($J67:$P67,"AB")+COUNTIF($J67:$P67,"FE")+COUNTIF($J67:$P67,"LM")))</f>
        <v/>
      </c>
      <c r="AX67" s="117">
        <f>SUMPRODUCT(($Q67:$W67="M")*6+($Q67:$W67="T")*6+($Q67:$W67="D")*12+($Q67:$W67="N")*12+($Q67:$W67="NT")*6+($Q67:$W67="C")*10+($Q67:$W67="A")*8+($Q67:$W67="J")*5+($Q67:$W67="CEP")*4+($Q67:$W67="CP")*6+($Q67:$W67="CRO")*6+($Q67:$W67="M+")*6+($Q67:$W67="T+")*6+($Q67:$W67="D+")*12+($Q67:$W67="N+")*12+($Q67:$W67="Dm+")*12+($Q67:$W67="Dt+")*12+($Q67:$W67="Tm-")*6+($Q67:$W67="Mt-")*6)</f>
        <v/>
      </c>
      <c r="AY67" s="118">
        <f>AX67-MAX(0,IFERROR(INDEX(CADASTRO!$I$4:$I$80,MATCH($A67,CADASTRO!$A$4:$A$80,0)),$B67)-CONFIG!$B$50*(COUNTIF($Q67:$W67,"AB")+COUNTIF($Q67:$W67,"FE")+COUNTIF($Q67:$W67,"LM")))</f>
        <v/>
      </c>
      <c r="AZ67" s="117">
        <f>SUMPRODUCT(($X67:$AD67="M")*6+($X67:$AD67="T")*6+($X67:$AD67="D")*12+($X67:$AD67="N")*12+($X67:$AD67="NT")*6+($X67:$AD67="C")*10+($X67:$AD67="A")*8+($X67:$AD67="J")*5+($X67:$AD67="CEP")*4+($X67:$AD67="CP")*6+($X67:$AD67="CRO")*6+($X67:$AD67="M+")*6+($X67:$AD67="T+")*6+($X67:$AD67="D+")*12+($X67:$AD67="N+")*12+($X67:$AD67="Dm+")*12+($X67:$AD67="Dt+")*12+($X67:$AD67="Tm-")*6+($X67:$AD67="Mt-")*6)</f>
        <v/>
      </c>
      <c r="BA67" s="118">
        <f>AZ67-MAX(0,IFERROR(INDEX(CADASTRO!$I$4:$I$80,MATCH($A67,CADASTRO!$A$4:$A$80,0)),$B67)-CONFIG!$B$50*(COUNTIF($X67:$AD67,"AB")+COUNTIF($X67:$AD67,"FE")+COUNTIF($X67:$AD67,"LM")))</f>
        <v/>
      </c>
      <c r="BB67" s="117">
        <f>SUMPRODUCT(($AE67:$AJ67="M")*6+($AE67:$AJ67="T")*6+($AE67:$AJ67="D")*12+($AE67:$AJ67="N")*12+($AE67:$AJ67="NT")*6+($AE67:$AJ67="C")*10+($AE67:$AJ67="A")*8+($AE67:$AJ67="J")*5+($AE67:$AJ67="CEP")*4+($AE67:$AJ67="CP")*6+($AE67:$AJ67="CRO")*6+($AE67:$AJ67="M+")*6+($AE67:$AJ67="T+")*6+($AE67:$AJ67="D+")*12+($AE67:$AJ67="N+")*12+($AE67:$AJ67="Dm+")*12+($AE67:$AJ67="Dt+")*12+($AE67:$AJ67="Tm-")*6+($AE67:$AJ67="Mt-")*6)+SUMPRODUCT(($AN67:$AN67="M")*6+($AN67:$AN67="T")*6+($AN67:$AN67="D")*12+($AN67:$AN67="N")*12+($AN67:$AN67="NT")*6+($AN67:$AN67="C")*10+($AN67:$AN67="A")*8+($AN67:$AN67="J")*5+($AN67:$AN67="CEP")*4+($AN67:$AN67="CP")*6+($AN67:$AN67="CRO")*6+($AN67:$AN67="M+")*6+($AN67:$AN67="T+")*6+($AN67:$AN67="D+")*12+($AN67:$AN67="N+")*12+($AN67:$AN67="Dm+")*12+($AN67:$AN67="Dt+")*12+($AN67:$AN67="Tm-")*6+($AN67:$AN67="Mt-")*6)</f>
        <v/>
      </c>
      <c r="BC67" s="118">
        <f>BB67-MAX(0,IFERROR(INDEX(CADASTRO!$I$4:$I$80,MATCH($A67,CADASTRO!$A$4:$A$80,0)),$B67)-CONFIG!$B$50*(COUNTIF($AE67:$AJ67,"AB")+COUNTIF($AE67:$AJ67,"FE")+COUNTIF($AE67:$AJ67,"LM")+COUNTIF($AN67:$AN67,"AB")+COUNTIF($AN67:$AN67,"FE")+COUNTIF($AN67:$AN67,"LM")))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ROUND(B67*4.0,0)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36">
        <f>IFERROR(INDEX(JAN!AH$8:AH$73,MATCH($A68,JAN!$A$8:$A$73,0))&amp;"","")</f>
        <v/>
      </c>
      <c r="D68" s="136">
        <f>IFERROR(INDEX(JAN!AI$8:AI$73,MATCH($A68,JAN!$A$8:$A$73,0))&amp;"","")</f>
        <v/>
      </c>
      <c r="E68" s="136">
        <f>IFERROR(INDEX(JAN!AJ$8:AJ$73,MATCH($A68,JAN!$A$8:$A$73,0))&amp;"","")</f>
        <v/>
      </c>
      <c r="F68" s="136">
        <f>IFERROR(INDEX(JAN!AK$8:AK$73,MATCH($A68,JAN!$A$8:$A$73,0))&amp;"","")</f>
        <v/>
      </c>
      <c r="G68" s="136">
        <f>IFERROR(INDEX(JAN!AL$8:AL$73,MATCH($A68,JAN!$A$8:$A$73,0))&amp;"","")</f>
        <v/>
      </c>
      <c r="H68" s="116">
        <f>IFERROR(INDEX(JAN!AM$8:AM$73,MATCH($A68,JAN!$A$8:$A$73,0))&amp;"","")</f>
        <v/>
      </c>
      <c r="I68" s="115" t="inlineStr">
        <is>
          <t>M</t>
        </is>
      </c>
      <c r="J68" s="114" t="n"/>
      <c r="K68" s="114" t="n"/>
      <c r="L68" s="125" t="inlineStr">
        <is>
          <t>N</t>
        </is>
      </c>
      <c r="M68" s="114" t="n"/>
      <c r="N68" s="124" t="inlineStr">
        <is>
          <t>D</t>
        </is>
      </c>
      <c r="O68" s="114" t="n"/>
      <c r="P68" s="114" t="n"/>
      <c r="Q68" s="114" t="n"/>
      <c r="R68" s="114" t="n"/>
      <c r="S68" s="125" t="inlineStr">
        <is>
          <t>N</t>
        </is>
      </c>
      <c r="T68" s="114" t="n"/>
      <c r="U68" s="125" t="inlineStr">
        <is>
          <t>N</t>
        </is>
      </c>
      <c r="V68" s="114" t="n"/>
      <c r="W68" s="114" t="n"/>
      <c r="X68" s="114" t="n"/>
      <c r="Y68" s="114" t="n"/>
      <c r="Z68" s="114" t="n"/>
      <c r="AA68" s="114" t="n"/>
      <c r="AB68" s="124" t="inlineStr">
        <is>
          <t>D</t>
        </is>
      </c>
      <c r="AC68" s="125" t="inlineStr">
        <is>
          <t>N</t>
        </is>
      </c>
      <c r="AD68" s="114" t="n"/>
      <c r="AE68" s="114" t="n"/>
      <c r="AF68" s="114" t="n"/>
      <c r="AG68" s="125" t="inlineStr">
        <is>
          <t>N</t>
        </is>
      </c>
      <c r="AH68" s="114" t="n"/>
      <c r="AI68" s="115" t="inlineStr">
        <is>
          <t>M</t>
        </is>
      </c>
      <c r="AJ68" s="114" t="n"/>
      <c r="AK68" s="100" t="n"/>
      <c r="AL68" s="100" t="n"/>
      <c r="AM68" s="100" t="n"/>
      <c r="AN68" s="116">
        <f>IFERROR(INDEX(MAR!I$8:I$73,MATCH($A68,MAR!$A$8:$A$73,0))&amp;"","")</f>
        <v/>
      </c>
      <c r="AO68" s="100" t="n"/>
      <c r="AP68" s="100" t="n"/>
      <c r="AQ68" s="100" t="n"/>
      <c r="AR68" s="100" t="n"/>
      <c r="AS68" s="100" t="n"/>
      <c r="AT68" s="117">
        <f>SUMPRODUCT(($C68:$I68="M")*6+($C68:$I68="T")*6+($C68:$I68="D")*12+($C68:$I68="N")*12+($C68:$I68="NT")*6+($C68:$I68="C")*10+($C68:$I68="A")*8+($C68:$I68="J")*5+($C68:$I68="CEP")*4+($C68:$I68="CP")*6+($C68:$I68="CRO")*6+($C68:$I68="M+")*6+($C68:$I68="T+")*6+($C68:$I68="D+")*12+($C68:$I68="N+")*12+($C68:$I68="Dm+")*12+($C68:$I68="Dt+")*12+($C68:$I68="Tm-")*6+($C68:$I68="Mt-")*6)</f>
        <v/>
      </c>
      <c r="AU68" s="118">
        <f>AT68-MAX(0,IFERROR(INDEX(CADASTRO!$I$4:$I$80,MATCH($A68,CADASTRO!$A$4:$A$80,0)),$B68)-CONFIG!$B$50*(COUNTIF($C68:$I68,"AB")+COUNTIF($C68:$I68,"FE")+COUNTIF($C68:$I68,"LM")))</f>
        <v/>
      </c>
      <c r="AV68" s="117">
        <f>SUMPRODUCT(($J68:$P68="M")*6+($J68:$P68="T")*6+($J68:$P68="D")*12+($J68:$P68="N")*12+($J68:$P68="NT")*6+($J68:$P68="C")*10+($J68:$P68="A")*8+($J68:$P68="J")*5+($J68:$P68="CEP")*4+($J68:$P68="CP")*6+($J68:$P68="CRO")*6+($J68:$P68="M+")*6+($J68:$P68="T+")*6+($J68:$P68="D+")*12+($J68:$P68="N+")*12+($J68:$P68="Dm+")*12+($J68:$P68="Dt+")*12+($J68:$P68="Tm-")*6+($J68:$P68="Mt-")*6)</f>
        <v/>
      </c>
      <c r="AW68" s="118">
        <f>AV68-MAX(0,IFERROR(INDEX(CADASTRO!$I$4:$I$80,MATCH($A68,CADASTRO!$A$4:$A$80,0)),$B68)-CONFIG!$B$50*(COUNTIF($J68:$P68,"AB")+COUNTIF($J68:$P68,"FE")+COUNTIF($J68:$P68,"LM")))</f>
        <v/>
      </c>
      <c r="AX68" s="117">
        <f>SUMPRODUCT(($Q68:$W68="M")*6+($Q68:$W68="T")*6+($Q68:$W68="D")*12+($Q68:$W68="N")*12+($Q68:$W68="NT")*6+($Q68:$W68="C")*10+($Q68:$W68="A")*8+($Q68:$W68="J")*5+($Q68:$W68="CEP")*4+($Q68:$W68="CP")*6+($Q68:$W68="CRO")*6+($Q68:$W68="M+")*6+($Q68:$W68="T+")*6+($Q68:$W68="D+")*12+($Q68:$W68="N+")*12+($Q68:$W68="Dm+")*12+($Q68:$W68="Dt+")*12+($Q68:$W68="Tm-")*6+($Q68:$W68="Mt-")*6)</f>
        <v/>
      </c>
      <c r="AY68" s="118">
        <f>AX68-MAX(0,IFERROR(INDEX(CADASTRO!$I$4:$I$80,MATCH($A68,CADASTRO!$A$4:$A$80,0)),$B68)-CONFIG!$B$50*(COUNTIF($Q68:$W68,"AB")+COUNTIF($Q68:$W68,"FE")+COUNTIF($Q68:$W68,"LM")))</f>
        <v/>
      </c>
      <c r="AZ68" s="117">
        <f>SUMPRODUCT(($X68:$AD68="M")*6+($X68:$AD68="T")*6+($X68:$AD68="D")*12+($X68:$AD68="N")*12+($X68:$AD68="NT")*6+($X68:$AD68="C")*10+($X68:$AD68="A")*8+($X68:$AD68="J")*5+($X68:$AD68="CEP")*4+($X68:$AD68="CP")*6+($X68:$AD68="CRO")*6+($X68:$AD68="M+")*6+($X68:$AD68="T+")*6+($X68:$AD68="D+")*12+($X68:$AD68="N+")*12+($X68:$AD68="Dm+")*12+($X68:$AD68="Dt+")*12+($X68:$AD68="Tm-")*6+($X68:$AD68="Mt-")*6)</f>
        <v/>
      </c>
      <c r="BA68" s="118">
        <f>AZ68-MAX(0,IFERROR(INDEX(CADASTRO!$I$4:$I$80,MATCH($A68,CADASTRO!$A$4:$A$80,0)),$B68)-CONFIG!$B$50*(COUNTIF($X68:$AD68,"AB")+COUNTIF($X68:$AD68,"FE")+COUNTIF($X68:$AD68,"LM")))</f>
        <v/>
      </c>
      <c r="BB68" s="117">
        <f>SUMPRODUCT(($AE68:$AJ68="M")*6+($AE68:$AJ68="T")*6+($AE68:$AJ68="D")*12+($AE68:$AJ68="N")*12+($AE68:$AJ68="NT")*6+($AE68:$AJ68="C")*10+($AE68:$AJ68="A")*8+($AE68:$AJ68="J")*5+($AE68:$AJ68="CEP")*4+($AE68:$AJ68="CP")*6+($AE68:$AJ68="CRO")*6+($AE68:$AJ68="M+")*6+($AE68:$AJ68="T+")*6+($AE68:$AJ68="D+")*12+($AE68:$AJ68="N+")*12+($AE68:$AJ68="Dm+")*12+($AE68:$AJ68="Dt+")*12+($AE68:$AJ68="Tm-")*6+($AE68:$AJ68="Mt-")*6)+SUMPRODUCT(($AN68:$AN68="M")*6+($AN68:$AN68="T")*6+($AN68:$AN68="D")*12+($AN68:$AN68="N")*12+($AN68:$AN68="NT")*6+($AN68:$AN68="C")*10+($AN68:$AN68="A")*8+($AN68:$AN68="J")*5+($AN68:$AN68="CEP")*4+($AN68:$AN68="CP")*6+($AN68:$AN68="CRO")*6+($AN68:$AN68="M+")*6+($AN68:$AN68="T+")*6+($AN68:$AN68="D+")*12+($AN68:$AN68="N+")*12+($AN68:$AN68="Dm+")*12+($AN68:$AN68="Dt+")*12+($AN68:$AN68="Tm-")*6+($AN68:$AN68="Mt-")*6)</f>
        <v/>
      </c>
      <c r="BC68" s="118">
        <f>BB68-MAX(0,IFERROR(INDEX(CADASTRO!$I$4:$I$80,MATCH($A68,CADASTRO!$A$4:$A$80,0)),$B68)-CONFIG!$B$50*(COUNTIF($AE68:$AJ68,"AB")+COUNTIF($AE68:$AJ68,"FE")+COUNTIF($AE68:$AJ68,"LM")+COUNTIF($AN68:$AN68,"AB")+COUNTIF($AN68:$AN68,"FE")+COUNTIF($AN68:$AN68,"LM")))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ROUND(B68*4.0,0)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36">
        <f>IFERROR(INDEX(JAN!AH$8:AH$73,MATCH($A69,JAN!$A$8:$A$73,0))&amp;"","")</f>
        <v/>
      </c>
      <c r="D69" s="136">
        <f>IFERROR(INDEX(JAN!AI$8:AI$73,MATCH($A69,JAN!$A$8:$A$73,0))&amp;"","")</f>
        <v/>
      </c>
      <c r="E69" s="136">
        <f>IFERROR(INDEX(JAN!AJ$8:AJ$73,MATCH($A69,JAN!$A$8:$A$73,0))&amp;"","")</f>
        <v/>
      </c>
      <c r="F69" s="136">
        <f>IFERROR(INDEX(JAN!AK$8:AK$73,MATCH($A69,JAN!$A$8:$A$73,0))&amp;"","")</f>
        <v/>
      </c>
      <c r="G69" s="136">
        <f>IFERROR(INDEX(JAN!AL$8:AL$73,MATCH($A69,JAN!$A$8:$A$73,0))&amp;"","")</f>
        <v/>
      </c>
      <c r="H69" s="116">
        <f>IFERROR(INDEX(JAN!AM$8:AM$73,MATCH($A69,JAN!$A$8:$A$73,0))&amp;"","")</f>
        <v/>
      </c>
      <c r="I69" s="115" t="inlineStr">
        <is>
          <t>M</t>
        </is>
      </c>
      <c r="J69" s="126" t="inlineStr">
        <is>
          <t>T</t>
        </is>
      </c>
      <c r="K69" s="114" t="n"/>
      <c r="L69" s="124" t="inlineStr">
        <is>
          <t>D</t>
        </is>
      </c>
      <c r="M69" s="114" t="n"/>
      <c r="N69" s="114" t="n"/>
      <c r="O69" s="114" t="n"/>
      <c r="P69" s="115" t="inlineStr">
        <is>
          <t>M</t>
        </is>
      </c>
      <c r="Q69" s="114" t="n"/>
      <c r="R69" s="114" t="n"/>
      <c r="S69" s="126" t="inlineStr">
        <is>
          <t>T</t>
        </is>
      </c>
      <c r="T69" s="114" t="n"/>
      <c r="U69" s="126" t="inlineStr">
        <is>
          <t>T</t>
        </is>
      </c>
      <c r="V69" s="124" t="inlineStr">
        <is>
          <t>D</t>
        </is>
      </c>
      <c r="W69" s="114" t="n"/>
      <c r="X69" s="126" t="inlineStr">
        <is>
          <t>T</t>
        </is>
      </c>
      <c r="Y69" s="114" t="n"/>
      <c r="Z69" s="124" t="inlineStr">
        <is>
          <t>D</t>
        </is>
      </c>
      <c r="AA69" s="115" t="inlineStr">
        <is>
          <t>M</t>
        </is>
      </c>
      <c r="AB69" s="114" t="n"/>
      <c r="AC69" s="114" t="n"/>
      <c r="AD69" s="114" t="n"/>
      <c r="AE69" s="114" t="n"/>
      <c r="AF69" s="114" t="n"/>
      <c r="AG69" s="124" t="inlineStr">
        <is>
          <t>D</t>
        </is>
      </c>
      <c r="AH69" s="125" t="inlineStr">
        <is>
          <t>N</t>
        </is>
      </c>
      <c r="AI69" s="114" t="n"/>
      <c r="AJ69" s="114" t="n"/>
      <c r="AK69" s="100" t="n"/>
      <c r="AL69" s="100" t="n"/>
      <c r="AM69" s="100" t="n"/>
      <c r="AN69" s="116">
        <f>IFERROR(INDEX(MAR!I$8:I$73,MATCH($A69,MAR!$A$8:$A$73,0))&amp;"","")</f>
        <v/>
      </c>
      <c r="AO69" s="100" t="n"/>
      <c r="AP69" s="100" t="n"/>
      <c r="AQ69" s="100" t="n"/>
      <c r="AR69" s="100" t="n"/>
      <c r="AS69" s="100" t="n"/>
      <c r="AT69" s="117">
        <f>SUMPRODUCT(($C69:$I69="M")*6+($C69:$I69="T")*6+($C69:$I69="D")*12+($C69:$I69="N")*12+($C69:$I69="NT")*6+($C69:$I69="C")*10+($C69:$I69="A")*8+($C69:$I69="J")*5+($C69:$I69="CEP")*4+($C69:$I69="CP")*6+($C69:$I69="CRO")*6+($C69:$I69="M+")*6+($C69:$I69="T+")*6+($C69:$I69="D+")*12+($C69:$I69="N+")*12+($C69:$I69="Dm+")*12+($C69:$I69="Dt+")*12+($C69:$I69="Tm-")*6+($C69:$I69="Mt-")*6)</f>
        <v/>
      </c>
      <c r="AU69" s="118">
        <f>AT69-MAX(0,IFERROR(INDEX(CADASTRO!$I$4:$I$80,MATCH($A69,CADASTRO!$A$4:$A$80,0)),$B69)-CONFIG!$B$50*(COUNTIF($C69:$I69,"AB")+COUNTIF($C69:$I69,"FE")+COUNTIF($C69:$I69,"LM")))</f>
        <v/>
      </c>
      <c r="AV69" s="117">
        <f>SUMPRODUCT(($J69:$P69="M")*6+($J69:$P69="T")*6+($J69:$P69="D")*12+($J69:$P69="N")*12+($J69:$P69="NT")*6+($J69:$P69="C")*10+($J69:$P69="A")*8+($J69:$P69="J")*5+($J69:$P69="CEP")*4+($J69:$P69="CP")*6+($J69:$P69="CRO")*6+($J69:$P69="M+")*6+($J69:$P69="T+")*6+($J69:$P69="D+")*12+($J69:$P69="N+")*12+($J69:$P69="Dm+")*12+($J69:$P69="Dt+")*12+($J69:$P69="Tm-")*6+($J69:$P69="Mt-")*6)</f>
        <v/>
      </c>
      <c r="AW69" s="118">
        <f>AV69-MAX(0,IFERROR(INDEX(CADASTRO!$I$4:$I$80,MATCH($A69,CADASTRO!$A$4:$A$80,0)),$B69)-CONFIG!$B$50*(COUNTIF($J69:$P69,"AB")+COUNTIF($J69:$P69,"FE")+COUNTIF($J69:$P69,"LM")))</f>
        <v/>
      </c>
      <c r="AX69" s="117">
        <f>SUMPRODUCT(($Q69:$W69="M")*6+($Q69:$W69="T")*6+($Q69:$W69="D")*12+($Q69:$W69="N")*12+($Q69:$W69="NT")*6+($Q69:$W69="C")*10+($Q69:$W69="A")*8+($Q69:$W69="J")*5+($Q69:$W69="CEP")*4+($Q69:$W69="CP")*6+($Q69:$W69="CRO")*6+($Q69:$W69="M+")*6+($Q69:$W69="T+")*6+($Q69:$W69="D+")*12+($Q69:$W69="N+")*12+($Q69:$W69="Dm+")*12+($Q69:$W69="Dt+")*12+($Q69:$W69="Tm-")*6+($Q69:$W69="Mt-")*6)</f>
        <v/>
      </c>
      <c r="AY69" s="118">
        <f>AX69-MAX(0,IFERROR(INDEX(CADASTRO!$I$4:$I$80,MATCH($A69,CADASTRO!$A$4:$A$80,0)),$B69)-CONFIG!$B$50*(COUNTIF($Q69:$W69,"AB")+COUNTIF($Q69:$W69,"FE")+COUNTIF($Q69:$W69,"LM")))</f>
        <v/>
      </c>
      <c r="AZ69" s="117">
        <f>SUMPRODUCT(($X69:$AD69="M")*6+($X69:$AD69="T")*6+($X69:$AD69="D")*12+($X69:$AD69="N")*12+($X69:$AD69="NT")*6+($X69:$AD69="C")*10+($X69:$AD69="A")*8+($X69:$AD69="J")*5+($X69:$AD69="CEP")*4+($X69:$AD69="CP")*6+($X69:$AD69="CRO")*6+($X69:$AD69="M+")*6+($X69:$AD69="T+")*6+($X69:$AD69="D+")*12+($X69:$AD69="N+")*12+($X69:$AD69="Dm+")*12+($X69:$AD69="Dt+")*12+($X69:$AD69="Tm-")*6+($X69:$AD69="Mt-")*6)</f>
        <v/>
      </c>
      <c r="BA69" s="118">
        <f>AZ69-MAX(0,IFERROR(INDEX(CADASTRO!$I$4:$I$80,MATCH($A69,CADASTRO!$A$4:$A$80,0)),$B69)-CONFIG!$B$50*(COUNTIF($X69:$AD69,"AB")+COUNTIF($X69:$AD69,"FE")+COUNTIF($X69:$AD69,"LM")))</f>
        <v/>
      </c>
      <c r="BB69" s="117">
        <f>SUMPRODUCT(($AE69:$AJ69="M")*6+($AE69:$AJ69="T")*6+($AE69:$AJ69="D")*12+($AE69:$AJ69="N")*12+($AE69:$AJ69="NT")*6+($AE69:$AJ69="C")*10+($AE69:$AJ69="A")*8+($AE69:$AJ69="J")*5+($AE69:$AJ69="CEP")*4+($AE69:$AJ69="CP")*6+($AE69:$AJ69="CRO")*6+($AE69:$AJ69="M+")*6+($AE69:$AJ69="T+")*6+($AE69:$AJ69="D+")*12+($AE69:$AJ69="N+")*12+($AE69:$AJ69="Dm+")*12+($AE69:$AJ69="Dt+")*12+($AE69:$AJ69="Tm-")*6+($AE69:$AJ69="Mt-")*6)+SUMPRODUCT(($AN69:$AN69="M")*6+($AN69:$AN69="T")*6+($AN69:$AN69="D")*12+($AN69:$AN69="N")*12+($AN69:$AN69="NT")*6+($AN69:$AN69="C")*10+($AN69:$AN69="A")*8+($AN69:$AN69="J")*5+($AN69:$AN69="CEP")*4+($AN69:$AN69="CP")*6+($AN69:$AN69="CRO")*6+($AN69:$AN69="M+")*6+($AN69:$AN69="T+")*6+($AN69:$AN69="D+")*12+($AN69:$AN69="N+")*12+($AN69:$AN69="Dm+")*12+($AN69:$AN69="Dt+")*12+($AN69:$AN69="Tm-")*6+($AN69:$AN69="Mt-")*6)</f>
        <v/>
      </c>
      <c r="BC69" s="118">
        <f>BB69-MAX(0,IFERROR(INDEX(CADASTRO!$I$4:$I$80,MATCH($A69,CADASTRO!$A$4:$A$80,0)),$B69)-CONFIG!$B$50*(COUNTIF($AE69:$AJ69,"AB")+COUNTIF($AE69:$AJ69,"FE")+COUNTIF($AE69:$AJ69,"LM")+COUNTIF($AN69:$AN69,"AB")+COUNTIF($AN69:$AN69,"FE")+COUNTIF($AN69:$AN69,"LM")))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ROUND(B69*4.0,0)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36">
        <f>IFERROR(INDEX(JAN!AH$8:AH$73,MATCH($A70,JAN!$A$8:$A$73,0))&amp;"","")</f>
        <v/>
      </c>
      <c r="D70" s="136">
        <f>IFERROR(INDEX(JAN!AI$8:AI$73,MATCH($A70,JAN!$A$8:$A$73,0))&amp;"","")</f>
        <v/>
      </c>
      <c r="E70" s="136">
        <f>IFERROR(INDEX(JAN!AJ$8:AJ$73,MATCH($A70,JAN!$A$8:$A$73,0))&amp;"","")</f>
        <v/>
      </c>
      <c r="F70" s="136">
        <f>IFERROR(INDEX(JAN!AK$8:AK$73,MATCH($A70,JAN!$A$8:$A$73,0))&amp;"","")</f>
        <v/>
      </c>
      <c r="G70" s="136">
        <f>IFERROR(INDEX(JAN!AL$8:AL$73,MATCH($A70,JAN!$A$8:$A$73,0))&amp;"","")</f>
        <v/>
      </c>
      <c r="H70" s="116">
        <f>IFERROR(INDEX(JAN!AM$8:AM$73,MATCH($A70,JAN!$A$8:$A$73,0))&amp;"","")</f>
        <v/>
      </c>
      <c r="I70" s="114" t="n"/>
      <c r="J70" s="114" t="n"/>
      <c r="K70" s="126" t="inlineStr">
        <is>
          <t>T</t>
        </is>
      </c>
      <c r="L70" s="124" t="inlineStr">
        <is>
          <t>D</t>
        </is>
      </c>
      <c r="M70" s="126" t="inlineStr">
        <is>
          <t>T</t>
        </is>
      </c>
      <c r="N70" s="114" t="n"/>
      <c r="O70" s="114" t="n"/>
      <c r="P70" s="114" t="n"/>
      <c r="Q70" s="114" t="n"/>
      <c r="R70" s="125" t="inlineStr">
        <is>
          <t>N</t>
        </is>
      </c>
      <c r="S70" s="114" t="n"/>
      <c r="T70" s="125" t="inlineStr">
        <is>
          <t>N</t>
        </is>
      </c>
      <c r="U70" s="114" t="n"/>
      <c r="V70" s="114" t="n"/>
      <c r="W70" s="114" t="n"/>
      <c r="X70" s="114" t="n"/>
      <c r="Y70" s="126" t="inlineStr">
        <is>
          <t>T</t>
        </is>
      </c>
      <c r="Z70" s="114" t="n"/>
      <c r="AA70" s="126" t="inlineStr">
        <is>
          <t>T</t>
        </is>
      </c>
      <c r="AB70" s="114" t="n"/>
      <c r="AC70" s="114" t="n"/>
      <c r="AD70" s="125" t="inlineStr">
        <is>
          <t>N</t>
        </is>
      </c>
      <c r="AE70" s="114" t="n"/>
      <c r="AF70" s="114" t="n"/>
      <c r="AG70" s="114" t="n"/>
      <c r="AH70" s="126" t="inlineStr">
        <is>
          <t>T</t>
        </is>
      </c>
      <c r="AI70" s="114" t="n"/>
      <c r="AJ70" s="124" t="inlineStr">
        <is>
          <t>D</t>
        </is>
      </c>
      <c r="AK70" s="100" t="n"/>
      <c r="AL70" s="100" t="n"/>
      <c r="AM70" s="100" t="n"/>
      <c r="AN70" s="116">
        <f>IFERROR(INDEX(MAR!I$8:I$73,MATCH($A70,MAR!$A$8:$A$73,0))&amp;"","")</f>
        <v/>
      </c>
      <c r="AO70" s="100" t="n"/>
      <c r="AP70" s="100" t="n"/>
      <c r="AQ70" s="100" t="n"/>
      <c r="AR70" s="100" t="n"/>
      <c r="AS70" s="100" t="n"/>
      <c r="AT70" s="117">
        <f>SUMPRODUCT(($C70:$I70="M")*6+($C70:$I70="T")*6+($C70:$I70="D")*12+($C70:$I70="N")*12+($C70:$I70="NT")*6+($C70:$I70="C")*10+($C70:$I70="A")*8+($C70:$I70="J")*5+($C70:$I70="CEP")*4+($C70:$I70="CP")*6+($C70:$I70="CRO")*6+($C70:$I70="M+")*6+($C70:$I70="T+")*6+($C70:$I70="D+")*12+($C70:$I70="N+")*12+($C70:$I70="Dm+")*12+($C70:$I70="Dt+")*12+($C70:$I70="Tm-")*6+($C70:$I70="Mt-")*6)</f>
        <v/>
      </c>
      <c r="AU70" s="118">
        <f>AT70-MAX(0,IFERROR(INDEX(CADASTRO!$I$4:$I$80,MATCH($A70,CADASTRO!$A$4:$A$80,0)),$B70)-CONFIG!$B$50*(COUNTIF($C70:$I70,"AB")+COUNTIF($C70:$I70,"FE")+COUNTIF($C70:$I70,"LM")))</f>
        <v/>
      </c>
      <c r="AV70" s="117">
        <f>SUMPRODUCT(($J70:$P70="M")*6+($J70:$P70="T")*6+($J70:$P70="D")*12+($J70:$P70="N")*12+($J70:$P70="NT")*6+($J70:$P70="C")*10+($J70:$P70="A")*8+($J70:$P70="J")*5+($J70:$P70="CEP")*4+($J70:$P70="CP")*6+($J70:$P70="CRO")*6+($J70:$P70="M+")*6+($J70:$P70="T+")*6+($J70:$P70="D+")*12+($J70:$P70="N+")*12+($J70:$P70="Dm+")*12+($J70:$P70="Dt+")*12+($J70:$P70="Tm-")*6+($J70:$P70="Mt-")*6)</f>
        <v/>
      </c>
      <c r="AW70" s="118">
        <f>AV70-MAX(0,IFERROR(INDEX(CADASTRO!$I$4:$I$80,MATCH($A70,CADASTRO!$A$4:$A$80,0)),$B70)-CONFIG!$B$50*(COUNTIF($J70:$P70,"AB")+COUNTIF($J70:$P70,"FE")+COUNTIF($J70:$P70,"LM")))</f>
        <v/>
      </c>
      <c r="AX70" s="117">
        <f>SUMPRODUCT(($Q70:$W70="M")*6+($Q70:$W70="T")*6+($Q70:$W70="D")*12+($Q70:$W70="N")*12+($Q70:$W70="NT")*6+($Q70:$W70="C")*10+($Q70:$W70="A")*8+($Q70:$W70="J")*5+($Q70:$W70="CEP")*4+($Q70:$W70="CP")*6+($Q70:$W70="CRO")*6+($Q70:$W70="M+")*6+($Q70:$W70="T+")*6+($Q70:$W70="D+")*12+($Q70:$W70="N+")*12+($Q70:$W70="Dm+")*12+($Q70:$W70="Dt+")*12+($Q70:$W70="Tm-")*6+($Q70:$W70="Mt-")*6)</f>
        <v/>
      </c>
      <c r="AY70" s="118">
        <f>AX70-MAX(0,IFERROR(INDEX(CADASTRO!$I$4:$I$80,MATCH($A70,CADASTRO!$A$4:$A$80,0)),$B70)-CONFIG!$B$50*(COUNTIF($Q70:$W70,"AB")+COUNTIF($Q70:$W70,"FE")+COUNTIF($Q70:$W70,"LM")))</f>
        <v/>
      </c>
      <c r="AZ70" s="117">
        <f>SUMPRODUCT(($X70:$AD70="M")*6+($X70:$AD70="T")*6+($X70:$AD70="D")*12+($X70:$AD70="N")*12+($X70:$AD70="NT")*6+($X70:$AD70="C")*10+($X70:$AD70="A")*8+($X70:$AD70="J")*5+($X70:$AD70="CEP")*4+($X70:$AD70="CP")*6+($X70:$AD70="CRO")*6+($X70:$AD70="M+")*6+($X70:$AD70="T+")*6+($X70:$AD70="D+")*12+($X70:$AD70="N+")*12+($X70:$AD70="Dm+")*12+($X70:$AD70="Dt+")*12+($X70:$AD70="Tm-")*6+($X70:$AD70="Mt-")*6)</f>
        <v/>
      </c>
      <c r="BA70" s="118">
        <f>AZ70-MAX(0,IFERROR(INDEX(CADASTRO!$I$4:$I$80,MATCH($A70,CADASTRO!$A$4:$A$80,0)),$B70)-CONFIG!$B$50*(COUNTIF($X70:$AD70,"AB")+COUNTIF($X70:$AD70,"FE")+COUNTIF($X70:$AD70,"LM")))</f>
        <v/>
      </c>
      <c r="BB70" s="117">
        <f>SUMPRODUCT(($AE70:$AJ70="M")*6+($AE70:$AJ70="T")*6+($AE70:$AJ70="D")*12+($AE70:$AJ70="N")*12+($AE70:$AJ70="NT")*6+($AE70:$AJ70="C")*10+($AE70:$AJ70="A")*8+($AE70:$AJ70="J")*5+($AE70:$AJ70="CEP")*4+($AE70:$AJ70="CP")*6+($AE70:$AJ70="CRO")*6+($AE70:$AJ70="M+")*6+($AE70:$AJ70="T+")*6+($AE70:$AJ70="D+")*12+($AE70:$AJ70="N+")*12+($AE70:$AJ70="Dm+")*12+($AE70:$AJ70="Dt+")*12+($AE70:$AJ70="Tm-")*6+($AE70:$AJ70="Mt-")*6)+SUMPRODUCT(($AN70:$AN70="M")*6+($AN70:$AN70="T")*6+($AN70:$AN70="D")*12+($AN70:$AN70="N")*12+($AN70:$AN70="NT")*6+($AN70:$AN70="C")*10+($AN70:$AN70="A")*8+($AN70:$AN70="J")*5+($AN70:$AN70="CEP")*4+($AN70:$AN70="CP")*6+($AN70:$AN70="CRO")*6+($AN70:$AN70="M+")*6+($AN70:$AN70="T+")*6+($AN70:$AN70="D+")*12+($AN70:$AN70="N+")*12+($AN70:$AN70="Dm+")*12+($AN70:$AN70="Dt+")*12+($AN70:$AN70="Tm-")*6+($AN70:$AN70="Mt-")*6)</f>
        <v/>
      </c>
      <c r="BC70" s="118">
        <f>BB70-MAX(0,IFERROR(INDEX(CADASTRO!$I$4:$I$80,MATCH($A70,CADASTRO!$A$4:$A$80,0)),$B70)-CONFIG!$B$50*(COUNTIF($AE70:$AJ70,"AB")+COUNTIF($AE70:$AJ70,"FE")+COUNTIF($AE70:$AJ70,"LM")+COUNTIF($AN70:$AN70,"AB")+COUNTIF($AN70:$AN70,"FE")+COUNTIF($AN70:$AN70,"LM")))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ROUND(B70*4.0,0)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36">
        <f>IFERROR(INDEX(JAN!AH$8:AH$73,MATCH($A71,JAN!$A$8:$A$73,0))&amp;"","")</f>
        <v/>
      </c>
      <c r="D71" s="136">
        <f>IFERROR(INDEX(JAN!AI$8:AI$73,MATCH($A71,JAN!$A$8:$A$73,0))&amp;"","")</f>
        <v/>
      </c>
      <c r="E71" s="136">
        <f>IFERROR(INDEX(JAN!AJ$8:AJ$73,MATCH($A71,JAN!$A$8:$A$73,0))&amp;"","")</f>
        <v/>
      </c>
      <c r="F71" s="136">
        <f>IFERROR(INDEX(JAN!AK$8:AK$73,MATCH($A71,JAN!$A$8:$A$73,0))&amp;"","")</f>
        <v/>
      </c>
      <c r="G71" s="136">
        <f>IFERROR(INDEX(JAN!AL$8:AL$73,MATCH($A71,JAN!$A$8:$A$73,0))&amp;"","")</f>
        <v/>
      </c>
      <c r="H71" s="116">
        <f>IFERROR(INDEX(JAN!AM$8:AM$73,MATCH($A71,JAN!$A$8:$A$73,0))&amp;"","")</f>
        <v/>
      </c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24" t="inlineStr">
        <is>
          <t>D</t>
        </is>
      </c>
      <c r="Z71" s="126" t="inlineStr">
        <is>
          <t>T</t>
        </is>
      </c>
      <c r="AA71" s="114" t="n"/>
      <c r="AB71" s="114" t="n"/>
      <c r="AC71" s="114" t="n"/>
      <c r="AD71" s="114" t="n"/>
      <c r="AE71" s="124" t="inlineStr">
        <is>
          <t>D</t>
        </is>
      </c>
      <c r="AF71" s="114" t="n"/>
      <c r="AG71" s="114" t="n"/>
      <c r="AH71" s="114" t="n"/>
      <c r="AI71" s="114" t="n"/>
      <c r="AJ71" s="124" t="inlineStr">
        <is>
          <t>D</t>
        </is>
      </c>
      <c r="AK71" s="100" t="n"/>
      <c r="AL71" s="100" t="n"/>
      <c r="AM71" s="100" t="n"/>
      <c r="AN71" s="116">
        <f>IFERROR(INDEX(MAR!I$8:I$73,MATCH($A71,MAR!$A$8:$A$73,0))&amp;"","")</f>
        <v/>
      </c>
      <c r="AO71" s="100" t="n"/>
      <c r="AP71" s="100" t="n"/>
      <c r="AQ71" s="100" t="n"/>
      <c r="AR71" s="100" t="n"/>
      <c r="AS71" s="100" t="n"/>
      <c r="AT71" s="117">
        <f>SUMPRODUCT(($C71:$I71="M")*6+($C71:$I71="T")*6+($C71:$I71="D")*12+($C71:$I71="N")*12+($C71:$I71="NT")*6+($C71:$I71="C")*10+($C71:$I71="A")*8+($C71:$I71="J")*5+($C71:$I71="CEP")*4+($C71:$I71="CP")*6+($C71:$I71="CRO")*6+($C71:$I71="M+")*6+($C71:$I71="T+")*6+($C71:$I71="D+")*12+($C71:$I71="N+")*12+($C71:$I71="Dm+")*12+($C71:$I71="Dt+")*12+($C71:$I71="Tm-")*6+($C71:$I71="Mt-")*6)</f>
        <v/>
      </c>
      <c r="AU71" s="118">
        <f>AT71-MAX(0,IFERROR(INDEX(CADASTRO!$I$4:$I$80,MATCH($A71,CADASTRO!$A$4:$A$80,0)),$B71)-CONFIG!$B$50*(COUNTIF($C71:$I71,"AB")+COUNTIF($C71:$I71,"FE")+COUNTIF($C71:$I71,"LM")))</f>
        <v/>
      </c>
      <c r="AV71" s="117">
        <f>SUMPRODUCT(($J71:$P71="M")*6+($J71:$P71="T")*6+($J71:$P71="D")*12+($J71:$P71="N")*12+($J71:$P71="NT")*6+($J71:$P71="C")*10+($J71:$P71="A")*8+($J71:$P71="J")*5+($J71:$P71="CEP")*4+($J71:$P71="CP")*6+($J71:$P71="CRO")*6+($J71:$P71="M+")*6+($J71:$P71="T+")*6+($J71:$P71="D+")*12+($J71:$P71="N+")*12+($J71:$P71="Dm+")*12+($J71:$P71="Dt+")*12+($J71:$P71="Tm-")*6+($J71:$P71="Mt-")*6)</f>
        <v/>
      </c>
      <c r="AW71" s="118">
        <f>AV71-MAX(0,IFERROR(INDEX(CADASTRO!$I$4:$I$80,MATCH($A71,CADASTRO!$A$4:$A$80,0)),$B71)-CONFIG!$B$50*(COUNTIF($J71:$P71,"AB")+COUNTIF($J71:$P71,"FE")+COUNTIF($J71:$P71,"LM")))</f>
        <v/>
      </c>
      <c r="AX71" s="117">
        <f>SUMPRODUCT(($Q71:$W71="M")*6+($Q71:$W71="T")*6+($Q71:$W71="D")*12+($Q71:$W71="N")*12+($Q71:$W71="NT")*6+($Q71:$W71="C")*10+($Q71:$W71="A")*8+($Q71:$W71="J")*5+($Q71:$W71="CEP")*4+($Q71:$W71="CP")*6+($Q71:$W71="CRO")*6+($Q71:$W71="M+")*6+($Q71:$W71="T+")*6+($Q71:$W71="D+")*12+($Q71:$W71="N+")*12+($Q71:$W71="Dm+")*12+($Q71:$W71="Dt+")*12+($Q71:$W71="Tm-")*6+($Q71:$W71="Mt-")*6)</f>
        <v/>
      </c>
      <c r="AY71" s="118">
        <f>AX71-MAX(0,IFERROR(INDEX(CADASTRO!$I$4:$I$80,MATCH($A71,CADASTRO!$A$4:$A$80,0)),$B71)-CONFIG!$B$50*(COUNTIF($Q71:$W71,"AB")+COUNTIF($Q71:$W71,"FE")+COUNTIF($Q71:$W71,"LM")))</f>
        <v/>
      </c>
      <c r="AZ71" s="117">
        <f>SUMPRODUCT(($X71:$AD71="M")*6+($X71:$AD71="T")*6+($X71:$AD71="D")*12+($X71:$AD71="N")*12+($X71:$AD71="NT")*6+($X71:$AD71="C")*10+($X71:$AD71="A")*8+($X71:$AD71="J")*5+($X71:$AD71="CEP")*4+($X71:$AD71="CP")*6+($X71:$AD71="CRO")*6+($X71:$AD71="M+")*6+($X71:$AD71="T+")*6+($X71:$AD71="D+")*12+($X71:$AD71="N+")*12+($X71:$AD71="Dm+")*12+($X71:$AD71="Dt+")*12+($X71:$AD71="Tm-")*6+($X71:$AD71="Mt-")*6)</f>
        <v/>
      </c>
      <c r="BA71" s="118">
        <f>AZ71-MAX(0,IFERROR(INDEX(CADASTRO!$I$4:$I$80,MATCH($A71,CADASTRO!$A$4:$A$80,0)),$B71)-CONFIG!$B$50*(COUNTIF($X71:$AD71,"AB")+COUNTIF($X71:$AD71,"FE")+COUNTIF($X71:$AD71,"LM")))</f>
        <v/>
      </c>
      <c r="BB71" s="117">
        <f>SUMPRODUCT(($AE71:$AJ71="M")*6+($AE71:$AJ71="T")*6+($AE71:$AJ71="D")*12+($AE71:$AJ71="N")*12+($AE71:$AJ71="NT")*6+($AE71:$AJ71="C")*10+($AE71:$AJ71="A")*8+($AE71:$AJ71="J")*5+($AE71:$AJ71="CEP")*4+($AE71:$AJ71="CP")*6+($AE71:$AJ71="CRO")*6+($AE71:$AJ71="M+")*6+($AE71:$AJ71="T+")*6+($AE71:$AJ71="D+")*12+($AE71:$AJ71="N+")*12+($AE71:$AJ71="Dm+")*12+($AE71:$AJ71="Dt+")*12+($AE71:$AJ71="Tm-")*6+($AE71:$AJ71="Mt-")*6)+SUMPRODUCT(($AN71:$AN71="M")*6+($AN71:$AN71="T")*6+($AN71:$AN71="D")*12+($AN71:$AN71="N")*12+($AN71:$AN71="NT")*6+($AN71:$AN71="C")*10+($AN71:$AN71="A")*8+($AN71:$AN71="J")*5+($AN71:$AN71="CEP")*4+($AN71:$AN71="CP")*6+($AN71:$AN71="CRO")*6+($AN71:$AN71="M+")*6+($AN71:$AN71="T+")*6+($AN71:$AN71="D+")*12+($AN71:$AN71="N+")*12+($AN71:$AN71="Dm+")*12+($AN71:$AN71="Dt+")*12+($AN71:$AN71="Tm-")*6+($AN71:$AN71="Mt-")*6)</f>
        <v/>
      </c>
      <c r="BC71" s="118">
        <f>BB71-MAX(0,IFERROR(INDEX(CADASTRO!$I$4:$I$80,MATCH($A71,CADASTRO!$A$4:$A$80,0)),$B71)-CONFIG!$B$50*(COUNTIF($AE71:$AJ71,"AB")+COUNTIF($AE71:$AJ71,"FE")+COUNTIF($AE71:$AJ71,"LM")+COUNTIF($AN71:$AN71,"AB")+COUNTIF($AN71:$AN71,"FE")+COUNTIF($AN71:$AN71,"LM")))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ROUND(B71*4.0,0)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36">
        <f>IFERROR(INDEX(JAN!AH$8:AH$73,MATCH($A72,JAN!$A$8:$A$73,0))&amp;"","")</f>
        <v/>
      </c>
      <c r="D72" s="136">
        <f>IFERROR(INDEX(JAN!AI$8:AI$73,MATCH($A72,JAN!$A$8:$A$73,0))&amp;"","")</f>
        <v/>
      </c>
      <c r="E72" s="136">
        <f>IFERROR(INDEX(JAN!AJ$8:AJ$73,MATCH($A72,JAN!$A$8:$A$73,0))&amp;"","")</f>
        <v/>
      </c>
      <c r="F72" s="136">
        <f>IFERROR(INDEX(JAN!AK$8:AK$73,MATCH($A72,JAN!$A$8:$A$73,0))&amp;"","")</f>
        <v/>
      </c>
      <c r="G72" s="136">
        <f>IFERROR(INDEX(JAN!AL$8:AL$73,MATCH($A72,JAN!$A$8:$A$73,0))&amp;"","")</f>
        <v/>
      </c>
      <c r="H72" s="116">
        <f>IFERROR(INDEX(JAN!AM$8:AM$73,MATCH($A72,JAN!$A$8:$A$73,0))&amp;"","")</f>
        <v/>
      </c>
      <c r="I72" s="125" t="inlineStr">
        <is>
          <t>N</t>
        </is>
      </c>
      <c r="J72" s="115" t="inlineStr">
        <is>
          <t>M</t>
        </is>
      </c>
      <c r="K72" s="114" t="n"/>
      <c r="L72" s="127" t="inlineStr">
        <is>
          <t>T-</t>
        </is>
      </c>
      <c r="M72" s="114" t="n"/>
      <c r="N72" s="114" t="n"/>
      <c r="O72" s="124" t="inlineStr">
        <is>
          <t>D</t>
        </is>
      </c>
      <c r="P72" s="126" t="inlineStr">
        <is>
          <t>T</t>
        </is>
      </c>
      <c r="Q72" s="126" t="inlineStr">
        <is>
          <t>T</t>
        </is>
      </c>
      <c r="R72" s="126" t="inlineStr">
        <is>
          <t>T</t>
        </is>
      </c>
      <c r="S72" s="124" t="inlineStr">
        <is>
          <t>D</t>
        </is>
      </c>
      <c r="T72" s="114" t="n"/>
      <c r="U72" s="114" t="n"/>
      <c r="V72" s="123" t="inlineStr">
        <is>
          <t>M+</t>
        </is>
      </c>
      <c r="W72" s="126" t="inlineStr">
        <is>
          <t>T</t>
        </is>
      </c>
      <c r="X72" s="114" t="n"/>
      <c r="Y72" s="126" t="inlineStr">
        <is>
          <t>T</t>
        </is>
      </c>
      <c r="Z72" s="124" t="inlineStr">
        <is>
          <t>D</t>
        </is>
      </c>
      <c r="AA72" s="114" t="n"/>
      <c r="AB72" s="124" t="inlineStr">
        <is>
          <t>D</t>
        </is>
      </c>
      <c r="AC72" s="114" t="n"/>
      <c r="AD72" s="114" t="n"/>
      <c r="AE72" s="115" t="inlineStr">
        <is>
          <t>M</t>
        </is>
      </c>
      <c r="AF72" s="126" t="inlineStr">
        <is>
          <t>T</t>
        </is>
      </c>
      <c r="AG72" s="126" t="inlineStr">
        <is>
          <t>T</t>
        </is>
      </c>
      <c r="AH72" s="114" t="n"/>
      <c r="AI72" s="125" t="inlineStr">
        <is>
          <t>N</t>
        </is>
      </c>
      <c r="AJ72" s="114" t="n"/>
      <c r="AK72" s="100" t="n"/>
      <c r="AL72" s="100" t="n"/>
      <c r="AM72" s="100" t="n"/>
      <c r="AN72" s="116">
        <f>IFERROR(INDEX(MAR!I$8:I$73,MATCH($A72,MAR!$A$8:$A$73,0))&amp;"","")</f>
        <v/>
      </c>
      <c r="AO72" s="100" t="n"/>
      <c r="AP72" s="100" t="n"/>
      <c r="AQ72" s="100" t="n"/>
      <c r="AR72" s="100" t="n"/>
      <c r="AS72" s="100" t="n"/>
      <c r="AT72" s="117">
        <f>SUMPRODUCT(($C72:$I72="M")*6+($C72:$I72="T")*6+($C72:$I72="D")*12+($C72:$I72="N")*12+($C72:$I72="NT")*6+($C72:$I72="C")*10+($C72:$I72="A")*8+($C72:$I72="J")*5+($C72:$I72="CEP")*4+($C72:$I72="CP")*6+($C72:$I72="CRO")*6+($C72:$I72="M+")*6+($C72:$I72="T+")*6+($C72:$I72="D+")*12+($C72:$I72="N+")*12+($C72:$I72="Dm+")*12+($C72:$I72="Dt+")*12+($C72:$I72="Tm-")*6+($C72:$I72="Mt-")*6)</f>
        <v/>
      </c>
      <c r="AU72" s="118">
        <f>AT72-MAX(0,IFERROR(INDEX(CADASTRO!$I$4:$I$80,MATCH($A72,CADASTRO!$A$4:$A$80,0)),$B72)-CONFIG!$B$50*(COUNTIF($C72:$I72,"AB")+COUNTIF($C72:$I72,"FE")+COUNTIF($C72:$I72,"LM")))</f>
        <v/>
      </c>
      <c r="AV72" s="117">
        <f>SUMPRODUCT(($J72:$P72="M")*6+($J72:$P72="T")*6+($J72:$P72="D")*12+($J72:$P72="N")*12+($J72:$P72="NT")*6+($J72:$P72="C")*10+($J72:$P72="A")*8+($J72:$P72="J")*5+($J72:$P72="CEP")*4+($J72:$P72="CP")*6+($J72:$P72="CRO")*6+($J72:$P72="M+")*6+($J72:$P72="T+")*6+($J72:$P72="D+")*12+($J72:$P72="N+")*12+($J72:$P72="Dm+")*12+($J72:$P72="Dt+")*12+($J72:$P72="Tm-")*6+($J72:$P72="Mt-")*6)</f>
        <v/>
      </c>
      <c r="AW72" s="118">
        <f>AV72-MAX(0,IFERROR(INDEX(CADASTRO!$I$4:$I$80,MATCH($A72,CADASTRO!$A$4:$A$80,0)),$B72)-CONFIG!$B$50*(COUNTIF($J72:$P72,"AB")+COUNTIF($J72:$P72,"FE")+COUNTIF($J72:$P72,"LM")))</f>
        <v/>
      </c>
      <c r="AX72" s="117">
        <f>SUMPRODUCT(($Q72:$W72="M")*6+($Q72:$W72="T")*6+($Q72:$W72="D")*12+($Q72:$W72="N")*12+($Q72:$W72="NT")*6+($Q72:$W72="C")*10+($Q72:$W72="A")*8+($Q72:$W72="J")*5+($Q72:$W72="CEP")*4+($Q72:$W72="CP")*6+($Q72:$W72="CRO")*6+($Q72:$W72="M+")*6+($Q72:$W72="T+")*6+($Q72:$W72="D+")*12+($Q72:$W72="N+")*12+($Q72:$W72="Dm+")*12+($Q72:$W72="Dt+")*12+($Q72:$W72="Tm-")*6+($Q72:$W72="Mt-")*6)</f>
        <v/>
      </c>
      <c r="AY72" s="118">
        <f>AX72-MAX(0,IFERROR(INDEX(CADASTRO!$I$4:$I$80,MATCH($A72,CADASTRO!$A$4:$A$80,0)),$B72)-CONFIG!$B$50*(COUNTIF($Q72:$W72,"AB")+COUNTIF($Q72:$W72,"FE")+COUNTIF($Q72:$W72,"LM")))</f>
        <v/>
      </c>
      <c r="AZ72" s="117">
        <f>SUMPRODUCT(($X72:$AD72="M")*6+($X72:$AD72="T")*6+($X72:$AD72="D")*12+($X72:$AD72="N")*12+($X72:$AD72="NT")*6+($X72:$AD72="C")*10+($X72:$AD72="A")*8+($X72:$AD72="J")*5+($X72:$AD72="CEP")*4+($X72:$AD72="CP")*6+($X72:$AD72="CRO")*6+($X72:$AD72="M+")*6+($X72:$AD72="T+")*6+($X72:$AD72="D+")*12+($X72:$AD72="N+")*12+($X72:$AD72="Dm+")*12+($X72:$AD72="Dt+")*12+($X72:$AD72="Tm-")*6+($X72:$AD72="Mt-")*6)</f>
        <v/>
      </c>
      <c r="BA72" s="118">
        <f>AZ72-MAX(0,IFERROR(INDEX(CADASTRO!$I$4:$I$80,MATCH($A72,CADASTRO!$A$4:$A$80,0)),$B72)-CONFIG!$B$50*(COUNTIF($X72:$AD72,"AB")+COUNTIF($X72:$AD72,"FE")+COUNTIF($X72:$AD72,"LM")))</f>
        <v/>
      </c>
      <c r="BB72" s="117">
        <f>SUMPRODUCT(($AE72:$AJ72="M")*6+($AE72:$AJ72="T")*6+($AE72:$AJ72="D")*12+($AE72:$AJ72="N")*12+($AE72:$AJ72="NT")*6+($AE72:$AJ72="C")*10+($AE72:$AJ72="A")*8+($AE72:$AJ72="J")*5+($AE72:$AJ72="CEP")*4+($AE72:$AJ72="CP")*6+($AE72:$AJ72="CRO")*6+($AE72:$AJ72="M+")*6+($AE72:$AJ72="T+")*6+($AE72:$AJ72="D+")*12+($AE72:$AJ72="N+")*12+($AE72:$AJ72="Dm+")*12+($AE72:$AJ72="Dt+")*12+($AE72:$AJ72="Tm-")*6+($AE72:$AJ72="Mt-")*6)+SUMPRODUCT(($AN72:$AN72="M")*6+($AN72:$AN72="T")*6+($AN72:$AN72="D")*12+($AN72:$AN72="N")*12+($AN72:$AN72="NT")*6+($AN72:$AN72="C")*10+($AN72:$AN72="A")*8+($AN72:$AN72="J")*5+($AN72:$AN72="CEP")*4+($AN72:$AN72="CP")*6+($AN72:$AN72="CRO")*6+($AN72:$AN72="M+")*6+($AN72:$AN72="T+")*6+($AN72:$AN72="D+")*12+($AN72:$AN72="N+")*12+($AN72:$AN72="Dm+")*12+($AN72:$AN72="Dt+")*12+($AN72:$AN72="Tm-")*6+($AN72:$AN72="Mt-")*6)</f>
        <v/>
      </c>
      <c r="BC72" s="118">
        <f>BB72-MAX(0,IFERROR(INDEX(CADASTRO!$I$4:$I$80,MATCH($A72,CADASTRO!$A$4:$A$80,0)),$B72)-CONFIG!$B$50*(COUNTIF($AE72:$AJ72,"AB")+COUNTIF($AE72:$AJ72,"FE")+COUNTIF($AE72:$AJ72,"LM")+COUNTIF($AN72:$AN72,"AB")+COUNTIF($AN72:$AN72,"FE")+COUNTIF($AN72:$AN72,"LM")))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ROUND(B72*4.0,0)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36">
        <f>IFERROR(INDEX(JAN!AH$8:AH$73,MATCH($A73,JAN!$A$8:$A$73,0))&amp;"","")</f>
        <v/>
      </c>
      <c r="D73" s="136">
        <f>IFERROR(INDEX(JAN!AI$8:AI$73,MATCH($A73,JAN!$A$8:$A$73,0))&amp;"","")</f>
        <v/>
      </c>
      <c r="E73" s="136">
        <f>IFERROR(INDEX(JAN!AJ$8:AJ$73,MATCH($A73,JAN!$A$8:$A$73,0))&amp;"","")</f>
        <v/>
      </c>
      <c r="F73" s="136">
        <f>IFERROR(INDEX(JAN!AK$8:AK$73,MATCH($A73,JAN!$A$8:$A$73,0))&amp;"","")</f>
        <v/>
      </c>
      <c r="G73" s="136">
        <f>IFERROR(INDEX(JAN!AL$8:AL$73,MATCH($A73,JAN!$A$8:$A$73,0))&amp;"","")</f>
        <v/>
      </c>
      <c r="H73" s="116">
        <f>IFERROR(INDEX(JAN!AM$8:AM$73,MATCH($A73,JAN!$A$8:$A$73,0))&amp;"","")</f>
        <v/>
      </c>
      <c r="I73" s="126" t="inlineStr">
        <is>
          <t>T</t>
        </is>
      </c>
      <c r="J73" s="114" t="n"/>
      <c r="K73" s="114" t="n"/>
      <c r="L73" s="114" t="n"/>
      <c r="M73" s="125" t="inlineStr">
        <is>
          <t>N</t>
        </is>
      </c>
      <c r="N73" s="126" t="inlineStr">
        <is>
          <t>T</t>
        </is>
      </c>
      <c r="O73" s="114" t="n"/>
      <c r="P73" s="124" t="inlineStr">
        <is>
          <t>D</t>
        </is>
      </c>
      <c r="Q73" s="126" t="inlineStr">
        <is>
          <t>T</t>
        </is>
      </c>
      <c r="R73" s="114" t="n"/>
      <c r="S73" s="114" t="n"/>
      <c r="T73" s="125" t="inlineStr">
        <is>
          <t>N</t>
        </is>
      </c>
      <c r="U73" s="114" t="n"/>
      <c r="V73" s="124" t="inlineStr">
        <is>
          <t>D</t>
        </is>
      </c>
      <c r="W73" s="114" t="n"/>
      <c r="X73" s="125" t="inlineStr">
        <is>
          <t>N</t>
        </is>
      </c>
      <c r="Y73" s="114" t="n"/>
      <c r="Z73" s="114" t="n"/>
      <c r="AA73" s="114" t="n"/>
      <c r="AB73" s="126" t="inlineStr">
        <is>
          <t>T</t>
        </is>
      </c>
      <c r="AC73" s="124" t="inlineStr">
        <is>
          <t>D</t>
        </is>
      </c>
      <c r="AD73" s="114" t="n"/>
      <c r="AE73" s="114" t="n"/>
      <c r="AF73" s="126" t="inlineStr">
        <is>
          <t>T</t>
        </is>
      </c>
      <c r="AG73" s="114" t="n"/>
      <c r="AH73" s="125" t="inlineStr">
        <is>
          <t>N</t>
        </is>
      </c>
      <c r="AI73" s="115" t="inlineStr">
        <is>
          <t>M</t>
        </is>
      </c>
      <c r="AJ73" s="115" t="inlineStr">
        <is>
          <t>M</t>
        </is>
      </c>
      <c r="AK73" s="100" t="n"/>
      <c r="AL73" s="100" t="n"/>
      <c r="AM73" s="100" t="n"/>
      <c r="AN73" s="116">
        <f>IFERROR(INDEX(MAR!I$8:I$73,MATCH($A73,MAR!$A$8:$A$73,0))&amp;"","")</f>
        <v/>
      </c>
      <c r="AO73" s="100" t="n"/>
      <c r="AP73" s="100" t="n"/>
      <c r="AQ73" s="100" t="n"/>
      <c r="AR73" s="100" t="n"/>
      <c r="AS73" s="100" t="n"/>
      <c r="AT73" s="117">
        <f>SUMPRODUCT(($C73:$I73="M")*6+($C73:$I73="T")*6+($C73:$I73="D")*12+($C73:$I73="N")*12+($C73:$I73="NT")*6+($C73:$I73="C")*10+($C73:$I73="A")*8+($C73:$I73="J")*5+($C73:$I73="CEP")*4+($C73:$I73="CP")*6+($C73:$I73="CRO")*6+($C73:$I73="M+")*6+($C73:$I73="T+")*6+($C73:$I73="D+")*12+($C73:$I73="N+")*12+($C73:$I73="Dm+")*12+($C73:$I73="Dt+")*12+($C73:$I73="Tm-")*6+($C73:$I73="Mt-")*6)</f>
        <v/>
      </c>
      <c r="AU73" s="118">
        <f>AT73-MAX(0,IFERROR(INDEX(CADASTRO!$I$4:$I$80,MATCH($A73,CADASTRO!$A$4:$A$80,0)),$B73)-CONFIG!$B$50*(COUNTIF($C73:$I73,"AB")+COUNTIF($C73:$I73,"FE")+COUNTIF($C73:$I73,"LM")))</f>
        <v/>
      </c>
      <c r="AV73" s="117">
        <f>SUMPRODUCT(($J73:$P73="M")*6+($J73:$P73="T")*6+($J73:$P73="D")*12+($J73:$P73="N")*12+($J73:$P73="NT")*6+($J73:$P73="C")*10+($J73:$P73="A")*8+($J73:$P73="J")*5+($J73:$P73="CEP")*4+($J73:$P73="CP")*6+($J73:$P73="CRO")*6+($J73:$P73="M+")*6+($J73:$P73="T+")*6+($J73:$P73="D+")*12+($J73:$P73="N+")*12+($J73:$P73="Dm+")*12+($J73:$P73="Dt+")*12+($J73:$P73="Tm-")*6+($J73:$P73="Mt-")*6)</f>
        <v/>
      </c>
      <c r="AW73" s="118">
        <f>AV73-MAX(0,IFERROR(INDEX(CADASTRO!$I$4:$I$80,MATCH($A73,CADASTRO!$A$4:$A$80,0)),$B73)-CONFIG!$B$50*(COUNTIF($J73:$P73,"AB")+COUNTIF($J73:$P73,"FE")+COUNTIF($J73:$P73,"LM")))</f>
        <v/>
      </c>
      <c r="AX73" s="117">
        <f>SUMPRODUCT(($Q73:$W73="M")*6+($Q73:$W73="T")*6+($Q73:$W73="D")*12+($Q73:$W73="N")*12+($Q73:$W73="NT")*6+($Q73:$W73="C")*10+($Q73:$W73="A")*8+($Q73:$W73="J")*5+($Q73:$W73="CEP")*4+($Q73:$W73="CP")*6+($Q73:$W73="CRO")*6+($Q73:$W73="M+")*6+($Q73:$W73="T+")*6+($Q73:$W73="D+")*12+($Q73:$W73="N+")*12+($Q73:$W73="Dm+")*12+($Q73:$W73="Dt+")*12+($Q73:$W73="Tm-")*6+($Q73:$W73="Mt-")*6)</f>
        <v/>
      </c>
      <c r="AY73" s="118">
        <f>AX73-MAX(0,IFERROR(INDEX(CADASTRO!$I$4:$I$80,MATCH($A73,CADASTRO!$A$4:$A$80,0)),$B73)-CONFIG!$B$50*(COUNTIF($Q73:$W73,"AB")+COUNTIF($Q73:$W73,"FE")+COUNTIF($Q73:$W73,"LM")))</f>
        <v/>
      </c>
      <c r="AZ73" s="117">
        <f>SUMPRODUCT(($X73:$AD73="M")*6+($X73:$AD73="T")*6+($X73:$AD73="D")*12+($X73:$AD73="N")*12+($X73:$AD73="NT")*6+($X73:$AD73="C")*10+($X73:$AD73="A")*8+($X73:$AD73="J")*5+($X73:$AD73="CEP")*4+($X73:$AD73="CP")*6+($X73:$AD73="CRO")*6+($X73:$AD73="M+")*6+($X73:$AD73="T+")*6+($X73:$AD73="D+")*12+($X73:$AD73="N+")*12+($X73:$AD73="Dm+")*12+($X73:$AD73="Dt+")*12+($X73:$AD73="Tm-")*6+($X73:$AD73="Mt-")*6)</f>
        <v/>
      </c>
      <c r="BA73" s="118">
        <f>AZ73-MAX(0,IFERROR(INDEX(CADASTRO!$I$4:$I$80,MATCH($A73,CADASTRO!$A$4:$A$80,0)),$B73)-CONFIG!$B$50*(COUNTIF($X73:$AD73,"AB")+COUNTIF($X73:$AD73,"FE")+COUNTIF($X73:$AD73,"LM")))</f>
        <v/>
      </c>
      <c r="BB73" s="117">
        <f>SUMPRODUCT(($AE73:$AJ73="M")*6+($AE73:$AJ73="T")*6+($AE73:$AJ73="D")*12+($AE73:$AJ73="N")*12+($AE73:$AJ73="NT")*6+($AE73:$AJ73="C")*10+($AE73:$AJ73="A")*8+($AE73:$AJ73="J")*5+($AE73:$AJ73="CEP")*4+($AE73:$AJ73="CP")*6+($AE73:$AJ73="CRO")*6+($AE73:$AJ73="M+")*6+($AE73:$AJ73="T+")*6+($AE73:$AJ73="D+")*12+($AE73:$AJ73="N+")*12+($AE73:$AJ73="Dm+")*12+($AE73:$AJ73="Dt+")*12+($AE73:$AJ73="Tm-")*6+($AE73:$AJ73="Mt-")*6)+SUMPRODUCT(($AN73:$AN73="M")*6+($AN73:$AN73="T")*6+($AN73:$AN73="D")*12+($AN73:$AN73="N")*12+($AN73:$AN73="NT")*6+($AN73:$AN73="C")*10+($AN73:$AN73="A")*8+($AN73:$AN73="J")*5+($AN73:$AN73="CEP")*4+($AN73:$AN73="CP")*6+($AN73:$AN73="CRO")*6+($AN73:$AN73="M+")*6+($AN73:$AN73="T+")*6+($AN73:$AN73="D+")*12+($AN73:$AN73="N+")*12+($AN73:$AN73="Dm+")*12+($AN73:$AN73="Dt+")*12+($AN73:$AN73="Tm-")*6+($AN73:$AN73="Mt-")*6)</f>
        <v/>
      </c>
      <c r="BC73" s="118">
        <f>BB73-MAX(0,IFERROR(INDEX(CADASTRO!$I$4:$I$80,MATCH($A73,CADASTRO!$A$4:$A$80,0)),$B73)-CONFIG!$B$50*(COUNTIF($AE73:$AJ73,"AB")+COUNTIF($AE73:$AJ73,"FE")+COUNTIF($AE73:$AJ73,"LM")+COUNTIF($AN73:$AN73,"AB")+COUNTIF($AN73:$AN73,"FE")+COUNTIF($AN73:$AN73,"LM")))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ROUND(B73*4.0,0)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133">
        <f>COUNTIF(C8:C73,"M")+COUNTIF(C8:C73,"D")+COUNTIF(C8:C73,"C")+COUNTIF(C8:C73,"J")+COUNTIF(C8:C73,"CEP")+COUNTIF(C8:C73,"M+")+COUNTIF(C8:C73,"D+")+COUNTIF(C8:C73,"Dm+")+COUNTIF(C8:C73,"Dt+")+COUNTIF(C8:C73,"Mt-")</f>
        <v/>
      </c>
      <c r="D75" s="133">
        <f>COUNTIF(D8:D73,"M")+COUNTIF(D8:D73,"D")+COUNTIF(D8:D73,"C")+COUNTIF(D8:D73,"J")+COUNTIF(D8:D73,"CEP")+COUNTIF(D8:D73,"M+")+COUNTIF(D8:D73,"D+")+COUNTIF(D8:D73,"Dm+")+COUNTIF(D8:D73,"Dt+")+COUNTIF(D8:D73,"Mt-")</f>
        <v/>
      </c>
      <c r="E75" s="133">
        <f>COUNTIF(E8:E73,"M")+COUNTIF(E8:E73,"D")+COUNTIF(E8:E73,"C")+COUNTIF(E8:E73,"J")+COUNTIF(E8:E73,"CEP")+COUNTIF(E8:E73,"M+")+COUNTIF(E8:E73,"D+")+COUNTIF(E8:E73,"Dm+")+COUNTIF(E8:E73,"Dt+")+COUNTIF(E8:E73,"Mt-")</f>
        <v/>
      </c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39" t="n"/>
      <c r="AL75" s="39" t="n"/>
      <c r="AM75" s="39" t="n"/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133">
        <f>COUNTIF(C8:C73,"T")+COUNTIF(C8:C73,"D")+COUNTIF(C8:C73,"C")+COUNTIF(C8:C73,"T+")+COUNTIF(C8:C73,"D+")+COUNTIF(C8:C73,"Dm+")+COUNTIF(C8:C73,"Dt+")+COUNTIF(C8:C73,"Tm-")</f>
        <v/>
      </c>
      <c r="D76" s="133">
        <f>COUNTIF(D8:D73,"T")+COUNTIF(D8:D73,"D")+COUNTIF(D8:D73,"C")+COUNTIF(D8:D73,"T+")+COUNTIF(D8:D73,"D+")+COUNTIF(D8:D73,"Dm+")+COUNTIF(D8:D73,"Dt+")+COUNTIF(D8:D73,"Tm-")</f>
        <v/>
      </c>
      <c r="E76" s="133">
        <f>COUNTIF(E8:E73,"T")+COUNTIF(E8:E73,"D")+COUNTIF(E8:E73,"C")+COUNTIF(E8:E73,"T+")+COUNTIF(E8:E73,"D+")+COUNTIF(E8:E73,"Dm+")+COUNTIF(E8:E73,"Dt+")+COUNTIF(E8:E73,"Tm-")</f>
        <v/>
      </c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39" t="n"/>
      <c r="AL76" s="39" t="n"/>
      <c r="AM76" s="39" t="n"/>
      <c r="AN76" s="133">
        <f>COUNTIF(AN8:AN73,"T")+COUNTIF(AN8:AN73,"D")+COUNTIF(AN8:AN73,"C")+COUNTIF(AN8:AN73,"T+")+COUNTIF(AN8:AN73,"D+")+COUNTIF(AN8:AN73,"Dm+")+COUNTIF(AN8:AN73,"Dt+")+COUNTIF(AN8:AN73,"Tm-")</f>
        <v/>
      </c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133">
        <f>COUNTIF(C8:C73,"N")+COUNTIF(C8:C73,"NT")+COUNTIF(C8:C73,"N+")</f>
        <v/>
      </c>
      <c r="D77" s="133">
        <f>COUNTIF(D8:D73,"N")+COUNTIF(D8:D73,"NT")+COUNTIF(D8:D73,"N+")</f>
        <v/>
      </c>
      <c r="E77" s="133">
        <f>COUNTIF(E8:E73,"N")+COUNTIF(E8:E73,"NT")+COUNTIF(E8:E73,"N+")</f>
        <v/>
      </c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39" t="n"/>
      <c r="AL77" s="39" t="n"/>
      <c r="AM77" s="39" t="n"/>
      <c r="AN77" s="133">
        <f>COUNTIF(AN8:AN73,"N")+COUNTIF(AN8:AN73,"NT")+COUNTIF(AN8:AN73,"N+")</f>
        <v/>
      </c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135">
        <f>MAX(0,CONFIG!$B$9-C75)</f>
        <v/>
      </c>
      <c r="D78" s="135">
        <f>MAX(0,CONFIG!$B$9-D75)</f>
        <v/>
      </c>
      <c r="E78" s="135">
        <f>MAX(0,CONFIG!$B$9-E75)</f>
        <v/>
      </c>
      <c r="F78" s="135">
        <f>MAX(0,CONFIG!$B$9-F75)</f>
        <v/>
      </c>
      <c r="G78" s="135">
        <f>MAX(0,CONFIG!$B$9-G75)</f>
        <v/>
      </c>
      <c r="H78" s="135">
        <f>MAX(0,CONFIG!$B$10-H75)</f>
        <v/>
      </c>
      <c r="I78" s="135">
        <f>MAX(0,CONFIG!$B$11-I75)</f>
        <v/>
      </c>
      <c r="J78" s="135">
        <f>MAX(0,CONFIG!$B$9-J75)</f>
        <v/>
      </c>
      <c r="K78" s="135">
        <f>MAX(0,CONFIG!$B$9-K75)</f>
        <v/>
      </c>
      <c r="L78" s="135">
        <f>MAX(0,CONFIG!$B$9-L75)</f>
        <v/>
      </c>
      <c r="M78" s="135">
        <f>MAX(0,CONFIG!$B$9-M75)</f>
        <v/>
      </c>
      <c r="N78" s="135">
        <f>MAX(0,CONFIG!$B$9-N75)</f>
        <v/>
      </c>
      <c r="O78" s="135">
        <f>MAX(0,CONFIG!$B$10-O75)</f>
        <v/>
      </c>
      <c r="P78" s="135">
        <f>MAX(0,CONFIG!$B$11-P75)</f>
        <v/>
      </c>
      <c r="Q78" s="135">
        <f>MAX(0,CONFIG!$B$9-Q75)</f>
        <v/>
      </c>
      <c r="R78" s="135">
        <f>MAX(0,CONFIG!$B$9-R75)</f>
        <v/>
      </c>
      <c r="S78" s="135">
        <f>MAX(0,CONFIG!$B$9-S75)</f>
        <v/>
      </c>
      <c r="T78" s="135">
        <f>MAX(0,CONFIG!$B$9-T75)</f>
        <v/>
      </c>
      <c r="U78" s="135">
        <f>MAX(0,CONFIG!$B$9-U75)</f>
        <v/>
      </c>
      <c r="V78" s="135">
        <f>MAX(0,CONFIG!$B$10-V75)</f>
        <v/>
      </c>
      <c r="W78" s="135">
        <f>MAX(0,CONFIG!$B$11-W75)</f>
        <v/>
      </c>
      <c r="X78" s="135">
        <f>MAX(0,CONFIG!$B$9-X75)</f>
        <v/>
      </c>
      <c r="Y78" s="135">
        <f>MAX(0,CONFIG!$B$9-Y75)</f>
        <v/>
      </c>
      <c r="Z78" s="135">
        <f>MAX(0,CONFIG!$B$9-Z75)</f>
        <v/>
      </c>
      <c r="AA78" s="135">
        <f>MAX(0,CONFIG!$B$9-AA75)</f>
        <v/>
      </c>
      <c r="AB78" s="135">
        <f>MAX(0,CONFIG!$B$9-AB75)</f>
        <v/>
      </c>
      <c r="AC78" s="135">
        <f>MAX(0,CONFIG!$B$10-AC75)</f>
        <v/>
      </c>
      <c r="AD78" s="135">
        <f>MAX(0,CONFIG!$B$11-AD75)</f>
        <v/>
      </c>
      <c r="AE78" s="135">
        <f>MAX(0,CONFIG!$B$9-AE75)</f>
        <v/>
      </c>
      <c r="AF78" s="135">
        <f>MAX(0,CONFIG!$B$9-AF75)</f>
        <v/>
      </c>
      <c r="AG78" s="135">
        <f>MAX(0,CONFIG!$B$9-AG75)</f>
        <v/>
      </c>
      <c r="AH78" s="135">
        <f>MAX(0,CONFIG!$B$9-AH75)</f>
        <v/>
      </c>
      <c r="AI78" s="135">
        <f>MAX(0,CONFIG!$B$9-AI75)</f>
        <v/>
      </c>
      <c r="AJ78" s="135">
        <f>MAX(0,CONFIG!$B$10-AJ75)</f>
        <v/>
      </c>
      <c r="AK78" s="39" t="n"/>
      <c r="AL78" s="39" t="n"/>
      <c r="AM78" s="39" t="n"/>
      <c r="AN78" s="135">
        <f>MAX(0,CONFIG!$B$11-AN75)</f>
        <v/>
      </c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135">
        <f>MAX(0,CONFIG!$C$9-C76)</f>
        <v/>
      </c>
      <c r="D79" s="135">
        <f>MAX(0,CONFIG!$C$9-D76)</f>
        <v/>
      </c>
      <c r="E79" s="135">
        <f>MAX(0,CONFIG!$C$9-E76)</f>
        <v/>
      </c>
      <c r="F79" s="135">
        <f>MAX(0,CONFIG!$C$9-F76)</f>
        <v/>
      </c>
      <c r="G79" s="135">
        <f>MAX(0,CONFIG!$C$9-G76)</f>
        <v/>
      </c>
      <c r="H79" s="135">
        <f>MAX(0,CONFIG!$C$10-H76)</f>
        <v/>
      </c>
      <c r="I79" s="135">
        <f>MAX(0,CONFIG!$C$11-I76)</f>
        <v/>
      </c>
      <c r="J79" s="135">
        <f>MAX(0,CONFIG!$C$9-J76)</f>
        <v/>
      </c>
      <c r="K79" s="135">
        <f>MAX(0,CONFIG!$C$9-K76)</f>
        <v/>
      </c>
      <c r="L79" s="135">
        <f>MAX(0,CONFIG!$C$9-L76)</f>
        <v/>
      </c>
      <c r="M79" s="135">
        <f>MAX(0,CONFIG!$C$9-M76)</f>
        <v/>
      </c>
      <c r="N79" s="135">
        <f>MAX(0,CONFIG!$C$9-N76)</f>
        <v/>
      </c>
      <c r="O79" s="135">
        <f>MAX(0,CONFIG!$C$10-O76)</f>
        <v/>
      </c>
      <c r="P79" s="135">
        <f>MAX(0,CONFIG!$C$11-P76)</f>
        <v/>
      </c>
      <c r="Q79" s="135">
        <f>MAX(0,CONFIG!$C$9-Q76)</f>
        <v/>
      </c>
      <c r="R79" s="135">
        <f>MAX(0,CONFIG!$C$9-R76)</f>
        <v/>
      </c>
      <c r="S79" s="135">
        <f>MAX(0,CONFIG!$C$9-S76)</f>
        <v/>
      </c>
      <c r="T79" s="135">
        <f>MAX(0,CONFIG!$C$9-T76)</f>
        <v/>
      </c>
      <c r="U79" s="135">
        <f>MAX(0,CONFIG!$C$9-U76)</f>
        <v/>
      </c>
      <c r="V79" s="135">
        <f>MAX(0,CONFIG!$C$10-V76)</f>
        <v/>
      </c>
      <c r="W79" s="135">
        <f>MAX(0,CONFIG!$C$11-W76)</f>
        <v/>
      </c>
      <c r="X79" s="135">
        <f>MAX(0,CONFIG!$C$9-X76)</f>
        <v/>
      </c>
      <c r="Y79" s="135">
        <f>MAX(0,CONFIG!$C$9-Y76)</f>
        <v/>
      </c>
      <c r="Z79" s="135">
        <f>MAX(0,CONFIG!$C$9-Z76)</f>
        <v/>
      </c>
      <c r="AA79" s="135">
        <f>MAX(0,CONFIG!$C$9-AA76)</f>
        <v/>
      </c>
      <c r="AB79" s="135">
        <f>MAX(0,CONFIG!$C$9-AB76)</f>
        <v/>
      </c>
      <c r="AC79" s="135">
        <f>MAX(0,CONFIG!$C$10-AC76)</f>
        <v/>
      </c>
      <c r="AD79" s="135">
        <f>MAX(0,CONFIG!$C$11-AD76)</f>
        <v/>
      </c>
      <c r="AE79" s="135">
        <f>MAX(0,CONFIG!$C$9-AE76)</f>
        <v/>
      </c>
      <c r="AF79" s="135">
        <f>MAX(0,CONFIG!$C$9-AF76)</f>
        <v/>
      </c>
      <c r="AG79" s="135">
        <f>MAX(0,CONFIG!$C$9-AG76)</f>
        <v/>
      </c>
      <c r="AH79" s="135">
        <f>MAX(0,CONFIG!$C$9-AH76)</f>
        <v/>
      </c>
      <c r="AI79" s="135">
        <f>MAX(0,CONFIG!$C$9-AI76)</f>
        <v/>
      </c>
      <c r="AJ79" s="135">
        <f>MAX(0,CONFIG!$C$10-AJ76)</f>
        <v/>
      </c>
      <c r="AK79" s="39" t="n"/>
      <c r="AL79" s="39" t="n"/>
      <c r="AM79" s="39" t="n"/>
      <c r="AN79" s="135">
        <f>MAX(0,CONFIG!$C$11-AN76)</f>
        <v/>
      </c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135">
        <f>MAX(0,CONFIG!$D$9-C77)</f>
        <v/>
      </c>
      <c r="D80" s="135">
        <f>MAX(0,CONFIG!$D$9-D77)</f>
        <v/>
      </c>
      <c r="E80" s="135">
        <f>MAX(0,CONFIG!$D$9-E77)</f>
        <v/>
      </c>
      <c r="F80" s="135">
        <f>MAX(0,CONFIG!$D$9-F77)</f>
        <v/>
      </c>
      <c r="G80" s="135">
        <f>MAX(0,CONFIG!$D$9-G77)</f>
        <v/>
      </c>
      <c r="H80" s="135">
        <f>MAX(0,CONFIG!$D$10-H77)</f>
        <v/>
      </c>
      <c r="I80" s="135">
        <f>MAX(0,CONFIG!$D$11-I77)</f>
        <v/>
      </c>
      <c r="J80" s="135">
        <f>MAX(0,CONFIG!$D$9-J77)</f>
        <v/>
      </c>
      <c r="K80" s="135">
        <f>MAX(0,CONFIG!$D$9-K77)</f>
        <v/>
      </c>
      <c r="L80" s="135">
        <f>MAX(0,CONFIG!$D$9-L77)</f>
        <v/>
      </c>
      <c r="M80" s="135">
        <f>MAX(0,CONFIG!$D$9-M77)</f>
        <v/>
      </c>
      <c r="N80" s="135">
        <f>MAX(0,CONFIG!$D$9-N77)</f>
        <v/>
      </c>
      <c r="O80" s="135">
        <f>MAX(0,CONFIG!$D$10-O77)</f>
        <v/>
      </c>
      <c r="P80" s="135">
        <f>MAX(0,CONFIG!$D$11-P77)</f>
        <v/>
      </c>
      <c r="Q80" s="135">
        <f>MAX(0,CONFIG!$D$9-Q77)</f>
        <v/>
      </c>
      <c r="R80" s="135">
        <f>MAX(0,CONFIG!$D$9-R77)</f>
        <v/>
      </c>
      <c r="S80" s="135">
        <f>MAX(0,CONFIG!$D$9-S77)</f>
        <v/>
      </c>
      <c r="T80" s="135">
        <f>MAX(0,CONFIG!$D$9-T77)</f>
        <v/>
      </c>
      <c r="U80" s="135">
        <f>MAX(0,CONFIG!$D$9-U77)</f>
        <v/>
      </c>
      <c r="V80" s="135">
        <f>MAX(0,CONFIG!$D$10-V77)</f>
        <v/>
      </c>
      <c r="W80" s="135">
        <f>MAX(0,CONFIG!$D$11-W77)</f>
        <v/>
      </c>
      <c r="X80" s="135">
        <f>MAX(0,CONFIG!$D$9-X77)</f>
        <v/>
      </c>
      <c r="Y80" s="135">
        <f>MAX(0,CONFIG!$D$9-Y77)</f>
        <v/>
      </c>
      <c r="Z80" s="135">
        <f>MAX(0,CONFIG!$D$9-Z77)</f>
        <v/>
      </c>
      <c r="AA80" s="135">
        <f>MAX(0,CONFIG!$D$9-AA77)</f>
        <v/>
      </c>
      <c r="AB80" s="135">
        <f>MAX(0,CONFIG!$D$9-AB77)</f>
        <v/>
      </c>
      <c r="AC80" s="135">
        <f>MAX(0,CONFIG!$D$10-AC77)</f>
        <v/>
      </c>
      <c r="AD80" s="135">
        <f>MAX(0,CONFIG!$D$11-AD77)</f>
        <v/>
      </c>
      <c r="AE80" s="135">
        <f>MAX(0,CONFIG!$D$9-AE77)</f>
        <v/>
      </c>
      <c r="AF80" s="135">
        <f>MAX(0,CONFIG!$D$9-AF77)</f>
        <v/>
      </c>
      <c r="AG80" s="135">
        <f>MAX(0,CONFIG!$D$9-AG77)</f>
        <v/>
      </c>
      <c r="AH80" s="135">
        <f>MAX(0,CONFIG!$D$9-AH77)</f>
        <v/>
      </c>
      <c r="AI80" s="135">
        <f>MAX(0,CONFIG!$D$9-AI77)</f>
        <v/>
      </c>
      <c r="AJ80" s="135">
        <f>MAX(0,CONFIG!$D$10-AJ77)</f>
        <v/>
      </c>
      <c r="AK80" s="39" t="n"/>
      <c r="AL80" s="39" t="n"/>
      <c r="AM80" s="39" t="n"/>
      <c r="AN80" s="135">
        <f>MAX(0,CONFIG!$D$11-AN77)</f>
        <v/>
      </c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5.3" customWidth="1" min="43" max="43"/>
    <col width="5.3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Março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1" t="inlineStr">
        <is>
          <t>23/02</t>
        </is>
      </c>
      <c r="D2" s="101" t="inlineStr">
        <is>
          <t>24/02</t>
        </is>
      </c>
      <c r="E2" s="101" t="inlineStr">
        <is>
          <t>25/02</t>
        </is>
      </c>
      <c r="F2" s="101" t="inlineStr">
        <is>
          <t>26/02</t>
        </is>
      </c>
      <c r="G2" s="101" t="inlineStr">
        <is>
          <t>27/02</t>
        </is>
      </c>
      <c r="H2" s="105" t="inlineStr">
        <is>
          <t>28/02</t>
        </is>
      </c>
      <c r="I2" s="104" t="n">
        <v>1</v>
      </c>
      <c r="J2" s="103" t="n">
        <v>2</v>
      </c>
      <c r="K2" s="103" t="n">
        <v>3</v>
      </c>
      <c r="L2" s="103" t="n">
        <v>4</v>
      </c>
      <c r="M2" s="103" t="n">
        <v>5</v>
      </c>
      <c r="N2" s="103" t="n">
        <v>6</v>
      </c>
      <c r="O2" s="104" t="n">
        <v>7</v>
      </c>
      <c r="P2" s="104" t="n">
        <v>8</v>
      </c>
      <c r="Q2" s="103" t="n">
        <v>9</v>
      </c>
      <c r="R2" s="103" t="n">
        <v>10</v>
      </c>
      <c r="S2" s="103" t="n">
        <v>11</v>
      </c>
      <c r="T2" s="103" t="n">
        <v>12</v>
      </c>
      <c r="U2" s="103" t="n">
        <v>13</v>
      </c>
      <c r="V2" s="104" t="n">
        <v>14</v>
      </c>
      <c r="W2" s="104" t="n">
        <v>15</v>
      </c>
      <c r="X2" s="103" t="n">
        <v>16</v>
      </c>
      <c r="Y2" s="103" t="n">
        <v>17</v>
      </c>
      <c r="Z2" s="103" t="n">
        <v>18</v>
      </c>
      <c r="AA2" s="103" t="n">
        <v>19</v>
      </c>
      <c r="AB2" s="103" t="n">
        <v>20</v>
      </c>
      <c r="AC2" s="104" t="n">
        <v>21</v>
      </c>
      <c r="AD2" s="104" t="n">
        <v>22</v>
      </c>
      <c r="AE2" s="103" t="n">
        <v>23</v>
      </c>
      <c r="AF2" s="103" t="n">
        <v>24</v>
      </c>
      <c r="AG2" s="103" t="n">
        <v>25</v>
      </c>
      <c r="AH2" s="103" t="n">
        <v>26</v>
      </c>
      <c r="AI2" s="103" t="n">
        <v>27</v>
      </c>
      <c r="AJ2" s="104" t="n">
        <v>28</v>
      </c>
      <c r="AK2" s="104" t="n">
        <v>29</v>
      </c>
      <c r="AL2" s="103" t="n">
        <v>30</v>
      </c>
      <c r="AM2" s="103" t="n">
        <v>31</v>
      </c>
      <c r="AN2" s="101" t="inlineStr">
        <is>
          <t>01/04</t>
        </is>
      </c>
      <c r="AO2" s="101" t="inlineStr">
        <is>
          <t>02/04</t>
        </is>
      </c>
      <c r="AP2" s="101" t="inlineStr">
        <is>
          <t>03/04</t>
        </is>
      </c>
      <c r="AQ2" s="105" t="inlineStr">
        <is>
          <t>04/04</t>
        </is>
      </c>
      <c r="AR2" s="105" t="inlineStr">
        <is>
          <t>05/04</t>
        </is>
      </c>
      <c r="AS2" s="100" t="n"/>
      <c r="AT2" s="106" t="inlineStr">
        <is>
          <t>23/02–01/03</t>
        </is>
      </c>
      <c r="AU2" s="39" t="n"/>
      <c r="AV2" s="106" t="inlineStr">
        <is>
          <t>02/03–08/03</t>
        </is>
      </c>
      <c r="AW2" s="39" t="n"/>
      <c r="AX2" s="106" t="inlineStr">
        <is>
          <t>09/03–15/03</t>
        </is>
      </c>
      <c r="AY2" s="39" t="n"/>
      <c r="AZ2" s="106" t="inlineStr">
        <is>
          <t>16/03–22/03</t>
        </is>
      </c>
      <c r="BA2" s="39" t="n"/>
      <c r="BB2" s="106" t="inlineStr">
        <is>
          <t>23/03–29/03</t>
        </is>
      </c>
      <c r="BC2" s="39" t="n"/>
      <c r="BD2" s="106" t="inlineStr">
        <is>
          <t>30/03–05/04</t>
        </is>
      </c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7" t="inlineStr">
        <is>
          <t>seg</t>
        </is>
      </c>
      <c r="D3" s="107" t="inlineStr">
        <is>
          <t>ter</t>
        </is>
      </c>
      <c r="E3" s="107" t="inlineStr">
        <is>
          <t>qua</t>
        </is>
      </c>
      <c r="F3" s="107" t="inlineStr">
        <is>
          <t>qui</t>
        </is>
      </c>
      <c r="G3" s="107" t="inlineStr">
        <is>
          <t>sex</t>
        </is>
      </c>
      <c r="H3" s="109" t="inlineStr">
        <is>
          <t>sáb</t>
        </is>
      </c>
      <c r="I3" s="109" t="inlineStr">
        <is>
          <t>dom</t>
        </is>
      </c>
      <c r="J3" s="107" t="inlineStr">
        <is>
          <t>seg</t>
        </is>
      </c>
      <c r="K3" s="107" t="inlineStr">
        <is>
          <t>ter</t>
        </is>
      </c>
      <c r="L3" s="107" t="inlineStr">
        <is>
          <t>qua</t>
        </is>
      </c>
      <c r="M3" s="107" t="inlineStr">
        <is>
          <t>qui</t>
        </is>
      </c>
      <c r="N3" s="107" t="inlineStr">
        <is>
          <t>sex</t>
        </is>
      </c>
      <c r="O3" s="109" t="inlineStr">
        <is>
          <t>sáb</t>
        </is>
      </c>
      <c r="P3" s="109" t="inlineStr">
        <is>
          <t>dom</t>
        </is>
      </c>
      <c r="Q3" s="107" t="inlineStr">
        <is>
          <t>seg</t>
        </is>
      </c>
      <c r="R3" s="107" t="inlineStr">
        <is>
          <t>ter</t>
        </is>
      </c>
      <c r="S3" s="107" t="inlineStr">
        <is>
          <t>qua</t>
        </is>
      </c>
      <c r="T3" s="107" t="inlineStr">
        <is>
          <t>qui</t>
        </is>
      </c>
      <c r="U3" s="107" t="inlineStr">
        <is>
          <t>sex</t>
        </is>
      </c>
      <c r="V3" s="109" t="inlineStr">
        <is>
          <t>sáb</t>
        </is>
      </c>
      <c r="W3" s="109" t="inlineStr">
        <is>
          <t>dom</t>
        </is>
      </c>
      <c r="X3" s="107" t="inlineStr">
        <is>
          <t>seg</t>
        </is>
      </c>
      <c r="Y3" s="107" t="inlineStr">
        <is>
          <t>ter</t>
        </is>
      </c>
      <c r="Z3" s="107" t="inlineStr">
        <is>
          <t>qua</t>
        </is>
      </c>
      <c r="AA3" s="107" t="inlineStr">
        <is>
          <t>qui</t>
        </is>
      </c>
      <c r="AB3" s="107" t="inlineStr">
        <is>
          <t>sex</t>
        </is>
      </c>
      <c r="AC3" s="109" t="inlineStr">
        <is>
          <t>sáb</t>
        </is>
      </c>
      <c r="AD3" s="109" t="inlineStr">
        <is>
          <t>dom</t>
        </is>
      </c>
      <c r="AE3" s="107" t="inlineStr">
        <is>
          <t>seg</t>
        </is>
      </c>
      <c r="AF3" s="107" t="inlineStr">
        <is>
          <t>ter</t>
        </is>
      </c>
      <c r="AG3" s="107" t="inlineStr">
        <is>
          <t>qua</t>
        </is>
      </c>
      <c r="AH3" s="107" t="inlineStr">
        <is>
          <t>qui</t>
        </is>
      </c>
      <c r="AI3" s="107" t="inlineStr">
        <is>
          <t>sex</t>
        </is>
      </c>
      <c r="AJ3" s="109" t="inlineStr">
        <is>
          <t>sáb</t>
        </is>
      </c>
      <c r="AK3" s="109" t="inlineStr">
        <is>
          <t>dom</t>
        </is>
      </c>
      <c r="AL3" s="107" t="inlineStr">
        <is>
          <t>seg</t>
        </is>
      </c>
      <c r="AM3" s="107" t="inlineStr">
        <is>
          <t>ter</t>
        </is>
      </c>
      <c r="AN3" s="107" t="inlineStr">
        <is>
          <t>qua</t>
        </is>
      </c>
      <c r="AO3" s="107" t="inlineStr">
        <is>
          <t>qui</t>
        </is>
      </c>
      <c r="AP3" s="107" t="inlineStr">
        <is>
          <t>sex</t>
        </is>
      </c>
      <c r="AQ3" s="109" t="inlineStr">
        <is>
          <t>sáb</t>
        </is>
      </c>
      <c r="AR3" s="109" t="inlineStr">
        <is>
          <t>dom</t>
        </is>
      </c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110" t="inlineStr">
        <is>
          <t>semana civil</t>
        </is>
      </c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1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1</v>
      </c>
      <c r="P4" s="39" t="n">
        <v>1</v>
      </c>
      <c r="Q4" s="39" t="n">
        <v>0</v>
      </c>
      <c r="R4" s="39" t="n">
        <v>0</v>
      </c>
      <c r="S4" s="39" t="n">
        <v>0</v>
      </c>
      <c r="T4" s="39" t="n">
        <v>0</v>
      </c>
      <c r="U4" s="39" t="n">
        <v>0</v>
      </c>
      <c r="V4" s="39" t="n">
        <v>1</v>
      </c>
      <c r="W4" s="39" t="n">
        <v>1</v>
      </c>
      <c r="X4" s="39" t="n">
        <v>0</v>
      </c>
      <c r="Y4" s="39" t="n">
        <v>0</v>
      </c>
      <c r="Z4" s="39" t="n">
        <v>0</v>
      </c>
      <c r="AA4" s="39" t="n">
        <v>0</v>
      </c>
      <c r="AB4" s="39" t="n">
        <v>0</v>
      </c>
      <c r="AC4" s="39" t="n">
        <v>1</v>
      </c>
      <c r="AD4" s="39" t="n">
        <v>1</v>
      </c>
      <c r="AE4" s="39" t="n">
        <v>0</v>
      </c>
      <c r="AF4" s="39" t="n">
        <v>0</v>
      </c>
      <c r="AG4" s="39" t="n">
        <v>0</v>
      </c>
      <c r="AH4" s="39" t="n">
        <v>0</v>
      </c>
      <c r="AI4" s="39" t="n">
        <v>0</v>
      </c>
      <c r="AJ4" s="39" t="n">
        <v>1</v>
      </c>
      <c r="AK4" s="39" t="n">
        <v>1</v>
      </c>
      <c r="AL4" s="39" t="n">
        <v>0</v>
      </c>
      <c r="AM4" s="39" t="n">
        <v>0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1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1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</v>
      </c>
      <c r="AB5" s="39" t="n">
        <v>1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</v>
      </c>
      <c r="AI5" s="39" t="n">
        <v>1</v>
      </c>
      <c r="AJ5" s="39" t="n">
        <v>0</v>
      </c>
      <c r="AK5" s="39" t="n">
        <v>0</v>
      </c>
      <c r="AL5" s="39" t="n">
        <v>0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36">
        <f>IFERROR(INDEX(FEV!AE$8:AE$73,MATCH($A8,FEV!$A$8:$A$73,0))&amp;"","")</f>
        <v/>
      </c>
      <c r="D8" s="136">
        <f>IFERROR(INDEX(FEV!AF$8:AF$73,MATCH($A8,FEV!$A$8:$A$73,0))&amp;"","")</f>
        <v/>
      </c>
      <c r="E8" s="136">
        <f>IFERROR(INDEX(FEV!AG$8:AG$73,MATCH($A8,FEV!$A$8:$A$73,0))&amp;"","")</f>
        <v/>
      </c>
      <c r="F8" s="136">
        <f>IFERROR(INDEX(FEV!AH$8:AH$73,MATCH($A8,FEV!$A$8:$A$73,0))&amp;"","")</f>
        <v/>
      </c>
      <c r="G8" s="136">
        <f>IFERROR(INDEX(FEV!AI$8:AI$73,MATCH($A8,FEV!$A$8:$A$73,0))&amp;"","")</f>
        <v/>
      </c>
      <c r="H8" s="116">
        <f>IFERROR(INDEX(FEV!AJ$8:AJ$73,MATCH($A8,FEV!$A$8:$A$73,0))&amp;"","")</f>
        <v/>
      </c>
      <c r="I8" s="114" t="n"/>
      <c r="J8" s="137" t="inlineStr">
        <is>
          <t>C</t>
        </is>
      </c>
      <c r="K8" s="137" t="inlineStr">
        <is>
          <t>C</t>
        </is>
      </c>
      <c r="L8" s="115" t="inlineStr">
        <is>
          <t>M</t>
        </is>
      </c>
      <c r="M8" s="115" t="inlineStr">
        <is>
          <t>M</t>
        </is>
      </c>
      <c r="N8" s="115" t="inlineStr">
        <is>
          <t>M</t>
        </is>
      </c>
      <c r="O8" s="114" t="n"/>
      <c r="P8" s="114" t="n"/>
      <c r="Q8" s="137" t="inlineStr">
        <is>
          <t>C</t>
        </is>
      </c>
      <c r="R8" s="137" t="inlineStr">
        <is>
          <t>C</t>
        </is>
      </c>
      <c r="S8" s="115" t="inlineStr">
        <is>
          <t>M</t>
        </is>
      </c>
      <c r="T8" s="115" t="inlineStr">
        <is>
          <t>M</t>
        </is>
      </c>
      <c r="U8" s="137" t="inlineStr">
        <is>
          <t>C</t>
        </is>
      </c>
      <c r="V8" s="114" t="n"/>
      <c r="W8" s="114" t="n"/>
      <c r="X8" s="137" t="inlineStr">
        <is>
          <t>C</t>
        </is>
      </c>
      <c r="Y8" s="137" t="inlineStr">
        <is>
          <t>C</t>
        </is>
      </c>
      <c r="Z8" s="115" t="inlineStr">
        <is>
          <t>M</t>
        </is>
      </c>
      <c r="AA8" s="115" t="inlineStr">
        <is>
          <t>M</t>
        </is>
      </c>
      <c r="AB8" s="115" t="inlineStr">
        <is>
          <t>M</t>
        </is>
      </c>
      <c r="AC8" s="114" t="n"/>
      <c r="AD8" s="114" t="n"/>
      <c r="AE8" s="137" t="inlineStr">
        <is>
          <t>C</t>
        </is>
      </c>
      <c r="AF8" s="137" t="inlineStr">
        <is>
          <t>C</t>
        </is>
      </c>
      <c r="AG8" s="115" t="inlineStr">
        <is>
          <t>M</t>
        </is>
      </c>
      <c r="AH8" s="115" t="inlineStr">
        <is>
          <t>M</t>
        </is>
      </c>
      <c r="AI8" s="137" t="inlineStr">
        <is>
          <t>C</t>
        </is>
      </c>
      <c r="AJ8" s="114" t="n"/>
      <c r="AK8" s="114" t="n"/>
      <c r="AL8" s="137" t="inlineStr">
        <is>
          <t>C</t>
        </is>
      </c>
      <c r="AM8" s="137" t="inlineStr">
        <is>
          <t>C</t>
        </is>
      </c>
      <c r="AN8" s="136">
        <f>IFERROR(INDEX(ABR!I$8:I$73,MATCH($A8,ABR!$A$8:$A$73,0))&amp;"","")</f>
        <v/>
      </c>
      <c r="AO8" s="136">
        <f>IFERROR(INDEX(ABR!J$8:J$73,MATCH($A8,ABR!$A$8:$A$73,0))&amp;"","")</f>
        <v/>
      </c>
      <c r="AP8" s="136">
        <f>IFERROR(INDEX(ABR!K$8:K$73,MATCH($A8,ABR!$A$8:$A$73,0))&amp;"","")</f>
        <v/>
      </c>
      <c r="AQ8" s="116">
        <f>IFERROR(INDEX(ABR!L$8:L$73,MATCH($A8,ABR!$A$8:$A$73,0))&amp;"","")</f>
        <v/>
      </c>
      <c r="AR8" s="116">
        <f>IFERROR(INDEX(ABR!M$8:M$73,MATCH($A8,ABR!$A$8:$A$73,0))&amp;"","")</f>
        <v/>
      </c>
      <c r="AS8" s="100" t="n"/>
      <c r="AT8" s="117">
        <f>SUMPRODUCT(($C8:$I8="M")*6+($C8:$I8="T")*6+($C8:$I8="D")*12+($C8:$I8="N")*12+($C8:$I8="NT")*6+($C8:$I8="C")*10+($C8:$I8="A")*8+($C8:$I8="J")*5+($C8:$I8="CEP")*4+($C8:$I8="CP")*6+($C8:$I8="CRO")*6+($C8:$I8="M+")*6+($C8:$I8="T+")*6+($C8:$I8="D+")*12+($C8:$I8="N+")*12+($C8:$I8="Dm+")*12+($C8:$I8="Dt+")*12+($C8:$I8="Tm-")*6+($C8:$I8="Mt-")*6)</f>
        <v/>
      </c>
      <c r="AU8" s="118">
        <f>AT8-MAX(0,IFERROR(INDEX(CADASTRO!$I$4:$I$80,MATCH($A8,CADASTRO!$A$4:$A$80,0)),$B8)-CONFIG!$B$50*(COUNTIF($C8:$I8,"AB")+COUNTIF($C8:$I8,"FE")+COUNTIF($C8:$I8,"LM")))</f>
        <v/>
      </c>
      <c r="AV8" s="117">
        <f>SUMPRODUCT(($J8:$P8="M")*6+($J8:$P8="T")*6+($J8:$P8="D")*12+($J8:$P8="N")*12+($J8:$P8="NT")*6+($J8:$P8="C")*10+($J8:$P8="A")*8+($J8:$P8="J")*5+($J8:$P8="CEP")*4+($J8:$P8="CP")*6+($J8:$P8="CRO")*6+($J8:$P8="M+")*6+($J8:$P8="T+")*6+($J8:$P8="D+")*12+($J8:$P8="N+")*12+($J8:$P8="Dm+")*12+($J8:$P8="Dt+")*12+($J8:$P8="Tm-")*6+($J8:$P8="Mt-")*6)</f>
        <v/>
      </c>
      <c r="AW8" s="118">
        <f>AV8-MAX(0,IFERROR(INDEX(CADASTRO!$I$4:$I$80,MATCH($A8,CADASTRO!$A$4:$A$80,0)),$B8)-CONFIG!$B$50*(COUNTIF($J8:$P8,"AB")+COUNTIF($J8:$P8,"FE")+COUNTIF($J8:$P8,"LM")))</f>
        <v/>
      </c>
      <c r="AX8" s="117">
        <f>SUMPRODUCT(($Q8:$W8="M")*6+($Q8:$W8="T")*6+($Q8:$W8="D")*12+($Q8:$W8="N")*12+($Q8:$W8="NT")*6+($Q8:$W8="C")*10+($Q8:$W8="A")*8+($Q8:$W8="J")*5+($Q8:$W8="CEP")*4+($Q8:$W8="CP")*6+($Q8:$W8="CRO")*6+($Q8:$W8="M+")*6+($Q8:$W8="T+")*6+($Q8:$W8="D+")*12+($Q8:$W8="N+")*12+($Q8:$W8="Dm+")*12+($Q8:$W8="Dt+")*12+($Q8:$W8="Tm-")*6+($Q8:$W8="Mt-")*6)</f>
        <v/>
      </c>
      <c r="AY8" s="118">
        <f>AX8-MAX(0,IFERROR(INDEX(CADASTRO!$I$4:$I$80,MATCH($A8,CADASTRO!$A$4:$A$80,0)),$B8)-CONFIG!$B$50*(COUNTIF($Q8:$W8,"AB")+COUNTIF($Q8:$W8,"FE")+COUNTIF($Q8:$W8,"LM")))</f>
        <v/>
      </c>
      <c r="AZ8" s="117">
        <f>SUMPRODUCT(($X8:$AD8="M")*6+($X8:$AD8="T")*6+($X8:$AD8="D")*12+($X8:$AD8="N")*12+($X8:$AD8="NT")*6+($X8:$AD8="C")*10+($X8:$AD8="A")*8+($X8:$AD8="J")*5+($X8:$AD8="CEP")*4+($X8:$AD8="CP")*6+($X8:$AD8="CRO")*6+($X8:$AD8="M+")*6+($X8:$AD8="T+")*6+($X8:$AD8="D+")*12+($X8:$AD8="N+")*12+($X8:$AD8="Dm+")*12+($X8:$AD8="Dt+")*12+($X8:$AD8="Tm-")*6+($X8:$AD8="Mt-")*6)</f>
        <v/>
      </c>
      <c r="BA8" s="118">
        <f>AZ8-MAX(0,IFERROR(INDEX(CADASTRO!$I$4:$I$80,MATCH($A8,CADASTRO!$A$4:$A$80,0)),$B8)-CONFIG!$B$50*(COUNTIF($X8:$AD8,"AB")+COUNTIF($X8:$AD8,"FE")+COUNTIF($X8:$AD8,"LM")))</f>
        <v/>
      </c>
      <c r="BB8" s="117">
        <f>SUMPRODUCT(($AE8:$AK8="M")*6+($AE8:$AK8="T")*6+($AE8:$AK8="D")*12+($AE8:$AK8="N")*12+($AE8:$AK8="NT")*6+($AE8:$AK8="C")*10+($AE8:$AK8="A")*8+($AE8:$AK8="J")*5+($AE8:$AK8="CEP")*4+($AE8:$AK8="CP")*6+($AE8:$AK8="CRO")*6+($AE8:$AK8="M+")*6+($AE8:$AK8="T+")*6+($AE8:$AK8="D+")*12+($AE8:$AK8="N+")*12+($AE8:$AK8="Dm+")*12+($AE8:$AK8="Dt+")*12+($AE8:$AK8="Tm-")*6+($AE8:$AK8="Mt-")*6)</f>
        <v/>
      </c>
      <c r="BC8" s="118">
        <f>BB8-MAX(0,IFERROR(INDEX(CADASTRO!$I$4:$I$80,MATCH($A8,CADASTRO!$A$4:$A$80,0)),$B8)-CONFIG!$B$50*(COUNTIF($AE8:$AK8,"AB")+COUNTIF($AE8:$AK8,"FE")+COUNTIF($AE8:$AK8,"LM")))</f>
        <v/>
      </c>
      <c r="BD8" s="117">
        <f>SUMPRODUCT(($AL8:$AM8="M")*6+($AL8:$AM8="T")*6+($AL8:$AM8="D")*12+($AL8:$AM8="N")*12+($AL8:$AM8="NT")*6+($AL8:$AM8="C")*10+($AL8:$AM8="A")*8+($AL8:$AM8="J")*5+($AL8:$AM8="CEP")*4+($AL8:$AM8="CP")*6+($AL8:$AM8="CRO")*6+($AL8:$AM8="M+")*6+($AL8:$AM8="T+")*6+($AL8:$AM8="D+")*12+($AL8:$AM8="N+")*12+($AL8:$AM8="Dm+")*12+($AL8:$AM8="Dt+")*12+($AL8:$AM8="Tm-")*6+($AL8:$AM8="Mt-")*6)+SUMPRODUCT(($AN8:$AR8="M")*6+($AN8:$AR8="T")*6+($AN8:$AR8="D")*12+($AN8:$AR8="N")*12+($AN8:$AR8="NT")*6+($AN8:$AR8="C")*10+($AN8:$AR8="A")*8+($AN8:$AR8="J")*5+($AN8:$AR8="CEP")*4+($AN8:$AR8="CP")*6+($AN8:$AR8="CRO")*6+($AN8:$AR8="M+")*6+($AN8:$AR8="T+")*6+($AN8:$AR8="D+")*12+($AN8:$AR8="N+")*12+($AN8:$AR8="Dm+")*12+($AN8:$AR8="Dt+")*12+($AN8:$AR8="Tm-")*6+($AN8:$AR8="Mt-")*6)</f>
        <v/>
      </c>
      <c r="BE8" s="118">
        <f>BD8-MAX(0,IFERROR(INDEX(CADASTRO!$I$4:$I$80,MATCH($A8,CADASTRO!$A$4:$A$80,0)),$B8)-CONFIG!$B$50*(COUNTIF($AL8:$AM8,"AB")+COUNTIF($AL8:$AM8,"FE")+COUNTIF($AL8:$AM8,"LM")+COUNTIF($AN8:$AR8,"AB")+COUNTIF($AN8:$AR8,"FE")+COUNTIF($AN8:$AR8,"LM")))</f>
        <v/>
      </c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36">
        <f>IFERROR(INDEX(FEV!AE$8:AE$73,MATCH($A9,FEV!$A$8:$A$73,0))&amp;"","")</f>
        <v/>
      </c>
      <c r="D9" s="136">
        <f>IFERROR(INDEX(FEV!AF$8:AF$73,MATCH($A9,FEV!$A$8:$A$73,0))&amp;"","")</f>
        <v/>
      </c>
      <c r="E9" s="136">
        <f>IFERROR(INDEX(FEV!AG$8:AG$73,MATCH($A9,FEV!$A$8:$A$73,0))&amp;"","")</f>
        <v/>
      </c>
      <c r="F9" s="136">
        <f>IFERROR(INDEX(FEV!AH$8:AH$73,MATCH($A9,FEV!$A$8:$A$73,0))&amp;"","")</f>
        <v/>
      </c>
      <c r="G9" s="136">
        <f>IFERROR(INDEX(FEV!AI$8:AI$73,MATCH($A9,FEV!$A$8:$A$73,0))&amp;"","")</f>
        <v/>
      </c>
      <c r="H9" s="116">
        <f>IFERROR(INDEX(FEV!AJ$8:AJ$73,MATCH($A9,FEV!$A$8:$A$73,0))&amp;"","")</f>
        <v/>
      </c>
      <c r="I9" s="114" t="n"/>
      <c r="J9" s="115" t="inlineStr">
        <is>
          <t>M</t>
        </is>
      </c>
      <c r="K9" s="115" t="inlineStr">
        <is>
          <t>M</t>
        </is>
      </c>
      <c r="L9" s="115" t="inlineStr">
        <is>
          <t>M</t>
        </is>
      </c>
      <c r="M9" s="137" t="inlineStr">
        <is>
          <t>C</t>
        </is>
      </c>
      <c r="N9" s="137" t="inlineStr">
        <is>
          <t>C</t>
        </is>
      </c>
      <c r="O9" s="114" t="n"/>
      <c r="P9" s="114" t="n"/>
      <c r="Q9" s="115" t="inlineStr">
        <is>
          <t>M</t>
        </is>
      </c>
      <c r="R9" s="115" t="inlineStr">
        <is>
          <t>M</t>
        </is>
      </c>
      <c r="S9" s="115" t="inlineStr">
        <is>
          <t>M</t>
        </is>
      </c>
      <c r="T9" s="137" t="inlineStr">
        <is>
          <t>C</t>
        </is>
      </c>
      <c r="U9" s="115" t="inlineStr">
        <is>
          <t>M</t>
        </is>
      </c>
      <c r="V9" s="114" t="n"/>
      <c r="W9" s="114" t="n"/>
      <c r="X9" s="115" t="inlineStr">
        <is>
          <t>M</t>
        </is>
      </c>
      <c r="Y9" s="115" t="inlineStr">
        <is>
          <t>M</t>
        </is>
      </c>
      <c r="Z9" s="115" t="inlineStr">
        <is>
          <t>M</t>
        </is>
      </c>
      <c r="AA9" s="137" t="inlineStr">
        <is>
          <t>C</t>
        </is>
      </c>
      <c r="AB9" s="137" t="inlineStr">
        <is>
          <t>C</t>
        </is>
      </c>
      <c r="AC9" s="114" t="n"/>
      <c r="AD9" s="114" t="n"/>
      <c r="AE9" s="115" t="inlineStr">
        <is>
          <t>M</t>
        </is>
      </c>
      <c r="AF9" s="115" t="inlineStr">
        <is>
          <t>M</t>
        </is>
      </c>
      <c r="AG9" s="115" t="inlineStr">
        <is>
          <t>M</t>
        </is>
      </c>
      <c r="AH9" s="137" t="inlineStr">
        <is>
          <t>C</t>
        </is>
      </c>
      <c r="AI9" s="115" t="inlineStr">
        <is>
          <t>M</t>
        </is>
      </c>
      <c r="AJ9" s="114" t="n"/>
      <c r="AK9" s="114" t="n"/>
      <c r="AL9" s="115" t="inlineStr">
        <is>
          <t>M</t>
        </is>
      </c>
      <c r="AM9" s="115" t="inlineStr">
        <is>
          <t>M</t>
        </is>
      </c>
      <c r="AN9" s="136">
        <f>IFERROR(INDEX(ABR!I$8:I$73,MATCH($A9,ABR!$A$8:$A$73,0))&amp;"","")</f>
        <v/>
      </c>
      <c r="AO9" s="136">
        <f>IFERROR(INDEX(ABR!J$8:J$73,MATCH($A9,ABR!$A$8:$A$73,0))&amp;"","")</f>
        <v/>
      </c>
      <c r="AP9" s="136">
        <f>IFERROR(INDEX(ABR!K$8:K$73,MATCH($A9,ABR!$A$8:$A$73,0))&amp;"","")</f>
        <v/>
      </c>
      <c r="AQ9" s="116">
        <f>IFERROR(INDEX(ABR!L$8:L$73,MATCH($A9,ABR!$A$8:$A$73,0))&amp;"","")</f>
        <v/>
      </c>
      <c r="AR9" s="116">
        <f>IFERROR(INDEX(ABR!M$8:M$73,MATCH($A9,ABR!$A$8:$A$73,0))&amp;"","")</f>
        <v/>
      </c>
      <c r="AS9" s="100" t="n"/>
      <c r="AT9" s="117">
        <f>SUMPRODUCT(($C9:$I9="M")*6+($C9:$I9="T")*6+($C9:$I9="D")*12+($C9:$I9="N")*12+($C9:$I9="NT")*6+($C9:$I9="C")*10+($C9:$I9="A")*8+($C9:$I9="J")*5+($C9:$I9="CEP")*4+($C9:$I9="CP")*6+($C9:$I9="CRO")*6+($C9:$I9="M+")*6+($C9:$I9="T+")*6+($C9:$I9="D+")*12+($C9:$I9="N+")*12+($C9:$I9="Dm+")*12+($C9:$I9="Dt+")*12+($C9:$I9="Tm-")*6+($C9:$I9="Mt-")*6)</f>
        <v/>
      </c>
      <c r="AU9" s="118">
        <f>AT9-MAX(0,IFERROR(INDEX(CADASTRO!$I$4:$I$80,MATCH($A9,CADASTRO!$A$4:$A$80,0)),$B9)-CONFIG!$B$50*(COUNTIF($C9:$I9,"AB")+COUNTIF($C9:$I9,"FE")+COUNTIF($C9:$I9,"LM")))</f>
        <v/>
      </c>
      <c r="AV9" s="117">
        <f>SUMPRODUCT(($J9:$P9="M")*6+($J9:$P9="T")*6+($J9:$P9="D")*12+($J9:$P9="N")*12+($J9:$P9="NT")*6+($J9:$P9="C")*10+($J9:$P9="A")*8+($J9:$P9="J")*5+($J9:$P9="CEP")*4+($J9:$P9="CP")*6+($J9:$P9="CRO")*6+($J9:$P9="M+")*6+($J9:$P9="T+")*6+($J9:$P9="D+")*12+($J9:$P9="N+")*12+($J9:$P9="Dm+")*12+($J9:$P9="Dt+")*12+($J9:$P9="Tm-")*6+($J9:$P9="Mt-")*6)</f>
        <v/>
      </c>
      <c r="AW9" s="118">
        <f>AV9-MAX(0,IFERROR(INDEX(CADASTRO!$I$4:$I$80,MATCH($A9,CADASTRO!$A$4:$A$80,0)),$B9)-CONFIG!$B$50*(COUNTIF($J9:$P9,"AB")+COUNTIF($J9:$P9,"FE")+COUNTIF($J9:$P9,"LM")))</f>
        <v/>
      </c>
      <c r="AX9" s="117">
        <f>SUMPRODUCT(($Q9:$W9="M")*6+($Q9:$W9="T")*6+($Q9:$W9="D")*12+($Q9:$W9="N")*12+($Q9:$W9="NT")*6+($Q9:$W9="C")*10+($Q9:$W9="A")*8+($Q9:$W9="J")*5+($Q9:$W9="CEP")*4+($Q9:$W9="CP")*6+($Q9:$W9="CRO")*6+($Q9:$W9="M+")*6+($Q9:$W9="T+")*6+($Q9:$W9="D+")*12+($Q9:$W9="N+")*12+($Q9:$W9="Dm+")*12+($Q9:$W9="Dt+")*12+($Q9:$W9="Tm-")*6+($Q9:$W9="Mt-")*6)</f>
        <v/>
      </c>
      <c r="AY9" s="118">
        <f>AX9-MAX(0,IFERROR(INDEX(CADASTRO!$I$4:$I$80,MATCH($A9,CADASTRO!$A$4:$A$80,0)),$B9)-CONFIG!$B$50*(COUNTIF($Q9:$W9,"AB")+COUNTIF($Q9:$W9,"FE")+COUNTIF($Q9:$W9,"LM")))</f>
        <v/>
      </c>
      <c r="AZ9" s="117">
        <f>SUMPRODUCT(($X9:$AD9="M")*6+($X9:$AD9="T")*6+($X9:$AD9="D")*12+($X9:$AD9="N")*12+($X9:$AD9="NT")*6+($X9:$AD9="C")*10+($X9:$AD9="A")*8+($X9:$AD9="J")*5+($X9:$AD9="CEP")*4+($X9:$AD9="CP")*6+($X9:$AD9="CRO")*6+($X9:$AD9="M+")*6+($X9:$AD9="T+")*6+($X9:$AD9="D+")*12+($X9:$AD9="N+")*12+($X9:$AD9="Dm+")*12+($X9:$AD9="Dt+")*12+($X9:$AD9="Tm-")*6+($X9:$AD9="Mt-")*6)</f>
        <v/>
      </c>
      <c r="BA9" s="118">
        <f>AZ9-MAX(0,IFERROR(INDEX(CADASTRO!$I$4:$I$80,MATCH($A9,CADASTRO!$A$4:$A$80,0)),$B9)-CONFIG!$B$50*(COUNTIF($X9:$AD9,"AB")+COUNTIF($X9:$AD9,"FE")+COUNTIF($X9:$AD9,"LM")))</f>
        <v/>
      </c>
      <c r="BB9" s="117">
        <f>SUMPRODUCT(($AE9:$AK9="M")*6+($AE9:$AK9="T")*6+($AE9:$AK9="D")*12+($AE9:$AK9="N")*12+($AE9:$AK9="NT")*6+($AE9:$AK9="C")*10+($AE9:$AK9="A")*8+($AE9:$AK9="J")*5+($AE9:$AK9="CEP")*4+($AE9:$AK9="CP")*6+($AE9:$AK9="CRO")*6+($AE9:$AK9="M+")*6+($AE9:$AK9="T+")*6+($AE9:$AK9="D+")*12+($AE9:$AK9="N+")*12+($AE9:$AK9="Dm+")*12+($AE9:$AK9="Dt+")*12+($AE9:$AK9="Tm-")*6+($AE9:$AK9="Mt-")*6)</f>
        <v/>
      </c>
      <c r="BC9" s="118">
        <f>BB9-MAX(0,IFERROR(INDEX(CADASTRO!$I$4:$I$80,MATCH($A9,CADASTRO!$A$4:$A$80,0)),$B9)-CONFIG!$B$50*(COUNTIF($AE9:$AK9,"AB")+COUNTIF($AE9:$AK9,"FE")+COUNTIF($AE9:$AK9,"LM")))</f>
        <v/>
      </c>
      <c r="BD9" s="117">
        <f>SUMPRODUCT(($AL9:$AM9="M")*6+($AL9:$AM9="T")*6+($AL9:$AM9="D")*12+($AL9:$AM9="N")*12+($AL9:$AM9="NT")*6+($AL9:$AM9="C")*10+($AL9:$AM9="A")*8+($AL9:$AM9="J")*5+($AL9:$AM9="CEP")*4+($AL9:$AM9="CP")*6+($AL9:$AM9="CRO")*6+($AL9:$AM9="M+")*6+($AL9:$AM9="T+")*6+($AL9:$AM9="D+")*12+($AL9:$AM9="N+")*12+($AL9:$AM9="Dm+")*12+($AL9:$AM9="Dt+")*12+($AL9:$AM9="Tm-")*6+($AL9:$AM9="Mt-")*6)+SUMPRODUCT(($AN9:$AR9="M")*6+($AN9:$AR9="T")*6+($AN9:$AR9="D")*12+($AN9:$AR9="N")*12+($AN9:$AR9="NT")*6+($AN9:$AR9="C")*10+($AN9:$AR9="A")*8+($AN9:$AR9="J")*5+($AN9:$AR9="CEP")*4+($AN9:$AR9="CP")*6+($AN9:$AR9="CRO")*6+($AN9:$AR9="M+")*6+($AN9:$AR9="T+")*6+($AN9:$AR9="D+")*12+($AN9:$AR9="N+")*12+($AN9:$AR9="Dm+")*12+($AN9:$AR9="Dt+")*12+($AN9:$AR9="Tm-")*6+($AN9:$AR9="Mt-")*6)</f>
        <v/>
      </c>
      <c r="BE9" s="118">
        <f>BD9-MAX(0,IFERROR(INDEX(CADASTRO!$I$4:$I$80,MATCH($A9,CADASTRO!$A$4:$A$80,0)),$B9)-CONFIG!$B$50*(COUNTIF($AL9:$AM9,"AB")+COUNTIF($AL9:$AM9,"FE")+COUNTIF($AL9:$AM9,"LM")+COUNTIF($AN9:$AR9,"AB")+COUNTIF($AN9:$AR9,"FE")+COUNTIF($AN9:$AR9,"LM")))</f>
        <v/>
      </c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36">
        <f>IFERROR(INDEX(FEV!AE$8:AE$73,MATCH($A10,FEV!$A$8:$A$73,0))&amp;"","")</f>
        <v/>
      </c>
      <c r="D10" s="136">
        <f>IFERROR(INDEX(FEV!AF$8:AF$73,MATCH($A10,FEV!$A$8:$A$73,0))&amp;"","")</f>
        <v/>
      </c>
      <c r="E10" s="136">
        <f>IFERROR(INDEX(FEV!AG$8:AG$73,MATCH($A10,FEV!$A$8:$A$73,0))&amp;"","")</f>
        <v/>
      </c>
      <c r="F10" s="136">
        <f>IFERROR(INDEX(FEV!AH$8:AH$73,MATCH($A10,FEV!$A$8:$A$73,0))&amp;"","")</f>
        <v/>
      </c>
      <c r="G10" s="136">
        <f>IFERROR(INDEX(FEV!AI$8:AI$73,MATCH($A10,FEV!$A$8:$A$73,0))&amp;"","")</f>
        <v/>
      </c>
      <c r="H10" s="116">
        <f>IFERROR(INDEX(FEV!AJ$8:AJ$73,MATCH($A10,FEV!$A$8:$A$73,0))&amp;"","")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14" t="n"/>
      <c r="AN10" s="136">
        <f>IFERROR(INDEX(ABR!I$8:I$73,MATCH($A10,ABR!$A$8:$A$73,0))&amp;"","")</f>
        <v/>
      </c>
      <c r="AO10" s="136">
        <f>IFERROR(INDEX(ABR!J$8:J$73,MATCH($A10,ABR!$A$8:$A$73,0))&amp;"","")</f>
        <v/>
      </c>
      <c r="AP10" s="136">
        <f>IFERROR(INDEX(ABR!K$8:K$73,MATCH($A10,ABR!$A$8:$A$73,0))&amp;"","")</f>
        <v/>
      </c>
      <c r="AQ10" s="116">
        <f>IFERROR(INDEX(ABR!L$8:L$73,MATCH($A10,ABR!$A$8:$A$73,0))&amp;"","")</f>
        <v/>
      </c>
      <c r="AR10" s="116">
        <f>IFERROR(INDEX(ABR!M$8:M$73,MATCH($A10,ABR!$A$8:$A$73,0))&amp;"","")</f>
        <v/>
      </c>
      <c r="AS10" s="100" t="n"/>
      <c r="AT10" s="117">
        <f>SUMPRODUCT(($C10:$I10="M")*6+($C10:$I10="T")*6+($C10:$I10="D")*12+($C10:$I10="N")*12+($C10:$I10="NT")*6+($C10:$I10="C")*10+($C10:$I10="A")*8+($C10:$I10="J")*5+($C10:$I10="CEP")*4+($C10:$I10="CP")*6+($C10:$I10="CRO")*6+($C10:$I10="M+")*6+($C10:$I10="T+")*6+($C10:$I10="D+")*12+($C10:$I10="N+")*12+($C10:$I10="Dm+")*12+($C10:$I10="Dt+")*12+($C10:$I10="Tm-")*6+($C10:$I10="Mt-")*6)</f>
        <v/>
      </c>
      <c r="AU10" s="118">
        <f>AT10-MAX(0,IFERROR(INDEX(CADASTRO!$I$4:$I$80,MATCH($A10,CADASTRO!$A$4:$A$80,0)),$B10)-CONFIG!$B$50*(COUNTIF($C10:$I10,"AB")+COUNTIF($C10:$I10,"FE")+COUNTIF($C10:$I10,"LM")))</f>
        <v/>
      </c>
      <c r="AV10" s="117">
        <f>SUMPRODUCT(($J10:$P10="M")*6+($J10:$P10="T")*6+($J10:$P10="D")*12+($J10:$P10="N")*12+($J10:$P10="NT")*6+($J10:$P10="C")*10+($J10:$P10="A")*8+($J10:$P10="J")*5+($J10:$P10="CEP")*4+($J10:$P10="CP")*6+($J10:$P10="CRO")*6+($J10:$P10="M+")*6+($J10:$P10="T+")*6+($J10:$P10="D+")*12+($J10:$P10="N+")*12+($J10:$P10="Dm+")*12+($J10:$P10="Dt+")*12+($J10:$P10="Tm-")*6+($J10:$P10="Mt-")*6)</f>
        <v/>
      </c>
      <c r="AW10" s="118">
        <f>AV10-MAX(0,IFERROR(INDEX(CADASTRO!$I$4:$I$80,MATCH($A10,CADASTRO!$A$4:$A$80,0)),$B10)-CONFIG!$B$50*(COUNTIF($J10:$P10,"AB")+COUNTIF($J10:$P10,"FE")+COUNTIF($J10:$P10,"LM")))</f>
        <v/>
      </c>
      <c r="AX10" s="117">
        <f>SUMPRODUCT(($Q10:$W10="M")*6+($Q10:$W10="T")*6+($Q10:$W10="D")*12+($Q10:$W10="N")*12+($Q10:$W10="NT")*6+($Q10:$W10="C")*10+($Q10:$W10="A")*8+($Q10:$W10="J")*5+($Q10:$W10="CEP")*4+($Q10:$W10="CP")*6+($Q10:$W10="CRO")*6+($Q10:$W10="M+")*6+($Q10:$W10="T+")*6+($Q10:$W10="D+")*12+($Q10:$W10="N+")*12+($Q10:$W10="Dm+")*12+($Q10:$W10="Dt+")*12+($Q10:$W10="Tm-")*6+($Q10:$W10="Mt-")*6)</f>
        <v/>
      </c>
      <c r="AY10" s="118">
        <f>AX10-MAX(0,IFERROR(INDEX(CADASTRO!$I$4:$I$80,MATCH($A10,CADASTRO!$A$4:$A$80,0)),$B10)-CONFIG!$B$50*(COUNTIF($Q10:$W10,"AB")+COUNTIF($Q10:$W10,"FE")+COUNTIF($Q10:$W10,"LM")))</f>
        <v/>
      </c>
      <c r="AZ10" s="117">
        <f>SUMPRODUCT(($X10:$AD10="M")*6+($X10:$AD10="T")*6+($X10:$AD10="D")*12+($X10:$AD10="N")*12+($X10:$AD10="NT")*6+($X10:$AD10="C")*10+($X10:$AD10="A")*8+($X10:$AD10="J")*5+($X10:$AD10="CEP")*4+($X10:$AD10="CP")*6+($X10:$AD10="CRO")*6+($X10:$AD10="M+")*6+($X10:$AD10="T+")*6+($X10:$AD10="D+")*12+($X10:$AD10="N+")*12+($X10:$AD10="Dm+")*12+($X10:$AD10="Dt+")*12+($X10:$AD10="Tm-")*6+($X10:$AD10="Mt-")*6)</f>
        <v/>
      </c>
      <c r="BA10" s="118">
        <f>AZ10-MAX(0,IFERROR(INDEX(CADASTRO!$I$4:$I$80,MATCH($A10,CADASTRO!$A$4:$A$80,0)),$B10)-CONFIG!$B$50*(COUNTIF($X10:$AD10,"AB")+COUNTIF($X10:$AD10,"FE")+COUNTIF($X10:$AD10,"LM")))</f>
        <v/>
      </c>
      <c r="BB10" s="117">
        <f>SUMPRODUCT(($AE10:$AK10="M")*6+($AE10:$AK10="T")*6+($AE10:$AK10="D")*12+($AE10:$AK10="N")*12+($AE10:$AK10="NT")*6+($AE10:$AK10="C")*10+($AE10:$AK10="A")*8+($AE10:$AK10="J")*5+($AE10:$AK10="CEP")*4+($AE10:$AK10="CP")*6+($AE10:$AK10="CRO")*6+($AE10:$AK10="M+")*6+($AE10:$AK10="T+")*6+($AE10:$AK10="D+")*12+($AE10:$AK10="N+")*12+($AE10:$AK10="Dm+")*12+($AE10:$AK10="Dt+")*12+($AE10:$AK10="Tm-")*6+($AE10:$AK10="Mt-")*6)</f>
        <v/>
      </c>
      <c r="BC10" s="118">
        <f>BB10-MAX(0,IFERROR(INDEX(CADASTRO!$I$4:$I$80,MATCH($A10,CADASTRO!$A$4:$A$80,0)),$B10)-CONFIG!$B$50*(COUNTIF($AE10:$AK10,"AB")+COUNTIF($AE10:$AK10,"FE")+COUNTIF($AE10:$AK10,"LM")))</f>
        <v/>
      </c>
      <c r="BD10" s="117">
        <f>SUMPRODUCT(($AL10:$AM10="M")*6+($AL10:$AM10="T")*6+($AL10:$AM10="D")*12+($AL10:$AM10="N")*12+($AL10:$AM10="NT")*6+($AL10:$AM10="C")*10+($AL10:$AM10="A")*8+($AL10:$AM10="J")*5+($AL10:$AM10="CEP")*4+($AL10:$AM10="CP")*6+($AL10:$AM10="CRO")*6+($AL10:$AM10="M+")*6+($AL10:$AM10="T+")*6+($AL10:$AM10="D+")*12+($AL10:$AM10="N+")*12+($AL10:$AM10="Dm+")*12+($AL10:$AM10="Dt+")*12+($AL10:$AM10="Tm-")*6+($AL10:$AM10="Mt-")*6)+SUMPRODUCT(($AN10:$AR10="M")*6+($AN10:$AR10="T")*6+($AN10:$AR10="D")*12+($AN10:$AR10="N")*12+($AN10:$AR10="NT")*6+($AN10:$AR10="C")*10+($AN10:$AR10="A")*8+($AN10:$AR10="J")*5+($AN10:$AR10="CEP")*4+($AN10:$AR10="CP")*6+($AN10:$AR10="CRO")*6+($AN10:$AR10="M+")*6+($AN10:$AR10="T+")*6+($AN10:$AR10="D+")*12+($AN10:$AR10="N+")*12+($AN10:$AR10="Dm+")*12+($AN10:$AR10="Dt+")*12+($AN10:$AR10="Tm-")*6+($AN10:$AR10="Mt-")*6)</f>
        <v/>
      </c>
      <c r="BE10" s="118">
        <f>BD10-MAX(0,IFERROR(INDEX(CADASTRO!$I$4:$I$80,MATCH($A10,CADASTRO!$A$4:$A$80,0)),$B10)-CONFIG!$B$50*(COUNTIF($AL10:$AM10,"AB")+COUNTIF($AL10:$AM10,"FE")+COUNTIF($AL10:$AM10,"LM")+COUNTIF($AN10:$AR10,"AB")+COUNTIF($AN10:$AR10,"FE")+COUNTIF($AN10:$AR10,"LM")))</f>
        <v/>
      </c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36">
        <f>IFERROR(INDEX(FEV!AE$8:AE$73,MATCH($A11,FEV!$A$8:$A$73,0))&amp;"","")</f>
        <v/>
      </c>
      <c r="D11" s="136">
        <f>IFERROR(INDEX(FEV!AF$8:AF$73,MATCH($A11,FEV!$A$8:$A$73,0))&amp;"","")</f>
        <v/>
      </c>
      <c r="E11" s="136">
        <f>IFERROR(INDEX(FEV!AG$8:AG$73,MATCH($A11,FEV!$A$8:$A$73,0))&amp;"","")</f>
        <v/>
      </c>
      <c r="F11" s="136">
        <f>IFERROR(INDEX(FEV!AH$8:AH$73,MATCH($A11,FEV!$A$8:$A$73,0))&amp;"","")</f>
        <v/>
      </c>
      <c r="G11" s="136">
        <f>IFERROR(INDEX(FEV!AI$8:AI$73,MATCH($A11,FEV!$A$8:$A$73,0))&amp;"","")</f>
        <v/>
      </c>
      <c r="H11" s="116">
        <f>IFERROR(INDEX(FEV!AJ$8:AJ$73,MATCH($A11,FEV!$A$8:$A$73,0))&amp;"","")</f>
        <v/>
      </c>
      <c r="I11" s="125" t="inlineStr">
        <is>
          <t>N</t>
        </is>
      </c>
      <c r="J11" s="115" t="inlineStr">
        <is>
          <t>M</t>
        </is>
      </c>
      <c r="K11" s="115" t="inlineStr">
        <is>
          <t>M</t>
        </is>
      </c>
      <c r="L11" s="115" t="inlineStr">
        <is>
          <t>M</t>
        </is>
      </c>
      <c r="M11" s="124" t="inlineStr">
        <is>
          <t>D</t>
        </is>
      </c>
      <c r="N11" s="115" t="inlineStr">
        <is>
          <t>M</t>
        </is>
      </c>
      <c r="O11" s="114" t="n"/>
      <c r="P11" s="114" t="n"/>
      <c r="Q11" s="115" t="inlineStr">
        <is>
          <t>M</t>
        </is>
      </c>
      <c r="R11" s="115" t="inlineStr">
        <is>
          <t>M</t>
        </is>
      </c>
      <c r="S11" s="115" t="inlineStr">
        <is>
          <t>M</t>
        </is>
      </c>
      <c r="T11" s="115" t="inlineStr">
        <is>
          <t>M</t>
        </is>
      </c>
      <c r="U11" s="115" t="inlineStr">
        <is>
          <t>M</t>
        </is>
      </c>
      <c r="V11" s="125" t="inlineStr">
        <is>
          <t>N</t>
        </is>
      </c>
      <c r="W11" s="114" t="n"/>
      <c r="X11" s="115" t="inlineStr">
        <is>
          <t>M</t>
        </is>
      </c>
      <c r="Y11" s="115" t="inlineStr">
        <is>
          <t>M</t>
        </is>
      </c>
      <c r="Z11" s="124" t="inlineStr">
        <is>
          <t>D</t>
        </is>
      </c>
      <c r="AA11" s="124" t="inlineStr">
        <is>
          <t>D</t>
        </is>
      </c>
      <c r="AB11" s="115" t="inlineStr">
        <is>
          <t>M</t>
        </is>
      </c>
      <c r="AC11" s="114" t="n"/>
      <c r="AD11" s="114" t="n"/>
      <c r="AE11" s="115" t="inlineStr">
        <is>
          <t>M</t>
        </is>
      </c>
      <c r="AF11" s="115" t="inlineStr">
        <is>
          <t>M</t>
        </is>
      </c>
      <c r="AG11" s="115" t="inlineStr">
        <is>
          <t>M</t>
        </is>
      </c>
      <c r="AH11" s="115" t="inlineStr">
        <is>
          <t>M</t>
        </is>
      </c>
      <c r="AI11" s="115" t="inlineStr">
        <is>
          <t>M</t>
        </is>
      </c>
      <c r="AJ11" s="114" t="n"/>
      <c r="AK11" s="125" t="inlineStr">
        <is>
          <t>N</t>
        </is>
      </c>
      <c r="AL11" s="115" t="inlineStr">
        <is>
          <t>M</t>
        </is>
      </c>
      <c r="AM11" s="115" t="inlineStr">
        <is>
          <t>M</t>
        </is>
      </c>
      <c r="AN11" s="136">
        <f>IFERROR(INDEX(ABR!I$8:I$73,MATCH($A11,ABR!$A$8:$A$73,0))&amp;"","")</f>
        <v/>
      </c>
      <c r="AO11" s="136">
        <f>IFERROR(INDEX(ABR!J$8:J$73,MATCH($A11,ABR!$A$8:$A$73,0))&amp;"","")</f>
        <v/>
      </c>
      <c r="AP11" s="136">
        <f>IFERROR(INDEX(ABR!K$8:K$73,MATCH($A11,ABR!$A$8:$A$73,0))&amp;"","")</f>
        <v/>
      </c>
      <c r="AQ11" s="116">
        <f>IFERROR(INDEX(ABR!L$8:L$73,MATCH($A11,ABR!$A$8:$A$73,0))&amp;"","")</f>
        <v/>
      </c>
      <c r="AR11" s="116">
        <f>IFERROR(INDEX(ABR!M$8:M$73,MATCH($A11,ABR!$A$8:$A$73,0))&amp;"","")</f>
        <v/>
      </c>
      <c r="AS11" s="100" t="n"/>
      <c r="AT11" s="117">
        <f>SUMPRODUCT(($C11:$I11="M")*6+($C11:$I11="T")*6+($C11:$I11="D")*12+($C11:$I11="N")*12+($C11:$I11="NT")*6+($C11:$I11="C")*10+($C11:$I11="A")*8+($C11:$I11="J")*5+($C11:$I11="CEP")*4+($C11:$I11="CP")*6+($C11:$I11="CRO")*6+($C11:$I11="M+")*6+($C11:$I11="T+")*6+($C11:$I11="D+")*12+($C11:$I11="N+")*12+($C11:$I11="Dm+")*12+($C11:$I11="Dt+")*12+($C11:$I11="Tm-")*6+($C11:$I11="Mt-")*6)</f>
        <v/>
      </c>
      <c r="AU11" s="118">
        <f>AT11-MAX(0,IFERROR(INDEX(CADASTRO!$I$4:$I$80,MATCH($A11,CADASTRO!$A$4:$A$80,0)),$B11)-CONFIG!$B$50*(COUNTIF($C11:$I11,"AB")+COUNTIF($C11:$I11,"FE")+COUNTIF($C11:$I11,"LM")))</f>
        <v/>
      </c>
      <c r="AV11" s="117">
        <f>SUMPRODUCT(($J11:$P11="M")*6+($J11:$P11="T")*6+($J11:$P11="D")*12+($J11:$P11="N")*12+($J11:$P11="NT")*6+($J11:$P11="C")*10+($J11:$P11="A")*8+($J11:$P11="J")*5+($J11:$P11="CEP")*4+($J11:$P11="CP")*6+($J11:$P11="CRO")*6+($J11:$P11="M+")*6+($J11:$P11="T+")*6+($J11:$P11="D+")*12+($J11:$P11="N+")*12+($J11:$P11="Dm+")*12+($J11:$P11="Dt+")*12+($J11:$P11="Tm-")*6+($J11:$P11="Mt-")*6)</f>
        <v/>
      </c>
      <c r="AW11" s="118">
        <f>AV11-MAX(0,IFERROR(INDEX(CADASTRO!$I$4:$I$80,MATCH($A11,CADASTRO!$A$4:$A$80,0)),$B11)-CONFIG!$B$50*(COUNTIF($J11:$P11,"AB")+COUNTIF($J11:$P11,"FE")+COUNTIF($J11:$P11,"LM")))</f>
        <v/>
      </c>
      <c r="AX11" s="117">
        <f>SUMPRODUCT(($Q11:$W11="M")*6+($Q11:$W11="T")*6+($Q11:$W11="D")*12+($Q11:$W11="N")*12+($Q11:$W11="NT")*6+($Q11:$W11="C")*10+($Q11:$W11="A")*8+($Q11:$W11="J")*5+($Q11:$W11="CEP")*4+($Q11:$W11="CP")*6+($Q11:$W11="CRO")*6+($Q11:$W11="M+")*6+($Q11:$W11="T+")*6+($Q11:$W11="D+")*12+($Q11:$W11="N+")*12+($Q11:$W11="Dm+")*12+($Q11:$W11="Dt+")*12+($Q11:$W11="Tm-")*6+($Q11:$W11="Mt-")*6)</f>
        <v/>
      </c>
      <c r="AY11" s="118">
        <f>AX11-MAX(0,IFERROR(INDEX(CADASTRO!$I$4:$I$80,MATCH($A11,CADASTRO!$A$4:$A$80,0)),$B11)-CONFIG!$B$50*(COUNTIF($Q11:$W11,"AB")+COUNTIF($Q11:$W11,"FE")+COUNTIF($Q11:$W11,"LM")))</f>
        <v/>
      </c>
      <c r="AZ11" s="117">
        <f>SUMPRODUCT(($X11:$AD11="M")*6+($X11:$AD11="T")*6+($X11:$AD11="D")*12+($X11:$AD11="N")*12+($X11:$AD11="NT")*6+($X11:$AD11="C")*10+($X11:$AD11="A")*8+($X11:$AD11="J")*5+($X11:$AD11="CEP")*4+($X11:$AD11="CP")*6+($X11:$AD11="CRO")*6+($X11:$AD11="M+")*6+($X11:$AD11="T+")*6+($X11:$AD11="D+")*12+($X11:$AD11="N+")*12+($X11:$AD11="Dm+")*12+($X11:$AD11="Dt+")*12+($X11:$AD11="Tm-")*6+($X11:$AD11="Mt-")*6)</f>
        <v/>
      </c>
      <c r="BA11" s="118">
        <f>AZ11-MAX(0,IFERROR(INDEX(CADASTRO!$I$4:$I$80,MATCH($A11,CADASTRO!$A$4:$A$80,0)),$B11)-CONFIG!$B$50*(COUNTIF($X11:$AD11,"AB")+COUNTIF($X11:$AD11,"FE")+COUNTIF($X11:$AD11,"LM")))</f>
        <v/>
      </c>
      <c r="BB11" s="117">
        <f>SUMPRODUCT(($AE11:$AK11="M")*6+($AE11:$AK11="T")*6+($AE11:$AK11="D")*12+($AE11:$AK11="N")*12+($AE11:$AK11="NT")*6+($AE11:$AK11="C")*10+($AE11:$AK11="A")*8+($AE11:$AK11="J")*5+($AE11:$AK11="CEP")*4+($AE11:$AK11="CP")*6+($AE11:$AK11="CRO")*6+($AE11:$AK11="M+")*6+($AE11:$AK11="T+")*6+($AE11:$AK11="D+")*12+($AE11:$AK11="N+")*12+($AE11:$AK11="Dm+")*12+($AE11:$AK11="Dt+")*12+($AE11:$AK11="Tm-")*6+($AE11:$AK11="Mt-")*6)</f>
        <v/>
      </c>
      <c r="BC11" s="118">
        <f>BB11-MAX(0,IFERROR(INDEX(CADASTRO!$I$4:$I$80,MATCH($A11,CADASTRO!$A$4:$A$80,0)),$B11)-CONFIG!$B$50*(COUNTIF($AE11:$AK11,"AB")+COUNTIF($AE11:$AK11,"FE")+COUNTIF($AE11:$AK11,"LM")))</f>
        <v/>
      </c>
      <c r="BD11" s="117">
        <f>SUMPRODUCT(($AL11:$AM11="M")*6+($AL11:$AM11="T")*6+($AL11:$AM11="D")*12+($AL11:$AM11="N")*12+($AL11:$AM11="NT")*6+($AL11:$AM11="C")*10+($AL11:$AM11="A")*8+($AL11:$AM11="J")*5+($AL11:$AM11="CEP")*4+($AL11:$AM11="CP")*6+($AL11:$AM11="CRO")*6+($AL11:$AM11="M+")*6+($AL11:$AM11="T+")*6+($AL11:$AM11="D+")*12+($AL11:$AM11="N+")*12+($AL11:$AM11="Dm+")*12+($AL11:$AM11="Dt+")*12+($AL11:$AM11="Tm-")*6+($AL11:$AM11="Mt-")*6)+SUMPRODUCT(($AN11:$AR11="M")*6+($AN11:$AR11="T")*6+($AN11:$AR11="D")*12+($AN11:$AR11="N")*12+($AN11:$AR11="NT")*6+($AN11:$AR11="C")*10+($AN11:$AR11="A")*8+($AN11:$AR11="J")*5+($AN11:$AR11="CEP")*4+($AN11:$AR11="CP")*6+($AN11:$AR11="CRO")*6+($AN11:$AR11="M+")*6+($AN11:$AR11="T+")*6+($AN11:$AR11="D+")*12+($AN11:$AR11="N+")*12+($AN11:$AR11="Dm+")*12+($AN11:$AR11="Dt+")*12+($AN11:$AR11="Tm-")*6+($AN11:$AR11="Mt-")*6)</f>
        <v/>
      </c>
      <c r="BE11" s="118">
        <f>BD11-MAX(0,IFERROR(INDEX(CADASTRO!$I$4:$I$80,MATCH($A11,CADASTRO!$A$4:$A$80,0)),$B11)-CONFIG!$B$50*(COUNTIF($AL11:$AM11,"AB")+COUNTIF($AL11:$AM11,"FE")+COUNTIF($AL11:$AM11,"LM")+COUNTIF($AN11:$AR11,"AB")+COUNTIF($AN11:$AR11,"FE")+COUNTIF($AN11:$AR11,"LM")))</f>
        <v/>
      </c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36">
        <f>IFERROR(INDEX(FEV!AE$8:AE$73,MATCH($A12,FEV!$A$8:$A$73,0))&amp;"","")</f>
        <v/>
      </c>
      <c r="D12" s="136">
        <f>IFERROR(INDEX(FEV!AF$8:AF$73,MATCH($A12,FEV!$A$8:$A$73,0))&amp;"","")</f>
        <v/>
      </c>
      <c r="E12" s="136">
        <f>IFERROR(INDEX(FEV!AG$8:AG$73,MATCH($A12,FEV!$A$8:$A$73,0))&amp;"","")</f>
        <v/>
      </c>
      <c r="F12" s="136">
        <f>IFERROR(INDEX(FEV!AH$8:AH$73,MATCH($A12,FEV!$A$8:$A$73,0))&amp;"","")</f>
        <v/>
      </c>
      <c r="G12" s="136">
        <f>IFERROR(INDEX(FEV!AI$8:AI$73,MATCH($A12,FEV!$A$8:$A$73,0))&amp;"","")</f>
        <v/>
      </c>
      <c r="H12" s="116">
        <f>IFERROR(INDEX(FEV!AJ$8:AJ$73,MATCH($A12,FEV!$A$8:$A$73,0))&amp;"","")</f>
        <v/>
      </c>
      <c r="I12" s="114" t="n"/>
      <c r="J12" s="115" t="inlineStr">
        <is>
          <t>M</t>
        </is>
      </c>
      <c r="K12" s="124" t="inlineStr">
        <is>
          <t>D</t>
        </is>
      </c>
      <c r="L12" s="115" t="inlineStr">
        <is>
          <t>M</t>
        </is>
      </c>
      <c r="M12" s="124" t="inlineStr">
        <is>
          <t>D</t>
        </is>
      </c>
      <c r="N12" s="115" t="inlineStr">
        <is>
          <t>M</t>
        </is>
      </c>
      <c r="O12" s="114" t="n"/>
      <c r="P12" s="114" t="n"/>
      <c r="Q12" s="115" t="inlineStr">
        <is>
          <t>M</t>
        </is>
      </c>
      <c r="R12" s="115" t="inlineStr">
        <is>
          <t>M</t>
        </is>
      </c>
      <c r="S12" s="115" t="inlineStr">
        <is>
          <t>M</t>
        </is>
      </c>
      <c r="T12" s="115" t="inlineStr">
        <is>
          <t>M</t>
        </is>
      </c>
      <c r="U12" s="115" t="inlineStr">
        <is>
          <t>M</t>
        </is>
      </c>
      <c r="V12" s="114" t="n"/>
      <c r="W12" s="124" t="inlineStr">
        <is>
          <t>D</t>
        </is>
      </c>
      <c r="X12" s="115" t="inlineStr">
        <is>
          <t>M</t>
        </is>
      </c>
      <c r="Y12" s="124" t="inlineStr">
        <is>
          <t>D</t>
        </is>
      </c>
      <c r="Z12" s="115" t="inlineStr">
        <is>
          <t>M</t>
        </is>
      </c>
      <c r="AA12" s="115" t="inlineStr">
        <is>
          <t>M</t>
        </is>
      </c>
      <c r="AB12" s="115" t="inlineStr">
        <is>
          <t>M</t>
        </is>
      </c>
      <c r="AC12" s="114" t="n"/>
      <c r="AD12" s="114" t="n"/>
      <c r="AE12" s="115" t="inlineStr">
        <is>
          <t>M</t>
        </is>
      </c>
      <c r="AF12" s="115" t="inlineStr">
        <is>
          <t>M</t>
        </is>
      </c>
      <c r="AG12" s="115" t="inlineStr">
        <is>
          <t>M</t>
        </is>
      </c>
      <c r="AH12" s="115" t="inlineStr">
        <is>
          <t>M</t>
        </is>
      </c>
      <c r="AI12" s="115" t="inlineStr">
        <is>
          <t>M</t>
        </is>
      </c>
      <c r="AJ12" s="114" t="n"/>
      <c r="AK12" s="124" t="inlineStr">
        <is>
          <t>D</t>
        </is>
      </c>
      <c r="AL12" s="115" t="inlineStr">
        <is>
          <t>M</t>
        </is>
      </c>
      <c r="AM12" s="124" t="inlineStr">
        <is>
          <t>D</t>
        </is>
      </c>
      <c r="AN12" s="136">
        <f>IFERROR(INDEX(ABR!I$8:I$73,MATCH($A12,ABR!$A$8:$A$73,0))&amp;"","")</f>
        <v/>
      </c>
      <c r="AO12" s="136">
        <f>IFERROR(INDEX(ABR!J$8:J$73,MATCH($A12,ABR!$A$8:$A$73,0))&amp;"","")</f>
        <v/>
      </c>
      <c r="AP12" s="136">
        <f>IFERROR(INDEX(ABR!K$8:K$73,MATCH($A12,ABR!$A$8:$A$73,0))&amp;"","")</f>
        <v/>
      </c>
      <c r="AQ12" s="116">
        <f>IFERROR(INDEX(ABR!L$8:L$73,MATCH($A12,ABR!$A$8:$A$73,0))&amp;"","")</f>
        <v/>
      </c>
      <c r="AR12" s="116">
        <f>IFERROR(INDEX(ABR!M$8:M$73,MATCH($A12,ABR!$A$8:$A$73,0))&amp;"","")</f>
        <v/>
      </c>
      <c r="AS12" s="100" t="n"/>
      <c r="AT12" s="117">
        <f>SUMPRODUCT(($C12:$I12="M")*6+($C12:$I12="T")*6+($C12:$I12="D")*12+($C12:$I12="N")*12+($C12:$I12="NT")*6+($C12:$I12="C")*10+($C12:$I12="A")*8+($C12:$I12="J")*5+($C12:$I12="CEP")*4+($C12:$I12="CP")*6+($C12:$I12="CRO")*6+($C12:$I12="M+")*6+($C12:$I12="T+")*6+($C12:$I12="D+")*12+($C12:$I12="N+")*12+($C12:$I12="Dm+")*12+($C12:$I12="Dt+")*12+($C12:$I12="Tm-")*6+($C12:$I12="Mt-")*6)</f>
        <v/>
      </c>
      <c r="AU12" s="118">
        <f>AT12-MAX(0,IFERROR(INDEX(CADASTRO!$I$4:$I$80,MATCH($A12,CADASTRO!$A$4:$A$80,0)),$B12)-CONFIG!$B$50*(COUNTIF($C12:$I12,"AB")+COUNTIF($C12:$I12,"FE")+COUNTIF($C12:$I12,"LM")))</f>
        <v/>
      </c>
      <c r="AV12" s="117">
        <f>SUMPRODUCT(($J12:$P12="M")*6+($J12:$P12="T")*6+($J12:$P12="D")*12+($J12:$P12="N")*12+($J12:$P12="NT")*6+($J12:$P12="C")*10+($J12:$P12="A")*8+($J12:$P12="J")*5+($J12:$P12="CEP")*4+($J12:$P12="CP")*6+($J12:$P12="CRO")*6+($J12:$P12="M+")*6+($J12:$P12="T+")*6+($J12:$P12="D+")*12+($J12:$P12="N+")*12+($J12:$P12="Dm+")*12+($J12:$P12="Dt+")*12+($J12:$P12="Tm-")*6+($J12:$P12="Mt-")*6)</f>
        <v/>
      </c>
      <c r="AW12" s="118">
        <f>AV12-MAX(0,IFERROR(INDEX(CADASTRO!$I$4:$I$80,MATCH($A12,CADASTRO!$A$4:$A$80,0)),$B12)-CONFIG!$B$50*(COUNTIF($J12:$P12,"AB")+COUNTIF($J12:$P12,"FE")+COUNTIF($J12:$P12,"LM")))</f>
        <v/>
      </c>
      <c r="AX12" s="117">
        <f>SUMPRODUCT(($Q12:$W12="M")*6+($Q12:$W12="T")*6+($Q12:$W12="D")*12+($Q12:$W12="N")*12+($Q12:$W12="NT")*6+($Q12:$W12="C")*10+($Q12:$W12="A")*8+($Q12:$W12="J")*5+($Q12:$W12="CEP")*4+($Q12:$W12="CP")*6+($Q12:$W12="CRO")*6+($Q12:$W12="M+")*6+($Q12:$W12="T+")*6+($Q12:$W12="D+")*12+($Q12:$W12="N+")*12+($Q12:$W12="Dm+")*12+($Q12:$W12="Dt+")*12+($Q12:$W12="Tm-")*6+($Q12:$W12="Mt-")*6)</f>
        <v/>
      </c>
      <c r="AY12" s="118">
        <f>AX12-MAX(0,IFERROR(INDEX(CADASTRO!$I$4:$I$80,MATCH($A12,CADASTRO!$A$4:$A$80,0)),$B12)-CONFIG!$B$50*(COUNTIF($Q12:$W12,"AB")+COUNTIF($Q12:$W12,"FE")+COUNTIF($Q12:$W12,"LM")))</f>
        <v/>
      </c>
      <c r="AZ12" s="117">
        <f>SUMPRODUCT(($X12:$AD12="M")*6+($X12:$AD12="T")*6+($X12:$AD12="D")*12+($X12:$AD12="N")*12+($X12:$AD12="NT")*6+($X12:$AD12="C")*10+($X12:$AD12="A")*8+($X12:$AD12="J")*5+($X12:$AD12="CEP")*4+($X12:$AD12="CP")*6+($X12:$AD12="CRO")*6+($X12:$AD12="M+")*6+($X12:$AD12="T+")*6+($X12:$AD12="D+")*12+($X12:$AD12="N+")*12+($X12:$AD12="Dm+")*12+($X12:$AD12="Dt+")*12+($X12:$AD12="Tm-")*6+($X12:$AD12="Mt-")*6)</f>
        <v/>
      </c>
      <c r="BA12" s="118">
        <f>AZ12-MAX(0,IFERROR(INDEX(CADASTRO!$I$4:$I$80,MATCH($A12,CADASTRO!$A$4:$A$80,0)),$B12)-CONFIG!$B$50*(COUNTIF($X12:$AD12,"AB")+COUNTIF($X12:$AD12,"FE")+COUNTIF($X12:$AD12,"LM")))</f>
        <v/>
      </c>
      <c r="BB12" s="117">
        <f>SUMPRODUCT(($AE12:$AK12="M")*6+($AE12:$AK12="T")*6+($AE12:$AK12="D")*12+($AE12:$AK12="N")*12+($AE12:$AK12="NT")*6+($AE12:$AK12="C")*10+($AE12:$AK12="A")*8+($AE12:$AK12="J")*5+($AE12:$AK12="CEP")*4+($AE12:$AK12="CP")*6+($AE12:$AK12="CRO")*6+($AE12:$AK12="M+")*6+($AE12:$AK12="T+")*6+($AE12:$AK12="D+")*12+($AE12:$AK12="N+")*12+($AE12:$AK12="Dm+")*12+($AE12:$AK12="Dt+")*12+($AE12:$AK12="Tm-")*6+($AE12:$AK12="Mt-")*6)</f>
        <v/>
      </c>
      <c r="BC12" s="118">
        <f>BB12-MAX(0,IFERROR(INDEX(CADASTRO!$I$4:$I$80,MATCH($A12,CADASTRO!$A$4:$A$80,0)),$B12)-CONFIG!$B$50*(COUNTIF($AE12:$AK12,"AB")+COUNTIF($AE12:$AK12,"FE")+COUNTIF($AE12:$AK12,"LM")))</f>
        <v/>
      </c>
      <c r="BD12" s="117">
        <f>SUMPRODUCT(($AL12:$AM12="M")*6+($AL12:$AM12="T")*6+($AL12:$AM12="D")*12+($AL12:$AM12="N")*12+($AL12:$AM12="NT")*6+($AL12:$AM12="C")*10+($AL12:$AM12="A")*8+($AL12:$AM12="J")*5+($AL12:$AM12="CEP")*4+($AL12:$AM12="CP")*6+($AL12:$AM12="CRO")*6+($AL12:$AM12="M+")*6+($AL12:$AM12="T+")*6+($AL12:$AM12="D+")*12+($AL12:$AM12="N+")*12+($AL12:$AM12="Dm+")*12+($AL12:$AM12="Dt+")*12+($AL12:$AM12="Tm-")*6+($AL12:$AM12="Mt-")*6)+SUMPRODUCT(($AN12:$AR12="M")*6+($AN12:$AR12="T")*6+($AN12:$AR12="D")*12+($AN12:$AR12="N")*12+($AN12:$AR12="NT")*6+($AN12:$AR12="C")*10+($AN12:$AR12="A")*8+($AN12:$AR12="J")*5+($AN12:$AR12="CEP")*4+($AN12:$AR12="CP")*6+($AN12:$AR12="CRO")*6+($AN12:$AR12="M+")*6+($AN12:$AR12="T+")*6+($AN12:$AR12="D+")*12+($AN12:$AR12="N+")*12+($AN12:$AR12="Dm+")*12+($AN12:$AR12="Dt+")*12+($AN12:$AR12="Tm-")*6+($AN12:$AR12="Mt-")*6)</f>
        <v/>
      </c>
      <c r="BE12" s="118">
        <f>BD12-MAX(0,IFERROR(INDEX(CADASTRO!$I$4:$I$80,MATCH($A12,CADASTRO!$A$4:$A$80,0)),$B12)-CONFIG!$B$50*(COUNTIF($AL12:$AM12,"AB")+COUNTIF($AL12:$AM12,"FE")+COUNTIF($AL12:$AM12,"LM")+COUNTIF($AN12:$AR12,"AB")+COUNTIF($AN12:$AR12,"FE")+COUNTIF($AN12:$AR12,"LM")))</f>
        <v/>
      </c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36">
        <f>IFERROR(INDEX(FEV!AE$8:AE$73,MATCH($A13,FEV!$A$8:$A$73,0))&amp;"","")</f>
        <v/>
      </c>
      <c r="D13" s="136">
        <f>IFERROR(INDEX(FEV!AF$8:AF$73,MATCH($A13,FEV!$A$8:$A$73,0))&amp;"","")</f>
        <v/>
      </c>
      <c r="E13" s="136">
        <f>IFERROR(INDEX(FEV!AG$8:AG$73,MATCH($A13,FEV!$A$8:$A$73,0))&amp;"","")</f>
        <v/>
      </c>
      <c r="F13" s="136">
        <f>IFERROR(INDEX(FEV!AH$8:AH$73,MATCH($A13,FEV!$A$8:$A$73,0))&amp;"","")</f>
        <v/>
      </c>
      <c r="G13" s="136">
        <f>IFERROR(INDEX(FEV!AI$8:AI$73,MATCH($A13,FEV!$A$8:$A$73,0))&amp;"","")</f>
        <v/>
      </c>
      <c r="H13" s="116">
        <f>IFERROR(INDEX(FEV!AJ$8:AJ$73,MATCH($A13,FEV!$A$8:$A$73,0))&amp;"","")</f>
        <v/>
      </c>
      <c r="I13" s="114" t="n"/>
      <c r="J13" s="115" t="inlineStr">
        <is>
          <t>M</t>
        </is>
      </c>
      <c r="K13" s="115" t="inlineStr">
        <is>
          <t>M</t>
        </is>
      </c>
      <c r="L13" s="115" t="inlineStr">
        <is>
          <t>M</t>
        </is>
      </c>
      <c r="M13" s="115" t="inlineStr">
        <is>
          <t>M</t>
        </is>
      </c>
      <c r="N13" s="123" t="inlineStr">
        <is>
          <t>M+</t>
        </is>
      </c>
      <c r="O13" s="125" t="inlineStr">
        <is>
          <t>N</t>
        </is>
      </c>
      <c r="P13" s="114" t="n"/>
      <c r="Q13" s="115" t="inlineStr">
        <is>
          <t>M</t>
        </is>
      </c>
      <c r="R13" s="115" t="inlineStr">
        <is>
          <t>M</t>
        </is>
      </c>
      <c r="S13" s="115" t="inlineStr">
        <is>
          <t>M</t>
        </is>
      </c>
      <c r="T13" s="115" t="inlineStr">
        <is>
          <t>M</t>
        </is>
      </c>
      <c r="U13" s="127" t="inlineStr">
        <is>
          <t>Mt-</t>
        </is>
      </c>
      <c r="V13" s="114" t="n"/>
      <c r="W13" s="114" t="n"/>
      <c r="X13" s="115" t="inlineStr">
        <is>
          <t>M</t>
        </is>
      </c>
      <c r="Y13" s="115" t="inlineStr">
        <is>
          <t>M</t>
        </is>
      </c>
      <c r="Z13" s="115" t="inlineStr">
        <is>
          <t>M</t>
        </is>
      </c>
      <c r="AA13" s="115" t="inlineStr">
        <is>
          <t>M</t>
        </is>
      </c>
      <c r="AB13" s="115" t="inlineStr">
        <is>
          <t>M</t>
        </is>
      </c>
      <c r="AC13" s="114" t="n"/>
      <c r="AD13" s="114" t="n"/>
      <c r="AE13" s="115" t="inlineStr">
        <is>
          <t>M</t>
        </is>
      </c>
      <c r="AF13" s="115" t="inlineStr">
        <is>
          <t>M</t>
        </is>
      </c>
      <c r="AG13" s="115" t="inlineStr">
        <is>
          <t>M</t>
        </is>
      </c>
      <c r="AH13" s="115" t="inlineStr">
        <is>
          <t>M</t>
        </is>
      </c>
      <c r="AI13" s="115" t="inlineStr">
        <is>
          <t>M</t>
        </is>
      </c>
      <c r="AJ13" s="125" t="inlineStr">
        <is>
          <t>N</t>
        </is>
      </c>
      <c r="AK13" s="114" t="n"/>
      <c r="AL13" s="115" t="inlineStr">
        <is>
          <t>M</t>
        </is>
      </c>
      <c r="AM13" s="115" t="inlineStr">
        <is>
          <t>M</t>
        </is>
      </c>
      <c r="AN13" s="136">
        <f>IFERROR(INDEX(ABR!I$8:I$73,MATCH($A13,ABR!$A$8:$A$73,0))&amp;"","")</f>
        <v/>
      </c>
      <c r="AO13" s="136">
        <f>IFERROR(INDEX(ABR!J$8:J$73,MATCH($A13,ABR!$A$8:$A$73,0))&amp;"","")</f>
        <v/>
      </c>
      <c r="AP13" s="136">
        <f>IFERROR(INDEX(ABR!K$8:K$73,MATCH($A13,ABR!$A$8:$A$73,0))&amp;"","")</f>
        <v/>
      </c>
      <c r="AQ13" s="116">
        <f>IFERROR(INDEX(ABR!L$8:L$73,MATCH($A13,ABR!$A$8:$A$73,0))&amp;"","")</f>
        <v/>
      </c>
      <c r="AR13" s="116">
        <f>IFERROR(INDEX(ABR!M$8:M$73,MATCH($A13,ABR!$A$8:$A$73,0))&amp;"","")</f>
        <v/>
      </c>
      <c r="AS13" s="100" t="n"/>
      <c r="AT13" s="117">
        <f>SUMPRODUCT(($C13:$I13="M")*6+($C13:$I13="T")*6+($C13:$I13="D")*12+($C13:$I13="N")*12+($C13:$I13="NT")*6+($C13:$I13="C")*10+($C13:$I13="A")*8+($C13:$I13="J")*5+($C13:$I13="CEP")*4+($C13:$I13="CP")*6+($C13:$I13="CRO")*6+($C13:$I13="M+")*6+($C13:$I13="T+")*6+($C13:$I13="D+")*12+($C13:$I13="N+")*12+($C13:$I13="Dm+")*12+($C13:$I13="Dt+")*12+($C13:$I13="Tm-")*6+($C13:$I13="Mt-")*6)</f>
        <v/>
      </c>
      <c r="AU13" s="118">
        <f>AT13-MAX(0,IFERROR(INDEX(CADASTRO!$I$4:$I$80,MATCH($A13,CADASTRO!$A$4:$A$80,0)),$B13)-CONFIG!$B$50*(COUNTIF($C13:$I13,"AB")+COUNTIF($C13:$I13,"FE")+COUNTIF($C13:$I13,"LM")))</f>
        <v/>
      </c>
      <c r="AV13" s="117">
        <f>SUMPRODUCT(($J13:$P13="M")*6+($J13:$P13="T")*6+($J13:$P13="D")*12+($J13:$P13="N")*12+($J13:$P13="NT")*6+($J13:$P13="C")*10+($J13:$P13="A")*8+($J13:$P13="J")*5+($J13:$P13="CEP")*4+($J13:$P13="CP")*6+($J13:$P13="CRO")*6+($J13:$P13="M+")*6+($J13:$P13="T+")*6+($J13:$P13="D+")*12+($J13:$P13="N+")*12+($J13:$P13="Dm+")*12+($J13:$P13="Dt+")*12+($J13:$P13="Tm-")*6+($J13:$P13="Mt-")*6)</f>
        <v/>
      </c>
      <c r="AW13" s="118">
        <f>AV13-MAX(0,IFERROR(INDEX(CADASTRO!$I$4:$I$80,MATCH($A13,CADASTRO!$A$4:$A$80,0)),$B13)-CONFIG!$B$50*(COUNTIF($J13:$P13,"AB")+COUNTIF($J13:$P13,"FE")+COUNTIF($J13:$P13,"LM")))</f>
        <v/>
      </c>
      <c r="AX13" s="117">
        <f>SUMPRODUCT(($Q13:$W13="M")*6+($Q13:$W13="T")*6+($Q13:$W13="D")*12+($Q13:$W13="N")*12+($Q13:$W13="NT")*6+($Q13:$W13="C")*10+($Q13:$W13="A")*8+($Q13:$W13="J")*5+($Q13:$W13="CEP")*4+($Q13:$W13="CP")*6+($Q13:$W13="CRO")*6+($Q13:$W13="M+")*6+($Q13:$W13="T+")*6+($Q13:$W13="D+")*12+($Q13:$W13="N+")*12+($Q13:$W13="Dm+")*12+($Q13:$W13="Dt+")*12+($Q13:$W13="Tm-")*6+($Q13:$W13="Mt-")*6)</f>
        <v/>
      </c>
      <c r="AY13" s="118">
        <f>AX13-MAX(0,IFERROR(INDEX(CADASTRO!$I$4:$I$80,MATCH($A13,CADASTRO!$A$4:$A$80,0)),$B13)-CONFIG!$B$50*(COUNTIF($Q13:$W13,"AB")+COUNTIF($Q13:$W13,"FE")+COUNTIF($Q13:$W13,"LM")))</f>
        <v/>
      </c>
      <c r="AZ13" s="117">
        <f>SUMPRODUCT(($X13:$AD13="M")*6+($X13:$AD13="T")*6+($X13:$AD13="D")*12+($X13:$AD13="N")*12+($X13:$AD13="NT")*6+($X13:$AD13="C")*10+($X13:$AD13="A")*8+($X13:$AD13="J")*5+($X13:$AD13="CEP")*4+($X13:$AD13="CP")*6+($X13:$AD13="CRO")*6+($X13:$AD13="M+")*6+($X13:$AD13="T+")*6+($X13:$AD13="D+")*12+($X13:$AD13="N+")*12+($X13:$AD13="Dm+")*12+($X13:$AD13="Dt+")*12+($X13:$AD13="Tm-")*6+($X13:$AD13="Mt-")*6)</f>
        <v/>
      </c>
      <c r="BA13" s="118">
        <f>AZ13-MAX(0,IFERROR(INDEX(CADASTRO!$I$4:$I$80,MATCH($A13,CADASTRO!$A$4:$A$80,0)),$B13)-CONFIG!$B$50*(COUNTIF($X13:$AD13,"AB")+COUNTIF($X13:$AD13,"FE")+COUNTIF($X13:$AD13,"LM")))</f>
        <v/>
      </c>
      <c r="BB13" s="117">
        <f>SUMPRODUCT(($AE13:$AK13="M")*6+($AE13:$AK13="T")*6+($AE13:$AK13="D")*12+($AE13:$AK13="N")*12+($AE13:$AK13="NT")*6+($AE13:$AK13="C")*10+($AE13:$AK13="A")*8+($AE13:$AK13="J")*5+($AE13:$AK13="CEP")*4+($AE13:$AK13="CP")*6+($AE13:$AK13="CRO")*6+($AE13:$AK13="M+")*6+($AE13:$AK13="T+")*6+($AE13:$AK13="D+")*12+($AE13:$AK13="N+")*12+($AE13:$AK13="Dm+")*12+($AE13:$AK13="Dt+")*12+($AE13:$AK13="Tm-")*6+($AE13:$AK13="Mt-")*6)</f>
        <v/>
      </c>
      <c r="BC13" s="118">
        <f>BB13-MAX(0,IFERROR(INDEX(CADASTRO!$I$4:$I$80,MATCH($A13,CADASTRO!$A$4:$A$80,0)),$B13)-CONFIG!$B$50*(COUNTIF($AE13:$AK13,"AB")+COUNTIF($AE13:$AK13,"FE")+COUNTIF($AE13:$AK13,"LM")))</f>
        <v/>
      </c>
      <c r="BD13" s="117">
        <f>SUMPRODUCT(($AL13:$AM13="M")*6+($AL13:$AM13="T")*6+($AL13:$AM13="D")*12+($AL13:$AM13="N")*12+($AL13:$AM13="NT")*6+($AL13:$AM13="C")*10+($AL13:$AM13="A")*8+($AL13:$AM13="J")*5+($AL13:$AM13="CEP")*4+($AL13:$AM13="CP")*6+($AL13:$AM13="CRO")*6+($AL13:$AM13="M+")*6+($AL13:$AM13="T+")*6+($AL13:$AM13="D+")*12+($AL13:$AM13="N+")*12+($AL13:$AM13="Dm+")*12+($AL13:$AM13="Dt+")*12+($AL13:$AM13="Tm-")*6+($AL13:$AM13="Mt-")*6)+SUMPRODUCT(($AN13:$AR13="M")*6+($AN13:$AR13="T")*6+($AN13:$AR13="D")*12+($AN13:$AR13="N")*12+($AN13:$AR13="NT")*6+($AN13:$AR13="C")*10+($AN13:$AR13="A")*8+($AN13:$AR13="J")*5+($AN13:$AR13="CEP")*4+($AN13:$AR13="CP")*6+($AN13:$AR13="CRO")*6+($AN13:$AR13="M+")*6+($AN13:$AR13="T+")*6+($AN13:$AR13="D+")*12+($AN13:$AR13="N+")*12+($AN13:$AR13="Dm+")*12+($AN13:$AR13="Dt+")*12+($AN13:$AR13="Tm-")*6+($AN13:$AR13="Mt-")*6)</f>
        <v/>
      </c>
      <c r="BE13" s="118">
        <f>BD13-MAX(0,IFERROR(INDEX(CADASTRO!$I$4:$I$80,MATCH($A13,CADASTRO!$A$4:$A$80,0)),$B13)-CONFIG!$B$50*(COUNTIF($AL13:$AM13,"AB")+COUNTIF($AL13:$AM13,"FE")+COUNTIF($AL13:$AM13,"LM")+COUNTIF($AN13:$AR13,"AB")+COUNTIF($AN13:$AR13,"FE")+COUNTIF($AN13:$AR13,"LM")))</f>
        <v/>
      </c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36">
        <f>IFERROR(INDEX(FEV!AE$8:AE$73,MATCH($A14,FEV!$A$8:$A$73,0))&amp;"","")</f>
        <v/>
      </c>
      <c r="D14" s="136">
        <f>IFERROR(INDEX(FEV!AF$8:AF$73,MATCH($A14,FEV!$A$8:$A$73,0))&amp;"","")</f>
        <v/>
      </c>
      <c r="E14" s="136">
        <f>IFERROR(INDEX(FEV!AG$8:AG$73,MATCH($A14,FEV!$A$8:$A$73,0))&amp;"","")</f>
        <v/>
      </c>
      <c r="F14" s="136">
        <f>IFERROR(INDEX(FEV!AH$8:AH$73,MATCH($A14,FEV!$A$8:$A$73,0))&amp;"","")</f>
        <v/>
      </c>
      <c r="G14" s="136">
        <f>IFERROR(INDEX(FEV!AI$8:AI$73,MATCH($A14,FEV!$A$8:$A$73,0))&amp;"","")</f>
        <v/>
      </c>
      <c r="H14" s="116">
        <f>IFERROR(INDEX(FEV!AJ$8:AJ$73,MATCH($A14,FEV!$A$8:$A$73,0))&amp;"","")</f>
        <v/>
      </c>
      <c r="I14" s="114" t="n"/>
      <c r="J14" s="115" t="inlineStr">
        <is>
          <t>M</t>
        </is>
      </c>
      <c r="K14" s="115" t="inlineStr">
        <is>
          <t>M</t>
        </is>
      </c>
      <c r="L14" s="115" t="inlineStr">
        <is>
          <t>M</t>
        </is>
      </c>
      <c r="M14" s="124" t="inlineStr">
        <is>
          <t>D</t>
        </is>
      </c>
      <c r="N14" s="123" t="inlineStr">
        <is>
          <t>Dt+</t>
        </is>
      </c>
      <c r="O14" s="126" t="inlineStr">
        <is>
          <t>T</t>
        </is>
      </c>
      <c r="P14" s="114" t="n"/>
      <c r="Q14" s="115" t="inlineStr">
        <is>
          <t>M</t>
        </is>
      </c>
      <c r="R14" s="115" t="inlineStr">
        <is>
          <t>M</t>
        </is>
      </c>
      <c r="S14" s="115" t="inlineStr">
        <is>
          <t>M</t>
        </is>
      </c>
      <c r="T14" s="127" t="inlineStr">
        <is>
          <t>Mt-</t>
        </is>
      </c>
      <c r="U14" s="115" t="inlineStr">
        <is>
          <t>M</t>
        </is>
      </c>
      <c r="V14" s="114" t="n"/>
      <c r="W14" s="114" t="n"/>
      <c r="X14" s="115" t="inlineStr">
        <is>
          <t>M</t>
        </is>
      </c>
      <c r="Y14" s="115" t="inlineStr">
        <is>
          <t>M</t>
        </is>
      </c>
      <c r="Z14" s="115" t="inlineStr">
        <is>
          <t>M</t>
        </is>
      </c>
      <c r="AA14" s="115" t="inlineStr">
        <is>
          <t>M</t>
        </is>
      </c>
      <c r="AB14" s="115" t="inlineStr">
        <is>
          <t>M</t>
        </is>
      </c>
      <c r="AC14" s="114" t="n"/>
      <c r="AD14" s="126" t="inlineStr">
        <is>
          <t>T</t>
        </is>
      </c>
      <c r="AE14" s="115" t="inlineStr">
        <is>
          <t>M</t>
        </is>
      </c>
      <c r="AF14" s="115" t="inlineStr">
        <is>
          <t>M</t>
        </is>
      </c>
      <c r="AG14" s="115" t="inlineStr">
        <is>
          <t>M</t>
        </is>
      </c>
      <c r="AH14" s="123" t="inlineStr">
        <is>
          <t>M+</t>
        </is>
      </c>
      <c r="AI14" s="123" t="inlineStr">
        <is>
          <t>M+</t>
        </is>
      </c>
      <c r="AJ14" s="126" t="inlineStr">
        <is>
          <t>T</t>
        </is>
      </c>
      <c r="AK14" s="124" t="inlineStr">
        <is>
          <t>D</t>
        </is>
      </c>
      <c r="AL14" s="115" t="inlineStr">
        <is>
          <t>M</t>
        </is>
      </c>
      <c r="AM14" s="115" t="inlineStr">
        <is>
          <t>M</t>
        </is>
      </c>
      <c r="AN14" s="136">
        <f>IFERROR(INDEX(ABR!I$8:I$73,MATCH($A14,ABR!$A$8:$A$73,0))&amp;"","")</f>
        <v/>
      </c>
      <c r="AO14" s="136">
        <f>IFERROR(INDEX(ABR!J$8:J$73,MATCH($A14,ABR!$A$8:$A$73,0))&amp;"","")</f>
        <v/>
      </c>
      <c r="AP14" s="136">
        <f>IFERROR(INDEX(ABR!K$8:K$73,MATCH($A14,ABR!$A$8:$A$73,0))&amp;"","")</f>
        <v/>
      </c>
      <c r="AQ14" s="116">
        <f>IFERROR(INDEX(ABR!L$8:L$73,MATCH($A14,ABR!$A$8:$A$73,0))&amp;"","")</f>
        <v/>
      </c>
      <c r="AR14" s="116">
        <f>IFERROR(INDEX(ABR!M$8:M$73,MATCH($A14,ABR!$A$8:$A$73,0))&amp;"","")</f>
        <v/>
      </c>
      <c r="AS14" s="100" t="n"/>
      <c r="AT14" s="117">
        <f>SUMPRODUCT(($C14:$I14="M")*6+($C14:$I14="T")*6+($C14:$I14="D")*12+($C14:$I14="N")*12+($C14:$I14="NT")*6+($C14:$I14="C")*10+($C14:$I14="A")*8+($C14:$I14="J")*5+($C14:$I14="CEP")*4+($C14:$I14="CP")*6+($C14:$I14="CRO")*6+($C14:$I14="M+")*6+($C14:$I14="T+")*6+($C14:$I14="D+")*12+($C14:$I14="N+")*12+($C14:$I14="Dm+")*12+($C14:$I14="Dt+")*12+($C14:$I14="Tm-")*6+($C14:$I14="Mt-")*6)</f>
        <v/>
      </c>
      <c r="AU14" s="118">
        <f>AT14-MAX(0,IFERROR(INDEX(CADASTRO!$I$4:$I$80,MATCH($A14,CADASTRO!$A$4:$A$80,0)),$B14)-CONFIG!$B$50*(COUNTIF($C14:$I14,"AB")+COUNTIF($C14:$I14,"FE")+COUNTIF($C14:$I14,"LM")))</f>
        <v/>
      </c>
      <c r="AV14" s="117">
        <f>SUMPRODUCT(($J14:$P14="M")*6+($J14:$P14="T")*6+($J14:$P14="D")*12+($J14:$P14="N")*12+($J14:$P14="NT")*6+($J14:$P14="C")*10+($J14:$P14="A")*8+($J14:$P14="J")*5+($J14:$P14="CEP")*4+($J14:$P14="CP")*6+($J14:$P14="CRO")*6+($J14:$P14="M+")*6+($J14:$P14="T+")*6+($J14:$P14="D+")*12+($J14:$P14="N+")*12+($J14:$P14="Dm+")*12+($J14:$P14="Dt+")*12+($J14:$P14="Tm-")*6+($J14:$P14="Mt-")*6)</f>
        <v/>
      </c>
      <c r="AW14" s="118">
        <f>AV14-MAX(0,IFERROR(INDEX(CADASTRO!$I$4:$I$80,MATCH($A14,CADASTRO!$A$4:$A$80,0)),$B14)-CONFIG!$B$50*(COUNTIF($J14:$P14,"AB")+COUNTIF($J14:$P14,"FE")+COUNTIF($J14:$P14,"LM")))</f>
        <v/>
      </c>
      <c r="AX14" s="117">
        <f>SUMPRODUCT(($Q14:$W14="M")*6+($Q14:$W14="T")*6+($Q14:$W14="D")*12+($Q14:$W14="N")*12+($Q14:$W14="NT")*6+($Q14:$W14="C")*10+($Q14:$W14="A")*8+($Q14:$W14="J")*5+($Q14:$W14="CEP")*4+($Q14:$W14="CP")*6+($Q14:$W14="CRO")*6+($Q14:$W14="M+")*6+($Q14:$W14="T+")*6+($Q14:$W14="D+")*12+($Q14:$W14="N+")*12+($Q14:$W14="Dm+")*12+($Q14:$W14="Dt+")*12+($Q14:$W14="Tm-")*6+($Q14:$W14="Mt-")*6)</f>
        <v/>
      </c>
      <c r="AY14" s="118">
        <f>AX14-MAX(0,IFERROR(INDEX(CADASTRO!$I$4:$I$80,MATCH($A14,CADASTRO!$A$4:$A$80,0)),$B14)-CONFIG!$B$50*(COUNTIF($Q14:$W14,"AB")+COUNTIF($Q14:$W14,"FE")+COUNTIF($Q14:$W14,"LM")))</f>
        <v/>
      </c>
      <c r="AZ14" s="117">
        <f>SUMPRODUCT(($X14:$AD14="M")*6+($X14:$AD14="T")*6+($X14:$AD14="D")*12+($X14:$AD14="N")*12+($X14:$AD14="NT")*6+($X14:$AD14="C")*10+($X14:$AD14="A")*8+($X14:$AD14="J")*5+($X14:$AD14="CEP")*4+($X14:$AD14="CP")*6+($X14:$AD14="CRO")*6+($X14:$AD14="M+")*6+($X14:$AD14="T+")*6+($X14:$AD14="D+")*12+($X14:$AD14="N+")*12+($X14:$AD14="Dm+")*12+($X14:$AD14="Dt+")*12+($X14:$AD14="Tm-")*6+($X14:$AD14="Mt-")*6)</f>
        <v/>
      </c>
      <c r="BA14" s="118">
        <f>AZ14-MAX(0,IFERROR(INDEX(CADASTRO!$I$4:$I$80,MATCH($A14,CADASTRO!$A$4:$A$80,0)),$B14)-CONFIG!$B$50*(COUNTIF($X14:$AD14,"AB")+COUNTIF($X14:$AD14,"FE")+COUNTIF($X14:$AD14,"LM")))</f>
        <v/>
      </c>
      <c r="BB14" s="117">
        <f>SUMPRODUCT(($AE14:$AK14="M")*6+($AE14:$AK14="T")*6+($AE14:$AK14="D")*12+($AE14:$AK14="N")*12+($AE14:$AK14="NT")*6+($AE14:$AK14="C")*10+($AE14:$AK14="A")*8+($AE14:$AK14="J")*5+($AE14:$AK14="CEP")*4+($AE14:$AK14="CP")*6+($AE14:$AK14="CRO")*6+($AE14:$AK14="M+")*6+($AE14:$AK14="T+")*6+($AE14:$AK14="D+")*12+($AE14:$AK14="N+")*12+($AE14:$AK14="Dm+")*12+($AE14:$AK14="Dt+")*12+($AE14:$AK14="Tm-")*6+($AE14:$AK14="Mt-")*6)</f>
        <v/>
      </c>
      <c r="BC14" s="118">
        <f>BB14-MAX(0,IFERROR(INDEX(CADASTRO!$I$4:$I$80,MATCH($A14,CADASTRO!$A$4:$A$80,0)),$B14)-CONFIG!$B$50*(COUNTIF($AE14:$AK14,"AB")+COUNTIF($AE14:$AK14,"FE")+COUNTIF($AE14:$AK14,"LM")))</f>
        <v/>
      </c>
      <c r="BD14" s="117">
        <f>SUMPRODUCT(($AL14:$AM14="M")*6+($AL14:$AM14="T")*6+($AL14:$AM14="D")*12+($AL14:$AM14="N")*12+($AL14:$AM14="NT")*6+($AL14:$AM14="C")*10+($AL14:$AM14="A")*8+($AL14:$AM14="J")*5+($AL14:$AM14="CEP")*4+($AL14:$AM14="CP")*6+($AL14:$AM14="CRO")*6+($AL14:$AM14="M+")*6+($AL14:$AM14="T+")*6+($AL14:$AM14="D+")*12+($AL14:$AM14="N+")*12+($AL14:$AM14="Dm+")*12+($AL14:$AM14="Dt+")*12+($AL14:$AM14="Tm-")*6+($AL14:$AM14="Mt-")*6)+SUMPRODUCT(($AN14:$AR14="M")*6+($AN14:$AR14="T")*6+($AN14:$AR14="D")*12+($AN14:$AR14="N")*12+($AN14:$AR14="NT")*6+($AN14:$AR14="C")*10+($AN14:$AR14="A")*8+($AN14:$AR14="J")*5+($AN14:$AR14="CEP")*4+($AN14:$AR14="CP")*6+($AN14:$AR14="CRO")*6+($AN14:$AR14="M+")*6+($AN14:$AR14="T+")*6+($AN14:$AR14="D+")*12+($AN14:$AR14="N+")*12+($AN14:$AR14="Dm+")*12+($AN14:$AR14="Dt+")*12+($AN14:$AR14="Tm-")*6+($AN14:$AR14="Mt-")*6)</f>
        <v/>
      </c>
      <c r="BE14" s="118">
        <f>BD14-MAX(0,IFERROR(INDEX(CADASTRO!$I$4:$I$80,MATCH($A14,CADASTRO!$A$4:$A$80,0)),$B14)-CONFIG!$B$50*(COUNTIF($AL14:$AM14,"AB")+COUNTIF($AL14:$AM14,"FE")+COUNTIF($AL14:$AM14,"LM")+COUNTIF($AN14:$AR14,"AB")+COUNTIF($AN14:$AR14,"FE")+COUNTIF($AN14:$AR14,"LM")))</f>
        <v/>
      </c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36">
        <f>IFERROR(INDEX(FEV!AE$8:AE$73,MATCH($A15,FEV!$A$8:$A$73,0))&amp;"","")</f>
        <v/>
      </c>
      <c r="D15" s="136">
        <f>IFERROR(INDEX(FEV!AF$8:AF$73,MATCH($A15,FEV!$A$8:$A$73,0))&amp;"","")</f>
        <v/>
      </c>
      <c r="E15" s="136">
        <f>IFERROR(INDEX(FEV!AG$8:AG$73,MATCH($A15,FEV!$A$8:$A$73,0))&amp;"","")</f>
        <v/>
      </c>
      <c r="F15" s="136">
        <f>IFERROR(INDEX(FEV!AH$8:AH$73,MATCH($A15,FEV!$A$8:$A$73,0))&amp;"","")</f>
        <v/>
      </c>
      <c r="G15" s="136">
        <f>IFERROR(INDEX(FEV!AI$8:AI$73,MATCH($A15,FEV!$A$8:$A$73,0))&amp;"","")</f>
        <v/>
      </c>
      <c r="H15" s="116">
        <f>IFERROR(INDEX(FEV!AJ$8:AJ$73,MATCH($A15,FEV!$A$8:$A$73,0))&amp;"","")</f>
        <v/>
      </c>
      <c r="I15" s="114" t="n"/>
      <c r="J15" s="115" t="inlineStr">
        <is>
          <t>M</t>
        </is>
      </c>
      <c r="K15" s="115" t="inlineStr">
        <is>
          <t>M</t>
        </is>
      </c>
      <c r="L15" s="115" t="inlineStr">
        <is>
          <t>M</t>
        </is>
      </c>
      <c r="M15" s="115" t="inlineStr">
        <is>
          <t>M</t>
        </is>
      </c>
      <c r="N15" s="123" t="inlineStr">
        <is>
          <t>M+</t>
        </is>
      </c>
      <c r="O15" s="125" t="inlineStr">
        <is>
          <t>N</t>
        </is>
      </c>
      <c r="P15" s="114" t="n"/>
      <c r="Q15" s="115" t="inlineStr">
        <is>
          <t>M</t>
        </is>
      </c>
      <c r="R15" s="115" t="inlineStr">
        <is>
          <t>M</t>
        </is>
      </c>
      <c r="S15" s="115" t="inlineStr">
        <is>
          <t>M</t>
        </is>
      </c>
      <c r="T15" s="115" t="inlineStr">
        <is>
          <t>M</t>
        </is>
      </c>
      <c r="U15" s="127" t="inlineStr">
        <is>
          <t>Mt-</t>
        </is>
      </c>
      <c r="V15" s="114" t="n"/>
      <c r="W15" s="114" t="n"/>
      <c r="X15" s="115" t="inlineStr">
        <is>
          <t>M</t>
        </is>
      </c>
      <c r="Y15" s="115" t="inlineStr">
        <is>
          <t>M</t>
        </is>
      </c>
      <c r="Z15" s="115" t="inlineStr">
        <is>
          <t>M</t>
        </is>
      </c>
      <c r="AA15" s="115" t="inlineStr">
        <is>
          <t>M</t>
        </is>
      </c>
      <c r="AB15" s="123" t="inlineStr">
        <is>
          <t>M+</t>
        </is>
      </c>
      <c r="AC15" s="125" t="inlineStr">
        <is>
          <t>N</t>
        </is>
      </c>
      <c r="AD15" s="114" t="n"/>
      <c r="AE15" s="115" t="inlineStr">
        <is>
          <t>M</t>
        </is>
      </c>
      <c r="AF15" s="115" t="inlineStr">
        <is>
          <t>M</t>
        </is>
      </c>
      <c r="AG15" s="115" t="inlineStr">
        <is>
          <t>M</t>
        </is>
      </c>
      <c r="AH15" s="115" t="inlineStr">
        <is>
          <t>M</t>
        </is>
      </c>
      <c r="AI15" s="127" t="inlineStr">
        <is>
          <t>Mt-</t>
        </is>
      </c>
      <c r="AJ15" s="114" t="n"/>
      <c r="AK15" s="114" t="n"/>
      <c r="AL15" s="115" t="inlineStr">
        <is>
          <t>M</t>
        </is>
      </c>
      <c r="AM15" s="115" t="inlineStr">
        <is>
          <t>M</t>
        </is>
      </c>
      <c r="AN15" s="136">
        <f>IFERROR(INDEX(ABR!I$8:I$73,MATCH($A15,ABR!$A$8:$A$73,0))&amp;"","")</f>
        <v/>
      </c>
      <c r="AO15" s="136">
        <f>IFERROR(INDEX(ABR!J$8:J$73,MATCH($A15,ABR!$A$8:$A$73,0))&amp;"","")</f>
        <v/>
      </c>
      <c r="AP15" s="136">
        <f>IFERROR(INDEX(ABR!K$8:K$73,MATCH($A15,ABR!$A$8:$A$73,0))&amp;"","")</f>
        <v/>
      </c>
      <c r="AQ15" s="116">
        <f>IFERROR(INDEX(ABR!L$8:L$73,MATCH($A15,ABR!$A$8:$A$73,0))&amp;"","")</f>
        <v/>
      </c>
      <c r="AR15" s="116">
        <f>IFERROR(INDEX(ABR!M$8:M$73,MATCH($A15,ABR!$A$8:$A$73,0))&amp;"","")</f>
        <v/>
      </c>
      <c r="AS15" s="100" t="n"/>
      <c r="AT15" s="117">
        <f>SUMPRODUCT(($C15:$I15="M")*6+($C15:$I15="T")*6+($C15:$I15="D")*12+($C15:$I15="N")*12+($C15:$I15="NT")*6+($C15:$I15="C")*10+($C15:$I15="A")*8+($C15:$I15="J")*5+($C15:$I15="CEP")*4+($C15:$I15="CP")*6+($C15:$I15="CRO")*6+($C15:$I15="M+")*6+($C15:$I15="T+")*6+($C15:$I15="D+")*12+($C15:$I15="N+")*12+($C15:$I15="Dm+")*12+($C15:$I15="Dt+")*12+($C15:$I15="Tm-")*6+($C15:$I15="Mt-")*6)</f>
        <v/>
      </c>
      <c r="AU15" s="118">
        <f>AT15-MAX(0,IFERROR(INDEX(CADASTRO!$I$4:$I$80,MATCH($A15,CADASTRO!$A$4:$A$80,0)),$B15)-CONFIG!$B$50*(COUNTIF($C15:$I15,"AB")+COUNTIF($C15:$I15,"FE")+COUNTIF($C15:$I15,"LM")))</f>
        <v/>
      </c>
      <c r="AV15" s="117">
        <f>SUMPRODUCT(($J15:$P15="M")*6+($J15:$P15="T")*6+($J15:$P15="D")*12+($J15:$P15="N")*12+($J15:$P15="NT")*6+($J15:$P15="C")*10+($J15:$P15="A")*8+($J15:$P15="J")*5+($J15:$P15="CEP")*4+($J15:$P15="CP")*6+($J15:$P15="CRO")*6+($J15:$P15="M+")*6+($J15:$P15="T+")*6+($J15:$P15="D+")*12+($J15:$P15="N+")*12+($J15:$P15="Dm+")*12+($J15:$P15="Dt+")*12+($J15:$P15="Tm-")*6+($J15:$P15="Mt-")*6)</f>
        <v/>
      </c>
      <c r="AW15" s="118">
        <f>AV15-MAX(0,IFERROR(INDEX(CADASTRO!$I$4:$I$80,MATCH($A15,CADASTRO!$A$4:$A$80,0)),$B15)-CONFIG!$B$50*(COUNTIF($J15:$P15,"AB")+COUNTIF($J15:$P15,"FE")+COUNTIF($J15:$P15,"LM")))</f>
        <v/>
      </c>
      <c r="AX15" s="117">
        <f>SUMPRODUCT(($Q15:$W15="M")*6+($Q15:$W15="T")*6+($Q15:$W15="D")*12+($Q15:$W15="N")*12+($Q15:$W15="NT")*6+($Q15:$W15="C")*10+($Q15:$W15="A")*8+($Q15:$W15="J")*5+($Q15:$W15="CEP")*4+($Q15:$W15="CP")*6+($Q15:$W15="CRO")*6+($Q15:$W15="M+")*6+($Q15:$W15="T+")*6+($Q15:$W15="D+")*12+($Q15:$W15="N+")*12+($Q15:$W15="Dm+")*12+($Q15:$W15="Dt+")*12+($Q15:$W15="Tm-")*6+($Q15:$W15="Mt-")*6)</f>
        <v/>
      </c>
      <c r="AY15" s="118">
        <f>AX15-MAX(0,IFERROR(INDEX(CADASTRO!$I$4:$I$80,MATCH($A15,CADASTRO!$A$4:$A$80,0)),$B15)-CONFIG!$B$50*(COUNTIF($Q15:$W15,"AB")+COUNTIF($Q15:$W15,"FE")+COUNTIF($Q15:$W15,"LM")))</f>
        <v/>
      </c>
      <c r="AZ15" s="117">
        <f>SUMPRODUCT(($X15:$AD15="M")*6+($X15:$AD15="T")*6+($X15:$AD15="D")*12+($X15:$AD15="N")*12+($X15:$AD15="NT")*6+($X15:$AD15="C")*10+($X15:$AD15="A")*8+($X15:$AD15="J")*5+($X15:$AD15="CEP")*4+($X15:$AD15="CP")*6+($X15:$AD15="CRO")*6+($X15:$AD15="M+")*6+($X15:$AD15="T+")*6+($X15:$AD15="D+")*12+($X15:$AD15="N+")*12+($X15:$AD15="Dm+")*12+($X15:$AD15="Dt+")*12+($X15:$AD15="Tm-")*6+($X15:$AD15="Mt-")*6)</f>
        <v/>
      </c>
      <c r="BA15" s="118">
        <f>AZ15-MAX(0,IFERROR(INDEX(CADASTRO!$I$4:$I$80,MATCH($A15,CADASTRO!$A$4:$A$80,0)),$B15)-CONFIG!$B$50*(COUNTIF($X15:$AD15,"AB")+COUNTIF($X15:$AD15,"FE")+COUNTIF($X15:$AD15,"LM")))</f>
        <v/>
      </c>
      <c r="BB15" s="117">
        <f>SUMPRODUCT(($AE15:$AK15="M")*6+($AE15:$AK15="T")*6+($AE15:$AK15="D")*12+($AE15:$AK15="N")*12+($AE15:$AK15="NT")*6+($AE15:$AK15="C")*10+($AE15:$AK15="A")*8+($AE15:$AK15="J")*5+($AE15:$AK15="CEP")*4+($AE15:$AK15="CP")*6+($AE15:$AK15="CRO")*6+($AE15:$AK15="M+")*6+($AE15:$AK15="T+")*6+($AE15:$AK15="D+")*12+($AE15:$AK15="N+")*12+($AE15:$AK15="Dm+")*12+($AE15:$AK15="Dt+")*12+($AE15:$AK15="Tm-")*6+($AE15:$AK15="Mt-")*6)</f>
        <v/>
      </c>
      <c r="BC15" s="118">
        <f>BB15-MAX(0,IFERROR(INDEX(CADASTRO!$I$4:$I$80,MATCH($A15,CADASTRO!$A$4:$A$80,0)),$B15)-CONFIG!$B$50*(COUNTIF($AE15:$AK15,"AB")+COUNTIF($AE15:$AK15,"FE")+COUNTIF($AE15:$AK15,"LM")))</f>
        <v/>
      </c>
      <c r="BD15" s="117">
        <f>SUMPRODUCT(($AL15:$AM15="M")*6+($AL15:$AM15="T")*6+($AL15:$AM15="D")*12+($AL15:$AM15="N")*12+($AL15:$AM15="NT")*6+($AL15:$AM15="C")*10+($AL15:$AM15="A")*8+($AL15:$AM15="J")*5+($AL15:$AM15="CEP")*4+($AL15:$AM15="CP")*6+($AL15:$AM15="CRO")*6+($AL15:$AM15="M+")*6+($AL15:$AM15="T+")*6+($AL15:$AM15="D+")*12+($AL15:$AM15="N+")*12+($AL15:$AM15="Dm+")*12+($AL15:$AM15="Dt+")*12+($AL15:$AM15="Tm-")*6+($AL15:$AM15="Mt-")*6)+SUMPRODUCT(($AN15:$AR15="M")*6+($AN15:$AR15="T")*6+($AN15:$AR15="D")*12+($AN15:$AR15="N")*12+($AN15:$AR15="NT")*6+($AN15:$AR15="C")*10+($AN15:$AR15="A")*8+($AN15:$AR15="J")*5+($AN15:$AR15="CEP")*4+($AN15:$AR15="CP")*6+($AN15:$AR15="CRO")*6+($AN15:$AR15="M+")*6+($AN15:$AR15="T+")*6+($AN15:$AR15="D+")*12+($AN15:$AR15="N+")*12+($AN15:$AR15="Dm+")*12+($AN15:$AR15="Dt+")*12+($AN15:$AR15="Tm-")*6+($AN15:$AR15="Mt-")*6)</f>
        <v/>
      </c>
      <c r="BE15" s="118">
        <f>BD15-MAX(0,IFERROR(INDEX(CADASTRO!$I$4:$I$80,MATCH($A15,CADASTRO!$A$4:$A$80,0)),$B15)-CONFIG!$B$50*(COUNTIF($AL15:$AM15,"AB")+COUNTIF($AL15:$AM15,"FE")+COUNTIF($AL15:$AM15,"LM")+COUNTIF($AN15:$AR15,"AB")+COUNTIF($AN15:$AR15,"FE")+COUNTIF($AN15:$AR15,"LM")))</f>
        <v/>
      </c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36">
        <f>IFERROR(INDEX(FEV!AE$8:AE$73,MATCH($A16,FEV!$A$8:$A$73,0))&amp;"","")</f>
        <v/>
      </c>
      <c r="D16" s="136">
        <f>IFERROR(INDEX(FEV!AF$8:AF$73,MATCH($A16,FEV!$A$8:$A$73,0))&amp;"","")</f>
        <v/>
      </c>
      <c r="E16" s="136">
        <f>IFERROR(INDEX(FEV!AG$8:AG$73,MATCH($A16,FEV!$A$8:$A$73,0))&amp;"","")</f>
        <v/>
      </c>
      <c r="F16" s="136">
        <f>IFERROR(INDEX(FEV!AH$8:AH$73,MATCH($A16,FEV!$A$8:$A$73,0))&amp;"","")</f>
        <v/>
      </c>
      <c r="G16" s="136">
        <f>IFERROR(INDEX(FEV!AI$8:AI$73,MATCH($A16,FEV!$A$8:$A$73,0))&amp;"","")</f>
        <v/>
      </c>
      <c r="H16" s="116">
        <f>IFERROR(INDEX(FEV!AJ$8:AJ$73,MATCH($A16,FEV!$A$8:$A$73,0))&amp;"","")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4" t="n"/>
      <c r="AI16" s="114" t="n"/>
      <c r="AJ16" s="114" t="n"/>
      <c r="AK16" s="114" t="n"/>
      <c r="AL16" s="114" t="n"/>
      <c r="AM16" s="114" t="n"/>
      <c r="AN16" s="136">
        <f>IFERROR(INDEX(ABR!I$8:I$73,MATCH($A16,ABR!$A$8:$A$73,0))&amp;"","")</f>
        <v/>
      </c>
      <c r="AO16" s="136">
        <f>IFERROR(INDEX(ABR!J$8:J$73,MATCH($A16,ABR!$A$8:$A$73,0))&amp;"","")</f>
        <v/>
      </c>
      <c r="AP16" s="136">
        <f>IFERROR(INDEX(ABR!K$8:K$73,MATCH($A16,ABR!$A$8:$A$73,0))&amp;"","")</f>
        <v/>
      </c>
      <c r="AQ16" s="116">
        <f>IFERROR(INDEX(ABR!L$8:L$73,MATCH($A16,ABR!$A$8:$A$73,0))&amp;"","")</f>
        <v/>
      </c>
      <c r="AR16" s="116">
        <f>IFERROR(INDEX(ABR!M$8:M$73,MATCH($A16,ABR!$A$8:$A$73,0))&amp;"","")</f>
        <v/>
      </c>
      <c r="AS16" s="100" t="n"/>
      <c r="AT16" s="117">
        <f>SUMPRODUCT(($C16:$I16="M")*6+($C16:$I16="T")*6+($C16:$I16="D")*12+($C16:$I16="N")*12+($C16:$I16="NT")*6+($C16:$I16="C")*10+($C16:$I16="A")*8+($C16:$I16="J")*5+($C16:$I16="CEP")*4+($C16:$I16="CP")*6+($C16:$I16="CRO")*6+($C16:$I16="M+")*6+($C16:$I16="T+")*6+($C16:$I16="D+")*12+($C16:$I16="N+")*12+($C16:$I16="Dm+")*12+($C16:$I16="Dt+")*12+($C16:$I16="Tm-")*6+($C16:$I16="Mt-")*6)</f>
        <v/>
      </c>
      <c r="AU16" s="118">
        <f>AT16-MAX(0,IFERROR(INDEX(CADASTRO!$I$4:$I$80,MATCH($A16,CADASTRO!$A$4:$A$80,0)),$B16)-CONFIG!$B$50*(COUNTIF($C16:$I16,"AB")+COUNTIF($C16:$I16,"FE")+COUNTIF($C16:$I16,"LM")))</f>
        <v/>
      </c>
      <c r="AV16" s="117">
        <f>SUMPRODUCT(($J16:$P16="M")*6+($J16:$P16="T")*6+($J16:$P16="D")*12+($J16:$P16="N")*12+($J16:$P16="NT")*6+($J16:$P16="C")*10+($J16:$P16="A")*8+($J16:$P16="J")*5+($J16:$P16="CEP")*4+($J16:$P16="CP")*6+($J16:$P16="CRO")*6+($J16:$P16="M+")*6+($J16:$P16="T+")*6+($J16:$P16="D+")*12+($J16:$P16="N+")*12+($J16:$P16="Dm+")*12+($J16:$P16="Dt+")*12+($J16:$P16="Tm-")*6+($J16:$P16="Mt-")*6)</f>
        <v/>
      </c>
      <c r="AW16" s="118">
        <f>AV16-MAX(0,IFERROR(INDEX(CADASTRO!$I$4:$I$80,MATCH($A16,CADASTRO!$A$4:$A$80,0)),$B16)-CONFIG!$B$50*(COUNTIF($J16:$P16,"AB")+COUNTIF($J16:$P16,"FE")+COUNTIF($J16:$P16,"LM")))</f>
        <v/>
      </c>
      <c r="AX16" s="117">
        <f>SUMPRODUCT(($Q16:$W16="M")*6+($Q16:$W16="T")*6+($Q16:$W16="D")*12+($Q16:$W16="N")*12+($Q16:$W16="NT")*6+($Q16:$W16="C")*10+($Q16:$W16="A")*8+($Q16:$W16="J")*5+($Q16:$W16="CEP")*4+($Q16:$W16="CP")*6+($Q16:$W16="CRO")*6+($Q16:$W16="M+")*6+($Q16:$W16="T+")*6+($Q16:$W16="D+")*12+($Q16:$W16="N+")*12+($Q16:$W16="Dm+")*12+($Q16:$W16="Dt+")*12+($Q16:$W16="Tm-")*6+($Q16:$W16="Mt-")*6)</f>
        <v/>
      </c>
      <c r="AY16" s="118">
        <f>AX16-MAX(0,IFERROR(INDEX(CADASTRO!$I$4:$I$80,MATCH($A16,CADASTRO!$A$4:$A$80,0)),$B16)-CONFIG!$B$50*(COUNTIF($Q16:$W16,"AB")+COUNTIF($Q16:$W16,"FE")+COUNTIF($Q16:$W16,"LM")))</f>
        <v/>
      </c>
      <c r="AZ16" s="117">
        <f>SUMPRODUCT(($X16:$AD16="M")*6+($X16:$AD16="T")*6+($X16:$AD16="D")*12+($X16:$AD16="N")*12+($X16:$AD16="NT")*6+($X16:$AD16="C")*10+($X16:$AD16="A")*8+($X16:$AD16="J")*5+($X16:$AD16="CEP")*4+($X16:$AD16="CP")*6+($X16:$AD16="CRO")*6+($X16:$AD16="M+")*6+($X16:$AD16="T+")*6+($X16:$AD16="D+")*12+($X16:$AD16="N+")*12+($X16:$AD16="Dm+")*12+($X16:$AD16="Dt+")*12+($X16:$AD16="Tm-")*6+($X16:$AD16="Mt-")*6)</f>
        <v/>
      </c>
      <c r="BA16" s="118">
        <f>AZ16-MAX(0,IFERROR(INDEX(CADASTRO!$I$4:$I$80,MATCH($A16,CADASTRO!$A$4:$A$80,0)),$B16)-CONFIG!$B$50*(COUNTIF($X16:$AD16,"AB")+COUNTIF($X16:$AD16,"FE")+COUNTIF($X16:$AD16,"LM")))</f>
        <v/>
      </c>
      <c r="BB16" s="117">
        <f>SUMPRODUCT(($AE16:$AK16="M")*6+($AE16:$AK16="T")*6+($AE16:$AK16="D")*12+($AE16:$AK16="N")*12+($AE16:$AK16="NT")*6+($AE16:$AK16="C")*10+($AE16:$AK16="A")*8+($AE16:$AK16="J")*5+($AE16:$AK16="CEP")*4+($AE16:$AK16="CP")*6+($AE16:$AK16="CRO")*6+($AE16:$AK16="M+")*6+($AE16:$AK16="T+")*6+($AE16:$AK16="D+")*12+($AE16:$AK16="N+")*12+($AE16:$AK16="Dm+")*12+($AE16:$AK16="Dt+")*12+($AE16:$AK16="Tm-")*6+($AE16:$AK16="Mt-")*6)</f>
        <v/>
      </c>
      <c r="BC16" s="118">
        <f>BB16-MAX(0,IFERROR(INDEX(CADASTRO!$I$4:$I$80,MATCH($A16,CADASTRO!$A$4:$A$80,0)),$B16)-CONFIG!$B$50*(COUNTIF($AE16:$AK16,"AB")+COUNTIF($AE16:$AK16,"FE")+COUNTIF($AE16:$AK16,"LM")))</f>
        <v/>
      </c>
      <c r="BD16" s="117">
        <f>SUMPRODUCT(($AL16:$AM16="M")*6+($AL16:$AM16="T")*6+($AL16:$AM16="D")*12+($AL16:$AM16="N")*12+($AL16:$AM16="NT")*6+($AL16:$AM16="C")*10+($AL16:$AM16="A")*8+($AL16:$AM16="J")*5+($AL16:$AM16="CEP")*4+($AL16:$AM16="CP")*6+($AL16:$AM16="CRO")*6+($AL16:$AM16="M+")*6+($AL16:$AM16="T+")*6+($AL16:$AM16="D+")*12+($AL16:$AM16="N+")*12+($AL16:$AM16="Dm+")*12+($AL16:$AM16="Dt+")*12+($AL16:$AM16="Tm-")*6+($AL16:$AM16="Mt-")*6)+SUMPRODUCT(($AN16:$AR16="M")*6+($AN16:$AR16="T")*6+($AN16:$AR16="D")*12+($AN16:$AR16="N")*12+($AN16:$AR16="NT")*6+($AN16:$AR16="C")*10+($AN16:$AR16="A")*8+($AN16:$AR16="J")*5+($AN16:$AR16="CEP")*4+($AN16:$AR16="CP")*6+($AN16:$AR16="CRO")*6+($AN16:$AR16="M+")*6+($AN16:$AR16="T+")*6+($AN16:$AR16="D+")*12+($AN16:$AR16="N+")*12+($AN16:$AR16="Dm+")*12+($AN16:$AR16="Dt+")*12+($AN16:$AR16="Tm-")*6+($AN16:$AR16="Mt-")*6)</f>
        <v/>
      </c>
      <c r="BE16" s="118">
        <f>BD16-MAX(0,IFERROR(INDEX(CADASTRO!$I$4:$I$80,MATCH($A16,CADASTRO!$A$4:$A$80,0)),$B16)-CONFIG!$B$50*(COUNTIF($AL16:$AM16,"AB")+COUNTIF($AL16:$AM16,"FE")+COUNTIF($AL16:$AM16,"LM")+COUNTIF($AN16:$AR16,"AB")+COUNTIF($AN16:$AR16,"FE")+COUNTIF($AN16:$AR16,"LM")))</f>
        <v/>
      </c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36">
        <f>IFERROR(INDEX(FEV!AE$8:AE$73,MATCH($A17,FEV!$A$8:$A$73,0))&amp;"","")</f>
        <v/>
      </c>
      <c r="D17" s="136">
        <f>IFERROR(INDEX(FEV!AF$8:AF$73,MATCH($A17,FEV!$A$8:$A$73,0))&amp;"","")</f>
        <v/>
      </c>
      <c r="E17" s="136">
        <f>IFERROR(INDEX(FEV!AG$8:AG$73,MATCH($A17,FEV!$A$8:$A$73,0))&amp;"","")</f>
        <v/>
      </c>
      <c r="F17" s="136">
        <f>IFERROR(INDEX(FEV!AH$8:AH$73,MATCH($A17,FEV!$A$8:$A$73,0))&amp;"","")</f>
        <v/>
      </c>
      <c r="G17" s="136">
        <f>IFERROR(INDEX(FEV!AI$8:AI$73,MATCH($A17,FEV!$A$8:$A$73,0))&amp;"","")</f>
        <v/>
      </c>
      <c r="H17" s="116">
        <f>IFERROR(INDEX(FEV!AJ$8:AJ$73,MATCH($A17,FEV!$A$8:$A$73,0))&amp;"","")</f>
        <v/>
      </c>
      <c r="I17" s="114" t="n"/>
      <c r="J17" s="125" t="inlineStr">
        <is>
          <t>N</t>
        </is>
      </c>
      <c r="K17" s="129" t="inlineStr">
        <is>
          <t>CEP</t>
        </is>
      </c>
      <c r="L17" s="114" t="n"/>
      <c r="M17" s="114" t="n"/>
      <c r="N17" s="126" t="inlineStr">
        <is>
          <t>T</t>
        </is>
      </c>
      <c r="O17" s="126" t="inlineStr">
        <is>
          <t>T</t>
        </is>
      </c>
      <c r="P17" s="125" t="inlineStr">
        <is>
          <t>N</t>
        </is>
      </c>
      <c r="Q17" s="125" t="inlineStr">
        <is>
          <t>N</t>
        </is>
      </c>
      <c r="R17" s="115" t="inlineStr">
        <is>
          <t>M</t>
        </is>
      </c>
      <c r="S17" s="114" t="n"/>
      <c r="T17" s="129" t="inlineStr">
        <is>
          <t>CEP</t>
        </is>
      </c>
      <c r="U17" s="114" t="n"/>
      <c r="V17" s="126" t="inlineStr">
        <is>
          <t>T</t>
        </is>
      </c>
      <c r="W17" s="125" t="inlineStr">
        <is>
          <t>N</t>
        </is>
      </c>
      <c r="X17" s="129" t="inlineStr">
        <is>
          <t>CEP</t>
        </is>
      </c>
      <c r="Y17" s="125" t="inlineStr">
        <is>
          <t>N</t>
        </is>
      </c>
      <c r="Z17" s="115" t="inlineStr">
        <is>
          <t>M</t>
        </is>
      </c>
      <c r="AA17" s="126" t="inlineStr">
        <is>
          <t>T</t>
        </is>
      </c>
      <c r="AB17" s="126" t="inlineStr">
        <is>
          <t>T</t>
        </is>
      </c>
      <c r="AC17" s="114" t="n"/>
      <c r="AD17" s="114" t="n"/>
      <c r="AE17" s="129" t="inlineStr">
        <is>
          <t>CEP</t>
        </is>
      </c>
      <c r="AF17" s="125" t="inlineStr">
        <is>
          <t>N</t>
        </is>
      </c>
      <c r="AG17" s="115" t="inlineStr">
        <is>
          <t>M</t>
        </is>
      </c>
      <c r="AH17" s="115" t="inlineStr">
        <is>
          <t>M</t>
        </is>
      </c>
      <c r="AI17" s="126" t="inlineStr">
        <is>
          <t>T</t>
        </is>
      </c>
      <c r="AJ17" s="114" t="n"/>
      <c r="AK17" s="114" t="n"/>
      <c r="AL17" s="125" t="inlineStr">
        <is>
          <t>N</t>
        </is>
      </c>
      <c r="AM17" s="114" t="n"/>
      <c r="AN17" s="136">
        <f>IFERROR(INDEX(ABR!I$8:I$73,MATCH($A17,ABR!$A$8:$A$73,0))&amp;"","")</f>
        <v/>
      </c>
      <c r="AO17" s="136">
        <f>IFERROR(INDEX(ABR!J$8:J$73,MATCH($A17,ABR!$A$8:$A$73,0))&amp;"","")</f>
        <v/>
      </c>
      <c r="AP17" s="136">
        <f>IFERROR(INDEX(ABR!K$8:K$73,MATCH($A17,ABR!$A$8:$A$73,0))&amp;"","")</f>
        <v/>
      </c>
      <c r="AQ17" s="116">
        <f>IFERROR(INDEX(ABR!L$8:L$73,MATCH($A17,ABR!$A$8:$A$73,0))&amp;"","")</f>
        <v/>
      </c>
      <c r="AR17" s="116">
        <f>IFERROR(INDEX(ABR!M$8:M$73,MATCH($A17,ABR!$A$8:$A$73,0))&amp;"","")</f>
        <v/>
      </c>
      <c r="AS17" s="100" t="n"/>
      <c r="AT17" s="117">
        <f>SUMPRODUCT(($C17:$I17="M")*6+($C17:$I17="T")*6+($C17:$I17="D")*12+($C17:$I17="N")*12+($C17:$I17="NT")*6+($C17:$I17="C")*10+($C17:$I17="A")*8+($C17:$I17="J")*5+($C17:$I17="CEP")*4+($C17:$I17="CP")*6+($C17:$I17="CRO")*6+($C17:$I17="M+")*6+($C17:$I17="T+")*6+($C17:$I17="D+")*12+($C17:$I17="N+")*12+($C17:$I17="Dm+")*12+($C17:$I17="Dt+")*12+($C17:$I17="Tm-")*6+($C17:$I17="Mt-")*6)</f>
        <v/>
      </c>
      <c r="AU17" s="118">
        <f>AT17-MAX(0,IFERROR(INDEX(CADASTRO!$I$4:$I$80,MATCH($A17,CADASTRO!$A$4:$A$80,0)),$B17)-CONFIG!$B$50*(COUNTIF($C17:$I17,"AB")+COUNTIF($C17:$I17,"FE")+COUNTIF($C17:$I17,"LM")))</f>
        <v/>
      </c>
      <c r="AV17" s="117">
        <f>SUMPRODUCT(($J17:$P17="M")*6+($J17:$P17="T")*6+($J17:$P17="D")*12+($J17:$P17="N")*12+($J17:$P17="NT")*6+($J17:$P17="C")*10+($J17:$P17="A")*8+($J17:$P17="J")*5+($J17:$P17="CEP")*4+($J17:$P17="CP")*6+($J17:$P17="CRO")*6+($J17:$P17="M+")*6+($J17:$P17="T+")*6+($J17:$P17="D+")*12+($J17:$P17="N+")*12+($J17:$P17="Dm+")*12+($J17:$P17="Dt+")*12+($J17:$P17="Tm-")*6+($J17:$P17="Mt-")*6)</f>
        <v/>
      </c>
      <c r="AW17" s="118">
        <f>AV17-MAX(0,IFERROR(INDEX(CADASTRO!$I$4:$I$80,MATCH($A17,CADASTRO!$A$4:$A$80,0)),$B17)-CONFIG!$B$50*(COUNTIF($J17:$P17,"AB")+COUNTIF($J17:$P17,"FE")+COUNTIF($J17:$P17,"LM")))</f>
        <v/>
      </c>
      <c r="AX17" s="117">
        <f>SUMPRODUCT(($Q17:$W17="M")*6+($Q17:$W17="T")*6+($Q17:$W17="D")*12+($Q17:$W17="N")*12+($Q17:$W17="NT")*6+($Q17:$W17="C")*10+($Q17:$W17="A")*8+($Q17:$W17="J")*5+($Q17:$W17="CEP")*4+($Q17:$W17="CP")*6+($Q17:$W17="CRO")*6+($Q17:$W17="M+")*6+($Q17:$W17="T+")*6+($Q17:$W17="D+")*12+($Q17:$W17="N+")*12+($Q17:$W17="Dm+")*12+($Q17:$W17="Dt+")*12+($Q17:$W17="Tm-")*6+($Q17:$W17="Mt-")*6)</f>
        <v/>
      </c>
      <c r="AY17" s="118">
        <f>AX17-MAX(0,IFERROR(INDEX(CADASTRO!$I$4:$I$80,MATCH($A17,CADASTRO!$A$4:$A$80,0)),$B17)-CONFIG!$B$50*(COUNTIF($Q17:$W17,"AB")+COUNTIF($Q17:$W17,"FE")+COUNTIF($Q17:$W17,"LM")))</f>
        <v/>
      </c>
      <c r="AZ17" s="117">
        <f>SUMPRODUCT(($X17:$AD17="M")*6+($X17:$AD17="T")*6+($X17:$AD17="D")*12+($X17:$AD17="N")*12+($X17:$AD17="NT")*6+($X17:$AD17="C")*10+($X17:$AD17="A")*8+($X17:$AD17="J")*5+($X17:$AD17="CEP")*4+($X17:$AD17="CP")*6+($X17:$AD17="CRO")*6+($X17:$AD17="M+")*6+($X17:$AD17="T+")*6+($X17:$AD17="D+")*12+($X17:$AD17="N+")*12+($X17:$AD17="Dm+")*12+($X17:$AD17="Dt+")*12+($X17:$AD17="Tm-")*6+($X17:$AD17="Mt-")*6)</f>
        <v/>
      </c>
      <c r="BA17" s="118">
        <f>AZ17-MAX(0,IFERROR(INDEX(CADASTRO!$I$4:$I$80,MATCH($A17,CADASTRO!$A$4:$A$80,0)),$B17)-CONFIG!$B$50*(COUNTIF($X17:$AD17,"AB")+COUNTIF($X17:$AD17,"FE")+COUNTIF($X17:$AD17,"LM")))</f>
        <v/>
      </c>
      <c r="BB17" s="117">
        <f>SUMPRODUCT(($AE17:$AK17="M")*6+($AE17:$AK17="T")*6+($AE17:$AK17="D")*12+($AE17:$AK17="N")*12+($AE17:$AK17="NT")*6+($AE17:$AK17="C")*10+($AE17:$AK17="A")*8+($AE17:$AK17="J")*5+($AE17:$AK17="CEP")*4+($AE17:$AK17="CP")*6+($AE17:$AK17="CRO")*6+($AE17:$AK17="M+")*6+($AE17:$AK17="T+")*6+($AE17:$AK17="D+")*12+($AE17:$AK17="N+")*12+($AE17:$AK17="Dm+")*12+($AE17:$AK17="Dt+")*12+($AE17:$AK17="Tm-")*6+($AE17:$AK17="Mt-")*6)</f>
        <v/>
      </c>
      <c r="BC17" s="118">
        <f>BB17-MAX(0,IFERROR(INDEX(CADASTRO!$I$4:$I$80,MATCH($A17,CADASTRO!$A$4:$A$80,0)),$B17)-CONFIG!$B$50*(COUNTIF($AE17:$AK17,"AB")+COUNTIF($AE17:$AK17,"FE")+COUNTIF($AE17:$AK17,"LM")))</f>
        <v/>
      </c>
      <c r="BD17" s="117">
        <f>SUMPRODUCT(($AL17:$AM17="M")*6+($AL17:$AM17="T")*6+($AL17:$AM17="D")*12+($AL17:$AM17="N")*12+($AL17:$AM17="NT")*6+($AL17:$AM17="C")*10+($AL17:$AM17="A")*8+($AL17:$AM17="J")*5+($AL17:$AM17="CEP")*4+($AL17:$AM17="CP")*6+($AL17:$AM17="CRO")*6+($AL17:$AM17="M+")*6+($AL17:$AM17="T+")*6+($AL17:$AM17="D+")*12+($AL17:$AM17="N+")*12+($AL17:$AM17="Dm+")*12+($AL17:$AM17="Dt+")*12+($AL17:$AM17="Tm-")*6+($AL17:$AM17="Mt-")*6)+SUMPRODUCT(($AN17:$AR17="M")*6+($AN17:$AR17="T")*6+($AN17:$AR17="D")*12+($AN17:$AR17="N")*12+($AN17:$AR17="NT")*6+($AN17:$AR17="C")*10+($AN17:$AR17="A")*8+($AN17:$AR17="J")*5+($AN17:$AR17="CEP")*4+($AN17:$AR17="CP")*6+($AN17:$AR17="CRO")*6+($AN17:$AR17="M+")*6+($AN17:$AR17="T+")*6+($AN17:$AR17="D+")*12+($AN17:$AR17="N+")*12+($AN17:$AR17="Dm+")*12+($AN17:$AR17="Dt+")*12+($AN17:$AR17="Tm-")*6+($AN17:$AR17="Mt-")*6)</f>
        <v/>
      </c>
      <c r="BE17" s="118">
        <f>BD17-MAX(0,IFERROR(INDEX(CADASTRO!$I$4:$I$80,MATCH($A17,CADASTRO!$A$4:$A$80,0)),$B17)-CONFIG!$B$50*(COUNTIF($AL17:$AM17,"AB")+COUNTIF($AL17:$AM17,"FE")+COUNTIF($AL17:$AM17,"LM")+COUNTIF($AN17:$AR17,"AB")+COUNTIF($AN17:$AR17,"FE")+COUNTIF($AN17:$AR17,"LM")))</f>
        <v/>
      </c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36">
        <f>IFERROR(INDEX(FEV!AE$8:AE$73,MATCH($A18,FEV!$A$8:$A$73,0))&amp;"","")</f>
        <v/>
      </c>
      <c r="D18" s="136">
        <f>IFERROR(INDEX(FEV!AF$8:AF$73,MATCH($A18,FEV!$A$8:$A$73,0))&amp;"","")</f>
        <v/>
      </c>
      <c r="E18" s="136">
        <f>IFERROR(INDEX(FEV!AG$8:AG$73,MATCH($A18,FEV!$A$8:$A$73,0))&amp;"","")</f>
        <v/>
      </c>
      <c r="F18" s="136">
        <f>IFERROR(INDEX(FEV!AH$8:AH$73,MATCH($A18,FEV!$A$8:$A$73,0))&amp;"","")</f>
        <v/>
      </c>
      <c r="G18" s="136">
        <f>IFERROR(INDEX(FEV!AI$8:AI$73,MATCH($A18,FEV!$A$8:$A$73,0))&amp;"","")</f>
        <v/>
      </c>
      <c r="H18" s="116">
        <f>IFERROR(INDEX(FEV!AJ$8:AJ$73,MATCH($A18,FEV!$A$8:$A$73,0))&amp;"","")</f>
        <v/>
      </c>
      <c r="I18" s="124" t="inlineStr">
        <is>
          <t>D</t>
        </is>
      </c>
      <c r="J18" s="124" t="inlineStr">
        <is>
          <t>D</t>
        </is>
      </c>
      <c r="K18" s="126" t="inlineStr">
        <is>
          <t>T</t>
        </is>
      </c>
      <c r="L18" s="124" t="inlineStr">
        <is>
          <t>D</t>
        </is>
      </c>
      <c r="M18" s="114" t="n"/>
      <c r="N18" s="126" t="inlineStr">
        <is>
          <t>T</t>
        </is>
      </c>
      <c r="O18" s="114" t="n"/>
      <c r="P18" s="114" t="n"/>
      <c r="Q18" s="114" t="n"/>
      <c r="R18" s="114" t="n"/>
      <c r="S18" s="114" t="n"/>
      <c r="T18" s="114" t="n"/>
      <c r="U18" s="127" t="inlineStr">
        <is>
          <t>Tm-</t>
        </is>
      </c>
      <c r="V18" s="124" t="inlineStr">
        <is>
          <t>D</t>
        </is>
      </c>
      <c r="W18" s="124" t="inlineStr">
        <is>
          <t>D</t>
        </is>
      </c>
      <c r="X18" s="123" t="inlineStr">
        <is>
          <t>T+</t>
        </is>
      </c>
      <c r="Y18" s="114" t="n"/>
      <c r="Z18" s="126" t="inlineStr">
        <is>
          <t>T</t>
        </is>
      </c>
      <c r="AA18" s="126" t="inlineStr">
        <is>
          <t>T</t>
        </is>
      </c>
      <c r="AB18" s="125" t="inlineStr">
        <is>
          <t>N</t>
        </is>
      </c>
      <c r="AC18" s="114" t="n"/>
      <c r="AD18" s="124" t="inlineStr">
        <is>
          <t>D</t>
        </is>
      </c>
      <c r="AE18" s="124" t="inlineStr">
        <is>
          <t>D</t>
        </is>
      </c>
      <c r="AF18" s="114" t="n"/>
      <c r="AG18" s="124" t="inlineStr">
        <is>
          <t>D</t>
        </is>
      </c>
      <c r="AH18" s="114" t="n"/>
      <c r="AI18" s="124" t="inlineStr">
        <is>
          <t>D</t>
        </is>
      </c>
      <c r="AJ18" s="114" t="n"/>
      <c r="AK18" s="114" t="n"/>
      <c r="AL18" s="124" t="inlineStr">
        <is>
          <t>D</t>
        </is>
      </c>
      <c r="AM18" s="126" t="inlineStr">
        <is>
          <t>T</t>
        </is>
      </c>
      <c r="AN18" s="136">
        <f>IFERROR(INDEX(ABR!I$8:I$73,MATCH($A18,ABR!$A$8:$A$73,0))&amp;"","")</f>
        <v/>
      </c>
      <c r="AO18" s="136">
        <f>IFERROR(INDEX(ABR!J$8:J$73,MATCH($A18,ABR!$A$8:$A$73,0))&amp;"","")</f>
        <v/>
      </c>
      <c r="AP18" s="136">
        <f>IFERROR(INDEX(ABR!K$8:K$73,MATCH($A18,ABR!$A$8:$A$73,0))&amp;"","")</f>
        <v/>
      </c>
      <c r="AQ18" s="116">
        <f>IFERROR(INDEX(ABR!L$8:L$73,MATCH($A18,ABR!$A$8:$A$73,0))&amp;"","")</f>
        <v/>
      </c>
      <c r="AR18" s="116">
        <f>IFERROR(INDEX(ABR!M$8:M$73,MATCH($A18,ABR!$A$8:$A$73,0))&amp;"","")</f>
        <v/>
      </c>
      <c r="AS18" s="100" t="n"/>
      <c r="AT18" s="117">
        <f>SUMPRODUCT(($C18:$I18="M")*6+($C18:$I18="T")*6+($C18:$I18="D")*12+($C18:$I18="N")*12+($C18:$I18="NT")*6+($C18:$I18="C")*10+($C18:$I18="A")*8+($C18:$I18="J")*5+($C18:$I18="CEP")*4+($C18:$I18="CP")*6+($C18:$I18="CRO")*6+($C18:$I18="M+")*6+($C18:$I18="T+")*6+($C18:$I18="D+")*12+($C18:$I18="N+")*12+($C18:$I18="Dm+")*12+($C18:$I18="Dt+")*12+($C18:$I18="Tm-")*6+($C18:$I18="Mt-")*6)</f>
        <v/>
      </c>
      <c r="AU18" s="118">
        <f>AT18-MAX(0,IFERROR(INDEX(CADASTRO!$I$4:$I$80,MATCH($A18,CADASTRO!$A$4:$A$80,0)),$B18)-CONFIG!$B$50*(COUNTIF($C18:$I18,"AB")+COUNTIF($C18:$I18,"FE")+COUNTIF($C18:$I18,"LM")))</f>
        <v/>
      </c>
      <c r="AV18" s="117">
        <f>SUMPRODUCT(($J18:$P18="M")*6+($J18:$P18="T")*6+($J18:$P18="D")*12+($J18:$P18="N")*12+($J18:$P18="NT")*6+($J18:$P18="C")*10+($J18:$P18="A")*8+($J18:$P18="J")*5+($J18:$P18="CEP")*4+($J18:$P18="CP")*6+($J18:$P18="CRO")*6+($J18:$P18="M+")*6+($J18:$P18="T+")*6+($J18:$P18="D+")*12+($J18:$P18="N+")*12+($J18:$P18="Dm+")*12+($J18:$P18="Dt+")*12+($J18:$P18="Tm-")*6+($J18:$P18="Mt-")*6)</f>
        <v/>
      </c>
      <c r="AW18" s="118">
        <f>AV18-MAX(0,IFERROR(INDEX(CADASTRO!$I$4:$I$80,MATCH($A18,CADASTRO!$A$4:$A$80,0)),$B18)-CONFIG!$B$50*(COUNTIF($J18:$P18,"AB")+COUNTIF($J18:$P18,"FE")+COUNTIF($J18:$P18,"LM")))</f>
        <v/>
      </c>
      <c r="AX18" s="117">
        <f>SUMPRODUCT(($Q18:$W18="M")*6+($Q18:$W18="T")*6+($Q18:$W18="D")*12+($Q18:$W18="N")*12+($Q18:$W18="NT")*6+($Q18:$W18="C")*10+($Q18:$W18="A")*8+($Q18:$W18="J")*5+($Q18:$W18="CEP")*4+($Q18:$W18="CP")*6+($Q18:$W18="CRO")*6+($Q18:$W18="M+")*6+($Q18:$W18="T+")*6+($Q18:$W18="D+")*12+($Q18:$W18="N+")*12+($Q18:$W18="Dm+")*12+($Q18:$W18="Dt+")*12+($Q18:$W18="Tm-")*6+($Q18:$W18="Mt-")*6)</f>
        <v/>
      </c>
      <c r="AY18" s="118">
        <f>AX18-MAX(0,IFERROR(INDEX(CADASTRO!$I$4:$I$80,MATCH($A18,CADASTRO!$A$4:$A$80,0)),$B18)-CONFIG!$B$50*(COUNTIF($Q18:$W18,"AB")+COUNTIF($Q18:$W18,"FE")+COUNTIF($Q18:$W18,"LM")))</f>
        <v/>
      </c>
      <c r="AZ18" s="117">
        <f>SUMPRODUCT(($X18:$AD18="M")*6+($X18:$AD18="T")*6+($X18:$AD18="D")*12+($X18:$AD18="N")*12+($X18:$AD18="NT")*6+($X18:$AD18="C")*10+($X18:$AD18="A")*8+($X18:$AD18="J")*5+($X18:$AD18="CEP")*4+($X18:$AD18="CP")*6+($X18:$AD18="CRO")*6+($X18:$AD18="M+")*6+($X18:$AD18="T+")*6+($X18:$AD18="D+")*12+($X18:$AD18="N+")*12+($X18:$AD18="Dm+")*12+($X18:$AD18="Dt+")*12+($X18:$AD18="Tm-")*6+($X18:$AD18="Mt-")*6)</f>
        <v/>
      </c>
      <c r="BA18" s="118">
        <f>AZ18-MAX(0,IFERROR(INDEX(CADASTRO!$I$4:$I$80,MATCH($A18,CADASTRO!$A$4:$A$80,0)),$B18)-CONFIG!$B$50*(COUNTIF($X18:$AD18,"AB")+COUNTIF($X18:$AD18,"FE")+COUNTIF($X18:$AD18,"LM")))</f>
        <v/>
      </c>
      <c r="BB18" s="117">
        <f>SUMPRODUCT(($AE18:$AK18="M")*6+($AE18:$AK18="T")*6+($AE18:$AK18="D")*12+($AE18:$AK18="N")*12+($AE18:$AK18="NT")*6+($AE18:$AK18="C")*10+($AE18:$AK18="A")*8+($AE18:$AK18="J")*5+($AE18:$AK18="CEP")*4+($AE18:$AK18="CP")*6+($AE18:$AK18="CRO")*6+($AE18:$AK18="M+")*6+($AE18:$AK18="T+")*6+($AE18:$AK18="D+")*12+($AE18:$AK18="N+")*12+($AE18:$AK18="Dm+")*12+($AE18:$AK18="Dt+")*12+($AE18:$AK18="Tm-")*6+($AE18:$AK18="Mt-")*6)</f>
        <v/>
      </c>
      <c r="BC18" s="118">
        <f>BB18-MAX(0,IFERROR(INDEX(CADASTRO!$I$4:$I$80,MATCH($A18,CADASTRO!$A$4:$A$80,0)),$B18)-CONFIG!$B$50*(COUNTIF($AE18:$AK18,"AB")+COUNTIF($AE18:$AK18,"FE")+COUNTIF($AE18:$AK18,"LM")))</f>
        <v/>
      </c>
      <c r="BD18" s="117">
        <f>SUMPRODUCT(($AL18:$AM18="M")*6+($AL18:$AM18="T")*6+($AL18:$AM18="D")*12+($AL18:$AM18="N")*12+($AL18:$AM18="NT")*6+($AL18:$AM18="C")*10+($AL18:$AM18="A")*8+($AL18:$AM18="J")*5+($AL18:$AM18="CEP")*4+($AL18:$AM18="CP")*6+($AL18:$AM18="CRO")*6+($AL18:$AM18="M+")*6+($AL18:$AM18="T+")*6+($AL18:$AM18="D+")*12+($AL18:$AM18="N+")*12+($AL18:$AM18="Dm+")*12+($AL18:$AM18="Dt+")*12+($AL18:$AM18="Tm-")*6+($AL18:$AM18="Mt-")*6)+SUMPRODUCT(($AN18:$AR18="M")*6+($AN18:$AR18="T")*6+($AN18:$AR18="D")*12+($AN18:$AR18="N")*12+($AN18:$AR18="NT")*6+($AN18:$AR18="C")*10+($AN18:$AR18="A")*8+($AN18:$AR18="J")*5+($AN18:$AR18="CEP")*4+($AN18:$AR18="CP")*6+($AN18:$AR18="CRO")*6+($AN18:$AR18="M+")*6+($AN18:$AR18="T+")*6+($AN18:$AR18="D+")*12+($AN18:$AR18="N+")*12+($AN18:$AR18="Dm+")*12+($AN18:$AR18="Dt+")*12+($AN18:$AR18="Tm-")*6+($AN18:$AR18="Mt-")*6)</f>
        <v/>
      </c>
      <c r="BE18" s="118">
        <f>BD18-MAX(0,IFERROR(INDEX(CADASTRO!$I$4:$I$80,MATCH($A18,CADASTRO!$A$4:$A$80,0)),$B18)-CONFIG!$B$50*(COUNTIF($AL18:$AM18,"AB")+COUNTIF($AL18:$AM18,"FE")+COUNTIF($AL18:$AM18,"LM")+COUNTIF($AN18:$AR18,"AB")+COUNTIF($AN18:$AR18,"FE")+COUNTIF($AN18:$AR18,"LM")))</f>
        <v/>
      </c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36">
        <f>IFERROR(INDEX(FEV!AE$8:AE$73,MATCH($A19,FEV!$A$8:$A$73,0))&amp;"","")</f>
        <v/>
      </c>
      <c r="D19" s="136">
        <f>IFERROR(INDEX(FEV!AF$8:AF$73,MATCH($A19,FEV!$A$8:$A$73,0))&amp;"","")</f>
        <v/>
      </c>
      <c r="E19" s="136">
        <f>IFERROR(INDEX(FEV!AG$8:AG$73,MATCH($A19,FEV!$A$8:$A$73,0))&amp;"","")</f>
        <v/>
      </c>
      <c r="F19" s="136">
        <f>IFERROR(INDEX(FEV!AH$8:AH$73,MATCH($A19,FEV!$A$8:$A$73,0))&amp;"","")</f>
        <v/>
      </c>
      <c r="G19" s="136">
        <f>IFERROR(INDEX(FEV!AI$8:AI$73,MATCH($A19,FEV!$A$8:$A$73,0))&amp;"","")</f>
        <v/>
      </c>
      <c r="H19" s="116">
        <f>IFERROR(INDEX(FEV!AJ$8:AJ$73,MATCH($A19,FEV!$A$8:$A$73,0))&amp;"","")</f>
        <v/>
      </c>
      <c r="I19" s="125" t="inlineStr">
        <is>
          <t>N</t>
        </is>
      </c>
      <c r="J19" s="114" t="n"/>
      <c r="K19" s="114" t="n"/>
      <c r="L19" s="125" t="inlineStr">
        <is>
          <t>N</t>
        </is>
      </c>
      <c r="M19" s="114" t="n"/>
      <c r="N19" s="125" t="inlineStr">
        <is>
          <t>N</t>
        </is>
      </c>
      <c r="O19" s="114" t="n"/>
      <c r="P19" s="125" t="inlineStr">
        <is>
          <t>N</t>
        </is>
      </c>
      <c r="Q19" s="125" t="inlineStr">
        <is>
          <t>N</t>
        </is>
      </c>
      <c r="R19" s="114" t="n"/>
      <c r="S19" s="125" t="inlineStr">
        <is>
          <t>N</t>
        </is>
      </c>
      <c r="T19" s="114" t="n"/>
      <c r="U19" s="125" t="inlineStr">
        <is>
          <t>N</t>
        </is>
      </c>
      <c r="V19" s="114" t="n"/>
      <c r="W19" s="114" t="n"/>
      <c r="X19" s="114" t="n"/>
      <c r="Y19" s="125" t="inlineStr">
        <is>
          <t>N</t>
        </is>
      </c>
      <c r="Z19" s="125" t="inlineStr">
        <is>
          <t>N</t>
        </is>
      </c>
      <c r="AA19" s="114" t="n"/>
      <c r="AB19" s="114" t="n"/>
      <c r="AC19" s="114" t="n"/>
      <c r="AD19" s="125" t="inlineStr">
        <is>
          <t>N</t>
        </is>
      </c>
      <c r="AE19" s="125" t="inlineStr">
        <is>
          <t>N</t>
        </is>
      </c>
      <c r="AF19" s="114" t="n"/>
      <c r="AG19" s="125" t="inlineStr">
        <is>
          <t>N</t>
        </is>
      </c>
      <c r="AH19" s="125" t="inlineStr">
        <is>
          <t>N</t>
        </is>
      </c>
      <c r="AI19" s="114" t="n"/>
      <c r="AJ19" s="114" t="n"/>
      <c r="AK19" s="114" t="n"/>
      <c r="AL19" s="114" t="n"/>
      <c r="AM19" s="114" t="n"/>
      <c r="AN19" s="136">
        <f>IFERROR(INDEX(ABR!I$8:I$73,MATCH($A19,ABR!$A$8:$A$73,0))&amp;"","")</f>
        <v/>
      </c>
      <c r="AO19" s="136">
        <f>IFERROR(INDEX(ABR!J$8:J$73,MATCH($A19,ABR!$A$8:$A$73,0))&amp;"","")</f>
        <v/>
      </c>
      <c r="AP19" s="136">
        <f>IFERROR(INDEX(ABR!K$8:K$73,MATCH($A19,ABR!$A$8:$A$73,0))&amp;"","")</f>
        <v/>
      </c>
      <c r="AQ19" s="116">
        <f>IFERROR(INDEX(ABR!L$8:L$73,MATCH($A19,ABR!$A$8:$A$73,0))&amp;"","")</f>
        <v/>
      </c>
      <c r="AR19" s="116">
        <f>IFERROR(INDEX(ABR!M$8:M$73,MATCH($A19,ABR!$A$8:$A$73,0))&amp;"","")</f>
        <v/>
      </c>
      <c r="AS19" s="100" t="n"/>
      <c r="AT19" s="117">
        <f>SUMPRODUCT(($C19:$I19="M")*6+($C19:$I19="T")*6+($C19:$I19="D")*12+($C19:$I19="N")*12+($C19:$I19="NT")*6+($C19:$I19="C")*10+($C19:$I19="A")*8+($C19:$I19="J")*5+($C19:$I19="CEP")*4+($C19:$I19="CP")*6+($C19:$I19="CRO")*6+($C19:$I19="M+")*6+($C19:$I19="T+")*6+($C19:$I19="D+")*12+($C19:$I19="N+")*12+($C19:$I19="Dm+")*12+($C19:$I19="Dt+")*12+($C19:$I19="Tm-")*6+($C19:$I19="Mt-")*6)</f>
        <v/>
      </c>
      <c r="AU19" s="118">
        <f>AT19-MAX(0,IFERROR(INDEX(CADASTRO!$I$4:$I$80,MATCH($A19,CADASTRO!$A$4:$A$80,0)),$B19)-CONFIG!$B$50*(COUNTIF($C19:$I19,"AB")+COUNTIF($C19:$I19,"FE")+COUNTIF($C19:$I19,"LM")))</f>
        <v/>
      </c>
      <c r="AV19" s="117">
        <f>SUMPRODUCT(($J19:$P19="M")*6+($J19:$P19="T")*6+($J19:$P19="D")*12+($J19:$P19="N")*12+($J19:$P19="NT")*6+($J19:$P19="C")*10+($J19:$P19="A")*8+($J19:$P19="J")*5+($J19:$P19="CEP")*4+($J19:$P19="CP")*6+($J19:$P19="CRO")*6+($J19:$P19="M+")*6+($J19:$P19="T+")*6+($J19:$P19="D+")*12+($J19:$P19="N+")*12+($J19:$P19="Dm+")*12+($J19:$P19="Dt+")*12+($J19:$P19="Tm-")*6+($J19:$P19="Mt-")*6)</f>
        <v/>
      </c>
      <c r="AW19" s="118">
        <f>AV19-MAX(0,IFERROR(INDEX(CADASTRO!$I$4:$I$80,MATCH($A19,CADASTRO!$A$4:$A$80,0)),$B19)-CONFIG!$B$50*(COUNTIF($J19:$P19,"AB")+COUNTIF($J19:$P19,"FE")+COUNTIF($J19:$P19,"LM")))</f>
        <v/>
      </c>
      <c r="AX19" s="117">
        <f>SUMPRODUCT(($Q19:$W19="M")*6+($Q19:$W19="T")*6+($Q19:$W19="D")*12+($Q19:$W19="N")*12+($Q19:$W19="NT")*6+($Q19:$W19="C")*10+($Q19:$W19="A")*8+($Q19:$W19="J")*5+($Q19:$W19="CEP")*4+($Q19:$W19="CP")*6+($Q19:$W19="CRO")*6+($Q19:$W19="M+")*6+($Q19:$W19="T+")*6+($Q19:$W19="D+")*12+($Q19:$W19="N+")*12+($Q19:$W19="Dm+")*12+($Q19:$W19="Dt+")*12+($Q19:$W19="Tm-")*6+($Q19:$W19="Mt-")*6)</f>
        <v/>
      </c>
      <c r="AY19" s="118">
        <f>AX19-MAX(0,IFERROR(INDEX(CADASTRO!$I$4:$I$80,MATCH($A19,CADASTRO!$A$4:$A$80,0)),$B19)-CONFIG!$B$50*(COUNTIF($Q19:$W19,"AB")+COUNTIF($Q19:$W19,"FE")+COUNTIF($Q19:$W19,"LM")))</f>
        <v/>
      </c>
      <c r="AZ19" s="117">
        <f>SUMPRODUCT(($X19:$AD19="M")*6+($X19:$AD19="T")*6+($X19:$AD19="D")*12+($X19:$AD19="N")*12+($X19:$AD19="NT")*6+($X19:$AD19="C")*10+($X19:$AD19="A")*8+($X19:$AD19="J")*5+($X19:$AD19="CEP")*4+($X19:$AD19="CP")*6+($X19:$AD19="CRO")*6+($X19:$AD19="M+")*6+($X19:$AD19="T+")*6+($X19:$AD19="D+")*12+($X19:$AD19="N+")*12+($X19:$AD19="Dm+")*12+($X19:$AD19="Dt+")*12+($X19:$AD19="Tm-")*6+($X19:$AD19="Mt-")*6)</f>
        <v/>
      </c>
      <c r="BA19" s="118">
        <f>AZ19-MAX(0,IFERROR(INDEX(CADASTRO!$I$4:$I$80,MATCH($A19,CADASTRO!$A$4:$A$80,0)),$B19)-CONFIG!$B$50*(COUNTIF($X19:$AD19,"AB")+COUNTIF($X19:$AD19,"FE")+COUNTIF($X19:$AD19,"LM")))</f>
        <v/>
      </c>
      <c r="BB19" s="117">
        <f>SUMPRODUCT(($AE19:$AK19="M")*6+($AE19:$AK19="T")*6+($AE19:$AK19="D")*12+($AE19:$AK19="N")*12+($AE19:$AK19="NT")*6+($AE19:$AK19="C")*10+($AE19:$AK19="A")*8+($AE19:$AK19="J")*5+($AE19:$AK19="CEP")*4+($AE19:$AK19="CP")*6+($AE19:$AK19="CRO")*6+($AE19:$AK19="M+")*6+($AE19:$AK19="T+")*6+($AE19:$AK19="D+")*12+($AE19:$AK19="N+")*12+($AE19:$AK19="Dm+")*12+($AE19:$AK19="Dt+")*12+($AE19:$AK19="Tm-")*6+($AE19:$AK19="Mt-")*6)</f>
        <v/>
      </c>
      <c r="BC19" s="118">
        <f>BB19-MAX(0,IFERROR(INDEX(CADASTRO!$I$4:$I$80,MATCH($A19,CADASTRO!$A$4:$A$80,0)),$B19)-CONFIG!$B$50*(COUNTIF($AE19:$AK19,"AB")+COUNTIF($AE19:$AK19,"FE")+COUNTIF($AE19:$AK19,"LM")))</f>
        <v/>
      </c>
      <c r="BD19" s="117">
        <f>SUMPRODUCT(($AL19:$AM19="M")*6+($AL19:$AM19="T")*6+($AL19:$AM19="D")*12+($AL19:$AM19="N")*12+($AL19:$AM19="NT")*6+($AL19:$AM19="C")*10+($AL19:$AM19="A")*8+($AL19:$AM19="J")*5+($AL19:$AM19="CEP")*4+($AL19:$AM19="CP")*6+($AL19:$AM19="CRO")*6+($AL19:$AM19="M+")*6+($AL19:$AM19="T+")*6+($AL19:$AM19="D+")*12+($AL19:$AM19="N+")*12+($AL19:$AM19="Dm+")*12+($AL19:$AM19="Dt+")*12+($AL19:$AM19="Tm-")*6+($AL19:$AM19="Mt-")*6)+SUMPRODUCT(($AN19:$AR19="M")*6+($AN19:$AR19="T")*6+($AN19:$AR19="D")*12+($AN19:$AR19="N")*12+($AN19:$AR19="NT")*6+($AN19:$AR19="C")*10+($AN19:$AR19="A")*8+($AN19:$AR19="J")*5+($AN19:$AR19="CEP")*4+($AN19:$AR19="CP")*6+($AN19:$AR19="CRO")*6+($AN19:$AR19="M+")*6+($AN19:$AR19="T+")*6+($AN19:$AR19="D+")*12+($AN19:$AR19="N+")*12+($AN19:$AR19="Dm+")*12+($AN19:$AR19="Dt+")*12+($AN19:$AR19="Tm-")*6+($AN19:$AR19="Mt-")*6)</f>
        <v/>
      </c>
      <c r="BE19" s="118">
        <f>BD19-MAX(0,IFERROR(INDEX(CADASTRO!$I$4:$I$80,MATCH($A19,CADASTRO!$A$4:$A$80,0)),$B19)-CONFIG!$B$50*(COUNTIF($AL19:$AM19,"AB")+COUNTIF($AL19:$AM19,"FE")+COUNTIF($AL19:$AM19,"LM")+COUNTIF($AN19:$AR19,"AB")+COUNTIF($AN19:$AR19,"FE")+COUNTIF($AN19:$AR19,"LM")))</f>
        <v/>
      </c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36">
        <f>IFERROR(INDEX(FEV!AE$8:AE$73,MATCH($A20,FEV!$A$8:$A$73,0))&amp;"","")</f>
        <v/>
      </c>
      <c r="D20" s="136">
        <f>IFERROR(INDEX(FEV!AF$8:AF$73,MATCH($A20,FEV!$A$8:$A$73,0))&amp;"","")</f>
        <v/>
      </c>
      <c r="E20" s="136">
        <f>IFERROR(INDEX(FEV!AG$8:AG$73,MATCH($A20,FEV!$A$8:$A$73,0))&amp;"","")</f>
        <v/>
      </c>
      <c r="F20" s="136">
        <f>IFERROR(INDEX(FEV!AH$8:AH$73,MATCH($A20,FEV!$A$8:$A$73,0))&amp;"","")</f>
        <v/>
      </c>
      <c r="G20" s="136">
        <f>IFERROR(INDEX(FEV!AI$8:AI$73,MATCH($A20,FEV!$A$8:$A$73,0))&amp;"","")</f>
        <v/>
      </c>
      <c r="H20" s="116">
        <f>IFERROR(INDEX(FEV!AJ$8:AJ$73,MATCH($A20,FEV!$A$8:$A$73,0))&amp;"","")</f>
        <v/>
      </c>
      <c r="I20" s="125" t="inlineStr">
        <is>
          <t>N</t>
        </is>
      </c>
      <c r="J20" s="114" t="n"/>
      <c r="K20" s="125" t="inlineStr">
        <is>
          <t>N</t>
        </is>
      </c>
      <c r="L20" s="125" t="inlineStr">
        <is>
          <t>N</t>
        </is>
      </c>
      <c r="M20" s="125" t="inlineStr">
        <is>
          <t>N</t>
        </is>
      </c>
      <c r="N20" s="114" t="n"/>
      <c r="O20" s="114" t="n"/>
      <c r="P20" s="114" t="n"/>
      <c r="Q20" s="114" t="n"/>
      <c r="R20" s="114" t="n"/>
      <c r="S20" s="125" t="inlineStr">
        <is>
          <t>N</t>
        </is>
      </c>
      <c r="T20" s="125" t="inlineStr">
        <is>
          <t>N</t>
        </is>
      </c>
      <c r="U20" s="114" t="n"/>
      <c r="V20" s="114" t="n"/>
      <c r="W20" s="125" t="inlineStr">
        <is>
          <t>N</t>
        </is>
      </c>
      <c r="X20" s="114" t="n"/>
      <c r="Y20" s="125" t="inlineStr">
        <is>
          <t>N</t>
        </is>
      </c>
      <c r="Z20" s="125" t="inlineStr">
        <is>
          <t>N</t>
        </is>
      </c>
      <c r="AA20" s="125" t="inlineStr">
        <is>
          <t>N</t>
        </is>
      </c>
      <c r="AB20" s="114" t="n"/>
      <c r="AC20" s="114" t="n"/>
      <c r="AD20" s="114" t="n"/>
      <c r="AE20" s="114" t="n"/>
      <c r="AF20" s="123" t="inlineStr">
        <is>
          <t>N+</t>
        </is>
      </c>
      <c r="AG20" s="125" t="inlineStr">
        <is>
          <t>N</t>
        </is>
      </c>
      <c r="AH20" s="114" t="n"/>
      <c r="AI20" s="125" t="inlineStr">
        <is>
          <t>N</t>
        </is>
      </c>
      <c r="AJ20" s="114" t="n"/>
      <c r="AK20" s="125" t="inlineStr">
        <is>
          <t>N</t>
        </is>
      </c>
      <c r="AL20" s="114" t="n"/>
      <c r="AM20" s="127" t="inlineStr">
        <is>
          <t>N-</t>
        </is>
      </c>
      <c r="AN20" s="136">
        <f>IFERROR(INDEX(ABR!I$8:I$73,MATCH($A20,ABR!$A$8:$A$73,0))&amp;"","")</f>
        <v/>
      </c>
      <c r="AO20" s="136">
        <f>IFERROR(INDEX(ABR!J$8:J$73,MATCH($A20,ABR!$A$8:$A$73,0))&amp;"","")</f>
        <v/>
      </c>
      <c r="AP20" s="136">
        <f>IFERROR(INDEX(ABR!K$8:K$73,MATCH($A20,ABR!$A$8:$A$73,0))&amp;"","")</f>
        <v/>
      </c>
      <c r="AQ20" s="116">
        <f>IFERROR(INDEX(ABR!L$8:L$73,MATCH($A20,ABR!$A$8:$A$73,0))&amp;"","")</f>
        <v/>
      </c>
      <c r="AR20" s="116">
        <f>IFERROR(INDEX(ABR!M$8:M$73,MATCH($A20,ABR!$A$8:$A$73,0))&amp;"","")</f>
        <v/>
      </c>
      <c r="AS20" s="100" t="n"/>
      <c r="AT20" s="117">
        <f>SUMPRODUCT(($C20:$I20="M")*6+($C20:$I20="T")*6+($C20:$I20="D")*12+($C20:$I20="N")*12+($C20:$I20="NT")*6+($C20:$I20="C")*10+($C20:$I20="A")*8+($C20:$I20="J")*5+($C20:$I20="CEP")*4+($C20:$I20="CP")*6+($C20:$I20="CRO")*6+($C20:$I20="M+")*6+($C20:$I20="T+")*6+($C20:$I20="D+")*12+($C20:$I20="N+")*12+($C20:$I20="Dm+")*12+($C20:$I20="Dt+")*12+($C20:$I20="Tm-")*6+($C20:$I20="Mt-")*6)</f>
        <v/>
      </c>
      <c r="AU20" s="118">
        <f>AT20-MAX(0,IFERROR(INDEX(CADASTRO!$I$4:$I$80,MATCH($A20,CADASTRO!$A$4:$A$80,0)),$B20)-CONFIG!$B$50*(COUNTIF($C20:$I20,"AB")+COUNTIF($C20:$I20,"FE")+COUNTIF($C20:$I20,"LM")))</f>
        <v/>
      </c>
      <c r="AV20" s="117">
        <f>SUMPRODUCT(($J20:$P20="M")*6+($J20:$P20="T")*6+($J20:$P20="D")*12+($J20:$P20="N")*12+($J20:$P20="NT")*6+($J20:$P20="C")*10+($J20:$P20="A")*8+($J20:$P20="J")*5+($J20:$P20="CEP")*4+($J20:$P20="CP")*6+($J20:$P20="CRO")*6+($J20:$P20="M+")*6+($J20:$P20="T+")*6+($J20:$P20="D+")*12+($J20:$P20="N+")*12+($J20:$P20="Dm+")*12+($J20:$P20="Dt+")*12+($J20:$P20="Tm-")*6+($J20:$P20="Mt-")*6)</f>
        <v/>
      </c>
      <c r="AW20" s="118">
        <f>AV20-MAX(0,IFERROR(INDEX(CADASTRO!$I$4:$I$80,MATCH($A20,CADASTRO!$A$4:$A$80,0)),$B20)-CONFIG!$B$50*(COUNTIF($J20:$P20,"AB")+COUNTIF($J20:$P20,"FE")+COUNTIF($J20:$P20,"LM")))</f>
        <v/>
      </c>
      <c r="AX20" s="117">
        <f>SUMPRODUCT(($Q20:$W20="M")*6+($Q20:$W20="T")*6+($Q20:$W20="D")*12+($Q20:$W20="N")*12+($Q20:$W20="NT")*6+($Q20:$W20="C")*10+($Q20:$W20="A")*8+($Q20:$W20="J")*5+($Q20:$W20="CEP")*4+($Q20:$W20="CP")*6+($Q20:$W20="CRO")*6+($Q20:$W20="M+")*6+($Q20:$W20="T+")*6+($Q20:$W20="D+")*12+($Q20:$W20="N+")*12+($Q20:$W20="Dm+")*12+($Q20:$W20="Dt+")*12+($Q20:$W20="Tm-")*6+($Q20:$W20="Mt-")*6)</f>
        <v/>
      </c>
      <c r="AY20" s="118">
        <f>AX20-MAX(0,IFERROR(INDEX(CADASTRO!$I$4:$I$80,MATCH($A20,CADASTRO!$A$4:$A$80,0)),$B20)-CONFIG!$B$50*(COUNTIF($Q20:$W20,"AB")+COUNTIF($Q20:$W20,"FE")+COUNTIF($Q20:$W20,"LM")))</f>
        <v/>
      </c>
      <c r="AZ20" s="117">
        <f>SUMPRODUCT(($X20:$AD20="M")*6+($X20:$AD20="T")*6+($X20:$AD20="D")*12+($X20:$AD20="N")*12+($X20:$AD20="NT")*6+($X20:$AD20="C")*10+($X20:$AD20="A")*8+($X20:$AD20="J")*5+($X20:$AD20="CEP")*4+($X20:$AD20="CP")*6+($X20:$AD20="CRO")*6+($X20:$AD20="M+")*6+($X20:$AD20="T+")*6+($X20:$AD20="D+")*12+($X20:$AD20="N+")*12+($X20:$AD20="Dm+")*12+($X20:$AD20="Dt+")*12+($X20:$AD20="Tm-")*6+($X20:$AD20="Mt-")*6)</f>
        <v/>
      </c>
      <c r="BA20" s="118">
        <f>AZ20-MAX(0,IFERROR(INDEX(CADASTRO!$I$4:$I$80,MATCH($A20,CADASTRO!$A$4:$A$80,0)),$B20)-CONFIG!$B$50*(COUNTIF($X20:$AD20,"AB")+COUNTIF($X20:$AD20,"FE")+COUNTIF($X20:$AD20,"LM")))</f>
        <v/>
      </c>
      <c r="BB20" s="117">
        <f>SUMPRODUCT(($AE20:$AK20="M")*6+($AE20:$AK20="T")*6+($AE20:$AK20="D")*12+($AE20:$AK20="N")*12+($AE20:$AK20="NT")*6+($AE20:$AK20="C")*10+($AE20:$AK20="A")*8+($AE20:$AK20="J")*5+($AE20:$AK20="CEP")*4+($AE20:$AK20="CP")*6+($AE20:$AK20="CRO")*6+($AE20:$AK20="M+")*6+($AE20:$AK20="T+")*6+($AE20:$AK20="D+")*12+($AE20:$AK20="N+")*12+($AE20:$AK20="Dm+")*12+($AE20:$AK20="Dt+")*12+($AE20:$AK20="Tm-")*6+($AE20:$AK20="Mt-")*6)</f>
        <v/>
      </c>
      <c r="BC20" s="118">
        <f>BB20-MAX(0,IFERROR(INDEX(CADASTRO!$I$4:$I$80,MATCH($A20,CADASTRO!$A$4:$A$80,0)),$B20)-CONFIG!$B$50*(COUNTIF($AE20:$AK20,"AB")+COUNTIF($AE20:$AK20,"FE")+COUNTIF($AE20:$AK20,"LM")))</f>
        <v/>
      </c>
      <c r="BD20" s="117">
        <f>SUMPRODUCT(($AL20:$AM20="M")*6+($AL20:$AM20="T")*6+($AL20:$AM20="D")*12+($AL20:$AM20="N")*12+($AL20:$AM20="NT")*6+($AL20:$AM20="C")*10+($AL20:$AM20="A")*8+($AL20:$AM20="J")*5+($AL20:$AM20="CEP")*4+($AL20:$AM20="CP")*6+($AL20:$AM20="CRO")*6+($AL20:$AM20="M+")*6+($AL20:$AM20="T+")*6+($AL20:$AM20="D+")*12+($AL20:$AM20="N+")*12+($AL20:$AM20="Dm+")*12+($AL20:$AM20="Dt+")*12+($AL20:$AM20="Tm-")*6+($AL20:$AM20="Mt-")*6)+SUMPRODUCT(($AN20:$AR20="M")*6+($AN20:$AR20="T")*6+($AN20:$AR20="D")*12+($AN20:$AR20="N")*12+($AN20:$AR20="NT")*6+($AN20:$AR20="C")*10+($AN20:$AR20="A")*8+($AN20:$AR20="J")*5+($AN20:$AR20="CEP")*4+($AN20:$AR20="CP")*6+($AN20:$AR20="CRO")*6+($AN20:$AR20="M+")*6+($AN20:$AR20="T+")*6+($AN20:$AR20="D+")*12+($AN20:$AR20="N+")*12+($AN20:$AR20="Dm+")*12+($AN20:$AR20="Dt+")*12+($AN20:$AR20="Tm-")*6+($AN20:$AR20="Mt-")*6)</f>
        <v/>
      </c>
      <c r="BE20" s="118">
        <f>BD20-MAX(0,IFERROR(INDEX(CADASTRO!$I$4:$I$80,MATCH($A20,CADASTRO!$A$4:$A$80,0)),$B20)-CONFIG!$B$50*(COUNTIF($AL20:$AM20,"AB")+COUNTIF($AL20:$AM20,"FE")+COUNTIF($AL20:$AM20,"LM")+COUNTIF($AN20:$AR20,"AB")+COUNTIF($AN20:$AR20,"FE")+COUNTIF($AN20:$AR20,"LM")))</f>
        <v/>
      </c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36">
        <f>IFERROR(INDEX(FEV!AE$8:AE$73,MATCH($A21,FEV!$A$8:$A$73,0))&amp;"","")</f>
        <v/>
      </c>
      <c r="D21" s="136">
        <f>IFERROR(INDEX(FEV!AF$8:AF$73,MATCH($A21,FEV!$A$8:$A$73,0))&amp;"","")</f>
        <v/>
      </c>
      <c r="E21" s="136">
        <f>IFERROR(INDEX(FEV!AG$8:AG$73,MATCH($A21,FEV!$A$8:$A$73,0))&amp;"","")</f>
        <v/>
      </c>
      <c r="F21" s="136">
        <f>IFERROR(INDEX(FEV!AH$8:AH$73,MATCH($A21,FEV!$A$8:$A$73,0))&amp;"","")</f>
        <v/>
      </c>
      <c r="G21" s="136">
        <f>IFERROR(INDEX(FEV!AI$8:AI$73,MATCH($A21,FEV!$A$8:$A$73,0))&amp;"","")</f>
        <v/>
      </c>
      <c r="H21" s="116">
        <f>IFERROR(INDEX(FEV!AJ$8:AJ$73,MATCH($A21,FEV!$A$8:$A$73,0))&amp;"","")</f>
        <v/>
      </c>
      <c r="I21" s="114" t="n"/>
      <c r="J21" s="126" t="inlineStr">
        <is>
          <t>T</t>
        </is>
      </c>
      <c r="K21" s="126" t="inlineStr">
        <is>
          <t>T</t>
        </is>
      </c>
      <c r="L21" s="114" t="n"/>
      <c r="M21" s="124" t="inlineStr">
        <is>
          <t>D</t>
        </is>
      </c>
      <c r="N21" s="125" t="inlineStr">
        <is>
          <t>N</t>
        </is>
      </c>
      <c r="O21" s="114" t="n"/>
      <c r="P21" s="114" t="n"/>
      <c r="Q21" s="126" t="inlineStr">
        <is>
          <t>T</t>
        </is>
      </c>
      <c r="R21" s="126" t="inlineStr">
        <is>
          <t>T</t>
        </is>
      </c>
      <c r="S21" s="114" t="n"/>
      <c r="T21" s="126" t="inlineStr">
        <is>
          <t>T</t>
        </is>
      </c>
      <c r="U21" s="126" t="inlineStr">
        <is>
          <t>T</t>
        </is>
      </c>
      <c r="V21" s="125" t="inlineStr">
        <is>
          <t>N</t>
        </is>
      </c>
      <c r="W21" s="114" t="n"/>
      <c r="X21" s="125" t="inlineStr">
        <is>
          <t>N</t>
        </is>
      </c>
      <c r="Y21" s="114" t="n"/>
      <c r="Z21" s="114" t="n"/>
      <c r="AA21" s="126" t="inlineStr">
        <is>
          <t>T</t>
        </is>
      </c>
      <c r="AB21" s="126" t="inlineStr">
        <is>
          <t>T</t>
        </is>
      </c>
      <c r="AC21" s="125" t="inlineStr">
        <is>
          <t>N</t>
        </is>
      </c>
      <c r="AD21" s="114" t="n"/>
      <c r="AE21" s="114" t="n"/>
      <c r="AF21" s="114" t="n"/>
      <c r="AG21" s="126" t="inlineStr">
        <is>
          <t>T</t>
        </is>
      </c>
      <c r="AH21" s="125" t="inlineStr">
        <is>
          <t>N</t>
        </is>
      </c>
      <c r="AI21" s="114" t="n"/>
      <c r="AJ21" s="124" t="inlineStr">
        <is>
          <t>D</t>
        </is>
      </c>
      <c r="AK21" s="115" t="inlineStr">
        <is>
          <t>M</t>
        </is>
      </c>
      <c r="AL21" s="126" t="inlineStr">
        <is>
          <t>T</t>
        </is>
      </c>
      <c r="AM21" s="126" t="inlineStr">
        <is>
          <t>T</t>
        </is>
      </c>
      <c r="AN21" s="136">
        <f>IFERROR(INDEX(ABR!I$8:I$73,MATCH($A21,ABR!$A$8:$A$73,0))&amp;"","")</f>
        <v/>
      </c>
      <c r="AO21" s="136">
        <f>IFERROR(INDEX(ABR!J$8:J$73,MATCH($A21,ABR!$A$8:$A$73,0))&amp;"","")</f>
        <v/>
      </c>
      <c r="AP21" s="136">
        <f>IFERROR(INDEX(ABR!K$8:K$73,MATCH($A21,ABR!$A$8:$A$73,0))&amp;"","")</f>
        <v/>
      </c>
      <c r="AQ21" s="116">
        <f>IFERROR(INDEX(ABR!L$8:L$73,MATCH($A21,ABR!$A$8:$A$73,0))&amp;"","")</f>
        <v/>
      </c>
      <c r="AR21" s="116">
        <f>IFERROR(INDEX(ABR!M$8:M$73,MATCH($A21,ABR!$A$8:$A$73,0))&amp;"","")</f>
        <v/>
      </c>
      <c r="AS21" s="100" t="n"/>
      <c r="AT21" s="117">
        <f>SUMPRODUCT(($C21:$I21="M")*6+($C21:$I21="T")*6+($C21:$I21="D")*12+($C21:$I21="N")*12+($C21:$I21="NT")*6+($C21:$I21="C")*10+($C21:$I21="A")*8+($C21:$I21="J")*5+($C21:$I21="CEP")*4+($C21:$I21="CP")*6+($C21:$I21="CRO")*6+($C21:$I21="M+")*6+($C21:$I21="T+")*6+($C21:$I21="D+")*12+($C21:$I21="N+")*12+($C21:$I21="Dm+")*12+($C21:$I21="Dt+")*12+($C21:$I21="Tm-")*6+($C21:$I21="Mt-")*6)</f>
        <v/>
      </c>
      <c r="AU21" s="118">
        <f>AT21-MAX(0,IFERROR(INDEX(CADASTRO!$I$4:$I$80,MATCH($A21,CADASTRO!$A$4:$A$80,0)),$B21)-CONFIG!$B$50*(COUNTIF($C21:$I21,"AB")+COUNTIF($C21:$I21,"FE")+COUNTIF($C21:$I21,"LM")))</f>
        <v/>
      </c>
      <c r="AV21" s="117">
        <f>SUMPRODUCT(($J21:$P21="M")*6+($J21:$P21="T")*6+($J21:$P21="D")*12+($J21:$P21="N")*12+($J21:$P21="NT")*6+($J21:$P21="C")*10+($J21:$P21="A")*8+($J21:$P21="J")*5+($J21:$P21="CEP")*4+($J21:$P21="CP")*6+($J21:$P21="CRO")*6+($J21:$P21="M+")*6+($J21:$P21="T+")*6+($J21:$P21="D+")*12+($J21:$P21="N+")*12+($J21:$P21="Dm+")*12+($J21:$P21="Dt+")*12+($J21:$P21="Tm-")*6+($J21:$P21="Mt-")*6)</f>
        <v/>
      </c>
      <c r="AW21" s="118">
        <f>AV21-MAX(0,IFERROR(INDEX(CADASTRO!$I$4:$I$80,MATCH($A21,CADASTRO!$A$4:$A$80,0)),$B21)-CONFIG!$B$50*(COUNTIF($J21:$P21,"AB")+COUNTIF($J21:$P21,"FE")+COUNTIF($J21:$P21,"LM")))</f>
        <v/>
      </c>
      <c r="AX21" s="117">
        <f>SUMPRODUCT(($Q21:$W21="M")*6+($Q21:$W21="T")*6+($Q21:$W21="D")*12+($Q21:$W21="N")*12+($Q21:$W21="NT")*6+($Q21:$W21="C")*10+($Q21:$W21="A")*8+($Q21:$W21="J")*5+($Q21:$W21="CEP")*4+($Q21:$W21="CP")*6+($Q21:$W21="CRO")*6+($Q21:$W21="M+")*6+($Q21:$W21="T+")*6+($Q21:$W21="D+")*12+($Q21:$W21="N+")*12+($Q21:$W21="Dm+")*12+($Q21:$W21="Dt+")*12+($Q21:$W21="Tm-")*6+($Q21:$W21="Mt-")*6)</f>
        <v/>
      </c>
      <c r="AY21" s="118">
        <f>AX21-MAX(0,IFERROR(INDEX(CADASTRO!$I$4:$I$80,MATCH($A21,CADASTRO!$A$4:$A$80,0)),$B21)-CONFIG!$B$50*(COUNTIF($Q21:$W21,"AB")+COUNTIF($Q21:$W21,"FE")+COUNTIF($Q21:$W21,"LM")))</f>
        <v/>
      </c>
      <c r="AZ21" s="117">
        <f>SUMPRODUCT(($X21:$AD21="M")*6+($X21:$AD21="T")*6+($X21:$AD21="D")*12+($X21:$AD21="N")*12+($X21:$AD21="NT")*6+($X21:$AD21="C")*10+($X21:$AD21="A")*8+($X21:$AD21="J")*5+($X21:$AD21="CEP")*4+($X21:$AD21="CP")*6+($X21:$AD21="CRO")*6+($X21:$AD21="M+")*6+($X21:$AD21="T+")*6+($X21:$AD21="D+")*12+($X21:$AD21="N+")*12+($X21:$AD21="Dm+")*12+($X21:$AD21="Dt+")*12+($X21:$AD21="Tm-")*6+($X21:$AD21="Mt-")*6)</f>
        <v/>
      </c>
      <c r="BA21" s="118">
        <f>AZ21-MAX(0,IFERROR(INDEX(CADASTRO!$I$4:$I$80,MATCH($A21,CADASTRO!$A$4:$A$80,0)),$B21)-CONFIG!$B$50*(COUNTIF($X21:$AD21,"AB")+COUNTIF($X21:$AD21,"FE")+COUNTIF($X21:$AD21,"LM")))</f>
        <v/>
      </c>
      <c r="BB21" s="117">
        <f>SUMPRODUCT(($AE21:$AK21="M")*6+($AE21:$AK21="T")*6+($AE21:$AK21="D")*12+($AE21:$AK21="N")*12+($AE21:$AK21="NT")*6+($AE21:$AK21="C")*10+($AE21:$AK21="A")*8+($AE21:$AK21="J")*5+($AE21:$AK21="CEP")*4+($AE21:$AK21="CP")*6+($AE21:$AK21="CRO")*6+($AE21:$AK21="M+")*6+($AE21:$AK21="T+")*6+($AE21:$AK21="D+")*12+($AE21:$AK21="N+")*12+($AE21:$AK21="Dm+")*12+($AE21:$AK21="Dt+")*12+($AE21:$AK21="Tm-")*6+($AE21:$AK21="Mt-")*6)</f>
        <v/>
      </c>
      <c r="BC21" s="118">
        <f>BB21-MAX(0,IFERROR(INDEX(CADASTRO!$I$4:$I$80,MATCH($A21,CADASTRO!$A$4:$A$80,0)),$B21)-CONFIG!$B$50*(COUNTIF($AE21:$AK21,"AB")+COUNTIF($AE21:$AK21,"FE")+COUNTIF($AE21:$AK21,"LM")))</f>
        <v/>
      </c>
      <c r="BD21" s="117">
        <f>SUMPRODUCT(($AL21:$AM21="M")*6+($AL21:$AM21="T")*6+($AL21:$AM21="D")*12+($AL21:$AM21="N")*12+($AL21:$AM21="NT")*6+($AL21:$AM21="C")*10+($AL21:$AM21="A")*8+($AL21:$AM21="J")*5+($AL21:$AM21="CEP")*4+($AL21:$AM21="CP")*6+($AL21:$AM21="CRO")*6+($AL21:$AM21="M+")*6+($AL21:$AM21="T+")*6+($AL21:$AM21="D+")*12+($AL21:$AM21="N+")*12+($AL21:$AM21="Dm+")*12+($AL21:$AM21="Dt+")*12+($AL21:$AM21="Tm-")*6+($AL21:$AM21="Mt-")*6)+SUMPRODUCT(($AN21:$AR21="M")*6+($AN21:$AR21="T")*6+($AN21:$AR21="D")*12+($AN21:$AR21="N")*12+($AN21:$AR21="NT")*6+($AN21:$AR21="C")*10+($AN21:$AR21="A")*8+($AN21:$AR21="J")*5+($AN21:$AR21="CEP")*4+($AN21:$AR21="CP")*6+($AN21:$AR21="CRO")*6+($AN21:$AR21="M+")*6+($AN21:$AR21="T+")*6+($AN21:$AR21="D+")*12+($AN21:$AR21="N+")*12+($AN21:$AR21="Dm+")*12+($AN21:$AR21="Dt+")*12+($AN21:$AR21="Tm-")*6+($AN21:$AR21="Mt-")*6)</f>
        <v/>
      </c>
      <c r="BE21" s="118">
        <f>BD21-MAX(0,IFERROR(INDEX(CADASTRO!$I$4:$I$80,MATCH($A21,CADASTRO!$A$4:$A$80,0)),$B21)-CONFIG!$B$50*(COUNTIF($AL21:$AM21,"AB")+COUNTIF($AL21:$AM21,"FE")+COUNTIF($AL21:$AM21,"LM")+COUNTIF($AN21:$AR21,"AB")+COUNTIF($AN21:$AR21,"FE")+COUNTIF($AN21:$AR21,"LM")))</f>
        <v/>
      </c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36">
        <f>IFERROR(INDEX(FEV!AE$8:AE$73,MATCH($A22,FEV!$A$8:$A$73,0))&amp;"","")</f>
        <v/>
      </c>
      <c r="D22" s="136">
        <f>IFERROR(INDEX(FEV!AF$8:AF$73,MATCH($A22,FEV!$A$8:$A$73,0))&amp;"","")</f>
        <v/>
      </c>
      <c r="E22" s="136">
        <f>IFERROR(INDEX(FEV!AG$8:AG$73,MATCH($A22,FEV!$A$8:$A$73,0))&amp;"","")</f>
        <v/>
      </c>
      <c r="F22" s="136">
        <f>IFERROR(INDEX(FEV!AH$8:AH$73,MATCH($A22,FEV!$A$8:$A$73,0))&amp;"","")</f>
        <v/>
      </c>
      <c r="G22" s="136">
        <f>IFERROR(INDEX(FEV!AI$8:AI$73,MATCH($A22,FEV!$A$8:$A$73,0))&amp;"","")</f>
        <v/>
      </c>
      <c r="H22" s="116">
        <f>IFERROR(INDEX(FEV!AJ$8:AJ$73,MATCH($A22,FEV!$A$8:$A$73,0))&amp;"","")</f>
        <v/>
      </c>
      <c r="I22" s="124" t="inlineStr">
        <is>
          <t>D</t>
        </is>
      </c>
      <c r="J22" s="125" t="inlineStr">
        <is>
          <t>N</t>
        </is>
      </c>
      <c r="K22" s="126" t="inlineStr">
        <is>
          <t>T</t>
        </is>
      </c>
      <c r="L22" s="115" t="inlineStr">
        <is>
          <t>M</t>
        </is>
      </c>
      <c r="M22" s="114" t="n"/>
      <c r="N22" s="115" t="inlineStr">
        <is>
          <t>M</t>
        </is>
      </c>
      <c r="O22" s="114" t="n"/>
      <c r="P22" s="114" t="n"/>
      <c r="Q22" s="114" t="n"/>
      <c r="R22" s="124" t="inlineStr">
        <is>
          <t>D</t>
        </is>
      </c>
      <c r="S22" s="114" t="n"/>
      <c r="T22" s="124" t="inlineStr">
        <is>
          <t>D</t>
        </is>
      </c>
      <c r="U22" s="114" t="n"/>
      <c r="V22" s="124" t="inlineStr">
        <is>
          <t>D</t>
        </is>
      </c>
      <c r="W22" s="114" t="n"/>
      <c r="X22" s="114" t="n"/>
      <c r="Y22" s="124" t="inlineStr">
        <is>
          <t>D</t>
        </is>
      </c>
      <c r="Z22" s="114" t="n"/>
      <c r="AA22" s="114" t="n"/>
      <c r="AB22" s="125" t="inlineStr">
        <is>
          <t>N</t>
        </is>
      </c>
      <c r="AC22" s="114" t="n"/>
      <c r="AD22" s="124" t="inlineStr">
        <is>
          <t>D</t>
        </is>
      </c>
      <c r="AE22" s="114" t="n"/>
      <c r="AF22" s="124" t="inlineStr">
        <is>
          <t>D</t>
        </is>
      </c>
      <c r="AG22" s="114" t="n"/>
      <c r="AH22" s="124" t="inlineStr">
        <is>
          <t>D</t>
        </is>
      </c>
      <c r="AI22" s="114" t="n"/>
      <c r="AJ22" s="124" t="inlineStr">
        <is>
          <t>D</t>
        </is>
      </c>
      <c r="AK22" s="114" t="n"/>
      <c r="AL22" s="114" t="n"/>
      <c r="AM22" s="124" t="inlineStr">
        <is>
          <t>D</t>
        </is>
      </c>
      <c r="AN22" s="136">
        <f>IFERROR(INDEX(ABR!I$8:I$73,MATCH($A22,ABR!$A$8:$A$73,0))&amp;"","")</f>
        <v/>
      </c>
      <c r="AO22" s="136">
        <f>IFERROR(INDEX(ABR!J$8:J$73,MATCH($A22,ABR!$A$8:$A$73,0))&amp;"","")</f>
        <v/>
      </c>
      <c r="AP22" s="136">
        <f>IFERROR(INDEX(ABR!K$8:K$73,MATCH($A22,ABR!$A$8:$A$73,0))&amp;"","")</f>
        <v/>
      </c>
      <c r="AQ22" s="116">
        <f>IFERROR(INDEX(ABR!L$8:L$73,MATCH($A22,ABR!$A$8:$A$73,0))&amp;"","")</f>
        <v/>
      </c>
      <c r="AR22" s="116">
        <f>IFERROR(INDEX(ABR!M$8:M$73,MATCH($A22,ABR!$A$8:$A$73,0))&amp;"","")</f>
        <v/>
      </c>
      <c r="AS22" s="100" t="n"/>
      <c r="AT22" s="117">
        <f>SUMPRODUCT(($C22:$I22="M")*6+($C22:$I22="T")*6+($C22:$I22="D")*12+($C22:$I22="N")*12+($C22:$I22="NT")*6+($C22:$I22="C")*10+($C22:$I22="A")*8+($C22:$I22="J")*5+($C22:$I22="CEP")*4+($C22:$I22="CP")*6+($C22:$I22="CRO")*6+($C22:$I22="M+")*6+($C22:$I22="T+")*6+($C22:$I22="D+")*12+($C22:$I22="N+")*12+($C22:$I22="Dm+")*12+($C22:$I22="Dt+")*12+($C22:$I22="Tm-")*6+($C22:$I22="Mt-")*6)</f>
        <v/>
      </c>
      <c r="AU22" s="118">
        <f>AT22-MAX(0,IFERROR(INDEX(CADASTRO!$I$4:$I$80,MATCH($A22,CADASTRO!$A$4:$A$80,0)),$B22)-CONFIG!$B$50*(COUNTIF($C22:$I22,"AB")+COUNTIF($C22:$I22,"FE")+COUNTIF($C22:$I22,"LM")))</f>
        <v/>
      </c>
      <c r="AV22" s="117">
        <f>SUMPRODUCT(($J22:$P22="M")*6+($J22:$P22="T")*6+($J22:$P22="D")*12+($J22:$P22="N")*12+($J22:$P22="NT")*6+($J22:$P22="C")*10+($J22:$P22="A")*8+($J22:$P22="J")*5+($J22:$P22="CEP")*4+($J22:$P22="CP")*6+($J22:$P22="CRO")*6+($J22:$P22="M+")*6+($J22:$P22="T+")*6+($J22:$P22="D+")*12+($J22:$P22="N+")*12+($J22:$P22="Dm+")*12+($J22:$P22="Dt+")*12+($J22:$P22="Tm-")*6+($J22:$P22="Mt-")*6)</f>
        <v/>
      </c>
      <c r="AW22" s="118">
        <f>AV22-MAX(0,IFERROR(INDEX(CADASTRO!$I$4:$I$80,MATCH($A22,CADASTRO!$A$4:$A$80,0)),$B22)-CONFIG!$B$50*(COUNTIF($J22:$P22,"AB")+COUNTIF($J22:$P22,"FE")+COUNTIF($J22:$P22,"LM")))</f>
        <v/>
      </c>
      <c r="AX22" s="117">
        <f>SUMPRODUCT(($Q22:$W22="M")*6+($Q22:$W22="T")*6+($Q22:$W22="D")*12+($Q22:$W22="N")*12+($Q22:$W22="NT")*6+($Q22:$W22="C")*10+($Q22:$W22="A")*8+($Q22:$W22="J")*5+($Q22:$W22="CEP")*4+($Q22:$W22="CP")*6+($Q22:$W22="CRO")*6+($Q22:$W22="M+")*6+($Q22:$W22="T+")*6+($Q22:$W22="D+")*12+($Q22:$W22="N+")*12+($Q22:$W22="Dm+")*12+($Q22:$W22="Dt+")*12+($Q22:$W22="Tm-")*6+($Q22:$W22="Mt-")*6)</f>
        <v/>
      </c>
      <c r="AY22" s="118">
        <f>AX22-MAX(0,IFERROR(INDEX(CADASTRO!$I$4:$I$80,MATCH($A22,CADASTRO!$A$4:$A$80,0)),$B22)-CONFIG!$B$50*(COUNTIF($Q22:$W22,"AB")+COUNTIF($Q22:$W22,"FE")+COUNTIF($Q22:$W22,"LM")))</f>
        <v/>
      </c>
      <c r="AZ22" s="117">
        <f>SUMPRODUCT(($X22:$AD22="M")*6+($X22:$AD22="T")*6+($X22:$AD22="D")*12+($X22:$AD22="N")*12+($X22:$AD22="NT")*6+($X22:$AD22="C")*10+($X22:$AD22="A")*8+($X22:$AD22="J")*5+($X22:$AD22="CEP")*4+($X22:$AD22="CP")*6+($X22:$AD22="CRO")*6+($X22:$AD22="M+")*6+($X22:$AD22="T+")*6+($X22:$AD22="D+")*12+($X22:$AD22="N+")*12+($X22:$AD22="Dm+")*12+($X22:$AD22="Dt+")*12+($X22:$AD22="Tm-")*6+($X22:$AD22="Mt-")*6)</f>
        <v/>
      </c>
      <c r="BA22" s="118">
        <f>AZ22-MAX(0,IFERROR(INDEX(CADASTRO!$I$4:$I$80,MATCH($A22,CADASTRO!$A$4:$A$80,0)),$B22)-CONFIG!$B$50*(COUNTIF($X22:$AD22,"AB")+COUNTIF($X22:$AD22,"FE")+COUNTIF($X22:$AD22,"LM")))</f>
        <v/>
      </c>
      <c r="BB22" s="117">
        <f>SUMPRODUCT(($AE22:$AK22="M")*6+($AE22:$AK22="T")*6+($AE22:$AK22="D")*12+($AE22:$AK22="N")*12+($AE22:$AK22="NT")*6+($AE22:$AK22="C")*10+($AE22:$AK22="A")*8+($AE22:$AK22="J")*5+($AE22:$AK22="CEP")*4+($AE22:$AK22="CP")*6+($AE22:$AK22="CRO")*6+($AE22:$AK22="M+")*6+($AE22:$AK22="T+")*6+($AE22:$AK22="D+")*12+($AE22:$AK22="N+")*12+($AE22:$AK22="Dm+")*12+($AE22:$AK22="Dt+")*12+($AE22:$AK22="Tm-")*6+($AE22:$AK22="Mt-")*6)</f>
        <v/>
      </c>
      <c r="BC22" s="118">
        <f>BB22-MAX(0,IFERROR(INDEX(CADASTRO!$I$4:$I$80,MATCH($A22,CADASTRO!$A$4:$A$80,0)),$B22)-CONFIG!$B$50*(COUNTIF($AE22:$AK22,"AB")+COUNTIF($AE22:$AK22,"FE")+COUNTIF($AE22:$AK22,"LM")))</f>
        <v/>
      </c>
      <c r="BD22" s="117">
        <f>SUMPRODUCT(($AL22:$AM22="M")*6+($AL22:$AM22="T")*6+($AL22:$AM22="D")*12+($AL22:$AM22="N")*12+($AL22:$AM22="NT")*6+($AL22:$AM22="C")*10+($AL22:$AM22="A")*8+($AL22:$AM22="J")*5+($AL22:$AM22="CEP")*4+($AL22:$AM22="CP")*6+($AL22:$AM22="CRO")*6+($AL22:$AM22="M+")*6+($AL22:$AM22="T+")*6+($AL22:$AM22="D+")*12+($AL22:$AM22="N+")*12+($AL22:$AM22="Dm+")*12+($AL22:$AM22="Dt+")*12+($AL22:$AM22="Tm-")*6+($AL22:$AM22="Mt-")*6)+SUMPRODUCT(($AN22:$AR22="M")*6+($AN22:$AR22="T")*6+($AN22:$AR22="D")*12+($AN22:$AR22="N")*12+($AN22:$AR22="NT")*6+($AN22:$AR22="C")*10+($AN22:$AR22="A")*8+($AN22:$AR22="J")*5+($AN22:$AR22="CEP")*4+($AN22:$AR22="CP")*6+($AN22:$AR22="CRO")*6+($AN22:$AR22="M+")*6+($AN22:$AR22="T+")*6+($AN22:$AR22="D+")*12+($AN22:$AR22="N+")*12+($AN22:$AR22="Dm+")*12+($AN22:$AR22="Dt+")*12+($AN22:$AR22="Tm-")*6+($AN22:$AR22="Mt-")*6)</f>
        <v/>
      </c>
      <c r="BE22" s="118">
        <f>BD22-MAX(0,IFERROR(INDEX(CADASTRO!$I$4:$I$80,MATCH($A22,CADASTRO!$A$4:$A$80,0)),$B22)-CONFIG!$B$50*(COUNTIF($AL22:$AM22,"AB")+COUNTIF($AL22:$AM22,"FE")+COUNTIF($AL22:$AM22,"LM")+COUNTIF($AN22:$AR22,"AB")+COUNTIF($AN22:$AR22,"FE")+COUNTIF($AN22:$AR22,"LM")))</f>
        <v/>
      </c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36">
        <f>IFERROR(INDEX(FEV!AE$8:AE$73,MATCH($A23,FEV!$A$8:$A$73,0))&amp;"","")</f>
        <v/>
      </c>
      <c r="D23" s="136">
        <f>IFERROR(INDEX(FEV!AF$8:AF$73,MATCH($A23,FEV!$A$8:$A$73,0))&amp;"","")</f>
        <v/>
      </c>
      <c r="E23" s="136">
        <f>IFERROR(INDEX(FEV!AG$8:AG$73,MATCH($A23,FEV!$A$8:$A$73,0))&amp;"","")</f>
        <v/>
      </c>
      <c r="F23" s="136">
        <f>IFERROR(INDEX(FEV!AH$8:AH$73,MATCH($A23,FEV!$A$8:$A$73,0))&amp;"","")</f>
        <v/>
      </c>
      <c r="G23" s="136">
        <f>IFERROR(INDEX(FEV!AI$8:AI$73,MATCH($A23,FEV!$A$8:$A$73,0))&amp;"","")</f>
        <v/>
      </c>
      <c r="H23" s="116">
        <f>IFERROR(INDEX(FEV!AJ$8:AJ$73,MATCH($A23,FEV!$A$8:$A$73,0))&amp;"","")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24" t="inlineStr">
        <is>
          <t>D</t>
        </is>
      </c>
      <c r="Z23" s="114" t="n"/>
      <c r="AA23" s="114" t="n"/>
      <c r="AB23" s="114" t="n"/>
      <c r="AC23" s="124" t="inlineStr">
        <is>
          <t>D</t>
        </is>
      </c>
      <c r="AD23" s="115" t="inlineStr">
        <is>
          <t>M</t>
        </is>
      </c>
      <c r="AE23" s="124" t="inlineStr">
        <is>
          <t>D</t>
        </is>
      </c>
      <c r="AF23" s="124" t="inlineStr">
        <is>
          <t>D</t>
        </is>
      </c>
      <c r="AG23" s="114" t="n"/>
      <c r="AH23" s="124" t="inlineStr">
        <is>
          <t>D</t>
        </is>
      </c>
      <c r="AI23" s="114" t="n"/>
      <c r="AJ23" s="114" t="n"/>
      <c r="AK23" s="114" t="n"/>
      <c r="AL23" s="124" t="inlineStr">
        <is>
          <t>D</t>
        </is>
      </c>
      <c r="AM23" s="124" t="inlineStr">
        <is>
          <t>D</t>
        </is>
      </c>
      <c r="AN23" s="136">
        <f>IFERROR(INDEX(ABR!I$8:I$73,MATCH($A23,ABR!$A$8:$A$73,0))&amp;"","")</f>
        <v/>
      </c>
      <c r="AO23" s="136">
        <f>IFERROR(INDEX(ABR!J$8:J$73,MATCH($A23,ABR!$A$8:$A$73,0))&amp;"","")</f>
        <v/>
      </c>
      <c r="AP23" s="136">
        <f>IFERROR(INDEX(ABR!K$8:K$73,MATCH($A23,ABR!$A$8:$A$73,0))&amp;"","")</f>
        <v/>
      </c>
      <c r="AQ23" s="116">
        <f>IFERROR(INDEX(ABR!L$8:L$73,MATCH($A23,ABR!$A$8:$A$73,0))&amp;"","")</f>
        <v/>
      </c>
      <c r="AR23" s="116">
        <f>IFERROR(INDEX(ABR!M$8:M$73,MATCH($A23,ABR!$A$8:$A$73,0))&amp;"","")</f>
        <v/>
      </c>
      <c r="AS23" s="100" t="n"/>
      <c r="AT23" s="117">
        <f>SUMPRODUCT(($C23:$I23="M")*6+($C23:$I23="T")*6+($C23:$I23="D")*12+($C23:$I23="N")*12+($C23:$I23="NT")*6+($C23:$I23="C")*10+($C23:$I23="A")*8+($C23:$I23="J")*5+($C23:$I23="CEP")*4+($C23:$I23="CP")*6+($C23:$I23="CRO")*6+($C23:$I23="M+")*6+($C23:$I23="T+")*6+($C23:$I23="D+")*12+($C23:$I23="N+")*12+($C23:$I23="Dm+")*12+($C23:$I23="Dt+")*12+($C23:$I23="Tm-")*6+($C23:$I23="Mt-")*6)</f>
        <v/>
      </c>
      <c r="AU23" s="118">
        <f>AT23-MAX(0,IFERROR(INDEX(CADASTRO!$I$4:$I$80,MATCH($A23,CADASTRO!$A$4:$A$80,0)),$B23)-CONFIG!$B$50*(COUNTIF($C23:$I23,"AB")+COUNTIF($C23:$I23,"FE")+COUNTIF($C23:$I23,"LM")))</f>
        <v/>
      </c>
      <c r="AV23" s="117">
        <f>SUMPRODUCT(($J23:$P23="M")*6+($J23:$P23="T")*6+($J23:$P23="D")*12+($J23:$P23="N")*12+($J23:$P23="NT")*6+($J23:$P23="C")*10+($J23:$P23="A")*8+($J23:$P23="J")*5+($J23:$P23="CEP")*4+($J23:$P23="CP")*6+($J23:$P23="CRO")*6+($J23:$P23="M+")*6+($J23:$P23="T+")*6+($J23:$P23="D+")*12+($J23:$P23="N+")*12+($J23:$P23="Dm+")*12+($J23:$P23="Dt+")*12+($J23:$P23="Tm-")*6+($J23:$P23="Mt-")*6)</f>
        <v/>
      </c>
      <c r="AW23" s="118">
        <f>AV23-MAX(0,IFERROR(INDEX(CADASTRO!$I$4:$I$80,MATCH($A23,CADASTRO!$A$4:$A$80,0)),$B23)-CONFIG!$B$50*(COUNTIF($J23:$P23,"AB")+COUNTIF($J23:$P23,"FE")+COUNTIF($J23:$P23,"LM")))</f>
        <v/>
      </c>
      <c r="AX23" s="117">
        <f>SUMPRODUCT(($Q23:$W23="M")*6+($Q23:$W23="T")*6+($Q23:$W23="D")*12+($Q23:$W23="N")*12+($Q23:$W23="NT")*6+($Q23:$W23="C")*10+($Q23:$W23="A")*8+($Q23:$W23="J")*5+($Q23:$W23="CEP")*4+($Q23:$W23="CP")*6+($Q23:$W23="CRO")*6+($Q23:$W23="M+")*6+($Q23:$W23="T+")*6+($Q23:$W23="D+")*12+($Q23:$W23="N+")*12+($Q23:$W23="Dm+")*12+($Q23:$W23="Dt+")*12+($Q23:$W23="Tm-")*6+($Q23:$W23="Mt-")*6)</f>
        <v/>
      </c>
      <c r="AY23" s="118">
        <f>AX23-MAX(0,IFERROR(INDEX(CADASTRO!$I$4:$I$80,MATCH($A23,CADASTRO!$A$4:$A$80,0)),$B23)-CONFIG!$B$50*(COUNTIF($Q23:$W23,"AB")+COUNTIF($Q23:$W23,"FE")+COUNTIF($Q23:$W23,"LM")))</f>
        <v/>
      </c>
      <c r="AZ23" s="117">
        <f>SUMPRODUCT(($X23:$AD23="M")*6+($X23:$AD23="T")*6+($X23:$AD23="D")*12+($X23:$AD23="N")*12+($X23:$AD23="NT")*6+($X23:$AD23="C")*10+($X23:$AD23="A")*8+($X23:$AD23="J")*5+($X23:$AD23="CEP")*4+($X23:$AD23="CP")*6+($X23:$AD23="CRO")*6+($X23:$AD23="M+")*6+($X23:$AD23="T+")*6+($X23:$AD23="D+")*12+($X23:$AD23="N+")*12+($X23:$AD23="Dm+")*12+($X23:$AD23="Dt+")*12+($X23:$AD23="Tm-")*6+($X23:$AD23="Mt-")*6)</f>
        <v/>
      </c>
      <c r="BA23" s="118">
        <f>AZ23-MAX(0,IFERROR(INDEX(CADASTRO!$I$4:$I$80,MATCH($A23,CADASTRO!$A$4:$A$80,0)),$B23)-CONFIG!$B$50*(COUNTIF($X23:$AD23,"AB")+COUNTIF($X23:$AD23,"FE")+COUNTIF($X23:$AD23,"LM")))</f>
        <v/>
      </c>
      <c r="BB23" s="117">
        <f>SUMPRODUCT(($AE23:$AK23="M")*6+($AE23:$AK23="T")*6+($AE23:$AK23="D")*12+($AE23:$AK23="N")*12+($AE23:$AK23="NT")*6+($AE23:$AK23="C")*10+($AE23:$AK23="A")*8+($AE23:$AK23="J")*5+($AE23:$AK23="CEP")*4+($AE23:$AK23="CP")*6+($AE23:$AK23="CRO")*6+($AE23:$AK23="M+")*6+($AE23:$AK23="T+")*6+($AE23:$AK23="D+")*12+($AE23:$AK23="N+")*12+($AE23:$AK23="Dm+")*12+($AE23:$AK23="Dt+")*12+($AE23:$AK23="Tm-")*6+($AE23:$AK23="Mt-")*6)</f>
        <v/>
      </c>
      <c r="BC23" s="118">
        <f>BB23-MAX(0,IFERROR(INDEX(CADASTRO!$I$4:$I$80,MATCH($A23,CADASTRO!$A$4:$A$80,0)),$B23)-CONFIG!$B$50*(COUNTIF($AE23:$AK23,"AB")+COUNTIF($AE23:$AK23,"FE")+COUNTIF($AE23:$AK23,"LM")))</f>
        <v/>
      </c>
      <c r="BD23" s="117">
        <f>SUMPRODUCT(($AL23:$AM23="M")*6+($AL23:$AM23="T")*6+($AL23:$AM23="D")*12+($AL23:$AM23="N")*12+($AL23:$AM23="NT")*6+($AL23:$AM23="C")*10+($AL23:$AM23="A")*8+($AL23:$AM23="J")*5+($AL23:$AM23="CEP")*4+($AL23:$AM23="CP")*6+($AL23:$AM23="CRO")*6+($AL23:$AM23="M+")*6+($AL23:$AM23="T+")*6+($AL23:$AM23="D+")*12+($AL23:$AM23="N+")*12+($AL23:$AM23="Dm+")*12+($AL23:$AM23="Dt+")*12+($AL23:$AM23="Tm-")*6+($AL23:$AM23="Mt-")*6)+SUMPRODUCT(($AN23:$AR23="M")*6+($AN23:$AR23="T")*6+($AN23:$AR23="D")*12+($AN23:$AR23="N")*12+($AN23:$AR23="NT")*6+($AN23:$AR23="C")*10+($AN23:$AR23="A")*8+($AN23:$AR23="J")*5+($AN23:$AR23="CEP")*4+($AN23:$AR23="CP")*6+($AN23:$AR23="CRO")*6+($AN23:$AR23="M+")*6+($AN23:$AR23="T+")*6+($AN23:$AR23="D+")*12+($AN23:$AR23="N+")*12+($AN23:$AR23="Dm+")*12+($AN23:$AR23="Dt+")*12+($AN23:$AR23="Tm-")*6+($AN23:$AR23="Mt-")*6)</f>
        <v/>
      </c>
      <c r="BE23" s="118">
        <f>BD23-MAX(0,IFERROR(INDEX(CADASTRO!$I$4:$I$80,MATCH($A23,CADASTRO!$A$4:$A$80,0)),$B23)-CONFIG!$B$50*(COUNTIF($AL23:$AM23,"AB")+COUNTIF($AL23:$AM23,"FE")+COUNTIF($AL23:$AM23,"LM")+COUNTIF($AN23:$AR23,"AB")+COUNTIF($AN23:$AR23,"FE")+COUNTIF($AN23:$AR23,"LM")))</f>
        <v/>
      </c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36">
        <f>IFERROR(INDEX(FEV!AE$8:AE$73,MATCH($A24,FEV!$A$8:$A$73,0))&amp;"","")</f>
        <v/>
      </c>
      <c r="D24" s="136">
        <f>IFERROR(INDEX(FEV!AF$8:AF$73,MATCH($A24,FEV!$A$8:$A$73,0))&amp;"","")</f>
        <v/>
      </c>
      <c r="E24" s="136">
        <f>IFERROR(INDEX(FEV!AG$8:AG$73,MATCH($A24,FEV!$A$8:$A$73,0))&amp;"","")</f>
        <v/>
      </c>
      <c r="F24" s="136">
        <f>IFERROR(INDEX(FEV!AH$8:AH$73,MATCH($A24,FEV!$A$8:$A$73,0))&amp;"","")</f>
        <v/>
      </c>
      <c r="G24" s="136">
        <f>IFERROR(INDEX(FEV!AI$8:AI$73,MATCH($A24,FEV!$A$8:$A$73,0))&amp;"","")</f>
        <v/>
      </c>
      <c r="H24" s="116">
        <f>IFERROR(INDEX(FEV!AJ$8:AJ$73,MATCH($A24,FEV!$A$8:$A$73,0))&amp;"","")</f>
        <v/>
      </c>
      <c r="I24" s="114" t="n"/>
      <c r="J24" s="124" t="inlineStr">
        <is>
          <t>D</t>
        </is>
      </c>
      <c r="K24" s="115" t="inlineStr">
        <is>
          <t>M</t>
        </is>
      </c>
      <c r="L24" s="115" t="inlineStr">
        <is>
          <t>M</t>
        </is>
      </c>
      <c r="M24" s="114" t="n"/>
      <c r="N24" s="114" t="n"/>
      <c r="O24" s="125" t="inlineStr">
        <is>
          <t>N</t>
        </is>
      </c>
      <c r="P24" s="114" t="n"/>
      <c r="Q24" s="124" t="inlineStr">
        <is>
          <t>D</t>
        </is>
      </c>
      <c r="R24" s="115" t="inlineStr">
        <is>
          <t>M</t>
        </is>
      </c>
      <c r="S24" s="115" t="inlineStr">
        <is>
          <t>M</t>
        </is>
      </c>
      <c r="T24" s="126" t="inlineStr">
        <is>
          <t>T</t>
        </is>
      </c>
      <c r="U24" s="126" t="inlineStr">
        <is>
          <t>T</t>
        </is>
      </c>
      <c r="V24" s="114" t="n"/>
      <c r="W24" s="114" t="n"/>
      <c r="X24" s="124" t="inlineStr">
        <is>
          <t>D</t>
        </is>
      </c>
      <c r="Y24" s="126" t="inlineStr">
        <is>
          <t>T</t>
        </is>
      </c>
      <c r="Z24" s="115" t="inlineStr">
        <is>
          <t>M</t>
        </is>
      </c>
      <c r="AA24" s="114" t="n"/>
      <c r="AB24" s="114" t="n"/>
      <c r="AC24" s="125" t="inlineStr">
        <is>
          <t>N</t>
        </is>
      </c>
      <c r="AD24" s="114" t="n"/>
      <c r="AE24" s="124" t="inlineStr">
        <is>
          <t>D</t>
        </is>
      </c>
      <c r="AF24" s="115" t="inlineStr">
        <is>
          <t>M</t>
        </is>
      </c>
      <c r="AG24" s="114" t="n"/>
      <c r="AH24" s="115" t="inlineStr">
        <is>
          <t>M</t>
        </is>
      </c>
      <c r="AI24" s="114" t="n"/>
      <c r="AJ24" s="125" t="inlineStr">
        <is>
          <t>N</t>
        </is>
      </c>
      <c r="AK24" s="114" t="n"/>
      <c r="AL24" s="124" t="inlineStr">
        <is>
          <t>D</t>
        </is>
      </c>
      <c r="AM24" s="114" t="n"/>
      <c r="AN24" s="136">
        <f>IFERROR(INDEX(ABR!I$8:I$73,MATCH($A24,ABR!$A$8:$A$73,0))&amp;"","")</f>
        <v/>
      </c>
      <c r="AO24" s="136">
        <f>IFERROR(INDEX(ABR!J$8:J$73,MATCH($A24,ABR!$A$8:$A$73,0))&amp;"","")</f>
        <v/>
      </c>
      <c r="AP24" s="136">
        <f>IFERROR(INDEX(ABR!K$8:K$73,MATCH($A24,ABR!$A$8:$A$73,0))&amp;"","")</f>
        <v/>
      </c>
      <c r="AQ24" s="116">
        <f>IFERROR(INDEX(ABR!L$8:L$73,MATCH($A24,ABR!$A$8:$A$73,0))&amp;"","")</f>
        <v/>
      </c>
      <c r="AR24" s="116">
        <f>IFERROR(INDEX(ABR!M$8:M$73,MATCH($A24,ABR!$A$8:$A$73,0))&amp;"","")</f>
        <v/>
      </c>
      <c r="AS24" s="100" t="n"/>
      <c r="AT24" s="117">
        <f>SUMPRODUCT(($C24:$I24="M")*6+($C24:$I24="T")*6+($C24:$I24="D")*12+($C24:$I24="N")*12+($C24:$I24="NT")*6+($C24:$I24="C")*10+($C24:$I24="A")*8+($C24:$I24="J")*5+($C24:$I24="CEP")*4+($C24:$I24="CP")*6+($C24:$I24="CRO")*6+($C24:$I24="M+")*6+($C24:$I24="T+")*6+($C24:$I24="D+")*12+($C24:$I24="N+")*12+($C24:$I24="Dm+")*12+($C24:$I24="Dt+")*12+($C24:$I24="Tm-")*6+($C24:$I24="Mt-")*6)</f>
        <v/>
      </c>
      <c r="AU24" s="118">
        <f>AT24-MAX(0,IFERROR(INDEX(CADASTRO!$I$4:$I$80,MATCH($A24,CADASTRO!$A$4:$A$80,0)),$B24)-CONFIG!$B$50*(COUNTIF($C24:$I24,"AB")+COUNTIF($C24:$I24,"FE")+COUNTIF($C24:$I24,"LM")))</f>
        <v/>
      </c>
      <c r="AV24" s="117">
        <f>SUMPRODUCT(($J24:$P24="M")*6+($J24:$P24="T")*6+($J24:$P24="D")*12+($J24:$P24="N")*12+($J24:$P24="NT")*6+($J24:$P24="C")*10+($J24:$P24="A")*8+($J24:$P24="J")*5+($J24:$P24="CEP")*4+($J24:$P24="CP")*6+($J24:$P24="CRO")*6+($J24:$P24="M+")*6+($J24:$P24="T+")*6+($J24:$P24="D+")*12+($J24:$P24="N+")*12+($J24:$P24="Dm+")*12+($J24:$P24="Dt+")*12+($J24:$P24="Tm-")*6+($J24:$P24="Mt-")*6)</f>
        <v/>
      </c>
      <c r="AW24" s="118">
        <f>AV24-MAX(0,IFERROR(INDEX(CADASTRO!$I$4:$I$80,MATCH($A24,CADASTRO!$A$4:$A$80,0)),$B24)-CONFIG!$B$50*(COUNTIF($J24:$P24,"AB")+COUNTIF($J24:$P24,"FE")+COUNTIF($J24:$P24,"LM")))</f>
        <v/>
      </c>
      <c r="AX24" s="117">
        <f>SUMPRODUCT(($Q24:$W24="M")*6+($Q24:$W24="T")*6+($Q24:$W24="D")*12+($Q24:$W24="N")*12+($Q24:$W24="NT")*6+($Q24:$W24="C")*10+($Q24:$W24="A")*8+($Q24:$W24="J")*5+($Q24:$W24="CEP")*4+($Q24:$W24="CP")*6+($Q24:$W24="CRO")*6+($Q24:$W24="M+")*6+($Q24:$W24="T+")*6+($Q24:$W24="D+")*12+($Q24:$W24="N+")*12+($Q24:$W24="Dm+")*12+($Q24:$W24="Dt+")*12+($Q24:$W24="Tm-")*6+($Q24:$W24="Mt-")*6)</f>
        <v/>
      </c>
      <c r="AY24" s="118">
        <f>AX24-MAX(0,IFERROR(INDEX(CADASTRO!$I$4:$I$80,MATCH($A24,CADASTRO!$A$4:$A$80,0)),$B24)-CONFIG!$B$50*(COUNTIF($Q24:$W24,"AB")+COUNTIF($Q24:$W24,"FE")+COUNTIF($Q24:$W24,"LM")))</f>
        <v/>
      </c>
      <c r="AZ24" s="117">
        <f>SUMPRODUCT(($X24:$AD24="M")*6+($X24:$AD24="T")*6+($X24:$AD24="D")*12+($X24:$AD24="N")*12+($X24:$AD24="NT")*6+($X24:$AD24="C")*10+($X24:$AD24="A")*8+($X24:$AD24="J")*5+($X24:$AD24="CEP")*4+($X24:$AD24="CP")*6+($X24:$AD24="CRO")*6+($X24:$AD24="M+")*6+($X24:$AD24="T+")*6+($X24:$AD24="D+")*12+($X24:$AD24="N+")*12+($X24:$AD24="Dm+")*12+($X24:$AD24="Dt+")*12+($X24:$AD24="Tm-")*6+($X24:$AD24="Mt-")*6)</f>
        <v/>
      </c>
      <c r="BA24" s="118">
        <f>AZ24-MAX(0,IFERROR(INDEX(CADASTRO!$I$4:$I$80,MATCH($A24,CADASTRO!$A$4:$A$80,0)),$B24)-CONFIG!$B$50*(COUNTIF($X24:$AD24,"AB")+COUNTIF($X24:$AD24,"FE")+COUNTIF($X24:$AD24,"LM")))</f>
        <v/>
      </c>
      <c r="BB24" s="117">
        <f>SUMPRODUCT(($AE24:$AK24="M")*6+($AE24:$AK24="T")*6+($AE24:$AK24="D")*12+($AE24:$AK24="N")*12+($AE24:$AK24="NT")*6+($AE24:$AK24="C")*10+($AE24:$AK24="A")*8+($AE24:$AK24="J")*5+($AE24:$AK24="CEP")*4+($AE24:$AK24="CP")*6+($AE24:$AK24="CRO")*6+($AE24:$AK24="M+")*6+($AE24:$AK24="T+")*6+($AE24:$AK24="D+")*12+($AE24:$AK24="N+")*12+($AE24:$AK24="Dm+")*12+($AE24:$AK24="Dt+")*12+($AE24:$AK24="Tm-")*6+($AE24:$AK24="Mt-")*6)</f>
        <v/>
      </c>
      <c r="BC24" s="118">
        <f>BB24-MAX(0,IFERROR(INDEX(CADASTRO!$I$4:$I$80,MATCH($A24,CADASTRO!$A$4:$A$80,0)),$B24)-CONFIG!$B$50*(COUNTIF($AE24:$AK24,"AB")+COUNTIF($AE24:$AK24,"FE")+COUNTIF($AE24:$AK24,"LM")))</f>
        <v/>
      </c>
      <c r="BD24" s="117">
        <f>SUMPRODUCT(($AL24:$AM24="M")*6+($AL24:$AM24="T")*6+($AL24:$AM24="D")*12+($AL24:$AM24="N")*12+($AL24:$AM24="NT")*6+($AL24:$AM24="C")*10+($AL24:$AM24="A")*8+($AL24:$AM24="J")*5+($AL24:$AM24="CEP")*4+($AL24:$AM24="CP")*6+($AL24:$AM24="CRO")*6+($AL24:$AM24="M+")*6+($AL24:$AM24="T+")*6+($AL24:$AM24="D+")*12+($AL24:$AM24="N+")*12+($AL24:$AM24="Dm+")*12+($AL24:$AM24="Dt+")*12+($AL24:$AM24="Tm-")*6+($AL24:$AM24="Mt-")*6)+SUMPRODUCT(($AN24:$AR24="M")*6+($AN24:$AR24="T")*6+($AN24:$AR24="D")*12+($AN24:$AR24="N")*12+($AN24:$AR24="NT")*6+($AN24:$AR24="C")*10+($AN24:$AR24="A")*8+($AN24:$AR24="J")*5+($AN24:$AR24="CEP")*4+($AN24:$AR24="CP")*6+($AN24:$AR24="CRO")*6+($AN24:$AR24="M+")*6+($AN24:$AR24="T+")*6+($AN24:$AR24="D+")*12+($AN24:$AR24="N+")*12+($AN24:$AR24="Dm+")*12+($AN24:$AR24="Dt+")*12+($AN24:$AR24="Tm-")*6+($AN24:$AR24="Mt-")*6)</f>
        <v/>
      </c>
      <c r="BE24" s="118">
        <f>BD24-MAX(0,IFERROR(INDEX(CADASTRO!$I$4:$I$80,MATCH($A24,CADASTRO!$A$4:$A$80,0)),$B24)-CONFIG!$B$50*(COUNTIF($AL24:$AM24,"AB")+COUNTIF($AL24:$AM24,"FE")+COUNTIF($AL24:$AM24,"LM")+COUNTIF($AN24:$AR24,"AB")+COUNTIF($AN24:$AR24,"FE")+COUNTIF($AN24:$AR24,"LM")))</f>
        <v/>
      </c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36">
        <f>IFERROR(INDEX(FEV!AE$8:AE$73,MATCH($A25,FEV!$A$8:$A$73,0))&amp;"","")</f>
        <v/>
      </c>
      <c r="D25" s="136">
        <f>IFERROR(INDEX(FEV!AF$8:AF$73,MATCH($A25,FEV!$A$8:$A$73,0))&amp;"","")</f>
        <v/>
      </c>
      <c r="E25" s="136">
        <f>IFERROR(INDEX(FEV!AG$8:AG$73,MATCH($A25,FEV!$A$8:$A$73,0))&amp;"","")</f>
        <v/>
      </c>
      <c r="F25" s="136">
        <f>IFERROR(INDEX(FEV!AH$8:AH$73,MATCH($A25,FEV!$A$8:$A$73,0))&amp;"","")</f>
        <v/>
      </c>
      <c r="G25" s="136">
        <f>IFERROR(INDEX(FEV!AI$8:AI$73,MATCH($A25,FEV!$A$8:$A$73,0))&amp;"","")</f>
        <v/>
      </c>
      <c r="H25" s="116">
        <f>IFERROR(INDEX(FEV!AJ$8:AJ$73,MATCH($A25,FEV!$A$8:$A$73,0))&amp;"","")</f>
        <v/>
      </c>
      <c r="I25" s="125" t="inlineStr">
        <is>
          <t>N</t>
        </is>
      </c>
      <c r="J25" s="114" t="n"/>
      <c r="K25" s="125" t="inlineStr">
        <is>
          <t>N</t>
        </is>
      </c>
      <c r="L25" s="125" t="inlineStr">
        <is>
          <t>N</t>
        </is>
      </c>
      <c r="M25" s="114" t="n"/>
      <c r="N25" s="114" t="n"/>
      <c r="O25" s="114" t="n"/>
      <c r="P25" s="125" t="inlineStr">
        <is>
          <t>N</t>
        </is>
      </c>
      <c r="Q25" s="114" t="n"/>
      <c r="R25" s="125" t="inlineStr">
        <is>
          <t>N</t>
        </is>
      </c>
      <c r="S25" s="125" t="inlineStr">
        <is>
          <t>N</t>
        </is>
      </c>
      <c r="T25" s="114" t="n"/>
      <c r="U25" s="114" t="n"/>
      <c r="V25" s="114" t="n"/>
      <c r="W25" s="125" t="inlineStr">
        <is>
          <t>N</t>
        </is>
      </c>
      <c r="X25" s="125" t="inlineStr">
        <is>
          <t>N</t>
        </is>
      </c>
      <c r="Y25" s="125" t="inlineStr">
        <is>
          <t>N</t>
        </is>
      </c>
      <c r="Z25" s="125" t="inlineStr">
        <is>
          <t>N</t>
        </is>
      </c>
      <c r="AA25" s="114" t="n"/>
      <c r="AB25" s="114" t="n"/>
      <c r="AC25" s="114" t="n"/>
      <c r="AD25" s="114" t="n"/>
      <c r="AE25" s="125" t="inlineStr">
        <is>
          <t>N</t>
        </is>
      </c>
      <c r="AF25" s="125" t="inlineStr">
        <is>
          <t>N</t>
        </is>
      </c>
      <c r="AG25" s="125" t="inlineStr">
        <is>
          <t>N</t>
        </is>
      </c>
      <c r="AH25" s="114" t="n"/>
      <c r="AI25" s="114" t="n"/>
      <c r="AJ25" s="114" t="n"/>
      <c r="AK25" s="114" t="n"/>
      <c r="AL25" s="125" t="inlineStr">
        <is>
          <t>N</t>
        </is>
      </c>
      <c r="AM25" s="125" t="inlineStr">
        <is>
          <t>N</t>
        </is>
      </c>
      <c r="AN25" s="136">
        <f>IFERROR(INDEX(ABR!I$8:I$73,MATCH($A25,ABR!$A$8:$A$73,0))&amp;"","")</f>
        <v/>
      </c>
      <c r="AO25" s="136">
        <f>IFERROR(INDEX(ABR!J$8:J$73,MATCH($A25,ABR!$A$8:$A$73,0))&amp;"","")</f>
        <v/>
      </c>
      <c r="AP25" s="136">
        <f>IFERROR(INDEX(ABR!K$8:K$73,MATCH($A25,ABR!$A$8:$A$73,0))&amp;"","")</f>
        <v/>
      </c>
      <c r="AQ25" s="116">
        <f>IFERROR(INDEX(ABR!L$8:L$73,MATCH($A25,ABR!$A$8:$A$73,0))&amp;"","")</f>
        <v/>
      </c>
      <c r="AR25" s="116">
        <f>IFERROR(INDEX(ABR!M$8:M$73,MATCH($A25,ABR!$A$8:$A$73,0))&amp;"","")</f>
        <v/>
      </c>
      <c r="AS25" s="100" t="n"/>
      <c r="AT25" s="117">
        <f>SUMPRODUCT(($C25:$I25="M")*6+($C25:$I25="T")*6+($C25:$I25="D")*12+($C25:$I25="N")*12+($C25:$I25="NT")*6+($C25:$I25="C")*10+($C25:$I25="A")*8+($C25:$I25="J")*5+($C25:$I25="CEP")*4+($C25:$I25="CP")*6+($C25:$I25="CRO")*6+($C25:$I25="M+")*6+($C25:$I25="T+")*6+($C25:$I25="D+")*12+($C25:$I25="N+")*12+($C25:$I25="Dm+")*12+($C25:$I25="Dt+")*12+($C25:$I25="Tm-")*6+($C25:$I25="Mt-")*6)</f>
        <v/>
      </c>
      <c r="AU25" s="118">
        <f>AT25-MAX(0,IFERROR(INDEX(CADASTRO!$I$4:$I$80,MATCH($A25,CADASTRO!$A$4:$A$80,0)),$B25)-CONFIG!$B$50*(COUNTIF($C25:$I25,"AB")+COUNTIF($C25:$I25,"FE")+COUNTIF($C25:$I25,"LM")))</f>
        <v/>
      </c>
      <c r="AV25" s="117">
        <f>SUMPRODUCT(($J25:$P25="M")*6+($J25:$P25="T")*6+($J25:$P25="D")*12+($J25:$P25="N")*12+($J25:$P25="NT")*6+($J25:$P25="C")*10+($J25:$P25="A")*8+($J25:$P25="J")*5+($J25:$P25="CEP")*4+($J25:$P25="CP")*6+($J25:$P25="CRO")*6+($J25:$P25="M+")*6+($J25:$P25="T+")*6+($J25:$P25="D+")*12+($J25:$P25="N+")*12+($J25:$P25="Dm+")*12+($J25:$P25="Dt+")*12+($J25:$P25="Tm-")*6+($J25:$P25="Mt-")*6)</f>
        <v/>
      </c>
      <c r="AW25" s="118">
        <f>AV25-MAX(0,IFERROR(INDEX(CADASTRO!$I$4:$I$80,MATCH($A25,CADASTRO!$A$4:$A$80,0)),$B25)-CONFIG!$B$50*(COUNTIF($J25:$P25,"AB")+COUNTIF($J25:$P25,"FE")+COUNTIF($J25:$P25,"LM")))</f>
        <v/>
      </c>
      <c r="AX25" s="117">
        <f>SUMPRODUCT(($Q25:$W25="M")*6+($Q25:$W25="T")*6+($Q25:$W25="D")*12+($Q25:$W25="N")*12+($Q25:$W25="NT")*6+($Q25:$W25="C")*10+($Q25:$W25="A")*8+($Q25:$W25="J")*5+($Q25:$W25="CEP")*4+($Q25:$W25="CP")*6+($Q25:$W25="CRO")*6+($Q25:$W25="M+")*6+($Q25:$W25="T+")*6+($Q25:$W25="D+")*12+($Q25:$W25="N+")*12+($Q25:$W25="Dm+")*12+($Q25:$W25="Dt+")*12+($Q25:$W25="Tm-")*6+($Q25:$W25="Mt-")*6)</f>
        <v/>
      </c>
      <c r="AY25" s="118">
        <f>AX25-MAX(0,IFERROR(INDEX(CADASTRO!$I$4:$I$80,MATCH($A25,CADASTRO!$A$4:$A$80,0)),$B25)-CONFIG!$B$50*(COUNTIF($Q25:$W25,"AB")+COUNTIF($Q25:$W25,"FE")+COUNTIF($Q25:$W25,"LM")))</f>
        <v/>
      </c>
      <c r="AZ25" s="117">
        <f>SUMPRODUCT(($X25:$AD25="M")*6+($X25:$AD25="T")*6+($X25:$AD25="D")*12+($X25:$AD25="N")*12+($X25:$AD25="NT")*6+($X25:$AD25="C")*10+($X25:$AD25="A")*8+($X25:$AD25="J")*5+($X25:$AD25="CEP")*4+($X25:$AD25="CP")*6+($X25:$AD25="CRO")*6+($X25:$AD25="M+")*6+($X25:$AD25="T+")*6+($X25:$AD25="D+")*12+($X25:$AD25="N+")*12+($X25:$AD25="Dm+")*12+($X25:$AD25="Dt+")*12+($X25:$AD25="Tm-")*6+($X25:$AD25="Mt-")*6)</f>
        <v/>
      </c>
      <c r="BA25" s="118">
        <f>AZ25-MAX(0,IFERROR(INDEX(CADASTRO!$I$4:$I$80,MATCH($A25,CADASTRO!$A$4:$A$80,0)),$B25)-CONFIG!$B$50*(COUNTIF($X25:$AD25,"AB")+COUNTIF($X25:$AD25,"FE")+COUNTIF($X25:$AD25,"LM")))</f>
        <v/>
      </c>
      <c r="BB25" s="117">
        <f>SUMPRODUCT(($AE25:$AK25="M")*6+($AE25:$AK25="T")*6+($AE25:$AK25="D")*12+($AE25:$AK25="N")*12+($AE25:$AK25="NT")*6+($AE25:$AK25="C")*10+($AE25:$AK25="A")*8+($AE25:$AK25="J")*5+($AE25:$AK25="CEP")*4+($AE25:$AK25="CP")*6+($AE25:$AK25="CRO")*6+($AE25:$AK25="M+")*6+($AE25:$AK25="T+")*6+($AE25:$AK25="D+")*12+($AE25:$AK25="N+")*12+($AE25:$AK25="Dm+")*12+($AE25:$AK25="Dt+")*12+($AE25:$AK25="Tm-")*6+($AE25:$AK25="Mt-")*6)</f>
        <v/>
      </c>
      <c r="BC25" s="118">
        <f>BB25-MAX(0,IFERROR(INDEX(CADASTRO!$I$4:$I$80,MATCH($A25,CADASTRO!$A$4:$A$80,0)),$B25)-CONFIG!$B$50*(COUNTIF($AE25:$AK25,"AB")+COUNTIF($AE25:$AK25,"FE")+COUNTIF($AE25:$AK25,"LM")))</f>
        <v/>
      </c>
      <c r="BD25" s="117">
        <f>SUMPRODUCT(($AL25:$AM25="M")*6+($AL25:$AM25="T")*6+($AL25:$AM25="D")*12+($AL25:$AM25="N")*12+($AL25:$AM25="NT")*6+($AL25:$AM25="C")*10+($AL25:$AM25="A")*8+($AL25:$AM25="J")*5+($AL25:$AM25="CEP")*4+($AL25:$AM25="CP")*6+($AL25:$AM25="CRO")*6+($AL25:$AM25="M+")*6+($AL25:$AM25="T+")*6+($AL25:$AM25="D+")*12+($AL25:$AM25="N+")*12+($AL25:$AM25="Dm+")*12+($AL25:$AM25="Dt+")*12+($AL25:$AM25="Tm-")*6+($AL25:$AM25="Mt-")*6)+SUMPRODUCT(($AN25:$AR25="M")*6+($AN25:$AR25="T")*6+($AN25:$AR25="D")*12+($AN25:$AR25="N")*12+($AN25:$AR25="NT")*6+($AN25:$AR25="C")*10+($AN25:$AR25="A")*8+($AN25:$AR25="J")*5+($AN25:$AR25="CEP")*4+($AN25:$AR25="CP")*6+($AN25:$AR25="CRO")*6+($AN25:$AR25="M+")*6+($AN25:$AR25="T+")*6+($AN25:$AR25="D+")*12+($AN25:$AR25="N+")*12+($AN25:$AR25="Dm+")*12+($AN25:$AR25="Dt+")*12+($AN25:$AR25="Tm-")*6+($AN25:$AR25="Mt-")*6)</f>
        <v/>
      </c>
      <c r="BE25" s="118">
        <f>BD25-MAX(0,IFERROR(INDEX(CADASTRO!$I$4:$I$80,MATCH($A25,CADASTRO!$A$4:$A$80,0)),$B25)-CONFIG!$B$50*(COUNTIF($AL25:$AM25,"AB")+COUNTIF($AL25:$AM25,"FE")+COUNTIF($AL25:$AM25,"LM")+COUNTIF($AN25:$AR25,"AB")+COUNTIF($AN25:$AR25,"FE")+COUNTIF($AN25:$AR25,"LM")))</f>
        <v/>
      </c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36">
        <f>IFERROR(INDEX(FEV!AE$8:AE$73,MATCH($A26,FEV!$A$8:$A$73,0))&amp;"","")</f>
        <v/>
      </c>
      <c r="D26" s="136">
        <f>IFERROR(INDEX(FEV!AF$8:AF$73,MATCH($A26,FEV!$A$8:$A$73,0))&amp;"","")</f>
        <v/>
      </c>
      <c r="E26" s="136">
        <f>IFERROR(INDEX(FEV!AG$8:AG$73,MATCH($A26,FEV!$A$8:$A$73,0))&amp;"","")</f>
        <v/>
      </c>
      <c r="F26" s="136">
        <f>IFERROR(INDEX(FEV!AH$8:AH$73,MATCH($A26,FEV!$A$8:$A$73,0))&amp;"","")</f>
        <v/>
      </c>
      <c r="G26" s="136">
        <f>IFERROR(INDEX(FEV!AI$8:AI$73,MATCH($A26,FEV!$A$8:$A$73,0))&amp;"","")</f>
        <v/>
      </c>
      <c r="H26" s="116">
        <f>IFERROR(INDEX(FEV!AJ$8:AJ$73,MATCH($A26,FEV!$A$8:$A$73,0))&amp;"","")</f>
        <v/>
      </c>
      <c r="I26" s="125" t="inlineStr">
        <is>
          <t>N</t>
        </is>
      </c>
      <c r="J26" s="126" t="inlineStr">
        <is>
          <t>T</t>
        </is>
      </c>
      <c r="K26" s="125" t="inlineStr">
        <is>
          <t>N</t>
        </is>
      </c>
      <c r="L26" s="114" t="n"/>
      <c r="M26" s="114" t="n"/>
      <c r="N26" s="126" t="inlineStr">
        <is>
          <t>T</t>
        </is>
      </c>
      <c r="O26" s="114" t="n"/>
      <c r="P26" s="125" t="inlineStr">
        <is>
          <t>N</t>
        </is>
      </c>
      <c r="Q26" s="114" t="n"/>
      <c r="R26" s="125" t="inlineStr">
        <is>
          <t>N</t>
        </is>
      </c>
      <c r="S26" s="114" t="n"/>
      <c r="T26" s="126" t="inlineStr">
        <is>
          <t>T</t>
        </is>
      </c>
      <c r="U26" s="126" t="inlineStr">
        <is>
          <t>T</t>
        </is>
      </c>
      <c r="V26" s="114" t="n"/>
      <c r="W26" s="125" t="inlineStr">
        <is>
          <t>N</t>
        </is>
      </c>
      <c r="X26" s="115" t="inlineStr">
        <is>
          <t>M</t>
        </is>
      </c>
      <c r="Y26" s="114" t="n"/>
      <c r="Z26" s="114" t="n"/>
      <c r="AA26" s="124" t="inlineStr">
        <is>
          <t>D</t>
        </is>
      </c>
      <c r="AB26" s="126" t="inlineStr">
        <is>
          <t>T</t>
        </is>
      </c>
      <c r="AC26" s="114" t="n"/>
      <c r="AD26" s="125" t="inlineStr">
        <is>
          <t>N</t>
        </is>
      </c>
      <c r="AE26" s="114" t="n"/>
      <c r="AF26" s="125" t="inlineStr">
        <is>
          <t>N</t>
        </is>
      </c>
      <c r="AG26" s="114" t="n"/>
      <c r="AH26" s="114" t="n"/>
      <c r="AI26" s="124" t="inlineStr">
        <is>
          <t>D</t>
        </is>
      </c>
      <c r="AJ26" s="115" t="inlineStr">
        <is>
          <t>M</t>
        </is>
      </c>
      <c r="AK26" s="114" t="n"/>
      <c r="AL26" s="124" t="inlineStr">
        <is>
          <t>D</t>
        </is>
      </c>
      <c r="AM26" s="114" t="n"/>
      <c r="AN26" s="136">
        <f>IFERROR(INDEX(ABR!I$8:I$73,MATCH($A26,ABR!$A$8:$A$73,0))&amp;"","")</f>
        <v/>
      </c>
      <c r="AO26" s="136">
        <f>IFERROR(INDEX(ABR!J$8:J$73,MATCH($A26,ABR!$A$8:$A$73,0))&amp;"","")</f>
        <v/>
      </c>
      <c r="AP26" s="136">
        <f>IFERROR(INDEX(ABR!K$8:K$73,MATCH($A26,ABR!$A$8:$A$73,0))&amp;"","")</f>
        <v/>
      </c>
      <c r="AQ26" s="116">
        <f>IFERROR(INDEX(ABR!L$8:L$73,MATCH($A26,ABR!$A$8:$A$73,0))&amp;"","")</f>
        <v/>
      </c>
      <c r="AR26" s="116">
        <f>IFERROR(INDEX(ABR!M$8:M$73,MATCH($A26,ABR!$A$8:$A$73,0))&amp;"","")</f>
        <v/>
      </c>
      <c r="AS26" s="100" t="n"/>
      <c r="AT26" s="117">
        <f>SUMPRODUCT(($C26:$I26="M")*6+($C26:$I26="T")*6+($C26:$I26="D")*12+($C26:$I26="N")*12+($C26:$I26="NT")*6+($C26:$I26="C")*10+($C26:$I26="A")*8+($C26:$I26="J")*5+($C26:$I26="CEP")*4+($C26:$I26="CP")*6+($C26:$I26="CRO")*6+($C26:$I26="M+")*6+($C26:$I26="T+")*6+($C26:$I26="D+")*12+($C26:$I26="N+")*12+($C26:$I26="Dm+")*12+($C26:$I26="Dt+")*12+($C26:$I26="Tm-")*6+($C26:$I26="Mt-")*6)</f>
        <v/>
      </c>
      <c r="AU26" s="118">
        <f>AT26-MAX(0,IFERROR(INDEX(CADASTRO!$I$4:$I$80,MATCH($A26,CADASTRO!$A$4:$A$80,0)),$B26)-CONFIG!$B$50*(COUNTIF($C26:$I26,"AB")+COUNTIF($C26:$I26,"FE")+COUNTIF($C26:$I26,"LM")))</f>
        <v/>
      </c>
      <c r="AV26" s="117">
        <f>SUMPRODUCT(($J26:$P26="M")*6+($J26:$P26="T")*6+($J26:$P26="D")*12+($J26:$P26="N")*12+($J26:$P26="NT")*6+($J26:$P26="C")*10+($J26:$P26="A")*8+($J26:$P26="J")*5+($J26:$P26="CEP")*4+($J26:$P26="CP")*6+($J26:$P26="CRO")*6+($J26:$P26="M+")*6+($J26:$P26="T+")*6+($J26:$P26="D+")*12+($J26:$P26="N+")*12+($J26:$P26="Dm+")*12+($J26:$P26="Dt+")*12+($J26:$P26="Tm-")*6+($J26:$P26="Mt-")*6)</f>
        <v/>
      </c>
      <c r="AW26" s="118">
        <f>AV26-MAX(0,IFERROR(INDEX(CADASTRO!$I$4:$I$80,MATCH($A26,CADASTRO!$A$4:$A$80,0)),$B26)-CONFIG!$B$50*(COUNTIF($J26:$P26,"AB")+COUNTIF($J26:$P26,"FE")+COUNTIF($J26:$P26,"LM")))</f>
        <v/>
      </c>
      <c r="AX26" s="117">
        <f>SUMPRODUCT(($Q26:$W26="M")*6+($Q26:$W26="T")*6+($Q26:$W26="D")*12+($Q26:$W26="N")*12+($Q26:$W26="NT")*6+($Q26:$W26="C")*10+($Q26:$W26="A")*8+($Q26:$W26="J")*5+($Q26:$W26="CEP")*4+($Q26:$W26="CP")*6+($Q26:$W26="CRO")*6+($Q26:$W26="M+")*6+($Q26:$W26="T+")*6+($Q26:$W26="D+")*12+($Q26:$W26="N+")*12+($Q26:$W26="Dm+")*12+($Q26:$W26="Dt+")*12+($Q26:$W26="Tm-")*6+($Q26:$W26="Mt-")*6)</f>
        <v/>
      </c>
      <c r="AY26" s="118">
        <f>AX26-MAX(0,IFERROR(INDEX(CADASTRO!$I$4:$I$80,MATCH($A26,CADASTRO!$A$4:$A$80,0)),$B26)-CONFIG!$B$50*(COUNTIF($Q26:$W26,"AB")+COUNTIF($Q26:$W26,"FE")+COUNTIF($Q26:$W26,"LM")))</f>
        <v/>
      </c>
      <c r="AZ26" s="117">
        <f>SUMPRODUCT(($X26:$AD26="M")*6+($X26:$AD26="T")*6+($X26:$AD26="D")*12+($X26:$AD26="N")*12+($X26:$AD26="NT")*6+($X26:$AD26="C")*10+($X26:$AD26="A")*8+($X26:$AD26="J")*5+($X26:$AD26="CEP")*4+($X26:$AD26="CP")*6+($X26:$AD26="CRO")*6+($X26:$AD26="M+")*6+($X26:$AD26="T+")*6+($X26:$AD26="D+")*12+($X26:$AD26="N+")*12+($X26:$AD26="Dm+")*12+($X26:$AD26="Dt+")*12+($X26:$AD26="Tm-")*6+($X26:$AD26="Mt-")*6)</f>
        <v/>
      </c>
      <c r="BA26" s="118">
        <f>AZ26-MAX(0,IFERROR(INDEX(CADASTRO!$I$4:$I$80,MATCH($A26,CADASTRO!$A$4:$A$80,0)),$B26)-CONFIG!$B$50*(COUNTIF($X26:$AD26,"AB")+COUNTIF($X26:$AD26,"FE")+COUNTIF($X26:$AD26,"LM")))</f>
        <v/>
      </c>
      <c r="BB26" s="117">
        <f>SUMPRODUCT(($AE26:$AK26="M")*6+($AE26:$AK26="T")*6+($AE26:$AK26="D")*12+($AE26:$AK26="N")*12+($AE26:$AK26="NT")*6+($AE26:$AK26="C")*10+($AE26:$AK26="A")*8+($AE26:$AK26="J")*5+($AE26:$AK26="CEP")*4+($AE26:$AK26="CP")*6+($AE26:$AK26="CRO")*6+($AE26:$AK26="M+")*6+($AE26:$AK26="T+")*6+($AE26:$AK26="D+")*12+($AE26:$AK26="N+")*12+($AE26:$AK26="Dm+")*12+($AE26:$AK26="Dt+")*12+($AE26:$AK26="Tm-")*6+($AE26:$AK26="Mt-")*6)</f>
        <v/>
      </c>
      <c r="BC26" s="118">
        <f>BB26-MAX(0,IFERROR(INDEX(CADASTRO!$I$4:$I$80,MATCH($A26,CADASTRO!$A$4:$A$80,0)),$B26)-CONFIG!$B$50*(COUNTIF($AE26:$AK26,"AB")+COUNTIF($AE26:$AK26,"FE")+COUNTIF($AE26:$AK26,"LM")))</f>
        <v/>
      </c>
      <c r="BD26" s="117">
        <f>SUMPRODUCT(($AL26:$AM26="M")*6+($AL26:$AM26="T")*6+($AL26:$AM26="D")*12+($AL26:$AM26="N")*12+($AL26:$AM26="NT")*6+($AL26:$AM26="C")*10+($AL26:$AM26="A")*8+($AL26:$AM26="J")*5+($AL26:$AM26="CEP")*4+($AL26:$AM26="CP")*6+($AL26:$AM26="CRO")*6+($AL26:$AM26="M+")*6+($AL26:$AM26="T+")*6+($AL26:$AM26="D+")*12+($AL26:$AM26="N+")*12+($AL26:$AM26="Dm+")*12+($AL26:$AM26="Dt+")*12+($AL26:$AM26="Tm-")*6+($AL26:$AM26="Mt-")*6)+SUMPRODUCT(($AN26:$AR26="M")*6+($AN26:$AR26="T")*6+($AN26:$AR26="D")*12+($AN26:$AR26="N")*12+($AN26:$AR26="NT")*6+($AN26:$AR26="C")*10+($AN26:$AR26="A")*8+($AN26:$AR26="J")*5+($AN26:$AR26="CEP")*4+($AN26:$AR26="CP")*6+($AN26:$AR26="CRO")*6+($AN26:$AR26="M+")*6+($AN26:$AR26="T+")*6+($AN26:$AR26="D+")*12+($AN26:$AR26="N+")*12+($AN26:$AR26="Dm+")*12+($AN26:$AR26="Dt+")*12+($AN26:$AR26="Tm-")*6+($AN26:$AR26="Mt-")*6)</f>
        <v/>
      </c>
      <c r="BE26" s="118">
        <f>BD26-MAX(0,IFERROR(INDEX(CADASTRO!$I$4:$I$80,MATCH($A26,CADASTRO!$A$4:$A$80,0)),$B26)-CONFIG!$B$50*(COUNTIF($AL26:$AM26,"AB")+COUNTIF($AL26:$AM26,"FE")+COUNTIF($AL26:$AM26,"LM")+COUNTIF($AN26:$AR26,"AB")+COUNTIF($AN26:$AR26,"FE")+COUNTIF($AN26:$AR26,"LM")))</f>
        <v/>
      </c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36">
        <f>IFERROR(INDEX(FEV!AE$8:AE$73,MATCH($A27,FEV!$A$8:$A$73,0))&amp;"","")</f>
        <v/>
      </c>
      <c r="D27" s="136">
        <f>IFERROR(INDEX(FEV!AF$8:AF$73,MATCH($A27,FEV!$A$8:$A$73,0))&amp;"","")</f>
        <v/>
      </c>
      <c r="E27" s="136">
        <f>IFERROR(INDEX(FEV!AG$8:AG$73,MATCH($A27,FEV!$A$8:$A$73,0))&amp;"","")</f>
        <v/>
      </c>
      <c r="F27" s="136">
        <f>IFERROR(INDEX(FEV!AH$8:AH$73,MATCH($A27,FEV!$A$8:$A$73,0))&amp;"","")</f>
        <v/>
      </c>
      <c r="G27" s="136">
        <f>IFERROR(INDEX(FEV!AI$8:AI$73,MATCH($A27,FEV!$A$8:$A$73,0))&amp;"","")</f>
        <v/>
      </c>
      <c r="H27" s="116">
        <f>IFERROR(INDEX(FEV!AJ$8:AJ$73,MATCH($A27,FEV!$A$8:$A$73,0))&amp;"","")</f>
        <v/>
      </c>
      <c r="I27" s="114" t="n"/>
      <c r="J27" s="114" t="n"/>
      <c r="K27" s="125" t="inlineStr">
        <is>
          <t>N</t>
        </is>
      </c>
      <c r="L27" s="114" t="n"/>
      <c r="M27" s="114" t="n"/>
      <c r="N27" s="125" t="inlineStr">
        <is>
          <t>N</t>
        </is>
      </c>
      <c r="O27" s="114" t="n"/>
      <c r="P27" s="114" t="n"/>
      <c r="Q27" s="130" t="inlineStr">
        <is>
          <t>CRO</t>
        </is>
      </c>
      <c r="R27" s="125" t="inlineStr">
        <is>
          <t>N</t>
        </is>
      </c>
      <c r="S27" s="114" t="n"/>
      <c r="T27" s="114" t="n"/>
      <c r="U27" s="114" t="n"/>
      <c r="V27" s="125" t="inlineStr">
        <is>
          <t>N</t>
        </is>
      </c>
      <c r="W27" s="114" t="n"/>
      <c r="X27" s="114" t="n"/>
      <c r="Y27" s="125" t="inlineStr">
        <is>
          <t>N</t>
        </is>
      </c>
      <c r="Z27" s="114" t="n"/>
      <c r="AA27" s="130" t="inlineStr">
        <is>
          <t>CRO</t>
        </is>
      </c>
      <c r="AB27" s="114" t="n"/>
      <c r="AC27" s="125" t="inlineStr">
        <is>
          <t>N</t>
        </is>
      </c>
      <c r="AD27" s="114" t="n"/>
      <c r="AE27" s="114" t="n"/>
      <c r="AF27" s="125" t="inlineStr">
        <is>
          <t>N</t>
        </is>
      </c>
      <c r="AG27" s="114" t="n"/>
      <c r="AH27" s="114" t="n"/>
      <c r="AI27" s="114" t="n"/>
      <c r="AJ27" s="125" t="inlineStr">
        <is>
          <t>N</t>
        </is>
      </c>
      <c r="AK27" s="114" t="n"/>
      <c r="AL27" s="114" t="n"/>
      <c r="AM27" s="114" t="n"/>
      <c r="AN27" s="136">
        <f>IFERROR(INDEX(ABR!I$8:I$73,MATCH($A27,ABR!$A$8:$A$73,0))&amp;"","")</f>
        <v/>
      </c>
      <c r="AO27" s="136">
        <f>IFERROR(INDEX(ABR!J$8:J$73,MATCH($A27,ABR!$A$8:$A$73,0))&amp;"","")</f>
        <v/>
      </c>
      <c r="AP27" s="136">
        <f>IFERROR(INDEX(ABR!K$8:K$73,MATCH($A27,ABR!$A$8:$A$73,0))&amp;"","")</f>
        <v/>
      </c>
      <c r="AQ27" s="116">
        <f>IFERROR(INDEX(ABR!L$8:L$73,MATCH($A27,ABR!$A$8:$A$73,0))&amp;"","")</f>
        <v/>
      </c>
      <c r="AR27" s="116">
        <f>IFERROR(INDEX(ABR!M$8:M$73,MATCH($A27,ABR!$A$8:$A$73,0))&amp;"","")</f>
        <v/>
      </c>
      <c r="AS27" s="100" t="n"/>
      <c r="AT27" s="117">
        <f>SUMPRODUCT(($C27:$I27="M")*6+($C27:$I27="T")*6+($C27:$I27="D")*12+($C27:$I27="N")*12+($C27:$I27="NT")*6+($C27:$I27="C")*10+($C27:$I27="A")*8+($C27:$I27="J")*5+($C27:$I27="CEP")*4+($C27:$I27="CP")*6+($C27:$I27="CRO")*6+($C27:$I27="M+")*6+($C27:$I27="T+")*6+($C27:$I27="D+")*12+($C27:$I27="N+")*12+($C27:$I27="Dm+")*12+($C27:$I27="Dt+")*12+($C27:$I27="Tm-")*6+($C27:$I27="Mt-")*6)</f>
        <v/>
      </c>
      <c r="AU27" s="118">
        <f>AT27-MAX(0,IFERROR(INDEX(CADASTRO!$I$4:$I$80,MATCH($A27,CADASTRO!$A$4:$A$80,0)),$B27)-CONFIG!$B$50*(COUNTIF($C27:$I27,"AB")+COUNTIF($C27:$I27,"FE")+COUNTIF($C27:$I27,"LM")))</f>
        <v/>
      </c>
      <c r="AV27" s="117">
        <f>SUMPRODUCT(($J27:$P27="M")*6+($J27:$P27="T")*6+($J27:$P27="D")*12+($J27:$P27="N")*12+($J27:$P27="NT")*6+($J27:$P27="C")*10+($J27:$P27="A")*8+($J27:$P27="J")*5+($J27:$P27="CEP")*4+($J27:$P27="CP")*6+($J27:$P27="CRO")*6+($J27:$P27="M+")*6+($J27:$P27="T+")*6+($J27:$P27="D+")*12+($J27:$P27="N+")*12+($J27:$P27="Dm+")*12+($J27:$P27="Dt+")*12+($J27:$P27="Tm-")*6+($J27:$P27="Mt-")*6)</f>
        <v/>
      </c>
      <c r="AW27" s="118">
        <f>AV27-MAX(0,IFERROR(INDEX(CADASTRO!$I$4:$I$80,MATCH($A27,CADASTRO!$A$4:$A$80,0)),$B27)-CONFIG!$B$50*(COUNTIF($J27:$P27,"AB")+COUNTIF($J27:$P27,"FE")+COUNTIF($J27:$P27,"LM")))</f>
        <v/>
      </c>
      <c r="AX27" s="117">
        <f>SUMPRODUCT(($Q27:$W27="M")*6+($Q27:$W27="T")*6+($Q27:$W27="D")*12+($Q27:$W27="N")*12+($Q27:$W27="NT")*6+($Q27:$W27="C")*10+($Q27:$W27="A")*8+($Q27:$W27="J")*5+($Q27:$W27="CEP")*4+($Q27:$W27="CP")*6+($Q27:$W27="CRO")*6+($Q27:$W27="M+")*6+($Q27:$W27="T+")*6+($Q27:$W27="D+")*12+($Q27:$W27="N+")*12+($Q27:$W27="Dm+")*12+($Q27:$W27="Dt+")*12+($Q27:$W27="Tm-")*6+($Q27:$W27="Mt-")*6)</f>
        <v/>
      </c>
      <c r="AY27" s="118">
        <f>AX27-MAX(0,IFERROR(INDEX(CADASTRO!$I$4:$I$80,MATCH($A27,CADASTRO!$A$4:$A$80,0)),$B27)-CONFIG!$B$50*(COUNTIF($Q27:$W27,"AB")+COUNTIF($Q27:$W27,"FE")+COUNTIF($Q27:$W27,"LM")))</f>
        <v/>
      </c>
      <c r="AZ27" s="117">
        <f>SUMPRODUCT(($X27:$AD27="M")*6+($X27:$AD27="T")*6+($X27:$AD27="D")*12+($X27:$AD27="N")*12+($X27:$AD27="NT")*6+($X27:$AD27="C")*10+($X27:$AD27="A")*8+($X27:$AD27="J")*5+($X27:$AD27="CEP")*4+($X27:$AD27="CP")*6+($X27:$AD27="CRO")*6+($X27:$AD27="M+")*6+($X27:$AD27="T+")*6+($X27:$AD27="D+")*12+($X27:$AD27="N+")*12+($X27:$AD27="Dm+")*12+($X27:$AD27="Dt+")*12+($X27:$AD27="Tm-")*6+($X27:$AD27="Mt-")*6)</f>
        <v/>
      </c>
      <c r="BA27" s="118">
        <f>AZ27-MAX(0,IFERROR(INDEX(CADASTRO!$I$4:$I$80,MATCH($A27,CADASTRO!$A$4:$A$80,0)),$B27)-CONFIG!$B$50*(COUNTIF($X27:$AD27,"AB")+COUNTIF($X27:$AD27,"FE")+COUNTIF($X27:$AD27,"LM")))</f>
        <v/>
      </c>
      <c r="BB27" s="117">
        <f>SUMPRODUCT(($AE27:$AK27="M")*6+($AE27:$AK27="T")*6+($AE27:$AK27="D")*12+($AE27:$AK27="N")*12+($AE27:$AK27="NT")*6+($AE27:$AK27="C")*10+($AE27:$AK27="A")*8+($AE27:$AK27="J")*5+($AE27:$AK27="CEP")*4+($AE27:$AK27="CP")*6+($AE27:$AK27="CRO")*6+($AE27:$AK27="M+")*6+($AE27:$AK27="T+")*6+($AE27:$AK27="D+")*12+($AE27:$AK27="N+")*12+($AE27:$AK27="Dm+")*12+($AE27:$AK27="Dt+")*12+($AE27:$AK27="Tm-")*6+($AE27:$AK27="Mt-")*6)</f>
        <v/>
      </c>
      <c r="BC27" s="118">
        <f>BB27-MAX(0,IFERROR(INDEX(CADASTRO!$I$4:$I$80,MATCH($A27,CADASTRO!$A$4:$A$80,0)),$B27)-CONFIG!$B$50*(COUNTIF($AE27:$AK27,"AB")+COUNTIF($AE27:$AK27,"FE")+COUNTIF($AE27:$AK27,"LM")))</f>
        <v/>
      </c>
      <c r="BD27" s="117">
        <f>SUMPRODUCT(($AL27:$AM27="M")*6+($AL27:$AM27="T")*6+($AL27:$AM27="D")*12+($AL27:$AM27="N")*12+($AL27:$AM27="NT")*6+($AL27:$AM27="C")*10+($AL27:$AM27="A")*8+($AL27:$AM27="J")*5+($AL27:$AM27="CEP")*4+($AL27:$AM27="CP")*6+($AL27:$AM27="CRO")*6+($AL27:$AM27="M+")*6+($AL27:$AM27="T+")*6+($AL27:$AM27="D+")*12+($AL27:$AM27="N+")*12+($AL27:$AM27="Dm+")*12+($AL27:$AM27="Dt+")*12+($AL27:$AM27="Tm-")*6+($AL27:$AM27="Mt-")*6)+SUMPRODUCT(($AN27:$AR27="M")*6+($AN27:$AR27="T")*6+($AN27:$AR27="D")*12+($AN27:$AR27="N")*12+($AN27:$AR27="NT")*6+($AN27:$AR27="C")*10+($AN27:$AR27="A")*8+($AN27:$AR27="J")*5+($AN27:$AR27="CEP")*4+($AN27:$AR27="CP")*6+($AN27:$AR27="CRO")*6+($AN27:$AR27="M+")*6+($AN27:$AR27="T+")*6+($AN27:$AR27="D+")*12+($AN27:$AR27="N+")*12+($AN27:$AR27="Dm+")*12+($AN27:$AR27="Dt+")*12+($AN27:$AR27="Tm-")*6+($AN27:$AR27="Mt-")*6)</f>
        <v/>
      </c>
      <c r="BE27" s="118">
        <f>BD27-MAX(0,IFERROR(INDEX(CADASTRO!$I$4:$I$80,MATCH($A27,CADASTRO!$A$4:$A$80,0)),$B27)-CONFIG!$B$50*(COUNTIF($AL27:$AM27,"AB")+COUNTIF($AL27:$AM27,"FE")+COUNTIF($AL27:$AM27,"LM")+COUNTIF($AN27:$AR27,"AB")+COUNTIF($AN27:$AR27,"FE")+COUNTIF($AN27:$AR27,"LM")))</f>
        <v/>
      </c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36">
        <f>IFERROR(INDEX(FEV!AE$8:AE$73,MATCH($A28,FEV!$A$8:$A$73,0))&amp;"","")</f>
        <v/>
      </c>
      <c r="D28" s="136">
        <f>IFERROR(INDEX(FEV!AF$8:AF$73,MATCH($A28,FEV!$A$8:$A$73,0))&amp;"","")</f>
        <v/>
      </c>
      <c r="E28" s="136">
        <f>IFERROR(INDEX(FEV!AG$8:AG$73,MATCH($A28,FEV!$A$8:$A$73,0))&amp;"","")</f>
        <v/>
      </c>
      <c r="F28" s="136">
        <f>IFERROR(INDEX(FEV!AH$8:AH$73,MATCH($A28,FEV!$A$8:$A$73,0))&amp;"","")</f>
        <v/>
      </c>
      <c r="G28" s="136">
        <f>IFERROR(INDEX(FEV!AI$8:AI$73,MATCH($A28,FEV!$A$8:$A$73,0))&amp;"","")</f>
        <v/>
      </c>
      <c r="H28" s="116">
        <f>IFERROR(INDEX(FEV!AJ$8:AJ$73,MATCH($A28,FEV!$A$8:$A$73,0))&amp;"","")</f>
        <v/>
      </c>
      <c r="I28" s="114" t="n"/>
      <c r="J28" s="114" t="n"/>
      <c r="K28" s="125" t="inlineStr">
        <is>
          <t>N</t>
        </is>
      </c>
      <c r="L28" s="114" t="n"/>
      <c r="M28" s="125" t="inlineStr">
        <is>
          <t>N</t>
        </is>
      </c>
      <c r="N28" s="114" t="n"/>
      <c r="O28" s="114" t="n"/>
      <c r="P28" s="114" t="n"/>
      <c r="Q28" s="114" t="n"/>
      <c r="R28" s="114" t="n"/>
      <c r="S28" s="124" t="inlineStr">
        <is>
          <t>D</t>
        </is>
      </c>
      <c r="T28" s="125" t="inlineStr">
        <is>
          <t>N</t>
        </is>
      </c>
      <c r="U28" s="114" t="n"/>
      <c r="V28" s="114" t="n"/>
      <c r="W28" s="125" t="inlineStr">
        <is>
          <t>N</t>
        </is>
      </c>
      <c r="X28" s="114" t="n"/>
      <c r="Y28" s="114" t="n"/>
      <c r="Z28" s="114" t="n"/>
      <c r="AA28" s="114" t="n"/>
      <c r="AB28" s="126" t="inlineStr">
        <is>
          <t>T</t>
        </is>
      </c>
      <c r="AC28" s="124" t="inlineStr">
        <is>
          <t>D</t>
        </is>
      </c>
      <c r="AD28" s="125" t="inlineStr">
        <is>
          <t>N</t>
        </is>
      </c>
      <c r="AE28" s="125" t="inlineStr">
        <is>
          <t>N</t>
        </is>
      </c>
      <c r="AF28" s="114" t="n"/>
      <c r="AG28" s="124" t="inlineStr">
        <is>
          <t>D</t>
        </is>
      </c>
      <c r="AH28" s="126" t="inlineStr">
        <is>
          <t>T</t>
        </is>
      </c>
      <c r="AI28" s="114" t="n"/>
      <c r="AJ28" s="114" t="n"/>
      <c r="AK28" s="114" t="n"/>
      <c r="AL28" s="114" t="n"/>
      <c r="AM28" s="114" t="n"/>
      <c r="AN28" s="136">
        <f>IFERROR(INDEX(ABR!I$8:I$73,MATCH($A28,ABR!$A$8:$A$73,0))&amp;"","")</f>
        <v/>
      </c>
      <c r="AO28" s="136">
        <f>IFERROR(INDEX(ABR!J$8:J$73,MATCH($A28,ABR!$A$8:$A$73,0))&amp;"","")</f>
        <v/>
      </c>
      <c r="AP28" s="136">
        <f>IFERROR(INDEX(ABR!K$8:K$73,MATCH($A28,ABR!$A$8:$A$73,0))&amp;"","")</f>
        <v/>
      </c>
      <c r="AQ28" s="116">
        <f>IFERROR(INDEX(ABR!L$8:L$73,MATCH($A28,ABR!$A$8:$A$73,0))&amp;"","")</f>
        <v/>
      </c>
      <c r="AR28" s="116">
        <f>IFERROR(INDEX(ABR!M$8:M$73,MATCH($A28,ABR!$A$8:$A$73,0))&amp;"","")</f>
        <v/>
      </c>
      <c r="AS28" s="100" t="n"/>
      <c r="AT28" s="117">
        <f>SUMPRODUCT(($C28:$I28="M")*6+($C28:$I28="T")*6+($C28:$I28="D")*12+($C28:$I28="N")*12+($C28:$I28="NT")*6+($C28:$I28="C")*10+($C28:$I28="A")*8+($C28:$I28="J")*5+($C28:$I28="CEP")*4+($C28:$I28="CP")*6+($C28:$I28="CRO")*6+($C28:$I28="M+")*6+($C28:$I28="T+")*6+($C28:$I28="D+")*12+($C28:$I28="N+")*12+($C28:$I28="Dm+")*12+($C28:$I28="Dt+")*12+($C28:$I28="Tm-")*6+($C28:$I28="Mt-")*6)</f>
        <v/>
      </c>
      <c r="AU28" s="118">
        <f>AT28-MAX(0,IFERROR(INDEX(CADASTRO!$I$4:$I$80,MATCH($A28,CADASTRO!$A$4:$A$80,0)),$B28)-CONFIG!$B$50*(COUNTIF($C28:$I28,"AB")+COUNTIF($C28:$I28,"FE")+COUNTIF($C28:$I28,"LM")))</f>
        <v/>
      </c>
      <c r="AV28" s="117">
        <f>SUMPRODUCT(($J28:$P28="M")*6+($J28:$P28="T")*6+($J28:$P28="D")*12+($J28:$P28="N")*12+($J28:$P28="NT")*6+($J28:$P28="C")*10+($J28:$P28="A")*8+($J28:$P28="J")*5+($J28:$P28="CEP")*4+($J28:$P28="CP")*6+($J28:$P28="CRO")*6+($J28:$P28="M+")*6+($J28:$P28="T+")*6+($J28:$P28="D+")*12+($J28:$P28="N+")*12+($J28:$P28="Dm+")*12+($J28:$P28="Dt+")*12+($J28:$P28="Tm-")*6+($J28:$P28="Mt-")*6)</f>
        <v/>
      </c>
      <c r="AW28" s="118">
        <f>AV28-MAX(0,IFERROR(INDEX(CADASTRO!$I$4:$I$80,MATCH($A28,CADASTRO!$A$4:$A$80,0)),$B28)-CONFIG!$B$50*(COUNTIF($J28:$P28,"AB")+COUNTIF($J28:$P28,"FE")+COUNTIF($J28:$P28,"LM")))</f>
        <v/>
      </c>
      <c r="AX28" s="117">
        <f>SUMPRODUCT(($Q28:$W28="M")*6+($Q28:$W28="T")*6+($Q28:$W28="D")*12+($Q28:$W28="N")*12+($Q28:$W28="NT")*6+($Q28:$W28="C")*10+($Q28:$W28="A")*8+($Q28:$W28="J")*5+($Q28:$W28="CEP")*4+($Q28:$W28="CP")*6+($Q28:$W28="CRO")*6+($Q28:$W28="M+")*6+($Q28:$W28="T+")*6+($Q28:$W28="D+")*12+($Q28:$W28="N+")*12+($Q28:$W28="Dm+")*12+($Q28:$W28="Dt+")*12+($Q28:$W28="Tm-")*6+($Q28:$W28="Mt-")*6)</f>
        <v/>
      </c>
      <c r="AY28" s="118">
        <f>AX28-MAX(0,IFERROR(INDEX(CADASTRO!$I$4:$I$80,MATCH($A28,CADASTRO!$A$4:$A$80,0)),$B28)-CONFIG!$B$50*(COUNTIF($Q28:$W28,"AB")+COUNTIF($Q28:$W28,"FE")+COUNTIF($Q28:$W28,"LM")))</f>
        <v/>
      </c>
      <c r="AZ28" s="117">
        <f>SUMPRODUCT(($X28:$AD28="M")*6+($X28:$AD28="T")*6+($X28:$AD28="D")*12+($X28:$AD28="N")*12+($X28:$AD28="NT")*6+($X28:$AD28="C")*10+($X28:$AD28="A")*8+($X28:$AD28="J")*5+($X28:$AD28="CEP")*4+($X28:$AD28="CP")*6+($X28:$AD28="CRO")*6+($X28:$AD28="M+")*6+($X28:$AD28="T+")*6+($X28:$AD28="D+")*12+($X28:$AD28="N+")*12+($X28:$AD28="Dm+")*12+($X28:$AD28="Dt+")*12+($X28:$AD28="Tm-")*6+($X28:$AD28="Mt-")*6)</f>
        <v/>
      </c>
      <c r="BA28" s="118">
        <f>AZ28-MAX(0,IFERROR(INDEX(CADASTRO!$I$4:$I$80,MATCH($A28,CADASTRO!$A$4:$A$80,0)),$B28)-CONFIG!$B$50*(COUNTIF($X28:$AD28,"AB")+COUNTIF($X28:$AD28,"FE")+COUNTIF($X28:$AD28,"LM")))</f>
        <v/>
      </c>
      <c r="BB28" s="117">
        <f>SUMPRODUCT(($AE28:$AK28="M")*6+($AE28:$AK28="T")*6+($AE28:$AK28="D")*12+($AE28:$AK28="N")*12+($AE28:$AK28="NT")*6+($AE28:$AK28="C")*10+($AE28:$AK28="A")*8+($AE28:$AK28="J")*5+($AE28:$AK28="CEP")*4+($AE28:$AK28="CP")*6+($AE28:$AK28="CRO")*6+($AE28:$AK28="M+")*6+($AE28:$AK28="T+")*6+($AE28:$AK28="D+")*12+($AE28:$AK28="N+")*12+($AE28:$AK28="Dm+")*12+($AE28:$AK28="Dt+")*12+($AE28:$AK28="Tm-")*6+($AE28:$AK28="Mt-")*6)</f>
        <v/>
      </c>
      <c r="BC28" s="118">
        <f>BB28-MAX(0,IFERROR(INDEX(CADASTRO!$I$4:$I$80,MATCH($A28,CADASTRO!$A$4:$A$80,0)),$B28)-CONFIG!$B$50*(COUNTIF($AE28:$AK28,"AB")+COUNTIF($AE28:$AK28,"FE")+COUNTIF($AE28:$AK28,"LM")))</f>
        <v/>
      </c>
      <c r="BD28" s="117">
        <f>SUMPRODUCT(($AL28:$AM28="M")*6+($AL28:$AM28="T")*6+($AL28:$AM28="D")*12+($AL28:$AM28="N")*12+($AL28:$AM28="NT")*6+($AL28:$AM28="C")*10+($AL28:$AM28="A")*8+($AL28:$AM28="J")*5+($AL28:$AM28="CEP")*4+($AL28:$AM28="CP")*6+($AL28:$AM28="CRO")*6+($AL28:$AM28="M+")*6+($AL28:$AM28="T+")*6+($AL28:$AM28="D+")*12+($AL28:$AM28="N+")*12+($AL28:$AM28="Dm+")*12+($AL28:$AM28="Dt+")*12+($AL28:$AM28="Tm-")*6+($AL28:$AM28="Mt-")*6)+SUMPRODUCT(($AN28:$AR28="M")*6+($AN28:$AR28="T")*6+($AN28:$AR28="D")*12+($AN28:$AR28="N")*12+($AN28:$AR28="NT")*6+($AN28:$AR28="C")*10+($AN28:$AR28="A")*8+($AN28:$AR28="J")*5+($AN28:$AR28="CEP")*4+($AN28:$AR28="CP")*6+($AN28:$AR28="CRO")*6+($AN28:$AR28="M+")*6+($AN28:$AR28="T+")*6+($AN28:$AR28="D+")*12+($AN28:$AR28="N+")*12+($AN28:$AR28="Dm+")*12+($AN28:$AR28="Dt+")*12+($AN28:$AR28="Tm-")*6+($AN28:$AR28="Mt-")*6)</f>
        <v/>
      </c>
      <c r="BE28" s="118">
        <f>BD28-MAX(0,IFERROR(INDEX(CADASTRO!$I$4:$I$80,MATCH($A28,CADASTRO!$A$4:$A$80,0)),$B28)-CONFIG!$B$50*(COUNTIF($AL28:$AM28,"AB")+COUNTIF($AL28:$AM28,"FE")+COUNTIF($AL28:$AM28,"LM")+COUNTIF($AN28:$AR28,"AB")+COUNTIF($AN28:$AR28,"FE")+COUNTIF($AN28:$AR28,"LM")))</f>
        <v/>
      </c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36">
        <f>IFERROR(INDEX(FEV!AE$8:AE$73,MATCH($A29,FEV!$A$8:$A$73,0))&amp;"","")</f>
        <v/>
      </c>
      <c r="D29" s="136">
        <f>IFERROR(INDEX(FEV!AF$8:AF$73,MATCH($A29,FEV!$A$8:$A$73,0))&amp;"","")</f>
        <v/>
      </c>
      <c r="E29" s="136">
        <f>IFERROR(INDEX(FEV!AG$8:AG$73,MATCH($A29,FEV!$A$8:$A$73,0))&amp;"","")</f>
        <v/>
      </c>
      <c r="F29" s="136">
        <f>IFERROR(INDEX(FEV!AH$8:AH$73,MATCH($A29,FEV!$A$8:$A$73,0))&amp;"","")</f>
        <v/>
      </c>
      <c r="G29" s="136">
        <f>IFERROR(INDEX(FEV!AI$8:AI$73,MATCH($A29,FEV!$A$8:$A$73,0))&amp;"","")</f>
        <v/>
      </c>
      <c r="H29" s="116">
        <f>IFERROR(INDEX(FEV!AJ$8:AJ$73,MATCH($A29,FEV!$A$8:$A$73,0))&amp;"","")</f>
        <v/>
      </c>
      <c r="I29" s="114" t="n"/>
      <c r="J29" s="125" t="inlineStr">
        <is>
          <t>N</t>
        </is>
      </c>
      <c r="K29" s="114" t="n"/>
      <c r="L29" s="115" t="inlineStr">
        <is>
          <t>M</t>
        </is>
      </c>
      <c r="M29" s="115" t="inlineStr">
        <is>
          <t>M</t>
        </is>
      </c>
      <c r="N29" s="114" t="n"/>
      <c r="O29" s="115" t="inlineStr">
        <is>
          <t>M</t>
        </is>
      </c>
      <c r="P29" s="114" t="n"/>
      <c r="Q29" s="125" t="inlineStr">
        <is>
          <t>N</t>
        </is>
      </c>
      <c r="R29" s="114" t="n"/>
      <c r="S29" s="114" t="n"/>
      <c r="T29" s="115" t="inlineStr">
        <is>
          <t>M</t>
        </is>
      </c>
      <c r="U29" s="114" t="n"/>
      <c r="V29" s="115" t="inlineStr">
        <is>
          <t>M</t>
        </is>
      </c>
      <c r="W29" s="115" t="inlineStr">
        <is>
          <t>M</t>
        </is>
      </c>
      <c r="X29" s="114" t="n"/>
      <c r="Y29" s="114" t="n"/>
      <c r="Z29" s="115" t="inlineStr">
        <is>
          <t>M</t>
        </is>
      </c>
      <c r="AA29" s="115" t="inlineStr">
        <is>
          <t>M</t>
        </is>
      </c>
      <c r="AB29" s="125" t="inlineStr">
        <is>
          <t>N</t>
        </is>
      </c>
      <c r="AC29" s="114" t="n"/>
      <c r="AD29" s="115" t="inlineStr">
        <is>
          <t>M</t>
        </is>
      </c>
      <c r="AE29" s="125" t="inlineStr">
        <is>
          <t>N</t>
        </is>
      </c>
      <c r="AF29" s="114" t="n"/>
      <c r="AG29" s="115" t="inlineStr">
        <is>
          <t>M</t>
        </is>
      </c>
      <c r="AH29" s="114" t="n"/>
      <c r="AI29" s="114" t="n"/>
      <c r="AJ29" s="115" t="inlineStr">
        <is>
          <t>M</t>
        </is>
      </c>
      <c r="AK29" s="114" t="n"/>
      <c r="AL29" s="125" t="inlineStr">
        <is>
          <t>N</t>
        </is>
      </c>
      <c r="AM29" s="126" t="inlineStr">
        <is>
          <t>T</t>
        </is>
      </c>
      <c r="AN29" s="136">
        <f>IFERROR(INDEX(ABR!I$8:I$73,MATCH($A29,ABR!$A$8:$A$73,0))&amp;"","")</f>
        <v/>
      </c>
      <c r="AO29" s="136">
        <f>IFERROR(INDEX(ABR!J$8:J$73,MATCH($A29,ABR!$A$8:$A$73,0))&amp;"","")</f>
        <v/>
      </c>
      <c r="AP29" s="136">
        <f>IFERROR(INDEX(ABR!K$8:K$73,MATCH($A29,ABR!$A$8:$A$73,0))&amp;"","")</f>
        <v/>
      </c>
      <c r="AQ29" s="116">
        <f>IFERROR(INDEX(ABR!L$8:L$73,MATCH($A29,ABR!$A$8:$A$73,0))&amp;"","")</f>
        <v/>
      </c>
      <c r="AR29" s="116">
        <f>IFERROR(INDEX(ABR!M$8:M$73,MATCH($A29,ABR!$A$8:$A$73,0))&amp;"","")</f>
        <v/>
      </c>
      <c r="AS29" s="100" t="n"/>
      <c r="AT29" s="117">
        <f>SUMPRODUCT(($C29:$I29="M")*6+($C29:$I29="T")*6+($C29:$I29="D")*12+($C29:$I29="N")*12+($C29:$I29="NT")*6+($C29:$I29="C")*10+($C29:$I29="A")*8+($C29:$I29="J")*5+($C29:$I29="CEP")*4+($C29:$I29="CP")*6+($C29:$I29="CRO")*6+($C29:$I29="M+")*6+($C29:$I29="T+")*6+($C29:$I29="D+")*12+($C29:$I29="N+")*12+($C29:$I29="Dm+")*12+($C29:$I29="Dt+")*12+($C29:$I29="Tm-")*6+($C29:$I29="Mt-")*6)</f>
        <v/>
      </c>
      <c r="AU29" s="118">
        <f>AT29-MAX(0,IFERROR(INDEX(CADASTRO!$I$4:$I$80,MATCH($A29,CADASTRO!$A$4:$A$80,0)),$B29)-CONFIG!$B$50*(COUNTIF($C29:$I29,"AB")+COUNTIF($C29:$I29,"FE")+COUNTIF($C29:$I29,"LM")))</f>
        <v/>
      </c>
      <c r="AV29" s="117">
        <f>SUMPRODUCT(($J29:$P29="M")*6+($J29:$P29="T")*6+($J29:$P29="D")*12+($J29:$P29="N")*12+($J29:$P29="NT")*6+($J29:$P29="C")*10+($J29:$P29="A")*8+($J29:$P29="J")*5+($J29:$P29="CEP")*4+($J29:$P29="CP")*6+($J29:$P29="CRO")*6+($J29:$P29="M+")*6+($J29:$P29="T+")*6+($J29:$P29="D+")*12+($J29:$P29="N+")*12+($J29:$P29="Dm+")*12+($J29:$P29="Dt+")*12+($J29:$P29="Tm-")*6+($J29:$P29="Mt-")*6)</f>
        <v/>
      </c>
      <c r="AW29" s="118">
        <f>AV29-MAX(0,IFERROR(INDEX(CADASTRO!$I$4:$I$80,MATCH($A29,CADASTRO!$A$4:$A$80,0)),$B29)-CONFIG!$B$50*(COUNTIF($J29:$P29,"AB")+COUNTIF($J29:$P29,"FE")+COUNTIF($J29:$P29,"LM")))</f>
        <v/>
      </c>
      <c r="AX29" s="117">
        <f>SUMPRODUCT(($Q29:$W29="M")*6+($Q29:$W29="T")*6+($Q29:$W29="D")*12+($Q29:$W29="N")*12+($Q29:$W29="NT")*6+($Q29:$W29="C")*10+($Q29:$W29="A")*8+($Q29:$W29="J")*5+($Q29:$W29="CEP")*4+($Q29:$W29="CP")*6+($Q29:$W29="CRO")*6+($Q29:$W29="M+")*6+($Q29:$W29="T+")*6+($Q29:$W29="D+")*12+($Q29:$W29="N+")*12+($Q29:$W29="Dm+")*12+($Q29:$W29="Dt+")*12+($Q29:$W29="Tm-")*6+($Q29:$W29="Mt-")*6)</f>
        <v/>
      </c>
      <c r="AY29" s="118">
        <f>AX29-MAX(0,IFERROR(INDEX(CADASTRO!$I$4:$I$80,MATCH($A29,CADASTRO!$A$4:$A$80,0)),$B29)-CONFIG!$B$50*(COUNTIF($Q29:$W29,"AB")+COUNTIF($Q29:$W29,"FE")+COUNTIF($Q29:$W29,"LM")))</f>
        <v/>
      </c>
      <c r="AZ29" s="117">
        <f>SUMPRODUCT(($X29:$AD29="M")*6+($X29:$AD29="T")*6+($X29:$AD29="D")*12+($X29:$AD29="N")*12+($X29:$AD29="NT")*6+($X29:$AD29="C")*10+($X29:$AD29="A")*8+($X29:$AD29="J")*5+($X29:$AD29="CEP")*4+($X29:$AD29="CP")*6+($X29:$AD29="CRO")*6+($X29:$AD29="M+")*6+($X29:$AD29="T+")*6+($X29:$AD29="D+")*12+($X29:$AD29="N+")*12+($X29:$AD29="Dm+")*12+($X29:$AD29="Dt+")*12+($X29:$AD29="Tm-")*6+($X29:$AD29="Mt-")*6)</f>
        <v/>
      </c>
      <c r="BA29" s="118">
        <f>AZ29-MAX(0,IFERROR(INDEX(CADASTRO!$I$4:$I$80,MATCH($A29,CADASTRO!$A$4:$A$80,0)),$B29)-CONFIG!$B$50*(COUNTIF($X29:$AD29,"AB")+COUNTIF($X29:$AD29,"FE")+COUNTIF($X29:$AD29,"LM")))</f>
        <v/>
      </c>
      <c r="BB29" s="117">
        <f>SUMPRODUCT(($AE29:$AK29="M")*6+($AE29:$AK29="T")*6+($AE29:$AK29="D")*12+($AE29:$AK29="N")*12+($AE29:$AK29="NT")*6+($AE29:$AK29="C")*10+($AE29:$AK29="A")*8+($AE29:$AK29="J")*5+($AE29:$AK29="CEP")*4+($AE29:$AK29="CP")*6+($AE29:$AK29="CRO")*6+($AE29:$AK29="M+")*6+($AE29:$AK29="T+")*6+($AE29:$AK29="D+")*12+($AE29:$AK29="N+")*12+($AE29:$AK29="Dm+")*12+($AE29:$AK29="Dt+")*12+($AE29:$AK29="Tm-")*6+($AE29:$AK29="Mt-")*6)</f>
        <v/>
      </c>
      <c r="BC29" s="118">
        <f>BB29-MAX(0,IFERROR(INDEX(CADASTRO!$I$4:$I$80,MATCH($A29,CADASTRO!$A$4:$A$80,0)),$B29)-CONFIG!$B$50*(COUNTIF($AE29:$AK29,"AB")+COUNTIF($AE29:$AK29,"FE")+COUNTIF($AE29:$AK29,"LM")))</f>
        <v/>
      </c>
      <c r="BD29" s="117">
        <f>SUMPRODUCT(($AL29:$AM29="M")*6+($AL29:$AM29="T")*6+($AL29:$AM29="D")*12+($AL29:$AM29="N")*12+($AL29:$AM29="NT")*6+($AL29:$AM29="C")*10+($AL29:$AM29="A")*8+($AL29:$AM29="J")*5+($AL29:$AM29="CEP")*4+($AL29:$AM29="CP")*6+($AL29:$AM29="CRO")*6+($AL29:$AM29="M+")*6+($AL29:$AM29="T+")*6+($AL29:$AM29="D+")*12+($AL29:$AM29="N+")*12+($AL29:$AM29="Dm+")*12+($AL29:$AM29="Dt+")*12+($AL29:$AM29="Tm-")*6+($AL29:$AM29="Mt-")*6)+SUMPRODUCT(($AN29:$AR29="M")*6+($AN29:$AR29="T")*6+($AN29:$AR29="D")*12+($AN29:$AR29="N")*12+($AN29:$AR29="NT")*6+($AN29:$AR29="C")*10+($AN29:$AR29="A")*8+($AN29:$AR29="J")*5+($AN29:$AR29="CEP")*4+($AN29:$AR29="CP")*6+($AN29:$AR29="CRO")*6+($AN29:$AR29="M+")*6+($AN29:$AR29="T+")*6+($AN29:$AR29="D+")*12+($AN29:$AR29="N+")*12+($AN29:$AR29="Dm+")*12+($AN29:$AR29="Dt+")*12+($AN29:$AR29="Tm-")*6+($AN29:$AR29="Mt-")*6)</f>
        <v/>
      </c>
      <c r="BE29" s="118">
        <f>BD29-MAX(0,IFERROR(INDEX(CADASTRO!$I$4:$I$80,MATCH($A29,CADASTRO!$A$4:$A$80,0)),$B29)-CONFIG!$B$50*(COUNTIF($AL29:$AM29,"AB")+COUNTIF($AL29:$AM29,"FE")+COUNTIF($AL29:$AM29,"LM")+COUNTIF($AN29:$AR29,"AB")+COUNTIF($AN29:$AR29,"FE")+COUNTIF($AN29:$AR29,"LM")))</f>
        <v/>
      </c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36">
        <f>IFERROR(INDEX(FEV!AE$8:AE$73,MATCH($A30,FEV!$A$8:$A$73,0))&amp;"","")</f>
        <v/>
      </c>
      <c r="D30" s="136">
        <f>IFERROR(INDEX(FEV!AF$8:AF$73,MATCH($A30,FEV!$A$8:$A$73,0))&amp;"","")</f>
        <v/>
      </c>
      <c r="E30" s="136">
        <f>IFERROR(INDEX(FEV!AG$8:AG$73,MATCH($A30,FEV!$A$8:$A$73,0))&amp;"","")</f>
        <v/>
      </c>
      <c r="F30" s="136">
        <f>IFERROR(INDEX(FEV!AH$8:AH$73,MATCH($A30,FEV!$A$8:$A$73,0))&amp;"","")</f>
        <v/>
      </c>
      <c r="G30" s="136">
        <f>IFERROR(INDEX(FEV!AI$8:AI$73,MATCH($A30,FEV!$A$8:$A$73,0))&amp;"","")</f>
        <v/>
      </c>
      <c r="H30" s="116">
        <f>IFERROR(INDEX(FEV!AJ$8:AJ$73,MATCH($A30,FEV!$A$8:$A$73,0))&amp;"","")</f>
        <v/>
      </c>
      <c r="I30" s="125" t="inlineStr">
        <is>
          <t>N</t>
        </is>
      </c>
      <c r="J30" s="127" t="inlineStr">
        <is>
          <t>T-</t>
        </is>
      </c>
      <c r="K30" s="125" t="inlineStr">
        <is>
          <t>N</t>
        </is>
      </c>
      <c r="L30" s="126" t="inlineStr">
        <is>
          <t>T</t>
        </is>
      </c>
      <c r="M30" s="126" t="inlineStr">
        <is>
          <t>T</t>
        </is>
      </c>
      <c r="N30" s="114" t="n"/>
      <c r="O30" s="114" t="n"/>
      <c r="P30" s="114" t="n"/>
      <c r="Q30" s="114" t="n"/>
      <c r="R30" s="125" t="inlineStr">
        <is>
          <t>N</t>
        </is>
      </c>
      <c r="S30" s="126" t="inlineStr">
        <is>
          <t>T</t>
        </is>
      </c>
      <c r="T30" s="114" t="n"/>
      <c r="U30" s="123" t="inlineStr">
        <is>
          <t>T+</t>
        </is>
      </c>
      <c r="V30" s="114" t="n"/>
      <c r="W30" s="125" t="inlineStr">
        <is>
          <t>N</t>
        </is>
      </c>
      <c r="X30" s="114" t="n"/>
      <c r="Y30" s="114" t="n"/>
      <c r="Z30" s="114" t="n"/>
      <c r="AA30" s="114" t="n"/>
      <c r="AB30" s="114" t="n"/>
      <c r="AC30" s="114" t="n"/>
      <c r="AD30" s="114" t="n"/>
      <c r="AE30" s="114" t="n"/>
      <c r="AF30" s="114" t="n"/>
      <c r="AG30" s="114" t="n"/>
      <c r="AH30" s="114" t="n"/>
      <c r="AI30" s="114" t="n"/>
      <c r="AJ30" s="114" t="n"/>
      <c r="AK30" s="114" t="n"/>
      <c r="AL30" s="114" t="n"/>
      <c r="AM30" s="125" t="inlineStr">
        <is>
          <t>N</t>
        </is>
      </c>
      <c r="AN30" s="136">
        <f>IFERROR(INDEX(ABR!I$8:I$73,MATCH($A30,ABR!$A$8:$A$73,0))&amp;"","")</f>
        <v/>
      </c>
      <c r="AO30" s="136">
        <f>IFERROR(INDEX(ABR!J$8:J$73,MATCH($A30,ABR!$A$8:$A$73,0))&amp;"","")</f>
        <v/>
      </c>
      <c r="AP30" s="136">
        <f>IFERROR(INDEX(ABR!K$8:K$73,MATCH($A30,ABR!$A$8:$A$73,0))&amp;"","")</f>
        <v/>
      </c>
      <c r="AQ30" s="116">
        <f>IFERROR(INDEX(ABR!L$8:L$73,MATCH($A30,ABR!$A$8:$A$73,0))&amp;"","")</f>
        <v/>
      </c>
      <c r="AR30" s="116">
        <f>IFERROR(INDEX(ABR!M$8:M$73,MATCH($A30,ABR!$A$8:$A$73,0))&amp;"","")</f>
        <v/>
      </c>
      <c r="AS30" s="100" t="n"/>
      <c r="AT30" s="117">
        <f>SUMPRODUCT(($C30:$I30="M")*6+($C30:$I30="T")*6+($C30:$I30="D")*12+($C30:$I30="N")*12+($C30:$I30="NT")*6+($C30:$I30="C")*10+($C30:$I30="A")*8+($C30:$I30="J")*5+($C30:$I30="CEP")*4+($C30:$I30="CP")*6+($C30:$I30="CRO")*6+($C30:$I30="M+")*6+($C30:$I30="T+")*6+($C30:$I30="D+")*12+($C30:$I30="N+")*12+($C30:$I30="Dm+")*12+($C30:$I30="Dt+")*12+($C30:$I30="Tm-")*6+($C30:$I30="Mt-")*6)</f>
        <v/>
      </c>
      <c r="AU30" s="118">
        <f>AT30-MAX(0,IFERROR(INDEX(CADASTRO!$I$4:$I$80,MATCH($A30,CADASTRO!$A$4:$A$80,0)),$B30)-CONFIG!$B$50*(COUNTIF($C30:$I30,"AB")+COUNTIF($C30:$I30,"FE")+COUNTIF($C30:$I30,"LM")))</f>
        <v/>
      </c>
      <c r="AV30" s="117">
        <f>SUMPRODUCT(($J30:$P30="M")*6+($J30:$P30="T")*6+($J30:$P30="D")*12+($J30:$P30="N")*12+($J30:$P30="NT")*6+($J30:$P30="C")*10+($J30:$P30="A")*8+($J30:$P30="J")*5+($J30:$P30="CEP")*4+($J30:$P30="CP")*6+($J30:$P30="CRO")*6+($J30:$P30="M+")*6+($J30:$P30="T+")*6+($J30:$P30="D+")*12+($J30:$P30="N+")*12+($J30:$P30="Dm+")*12+($J30:$P30="Dt+")*12+($J30:$P30="Tm-")*6+($J30:$P30="Mt-")*6)</f>
        <v/>
      </c>
      <c r="AW30" s="118">
        <f>AV30-MAX(0,IFERROR(INDEX(CADASTRO!$I$4:$I$80,MATCH($A30,CADASTRO!$A$4:$A$80,0)),$B30)-CONFIG!$B$50*(COUNTIF($J30:$P30,"AB")+COUNTIF($J30:$P30,"FE")+COUNTIF($J30:$P30,"LM")))</f>
        <v/>
      </c>
      <c r="AX30" s="117">
        <f>SUMPRODUCT(($Q30:$W30="M")*6+($Q30:$W30="T")*6+($Q30:$W30="D")*12+($Q30:$W30="N")*12+($Q30:$W30="NT")*6+($Q30:$W30="C")*10+($Q30:$W30="A")*8+($Q30:$W30="J")*5+($Q30:$W30="CEP")*4+($Q30:$W30="CP")*6+($Q30:$W30="CRO")*6+($Q30:$W30="M+")*6+($Q30:$W30="T+")*6+($Q30:$W30="D+")*12+($Q30:$W30="N+")*12+($Q30:$W30="Dm+")*12+($Q30:$W30="Dt+")*12+($Q30:$W30="Tm-")*6+($Q30:$W30="Mt-")*6)</f>
        <v/>
      </c>
      <c r="AY30" s="118">
        <f>AX30-MAX(0,IFERROR(INDEX(CADASTRO!$I$4:$I$80,MATCH($A30,CADASTRO!$A$4:$A$80,0)),$B30)-CONFIG!$B$50*(COUNTIF($Q30:$W30,"AB")+COUNTIF($Q30:$W30,"FE")+COUNTIF($Q30:$W30,"LM")))</f>
        <v/>
      </c>
      <c r="AZ30" s="117">
        <f>SUMPRODUCT(($X30:$AD30="M")*6+($X30:$AD30="T")*6+($X30:$AD30="D")*12+($X30:$AD30="N")*12+($X30:$AD30="NT")*6+($X30:$AD30="C")*10+($X30:$AD30="A")*8+($X30:$AD30="J")*5+($X30:$AD30="CEP")*4+($X30:$AD30="CP")*6+($X30:$AD30="CRO")*6+($X30:$AD30="M+")*6+($X30:$AD30="T+")*6+($X30:$AD30="D+")*12+($X30:$AD30="N+")*12+($X30:$AD30="Dm+")*12+($X30:$AD30="Dt+")*12+($X30:$AD30="Tm-")*6+($X30:$AD30="Mt-")*6)</f>
        <v/>
      </c>
      <c r="BA30" s="118">
        <f>AZ30-MAX(0,IFERROR(INDEX(CADASTRO!$I$4:$I$80,MATCH($A30,CADASTRO!$A$4:$A$80,0)),$B30)-CONFIG!$B$50*(COUNTIF($X30:$AD30,"AB")+COUNTIF($X30:$AD30,"FE")+COUNTIF($X30:$AD30,"LM")))</f>
        <v/>
      </c>
      <c r="BB30" s="117">
        <f>SUMPRODUCT(($AE30:$AK30="M")*6+($AE30:$AK30="T")*6+($AE30:$AK30="D")*12+($AE30:$AK30="N")*12+($AE30:$AK30="NT")*6+($AE30:$AK30="C")*10+($AE30:$AK30="A")*8+($AE30:$AK30="J")*5+($AE30:$AK30="CEP")*4+($AE30:$AK30="CP")*6+($AE30:$AK30="CRO")*6+($AE30:$AK30="M+")*6+($AE30:$AK30="T+")*6+($AE30:$AK30="D+")*12+($AE30:$AK30="N+")*12+($AE30:$AK30="Dm+")*12+($AE30:$AK30="Dt+")*12+($AE30:$AK30="Tm-")*6+($AE30:$AK30="Mt-")*6)</f>
        <v/>
      </c>
      <c r="BC30" s="118">
        <f>BB30-MAX(0,IFERROR(INDEX(CADASTRO!$I$4:$I$80,MATCH($A30,CADASTRO!$A$4:$A$80,0)),$B30)-CONFIG!$B$50*(COUNTIF($AE30:$AK30,"AB")+COUNTIF($AE30:$AK30,"FE")+COUNTIF($AE30:$AK30,"LM")))</f>
        <v/>
      </c>
      <c r="BD30" s="117">
        <f>SUMPRODUCT(($AL30:$AM30="M")*6+($AL30:$AM30="T")*6+($AL30:$AM30="D")*12+($AL30:$AM30="N")*12+($AL30:$AM30="NT")*6+($AL30:$AM30="C")*10+($AL30:$AM30="A")*8+($AL30:$AM30="J")*5+($AL30:$AM30="CEP")*4+($AL30:$AM30="CP")*6+($AL30:$AM30="CRO")*6+($AL30:$AM30="M+")*6+($AL30:$AM30="T+")*6+($AL30:$AM30="D+")*12+($AL30:$AM30="N+")*12+($AL30:$AM30="Dm+")*12+($AL30:$AM30="Dt+")*12+($AL30:$AM30="Tm-")*6+($AL30:$AM30="Mt-")*6)+SUMPRODUCT(($AN30:$AR30="M")*6+($AN30:$AR30="T")*6+($AN30:$AR30="D")*12+($AN30:$AR30="N")*12+($AN30:$AR30="NT")*6+($AN30:$AR30="C")*10+($AN30:$AR30="A")*8+($AN30:$AR30="J")*5+($AN30:$AR30="CEP")*4+($AN30:$AR30="CP")*6+($AN30:$AR30="CRO")*6+($AN30:$AR30="M+")*6+($AN30:$AR30="T+")*6+($AN30:$AR30="D+")*12+($AN30:$AR30="N+")*12+($AN30:$AR30="Dm+")*12+($AN30:$AR30="Dt+")*12+($AN30:$AR30="Tm-")*6+($AN30:$AR30="Mt-")*6)</f>
        <v/>
      </c>
      <c r="BE30" s="118">
        <f>BD30-MAX(0,IFERROR(INDEX(CADASTRO!$I$4:$I$80,MATCH($A30,CADASTRO!$A$4:$A$80,0)),$B30)-CONFIG!$B$50*(COUNTIF($AL30:$AM30,"AB")+COUNTIF($AL30:$AM30,"FE")+COUNTIF($AL30:$AM30,"LM")+COUNTIF($AN30:$AR30,"AB")+COUNTIF($AN30:$AR30,"FE")+COUNTIF($AN30:$AR30,"LM")))</f>
        <v/>
      </c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36">
        <f>IFERROR(INDEX(FEV!AE$8:AE$73,MATCH($A31,FEV!$A$8:$A$73,0))&amp;"","")</f>
        <v/>
      </c>
      <c r="D31" s="136">
        <f>IFERROR(INDEX(FEV!AF$8:AF$73,MATCH($A31,FEV!$A$8:$A$73,0))&amp;"","")</f>
        <v/>
      </c>
      <c r="E31" s="136">
        <f>IFERROR(INDEX(FEV!AG$8:AG$73,MATCH($A31,FEV!$A$8:$A$73,0))&amp;"","")</f>
        <v/>
      </c>
      <c r="F31" s="136">
        <f>IFERROR(INDEX(FEV!AH$8:AH$73,MATCH($A31,FEV!$A$8:$A$73,0))&amp;"","")</f>
        <v/>
      </c>
      <c r="G31" s="136">
        <f>IFERROR(INDEX(FEV!AI$8:AI$73,MATCH($A31,FEV!$A$8:$A$73,0))&amp;"","")</f>
        <v/>
      </c>
      <c r="H31" s="116">
        <f>IFERROR(INDEX(FEV!AJ$8:AJ$73,MATCH($A31,FEV!$A$8:$A$73,0))&amp;"","")</f>
        <v/>
      </c>
      <c r="I31" s="114" t="n"/>
      <c r="J31" s="114" t="n"/>
      <c r="K31" s="125" t="inlineStr">
        <is>
          <t>N</t>
        </is>
      </c>
      <c r="L31" s="126" t="inlineStr">
        <is>
          <t>T</t>
        </is>
      </c>
      <c r="M31" s="114" t="n"/>
      <c r="N31" s="115" t="inlineStr">
        <is>
          <t>M</t>
        </is>
      </c>
      <c r="O31" s="115" t="inlineStr">
        <is>
          <t>M</t>
        </is>
      </c>
      <c r="P31" s="114" t="n"/>
      <c r="Q31" s="124" t="inlineStr">
        <is>
          <t>D</t>
        </is>
      </c>
      <c r="R31" s="114" t="n"/>
      <c r="S31" s="126" t="inlineStr">
        <is>
          <t>T</t>
        </is>
      </c>
      <c r="T31" s="114" t="n"/>
      <c r="U31" s="115" t="inlineStr">
        <is>
          <t>M</t>
        </is>
      </c>
      <c r="V31" s="125" t="inlineStr">
        <is>
          <t>N</t>
        </is>
      </c>
      <c r="W31" s="114" t="n"/>
      <c r="X31" s="124" t="inlineStr">
        <is>
          <t>D</t>
        </is>
      </c>
      <c r="Y31" s="125" t="inlineStr">
        <is>
          <t>N</t>
        </is>
      </c>
      <c r="Z31" s="126" t="inlineStr">
        <is>
          <t>T</t>
        </is>
      </c>
      <c r="AA31" s="114" t="n"/>
      <c r="AB31" s="115" t="inlineStr">
        <is>
          <t>M</t>
        </is>
      </c>
      <c r="AC31" s="114" t="n"/>
      <c r="AD31" s="114" t="n"/>
      <c r="AE31" s="114" t="n"/>
      <c r="AF31" s="125" t="inlineStr">
        <is>
          <t>N</t>
        </is>
      </c>
      <c r="AG31" s="114" t="n"/>
      <c r="AH31" s="114" t="n"/>
      <c r="AI31" s="115" t="inlineStr">
        <is>
          <t>M</t>
        </is>
      </c>
      <c r="AJ31" s="125" t="inlineStr">
        <is>
          <t>N</t>
        </is>
      </c>
      <c r="AK31" s="115" t="inlineStr">
        <is>
          <t>M</t>
        </is>
      </c>
      <c r="AL31" s="114" t="n"/>
      <c r="AM31" s="125" t="inlineStr">
        <is>
          <t>N</t>
        </is>
      </c>
      <c r="AN31" s="136">
        <f>IFERROR(INDEX(ABR!I$8:I$73,MATCH($A31,ABR!$A$8:$A$73,0))&amp;"","")</f>
        <v/>
      </c>
      <c r="AO31" s="136">
        <f>IFERROR(INDEX(ABR!J$8:J$73,MATCH($A31,ABR!$A$8:$A$73,0))&amp;"","")</f>
        <v/>
      </c>
      <c r="AP31" s="136">
        <f>IFERROR(INDEX(ABR!K$8:K$73,MATCH($A31,ABR!$A$8:$A$73,0))&amp;"","")</f>
        <v/>
      </c>
      <c r="AQ31" s="116">
        <f>IFERROR(INDEX(ABR!L$8:L$73,MATCH($A31,ABR!$A$8:$A$73,0))&amp;"","")</f>
        <v/>
      </c>
      <c r="AR31" s="116">
        <f>IFERROR(INDEX(ABR!M$8:M$73,MATCH($A31,ABR!$A$8:$A$73,0))&amp;"","")</f>
        <v/>
      </c>
      <c r="AS31" s="100" t="n"/>
      <c r="AT31" s="117">
        <f>SUMPRODUCT(($C31:$I31="M")*6+($C31:$I31="T")*6+($C31:$I31="D")*12+($C31:$I31="N")*12+($C31:$I31="NT")*6+($C31:$I31="C")*10+($C31:$I31="A")*8+($C31:$I31="J")*5+($C31:$I31="CEP")*4+($C31:$I31="CP")*6+($C31:$I31="CRO")*6+($C31:$I31="M+")*6+($C31:$I31="T+")*6+($C31:$I31="D+")*12+($C31:$I31="N+")*12+($C31:$I31="Dm+")*12+($C31:$I31="Dt+")*12+($C31:$I31="Tm-")*6+($C31:$I31="Mt-")*6)</f>
        <v/>
      </c>
      <c r="AU31" s="118">
        <f>AT31-MAX(0,IFERROR(INDEX(CADASTRO!$I$4:$I$80,MATCH($A31,CADASTRO!$A$4:$A$80,0)),$B31)-CONFIG!$B$50*(COUNTIF($C31:$I31,"AB")+COUNTIF($C31:$I31,"FE")+COUNTIF($C31:$I31,"LM")))</f>
        <v/>
      </c>
      <c r="AV31" s="117">
        <f>SUMPRODUCT(($J31:$P31="M")*6+($J31:$P31="T")*6+($J31:$P31="D")*12+($J31:$P31="N")*12+($J31:$P31="NT")*6+($J31:$P31="C")*10+($J31:$P31="A")*8+($J31:$P31="J")*5+($J31:$P31="CEP")*4+($J31:$P31="CP")*6+($J31:$P31="CRO")*6+($J31:$P31="M+")*6+($J31:$P31="T+")*6+($J31:$P31="D+")*12+($J31:$P31="N+")*12+($J31:$P31="Dm+")*12+($J31:$P31="Dt+")*12+($J31:$P31="Tm-")*6+($J31:$P31="Mt-")*6)</f>
        <v/>
      </c>
      <c r="AW31" s="118">
        <f>AV31-MAX(0,IFERROR(INDEX(CADASTRO!$I$4:$I$80,MATCH($A31,CADASTRO!$A$4:$A$80,0)),$B31)-CONFIG!$B$50*(COUNTIF($J31:$P31,"AB")+COUNTIF($J31:$P31,"FE")+COUNTIF($J31:$P31,"LM")))</f>
        <v/>
      </c>
      <c r="AX31" s="117">
        <f>SUMPRODUCT(($Q31:$W31="M")*6+($Q31:$W31="T")*6+($Q31:$W31="D")*12+($Q31:$W31="N")*12+($Q31:$W31="NT")*6+($Q31:$W31="C")*10+($Q31:$W31="A")*8+($Q31:$W31="J")*5+($Q31:$W31="CEP")*4+($Q31:$W31="CP")*6+($Q31:$W31="CRO")*6+($Q31:$W31="M+")*6+($Q31:$W31="T+")*6+($Q31:$W31="D+")*12+($Q31:$W31="N+")*12+($Q31:$W31="Dm+")*12+($Q31:$W31="Dt+")*12+($Q31:$W31="Tm-")*6+($Q31:$W31="Mt-")*6)</f>
        <v/>
      </c>
      <c r="AY31" s="118">
        <f>AX31-MAX(0,IFERROR(INDEX(CADASTRO!$I$4:$I$80,MATCH($A31,CADASTRO!$A$4:$A$80,0)),$B31)-CONFIG!$B$50*(COUNTIF($Q31:$W31,"AB")+COUNTIF($Q31:$W31,"FE")+COUNTIF($Q31:$W31,"LM")))</f>
        <v/>
      </c>
      <c r="AZ31" s="117">
        <f>SUMPRODUCT(($X31:$AD31="M")*6+($X31:$AD31="T")*6+($X31:$AD31="D")*12+($X31:$AD31="N")*12+($X31:$AD31="NT")*6+($X31:$AD31="C")*10+($X31:$AD31="A")*8+($X31:$AD31="J")*5+($X31:$AD31="CEP")*4+($X31:$AD31="CP")*6+($X31:$AD31="CRO")*6+($X31:$AD31="M+")*6+($X31:$AD31="T+")*6+($X31:$AD31="D+")*12+($X31:$AD31="N+")*12+($X31:$AD31="Dm+")*12+($X31:$AD31="Dt+")*12+($X31:$AD31="Tm-")*6+($X31:$AD31="Mt-")*6)</f>
        <v/>
      </c>
      <c r="BA31" s="118">
        <f>AZ31-MAX(0,IFERROR(INDEX(CADASTRO!$I$4:$I$80,MATCH($A31,CADASTRO!$A$4:$A$80,0)),$B31)-CONFIG!$B$50*(COUNTIF($X31:$AD31,"AB")+COUNTIF($X31:$AD31,"FE")+COUNTIF($X31:$AD31,"LM")))</f>
        <v/>
      </c>
      <c r="BB31" s="117">
        <f>SUMPRODUCT(($AE31:$AK31="M")*6+($AE31:$AK31="T")*6+($AE31:$AK31="D")*12+($AE31:$AK31="N")*12+($AE31:$AK31="NT")*6+($AE31:$AK31="C")*10+($AE31:$AK31="A")*8+($AE31:$AK31="J")*5+($AE31:$AK31="CEP")*4+($AE31:$AK31="CP")*6+($AE31:$AK31="CRO")*6+($AE31:$AK31="M+")*6+($AE31:$AK31="T+")*6+($AE31:$AK31="D+")*12+($AE31:$AK31="N+")*12+($AE31:$AK31="Dm+")*12+($AE31:$AK31="Dt+")*12+($AE31:$AK31="Tm-")*6+($AE31:$AK31="Mt-")*6)</f>
        <v/>
      </c>
      <c r="BC31" s="118">
        <f>BB31-MAX(0,IFERROR(INDEX(CADASTRO!$I$4:$I$80,MATCH($A31,CADASTRO!$A$4:$A$80,0)),$B31)-CONFIG!$B$50*(COUNTIF($AE31:$AK31,"AB")+COUNTIF($AE31:$AK31,"FE")+COUNTIF($AE31:$AK31,"LM")))</f>
        <v/>
      </c>
      <c r="BD31" s="117">
        <f>SUMPRODUCT(($AL31:$AM31="M")*6+($AL31:$AM31="T")*6+($AL31:$AM31="D")*12+($AL31:$AM31="N")*12+($AL31:$AM31="NT")*6+($AL31:$AM31="C")*10+($AL31:$AM31="A")*8+($AL31:$AM31="J")*5+($AL31:$AM31="CEP")*4+($AL31:$AM31="CP")*6+($AL31:$AM31="CRO")*6+($AL31:$AM31="M+")*6+($AL31:$AM31="T+")*6+($AL31:$AM31="D+")*12+($AL31:$AM31="N+")*12+($AL31:$AM31="Dm+")*12+($AL31:$AM31="Dt+")*12+($AL31:$AM31="Tm-")*6+($AL31:$AM31="Mt-")*6)+SUMPRODUCT(($AN31:$AR31="M")*6+($AN31:$AR31="T")*6+($AN31:$AR31="D")*12+($AN31:$AR31="N")*12+($AN31:$AR31="NT")*6+($AN31:$AR31="C")*10+($AN31:$AR31="A")*8+($AN31:$AR31="J")*5+($AN31:$AR31="CEP")*4+($AN31:$AR31="CP")*6+($AN31:$AR31="CRO")*6+($AN31:$AR31="M+")*6+($AN31:$AR31="T+")*6+($AN31:$AR31="D+")*12+($AN31:$AR31="N+")*12+($AN31:$AR31="Dm+")*12+($AN31:$AR31="Dt+")*12+($AN31:$AR31="Tm-")*6+($AN31:$AR31="Mt-")*6)</f>
        <v/>
      </c>
      <c r="BE31" s="118">
        <f>BD31-MAX(0,IFERROR(INDEX(CADASTRO!$I$4:$I$80,MATCH($A31,CADASTRO!$A$4:$A$80,0)),$B31)-CONFIG!$B$50*(COUNTIF($AL31:$AM31,"AB")+COUNTIF($AL31:$AM31,"FE")+COUNTIF($AL31:$AM31,"LM")+COUNTIF($AN31:$AR31,"AB")+COUNTIF($AN31:$AR31,"FE")+COUNTIF($AN31:$AR31,"LM")))</f>
        <v/>
      </c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36">
        <f>IFERROR(INDEX(FEV!AE$8:AE$73,MATCH($A32,FEV!$A$8:$A$73,0))&amp;"","")</f>
        <v/>
      </c>
      <c r="D32" s="136">
        <f>IFERROR(INDEX(FEV!AF$8:AF$73,MATCH($A32,FEV!$A$8:$A$73,0))&amp;"","")</f>
        <v/>
      </c>
      <c r="E32" s="136">
        <f>IFERROR(INDEX(FEV!AG$8:AG$73,MATCH($A32,FEV!$A$8:$A$73,0))&amp;"","")</f>
        <v/>
      </c>
      <c r="F32" s="136">
        <f>IFERROR(INDEX(FEV!AH$8:AH$73,MATCH($A32,FEV!$A$8:$A$73,0))&amp;"","")</f>
        <v/>
      </c>
      <c r="G32" s="136">
        <f>IFERROR(INDEX(FEV!AI$8:AI$73,MATCH($A32,FEV!$A$8:$A$73,0))&amp;"","")</f>
        <v/>
      </c>
      <c r="H32" s="116">
        <f>IFERROR(INDEX(FEV!AJ$8:AJ$73,MATCH($A32,FEV!$A$8:$A$73,0))&amp;"","")</f>
        <v/>
      </c>
      <c r="I32" s="124" t="inlineStr">
        <is>
          <t>D</t>
        </is>
      </c>
      <c r="J32" s="124" t="inlineStr">
        <is>
          <t>D</t>
        </is>
      </c>
      <c r="K32" s="114" t="n"/>
      <c r="L32" s="115" t="inlineStr">
        <is>
          <t>M</t>
        </is>
      </c>
      <c r="M32" s="126" t="inlineStr">
        <is>
          <t>T</t>
        </is>
      </c>
      <c r="N32" s="126" t="inlineStr">
        <is>
          <t>T</t>
        </is>
      </c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14" t="n"/>
      <c r="AH32" s="115" t="inlineStr">
        <is>
          <t>M</t>
        </is>
      </c>
      <c r="AI32" s="124" t="inlineStr">
        <is>
          <t>D</t>
        </is>
      </c>
      <c r="AJ32" s="115" t="inlineStr">
        <is>
          <t>M</t>
        </is>
      </c>
      <c r="AK32" s="114" t="n"/>
      <c r="AL32" s="125" t="inlineStr">
        <is>
          <t>N</t>
        </is>
      </c>
      <c r="AM32" s="114" t="n"/>
      <c r="AN32" s="136">
        <f>IFERROR(INDEX(ABR!I$8:I$73,MATCH($A32,ABR!$A$8:$A$73,0))&amp;"","")</f>
        <v/>
      </c>
      <c r="AO32" s="136">
        <f>IFERROR(INDEX(ABR!J$8:J$73,MATCH($A32,ABR!$A$8:$A$73,0))&amp;"","")</f>
        <v/>
      </c>
      <c r="AP32" s="136">
        <f>IFERROR(INDEX(ABR!K$8:K$73,MATCH($A32,ABR!$A$8:$A$73,0))&amp;"","")</f>
        <v/>
      </c>
      <c r="AQ32" s="116">
        <f>IFERROR(INDEX(ABR!L$8:L$73,MATCH($A32,ABR!$A$8:$A$73,0))&amp;"","")</f>
        <v/>
      </c>
      <c r="AR32" s="116">
        <f>IFERROR(INDEX(ABR!M$8:M$73,MATCH($A32,ABR!$A$8:$A$73,0))&amp;"","")</f>
        <v/>
      </c>
      <c r="AS32" s="100" t="n"/>
      <c r="AT32" s="117">
        <f>SUMPRODUCT(($C32:$I32="M")*6+($C32:$I32="T")*6+($C32:$I32="D")*12+($C32:$I32="N")*12+($C32:$I32="NT")*6+($C32:$I32="C")*10+($C32:$I32="A")*8+($C32:$I32="J")*5+($C32:$I32="CEP")*4+($C32:$I32="CP")*6+($C32:$I32="CRO")*6+($C32:$I32="M+")*6+($C32:$I32="T+")*6+($C32:$I32="D+")*12+($C32:$I32="N+")*12+($C32:$I32="Dm+")*12+($C32:$I32="Dt+")*12+($C32:$I32="Tm-")*6+($C32:$I32="Mt-")*6)</f>
        <v/>
      </c>
      <c r="AU32" s="118">
        <f>AT32-MAX(0,IFERROR(INDEX(CADASTRO!$I$4:$I$80,MATCH($A32,CADASTRO!$A$4:$A$80,0)),$B32)-CONFIG!$B$50*(COUNTIF($C32:$I32,"AB")+COUNTIF($C32:$I32,"FE")+COUNTIF($C32:$I32,"LM")))</f>
        <v/>
      </c>
      <c r="AV32" s="117">
        <f>SUMPRODUCT(($J32:$P32="M")*6+($J32:$P32="T")*6+($J32:$P32="D")*12+($J32:$P32="N")*12+($J32:$P32="NT")*6+($J32:$P32="C")*10+($J32:$P32="A")*8+($J32:$P32="J")*5+($J32:$P32="CEP")*4+($J32:$P32="CP")*6+($J32:$P32="CRO")*6+($J32:$P32="M+")*6+($J32:$P32="T+")*6+($J32:$P32="D+")*12+($J32:$P32="N+")*12+($J32:$P32="Dm+")*12+($J32:$P32="Dt+")*12+($J32:$P32="Tm-")*6+($J32:$P32="Mt-")*6)</f>
        <v/>
      </c>
      <c r="AW32" s="118">
        <f>AV32-MAX(0,IFERROR(INDEX(CADASTRO!$I$4:$I$80,MATCH($A32,CADASTRO!$A$4:$A$80,0)),$B32)-CONFIG!$B$50*(COUNTIF($J32:$P32,"AB")+COUNTIF($J32:$P32,"FE")+COUNTIF($J32:$P32,"LM")))</f>
        <v/>
      </c>
      <c r="AX32" s="117">
        <f>SUMPRODUCT(($Q32:$W32="M")*6+($Q32:$W32="T")*6+($Q32:$W32="D")*12+($Q32:$W32="N")*12+($Q32:$W32="NT")*6+($Q32:$W32="C")*10+($Q32:$W32="A")*8+($Q32:$W32="J")*5+($Q32:$W32="CEP")*4+($Q32:$W32="CP")*6+($Q32:$W32="CRO")*6+($Q32:$W32="M+")*6+($Q32:$W32="T+")*6+($Q32:$W32="D+")*12+($Q32:$W32="N+")*12+($Q32:$W32="Dm+")*12+($Q32:$W32="Dt+")*12+($Q32:$W32="Tm-")*6+($Q32:$W32="Mt-")*6)</f>
        <v/>
      </c>
      <c r="AY32" s="118">
        <f>AX32-MAX(0,IFERROR(INDEX(CADASTRO!$I$4:$I$80,MATCH($A32,CADASTRO!$A$4:$A$80,0)),$B32)-CONFIG!$B$50*(COUNTIF($Q32:$W32,"AB")+COUNTIF($Q32:$W32,"FE")+COUNTIF($Q32:$W32,"LM")))</f>
        <v/>
      </c>
      <c r="AZ32" s="117">
        <f>SUMPRODUCT(($X32:$AD32="M")*6+($X32:$AD32="T")*6+($X32:$AD32="D")*12+($X32:$AD32="N")*12+($X32:$AD32="NT")*6+($X32:$AD32="C")*10+($X32:$AD32="A")*8+($X32:$AD32="J")*5+($X32:$AD32="CEP")*4+($X32:$AD32="CP")*6+($X32:$AD32="CRO")*6+($X32:$AD32="M+")*6+($X32:$AD32="T+")*6+($X32:$AD32="D+")*12+($X32:$AD32="N+")*12+($X32:$AD32="Dm+")*12+($X32:$AD32="Dt+")*12+($X32:$AD32="Tm-")*6+($X32:$AD32="Mt-")*6)</f>
        <v/>
      </c>
      <c r="BA32" s="118">
        <f>AZ32-MAX(0,IFERROR(INDEX(CADASTRO!$I$4:$I$80,MATCH($A32,CADASTRO!$A$4:$A$80,0)),$B32)-CONFIG!$B$50*(COUNTIF($X32:$AD32,"AB")+COUNTIF($X32:$AD32,"FE")+COUNTIF($X32:$AD32,"LM")))</f>
        <v/>
      </c>
      <c r="BB32" s="117">
        <f>SUMPRODUCT(($AE32:$AK32="M")*6+($AE32:$AK32="T")*6+($AE32:$AK32="D")*12+($AE32:$AK32="N")*12+($AE32:$AK32="NT")*6+($AE32:$AK32="C")*10+($AE32:$AK32="A")*8+($AE32:$AK32="J")*5+($AE32:$AK32="CEP")*4+($AE32:$AK32="CP")*6+($AE32:$AK32="CRO")*6+($AE32:$AK32="M+")*6+($AE32:$AK32="T+")*6+($AE32:$AK32="D+")*12+($AE32:$AK32="N+")*12+($AE32:$AK32="Dm+")*12+($AE32:$AK32="Dt+")*12+($AE32:$AK32="Tm-")*6+($AE32:$AK32="Mt-")*6)</f>
        <v/>
      </c>
      <c r="BC32" s="118">
        <f>BB32-MAX(0,IFERROR(INDEX(CADASTRO!$I$4:$I$80,MATCH($A32,CADASTRO!$A$4:$A$80,0)),$B32)-CONFIG!$B$50*(COUNTIF($AE32:$AK32,"AB")+COUNTIF($AE32:$AK32,"FE")+COUNTIF($AE32:$AK32,"LM")))</f>
        <v/>
      </c>
      <c r="BD32" s="117">
        <f>SUMPRODUCT(($AL32:$AM32="M")*6+($AL32:$AM32="T")*6+($AL32:$AM32="D")*12+($AL32:$AM32="N")*12+($AL32:$AM32="NT")*6+($AL32:$AM32="C")*10+($AL32:$AM32="A")*8+($AL32:$AM32="J")*5+($AL32:$AM32="CEP")*4+($AL32:$AM32="CP")*6+($AL32:$AM32="CRO")*6+($AL32:$AM32="M+")*6+($AL32:$AM32="T+")*6+($AL32:$AM32="D+")*12+($AL32:$AM32="N+")*12+($AL32:$AM32="Dm+")*12+($AL32:$AM32="Dt+")*12+($AL32:$AM32="Tm-")*6+($AL32:$AM32="Mt-")*6)+SUMPRODUCT(($AN32:$AR32="M")*6+($AN32:$AR32="T")*6+($AN32:$AR32="D")*12+($AN32:$AR32="N")*12+($AN32:$AR32="NT")*6+($AN32:$AR32="C")*10+($AN32:$AR32="A")*8+($AN32:$AR32="J")*5+($AN32:$AR32="CEP")*4+($AN32:$AR32="CP")*6+($AN32:$AR32="CRO")*6+($AN32:$AR32="M+")*6+($AN32:$AR32="T+")*6+($AN32:$AR32="D+")*12+($AN32:$AR32="N+")*12+($AN32:$AR32="Dm+")*12+($AN32:$AR32="Dt+")*12+($AN32:$AR32="Tm-")*6+($AN32:$AR32="Mt-")*6)</f>
        <v/>
      </c>
      <c r="BE32" s="118">
        <f>BD32-MAX(0,IFERROR(INDEX(CADASTRO!$I$4:$I$80,MATCH($A32,CADASTRO!$A$4:$A$80,0)),$B32)-CONFIG!$B$50*(COUNTIF($AL32:$AM32,"AB")+COUNTIF($AL32:$AM32,"FE")+COUNTIF($AL32:$AM32,"LM")+COUNTIF($AN32:$AR32,"AB")+COUNTIF($AN32:$AR32,"FE")+COUNTIF($AN32:$AR32,"LM")))</f>
        <v/>
      </c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36">
        <f>IFERROR(INDEX(FEV!AE$8:AE$73,MATCH($A33,FEV!$A$8:$A$73,0))&amp;"","")</f>
        <v/>
      </c>
      <c r="D33" s="136">
        <f>IFERROR(INDEX(FEV!AF$8:AF$73,MATCH($A33,FEV!$A$8:$A$73,0))&amp;"","")</f>
        <v/>
      </c>
      <c r="E33" s="136">
        <f>IFERROR(INDEX(FEV!AG$8:AG$73,MATCH($A33,FEV!$A$8:$A$73,0))&amp;"","")</f>
        <v/>
      </c>
      <c r="F33" s="136">
        <f>IFERROR(INDEX(FEV!AH$8:AH$73,MATCH($A33,FEV!$A$8:$A$73,0))&amp;"","")</f>
        <v/>
      </c>
      <c r="G33" s="136">
        <f>IFERROR(INDEX(FEV!AI$8:AI$73,MATCH($A33,FEV!$A$8:$A$73,0))&amp;"","")</f>
        <v/>
      </c>
      <c r="H33" s="116">
        <f>IFERROR(INDEX(FEV!AJ$8:AJ$73,MATCH($A33,FEV!$A$8:$A$73,0))&amp;"","")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14" t="n"/>
      <c r="AN33" s="136">
        <f>IFERROR(INDEX(ABR!I$8:I$73,MATCH($A33,ABR!$A$8:$A$73,0))&amp;"","")</f>
        <v/>
      </c>
      <c r="AO33" s="136">
        <f>IFERROR(INDEX(ABR!J$8:J$73,MATCH($A33,ABR!$A$8:$A$73,0))&amp;"","")</f>
        <v/>
      </c>
      <c r="AP33" s="136">
        <f>IFERROR(INDEX(ABR!K$8:K$73,MATCH($A33,ABR!$A$8:$A$73,0))&amp;"","")</f>
        <v/>
      </c>
      <c r="AQ33" s="116">
        <f>IFERROR(INDEX(ABR!L$8:L$73,MATCH($A33,ABR!$A$8:$A$73,0))&amp;"","")</f>
        <v/>
      </c>
      <c r="AR33" s="116">
        <f>IFERROR(INDEX(ABR!M$8:M$73,MATCH($A33,ABR!$A$8:$A$73,0))&amp;"","")</f>
        <v/>
      </c>
      <c r="AS33" s="100" t="n"/>
      <c r="AT33" s="117">
        <f>SUMPRODUCT(($C33:$I33="M")*6+($C33:$I33="T")*6+($C33:$I33="D")*12+($C33:$I33="N")*12+($C33:$I33="NT")*6+($C33:$I33="C")*10+($C33:$I33="A")*8+($C33:$I33="J")*5+($C33:$I33="CEP")*4+($C33:$I33="CP")*6+($C33:$I33="CRO")*6+($C33:$I33="M+")*6+($C33:$I33="T+")*6+($C33:$I33="D+")*12+($C33:$I33="N+")*12+($C33:$I33="Dm+")*12+($C33:$I33="Dt+")*12+($C33:$I33="Tm-")*6+($C33:$I33="Mt-")*6)</f>
        <v/>
      </c>
      <c r="AU33" s="118">
        <f>AT33-MAX(0,IFERROR(INDEX(CADASTRO!$I$4:$I$80,MATCH($A33,CADASTRO!$A$4:$A$80,0)),$B33)-CONFIG!$B$50*(COUNTIF($C33:$I33,"AB")+COUNTIF($C33:$I33,"FE")+COUNTIF($C33:$I33,"LM")))</f>
        <v/>
      </c>
      <c r="AV33" s="117">
        <f>SUMPRODUCT(($J33:$P33="M")*6+($J33:$P33="T")*6+($J33:$P33="D")*12+($J33:$P33="N")*12+($J33:$P33="NT")*6+($J33:$P33="C")*10+($J33:$P33="A")*8+($J33:$P33="J")*5+($J33:$P33="CEP")*4+($J33:$P33="CP")*6+($J33:$P33="CRO")*6+($J33:$P33="M+")*6+($J33:$P33="T+")*6+($J33:$P33="D+")*12+($J33:$P33="N+")*12+($J33:$P33="Dm+")*12+($J33:$P33="Dt+")*12+($J33:$P33="Tm-")*6+($J33:$P33="Mt-")*6)</f>
        <v/>
      </c>
      <c r="AW33" s="118">
        <f>AV33-MAX(0,IFERROR(INDEX(CADASTRO!$I$4:$I$80,MATCH($A33,CADASTRO!$A$4:$A$80,0)),$B33)-CONFIG!$B$50*(COUNTIF($J33:$P33,"AB")+COUNTIF($J33:$P33,"FE")+COUNTIF($J33:$P33,"LM")))</f>
        <v/>
      </c>
      <c r="AX33" s="117">
        <f>SUMPRODUCT(($Q33:$W33="M")*6+($Q33:$W33="T")*6+($Q33:$W33="D")*12+($Q33:$W33="N")*12+($Q33:$W33="NT")*6+($Q33:$W33="C")*10+($Q33:$W33="A")*8+($Q33:$W33="J")*5+($Q33:$W33="CEP")*4+($Q33:$W33="CP")*6+($Q33:$W33="CRO")*6+($Q33:$W33="M+")*6+($Q33:$W33="T+")*6+($Q33:$W33="D+")*12+($Q33:$W33="N+")*12+($Q33:$W33="Dm+")*12+($Q33:$W33="Dt+")*12+($Q33:$W33="Tm-")*6+($Q33:$W33="Mt-")*6)</f>
        <v/>
      </c>
      <c r="AY33" s="118">
        <f>AX33-MAX(0,IFERROR(INDEX(CADASTRO!$I$4:$I$80,MATCH($A33,CADASTRO!$A$4:$A$80,0)),$B33)-CONFIG!$B$50*(COUNTIF($Q33:$W33,"AB")+COUNTIF($Q33:$W33,"FE")+COUNTIF($Q33:$W33,"LM")))</f>
        <v/>
      </c>
      <c r="AZ33" s="117">
        <f>SUMPRODUCT(($X33:$AD33="M")*6+($X33:$AD33="T")*6+($X33:$AD33="D")*12+($X33:$AD33="N")*12+($X33:$AD33="NT")*6+($X33:$AD33="C")*10+($X33:$AD33="A")*8+($X33:$AD33="J")*5+($X33:$AD33="CEP")*4+($X33:$AD33="CP")*6+($X33:$AD33="CRO")*6+($X33:$AD33="M+")*6+($X33:$AD33="T+")*6+($X33:$AD33="D+")*12+($X33:$AD33="N+")*12+($X33:$AD33="Dm+")*12+($X33:$AD33="Dt+")*12+($X33:$AD33="Tm-")*6+($X33:$AD33="Mt-")*6)</f>
        <v/>
      </c>
      <c r="BA33" s="118">
        <f>AZ33-MAX(0,IFERROR(INDEX(CADASTRO!$I$4:$I$80,MATCH($A33,CADASTRO!$A$4:$A$80,0)),$B33)-CONFIG!$B$50*(COUNTIF($X33:$AD33,"AB")+COUNTIF($X33:$AD33,"FE")+COUNTIF($X33:$AD33,"LM")))</f>
        <v/>
      </c>
      <c r="BB33" s="117">
        <f>SUMPRODUCT(($AE33:$AK33="M")*6+($AE33:$AK33="T")*6+($AE33:$AK33="D")*12+($AE33:$AK33="N")*12+($AE33:$AK33="NT")*6+($AE33:$AK33="C")*10+($AE33:$AK33="A")*8+($AE33:$AK33="J")*5+($AE33:$AK33="CEP")*4+($AE33:$AK33="CP")*6+($AE33:$AK33="CRO")*6+($AE33:$AK33="M+")*6+($AE33:$AK33="T+")*6+($AE33:$AK33="D+")*12+($AE33:$AK33="N+")*12+($AE33:$AK33="Dm+")*12+($AE33:$AK33="Dt+")*12+($AE33:$AK33="Tm-")*6+($AE33:$AK33="Mt-")*6)</f>
        <v/>
      </c>
      <c r="BC33" s="118">
        <f>BB33-MAX(0,IFERROR(INDEX(CADASTRO!$I$4:$I$80,MATCH($A33,CADASTRO!$A$4:$A$80,0)),$B33)-CONFIG!$B$50*(COUNTIF($AE33:$AK33,"AB")+COUNTIF($AE33:$AK33,"FE")+COUNTIF($AE33:$AK33,"LM")))</f>
        <v/>
      </c>
      <c r="BD33" s="117">
        <f>SUMPRODUCT(($AL33:$AM33="M")*6+($AL33:$AM33="T")*6+($AL33:$AM33="D")*12+($AL33:$AM33="N")*12+($AL33:$AM33="NT")*6+($AL33:$AM33="C")*10+($AL33:$AM33="A")*8+($AL33:$AM33="J")*5+($AL33:$AM33="CEP")*4+($AL33:$AM33="CP")*6+($AL33:$AM33="CRO")*6+($AL33:$AM33="M+")*6+($AL33:$AM33="T+")*6+($AL33:$AM33="D+")*12+($AL33:$AM33="N+")*12+($AL33:$AM33="Dm+")*12+($AL33:$AM33="Dt+")*12+($AL33:$AM33="Tm-")*6+($AL33:$AM33="Mt-")*6)+SUMPRODUCT(($AN33:$AR33="M")*6+($AN33:$AR33="T")*6+($AN33:$AR33="D")*12+($AN33:$AR33="N")*12+($AN33:$AR33="NT")*6+($AN33:$AR33="C")*10+($AN33:$AR33="A")*8+($AN33:$AR33="J")*5+($AN33:$AR33="CEP")*4+($AN33:$AR33="CP")*6+($AN33:$AR33="CRO")*6+($AN33:$AR33="M+")*6+($AN33:$AR33="T+")*6+($AN33:$AR33="D+")*12+($AN33:$AR33="N+")*12+($AN33:$AR33="Dm+")*12+($AN33:$AR33="Dt+")*12+($AN33:$AR33="Tm-")*6+($AN33:$AR33="Mt-")*6)</f>
        <v/>
      </c>
      <c r="BE33" s="118">
        <f>BD33-MAX(0,IFERROR(INDEX(CADASTRO!$I$4:$I$80,MATCH($A33,CADASTRO!$A$4:$A$80,0)),$B33)-CONFIG!$B$50*(COUNTIF($AL33:$AM33,"AB")+COUNTIF($AL33:$AM33,"FE")+COUNTIF($AL33:$AM33,"LM")+COUNTIF($AN33:$AR33,"AB")+COUNTIF($AN33:$AR33,"FE")+COUNTIF($AN33:$AR33,"LM")))</f>
        <v/>
      </c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36">
        <f>IFERROR(INDEX(FEV!AE$8:AE$73,MATCH($A34,FEV!$A$8:$A$73,0))&amp;"","")</f>
        <v/>
      </c>
      <c r="D34" s="136">
        <f>IFERROR(INDEX(FEV!AF$8:AF$73,MATCH($A34,FEV!$A$8:$A$73,0))&amp;"","")</f>
        <v/>
      </c>
      <c r="E34" s="136">
        <f>IFERROR(INDEX(FEV!AG$8:AG$73,MATCH($A34,FEV!$A$8:$A$73,0))&amp;"","")</f>
        <v/>
      </c>
      <c r="F34" s="136">
        <f>IFERROR(INDEX(FEV!AH$8:AH$73,MATCH($A34,FEV!$A$8:$A$73,0))&amp;"","")</f>
        <v/>
      </c>
      <c r="G34" s="136">
        <f>IFERROR(INDEX(FEV!AI$8:AI$73,MATCH($A34,FEV!$A$8:$A$73,0))&amp;"","")</f>
        <v/>
      </c>
      <c r="H34" s="116">
        <f>IFERROR(INDEX(FEV!AJ$8:AJ$73,MATCH($A34,FEV!$A$8:$A$73,0))&amp;"","")</f>
        <v/>
      </c>
      <c r="I34" s="114" t="n"/>
      <c r="J34" s="114" t="n"/>
      <c r="K34" s="114" t="n"/>
      <c r="L34" s="124" t="inlineStr">
        <is>
          <t>D</t>
        </is>
      </c>
      <c r="M34" s="114" t="n"/>
      <c r="N34" s="114" t="n"/>
      <c r="O34" s="124" t="inlineStr">
        <is>
          <t>D</t>
        </is>
      </c>
      <c r="P34" s="115" t="inlineStr">
        <is>
          <t>M</t>
        </is>
      </c>
      <c r="Q34" s="114" t="n"/>
      <c r="R34" s="124" t="inlineStr">
        <is>
          <t>D</t>
        </is>
      </c>
      <c r="S34" s="115" t="inlineStr">
        <is>
          <t>M</t>
        </is>
      </c>
      <c r="T34" s="114" t="n"/>
      <c r="U34" s="125" t="inlineStr">
        <is>
          <t>N</t>
        </is>
      </c>
      <c r="V34" s="114" t="n"/>
      <c r="W34" s="114" t="n"/>
      <c r="X34" s="114" t="n"/>
      <c r="Y34" s="115" t="inlineStr">
        <is>
          <t>M</t>
        </is>
      </c>
      <c r="Z34" s="124" t="inlineStr">
        <is>
          <t>D</t>
        </is>
      </c>
      <c r="AA34" s="114" t="n"/>
      <c r="AB34" s="114" t="n"/>
      <c r="AC34" s="114" t="n"/>
      <c r="AD34" s="124" t="inlineStr">
        <is>
          <t>D</t>
        </is>
      </c>
      <c r="AE34" s="114" t="n"/>
      <c r="AF34" s="124" t="inlineStr">
        <is>
          <t>D</t>
        </is>
      </c>
      <c r="AG34" s="114" t="n"/>
      <c r="AH34" s="124" t="inlineStr">
        <is>
          <t>D</t>
        </is>
      </c>
      <c r="AI34" s="114" t="n"/>
      <c r="AJ34" s="114" t="n"/>
      <c r="AK34" s="126" t="inlineStr">
        <is>
          <t>T</t>
        </is>
      </c>
      <c r="AL34" s="114" t="n"/>
      <c r="AM34" s="124" t="inlineStr">
        <is>
          <t>D</t>
        </is>
      </c>
      <c r="AN34" s="136">
        <f>IFERROR(INDEX(ABR!I$8:I$73,MATCH($A34,ABR!$A$8:$A$73,0))&amp;"","")</f>
        <v/>
      </c>
      <c r="AO34" s="136">
        <f>IFERROR(INDEX(ABR!J$8:J$73,MATCH($A34,ABR!$A$8:$A$73,0))&amp;"","")</f>
        <v/>
      </c>
      <c r="AP34" s="136">
        <f>IFERROR(INDEX(ABR!K$8:K$73,MATCH($A34,ABR!$A$8:$A$73,0))&amp;"","")</f>
        <v/>
      </c>
      <c r="AQ34" s="116">
        <f>IFERROR(INDEX(ABR!L$8:L$73,MATCH($A34,ABR!$A$8:$A$73,0))&amp;"","")</f>
        <v/>
      </c>
      <c r="AR34" s="116">
        <f>IFERROR(INDEX(ABR!M$8:M$73,MATCH($A34,ABR!$A$8:$A$73,0))&amp;"","")</f>
        <v/>
      </c>
      <c r="AS34" s="100" t="n"/>
      <c r="AT34" s="117">
        <f>SUMPRODUCT(($C34:$I34="M")*6+($C34:$I34="T")*6+($C34:$I34="D")*12+($C34:$I34="N")*12+($C34:$I34="NT")*6+($C34:$I34="C")*10+($C34:$I34="A")*8+($C34:$I34="J")*5+($C34:$I34="CEP")*4+($C34:$I34="CP")*6+($C34:$I34="CRO")*6+($C34:$I34="M+")*6+($C34:$I34="T+")*6+($C34:$I34="D+")*12+($C34:$I34="N+")*12+($C34:$I34="Dm+")*12+($C34:$I34="Dt+")*12+($C34:$I34="Tm-")*6+($C34:$I34="Mt-")*6)</f>
        <v/>
      </c>
      <c r="AU34" s="118">
        <f>AT34-MAX(0,IFERROR(INDEX(CADASTRO!$I$4:$I$80,MATCH($A34,CADASTRO!$A$4:$A$80,0)),$B34)-CONFIG!$B$50*(COUNTIF($C34:$I34,"AB")+COUNTIF($C34:$I34,"FE")+COUNTIF($C34:$I34,"LM")))</f>
        <v/>
      </c>
      <c r="AV34" s="117">
        <f>SUMPRODUCT(($J34:$P34="M")*6+($J34:$P34="T")*6+($J34:$P34="D")*12+($J34:$P34="N")*12+($J34:$P34="NT")*6+($J34:$P34="C")*10+($J34:$P34="A")*8+($J34:$P34="J")*5+($J34:$P34="CEP")*4+($J34:$P34="CP")*6+($J34:$P34="CRO")*6+($J34:$P34="M+")*6+($J34:$P34="T+")*6+($J34:$P34="D+")*12+($J34:$P34="N+")*12+($J34:$P34="Dm+")*12+($J34:$P34="Dt+")*12+($J34:$P34="Tm-")*6+($J34:$P34="Mt-")*6)</f>
        <v/>
      </c>
      <c r="AW34" s="118">
        <f>AV34-MAX(0,IFERROR(INDEX(CADASTRO!$I$4:$I$80,MATCH($A34,CADASTRO!$A$4:$A$80,0)),$B34)-CONFIG!$B$50*(COUNTIF($J34:$P34,"AB")+COUNTIF($J34:$P34,"FE")+COUNTIF($J34:$P34,"LM")))</f>
        <v/>
      </c>
      <c r="AX34" s="117">
        <f>SUMPRODUCT(($Q34:$W34="M")*6+($Q34:$W34="T")*6+($Q34:$W34="D")*12+($Q34:$W34="N")*12+($Q34:$W34="NT")*6+($Q34:$W34="C")*10+($Q34:$W34="A")*8+($Q34:$W34="J")*5+($Q34:$W34="CEP")*4+($Q34:$W34="CP")*6+($Q34:$W34="CRO")*6+($Q34:$W34="M+")*6+($Q34:$W34="T+")*6+($Q34:$W34="D+")*12+($Q34:$W34="N+")*12+($Q34:$W34="Dm+")*12+($Q34:$W34="Dt+")*12+($Q34:$W34="Tm-")*6+($Q34:$W34="Mt-")*6)</f>
        <v/>
      </c>
      <c r="AY34" s="118">
        <f>AX34-MAX(0,IFERROR(INDEX(CADASTRO!$I$4:$I$80,MATCH($A34,CADASTRO!$A$4:$A$80,0)),$B34)-CONFIG!$B$50*(COUNTIF($Q34:$W34,"AB")+COUNTIF($Q34:$W34,"FE")+COUNTIF($Q34:$W34,"LM")))</f>
        <v/>
      </c>
      <c r="AZ34" s="117">
        <f>SUMPRODUCT(($X34:$AD34="M")*6+($X34:$AD34="T")*6+($X34:$AD34="D")*12+($X34:$AD34="N")*12+($X34:$AD34="NT")*6+($X34:$AD34="C")*10+($X34:$AD34="A")*8+($X34:$AD34="J")*5+($X34:$AD34="CEP")*4+($X34:$AD34="CP")*6+($X34:$AD34="CRO")*6+($X34:$AD34="M+")*6+($X34:$AD34="T+")*6+($X34:$AD34="D+")*12+($X34:$AD34="N+")*12+($X34:$AD34="Dm+")*12+($X34:$AD34="Dt+")*12+($X34:$AD34="Tm-")*6+($X34:$AD34="Mt-")*6)</f>
        <v/>
      </c>
      <c r="BA34" s="118">
        <f>AZ34-MAX(0,IFERROR(INDEX(CADASTRO!$I$4:$I$80,MATCH($A34,CADASTRO!$A$4:$A$80,0)),$B34)-CONFIG!$B$50*(COUNTIF($X34:$AD34,"AB")+COUNTIF($X34:$AD34,"FE")+COUNTIF($X34:$AD34,"LM")))</f>
        <v/>
      </c>
      <c r="BB34" s="117">
        <f>SUMPRODUCT(($AE34:$AK34="M")*6+($AE34:$AK34="T")*6+($AE34:$AK34="D")*12+($AE34:$AK34="N")*12+($AE34:$AK34="NT")*6+($AE34:$AK34="C")*10+($AE34:$AK34="A")*8+($AE34:$AK34="J")*5+($AE34:$AK34="CEP")*4+($AE34:$AK34="CP")*6+($AE34:$AK34="CRO")*6+($AE34:$AK34="M+")*6+($AE34:$AK34="T+")*6+($AE34:$AK34="D+")*12+($AE34:$AK34="N+")*12+($AE34:$AK34="Dm+")*12+($AE34:$AK34="Dt+")*12+($AE34:$AK34="Tm-")*6+($AE34:$AK34="Mt-")*6)</f>
        <v/>
      </c>
      <c r="BC34" s="118">
        <f>BB34-MAX(0,IFERROR(INDEX(CADASTRO!$I$4:$I$80,MATCH($A34,CADASTRO!$A$4:$A$80,0)),$B34)-CONFIG!$B$50*(COUNTIF($AE34:$AK34,"AB")+COUNTIF($AE34:$AK34,"FE")+COUNTIF($AE34:$AK34,"LM")))</f>
        <v/>
      </c>
      <c r="BD34" s="117">
        <f>SUMPRODUCT(($AL34:$AM34="M")*6+($AL34:$AM34="T")*6+($AL34:$AM34="D")*12+($AL34:$AM34="N")*12+($AL34:$AM34="NT")*6+($AL34:$AM34="C")*10+($AL34:$AM34="A")*8+($AL34:$AM34="J")*5+($AL34:$AM34="CEP")*4+($AL34:$AM34="CP")*6+($AL34:$AM34="CRO")*6+($AL34:$AM34="M+")*6+($AL34:$AM34="T+")*6+($AL34:$AM34="D+")*12+($AL34:$AM34="N+")*12+($AL34:$AM34="Dm+")*12+($AL34:$AM34="Dt+")*12+($AL34:$AM34="Tm-")*6+($AL34:$AM34="Mt-")*6)+SUMPRODUCT(($AN34:$AR34="M")*6+($AN34:$AR34="T")*6+($AN34:$AR34="D")*12+($AN34:$AR34="N")*12+($AN34:$AR34="NT")*6+($AN34:$AR34="C")*10+($AN34:$AR34="A")*8+($AN34:$AR34="J")*5+($AN34:$AR34="CEP")*4+($AN34:$AR34="CP")*6+($AN34:$AR34="CRO")*6+($AN34:$AR34="M+")*6+($AN34:$AR34="T+")*6+($AN34:$AR34="D+")*12+($AN34:$AR34="N+")*12+($AN34:$AR34="Dm+")*12+($AN34:$AR34="Dt+")*12+($AN34:$AR34="Tm-")*6+($AN34:$AR34="Mt-")*6)</f>
        <v/>
      </c>
      <c r="BE34" s="118">
        <f>BD34-MAX(0,IFERROR(INDEX(CADASTRO!$I$4:$I$80,MATCH($A34,CADASTRO!$A$4:$A$80,0)),$B34)-CONFIG!$B$50*(COUNTIF($AL34:$AM34,"AB")+COUNTIF($AL34:$AM34,"FE")+COUNTIF($AL34:$AM34,"LM")+COUNTIF($AN34:$AR34,"AB")+COUNTIF($AN34:$AR34,"FE")+COUNTIF($AN34:$AR34,"LM")))</f>
        <v/>
      </c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36">
        <f>IFERROR(INDEX(FEV!AE$8:AE$73,MATCH($A35,FEV!$A$8:$A$73,0))&amp;"","")</f>
        <v/>
      </c>
      <c r="D35" s="136">
        <f>IFERROR(INDEX(FEV!AF$8:AF$73,MATCH($A35,FEV!$A$8:$A$73,0))&amp;"","")</f>
        <v/>
      </c>
      <c r="E35" s="136">
        <f>IFERROR(INDEX(FEV!AG$8:AG$73,MATCH($A35,FEV!$A$8:$A$73,0))&amp;"","")</f>
        <v/>
      </c>
      <c r="F35" s="136">
        <f>IFERROR(INDEX(FEV!AH$8:AH$73,MATCH($A35,FEV!$A$8:$A$73,0))&amp;"","")</f>
        <v/>
      </c>
      <c r="G35" s="136">
        <f>IFERROR(INDEX(FEV!AI$8:AI$73,MATCH($A35,FEV!$A$8:$A$73,0))&amp;"","")</f>
        <v/>
      </c>
      <c r="H35" s="116">
        <f>IFERROR(INDEX(FEV!AJ$8:AJ$73,MATCH($A35,FEV!$A$8:$A$73,0))&amp;"","")</f>
        <v/>
      </c>
      <c r="I35" s="126" t="inlineStr">
        <is>
          <t>T</t>
        </is>
      </c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25" t="inlineStr">
        <is>
          <t>N</t>
        </is>
      </c>
      <c r="AD35" s="125" t="inlineStr">
        <is>
          <t>N</t>
        </is>
      </c>
      <c r="AE35" s="125" t="inlineStr">
        <is>
          <t>N</t>
        </is>
      </c>
      <c r="AF35" s="114" t="n"/>
      <c r="AG35" s="114" t="n"/>
      <c r="AH35" s="126" t="inlineStr">
        <is>
          <t>T</t>
        </is>
      </c>
      <c r="AI35" s="125" t="inlineStr">
        <is>
          <t>N</t>
        </is>
      </c>
      <c r="AJ35" s="114" t="n"/>
      <c r="AK35" s="114" t="n"/>
      <c r="AL35" s="114" t="n"/>
      <c r="AM35" s="115" t="inlineStr">
        <is>
          <t>M</t>
        </is>
      </c>
      <c r="AN35" s="136">
        <f>IFERROR(INDEX(ABR!I$8:I$73,MATCH($A35,ABR!$A$8:$A$73,0))&amp;"","")</f>
        <v/>
      </c>
      <c r="AO35" s="136">
        <f>IFERROR(INDEX(ABR!J$8:J$73,MATCH($A35,ABR!$A$8:$A$73,0))&amp;"","")</f>
        <v/>
      </c>
      <c r="AP35" s="136">
        <f>IFERROR(INDEX(ABR!K$8:K$73,MATCH($A35,ABR!$A$8:$A$73,0))&amp;"","")</f>
        <v/>
      </c>
      <c r="AQ35" s="116">
        <f>IFERROR(INDEX(ABR!L$8:L$73,MATCH($A35,ABR!$A$8:$A$73,0))&amp;"","")</f>
        <v/>
      </c>
      <c r="AR35" s="116">
        <f>IFERROR(INDEX(ABR!M$8:M$73,MATCH($A35,ABR!$A$8:$A$73,0))&amp;"","")</f>
        <v/>
      </c>
      <c r="AS35" s="100" t="n"/>
      <c r="AT35" s="117">
        <f>SUMPRODUCT(($C35:$I35="M")*6+($C35:$I35="T")*6+($C35:$I35="D")*12+($C35:$I35="N")*12+($C35:$I35="NT")*6+($C35:$I35="C")*10+($C35:$I35="A")*8+($C35:$I35="J")*5+($C35:$I35="CEP")*4+($C35:$I35="CP")*6+($C35:$I35="CRO")*6+($C35:$I35="M+")*6+($C35:$I35="T+")*6+($C35:$I35="D+")*12+($C35:$I35="N+")*12+($C35:$I35="Dm+")*12+($C35:$I35="Dt+")*12+($C35:$I35="Tm-")*6+($C35:$I35="Mt-")*6)</f>
        <v/>
      </c>
      <c r="AU35" s="118">
        <f>AT35-MAX(0,IFERROR(INDEX(CADASTRO!$I$4:$I$80,MATCH($A35,CADASTRO!$A$4:$A$80,0)),$B35)-CONFIG!$B$50*(COUNTIF($C35:$I35,"AB")+COUNTIF($C35:$I35,"FE")+COUNTIF($C35:$I35,"LM")))</f>
        <v/>
      </c>
      <c r="AV35" s="117">
        <f>SUMPRODUCT(($J35:$P35="M")*6+($J35:$P35="T")*6+($J35:$P35="D")*12+($J35:$P35="N")*12+($J35:$P35="NT")*6+($J35:$P35="C")*10+($J35:$P35="A")*8+($J35:$P35="J")*5+($J35:$P35="CEP")*4+($J35:$P35="CP")*6+($J35:$P35="CRO")*6+($J35:$P35="M+")*6+($J35:$P35="T+")*6+($J35:$P35="D+")*12+($J35:$P35="N+")*12+($J35:$P35="Dm+")*12+($J35:$P35="Dt+")*12+($J35:$P35="Tm-")*6+($J35:$P35="Mt-")*6)</f>
        <v/>
      </c>
      <c r="AW35" s="118">
        <f>AV35-MAX(0,IFERROR(INDEX(CADASTRO!$I$4:$I$80,MATCH($A35,CADASTRO!$A$4:$A$80,0)),$B35)-CONFIG!$B$50*(COUNTIF($J35:$P35,"AB")+COUNTIF($J35:$P35,"FE")+COUNTIF($J35:$P35,"LM")))</f>
        <v/>
      </c>
      <c r="AX35" s="117">
        <f>SUMPRODUCT(($Q35:$W35="M")*6+($Q35:$W35="T")*6+($Q35:$W35="D")*12+($Q35:$W35="N")*12+($Q35:$W35="NT")*6+($Q35:$W35="C")*10+($Q35:$W35="A")*8+($Q35:$W35="J")*5+($Q35:$W35="CEP")*4+($Q35:$W35="CP")*6+($Q35:$W35="CRO")*6+($Q35:$W35="M+")*6+($Q35:$W35="T+")*6+($Q35:$W35="D+")*12+($Q35:$W35="N+")*12+($Q35:$W35="Dm+")*12+($Q35:$W35="Dt+")*12+($Q35:$W35="Tm-")*6+($Q35:$W35="Mt-")*6)</f>
        <v/>
      </c>
      <c r="AY35" s="118">
        <f>AX35-MAX(0,IFERROR(INDEX(CADASTRO!$I$4:$I$80,MATCH($A35,CADASTRO!$A$4:$A$80,0)),$B35)-CONFIG!$B$50*(COUNTIF($Q35:$W35,"AB")+COUNTIF($Q35:$W35,"FE")+COUNTIF($Q35:$W35,"LM")))</f>
        <v/>
      </c>
      <c r="AZ35" s="117">
        <f>SUMPRODUCT(($X35:$AD35="M")*6+($X35:$AD35="T")*6+($X35:$AD35="D")*12+($X35:$AD35="N")*12+($X35:$AD35="NT")*6+($X35:$AD35="C")*10+($X35:$AD35="A")*8+($X35:$AD35="J")*5+($X35:$AD35="CEP")*4+($X35:$AD35="CP")*6+($X35:$AD35="CRO")*6+($X35:$AD35="M+")*6+($X35:$AD35="T+")*6+($X35:$AD35="D+")*12+($X35:$AD35="N+")*12+($X35:$AD35="Dm+")*12+($X35:$AD35="Dt+")*12+($X35:$AD35="Tm-")*6+($X35:$AD35="Mt-")*6)</f>
        <v/>
      </c>
      <c r="BA35" s="118">
        <f>AZ35-MAX(0,IFERROR(INDEX(CADASTRO!$I$4:$I$80,MATCH($A35,CADASTRO!$A$4:$A$80,0)),$B35)-CONFIG!$B$50*(COUNTIF($X35:$AD35,"AB")+COUNTIF($X35:$AD35,"FE")+COUNTIF($X35:$AD35,"LM")))</f>
        <v/>
      </c>
      <c r="BB35" s="117">
        <f>SUMPRODUCT(($AE35:$AK35="M")*6+($AE35:$AK35="T")*6+($AE35:$AK35="D")*12+($AE35:$AK35="N")*12+($AE35:$AK35="NT")*6+($AE35:$AK35="C")*10+($AE35:$AK35="A")*8+($AE35:$AK35="J")*5+($AE35:$AK35="CEP")*4+($AE35:$AK35="CP")*6+($AE35:$AK35="CRO")*6+($AE35:$AK35="M+")*6+($AE35:$AK35="T+")*6+($AE35:$AK35="D+")*12+($AE35:$AK35="N+")*12+($AE35:$AK35="Dm+")*12+($AE35:$AK35="Dt+")*12+($AE35:$AK35="Tm-")*6+($AE35:$AK35="Mt-")*6)</f>
        <v/>
      </c>
      <c r="BC35" s="118">
        <f>BB35-MAX(0,IFERROR(INDEX(CADASTRO!$I$4:$I$80,MATCH($A35,CADASTRO!$A$4:$A$80,0)),$B35)-CONFIG!$B$50*(COUNTIF($AE35:$AK35,"AB")+COUNTIF($AE35:$AK35,"FE")+COUNTIF($AE35:$AK35,"LM")))</f>
        <v/>
      </c>
      <c r="BD35" s="117">
        <f>SUMPRODUCT(($AL35:$AM35="M")*6+($AL35:$AM35="T")*6+($AL35:$AM35="D")*12+($AL35:$AM35="N")*12+($AL35:$AM35="NT")*6+($AL35:$AM35="C")*10+($AL35:$AM35="A")*8+($AL35:$AM35="J")*5+($AL35:$AM35="CEP")*4+($AL35:$AM35="CP")*6+($AL35:$AM35="CRO")*6+($AL35:$AM35="M+")*6+($AL35:$AM35="T+")*6+($AL35:$AM35="D+")*12+($AL35:$AM35="N+")*12+($AL35:$AM35="Dm+")*12+($AL35:$AM35="Dt+")*12+($AL35:$AM35="Tm-")*6+($AL35:$AM35="Mt-")*6)+SUMPRODUCT(($AN35:$AR35="M")*6+($AN35:$AR35="T")*6+($AN35:$AR35="D")*12+($AN35:$AR35="N")*12+($AN35:$AR35="NT")*6+($AN35:$AR35="C")*10+($AN35:$AR35="A")*8+($AN35:$AR35="J")*5+($AN35:$AR35="CEP")*4+($AN35:$AR35="CP")*6+($AN35:$AR35="CRO")*6+($AN35:$AR35="M+")*6+($AN35:$AR35="T+")*6+($AN35:$AR35="D+")*12+($AN35:$AR35="N+")*12+($AN35:$AR35="Dm+")*12+($AN35:$AR35="Dt+")*12+($AN35:$AR35="Tm-")*6+($AN35:$AR35="Mt-")*6)</f>
        <v/>
      </c>
      <c r="BE35" s="118">
        <f>BD35-MAX(0,IFERROR(INDEX(CADASTRO!$I$4:$I$80,MATCH($A35,CADASTRO!$A$4:$A$80,0)),$B35)-CONFIG!$B$50*(COUNTIF($AL35:$AM35,"AB")+COUNTIF($AL35:$AM35,"FE")+COUNTIF($AL35:$AM35,"LM")+COUNTIF($AN35:$AR35,"AB")+COUNTIF($AN35:$AR35,"FE")+COUNTIF($AN35:$AR35,"LM")))</f>
        <v/>
      </c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36">
        <f>IFERROR(INDEX(FEV!AE$8:AE$73,MATCH($A36,FEV!$A$8:$A$73,0))&amp;"","")</f>
        <v/>
      </c>
      <c r="D36" s="136">
        <f>IFERROR(INDEX(FEV!AF$8:AF$73,MATCH($A36,FEV!$A$8:$A$73,0))&amp;"","")</f>
        <v/>
      </c>
      <c r="E36" s="136">
        <f>IFERROR(INDEX(FEV!AG$8:AG$73,MATCH($A36,FEV!$A$8:$A$73,0))&amp;"","")</f>
        <v/>
      </c>
      <c r="F36" s="136">
        <f>IFERROR(INDEX(FEV!AH$8:AH$73,MATCH($A36,FEV!$A$8:$A$73,0))&amp;"","")</f>
        <v/>
      </c>
      <c r="G36" s="136">
        <f>IFERROR(INDEX(FEV!AI$8:AI$73,MATCH($A36,FEV!$A$8:$A$73,0))&amp;"","")</f>
        <v/>
      </c>
      <c r="H36" s="116">
        <f>IFERROR(INDEX(FEV!AJ$8:AJ$73,MATCH($A36,FEV!$A$8:$A$73,0))&amp;"","")</f>
        <v/>
      </c>
      <c r="I36" s="114" t="n"/>
      <c r="J36" s="114" t="n"/>
      <c r="K36" s="114" t="n"/>
      <c r="L36" s="114" t="n"/>
      <c r="M36" s="114" t="n"/>
      <c r="N36" s="115" t="inlineStr">
        <is>
          <t>M</t>
        </is>
      </c>
      <c r="O36" s="124" t="inlineStr">
        <is>
          <t>D</t>
        </is>
      </c>
      <c r="P36" s="124" t="inlineStr">
        <is>
          <t>D</t>
        </is>
      </c>
      <c r="Q36" s="114" t="n"/>
      <c r="R36" s="125" t="inlineStr">
        <is>
          <t>N</t>
        </is>
      </c>
      <c r="S36" s="114" t="n"/>
      <c r="T36" s="114" t="n"/>
      <c r="U36" s="124" t="inlineStr">
        <is>
          <t>D</t>
        </is>
      </c>
      <c r="V36" s="115" t="inlineStr">
        <is>
          <t>M</t>
        </is>
      </c>
      <c r="W36" s="114" t="n"/>
      <c r="X36" s="114" t="n"/>
      <c r="Y36" s="114" t="n"/>
      <c r="Z36" s="115" t="inlineStr">
        <is>
          <t>M</t>
        </is>
      </c>
      <c r="AA36" s="124" t="inlineStr">
        <is>
          <t>D</t>
        </is>
      </c>
      <c r="AB36" s="125" t="inlineStr">
        <is>
          <t>N</t>
        </is>
      </c>
      <c r="AC36" s="114" t="n"/>
      <c r="AD36" s="114" t="n"/>
      <c r="AE36" s="124" t="inlineStr">
        <is>
          <t>D</t>
        </is>
      </c>
      <c r="AF36" s="124" t="inlineStr">
        <is>
          <t>D</t>
        </is>
      </c>
      <c r="AG36" s="115" t="inlineStr">
        <is>
          <t>M</t>
        </is>
      </c>
      <c r="AH36" s="114" t="n"/>
      <c r="AI36" s="114" t="n"/>
      <c r="AJ36" s="114" t="n"/>
      <c r="AK36" s="114" t="n"/>
      <c r="AL36" s="114" t="n"/>
      <c r="AM36" s="114" t="n"/>
      <c r="AN36" s="136">
        <f>IFERROR(INDEX(ABR!I$8:I$73,MATCH($A36,ABR!$A$8:$A$73,0))&amp;"","")</f>
        <v/>
      </c>
      <c r="AO36" s="136">
        <f>IFERROR(INDEX(ABR!J$8:J$73,MATCH($A36,ABR!$A$8:$A$73,0))&amp;"","")</f>
        <v/>
      </c>
      <c r="AP36" s="136">
        <f>IFERROR(INDEX(ABR!K$8:K$73,MATCH($A36,ABR!$A$8:$A$73,0))&amp;"","")</f>
        <v/>
      </c>
      <c r="AQ36" s="116">
        <f>IFERROR(INDEX(ABR!L$8:L$73,MATCH($A36,ABR!$A$8:$A$73,0))&amp;"","")</f>
        <v/>
      </c>
      <c r="AR36" s="116">
        <f>IFERROR(INDEX(ABR!M$8:M$73,MATCH($A36,ABR!$A$8:$A$73,0))&amp;"","")</f>
        <v/>
      </c>
      <c r="AS36" s="100" t="n"/>
      <c r="AT36" s="117">
        <f>SUMPRODUCT(($C36:$I36="M")*6+($C36:$I36="T")*6+($C36:$I36="D")*12+($C36:$I36="N")*12+($C36:$I36="NT")*6+($C36:$I36="C")*10+($C36:$I36="A")*8+($C36:$I36="J")*5+($C36:$I36="CEP")*4+($C36:$I36="CP")*6+($C36:$I36="CRO")*6+($C36:$I36="M+")*6+($C36:$I36="T+")*6+($C36:$I36="D+")*12+($C36:$I36="N+")*12+($C36:$I36="Dm+")*12+($C36:$I36="Dt+")*12+($C36:$I36="Tm-")*6+($C36:$I36="Mt-")*6)</f>
        <v/>
      </c>
      <c r="AU36" s="118">
        <f>AT36-MAX(0,IFERROR(INDEX(CADASTRO!$I$4:$I$80,MATCH($A36,CADASTRO!$A$4:$A$80,0)),$B36)-CONFIG!$B$50*(COUNTIF($C36:$I36,"AB")+COUNTIF($C36:$I36,"FE")+COUNTIF($C36:$I36,"LM")))</f>
        <v/>
      </c>
      <c r="AV36" s="117">
        <f>SUMPRODUCT(($J36:$P36="M")*6+($J36:$P36="T")*6+($J36:$P36="D")*12+($J36:$P36="N")*12+($J36:$P36="NT")*6+($J36:$P36="C")*10+($J36:$P36="A")*8+($J36:$P36="J")*5+($J36:$P36="CEP")*4+($J36:$P36="CP")*6+($J36:$P36="CRO")*6+($J36:$P36="M+")*6+($J36:$P36="T+")*6+($J36:$P36="D+")*12+($J36:$P36="N+")*12+($J36:$P36="Dm+")*12+($J36:$P36="Dt+")*12+($J36:$P36="Tm-")*6+($J36:$P36="Mt-")*6)</f>
        <v/>
      </c>
      <c r="AW36" s="118">
        <f>AV36-MAX(0,IFERROR(INDEX(CADASTRO!$I$4:$I$80,MATCH($A36,CADASTRO!$A$4:$A$80,0)),$B36)-CONFIG!$B$50*(COUNTIF($J36:$P36,"AB")+COUNTIF($J36:$P36,"FE")+COUNTIF($J36:$P36,"LM")))</f>
        <v/>
      </c>
      <c r="AX36" s="117">
        <f>SUMPRODUCT(($Q36:$W36="M")*6+($Q36:$W36="T")*6+($Q36:$W36="D")*12+($Q36:$W36="N")*12+($Q36:$W36="NT")*6+($Q36:$W36="C")*10+($Q36:$W36="A")*8+($Q36:$W36="J")*5+($Q36:$W36="CEP")*4+($Q36:$W36="CP")*6+($Q36:$W36="CRO")*6+($Q36:$W36="M+")*6+($Q36:$W36="T+")*6+($Q36:$W36="D+")*12+($Q36:$W36="N+")*12+($Q36:$W36="Dm+")*12+($Q36:$W36="Dt+")*12+($Q36:$W36="Tm-")*6+($Q36:$W36="Mt-")*6)</f>
        <v/>
      </c>
      <c r="AY36" s="118">
        <f>AX36-MAX(0,IFERROR(INDEX(CADASTRO!$I$4:$I$80,MATCH($A36,CADASTRO!$A$4:$A$80,0)),$B36)-CONFIG!$B$50*(COUNTIF($Q36:$W36,"AB")+COUNTIF($Q36:$W36,"FE")+COUNTIF($Q36:$W36,"LM")))</f>
        <v/>
      </c>
      <c r="AZ36" s="117">
        <f>SUMPRODUCT(($X36:$AD36="M")*6+($X36:$AD36="T")*6+($X36:$AD36="D")*12+($X36:$AD36="N")*12+($X36:$AD36="NT")*6+($X36:$AD36="C")*10+($X36:$AD36="A")*8+($X36:$AD36="J")*5+($X36:$AD36="CEP")*4+($X36:$AD36="CP")*6+($X36:$AD36="CRO")*6+($X36:$AD36="M+")*6+($X36:$AD36="T+")*6+($X36:$AD36="D+")*12+($X36:$AD36="N+")*12+($X36:$AD36="Dm+")*12+($X36:$AD36="Dt+")*12+($X36:$AD36="Tm-")*6+($X36:$AD36="Mt-")*6)</f>
        <v/>
      </c>
      <c r="BA36" s="118">
        <f>AZ36-MAX(0,IFERROR(INDEX(CADASTRO!$I$4:$I$80,MATCH($A36,CADASTRO!$A$4:$A$80,0)),$B36)-CONFIG!$B$50*(COUNTIF($X36:$AD36,"AB")+COUNTIF($X36:$AD36,"FE")+COUNTIF($X36:$AD36,"LM")))</f>
        <v/>
      </c>
      <c r="BB36" s="117">
        <f>SUMPRODUCT(($AE36:$AK36="M")*6+($AE36:$AK36="T")*6+($AE36:$AK36="D")*12+($AE36:$AK36="N")*12+($AE36:$AK36="NT")*6+($AE36:$AK36="C")*10+($AE36:$AK36="A")*8+($AE36:$AK36="J")*5+($AE36:$AK36="CEP")*4+($AE36:$AK36="CP")*6+($AE36:$AK36="CRO")*6+($AE36:$AK36="M+")*6+($AE36:$AK36="T+")*6+($AE36:$AK36="D+")*12+($AE36:$AK36="N+")*12+($AE36:$AK36="Dm+")*12+($AE36:$AK36="Dt+")*12+($AE36:$AK36="Tm-")*6+($AE36:$AK36="Mt-")*6)</f>
        <v/>
      </c>
      <c r="BC36" s="118">
        <f>BB36-MAX(0,IFERROR(INDEX(CADASTRO!$I$4:$I$80,MATCH($A36,CADASTRO!$A$4:$A$80,0)),$B36)-CONFIG!$B$50*(COUNTIF($AE36:$AK36,"AB")+COUNTIF($AE36:$AK36,"FE")+COUNTIF($AE36:$AK36,"LM")))</f>
        <v/>
      </c>
      <c r="BD36" s="117">
        <f>SUMPRODUCT(($AL36:$AM36="M")*6+($AL36:$AM36="T")*6+($AL36:$AM36="D")*12+($AL36:$AM36="N")*12+($AL36:$AM36="NT")*6+($AL36:$AM36="C")*10+($AL36:$AM36="A")*8+($AL36:$AM36="J")*5+($AL36:$AM36="CEP")*4+($AL36:$AM36="CP")*6+($AL36:$AM36="CRO")*6+($AL36:$AM36="M+")*6+($AL36:$AM36="T+")*6+($AL36:$AM36="D+")*12+($AL36:$AM36="N+")*12+($AL36:$AM36="Dm+")*12+($AL36:$AM36="Dt+")*12+($AL36:$AM36="Tm-")*6+($AL36:$AM36="Mt-")*6)+SUMPRODUCT(($AN36:$AR36="M")*6+($AN36:$AR36="T")*6+($AN36:$AR36="D")*12+($AN36:$AR36="N")*12+($AN36:$AR36="NT")*6+($AN36:$AR36="C")*10+($AN36:$AR36="A")*8+($AN36:$AR36="J")*5+($AN36:$AR36="CEP")*4+($AN36:$AR36="CP")*6+($AN36:$AR36="CRO")*6+($AN36:$AR36="M+")*6+($AN36:$AR36="T+")*6+($AN36:$AR36="D+")*12+($AN36:$AR36="N+")*12+($AN36:$AR36="Dm+")*12+($AN36:$AR36="Dt+")*12+($AN36:$AR36="Tm-")*6+($AN36:$AR36="Mt-")*6)</f>
        <v/>
      </c>
      <c r="BE36" s="118">
        <f>BD36-MAX(0,IFERROR(INDEX(CADASTRO!$I$4:$I$80,MATCH($A36,CADASTRO!$A$4:$A$80,0)),$B36)-CONFIG!$B$50*(COUNTIF($AL36:$AM36,"AB")+COUNTIF($AL36:$AM36,"FE")+COUNTIF($AL36:$AM36,"LM")+COUNTIF($AN36:$AR36,"AB")+COUNTIF($AN36:$AR36,"FE")+COUNTIF($AN36:$AR36,"LM")))</f>
        <v/>
      </c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36">
        <f>IFERROR(INDEX(FEV!AE$8:AE$73,MATCH($A37,FEV!$A$8:$A$73,0))&amp;"","")</f>
        <v/>
      </c>
      <c r="D37" s="136">
        <f>IFERROR(INDEX(FEV!AF$8:AF$73,MATCH($A37,FEV!$A$8:$A$73,0))&amp;"","")</f>
        <v/>
      </c>
      <c r="E37" s="136">
        <f>IFERROR(INDEX(FEV!AG$8:AG$73,MATCH($A37,FEV!$A$8:$A$73,0))&amp;"","")</f>
        <v/>
      </c>
      <c r="F37" s="136">
        <f>IFERROR(INDEX(FEV!AH$8:AH$73,MATCH($A37,FEV!$A$8:$A$73,0))&amp;"","")</f>
        <v/>
      </c>
      <c r="G37" s="136">
        <f>IFERROR(INDEX(FEV!AI$8:AI$73,MATCH($A37,FEV!$A$8:$A$73,0))&amp;"","")</f>
        <v/>
      </c>
      <c r="H37" s="116">
        <f>IFERROR(INDEX(FEV!AJ$8:AJ$73,MATCH($A37,FEV!$A$8:$A$73,0))&amp;"","")</f>
        <v/>
      </c>
      <c r="I37" s="114" t="n"/>
      <c r="J37" s="126" t="inlineStr">
        <is>
          <t>T</t>
        </is>
      </c>
      <c r="K37" s="126" t="inlineStr">
        <is>
          <t>T</t>
        </is>
      </c>
      <c r="L37" s="126" t="inlineStr">
        <is>
          <t>T</t>
        </is>
      </c>
      <c r="M37" s="124" t="inlineStr">
        <is>
          <t>D</t>
        </is>
      </c>
      <c r="N37" s="114" t="n"/>
      <c r="O37" s="114" t="n"/>
      <c r="P37" s="114" t="n"/>
      <c r="Q37" s="126" t="inlineStr">
        <is>
          <t>T</t>
        </is>
      </c>
      <c r="R37" s="114" t="n"/>
      <c r="S37" s="126" t="inlineStr">
        <is>
          <t>T</t>
        </is>
      </c>
      <c r="T37" s="114" t="n"/>
      <c r="U37" s="114" t="n"/>
      <c r="V37" s="115" t="inlineStr">
        <is>
          <t>M</t>
        </is>
      </c>
      <c r="W37" s="124" t="inlineStr">
        <is>
          <t>D</t>
        </is>
      </c>
      <c r="X37" s="126" t="inlineStr">
        <is>
          <t>T</t>
        </is>
      </c>
      <c r="Y37" s="114" t="n"/>
      <c r="Z37" s="114" t="n"/>
      <c r="AA37" s="114" t="n"/>
      <c r="AB37" s="125" t="inlineStr">
        <is>
          <t>N</t>
        </is>
      </c>
      <c r="AC37" s="114" t="n"/>
      <c r="AD37" s="125" t="inlineStr">
        <is>
          <t>N</t>
        </is>
      </c>
      <c r="AE37" s="126" t="inlineStr">
        <is>
          <t>T</t>
        </is>
      </c>
      <c r="AF37" s="124" t="inlineStr">
        <is>
          <t>D</t>
        </is>
      </c>
      <c r="AG37" s="115" t="inlineStr">
        <is>
          <t>M</t>
        </is>
      </c>
      <c r="AH37" s="127" t="inlineStr">
        <is>
          <t>T-</t>
        </is>
      </c>
      <c r="AI37" s="114" t="n"/>
      <c r="AJ37" s="114" t="n"/>
      <c r="AK37" s="114" t="n"/>
      <c r="AL37" s="123" t="inlineStr">
        <is>
          <t>T+</t>
        </is>
      </c>
      <c r="AM37" s="114" t="n"/>
      <c r="AN37" s="136">
        <f>IFERROR(INDEX(ABR!I$8:I$73,MATCH($A37,ABR!$A$8:$A$73,0))&amp;"","")</f>
        <v/>
      </c>
      <c r="AO37" s="136">
        <f>IFERROR(INDEX(ABR!J$8:J$73,MATCH($A37,ABR!$A$8:$A$73,0))&amp;"","")</f>
        <v/>
      </c>
      <c r="AP37" s="136">
        <f>IFERROR(INDEX(ABR!K$8:K$73,MATCH($A37,ABR!$A$8:$A$73,0))&amp;"","")</f>
        <v/>
      </c>
      <c r="AQ37" s="116">
        <f>IFERROR(INDEX(ABR!L$8:L$73,MATCH($A37,ABR!$A$8:$A$73,0))&amp;"","")</f>
        <v/>
      </c>
      <c r="AR37" s="116">
        <f>IFERROR(INDEX(ABR!M$8:M$73,MATCH($A37,ABR!$A$8:$A$73,0))&amp;"","")</f>
        <v/>
      </c>
      <c r="AS37" s="100" t="n"/>
      <c r="AT37" s="117">
        <f>SUMPRODUCT(($C37:$I37="M")*6+($C37:$I37="T")*6+($C37:$I37="D")*12+($C37:$I37="N")*12+($C37:$I37="NT")*6+($C37:$I37="C")*10+($C37:$I37="A")*8+($C37:$I37="J")*5+($C37:$I37="CEP")*4+($C37:$I37="CP")*6+($C37:$I37="CRO")*6+($C37:$I37="M+")*6+($C37:$I37="T+")*6+($C37:$I37="D+")*12+($C37:$I37="N+")*12+($C37:$I37="Dm+")*12+($C37:$I37="Dt+")*12+($C37:$I37="Tm-")*6+($C37:$I37="Mt-")*6)</f>
        <v/>
      </c>
      <c r="AU37" s="118">
        <f>AT37-MAX(0,IFERROR(INDEX(CADASTRO!$I$4:$I$80,MATCH($A37,CADASTRO!$A$4:$A$80,0)),$B37)-CONFIG!$B$50*(COUNTIF($C37:$I37,"AB")+COUNTIF($C37:$I37,"FE")+COUNTIF($C37:$I37,"LM")))</f>
        <v/>
      </c>
      <c r="AV37" s="117">
        <f>SUMPRODUCT(($J37:$P37="M")*6+($J37:$P37="T")*6+($J37:$P37="D")*12+($J37:$P37="N")*12+($J37:$P37="NT")*6+($J37:$P37="C")*10+($J37:$P37="A")*8+($J37:$P37="J")*5+($J37:$P37="CEP")*4+($J37:$P37="CP")*6+($J37:$P37="CRO")*6+($J37:$P37="M+")*6+($J37:$P37="T+")*6+($J37:$P37="D+")*12+($J37:$P37="N+")*12+($J37:$P37="Dm+")*12+($J37:$P37="Dt+")*12+($J37:$P37="Tm-")*6+($J37:$P37="Mt-")*6)</f>
        <v/>
      </c>
      <c r="AW37" s="118">
        <f>AV37-MAX(0,IFERROR(INDEX(CADASTRO!$I$4:$I$80,MATCH($A37,CADASTRO!$A$4:$A$80,0)),$B37)-CONFIG!$B$50*(COUNTIF($J37:$P37,"AB")+COUNTIF($J37:$P37,"FE")+COUNTIF($J37:$P37,"LM")))</f>
        <v/>
      </c>
      <c r="AX37" s="117">
        <f>SUMPRODUCT(($Q37:$W37="M")*6+($Q37:$W37="T")*6+($Q37:$W37="D")*12+($Q37:$W37="N")*12+($Q37:$W37="NT")*6+($Q37:$W37="C")*10+($Q37:$W37="A")*8+($Q37:$W37="J")*5+($Q37:$W37="CEP")*4+($Q37:$W37="CP")*6+($Q37:$W37="CRO")*6+($Q37:$W37="M+")*6+($Q37:$W37="T+")*6+($Q37:$W37="D+")*12+($Q37:$W37="N+")*12+($Q37:$W37="Dm+")*12+($Q37:$W37="Dt+")*12+($Q37:$W37="Tm-")*6+($Q37:$W37="Mt-")*6)</f>
        <v/>
      </c>
      <c r="AY37" s="118">
        <f>AX37-MAX(0,IFERROR(INDEX(CADASTRO!$I$4:$I$80,MATCH($A37,CADASTRO!$A$4:$A$80,0)),$B37)-CONFIG!$B$50*(COUNTIF($Q37:$W37,"AB")+COUNTIF($Q37:$W37,"FE")+COUNTIF($Q37:$W37,"LM")))</f>
        <v/>
      </c>
      <c r="AZ37" s="117">
        <f>SUMPRODUCT(($X37:$AD37="M")*6+($X37:$AD37="T")*6+($X37:$AD37="D")*12+($X37:$AD37="N")*12+($X37:$AD37="NT")*6+($X37:$AD37="C")*10+($X37:$AD37="A")*8+($X37:$AD37="J")*5+($X37:$AD37="CEP")*4+($X37:$AD37="CP")*6+($X37:$AD37="CRO")*6+($X37:$AD37="M+")*6+($X37:$AD37="T+")*6+($X37:$AD37="D+")*12+($X37:$AD37="N+")*12+($X37:$AD37="Dm+")*12+($X37:$AD37="Dt+")*12+($X37:$AD37="Tm-")*6+($X37:$AD37="Mt-")*6)</f>
        <v/>
      </c>
      <c r="BA37" s="118">
        <f>AZ37-MAX(0,IFERROR(INDEX(CADASTRO!$I$4:$I$80,MATCH($A37,CADASTRO!$A$4:$A$80,0)),$B37)-CONFIG!$B$50*(COUNTIF($X37:$AD37,"AB")+COUNTIF($X37:$AD37,"FE")+COUNTIF($X37:$AD37,"LM")))</f>
        <v/>
      </c>
      <c r="BB37" s="117">
        <f>SUMPRODUCT(($AE37:$AK37="M")*6+($AE37:$AK37="T")*6+($AE37:$AK37="D")*12+($AE37:$AK37="N")*12+($AE37:$AK37="NT")*6+($AE37:$AK37="C")*10+($AE37:$AK37="A")*8+($AE37:$AK37="J")*5+($AE37:$AK37="CEP")*4+($AE37:$AK37="CP")*6+($AE37:$AK37="CRO")*6+($AE37:$AK37="M+")*6+($AE37:$AK37="T+")*6+($AE37:$AK37="D+")*12+($AE37:$AK37="N+")*12+($AE37:$AK37="Dm+")*12+($AE37:$AK37="Dt+")*12+($AE37:$AK37="Tm-")*6+($AE37:$AK37="Mt-")*6)</f>
        <v/>
      </c>
      <c r="BC37" s="118">
        <f>BB37-MAX(0,IFERROR(INDEX(CADASTRO!$I$4:$I$80,MATCH($A37,CADASTRO!$A$4:$A$80,0)),$B37)-CONFIG!$B$50*(COUNTIF($AE37:$AK37,"AB")+COUNTIF($AE37:$AK37,"FE")+COUNTIF($AE37:$AK37,"LM")))</f>
        <v/>
      </c>
      <c r="BD37" s="117">
        <f>SUMPRODUCT(($AL37:$AM37="M")*6+($AL37:$AM37="T")*6+($AL37:$AM37="D")*12+($AL37:$AM37="N")*12+($AL37:$AM37="NT")*6+($AL37:$AM37="C")*10+($AL37:$AM37="A")*8+($AL37:$AM37="J")*5+($AL37:$AM37="CEP")*4+($AL37:$AM37="CP")*6+($AL37:$AM37="CRO")*6+($AL37:$AM37="M+")*6+($AL37:$AM37="T+")*6+($AL37:$AM37="D+")*12+($AL37:$AM37="N+")*12+($AL37:$AM37="Dm+")*12+($AL37:$AM37="Dt+")*12+($AL37:$AM37="Tm-")*6+($AL37:$AM37="Mt-")*6)+SUMPRODUCT(($AN37:$AR37="M")*6+($AN37:$AR37="T")*6+($AN37:$AR37="D")*12+($AN37:$AR37="N")*12+($AN37:$AR37="NT")*6+($AN37:$AR37="C")*10+($AN37:$AR37="A")*8+($AN37:$AR37="J")*5+($AN37:$AR37="CEP")*4+($AN37:$AR37="CP")*6+($AN37:$AR37="CRO")*6+($AN37:$AR37="M+")*6+($AN37:$AR37="T+")*6+($AN37:$AR37="D+")*12+($AN37:$AR37="N+")*12+($AN37:$AR37="Dm+")*12+($AN37:$AR37="Dt+")*12+($AN37:$AR37="Tm-")*6+($AN37:$AR37="Mt-")*6)</f>
        <v/>
      </c>
      <c r="BE37" s="118">
        <f>BD37-MAX(0,IFERROR(INDEX(CADASTRO!$I$4:$I$80,MATCH($A37,CADASTRO!$A$4:$A$80,0)),$B37)-CONFIG!$B$50*(COUNTIF($AL37:$AM37,"AB")+COUNTIF($AL37:$AM37,"FE")+COUNTIF($AL37:$AM37,"LM")+COUNTIF($AN37:$AR37,"AB")+COUNTIF($AN37:$AR37,"FE")+COUNTIF($AN37:$AR37,"LM")))</f>
        <v/>
      </c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36">
        <f>IFERROR(INDEX(FEV!AE$8:AE$73,MATCH($A38,FEV!$A$8:$A$73,0))&amp;"","")</f>
        <v/>
      </c>
      <c r="D38" s="136">
        <f>IFERROR(INDEX(FEV!AF$8:AF$73,MATCH($A38,FEV!$A$8:$A$73,0))&amp;"","")</f>
        <v/>
      </c>
      <c r="E38" s="136">
        <f>IFERROR(INDEX(FEV!AG$8:AG$73,MATCH($A38,FEV!$A$8:$A$73,0))&amp;"","")</f>
        <v/>
      </c>
      <c r="F38" s="136">
        <f>IFERROR(INDEX(FEV!AH$8:AH$73,MATCH($A38,FEV!$A$8:$A$73,0))&amp;"","")</f>
        <v/>
      </c>
      <c r="G38" s="136">
        <f>IFERROR(INDEX(FEV!AI$8:AI$73,MATCH($A38,FEV!$A$8:$A$73,0))&amp;"","")</f>
        <v/>
      </c>
      <c r="H38" s="116">
        <f>IFERROR(INDEX(FEV!AJ$8:AJ$73,MATCH($A38,FEV!$A$8:$A$73,0))&amp;"","")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14" t="n"/>
      <c r="AL38" s="114" t="n"/>
      <c r="AM38" s="114" t="n"/>
      <c r="AN38" s="136">
        <f>IFERROR(INDEX(ABR!I$8:I$73,MATCH($A38,ABR!$A$8:$A$73,0))&amp;"","")</f>
        <v/>
      </c>
      <c r="AO38" s="136">
        <f>IFERROR(INDEX(ABR!J$8:J$73,MATCH($A38,ABR!$A$8:$A$73,0))&amp;"","")</f>
        <v/>
      </c>
      <c r="AP38" s="136">
        <f>IFERROR(INDEX(ABR!K$8:K$73,MATCH($A38,ABR!$A$8:$A$73,0))&amp;"","")</f>
        <v/>
      </c>
      <c r="AQ38" s="116">
        <f>IFERROR(INDEX(ABR!L$8:L$73,MATCH($A38,ABR!$A$8:$A$73,0))&amp;"","")</f>
        <v/>
      </c>
      <c r="AR38" s="116">
        <f>IFERROR(INDEX(ABR!M$8:M$73,MATCH($A38,ABR!$A$8:$A$73,0))&amp;"","")</f>
        <v/>
      </c>
      <c r="AS38" s="100" t="n"/>
      <c r="AT38" s="117">
        <f>SUMPRODUCT(($C38:$I38="M")*6+($C38:$I38="T")*6+($C38:$I38="D")*12+($C38:$I38="N")*12+($C38:$I38="NT")*6+($C38:$I38="C")*10+($C38:$I38="A")*8+($C38:$I38="J")*5+($C38:$I38="CEP")*4+($C38:$I38="CP")*6+($C38:$I38="CRO")*6+($C38:$I38="M+")*6+($C38:$I38="T+")*6+($C38:$I38="D+")*12+($C38:$I38="N+")*12+($C38:$I38="Dm+")*12+($C38:$I38="Dt+")*12+($C38:$I38="Tm-")*6+($C38:$I38="Mt-")*6)</f>
        <v/>
      </c>
      <c r="AU38" s="118">
        <f>AT38-MAX(0,IFERROR(INDEX(CADASTRO!$I$4:$I$80,MATCH($A38,CADASTRO!$A$4:$A$80,0)),$B38)-CONFIG!$B$50*(COUNTIF($C38:$I38,"AB")+COUNTIF($C38:$I38,"FE")+COUNTIF($C38:$I38,"LM")))</f>
        <v/>
      </c>
      <c r="AV38" s="117">
        <f>SUMPRODUCT(($J38:$P38="M")*6+($J38:$P38="T")*6+($J38:$P38="D")*12+($J38:$P38="N")*12+($J38:$P38="NT")*6+($J38:$P38="C")*10+($J38:$P38="A")*8+($J38:$P38="J")*5+($J38:$P38="CEP")*4+($J38:$P38="CP")*6+($J38:$P38="CRO")*6+($J38:$P38="M+")*6+($J38:$P38="T+")*6+($J38:$P38="D+")*12+($J38:$P38="N+")*12+($J38:$P38="Dm+")*12+($J38:$P38="Dt+")*12+($J38:$P38="Tm-")*6+($J38:$P38="Mt-")*6)</f>
        <v/>
      </c>
      <c r="AW38" s="118">
        <f>AV38-MAX(0,IFERROR(INDEX(CADASTRO!$I$4:$I$80,MATCH($A38,CADASTRO!$A$4:$A$80,0)),$B38)-CONFIG!$B$50*(COUNTIF($J38:$P38,"AB")+COUNTIF($J38:$P38,"FE")+COUNTIF($J38:$P38,"LM")))</f>
        <v/>
      </c>
      <c r="AX38" s="117">
        <f>SUMPRODUCT(($Q38:$W38="M")*6+($Q38:$W38="T")*6+($Q38:$W38="D")*12+($Q38:$W38="N")*12+($Q38:$W38="NT")*6+($Q38:$W38="C")*10+($Q38:$W38="A")*8+($Q38:$W38="J")*5+($Q38:$W38="CEP")*4+($Q38:$W38="CP")*6+($Q38:$W38="CRO")*6+($Q38:$W38="M+")*6+($Q38:$W38="T+")*6+($Q38:$W38="D+")*12+($Q38:$W38="N+")*12+($Q38:$W38="Dm+")*12+($Q38:$W38="Dt+")*12+($Q38:$W38="Tm-")*6+($Q38:$W38="Mt-")*6)</f>
        <v/>
      </c>
      <c r="AY38" s="118">
        <f>AX38-MAX(0,IFERROR(INDEX(CADASTRO!$I$4:$I$80,MATCH($A38,CADASTRO!$A$4:$A$80,0)),$B38)-CONFIG!$B$50*(COUNTIF($Q38:$W38,"AB")+COUNTIF($Q38:$W38,"FE")+COUNTIF($Q38:$W38,"LM")))</f>
        <v/>
      </c>
      <c r="AZ38" s="117">
        <f>SUMPRODUCT(($X38:$AD38="M")*6+($X38:$AD38="T")*6+($X38:$AD38="D")*12+($X38:$AD38="N")*12+($X38:$AD38="NT")*6+($X38:$AD38="C")*10+($X38:$AD38="A")*8+($X38:$AD38="J")*5+($X38:$AD38="CEP")*4+($X38:$AD38="CP")*6+($X38:$AD38="CRO")*6+($X38:$AD38="M+")*6+($X38:$AD38="T+")*6+($X38:$AD38="D+")*12+($X38:$AD38="N+")*12+($X38:$AD38="Dm+")*12+($X38:$AD38="Dt+")*12+($X38:$AD38="Tm-")*6+($X38:$AD38="Mt-")*6)</f>
        <v/>
      </c>
      <c r="BA38" s="118">
        <f>AZ38-MAX(0,IFERROR(INDEX(CADASTRO!$I$4:$I$80,MATCH($A38,CADASTRO!$A$4:$A$80,0)),$B38)-CONFIG!$B$50*(COUNTIF($X38:$AD38,"AB")+COUNTIF($X38:$AD38,"FE")+COUNTIF($X38:$AD38,"LM")))</f>
        <v/>
      </c>
      <c r="BB38" s="117">
        <f>SUMPRODUCT(($AE38:$AK38="M")*6+($AE38:$AK38="T")*6+($AE38:$AK38="D")*12+($AE38:$AK38="N")*12+($AE38:$AK38="NT")*6+($AE38:$AK38="C")*10+($AE38:$AK38="A")*8+($AE38:$AK38="J")*5+($AE38:$AK38="CEP")*4+($AE38:$AK38="CP")*6+($AE38:$AK38="CRO")*6+($AE38:$AK38="M+")*6+($AE38:$AK38="T+")*6+($AE38:$AK38="D+")*12+($AE38:$AK38="N+")*12+($AE38:$AK38="Dm+")*12+($AE38:$AK38="Dt+")*12+($AE38:$AK38="Tm-")*6+($AE38:$AK38="Mt-")*6)</f>
        <v/>
      </c>
      <c r="BC38" s="118">
        <f>BB38-MAX(0,IFERROR(INDEX(CADASTRO!$I$4:$I$80,MATCH($A38,CADASTRO!$A$4:$A$80,0)),$B38)-CONFIG!$B$50*(COUNTIF($AE38:$AK38,"AB")+COUNTIF($AE38:$AK38,"FE")+COUNTIF($AE38:$AK38,"LM")))</f>
        <v/>
      </c>
      <c r="BD38" s="117">
        <f>SUMPRODUCT(($AL38:$AM38="M")*6+($AL38:$AM38="T")*6+($AL38:$AM38="D")*12+($AL38:$AM38="N")*12+($AL38:$AM38="NT")*6+($AL38:$AM38="C")*10+($AL38:$AM38="A")*8+($AL38:$AM38="J")*5+($AL38:$AM38="CEP")*4+($AL38:$AM38="CP")*6+($AL38:$AM38="CRO")*6+($AL38:$AM38="M+")*6+($AL38:$AM38="T+")*6+($AL38:$AM38="D+")*12+($AL38:$AM38="N+")*12+($AL38:$AM38="Dm+")*12+($AL38:$AM38="Dt+")*12+($AL38:$AM38="Tm-")*6+($AL38:$AM38="Mt-")*6)+SUMPRODUCT(($AN38:$AR38="M")*6+($AN38:$AR38="T")*6+($AN38:$AR38="D")*12+($AN38:$AR38="N")*12+($AN38:$AR38="NT")*6+($AN38:$AR38="C")*10+($AN38:$AR38="A")*8+($AN38:$AR38="J")*5+($AN38:$AR38="CEP")*4+($AN38:$AR38="CP")*6+($AN38:$AR38="CRO")*6+($AN38:$AR38="M+")*6+($AN38:$AR38="T+")*6+($AN38:$AR38="D+")*12+($AN38:$AR38="N+")*12+($AN38:$AR38="Dm+")*12+($AN38:$AR38="Dt+")*12+($AN38:$AR38="Tm-")*6+($AN38:$AR38="Mt-")*6)</f>
        <v/>
      </c>
      <c r="BE38" s="118">
        <f>BD38-MAX(0,IFERROR(INDEX(CADASTRO!$I$4:$I$80,MATCH($A38,CADASTRO!$A$4:$A$80,0)),$B38)-CONFIG!$B$50*(COUNTIF($AL38:$AM38,"AB")+COUNTIF($AL38:$AM38,"FE")+COUNTIF($AL38:$AM38,"LM")+COUNTIF($AN38:$AR38,"AB")+COUNTIF($AN38:$AR38,"FE")+COUNTIF($AN38:$AR38,"LM")))</f>
        <v/>
      </c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36">
        <f>IFERROR(INDEX(FEV!AE$8:AE$73,MATCH($A39,FEV!$A$8:$A$73,0))&amp;"","")</f>
        <v/>
      </c>
      <c r="D39" s="136">
        <f>IFERROR(INDEX(FEV!AF$8:AF$73,MATCH($A39,FEV!$A$8:$A$73,0))&amp;"","")</f>
        <v/>
      </c>
      <c r="E39" s="136">
        <f>IFERROR(INDEX(FEV!AG$8:AG$73,MATCH($A39,FEV!$A$8:$A$73,0))&amp;"","")</f>
        <v/>
      </c>
      <c r="F39" s="136">
        <f>IFERROR(INDEX(FEV!AH$8:AH$73,MATCH($A39,FEV!$A$8:$A$73,0))&amp;"","")</f>
        <v/>
      </c>
      <c r="G39" s="136">
        <f>IFERROR(INDEX(FEV!AI$8:AI$73,MATCH($A39,FEV!$A$8:$A$73,0))&amp;"","")</f>
        <v/>
      </c>
      <c r="H39" s="116">
        <f>IFERROR(INDEX(FEV!AJ$8:AJ$73,MATCH($A39,FEV!$A$8:$A$73,0))&amp;"","")</f>
        <v/>
      </c>
      <c r="I39" s="126" t="inlineStr">
        <is>
          <t>T</t>
        </is>
      </c>
      <c r="J39" s="114" t="n"/>
      <c r="K39" s="115" t="inlineStr">
        <is>
          <t>M</t>
        </is>
      </c>
      <c r="L39" s="114" t="n"/>
      <c r="M39" s="114" t="n"/>
      <c r="N39" s="115" t="inlineStr">
        <is>
          <t>M</t>
        </is>
      </c>
      <c r="O39" s="125" t="inlineStr">
        <is>
          <t>N</t>
        </is>
      </c>
      <c r="P39" s="114" t="n"/>
      <c r="Q39" s="126" t="inlineStr">
        <is>
          <t>T</t>
        </is>
      </c>
      <c r="R39" s="115" t="inlineStr">
        <is>
          <t>M</t>
        </is>
      </c>
      <c r="S39" s="126" t="inlineStr">
        <is>
          <t>T</t>
        </is>
      </c>
      <c r="T39" s="114" t="n"/>
      <c r="U39" s="115" t="inlineStr">
        <is>
          <t>M</t>
        </is>
      </c>
      <c r="V39" s="114" t="n"/>
      <c r="W39" s="114" t="n"/>
      <c r="X39" s="126" t="inlineStr">
        <is>
          <t>T</t>
        </is>
      </c>
      <c r="Y39" s="115" t="inlineStr">
        <is>
          <t>M</t>
        </is>
      </c>
      <c r="Z39" s="115" t="inlineStr">
        <is>
          <t>M</t>
        </is>
      </c>
      <c r="AA39" s="114" t="n"/>
      <c r="AB39" s="115" t="inlineStr">
        <is>
          <t>M</t>
        </is>
      </c>
      <c r="AC39" s="114" t="n"/>
      <c r="AD39" s="114" t="n"/>
      <c r="AE39" s="114" t="n"/>
      <c r="AF39" s="114" t="n"/>
      <c r="AG39" s="126" t="inlineStr">
        <is>
          <t>T</t>
        </is>
      </c>
      <c r="AH39" s="114" t="n"/>
      <c r="AI39" s="115" t="inlineStr">
        <is>
          <t>M</t>
        </is>
      </c>
      <c r="AJ39" s="125" t="inlineStr">
        <is>
          <t>N</t>
        </is>
      </c>
      <c r="AK39" s="114" t="n"/>
      <c r="AL39" s="126" t="inlineStr">
        <is>
          <t>T</t>
        </is>
      </c>
      <c r="AM39" s="115" t="inlineStr">
        <is>
          <t>M</t>
        </is>
      </c>
      <c r="AN39" s="136">
        <f>IFERROR(INDEX(ABR!I$8:I$73,MATCH($A39,ABR!$A$8:$A$73,0))&amp;"","")</f>
        <v/>
      </c>
      <c r="AO39" s="136">
        <f>IFERROR(INDEX(ABR!J$8:J$73,MATCH($A39,ABR!$A$8:$A$73,0))&amp;"","")</f>
        <v/>
      </c>
      <c r="AP39" s="136">
        <f>IFERROR(INDEX(ABR!K$8:K$73,MATCH($A39,ABR!$A$8:$A$73,0))&amp;"","")</f>
        <v/>
      </c>
      <c r="AQ39" s="116">
        <f>IFERROR(INDEX(ABR!L$8:L$73,MATCH($A39,ABR!$A$8:$A$73,0))&amp;"","")</f>
        <v/>
      </c>
      <c r="AR39" s="116">
        <f>IFERROR(INDEX(ABR!M$8:M$73,MATCH($A39,ABR!$A$8:$A$73,0))&amp;"","")</f>
        <v/>
      </c>
      <c r="AS39" s="100" t="n"/>
      <c r="AT39" s="117">
        <f>SUMPRODUCT(($C39:$I39="M")*6+($C39:$I39="T")*6+($C39:$I39="D")*12+($C39:$I39="N")*12+($C39:$I39="NT")*6+($C39:$I39="C")*10+($C39:$I39="A")*8+($C39:$I39="J")*5+($C39:$I39="CEP")*4+($C39:$I39="CP")*6+($C39:$I39="CRO")*6+($C39:$I39="M+")*6+($C39:$I39="T+")*6+($C39:$I39="D+")*12+($C39:$I39="N+")*12+($C39:$I39="Dm+")*12+($C39:$I39="Dt+")*12+($C39:$I39="Tm-")*6+($C39:$I39="Mt-")*6)</f>
        <v/>
      </c>
      <c r="AU39" s="118">
        <f>AT39-MAX(0,IFERROR(INDEX(CADASTRO!$I$4:$I$80,MATCH($A39,CADASTRO!$A$4:$A$80,0)),$B39)-CONFIG!$B$50*(COUNTIF($C39:$I39,"AB")+COUNTIF($C39:$I39,"FE")+COUNTIF($C39:$I39,"LM")))</f>
        <v/>
      </c>
      <c r="AV39" s="117">
        <f>SUMPRODUCT(($J39:$P39="M")*6+($J39:$P39="T")*6+($J39:$P39="D")*12+($J39:$P39="N")*12+($J39:$P39="NT")*6+($J39:$P39="C")*10+($J39:$P39="A")*8+($J39:$P39="J")*5+($J39:$P39="CEP")*4+($J39:$P39="CP")*6+($J39:$P39="CRO")*6+($J39:$P39="M+")*6+($J39:$P39="T+")*6+($J39:$P39="D+")*12+($J39:$P39="N+")*12+($J39:$P39="Dm+")*12+($J39:$P39="Dt+")*12+($J39:$P39="Tm-")*6+($J39:$P39="Mt-")*6)</f>
        <v/>
      </c>
      <c r="AW39" s="118">
        <f>AV39-MAX(0,IFERROR(INDEX(CADASTRO!$I$4:$I$80,MATCH($A39,CADASTRO!$A$4:$A$80,0)),$B39)-CONFIG!$B$50*(COUNTIF($J39:$P39,"AB")+COUNTIF($J39:$P39,"FE")+COUNTIF($J39:$P39,"LM")))</f>
        <v/>
      </c>
      <c r="AX39" s="117">
        <f>SUMPRODUCT(($Q39:$W39="M")*6+($Q39:$W39="T")*6+($Q39:$W39="D")*12+($Q39:$W39="N")*12+($Q39:$W39="NT")*6+($Q39:$W39="C")*10+($Q39:$W39="A")*8+($Q39:$W39="J")*5+($Q39:$W39="CEP")*4+($Q39:$W39="CP")*6+($Q39:$W39="CRO")*6+($Q39:$W39="M+")*6+($Q39:$W39="T+")*6+($Q39:$W39="D+")*12+($Q39:$W39="N+")*12+($Q39:$W39="Dm+")*12+($Q39:$W39="Dt+")*12+($Q39:$W39="Tm-")*6+($Q39:$W39="Mt-")*6)</f>
        <v/>
      </c>
      <c r="AY39" s="118">
        <f>AX39-MAX(0,IFERROR(INDEX(CADASTRO!$I$4:$I$80,MATCH($A39,CADASTRO!$A$4:$A$80,0)),$B39)-CONFIG!$B$50*(COUNTIF($Q39:$W39,"AB")+COUNTIF($Q39:$W39,"FE")+COUNTIF($Q39:$W39,"LM")))</f>
        <v/>
      </c>
      <c r="AZ39" s="117">
        <f>SUMPRODUCT(($X39:$AD39="M")*6+($X39:$AD39="T")*6+($X39:$AD39="D")*12+($X39:$AD39="N")*12+($X39:$AD39="NT")*6+($X39:$AD39="C")*10+($X39:$AD39="A")*8+($X39:$AD39="J")*5+($X39:$AD39="CEP")*4+($X39:$AD39="CP")*6+($X39:$AD39="CRO")*6+($X39:$AD39="M+")*6+($X39:$AD39="T+")*6+($X39:$AD39="D+")*12+($X39:$AD39="N+")*12+($X39:$AD39="Dm+")*12+($X39:$AD39="Dt+")*12+($X39:$AD39="Tm-")*6+($X39:$AD39="Mt-")*6)</f>
        <v/>
      </c>
      <c r="BA39" s="118">
        <f>AZ39-MAX(0,IFERROR(INDEX(CADASTRO!$I$4:$I$80,MATCH($A39,CADASTRO!$A$4:$A$80,0)),$B39)-CONFIG!$B$50*(COUNTIF($X39:$AD39,"AB")+COUNTIF($X39:$AD39,"FE")+COUNTIF($X39:$AD39,"LM")))</f>
        <v/>
      </c>
      <c r="BB39" s="117">
        <f>SUMPRODUCT(($AE39:$AK39="M")*6+($AE39:$AK39="T")*6+($AE39:$AK39="D")*12+($AE39:$AK39="N")*12+($AE39:$AK39="NT")*6+($AE39:$AK39="C")*10+($AE39:$AK39="A")*8+($AE39:$AK39="J")*5+($AE39:$AK39="CEP")*4+($AE39:$AK39="CP")*6+($AE39:$AK39="CRO")*6+($AE39:$AK39="M+")*6+($AE39:$AK39="T+")*6+($AE39:$AK39="D+")*12+($AE39:$AK39="N+")*12+($AE39:$AK39="Dm+")*12+($AE39:$AK39="Dt+")*12+($AE39:$AK39="Tm-")*6+($AE39:$AK39="Mt-")*6)</f>
        <v/>
      </c>
      <c r="BC39" s="118">
        <f>BB39-MAX(0,IFERROR(INDEX(CADASTRO!$I$4:$I$80,MATCH($A39,CADASTRO!$A$4:$A$80,0)),$B39)-CONFIG!$B$50*(COUNTIF($AE39:$AK39,"AB")+COUNTIF($AE39:$AK39,"FE")+COUNTIF($AE39:$AK39,"LM")))</f>
        <v/>
      </c>
      <c r="BD39" s="117">
        <f>SUMPRODUCT(($AL39:$AM39="M")*6+($AL39:$AM39="T")*6+($AL39:$AM39="D")*12+($AL39:$AM39="N")*12+($AL39:$AM39="NT")*6+($AL39:$AM39="C")*10+($AL39:$AM39="A")*8+($AL39:$AM39="J")*5+($AL39:$AM39="CEP")*4+($AL39:$AM39="CP")*6+($AL39:$AM39="CRO")*6+($AL39:$AM39="M+")*6+($AL39:$AM39="T+")*6+($AL39:$AM39="D+")*12+($AL39:$AM39="N+")*12+($AL39:$AM39="Dm+")*12+($AL39:$AM39="Dt+")*12+($AL39:$AM39="Tm-")*6+($AL39:$AM39="Mt-")*6)+SUMPRODUCT(($AN39:$AR39="M")*6+($AN39:$AR39="T")*6+($AN39:$AR39="D")*12+($AN39:$AR39="N")*12+($AN39:$AR39="NT")*6+($AN39:$AR39="C")*10+($AN39:$AR39="A")*8+($AN39:$AR39="J")*5+($AN39:$AR39="CEP")*4+($AN39:$AR39="CP")*6+($AN39:$AR39="CRO")*6+($AN39:$AR39="M+")*6+($AN39:$AR39="T+")*6+($AN39:$AR39="D+")*12+($AN39:$AR39="N+")*12+($AN39:$AR39="Dm+")*12+($AN39:$AR39="Dt+")*12+($AN39:$AR39="Tm-")*6+($AN39:$AR39="Mt-")*6)</f>
        <v/>
      </c>
      <c r="BE39" s="118">
        <f>BD39-MAX(0,IFERROR(INDEX(CADASTRO!$I$4:$I$80,MATCH($A39,CADASTRO!$A$4:$A$80,0)),$B39)-CONFIG!$B$50*(COUNTIF($AL39:$AM39,"AB")+COUNTIF($AL39:$AM39,"FE")+COUNTIF($AL39:$AM39,"LM")+COUNTIF($AN39:$AR39,"AB")+COUNTIF($AN39:$AR39,"FE")+COUNTIF($AN39:$AR39,"LM")))</f>
        <v/>
      </c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36">
        <f>IFERROR(INDEX(FEV!AE$8:AE$73,MATCH($A40,FEV!$A$8:$A$73,0))&amp;"","")</f>
        <v/>
      </c>
      <c r="D40" s="136">
        <f>IFERROR(INDEX(FEV!AF$8:AF$73,MATCH($A40,FEV!$A$8:$A$73,0))&amp;"","")</f>
        <v/>
      </c>
      <c r="E40" s="136">
        <f>IFERROR(INDEX(FEV!AG$8:AG$73,MATCH($A40,FEV!$A$8:$A$73,0))&amp;"","")</f>
        <v/>
      </c>
      <c r="F40" s="136">
        <f>IFERROR(INDEX(FEV!AH$8:AH$73,MATCH($A40,FEV!$A$8:$A$73,0))&amp;"","")</f>
        <v/>
      </c>
      <c r="G40" s="136">
        <f>IFERROR(INDEX(FEV!AI$8:AI$73,MATCH($A40,FEV!$A$8:$A$73,0))&amp;"","")</f>
        <v/>
      </c>
      <c r="H40" s="116">
        <f>IFERROR(INDEX(FEV!AJ$8:AJ$73,MATCH($A40,FEV!$A$8:$A$73,0))&amp;"","")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14" t="n"/>
      <c r="AN40" s="136">
        <f>IFERROR(INDEX(ABR!I$8:I$73,MATCH($A40,ABR!$A$8:$A$73,0))&amp;"","")</f>
        <v/>
      </c>
      <c r="AO40" s="136">
        <f>IFERROR(INDEX(ABR!J$8:J$73,MATCH($A40,ABR!$A$8:$A$73,0))&amp;"","")</f>
        <v/>
      </c>
      <c r="AP40" s="136">
        <f>IFERROR(INDEX(ABR!K$8:K$73,MATCH($A40,ABR!$A$8:$A$73,0))&amp;"","")</f>
        <v/>
      </c>
      <c r="AQ40" s="116">
        <f>IFERROR(INDEX(ABR!L$8:L$73,MATCH($A40,ABR!$A$8:$A$73,0))&amp;"","")</f>
        <v/>
      </c>
      <c r="AR40" s="116">
        <f>IFERROR(INDEX(ABR!M$8:M$73,MATCH($A40,ABR!$A$8:$A$73,0))&amp;"","")</f>
        <v/>
      </c>
      <c r="AS40" s="100" t="n"/>
      <c r="AT40" s="117">
        <f>SUMPRODUCT(($C40:$I40="M")*6+($C40:$I40="T")*6+($C40:$I40="D")*12+($C40:$I40="N")*12+($C40:$I40="NT")*6+($C40:$I40="C")*10+($C40:$I40="A")*8+($C40:$I40="J")*5+($C40:$I40="CEP")*4+($C40:$I40="CP")*6+($C40:$I40="CRO")*6+($C40:$I40="M+")*6+($C40:$I40="T+")*6+($C40:$I40="D+")*12+($C40:$I40="N+")*12+($C40:$I40="Dm+")*12+($C40:$I40="Dt+")*12+($C40:$I40="Tm-")*6+($C40:$I40="Mt-")*6)</f>
        <v/>
      </c>
      <c r="AU40" s="118">
        <f>AT40-MAX(0,IFERROR(INDEX(CADASTRO!$I$4:$I$80,MATCH($A40,CADASTRO!$A$4:$A$80,0)),$B40)-CONFIG!$B$50*(COUNTIF($C40:$I40,"AB")+COUNTIF($C40:$I40,"FE")+COUNTIF($C40:$I40,"LM")))</f>
        <v/>
      </c>
      <c r="AV40" s="117">
        <f>SUMPRODUCT(($J40:$P40="M")*6+($J40:$P40="T")*6+($J40:$P40="D")*12+($J40:$P40="N")*12+($J40:$P40="NT")*6+($J40:$P40="C")*10+($J40:$P40="A")*8+($J40:$P40="J")*5+($J40:$P40="CEP")*4+($J40:$P40="CP")*6+($J40:$P40="CRO")*6+($J40:$P40="M+")*6+($J40:$P40="T+")*6+($J40:$P40="D+")*12+($J40:$P40="N+")*12+($J40:$P40="Dm+")*12+($J40:$P40="Dt+")*12+($J40:$P40="Tm-")*6+($J40:$P40="Mt-")*6)</f>
        <v/>
      </c>
      <c r="AW40" s="118">
        <f>AV40-MAX(0,IFERROR(INDEX(CADASTRO!$I$4:$I$80,MATCH($A40,CADASTRO!$A$4:$A$80,0)),$B40)-CONFIG!$B$50*(COUNTIF($J40:$P40,"AB")+COUNTIF($J40:$P40,"FE")+COUNTIF($J40:$P40,"LM")))</f>
        <v/>
      </c>
      <c r="AX40" s="117">
        <f>SUMPRODUCT(($Q40:$W40="M")*6+($Q40:$W40="T")*6+($Q40:$W40="D")*12+($Q40:$W40="N")*12+($Q40:$W40="NT")*6+($Q40:$W40="C")*10+($Q40:$W40="A")*8+($Q40:$W40="J")*5+($Q40:$W40="CEP")*4+($Q40:$W40="CP")*6+($Q40:$W40="CRO")*6+($Q40:$W40="M+")*6+($Q40:$W40="T+")*6+($Q40:$W40="D+")*12+($Q40:$W40="N+")*12+($Q40:$W40="Dm+")*12+($Q40:$W40="Dt+")*12+($Q40:$W40="Tm-")*6+($Q40:$W40="Mt-")*6)</f>
        <v/>
      </c>
      <c r="AY40" s="118">
        <f>AX40-MAX(0,IFERROR(INDEX(CADASTRO!$I$4:$I$80,MATCH($A40,CADASTRO!$A$4:$A$80,0)),$B40)-CONFIG!$B$50*(COUNTIF($Q40:$W40,"AB")+COUNTIF($Q40:$W40,"FE")+COUNTIF($Q40:$W40,"LM")))</f>
        <v/>
      </c>
      <c r="AZ40" s="117">
        <f>SUMPRODUCT(($X40:$AD40="M")*6+($X40:$AD40="T")*6+($X40:$AD40="D")*12+($X40:$AD40="N")*12+($X40:$AD40="NT")*6+($X40:$AD40="C")*10+($X40:$AD40="A")*8+($X40:$AD40="J")*5+($X40:$AD40="CEP")*4+($X40:$AD40="CP")*6+($X40:$AD40="CRO")*6+($X40:$AD40="M+")*6+($X40:$AD40="T+")*6+($X40:$AD40="D+")*12+($X40:$AD40="N+")*12+($X40:$AD40="Dm+")*12+($X40:$AD40="Dt+")*12+($X40:$AD40="Tm-")*6+($X40:$AD40="Mt-")*6)</f>
        <v/>
      </c>
      <c r="BA40" s="118">
        <f>AZ40-MAX(0,IFERROR(INDEX(CADASTRO!$I$4:$I$80,MATCH($A40,CADASTRO!$A$4:$A$80,0)),$B40)-CONFIG!$B$50*(COUNTIF($X40:$AD40,"AB")+COUNTIF($X40:$AD40,"FE")+COUNTIF($X40:$AD40,"LM")))</f>
        <v/>
      </c>
      <c r="BB40" s="117">
        <f>SUMPRODUCT(($AE40:$AK40="M")*6+($AE40:$AK40="T")*6+($AE40:$AK40="D")*12+($AE40:$AK40="N")*12+($AE40:$AK40="NT")*6+($AE40:$AK40="C")*10+($AE40:$AK40="A")*8+($AE40:$AK40="J")*5+($AE40:$AK40="CEP")*4+($AE40:$AK40="CP")*6+($AE40:$AK40="CRO")*6+($AE40:$AK40="M+")*6+($AE40:$AK40="T+")*6+($AE40:$AK40="D+")*12+($AE40:$AK40="N+")*12+($AE40:$AK40="Dm+")*12+($AE40:$AK40="Dt+")*12+($AE40:$AK40="Tm-")*6+($AE40:$AK40="Mt-")*6)</f>
        <v/>
      </c>
      <c r="BC40" s="118">
        <f>BB40-MAX(0,IFERROR(INDEX(CADASTRO!$I$4:$I$80,MATCH($A40,CADASTRO!$A$4:$A$80,0)),$B40)-CONFIG!$B$50*(COUNTIF($AE40:$AK40,"AB")+COUNTIF($AE40:$AK40,"FE")+COUNTIF($AE40:$AK40,"LM")))</f>
        <v/>
      </c>
      <c r="BD40" s="117">
        <f>SUMPRODUCT(($AL40:$AM40="M")*6+($AL40:$AM40="T")*6+($AL40:$AM40="D")*12+($AL40:$AM40="N")*12+($AL40:$AM40="NT")*6+($AL40:$AM40="C")*10+($AL40:$AM40="A")*8+($AL40:$AM40="J")*5+($AL40:$AM40="CEP")*4+($AL40:$AM40="CP")*6+($AL40:$AM40="CRO")*6+($AL40:$AM40="M+")*6+($AL40:$AM40="T+")*6+($AL40:$AM40="D+")*12+($AL40:$AM40="N+")*12+($AL40:$AM40="Dm+")*12+($AL40:$AM40="Dt+")*12+($AL40:$AM40="Tm-")*6+($AL40:$AM40="Mt-")*6)+SUMPRODUCT(($AN40:$AR40="M")*6+($AN40:$AR40="T")*6+($AN40:$AR40="D")*12+($AN40:$AR40="N")*12+($AN40:$AR40="NT")*6+($AN40:$AR40="C")*10+($AN40:$AR40="A")*8+($AN40:$AR40="J")*5+($AN40:$AR40="CEP")*4+($AN40:$AR40="CP")*6+($AN40:$AR40="CRO")*6+($AN40:$AR40="M+")*6+($AN40:$AR40="T+")*6+($AN40:$AR40="D+")*12+($AN40:$AR40="N+")*12+($AN40:$AR40="Dm+")*12+($AN40:$AR40="Dt+")*12+($AN40:$AR40="Tm-")*6+($AN40:$AR40="Mt-")*6)</f>
        <v/>
      </c>
      <c r="BE40" s="118">
        <f>BD40-MAX(0,IFERROR(INDEX(CADASTRO!$I$4:$I$80,MATCH($A40,CADASTRO!$A$4:$A$80,0)),$B40)-CONFIG!$B$50*(COUNTIF($AL40:$AM40,"AB")+COUNTIF($AL40:$AM40,"FE")+COUNTIF($AL40:$AM40,"LM")+COUNTIF($AN40:$AR40,"AB")+COUNTIF($AN40:$AR40,"FE")+COUNTIF($AN40:$AR40,"LM")))</f>
        <v/>
      </c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36">
        <f>IFERROR(INDEX(FEV!AE$8:AE$73,MATCH($A41,FEV!$A$8:$A$73,0))&amp;"","")</f>
        <v/>
      </c>
      <c r="D41" s="136">
        <f>IFERROR(INDEX(FEV!AF$8:AF$73,MATCH($A41,FEV!$A$8:$A$73,0))&amp;"","")</f>
        <v/>
      </c>
      <c r="E41" s="136">
        <f>IFERROR(INDEX(FEV!AG$8:AG$73,MATCH($A41,FEV!$A$8:$A$73,0))&amp;"","")</f>
        <v/>
      </c>
      <c r="F41" s="136">
        <f>IFERROR(INDEX(FEV!AH$8:AH$73,MATCH($A41,FEV!$A$8:$A$73,0))&amp;"","")</f>
        <v/>
      </c>
      <c r="G41" s="136">
        <f>IFERROR(INDEX(FEV!AI$8:AI$73,MATCH($A41,FEV!$A$8:$A$73,0))&amp;"","")</f>
        <v/>
      </c>
      <c r="H41" s="116">
        <f>IFERROR(INDEX(FEV!AJ$8:AJ$73,MATCH($A41,FEV!$A$8:$A$73,0))&amp;"","")</f>
        <v/>
      </c>
      <c r="I41" s="124" t="inlineStr">
        <is>
          <t>D</t>
        </is>
      </c>
      <c r="J41" s="124" t="inlineStr">
        <is>
          <t>D</t>
        </is>
      </c>
      <c r="K41" s="124" t="inlineStr">
        <is>
          <t>D</t>
        </is>
      </c>
      <c r="L41" s="114" t="n"/>
      <c r="M41" s="114" t="n"/>
      <c r="N41" s="114" t="n"/>
      <c r="O41" s="114" t="n"/>
      <c r="P41" s="114" t="n"/>
      <c r="Q41" s="126" t="inlineStr">
        <is>
          <t>T</t>
        </is>
      </c>
      <c r="R41" s="126" t="inlineStr">
        <is>
          <t>T</t>
        </is>
      </c>
      <c r="S41" s="114" t="n"/>
      <c r="T41" s="124" t="inlineStr">
        <is>
          <t>D</t>
        </is>
      </c>
      <c r="U41" s="114" t="n"/>
      <c r="V41" s="114" t="n"/>
      <c r="W41" s="114" t="n"/>
      <c r="X41" s="114" t="n"/>
      <c r="Y41" s="114" t="n"/>
      <c r="Z41" s="114" t="n"/>
      <c r="AA41" s="114" t="n"/>
      <c r="AB41" s="124" t="inlineStr">
        <is>
          <t>D</t>
        </is>
      </c>
      <c r="AC41" s="115" t="inlineStr">
        <is>
          <t>M</t>
        </is>
      </c>
      <c r="AD41" s="126" t="inlineStr">
        <is>
          <t>T</t>
        </is>
      </c>
      <c r="AE41" s="125" t="inlineStr">
        <is>
          <t>N</t>
        </is>
      </c>
      <c r="AF41" s="114" t="n"/>
      <c r="AG41" s="126" t="inlineStr">
        <is>
          <t>T</t>
        </is>
      </c>
      <c r="AH41" s="114" t="n"/>
      <c r="AI41" s="114" t="n"/>
      <c r="AJ41" s="114" t="n"/>
      <c r="AK41" s="126" t="inlineStr">
        <is>
          <t>T</t>
        </is>
      </c>
      <c r="AL41" s="124" t="inlineStr">
        <is>
          <t>D</t>
        </is>
      </c>
      <c r="AM41" s="125" t="inlineStr">
        <is>
          <t>N</t>
        </is>
      </c>
      <c r="AN41" s="136">
        <f>IFERROR(INDEX(ABR!I$8:I$73,MATCH($A41,ABR!$A$8:$A$73,0))&amp;"","")</f>
        <v/>
      </c>
      <c r="AO41" s="136">
        <f>IFERROR(INDEX(ABR!J$8:J$73,MATCH($A41,ABR!$A$8:$A$73,0))&amp;"","")</f>
        <v/>
      </c>
      <c r="AP41" s="136">
        <f>IFERROR(INDEX(ABR!K$8:K$73,MATCH($A41,ABR!$A$8:$A$73,0))&amp;"","")</f>
        <v/>
      </c>
      <c r="AQ41" s="116">
        <f>IFERROR(INDEX(ABR!L$8:L$73,MATCH($A41,ABR!$A$8:$A$73,0))&amp;"","")</f>
        <v/>
      </c>
      <c r="AR41" s="116">
        <f>IFERROR(INDEX(ABR!M$8:M$73,MATCH($A41,ABR!$A$8:$A$73,0))&amp;"","")</f>
        <v/>
      </c>
      <c r="AS41" s="100" t="n"/>
      <c r="AT41" s="117">
        <f>SUMPRODUCT(($C41:$I41="M")*6+($C41:$I41="T")*6+($C41:$I41="D")*12+($C41:$I41="N")*12+($C41:$I41="NT")*6+($C41:$I41="C")*10+($C41:$I41="A")*8+($C41:$I41="J")*5+($C41:$I41="CEP")*4+($C41:$I41="CP")*6+($C41:$I41="CRO")*6+($C41:$I41="M+")*6+($C41:$I41="T+")*6+($C41:$I41="D+")*12+($C41:$I41="N+")*12+($C41:$I41="Dm+")*12+($C41:$I41="Dt+")*12+($C41:$I41="Tm-")*6+($C41:$I41="Mt-")*6)</f>
        <v/>
      </c>
      <c r="AU41" s="118">
        <f>AT41-MAX(0,IFERROR(INDEX(CADASTRO!$I$4:$I$80,MATCH($A41,CADASTRO!$A$4:$A$80,0)),$B41)-CONFIG!$B$50*(COUNTIF($C41:$I41,"AB")+COUNTIF($C41:$I41,"FE")+COUNTIF($C41:$I41,"LM")))</f>
        <v/>
      </c>
      <c r="AV41" s="117">
        <f>SUMPRODUCT(($J41:$P41="M")*6+($J41:$P41="T")*6+($J41:$P41="D")*12+($J41:$P41="N")*12+($J41:$P41="NT")*6+($J41:$P41="C")*10+($J41:$P41="A")*8+($J41:$P41="J")*5+($J41:$P41="CEP")*4+($J41:$P41="CP")*6+($J41:$P41="CRO")*6+($J41:$P41="M+")*6+($J41:$P41="T+")*6+($J41:$P41="D+")*12+($J41:$P41="N+")*12+($J41:$P41="Dm+")*12+($J41:$P41="Dt+")*12+($J41:$P41="Tm-")*6+($J41:$P41="Mt-")*6)</f>
        <v/>
      </c>
      <c r="AW41" s="118">
        <f>AV41-MAX(0,IFERROR(INDEX(CADASTRO!$I$4:$I$80,MATCH($A41,CADASTRO!$A$4:$A$80,0)),$B41)-CONFIG!$B$50*(COUNTIF($J41:$P41,"AB")+COUNTIF($J41:$P41,"FE")+COUNTIF($J41:$P41,"LM")))</f>
        <v/>
      </c>
      <c r="AX41" s="117">
        <f>SUMPRODUCT(($Q41:$W41="M")*6+($Q41:$W41="T")*6+($Q41:$W41="D")*12+($Q41:$W41="N")*12+($Q41:$W41="NT")*6+($Q41:$W41="C")*10+($Q41:$W41="A")*8+($Q41:$W41="J")*5+($Q41:$W41="CEP")*4+($Q41:$W41="CP")*6+($Q41:$W41="CRO")*6+($Q41:$W41="M+")*6+($Q41:$W41="T+")*6+($Q41:$W41="D+")*12+($Q41:$W41="N+")*12+($Q41:$W41="Dm+")*12+($Q41:$W41="Dt+")*12+($Q41:$W41="Tm-")*6+($Q41:$W41="Mt-")*6)</f>
        <v/>
      </c>
      <c r="AY41" s="118">
        <f>AX41-MAX(0,IFERROR(INDEX(CADASTRO!$I$4:$I$80,MATCH($A41,CADASTRO!$A$4:$A$80,0)),$B41)-CONFIG!$B$50*(COUNTIF($Q41:$W41,"AB")+COUNTIF($Q41:$W41,"FE")+COUNTIF($Q41:$W41,"LM")))</f>
        <v/>
      </c>
      <c r="AZ41" s="117">
        <f>SUMPRODUCT(($X41:$AD41="M")*6+($X41:$AD41="T")*6+($X41:$AD41="D")*12+($X41:$AD41="N")*12+($X41:$AD41="NT")*6+($X41:$AD41="C")*10+($X41:$AD41="A")*8+($X41:$AD41="J")*5+($X41:$AD41="CEP")*4+($X41:$AD41="CP")*6+($X41:$AD41="CRO")*6+($X41:$AD41="M+")*6+($X41:$AD41="T+")*6+($X41:$AD41="D+")*12+($X41:$AD41="N+")*12+($X41:$AD41="Dm+")*12+($X41:$AD41="Dt+")*12+($X41:$AD41="Tm-")*6+($X41:$AD41="Mt-")*6)</f>
        <v/>
      </c>
      <c r="BA41" s="118">
        <f>AZ41-MAX(0,IFERROR(INDEX(CADASTRO!$I$4:$I$80,MATCH($A41,CADASTRO!$A$4:$A$80,0)),$B41)-CONFIG!$B$50*(COUNTIF($X41:$AD41,"AB")+COUNTIF($X41:$AD41,"FE")+COUNTIF($X41:$AD41,"LM")))</f>
        <v/>
      </c>
      <c r="BB41" s="117">
        <f>SUMPRODUCT(($AE41:$AK41="M")*6+($AE41:$AK41="T")*6+($AE41:$AK41="D")*12+($AE41:$AK41="N")*12+($AE41:$AK41="NT")*6+($AE41:$AK41="C")*10+($AE41:$AK41="A")*8+($AE41:$AK41="J")*5+($AE41:$AK41="CEP")*4+($AE41:$AK41="CP")*6+($AE41:$AK41="CRO")*6+($AE41:$AK41="M+")*6+($AE41:$AK41="T+")*6+($AE41:$AK41="D+")*12+($AE41:$AK41="N+")*12+($AE41:$AK41="Dm+")*12+($AE41:$AK41="Dt+")*12+($AE41:$AK41="Tm-")*6+($AE41:$AK41="Mt-")*6)</f>
        <v/>
      </c>
      <c r="BC41" s="118">
        <f>BB41-MAX(0,IFERROR(INDEX(CADASTRO!$I$4:$I$80,MATCH($A41,CADASTRO!$A$4:$A$80,0)),$B41)-CONFIG!$B$50*(COUNTIF($AE41:$AK41,"AB")+COUNTIF($AE41:$AK41,"FE")+COUNTIF($AE41:$AK41,"LM")))</f>
        <v/>
      </c>
      <c r="BD41" s="117">
        <f>SUMPRODUCT(($AL41:$AM41="M")*6+($AL41:$AM41="T")*6+($AL41:$AM41="D")*12+($AL41:$AM41="N")*12+($AL41:$AM41="NT")*6+($AL41:$AM41="C")*10+($AL41:$AM41="A")*8+($AL41:$AM41="J")*5+($AL41:$AM41="CEP")*4+($AL41:$AM41="CP")*6+($AL41:$AM41="CRO")*6+($AL41:$AM41="M+")*6+($AL41:$AM41="T+")*6+($AL41:$AM41="D+")*12+($AL41:$AM41="N+")*12+($AL41:$AM41="Dm+")*12+($AL41:$AM41="Dt+")*12+($AL41:$AM41="Tm-")*6+($AL41:$AM41="Mt-")*6)+SUMPRODUCT(($AN41:$AR41="M")*6+($AN41:$AR41="T")*6+($AN41:$AR41="D")*12+($AN41:$AR41="N")*12+($AN41:$AR41="NT")*6+($AN41:$AR41="C")*10+($AN41:$AR41="A")*8+($AN41:$AR41="J")*5+($AN41:$AR41="CEP")*4+($AN41:$AR41="CP")*6+($AN41:$AR41="CRO")*6+($AN41:$AR41="M+")*6+($AN41:$AR41="T+")*6+($AN41:$AR41="D+")*12+($AN41:$AR41="N+")*12+($AN41:$AR41="Dm+")*12+($AN41:$AR41="Dt+")*12+($AN41:$AR41="Tm-")*6+($AN41:$AR41="Mt-")*6)</f>
        <v/>
      </c>
      <c r="BE41" s="118">
        <f>BD41-MAX(0,IFERROR(INDEX(CADASTRO!$I$4:$I$80,MATCH($A41,CADASTRO!$A$4:$A$80,0)),$B41)-CONFIG!$B$50*(COUNTIF($AL41:$AM41,"AB")+COUNTIF($AL41:$AM41,"FE")+COUNTIF($AL41:$AM41,"LM")+COUNTIF($AN41:$AR41,"AB")+COUNTIF($AN41:$AR41,"FE")+COUNTIF($AN41:$AR41,"LM")))</f>
        <v/>
      </c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36">
        <f>IFERROR(INDEX(FEV!AE$8:AE$73,MATCH($A42,FEV!$A$8:$A$73,0))&amp;"","")</f>
        <v/>
      </c>
      <c r="D42" s="136">
        <f>IFERROR(INDEX(FEV!AF$8:AF$73,MATCH($A42,FEV!$A$8:$A$73,0))&amp;"","")</f>
        <v/>
      </c>
      <c r="E42" s="136">
        <f>IFERROR(INDEX(FEV!AG$8:AG$73,MATCH($A42,FEV!$A$8:$A$73,0))&amp;"","")</f>
        <v/>
      </c>
      <c r="F42" s="136">
        <f>IFERROR(INDEX(FEV!AH$8:AH$73,MATCH($A42,FEV!$A$8:$A$73,0))&amp;"","")</f>
        <v/>
      </c>
      <c r="G42" s="136">
        <f>IFERROR(INDEX(FEV!AI$8:AI$73,MATCH($A42,FEV!$A$8:$A$73,0))&amp;"","")</f>
        <v/>
      </c>
      <c r="H42" s="116">
        <f>IFERROR(INDEX(FEV!AJ$8:AJ$73,MATCH($A42,FEV!$A$8:$A$73,0))&amp;"","")</f>
        <v/>
      </c>
      <c r="I42" s="114" t="n"/>
      <c r="J42" s="114" t="n"/>
      <c r="K42" s="114" t="n"/>
      <c r="L42" s="114" t="n"/>
      <c r="M42" s="126" t="inlineStr">
        <is>
          <t>T</t>
        </is>
      </c>
      <c r="N42" s="126" t="inlineStr">
        <is>
          <t>T</t>
        </is>
      </c>
      <c r="O42" s="125" t="inlineStr">
        <is>
          <t>N</t>
        </is>
      </c>
      <c r="P42" s="114" t="n"/>
      <c r="Q42" s="126" t="inlineStr">
        <is>
          <t>T</t>
        </is>
      </c>
      <c r="R42" s="125" t="inlineStr">
        <is>
          <t>N</t>
        </is>
      </c>
      <c r="S42" s="114" t="n"/>
      <c r="T42" s="114" t="n"/>
      <c r="U42" s="126" t="inlineStr">
        <is>
          <t>T</t>
        </is>
      </c>
      <c r="V42" s="114" t="n"/>
      <c r="W42" s="114" t="n"/>
      <c r="X42" s="126" t="inlineStr">
        <is>
          <t>T</t>
        </is>
      </c>
      <c r="Y42" s="125" t="inlineStr">
        <is>
          <t>N</t>
        </is>
      </c>
      <c r="Z42" s="114" t="n"/>
      <c r="AA42" s="114" t="n"/>
      <c r="AB42" s="126" t="inlineStr">
        <is>
          <t>T</t>
        </is>
      </c>
      <c r="AC42" s="114" t="n"/>
      <c r="AD42" s="114" t="n"/>
      <c r="AE42" s="114" t="n"/>
      <c r="AF42" s="124" t="inlineStr">
        <is>
          <t>D</t>
        </is>
      </c>
      <c r="AG42" s="114" t="n"/>
      <c r="AH42" s="114" t="n"/>
      <c r="AI42" s="114" t="n"/>
      <c r="AJ42" s="114" t="n"/>
      <c r="AK42" s="125" t="inlineStr">
        <is>
          <t>N</t>
        </is>
      </c>
      <c r="AL42" s="114" t="n"/>
      <c r="AM42" s="114" t="n"/>
      <c r="AN42" s="136">
        <f>IFERROR(INDEX(ABR!I$8:I$73,MATCH($A42,ABR!$A$8:$A$73,0))&amp;"","")</f>
        <v/>
      </c>
      <c r="AO42" s="136">
        <f>IFERROR(INDEX(ABR!J$8:J$73,MATCH($A42,ABR!$A$8:$A$73,0))&amp;"","")</f>
        <v/>
      </c>
      <c r="AP42" s="136">
        <f>IFERROR(INDEX(ABR!K$8:K$73,MATCH($A42,ABR!$A$8:$A$73,0))&amp;"","")</f>
        <v/>
      </c>
      <c r="AQ42" s="116">
        <f>IFERROR(INDEX(ABR!L$8:L$73,MATCH($A42,ABR!$A$8:$A$73,0))&amp;"","")</f>
        <v/>
      </c>
      <c r="AR42" s="116">
        <f>IFERROR(INDEX(ABR!M$8:M$73,MATCH($A42,ABR!$A$8:$A$73,0))&amp;"","")</f>
        <v/>
      </c>
      <c r="AS42" s="100" t="n"/>
      <c r="AT42" s="117">
        <f>SUMPRODUCT(($C42:$I42="M")*6+($C42:$I42="T")*6+($C42:$I42="D")*12+($C42:$I42="N")*12+($C42:$I42="NT")*6+($C42:$I42="C")*10+($C42:$I42="A")*8+($C42:$I42="J")*5+($C42:$I42="CEP")*4+($C42:$I42="CP")*6+($C42:$I42="CRO")*6+($C42:$I42="M+")*6+($C42:$I42="T+")*6+($C42:$I42="D+")*12+($C42:$I42="N+")*12+($C42:$I42="Dm+")*12+($C42:$I42="Dt+")*12+($C42:$I42="Tm-")*6+($C42:$I42="Mt-")*6)</f>
        <v/>
      </c>
      <c r="AU42" s="118">
        <f>AT42-MAX(0,IFERROR(INDEX(CADASTRO!$I$4:$I$80,MATCH($A42,CADASTRO!$A$4:$A$80,0)),$B42)-CONFIG!$B$50*(COUNTIF($C42:$I42,"AB")+COUNTIF($C42:$I42,"FE")+COUNTIF($C42:$I42,"LM")))</f>
        <v/>
      </c>
      <c r="AV42" s="117">
        <f>SUMPRODUCT(($J42:$P42="M")*6+($J42:$P42="T")*6+($J42:$P42="D")*12+($J42:$P42="N")*12+($J42:$P42="NT")*6+($J42:$P42="C")*10+($J42:$P42="A")*8+($J42:$P42="J")*5+($J42:$P42="CEP")*4+($J42:$P42="CP")*6+($J42:$P42="CRO")*6+($J42:$P42="M+")*6+($J42:$P42="T+")*6+($J42:$P42="D+")*12+($J42:$P42="N+")*12+($J42:$P42="Dm+")*12+($J42:$P42="Dt+")*12+($J42:$P42="Tm-")*6+($J42:$P42="Mt-")*6)</f>
        <v/>
      </c>
      <c r="AW42" s="118">
        <f>AV42-MAX(0,IFERROR(INDEX(CADASTRO!$I$4:$I$80,MATCH($A42,CADASTRO!$A$4:$A$80,0)),$B42)-CONFIG!$B$50*(COUNTIF($J42:$P42,"AB")+COUNTIF($J42:$P42,"FE")+COUNTIF($J42:$P42,"LM")))</f>
        <v/>
      </c>
      <c r="AX42" s="117">
        <f>SUMPRODUCT(($Q42:$W42="M")*6+($Q42:$W42="T")*6+($Q42:$W42="D")*12+($Q42:$W42="N")*12+($Q42:$W42="NT")*6+($Q42:$W42="C")*10+($Q42:$W42="A")*8+($Q42:$W42="J")*5+($Q42:$W42="CEP")*4+($Q42:$W42="CP")*6+($Q42:$W42="CRO")*6+($Q42:$W42="M+")*6+($Q42:$W42="T+")*6+($Q42:$W42="D+")*12+($Q42:$W42="N+")*12+($Q42:$W42="Dm+")*12+($Q42:$W42="Dt+")*12+($Q42:$W42="Tm-")*6+($Q42:$W42="Mt-")*6)</f>
        <v/>
      </c>
      <c r="AY42" s="118">
        <f>AX42-MAX(0,IFERROR(INDEX(CADASTRO!$I$4:$I$80,MATCH($A42,CADASTRO!$A$4:$A$80,0)),$B42)-CONFIG!$B$50*(COUNTIF($Q42:$W42,"AB")+COUNTIF($Q42:$W42,"FE")+COUNTIF($Q42:$W42,"LM")))</f>
        <v/>
      </c>
      <c r="AZ42" s="117">
        <f>SUMPRODUCT(($X42:$AD42="M")*6+($X42:$AD42="T")*6+($X42:$AD42="D")*12+($X42:$AD42="N")*12+($X42:$AD42="NT")*6+($X42:$AD42="C")*10+($X42:$AD42="A")*8+($X42:$AD42="J")*5+($X42:$AD42="CEP")*4+($X42:$AD42="CP")*6+($X42:$AD42="CRO")*6+($X42:$AD42="M+")*6+($X42:$AD42="T+")*6+($X42:$AD42="D+")*12+($X42:$AD42="N+")*12+($X42:$AD42="Dm+")*12+($X42:$AD42="Dt+")*12+($X42:$AD42="Tm-")*6+($X42:$AD42="Mt-")*6)</f>
        <v/>
      </c>
      <c r="BA42" s="118">
        <f>AZ42-MAX(0,IFERROR(INDEX(CADASTRO!$I$4:$I$80,MATCH($A42,CADASTRO!$A$4:$A$80,0)),$B42)-CONFIG!$B$50*(COUNTIF($X42:$AD42,"AB")+COUNTIF($X42:$AD42,"FE")+COUNTIF($X42:$AD42,"LM")))</f>
        <v/>
      </c>
      <c r="BB42" s="117">
        <f>SUMPRODUCT(($AE42:$AK42="M")*6+($AE42:$AK42="T")*6+($AE42:$AK42="D")*12+($AE42:$AK42="N")*12+($AE42:$AK42="NT")*6+($AE42:$AK42="C")*10+($AE42:$AK42="A")*8+($AE42:$AK42="J")*5+($AE42:$AK42="CEP")*4+($AE42:$AK42="CP")*6+($AE42:$AK42="CRO")*6+($AE42:$AK42="M+")*6+($AE42:$AK42="T+")*6+($AE42:$AK42="D+")*12+($AE42:$AK42="N+")*12+($AE42:$AK42="Dm+")*12+($AE42:$AK42="Dt+")*12+($AE42:$AK42="Tm-")*6+($AE42:$AK42="Mt-")*6)</f>
        <v/>
      </c>
      <c r="BC42" s="118">
        <f>BB42-MAX(0,IFERROR(INDEX(CADASTRO!$I$4:$I$80,MATCH($A42,CADASTRO!$A$4:$A$80,0)),$B42)-CONFIG!$B$50*(COUNTIF($AE42:$AK42,"AB")+COUNTIF($AE42:$AK42,"FE")+COUNTIF($AE42:$AK42,"LM")))</f>
        <v/>
      </c>
      <c r="BD42" s="117">
        <f>SUMPRODUCT(($AL42:$AM42="M")*6+($AL42:$AM42="T")*6+($AL42:$AM42="D")*12+($AL42:$AM42="N")*12+($AL42:$AM42="NT")*6+($AL42:$AM42="C")*10+($AL42:$AM42="A")*8+($AL42:$AM42="J")*5+($AL42:$AM42="CEP")*4+($AL42:$AM42="CP")*6+($AL42:$AM42="CRO")*6+($AL42:$AM42="M+")*6+($AL42:$AM42="T+")*6+($AL42:$AM42="D+")*12+($AL42:$AM42="N+")*12+($AL42:$AM42="Dm+")*12+($AL42:$AM42="Dt+")*12+($AL42:$AM42="Tm-")*6+($AL42:$AM42="Mt-")*6)+SUMPRODUCT(($AN42:$AR42="M")*6+($AN42:$AR42="T")*6+($AN42:$AR42="D")*12+($AN42:$AR42="N")*12+($AN42:$AR42="NT")*6+($AN42:$AR42="C")*10+($AN42:$AR42="A")*8+($AN42:$AR42="J")*5+($AN42:$AR42="CEP")*4+($AN42:$AR42="CP")*6+($AN42:$AR42="CRO")*6+($AN42:$AR42="M+")*6+($AN42:$AR42="T+")*6+($AN42:$AR42="D+")*12+($AN42:$AR42="N+")*12+($AN42:$AR42="Dm+")*12+($AN42:$AR42="Dt+")*12+($AN42:$AR42="Tm-")*6+($AN42:$AR42="Mt-")*6)</f>
        <v/>
      </c>
      <c r="BE42" s="118">
        <f>BD42-MAX(0,IFERROR(INDEX(CADASTRO!$I$4:$I$80,MATCH($A42,CADASTRO!$A$4:$A$80,0)),$B42)-CONFIG!$B$50*(COUNTIF($AL42:$AM42,"AB")+COUNTIF($AL42:$AM42,"FE")+COUNTIF($AL42:$AM42,"LM")+COUNTIF($AN42:$AR42,"AB")+COUNTIF($AN42:$AR42,"FE")+COUNTIF($AN42:$AR42,"LM")))</f>
        <v/>
      </c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36">
        <f>IFERROR(INDEX(FEV!AE$8:AE$73,MATCH($A43,FEV!$A$8:$A$73,0))&amp;"","")</f>
        <v/>
      </c>
      <c r="D43" s="136">
        <f>IFERROR(INDEX(FEV!AF$8:AF$73,MATCH($A43,FEV!$A$8:$A$73,0))&amp;"","")</f>
        <v/>
      </c>
      <c r="E43" s="136">
        <f>IFERROR(INDEX(FEV!AG$8:AG$73,MATCH($A43,FEV!$A$8:$A$73,0))&amp;"","")</f>
        <v/>
      </c>
      <c r="F43" s="136">
        <f>IFERROR(INDEX(FEV!AH$8:AH$73,MATCH($A43,FEV!$A$8:$A$73,0))&amp;"","")</f>
        <v/>
      </c>
      <c r="G43" s="136">
        <f>IFERROR(INDEX(FEV!AI$8:AI$73,MATCH($A43,FEV!$A$8:$A$73,0))&amp;"","")</f>
        <v/>
      </c>
      <c r="H43" s="116">
        <f>IFERROR(INDEX(FEV!AJ$8:AJ$73,MATCH($A43,FEV!$A$8:$A$73,0))&amp;"","")</f>
        <v/>
      </c>
      <c r="I43" s="114" t="n"/>
      <c r="J43" s="114" t="n"/>
      <c r="K43" s="114" t="n"/>
      <c r="L43" s="114" t="n"/>
      <c r="M43" s="125" t="inlineStr">
        <is>
          <t>N</t>
        </is>
      </c>
      <c r="N43" s="114" t="n"/>
      <c r="O43" s="125" t="inlineStr">
        <is>
          <t>N</t>
        </is>
      </c>
      <c r="P43" s="114" t="n"/>
      <c r="Q43" s="125" t="inlineStr">
        <is>
          <t>N</t>
        </is>
      </c>
      <c r="R43" s="114" t="n"/>
      <c r="S43" s="114" t="n"/>
      <c r="T43" s="125" t="inlineStr">
        <is>
          <t>N</t>
        </is>
      </c>
      <c r="U43" s="114" t="n"/>
      <c r="V43" s="114" t="n"/>
      <c r="W43" s="114" t="n"/>
      <c r="X43" s="125" t="inlineStr">
        <is>
          <t>N</t>
        </is>
      </c>
      <c r="Y43" s="114" t="n"/>
      <c r="Z43" s="114" t="n"/>
      <c r="AA43" s="114" t="n"/>
      <c r="AB43" s="114" t="n"/>
      <c r="AC43" s="125" t="inlineStr">
        <is>
          <t>N</t>
        </is>
      </c>
      <c r="AD43" s="114" t="n"/>
      <c r="AE43" s="125" t="inlineStr">
        <is>
          <t>N</t>
        </is>
      </c>
      <c r="AF43" s="114" t="n"/>
      <c r="AG43" s="114" t="n"/>
      <c r="AH43" s="125" t="inlineStr">
        <is>
          <t>N</t>
        </is>
      </c>
      <c r="AI43" s="114" t="n"/>
      <c r="AJ43" s="114" t="n"/>
      <c r="AK43" s="114" t="n"/>
      <c r="AL43" s="125" t="inlineStr">
        <is>
          <t>N</t>
        </is>
      </c>
      <c r="AM43" s="114" t="n"/>
      <c r="AN43" s="136">
        <f>IFERROR(INDEX(ABR!I$8:I$73,MATCH($A43,ABR!$A$8:$A$73,0))&amp;"","")</f>
        <v/>
      </c>
      <c r="AO43" s="136">
        <f>IFERROR(INDEX(ABR!J$8:J$73,MATCH($A43,ABR!$A$8:$A$73,0))&amp;"","")</f>
        <v/>
      </c>
      <c r="AP43" s="136">
        <f>IFERROR(INDEX(ABR!K$8:K$73,MATCH($A43,ABR!$A$8:$A$73,0))&amp;"","")</f>
        <v/>
      </c>
      <c r="AQ43" s="116">
        <f>IFERROR(INDEX(ABR!L$8:L$73,MATCH($A43,ABR!$A$8:$A$73,0))&amp;"","")</f>
        <v/>
      </c>
      <c r="AR43" s="116">
        <f>IFERROR(INDEX(ABR!M$8:M$73,MATCH($A43,ABR!$A$8:$A$73,0))&amp;"","")</f>
        <v/>
      </c>
      <c r="AS43" s="100" t="n"/>
      <c r="AT43" s="117">
        <f>SUMPRODUCT(($C43:$I43="M")*6+($C43:$I43="T")*6+($C43:$I43="D")*12+($C43:$I43="N")*12+($C43:$I43="NT")*6+($C43:$I43="C")*10+($C43:$I43="A")*8+($C43:$I43="J")*5+($C43:$I43="CEP")*4+($C43:$I43="CP")*6+($C43:$I43="CRO")*6+($C43:$I43="M+")*6+($C43:$I43="T+")*6+($C43:$I43="D+")*12+($C43:$I43="N+")*12+($C43:$I43="Dm+")*12+($C43:$I43="Dt+")*12+($C43:$I43="Tm-")*6+($C43:$I43="Mt-")*6)</f>
        <v/>
      </c>
      <c r="AU43" s="118">
        <f>AT43-MAX(0,IFERROR(INDEX(CADASTRO!$I$4:$I$80,MATCH($A43,CADASTRO!$A$4:$A$80,0)),$B43)-CONFIG!$B$50*(COUNTIF($C43:$I43,"AB")+COUNTIF($C43:$I43,"FE")+COUNTIF($C43:$I43,"LM")))</f>
        <v/>
      </c>
      <c r="AV43" s="117">
        <f>SUMPRODUCT(($J43:$P43="M")*6+($J43:$P43="T")*6+($J43:$P43="D")*12+($J43:$P43="N")*12+($J43:$P43="NT")*6+($J43:$P43="C")*10+($J43:$P43="A")*8+($J43:$P43="J")*5+($J43:$P43="CEP")*4+($J43:$P43="CP")*6+($J43:$P43="CRO")*6+($J43:$P43="M+")*6+($J43:$P43="T+")*6+($J43:$P43="D+")*12+($J43:$P43="N+")*12+($J43:$P43="Dm+")*12+($J43:$P43="Dt+")*12+($J43:$P43="Tm-")*6+($J43:$P43="Mt-")*6)</f>
        <v/>
      </c>
      <c r="AW43" s="118">
        <f>AV43-MAX(0,IFERROR(INDEX(CADASTRO!$I$4:$I$80,MATCH($A43,CADASTRO!$A$4:$A$80,0)),$B43)-CONFIG!$B$50*(COUNTIF($J43:$P43,"AB")+COUNTIF($J43:$P43,"FE")+COUNTIF($J43:$P43,"LM")))</f>
        <v/>
      </c>
      <c r="AX43" s="117">
        <f>SUMPRODUCT(($Q43:$W43="M")*6+($Q43:$W43="T")*6+($Q43:$W43="D")*12+($Q43:$W43="N")*12+($Q43:$W43="NT")*6+($Q43:$W43="C")*10+($Q43:$W43="A")*8+($Q43:$W43="J")*5+($Q43:$W43="CEP")*4+($Q43:$W43="CP")*6+($Q43:$W43="CRO")*6+($Q43:$W43="M+")*6+($Q43:$W43="T+")*6+($Q43:$W43="D+")*12+($Q43:$W43="N+")*12+($Q43:$W43="Dm+")*12+($Q43:$W43="Dt+")*12+($Q43:$W43="Tm-")*6+($Q43:$W43="Mt-")*6)</f>
        <v/>
      </c>
      <c r="AY43" s="118">
        <f>AX43-MAX(0,IFERROR(INDEX(CADASTRO!$I$4:$I$80,MATCH($A43,CADASTRO!$A$4:$A$80,0)),$B43)-CONFIG!$B$50*(COUNTIF($Q43:$W43,"AB")+COUNTIF($Q43:$W43,"FE")+COUNTIF($Q43:$W43,"LM")))</f>
        <v/>
      </c>
      <c r="AZ43" s="117">
        <f>SUMPRODUCT(($X43:$AD43="M")*6+($X43:$AD43="T")*6+($X43:$AD43="D")*12+($X43:$AD43="N")*12+($X43:$AD43="NT")*6+($X43:$AD43="C")*10+($X43:$AD43="A")*8+($X43:$AD43="J")*5+($X43:$AD43="CEP")*4+($X43:$AD43="CP")*6+($X43:$AD43="CRO")*6+($X43:$AD43="M+")*6+($X43:$AD43="T+")*6+($X43:$AD43="D+")*12+($X43:$AD43="N+")*12+($X43:$AD43="Dm+")*12+($X43:$AD43="Dt+")*12+($X43:$AD43="Tm-")*6+($X43:$AD43="Mt-")*6)</f>
        <v/>
      </c>
      <c r="BA43" s="118">
        <f>AZ43-MAX(0,IFERROR(INDEX(CADASTRO!$I$4:$I$80,MATCH($A43,CADASTRO!$A$4:$A$80,0)),$B43)-CONFIG!$B$50*(COUNTIF($X43:$AD43,"AB")+COUNTIF($X43:$AD43,"FE")+COUNTIF($X43:$AD43,"LM")))</f>
        <v/>
      </c>
      <c r="BB43" s="117">
        <f>SUMPRODUCT(($AE43:$AK43="M")*6+($AE43:$AK43="T")*6+($AE43:$AK43="D")*12+($AE43:$AK43="N")*12+($AE43:$AK43="NT")*6+($AE43:$AK43="C")*10+($AE43:$AK43="A")*8+($AE43:$AK43="J")*5+($AE43:$AK43="CEP")*4+($AE43:$AK43="CP")*6+($AE43:$AK43="CRO")*6+($AE43:$AK43="M+")*6+($AE43:$AK43="T+")*6+($AE43:$AK43="D+")*12+($AE43:$AK43="N+")*12+($AE43:$AK43="Dm+")*12+($AE43:$AK43="Dt+")*12+($AE43:$AK43="Tm-")*6+($AE43:$AK43="Mt-")*6)</f>
        <v/>
      </c>
      <c r="BC43" s="118">
        <f>BB43-MAX(0,IFERROR(INDEX(CADASTRO!$I$4:$I$80,MATCH($A43,CADASTRO!$A$4:$A$80,0)),$B43)-CONFIG!$B$50*(COUNTIF($AE43:$AK43,"AB")+COUNTIF($AE43:$AK43,"FE")+COUNTIF($AE43:$AK43,"LM")))</f>
        <v/>
      </c>
      <c r="BD43" s="117">
        <f>SUMPRODUCT(($AL43:$AM43="M")*6+($AL43:$AM43="T")*6+($AL43:$AM43="D")*12+($AL43:$AM43="N")*12+($AL43:$AM43="NT")*6+($AL43:$AM43="C")*10+($AL43:$AM43="A")*8+($AL43:$AM43="J")*5+($AL43:$AM43="CEP")*4+($AL43:$AM43="CP")*6+($AL43:$AM43="CRO")*6+($AL43:$AM43="M+")*6+($AL43:$AM43="T+")*6+($AL43:$AM43="D+")*12+($AL43:$AM43="N+")*12+($AL43:$AM43="Dm+")*12+($AL43:$AM43="Dt+")*12+($AL43:$AM43="Tm-")*6+($AL43:$AM43="Mt-")*6)+SUMPRODUCT(($AN43:$AR43="M")*6+($AN43:$AR43="T")*6+($AN43:$AR43="D")*12+($AN43:$AR43="N")*12+($AN43:$AR43="NT")*6+($AN43:$AR43="C")*10+($AN43:$AR43="A")*8+($AN43:$AR43="J")*5+($AN43:$AR43="CEP")*4+($AN43:$AR43="CP")*6+($AN43:$AR43="CRO")*6+($AN43:$AR43="M+")*6+($AN43:$AR43="T+")*6+($AN43:$AR43="D+")*12+($AN43:$AR43="N+")*12+($AN43:$AR43="Dm+")*12+($AN43:$AR43="Dt+")*12+($AN43:$AR43="Tm-")*6+($AN43:$AR43="Mt-")*6)</f>
        <v/>
      </c>
      <c r="BE43" s="118">
        <f>BD43-MAX(0,IFERROR(INDEX(CADASTRO!$I$4:$I$80,MATCH($A43,CADASTRO!$A$4:$A$80,0)),$B43)-CONFIG!$B$50*(COUNTIF($AL43:$AM43,"AB")+COUNTIF($AL43:$AM43,"FE")+COUNTIF($AL43:$AM43,"LM")+COUNTIF($AN43:$AR43,"AB")+COUNTIF($AN43:$AR43,"FE")+COUNTIF($AN43:$AR43,"LM")))</f>
        <v/>
      </c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36">
        <f>IFERROR(INDEX(FEV!AE$8:AE$73,MATCH($A44,FEV!$A$8:$A$73,0))&amp;"","")</f>
        <v/>
      </c>
      <c r="D44" s="136">
        <f>IFERROR(INDEX(FEV!AF$8:AF$73,MATCH($A44,FEV!$A$8:$A$73,0))&amp;"","")</f>
        <v/>
      </c>
      <c r="E44" s="136">
        <f>IFERROR(INDEX(FEV!AG$8:AG$73,MATCH($A44,FEV!$A$8:$A$73,0))&amp;"","")</f>
        <v/>
      </c>
      <c r="F44" s="136">
        <f>IFERROR(INDEX(FEV!AH$8:AH$73,MATCH($A44,FEV!$A$8:$A$73,0))&amp;"","")</f>
        <v/>
      </c>
      <c r="G44" s="136">
        <f>IFERROR(INDEX(FEV!AI$8:AI$73,MATCH($A44,FEV!$A$8:$A$73,0))&amp;"","")</f>
        <v/>
      </c>
      <c r="H44" s="116">
        <f>IFERROR(INDEX(FEV!AJ$8:AJ$73,MATCH($A44,FEV!$A$8:$A$73,0))&amp;"","")</f>
        <v/>
      </c>
      <c r="I44" s="114" t="n"/>
      <c r="J44" s="114" t="n"/>
      <c r="K44" s="114" t="n"/>
      <c r="L44" s="114" t="n"/>
      <c r="M44" s="114" t="n"/>
      <c r="N44" s="114" t="n"/>
      <c r="O44" s="124" t="inlineStr">
        <is>
          <t>D</t>
        </is>
      </c>
      <c r="P44" s="126" t="inlineStr">
        <is>
          <t>T</t>
        </is>
      </c>
      <c r="Q44" s="114" t="n"/>
      <c r="R44" s="124" t="inlineStr">
        <is>
          <t>D</t>
        </is>
      </c>
      <c r="S44" s="114" t="n"/>
      <c r="T44" s="114" t="n"/>
      <c r="U44" s="125" t="inlineStr">
        <is>
          <t>N</t>
        </is>
      </c>
      <c r="V44" s="114" t="n"/>
      <c r="W44" s="114" t="n"/>
      <c r="X44" s="114" t="n"/>
      <c r="Y44" s="124" t="inlineStr">
        <is>
          <t>D</t>
        </is>
      </c>
      <c r="Z44" s="126" t="inlineStr">
        <is>
          <t>T</t>
        </is>
      </c>
      <c r="AA44" s="114" t="n"/>
      <c r="AB44" s="115" t="inlineStr">
        <is>
          <t>M</t>
        </is>
      </c>
      <c r="AC44" s="114" t="n"/>
      <c r="AD44" s="114" t="n"/>
      <c r="AE44" s="114" t="n"/>
      <c r="AF44" s="114" t="n"/>
      <c r="AG44" s="114" t="n"/>
      <c r="AH44" s="114" t="n"/>
      <c r="AI44" s="124" t="inlineStr">
        <is>
          <t>D</t>
        </is>
      </c>
      <c r="AJ44" s="114" t="n"/>
      <c r="AK44" s="114" t="n"/>
      <c r="AL44" s="114" t="n"/>
      <c r="AM44" s="126" t="inlineStr">
        <is>
          <t>T</t>
        </is>
      </c>
      <c r="AN44" s="136">
        <f>IFERROR(INDEX(ABR!I$8:I$73,MATCH($A44,ABR!$A$8:$A$73,0))&amp;"","")</f>
        <v/>
      </c>
      <c r="AO44" s="136">
        <f>IFERROR(INDEX(ABR!J$8:J$73,MATCH($A44,ABR!$A$8:$A$73,0))&amp;"","")</f>
        <v/>
      </c>
      <c r="AP44" s="136">
        <f>IFERROR(INDEX(ABR!K$8:K$73,MATCH($A44,ABR!$A$8:$A$73,0))&amp;"","")</f>
        <v/>
      </c>
      <c r="AQ44" s="116">
        <f>IFERROR(INDEX(ABR!L$8:L$73,MATCH($A44,ABR!$A$8:$A$73,0))&amp;"","")</f>
        <v/>
      </c>
      <c r="AR44" s="116">
        <f>IFERROR(INDEX(ABR!M$8:M$73,MATCH($A44,ABR!$A$8:$A$73,0))&amp;"","")</f>
        <v/>
      </c>
      <c r="AS44" s="100" t="n"/>
      <c r="AT44" s="117">
        <f>SUMPRODUCT(($C44:$I44="M")*6+($C44:$I44="T")*6+($C44:$I44="D")*12+($C44:$I44="N")*12+($C44:$I44="NT")*6+($C44:$I44="C")*10+($C44:$I44="A")*8+($C44:$I44="J")*5+($C44:$I44="CEP")*4+($C44:$I44="CP")*6+($C44:$I44="CRO")*6+($C44:$I44="M+")*6+($C44:$I44="T+")*6+($C44:$I44="D+")*12+($C44:$I44="N+")*12+($C44:$I44="Dm+")*12+($C44:$I44="Dt+")*12+($C44:$I44="Tm-")*6+($C44:$I44="Mt-")*6)</f>
        <v/>
      </c>
      <c r="AU44" s="118">
        <f>AT44-MAX(0,IFERROR(INDEX(CADASTRO!$I$4:$I$80,MATCH($A44,CADASTRO!$A$4:$A$80,0)),$B44)-CONFIG!$B$50*(COUNTIF($C44:$I44,"AB")+COUNTIF($C44:$I44,"FE")+COUNTIF($C44:$I44,"LM")))</f>
        <v/>
      </c>
      <c r="AV44" s="117">
        <f>SUMPRODUCT(($J44:$P44="M")*6+($J44:$P44="T")*6+($J44:$P44="D")*12+($J44:$P44="N")*12+($J44:$P44="NT")*6+($J44:$P44="C")*10+($J44:$P44="A")*8+($J44:$P44="J")*5+($J44:$P44="CEP")*4+($J44:$P44="CP")*6+($J44:$P44="CRO")*6+($J44:$P44="M+")*6+($J44:$P44="T+")*6+($J44:$P44="D+")*12+($J44:$P44="N+")*12+($J44:$P44="Dm+")*12+($J44:$P44="Dt+")*12+($J44:$P44="Tm-")*6+($J44:$P44="Mt-")*6)</f>
        <v/>
      </c>
      <c r="AW44" s="118">
        <f>AV44-MAX(0,IFERROR(INDEX(CADASTRO!$I$4:$I$80,MATCH($A44,CADASTRO!$A$4:$A$80,0)),$B44)-CONFIG!$B$50*(COUNTIF($J44:$P44,"AB")+COUNTIF($J44:$P44,"FE")+COUNTIF($J44:$P44,"LM")))</f>
        <v/>
      </c>
      <c r="AX44" s="117">
        <f>SUMPRODUCT(($Q44:$W44="M")*6+($Q44:$W44="T")*6+($Q44:$W44="D")*12+($Q44:$W44="N")*12+($Q44:$W44="NT")*6+($Q44:$W44="C")*10+($Q44:$W44="A")*8+($Q44:$W44="J")*5+($Q44:$W44="CEP")*4+($Q44:$W44="CP")*6+($Q44:$W44="CRO")*6+($Q44:$W44="M+")*6+($Q44:$W44="T+")*6+($Q44:$W44="D+")*12+($Q44:$W44="N+")*12+($Q44:$W44="Dm+")*12+($Q44:$W44="Dt+")*12+($Q44:$W44="Tm-")*6+($Q44:$W44="Mt-")*6)</f>
        <v/>
      </c>
      <c r="AY44" s="118">
        <f>AX44-MAX(0,IFERROR(INDEX(CADASTRO!$I$4:$I$80,MATCH($A44,CADASTRO!$A$4:$A$80,0)),$B44)-CONFIG!$B$50*(COUNTIF($Q44:$W44,"AB")+COUNTIF($Q44:$W44,"FE")+COUNTIF($Q44:$W44,"LM")))</f>
        <v/>
      </c>
      <c r="AZ44" s="117">
        <f>SUMPRODUCT(($X44:$AD44="M")*6+($X44:$AD44="T")*6+($X44:$AD44="D")*12+($X44:$AD44="N")*12+($X44:$AD44="NT")*6+($X44:$AD44="C")*10+($X44:$AD44="A")*8+($X44:$AD44="J")*5+($X44:$AD44="CEP")*4+($X44:$AD44="CP")*6+($X44:$AD44="CRO")*6+($X44:$AD44="M+")*6+($X44:$AD44="T+")*6+($X44:$AD44="D+")*12+($X44:$AD44="N+")*12+($X44:$AD44="Dm+")*12+($X44:$AD44="Dt+")*12+($X44:$AD44="Tm-")*6+($X44:$AD44="Mt-")*6)</f>
        <v/>
      </c>
      <c r="BA44" s="118">
        <f>AZ44-MAX(0,IFERROR(INDEX(CADASTRO!$I$4:$I$80,MATCH($A44,CADASTRO!$A$4:$A$80,0)),$B44)-CONFIG!$B$50*(COUNTIF($X44:$AD44,"AB")+COUNTIF($X44:$AD44,"FE")+COUNTIF($X44:$AD44,"LM")))</f>
        <v/>
      </c>
      <c r="BB44" s="117">
        <f>SUMPRODUCT(($AE44:$AK44="M")*6+($AE44:$AK44="T")*6+($AE44:$AK44="D")*12+($AE44:$AK44="N")*12+($AE44:$AK44="NT")*6+($AE44:$AK44="C")*10+($AE44:$AK44="A")*8+($AE44:$AK44="J")*5+($AE44:$AK44="CEP")*4+($AE44:$AK44="CP")*6+($AE44:$AK44="CRO")*6+($AE44:$AK44="M+")*6+($AE44:$AK44="T+")*6+($AE44:$AK44="D+")*12+($AE44:$AK44="N+")*12+($AE44:$AK44="Dm+")*12+($AE44:$AK44="Dt+")*12+($AE44:$AK44="Tm-")*6+($AE44:$AK44="Mt-")*6)</f>
        <v/>
      </c>
      <c r="BC44" s="118">
        <f>BB44-MAX(0,IFERROR(INDEX(CADASTRO!$I$4:$I$80,MATCH($A44,CADASTRO!$A$4:$A$80,0)),$B44)-CONFIG!$B$50*(COUNTIF($AE44:$AK44,"AB")+COUNTIF($AE44:$AK44,"FE")+COUNTIF($AE44:$AK44,"LM")))</f>
        <v/>
      </c>
      <c r="BD44" s="117">
        <f>SUMPRODUCT(($AL44:$AM44="M")*6+($AL44:$AM44="T")*6+($AL44:$AM44="D")*12+($AL44:$AM44="N")*12+($AL44:$AM44="NT")*6+($AL44:$AM44="C")*10+($AL44:$AM44="A")*8+($AL44:$AM44="J")*5+($AL44:$AM44="CEP")*4+($AL44:$AM44="CP")*6+($AL44:$AM44="CRO")*6+($AL44:$AM44="M+")*6+($AL44:$AM44="T+")*6+($AL44:$AM44="D+")*12+($AL44:$AM44="N+")*12+($AL44:$AM44="Dm+")*12+($AL44:$AM44="Dt+")*12+($AL44:$AM44="Tm-")*6+($AL44:$AM44="Mt-")*6)+SUMPRODUCT(($AN44:$AR44="M")*6+($AN44:$AR44="T")*6+($AN44:$AR44="D")*12+($AN44:$AR44="N")*12+($AN44:$AR44="NT")*6+($AN44:$AR44="C")*10+($AN44:$AR44="A")*8+($AN44:$AR44="J")*5+($AN44:$AR44="CEP")*4+($AN44:$AR44="CP")*6+($AN44:$AR44="CRO")*6+($AN44:$AR44="M+")*6+($AN44:$AR44="T+")*6+($AN44:$AR44="D+")*12+($AN44:$AR44="N+")*12+($AN44:$AR44="Dm+")*12+($AN44:$AR44="Dt+")*12+($AN44:$AR44="Tm-")*6+($AN44:$AR44="Mt-")*6)</f>
        <v/>
      </c>
      <c r="BE44" s="118">
        <f>BD44-MAX(0,IFERROR(INDEX(CADASTRO!$I$4:$I$80,MATCH($A44,CADASTRO!$A$4:$A$80,0)),$B44)-CONFIG!$B$50*(COUNTIF($AL44:$AM44,"AB")+COUNTIF($AL44:$AM44,"FE")+COUNTIF($AL44:$AM44,"LM")+COUNTIF($AN44:$AR44,"AB")+COUNTIF($AN44:$AR44,"FE")+COUNTIF($AN44:$AR44,"LM")))</f>
        <v/>
      </c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36">
        <f>IFERROR(INDEX(FEV!AE$8:AE$73,MATCH($A45,FEV!$A$8:$A$73,0))&amp;"","")</f>
        <v/>
      </c>
      <c r="D45" s="136">
        <f>IFERROR(INDEX(FEV!AF$8:AF$73,MATCH($A45,FEV!$A$8:$A$73,0))&amp;"","")</f>
        <v/>
      </c>
      <c r="E45" s="136">
        <f>IFERROR(INDEX(FEV!AG$8:AG$73,MATCH($A45,FEV!$A$8:$A$73,0))&amp;"","")</f>
        <v/>
      </c>
      <c r="F45" s="136">
        <f>IFERROR(INDEX(FEV!AH$8:AH$73,MATCH($A45,FEV!$A$8:$A$73,0))&amp;"","")</f>
        <v/>
      </c>
      <c r="G45" s="136">
        <f>IFERROR(INDEX(FEV!AI$8:AI$73,MATCH($A45,FEV!$A$8:$A$73,0))&amp;"","")</f>
        <v/>
      </c>
      <c r="H45" s="116">
        <f>IFERROR(INDEX(FEV!AJ$8:AJ$73,MATCH($A45,FEV!$A$8:$A$73,0))&amp;"","")</f>
        <v/>
      </c>
      <c r="I45" s="114" t="n"/>
      <c r="J45" s="115" t="inlineStr">
        <is>
          <t>M</t>
        </is>
      </c>
      <c r="K45" s="115" t="inlineStr">
        <is>
          <t>M</t>
        </is>
      </c>
      <c r="L45" s="114" t="n"/>
      <c r="M45" s="115" t="inlineStr">
        <is>
          <t>M</t>
        </is>
      </c>
      <c r="N45" s="114" t="n"/>
      <c r="O45" s="114" t="n"/>
      <c r="P45" s="115" t="inlineStr">
        <is>
          <t>M</t>
        </is>
      </c>
      <c r="Q45" s="115" t="inlineStr">
        <is>
          <t>M</t>
        </is>
      </c>
      <c r="R45" s="114" t="n"/>
      <c r="S45" s="114" t="n"/>
      <c r="T45" s="115" t="inlineStr">
        <is>
          <t>M</t>
        </is>
      </c>
      <c r="U45" s="115" t="inlineStr">
        <is>
          <t>M</t>
        </is>
      </c>
      <c r="V45" s="114" t="n"/>
      <c r="W45" s="115" t="inlineStr">
        <is>
          <t>M</t>
        </is>
      </c>
      <c r="X45" s="115" t="inlineStr">
        <is>
          <t>M</t>
        </is>
      </c>
      <c r="Y45" s="115" t="inlineStr">
        <is>
          <t>M</t>
        </is>
      </c>
      <c r="Z45" s="114" t="n"/>
      <c r="AA45" s="115" t="inlineStr">
        <is>
          <t>M</t>
        </is>
      </c>
      <c r="AB45" s="114" t="n"/>
      <c r="AC45" s="114" t="n"/>
      <c r="AD45" s="115" t="inlineStr">
        <is>
          <t>M</t>
        </is>
      </c>
      <c r="AE45" s="114" t="n"/>
      <c r="AF45" s="114" t="n"/>
      <c r="AG45" s="114" t="n"/>
      <c r="AH45" s="115" t="inlineStr">
        <is>
          <t>M</t>
        </is>
      </c>
      <c r="AI45" s="125" t="inlineStr">
        <is>
          <t>N</t>
        </is>
      </c>
      <c r="AJ45" s="114" t="n"/>
      <c r="AK45" s="115" t="inlineStr">
        <is>
          <t>M</t>
        </is>
      </c>
      <c r="AL45" s="115" t="inlineStr">
        <is>
          <t>M</t>
        </is>
      </c>
      <c r="AM45" s="115" t="inlineStr">
        <is>
          <t>M</t>
        </is>
      </c>
      <c r="AN45" s="136">
        <f>IFERROR(INDEX(ABR!I$8:I$73,MATCH($A45,ABR!$A$8:$A$73,0))&amp;"","")</f>
        <v/>
      </c>
      <c r="AO45" s="136">
        <f>IFERROR(INDEX(ABR!J$8:J$73,MATCH($A45,ABR!$A$8:$A$73,0))&amp;"","")</f>
        <v/>
      </c>
      <c r="AP45" s="136">
        <f>IFERROR(INDEX(ABR!K$8:K$73,MATCH($A45,ABR!$A$8:$A$73,0))&amp;"","")</f>
        <v/>
      </c>
      <c r="AQ45" s="116">
        <f>IFERROR(INDEX(ABR!L$8:L$73,MATCH($A45,ABR!$A$8:$A$73,0))&amp;"","")</f>
        <v/>
      </c>
      <c r="AR45" s="116">
        <f>IFERROR(INDEX(ABR!M$8:M$73,MATCH($A45,ABR!$A$8:$A$73,0))&amp;"","")</f>
        <v/>
      </c>
      <c r="AS45" s="100" t="n"/>
      <c r="AT45" s="117">
        <f>SUMPRODUCT(($C45:$I45="M")*6+($C45:$I45="T")*6+($C45:$I45="D")*12+($C45:$I45="N")*12+($C45:$I45="NT")*6+($C45:$I45="C")*10+($C45:$I45="A")*8+($C45:$I45="J")*5+($C45:$I45="CEP")*4+($C45:$I45="CP")*6+($C45:$I45="CRO")*6+($C45:$I45="M+")*6+($C45:$I45="T+")*6+($C45:$I45="D+")*12+($C45:$I45="N+")*12+($C45:$I45="Dm+")*12+($C45:$I45="Dt+")*12+($C45:$I45="Tm-")*6+($C45:$I45="Mt-")*6)</f>
        <v/>
      </c>
      <c r="AU45" s="118">
        <f>AT45-MAX(0,IFERROR(INDEX(CADASTRO!$I$4:$I$80,MATCH($A45,CADASTRO!$A$4:$A$80,0)),$B45)-CONFIG!$B$50*(COUNTIF($C45:$I45,"AB")+COUNTIF($C45:$I45,"FE")+COUNTIF($C45:$I45,"LM")))</f>
        <v/>
      </c>
      <c r="AV45" s="117">
        <f>SUMPRODUCT(($J45:$P45="M")*6+($J45:$P45="T")*6+($J45:$P45="D")*12+($J45:$P45="N")*12+($J45:$P45="NT")*6+($J45:$P45="C")*10+($J45:$P45="A")*8+($J45:$P45="J")*5+($J45:$P45="CEP")*4+($J45:$P45="CP")*6+($J45:$P45="CRO")*6+($J45:$P45="M+")*6+($J45:$P45="T+")*6+($J45:$P45="D+")*12+($J45:$P45="N+")*12+($J45:$P45="Dm+")*12+($J45:$P45="Dt+")*12+($J45:$P45="Tm-")*6+($J45:$P45="Mt-")*6)</f>
        <v/>
      </c>
      <c r="AW45" s="118">
        <f>AV45-MAX(0,IFERROR(INDEX(CADASTRO!$I$4:$I$80,MATCH($A45,CADASTRO!$A$4:$A$80,0)),$B45)-CONFIG!$B$50*(COUNTIF($J45:$P45,"AB")+COUNTIF($J45:$P45,"FE")+COUNTIF($J45:$P45,"LM")))</f>
        <v/>
      </c>
      <c r="AX45" s="117">
        <f>SUMPRODUCT(($Q45:$W45="M")*6+($Q45:$W45="T")*6+($Q45:$W45="D")*12+($Q45:$W45="N")*12+($Q45:$W45="NT")*6+($Q45:$W45="C")*10+($Q45:$W45="A")*8+($Q45:$W45="J")*5+($Q45:$W45="CEP")*4+($Q45:$W45="CP")*6+($Q45:$W45="CRO")*6+($Q45:$W45="M+")*6+($Q45:$W45="T+")*6+($Q45:$W45="D+")*12+($Q45:$W45="N+")*12+($Q45:$W45="Dm+")*12+($Q45:$W45="Dt+")*12+($Q45:$W45="Tm-")*6+($Q45:$W45="Mt-")*6)</f>
        <v/>
      </c>
      <c r="AY45" s="118">
        <f>AX45-MAX(0,IFERROR(INDEX(CADASTRO!$I$4:$I$80,MATCH($A45,CADASTRO!$A$4:$A$80,0)),$B45)-CONFIG!$B$50*(COUNTIF($Q45:$W45,"AB")+COUNTIF($Q45:$W45,"FE")+COUNTIF($Q45:$W45,"LM")))</f>
        <v/>
      </c>
      <c r="AZ45" s="117">
        <f>SUMPRODUCT(($X45:$AD45="M")*6+($X45:$AD45="T")*6+($X45:$AD45="D")*12+($X45:$AD45="N")*12+($X45:$AD45="NT")*6+($X45:$AD45="C")*10+($X45:$AD45="A")*8+($X45:$AD45="J")*5+($X45:$AD45="CEP")*4+($X45:$AD45="CP")*6+($X45:$AD45="CRO")*6+($X45:$AD45="M+")*6+($X45:$AD45="T+")*6+($X45:$AD45="D+")*12+($X45:$AD45="N+")*12+($X45:$AD45="Dm+")*12+($X45:$AD45="Dt+")*12+($X45:$AD45="Tm-")*6+($X45:$AD45="Mt-")*6)</f>
        <v/>
      </c>
      <c r="BA45" s="118">
        <f>AZ45-MAX(0,IFERROR(INDEX(CADASTRO!$I$4:$I$80,MATCH($A45,CADASTRO!$A$4:$A$80,0)),$B45)-CONFIG!$B$50*(COUNTIF($X45:$AD45,"AB")+COUNTIF($X45:$AD45,"FE")+COUNTIF($X45:$AD45,"LM")))</f>
        <v/>
      </c>
      <c r="BB45" s="117">
        <f>SUMPRODUCT(($AE45:$AK45="M")*6+($AE45:$AK45="T")*6+($AE45:$AK45="D")*12+($AE45:$AK45="N")*12+($AE45:$AK45="NT")*6+($AE45:$AK45="C")*10+($AE45:$AK45="A")*8+($AE45:$AK45="J")*5+($AE45:$AK45="CEP")*4+($AE45:$AK45="CP")*6+($AE45:$AK45="CRO")*6+($AE45:$AK45="M+")*6+($AE45:$AK45="T+")*6+($AE45:$AK45="D+")*12+($AE45:$AK45="N+")*12+($AE45:$AK45="Dm+")*12+($AE45:$AK45="Dt+")*12+($AE45:$AK45="Tm-")*6+($AE45:$AK45="Mt-")*6)</f>
        <v/>
      </c>
      <c r="BC45" s="118">
        <f>BB45-MAX(0,IFERROR(INDEX(CADASTRO!$I$4:$I$80,MATCH($A45,CADASTRO!$A$4:$A$80,0)),$B45)-CONFIG!$B$50*(COUNTIF($AE45:$AK45,"AB")+COUNTIF($AE45:$AK45,"FE")+COUNTIF($AE45:$AK45,"LM")))</f>
        <v/>
      </c>
      <c r="BD45" s="117">
        <f>SUMPRODUCT(($AL45:$AM45="M")*6+($AL45:$AM45="T")*6+($AL45:$AM45="D")*12+($AL45:$AM45="N")*12+($AL45:$AM45="NT")*6+($AL45:$AM45="C")*10+($AL45:$AM45="A")*8+($AL45:$AM45="J")*5+($AL45:$AM45="CEP")*4+($AL45:$AM45="CP")*6+($AL45:$AM45="CRO")*6+($AL45:$AM45="M+")*6+($AL45:$AM45="T+")*6+($AL45:$AM45="D+")*12+($AL45:$AM45="N+")*12+($AL45:$AM45="Dm+")*12+($AL45:$AM45="Dt+")*12+($AL45:$AM45="Tm-")*6+($AL45:$AM45="Mt-")*6)+SUMPRODUCT(($AN45:$AR45="M")*6+($AN45:$AR45="T")*6+($AN45:$AR45="D")*12+($AN45:$AR45="N")*12+($AN45:$AR45="NT")*6+($AN45:$AR45="C")*10+($AN45:$AR45="A")*8+($AN45:$AR45="J")*5+($AN45:$AR45="CEP")*4+($AN45:$AR45="CP")*6+($AN45:$AR45="CRO")*6+($AN45:$AR45="M+")*6+($AN45:$AR45="T+")*6+($AN45:$AR45="D+")*12+($AN45:$AR45="N+")*12+($AN45:$AR45="Dm+")*12+($AN45:$AR45="Dt+")*12+($AN45:$AR45="Tm-")*6+($AN45:$AR45="Mt-")*6)</f>
        <v/>
      </c>
      <c r="BE45" s="118">
        <f>BD45-MAX(0,IFERROR(INDEX(CADASTRO!$I$4:$I$80,MATCH($A45,CADASTRO!$A$4:$A$80,0)),$B45)-CONFIG!$B$50*(COUNTIF($AL45:$AM45,"AB")+COUNTIF($AL45:$AM45,"FE")+COUNTIF($AL45:$AM45,"LM")+COUNTIF($AN45:$AR45,"AB")+COUNTIF($AN45:$AR45,"FE")+COUNTIF($AN45:$AR45,"LM")))</f>
        <v/>
      </c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36">
        <f>IFERROR(INDEX(FEV!AE$8:AE$73,MATCH($A46,FEV!$A$8:$A$73,0))&amp;"","")</f>
        <v/>
      </c>
      <c r="D46" s="136">
        <f>IFERROR(INDEX(FEV!AF$8:AF$73,MATCH($A46,FEV!$A$8:$A$73,0))&amp;"","")</f>
        <v/>
      </c>
      <c r="E46" s="136">
        <f>IFERROR(INDEX(FEV!AG$8:AG$73,MATCH($A46,FEV!$A$8:$A$73,0))&amp;"","")</f>
        <v/>
      </c>
      <c r="F46" s="136">
        <f>IFERROR(INDEX(FEV!AH$8:AH$73,MATCH($A46,FEV!$A$8:$A$73,0))&amp;"","")</f>
        <v/>
      </c>
      <c r="G46" s="136">
        <f>IFERROR(INDEX(FEV!AI$8:AI$73,MATCH($A46,FEV!$A$8:$A$73,0))&amp;"","")</f>
        <v/>
      </c>
      <c r="H46" s="116">
        <f>IFERROR(INDEX(FEV!AJ$8:AJ$73,MATCH($A46,FEV!$A$8:$A$73,0))&amp;"","")</f>
        <v/>
      </c>
      <c r="I46" s="114" t="n"/>
      <c r="J46" s="114" t="n"/>
      <c r="K46" s="124" t="inlineStr">
        <is>
          <t>D</t>
        </is>
      </c>
      <c r="L46" s="126" t="inlineStr">
        <is>
          <t>T</t>
        </is>
      </c>
      <c r="M46" s="114" t="n"/>
      <c r="N46" s="114" t="n"/>
      <c r="O46" s="126" t="inlineStr">
        <is>
          <t>T</t>
        </is>
      </c>
      <c r="P46" s="114" t="n"/>
      <c r="Q46" s="114" t="n"/>
      <c r="R46" s="114" t="n"/>
      <c r="S46" s="124" t="inlineStr">
        <is>
          <t>D</t>
        </is>
      </c>
      <c r="T46" s="114" t="n"/>
      <c r="U46" s="114" t="n"/>
      <c r="V46" s="114" t="n"/>
      <c r="W46" s="125" t="inlineStr">
        <is>
          <t>N</t>
        </is>
      </c>
      <c r="X46" s="114" t="n"/>
      <c r="Y46" s="124" t="inlineStr">
        <is>
          <t>D</t>
        </is>
      </c>
      <c r="Z46" s="126" t="inlineStr">
        <is>
          <t>T</t>
        </is>
      </c>
      <c r="AA46" s="126" t="inlineStr">
        <is>
          <t>T</t>
        </is>
      </c>
      <c r="AB46" s="114" t="n"/>
      <c r="AC46" s="114" t="n"/>
      <c r="AD46" s="114" t="n"/>
      <c r="AE46" s="114" t="n"/>
      <c r="AF46" s="114" t="n"/>
      <c r="AG46" s="114" t="n"/>
      <c r="AH46" s="114" t="n"/>
      <c r="AI46" s="125" t="inlineStr">
        <is>
          <t>N</t>
        </is>
      </c>
      <c r="AJ46" s="114" t="n"/>
      <c r="AK46" s="125" t="inlineStr">
        <is>
          <t>N</t>
        </is>
      </c>
      <c r="AL46" s="114" t="n"/>
      <c r="AM46" s="124" t="inlineStr">
        <is>
          <t>D</t>
        </is>
      </c>
      <c r="AN46" s="136">
        <f>IFERROR(INDEX(ABR!I$8:I$73,MATCH($A46,ABR!$A$8:$A$73,0))&amp;"","")</f>
        <v/>
      </c>
      <c r="AO46" s="136">
        <f>IFERROR(INDEX(ABR!J$8:J$73,MATCH($A46,ABR!$A$8:$A$73,0))&amp;"","")</f>
        <v/>
      </c>
      <c r="AP46" s="136">
        <f>IFERROR(INDEX(ABR!K$8:K$73,MATCH($A46,ABR!$A$8:$A$73,0))&amp;"","")</f>
        <v/>
      </c>
      <c r="AQ46" s="116">
        <f>IFERROR(INDEX(ABR!L$8:L$73,MATCH($A46,ABR!$A$8:$A$73,0))&amp;"","")</f>
        <v/>
      </c>
      <c r="AR46" s="116">
        <f>IFERROR(INDEX(ABR!M$8:M$73,MATCH($A46,ABR!$A$8:$A$73,0))&amp;"","")</f>
        <v/>
      </c>
      <c r="AS46" s="100" t="n"/>
      <c r="AT46" s="117">
        <f>SUMPRODUCT(($C46:$I46="M")*6+($C46:$I46="T")*6+($C46:$I46="D")*12+($C46:$I46="N")*12+($C46:$I46="NT")*6+($C46:$I46="C")*10+($C46:$I46="A")*8+($C46:$I46="J")*5+($C46:$I46="CEP")*4+($C46:$I46="CP")*6+($C46:$I46="CRO")*6+($C46:$I46="M+")*6+($C46:$I46="T+")*6+($C46:$I46="D+")*12+($C46:$I46="N+")*12+($C46:$I46="Dm+")*12+($C46:$I46="Dt+")*12+($C46:$I46="Tm-")*6+($C46:$I46="Mt-")*6)</f>
        <v/>
      </c>
      <c r="AU46" s="118">
        <f>AT46-MAX(0,IFERROR(INDEX(CADASTRO!$I$4:$I$80,MATCH($A46,CADASTRO!$A$4:$A$80,0)),$B46)-CONFIG!$B$50*(COUNTIF($C46:$I46,"AB")+COUNTIF($C46:$I46,"FE")+COUNTIF($C46:$I46,"LM")))</f>
        <v/>
      </c>
      <c r="AV46" s="117">
        <f>SUMPRODUCT(($J46:$P46="M")*6+($J46:$P46="T")*6+($J46:$P46="D")*12+($J46:$P46="N")*12+($J46:$P46="NT")*6+($J46:$P46="C")*10+($J46:$P46="A")*8+($J46:$P46="J")*5+($J46:$P46="CEP")*4+($J46:$P46="CP")*6+($J46:$P46="CRO")*6+($J46:$P46="M+")*6+($J46:$P46="T+")*6+($J46:$P46="D+")*12+($J46:$P46="N+")*12+($J46:$P46="Dm+")*12+($J46:$P46="Dt+")*12+($J46:$P46="Tm-")*6+($J46:$P46="Mt-")*6)</f>
        <v/>
      </c>
      <c r="AW46" s="118">
        <f>AV46-MAX(0,IFERROR(INDEX(CADASTRO!$I$4:$I$80,MATCH($A46,CADASTRO!$A$4:$A$80,0)),$B46)-CONFIG!$B$50*(COUNTIF($J46:$P46,"AB")+COUNTIF($J46:$P46,"FE")+COUNTIF($J46:$P46,"LM")))</f>
        <v/>
      </c>
      <c r="AX46" s="117">
        <f>SUMPRODUCT(($Q46:$W46="M")*6+($Q46:$W46="T")*6+($Q46:$W46="D")*12+($Q46:$W46="N")*12+($Q46:$W46="NT")*6+($Q46:$W46="C")*10+($Q46:$W46="A")*8+($Q46:$W46="J")*5+($Q46:$W46="CEP")*4+($Q46:$W46="CP")*6+($Q46:$W46="CRO")*6+($Q46:$W46="M+")*6+($Q46:$W46="T+")*6+($Q46:$W46="D+")*12+($Q46:$W46="N+")*12+($Q46:$W46="Dm+")*12+($Q46:$W46="Dt+")*12+($Q46:$W46="Tm-")*6+($Q46:$W46="Mt-")*6)</f>
        <v/>
      </c>
      <c r="AY46" s="118">
        <f>AX46-MAX(0,IFERROR(INDEX(CADASTRO!$I$4:$I$80,MATCH($A46,CADASTRO!$A$4:$A$80,0)),$B46)-CONFIG!$B$50*(COUNTIF($Q46:$W46,"AB")+COUNTIF($Q46:$W46,"FE")+COUNTIF($Q46:$W46,"LM")))</f>
        <v/>
      </c>
      <c r="AZ46" s="117">
        <f>SUMPRODUCT(($X46:$AD46="M")*6+($X46:$AD46="T")*6+($X46:$AD46="D")*12+($X46:$AD46="N")*12+($X46:$AD46="NT")*6+($X46:$AD46="C")*10+($X46:$AD46="A")*8+($X46:$AD46="J")*5+($X46:$AD46="CEP")*4+($X46:$AD46="CP")*6+($X46:$AD46="CRO")*6+($X46:$AD46="M+")*6+($X46:$AD46="T+")*6+($X46:$AD46="D+")*12+($X46:$AD46="N+")*12+($X46:$AD46="Dm+")*12+($X46:$AD46="Dt+")*12+($X46:$AD46="Tm-")*6+($X46:$AD46="Mt-")*6)</f>
        <v/>
      </c>
      <c r="BA46" s="118">
        <f>AZ46-MAX(0,IFERROR(INDEX(CADASTRO!$I$4:$I$80,MATCH($A46,CADASTRO!$A$4:$A$80,0)),$B46)-CONFIG!$B$50*(COUNTIF($X46:$AD46,"AB")+COUNTIF($X46:$AD46,"FE")+COUNTIF($X46:$AD46,"LM")))</f>
        <v/>
      </c>
      <c r="BB46" s="117">
        <f>SUMPRODUCT(($AE46:$AK46="M")*6+($AE46:$AK46="T")*6+($AE46:$AK46="D")*12+($AE46:$AK46="N")*12+($AE46:$AK46="NT")*6+($AE46:$AK46="C")*10+($AE46:$AK46="A")*8+($AE46:$AK46="J")*5+($AE46:$AK46="CEP")*4+($AE46:$AK46="CP")*6+($AE46:$AK46="CRO")*6+($AE46:$AK46="M+")*6+($AE46:$AK46="T+")*6+($AE46:$AK46="D+")*12+($AE46:$AK46="N+")*12+($AE46:$AK46="Dm+")*12+($AE46:$AK46="Dt+")*12+($AE46:$AK46="Tm-")*6+($AE46:$AK46="Mt-")*6)</f>
        <v/>
      </c>
      <c r="BC46" s="118">
        <f>BB46-MAX(0,IFERROR(INDEX(CADASTRO!$I$4:$I$80,MATCH($A46,CADASTRO!$A$4:$A$80,0)),$B46)-CONFIG!$B$50*(COUNTIF($AE46:$AK46,"AB")+COUNTIF($AE46:$AK46,"FE")+COUNTIF($AE46:$AK46,"LM")))</f>
        <v/>
      </c>
      <c r="BD46" s="117">
        <f>SUMPRODUCT(($AL46:$AM46="M")*6+($AL46:$AM46="T")*6+($AL46:$AM46="D")*12+($AL46:$AM46="N")*12+($AL46:$AM46="NT")*6+($AL46:$AM46="C")*10+($AL46:$AM46="A")*8+($AL46:$AM46="J")*5+($AL46:$AM46="CEP")*4+($AL46:$AM46="CP")*6+($AL46:$AM46="CRO")*6+($AL46:$AM46="M+")*6+($AL46:$AM46="T+")*6+($AL46:$AM46="D+")*12+($AL46:$AM46="N+")*12+($AL46:$AM46="Dm+")*12+($AL46:$AM46="Dt+")*12+($AL46:$AM46="Tm-")*6+($AL46:$AM46="Mt-")*6)+SUMPRODUCT(($AN46:$AR46="M")*6+($AN46:$AR46="T")*6+($AN46:$AR46="D")*12+($AN46:$AR46="N")*12+($AN46:$AR46="NT")*6+($AN46:$AR46="C")*10+($AN46:$AR46="A")*8+($AN46:$AR46="J")*5+($AN46:$AR46="CEP")*4+($AN46:$AR46="CP")*6+($AN46:$AR46="CRO")*6+($AN46:$AR46="M+")*6+($AN46:$AR46="T+")*6+($AN46:$AR46="D+")*12+($AN46:$AR46="N+")*12+($AN46:$AR46="Dm+")*12+($AN46:$AR46="Dt+")*12+($AN46:$AR46="Tm-")*6+($AN46:$AR46="Mt-")*6)</f>
        <v/>
      </c>
      <c r="BE46" s="118">
        <f>BD46-MAX(0,IFERROR(INDEX(CADASTRO!$I$4:$I$80,MATCH($A46,CADASTRO!$A$4:$A$80,0)),$B46)-CONFIG!$B$50*(COUNTIF($AL46:$AM46,"AB")+COUNTIF($AL46:$AM46,"FE")+COUNTIF($AL46:$AM46,"LM")+COUNTIF($AN46:$AR46,"AB")+COUNTIF($AN46:$AR46,"FE")+COUNTIF($AN46:$AR46,"LM")))</f>
        <v/>
      </c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36">
        <f>IFERROR(INDEX(FEV!AE$8:AE$73,MATCH($A47,FEV!$A$8:$A$73,0))&amp;"","")</f>
        <v/>
      </c>
      <c r="D47" s="136">
        <f>IFERROR(INDEX(FEV!AF$8:AF$73,MATCH($A47,FEV!$A$8:$A$73,0))&amp;"","")</f>
        <v/>
      </c>
      <c r="E47" s="136">
        <f>IFERROR(INDEX(FEV!AG$8:AG$73,MATCH($A47,FEV!$A$8:$A$73,0))&amp;"","")</f>
        <v/>
      </c>
      <c r="F47" s="136">
        <f>IFERROR(INDEX(FEV!AH$8:AH$73,MATCH($A47,FEV!$A$8:$A$73,0))&amp;"","")</f>
        <v/>
      </c>
      <c r="G47" s="136">
        <f>IFERROR(INDEX(FEV!AI$8:AI$73,MATCH($A47,FEV!$A$8:$A$73,0))&amp;"","")</f>
        <v/>
      </c>
      <c r="H47" s="116">
        <f>IFERROR(INDEX(FEV!AJ$8:AJ$73,MATCH($A47,FEV!$A$8:$A$73,0))&amp;"","")</f>
        <v/>
      </c>
      <c r="I47" s="124" t="inlineStr">
        <is>
          <t>D</t>
        </is>
      </c>
      <c r="J47" s="114" t="n"/>
      <c r="K47" s="124" t="inlineStr">
        <is>
          <t>D</t>
        </is>
      </c>
      <c r="L47" s="114" t="n"/>
      <c r="M47" s="125" t="inlineStr">
        <is>
          <t>N</t>
        </is>
      </c>
      <c r="N47" s="114" t="n"/>
      <c r="O47" s="114" t="n"/>
      <c r="P47" s="114" t="n"/>
      <c r="Q47" s="114" t="n"/>
      <c r="R47" s="124" t="inlineStr">
        <is>
          <t>D</t>
        </is>
      </c>
      <c r="S47" s="114" t="n"/>
      <c r="T47" s="114" t="n"/>
      <c r="U47" s="114" t="n"/>
      <c r="V47" s="124" t="inlineStr">
        <is>
          <t>D</t>
        </is>
      </c>
      <c r="W47" s="114" t="n"/>
      <c r="X47" s="114" t="n"/>
      <c r="Y47" s="124" t="inlineStr">
        <is>
          <t>D</t>
        </is>
      </c>
      <c r="Z47" s="114" t="n"/>
      <c r="AA47" s="125" t="inlineStr">
        <is>
          <t>N</t>
        </is>
      </c>
      <c r="AB47" s="114" t="n"/>
      <c r="AC47" s="114" t="n"/>
      <c r="AD47" s="114" t="n"/>
      <c r="AE47" s="114" t="n"/>
      <c r="AF47" s="124" t="inlineStr">
        <is>
          <t>D</t>
        </is>
      </c>
      <c r="AG47" s="114" t="n"/>
      <c r="AH47" s="114" t="n"/>
      <c r="AI47" s="114" t="n"/>
      <c r="AJ47" s="124" t="inlineStr">
        <is>
          <t>D</t>
        </is>
      </c>
      <c r="AK47" s="114" t="n"/>
      <c r="AL47" s="124" t="inlineStr">
        <is>
          <t>D</t>
        </is>
      </c>
      <c r="AM47" s="125" t="inlineStr">
        <is>
          <t>N</t>
        </is>
      </c>
      <c r="AN47" s="136">
        <f>IFERROR(INDEX(ABR!I$8:I$73,MATCH($A47,ABR!$A$8:$A$73,0))&amp;"","")</f>
        <v/>
      </c>
      <c r="AO47" s="136">
        <f>IFERROR(INDEX(ABR!J$8:J$73,MATCH($A47,ABR!$A$8:$A$73,0))&amp;"","")</f>
        <v/>
      </c>
      <c r="AP47" s="136">
        <f>IFERROR(INDEX(ABR!K$8:K$73,MATCH($A47,ABR!$A$8:$A$73,0))&amp;"","")</f>
        <v/>
      </c>
      <c r="AQ47" s="116">
        <f>IFERROR(INDEX(ABR!L$8:L$73,MATCH($A47,ABR!$A$8:$A$73,0))&amp;"","")</f>
        <v/>
      </c>
      <c r="AR47" s="116">
        <f>IFERROR(INDEX(ABR!M$8:M$73,MATCH($A47,ABR!$A$8:$A$73,0))&amp;"","")</f>
        <v/>
      </c>
      <c r="AS47" s="100" t="n"/>
      <c r="AT47" s="117">
        <f>SUMPRODUCT(($C47:$I47="M")*6+($C47:$I47="T")*6+($C47:$I47="D")*12+($C47:$I47="N")*12+($C47:$I47="NT")*6+($C47:$I47="C")*10+($C47:$I47="A")*8+($C47:$I47="J")*5+($C47:$I47="CEP")*4+($C47:$I47="CP")*6+($C47:$I47="CRO")*6+($C47:$I47="M+")*6+($C47:$I47="T+")*6+($C47:$I47="D+")*12+($C47:$I47="N+")*12+($C47:$I47="Dm+")*12+($C47:$I47="Dt+")*12+($C47:$I47="Tm-")*6+($C47:$I47="Mt-")*6)</f>
        <v/>
      </c>
      <c r="AU47" s="118">
        <f>AT47-MAX(0,IFERROR(INDEX(CADASTRO!$I$4:$I$80,MATCH($A47,CADASTRO!$A$4:$A$80,0)),$B47)-CONFIG!$B$50*(COUNTIF($C47:$I47,"AB")+COUNTIF($C47:$I47,"FE")+COUNTIF($C47:$I47,"LM")))</f>
        <v/>
      </c>
      <c r="AV47" s="117">
        <f>SUMPRODUCT(($J47:$P47="M")*6+($J47:$P47="T")*6+($J47:$P47="D")*12+($J47:$P47="N")*12+($J47:$P47="NT")*6+($J47:$P47="C")*10+($J47:$P47="A")*8+($J47:$P47="J")*5+($J47:$P47="CEP")*4+($J47:$P47="CP")*6+($J47:$P47="CRO")*6+($J47:$P47="M+")*6+($J47:$P47="T+")*6+($J47:$P47="D+")*12+($J47:$P47="N+")*12+($J47:$P47="Dm+")*12+($J47:$P47="Dt+")*12+($J47:$P47="Tm-")*6+($J47:$P47="Mt-")*6)</f>
        <v/>
      </c>
      <c r="AW47" s="118">
        <f>AV47-MAX(0,IFERROR(INDEX(CADASTRO!$I$4:$I$80,MATCH($A47,CADASTRO!$A$4:$A$80,0)),$B47)-CONFIG!$B$50*(COUNTIF($J47:$P47,"AB")+COUNTIF($J47:$P47,"FE")+COUNTIF($J47:$P47,"LM")))</f>
        <v/>
      </c>
      <c r="AX47" s="117">
        <f>SUMPRODUCT(($Q47:$W47="M")*6+($Q47:$W47="T")*6+($Q47:$W47="D")*12+($Q47:$W47="N")*12+($Q47:$W47="NT")*6+($Q47:$W47="C")*10+($Q47:$W47="A")*8+($Q47:$W47="J")*5+($Q47:$W47="CEP")*4+($Q47:$W47="CP")*6+($Q47:$W47="CRO")*6+($Q47:$W47="M+")*6+($Q47:$W47="T+")*6+($Q47:$W47="D+")*12+($Q47:$W47="N+")*12+($Q47:$W47="Dm+")*12+($Q47:$W47="Dt+")*12+($Q47:$W47="Tm-")*6+($Q47:$W47="Mt-")*6)</f>
        <v/>
      </c>
      <c r="AY47" s="118">
        <f>AX47-MAX(0,IFERROR(INDEX(CADASTRO!$I$4:$I$80,MATCH($A47,CADASTRO!$A$4:$A$80,0)),$B47)-CONFIG!$B$50*(COUNTIF($Q47:$W47,"AB")+COUNTIF($Q47:$W47,"FE")+COUNTIF($Q47:$W47,"LM")))</f>
        <v/>
      </c>
      <c r="AZ47" s="117">
        <f>SUMPRODUCT(($X47:$AD47="M")*6+($X47:$AD47="T")*6+($X47:$AD47="D")*12+($X47:$AD47="N")*12+($X47:$AD47="NT")*6+($X47:$AD47="C")*10+($X47:$AD47="A")*8+($X47:$AD47="J")*5+($X47:$AD47="CEP")*4+($X47:$AD47="CP")*6+($X47:$AD47="CRO")*6+($X47:$AD47="M+")*6+($X47:$AD47="T+")*6+($X47:$AD47="D+")*12+($X47:$AD47="N+")*12+($X47:$AD47="Dm+")*12+($X47:$AD47="Dt+")*12+($X47:$AD47="Tm-")*6+($X47:$AD47="Mt-")*6)</f>
        <v/>
      </c>
      <c r="BA47" s="118">
        <f>AZ47-MAX(0,IFERROR(INDEX(CADASTRO!$I$4:$I$80,MATCH($A47,CADASTRO!$A$4:$A$80,0)),$B47)-CONFIG!$B$50*(COUNTIF($X47:$AD47,"AB")+COUNTIF($X47:$AD47,"FE")+COUNTIF($X47:$AD47,"LM")))</f>
        <v/>
      </c>
      <c r="BB47" s="117">
        <f>SUMPRODUCT(($AE47:$AK47="M")*6+($AE47:$AK47="T")*6+($AE47:$AK47="D")*12+($AE47:$AK47="N")*12+($AE47:$AK47="NT")*6+($AE47:$AK47="C")*10+($AE47:$AK47="A")*8+($AE47:$AK47="J")*5+($AE47:$AK47="CEP")*4+($AE47:$AK47="CP")*6+($AE47:$AK47="CRO")*6+($AE47:$AK47="M+")*6+($AE47:$AK47="T+")*6+($AE47:$AK47="D+")*12+($AE47:$AK47="N+")*12+($AE47:$AK47="Dm+")*12+($AE47:$AK47="Dt+")*12+($AE47:$AK47="Tm-")*6+($AE47:$AK47="Mt-")*6)</f>
        <v/>
      </c>
      <c r="BC47" s="118">
        <f>BB47-MAX(0,IFERROR(INDEX(CADASTRO!$I$4:$I$80,MATCH($A47,CADASTRO!$A$4:$A$80,0)),$B47)-CONFIG!$B$50*(COUNTIF($AE47:$AK47,"AB")+COUNTIF($AE47:$AK47,"FE")+COUNTIF($AE47:$AK47,"LM")))</f>
        <v/>
      </c>
      <c r="BD47" s="117">
        <f>SUMPRODUCT(($AL47:$AM47="M")*6+($AL47:$AM47="T")*6+($AL47:$AM47="D")*12+($AL47:$AM47="N")*12+($AL47:$AM47="NT")*6+($AL47:$AM47="C")*10+($AL47:$AM47="A")*8+($AL47:$AM47="J")*5+($AL47:$AM47="CEP")*4+($AL47:$AM47="CP")*6+($AL47:$AM47="CRO")*6+($AL47:$AM47="M+")*6+($AL47:$AM47="T+")*6+($AL47:$AM47="D+")*12+($AL47:$AM47="N+")*12+($AL47:$AM47="Dm+")*12+($AL47:$AM47="Dt+")*12+($AL47:$AM47="Tm-")*6+($AL47:$AM47="Mt-")*6)+SUMPRODUCT(($AN47:$AR47="M")*6+($AN47:$AR47="T")*6+($AN47:$AR47="D")*12+($AN47:$AR47="N")*12+($AN47:$AR47="NT")*6+($AN47:$AR47="C")*10+($AN47:$AR47="A")*8+($AN47:$AR47="J")*5+($AN47:$AR47="CEP")*4+($AN47:$AR47="CP")*6+($AN47:$AR47="CRO")*6+($AN47:$AR47="M+")*6+($AN47:$AR47="T+")*6+($AN47:$AR47="D+")*12+($AN47:$AR47="N+")*12+($AN47:$AR47="Dm+")*12+($AN47:$AR47="Dt+")*12+($AN47:$AR47="Tm-")*6+($AN47:$AR47="Mt-")*6)</f>
        <v/>
      </c>
      <c r="BE47" s="118">
        <f>BD47-MAX(0,IFERROR(INDEX(CADASTRO!$I$4:$I$80,MATCH($A47,CADASTRO!$A$4:$A$80,0)),$B47)-CONFIG!$B$50*(COUNTIF($AL47:$AM47,"AB")+COUNTIF($AL47:$AM47,"FE")+COUNTIF($AL47:$AM47,"LM")+COUNTIF($AN47:$AR47,"AB")+COUNTIF($AN47:$AR47,"FE")+COUNTIF($AN47:$AR47,"LM")))</f>
        <v/>
      </c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36">
        <f>IFERROR(INDEX(FEV!AE$8:AE$73,MATCH($A48,FEV!$A$8:$A$73,0))&amp;"","")</f>
        <v/>
      </c>
      <c r="D48" s="136">
        <f>IFERROR(INDEX(FEV!AF$8:AF$73,MATCH($A48,FEV!$A$8:$A$73,0))&amp;"","")</f>
        <v/>
      </c>
      <c r="E48" s="136">
        <f>IFERROR(INDEX(FEV!AG$8:AG$73,MATCH($A48,FEV!$A$8:$A$73,0))&amp;"","")</f>
        <v/>
      </c>
      <c r="F48" s="136">
        <f>IFERROR(INDEX(FEV!AH$8:AH$73,MATCH($A48,FEV!$A$8:$A$73,0))&amp;"","")</f>
        <v/>
      </c>
      <c r="G48" s="136">
        <f>IFERROR(INDEX(FEV!AI$8:AI$73,MATCH($A48,FEV!$A$8:$A$73,0))&amp;"","")</f>
        <v/>
      </c>
      <c r="H48" s="116">
        <f>IFERROR(INDEX(FEV!AJ$8:AJ$73,MATCH($A48,FEV!$A$8:$A$73,0))&amp;"","")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14" t="n"/>
      <c r="AN48" s="136">
        <f>IFERROR(INDEX(ABR!I$8:I$73,MATCH($A48,ABR!$A$8:$A$73,0))&amp;"","")</f>
        <v/>
      </c>
      <c r="AO48" s="136">
        <f>IFERROR(INDEX(ABR!J$8:J$73,MATCH($A48,ABR!$A$8:$A$73,0))&amp;"","")</f>
        <v/>
      </c>
      <c r="AP48" s="136">
        <f>IFERROR(INDEX(ABR!K$8:K$73,MATCH($A48,ABR!$A$8:$A$73,0))&amp;"","")</f>
        <v/>
      </c>
      <c r="AQ48" s="116">
        <f>IFERROR(INDEX(ABR!L$8:L$73,MATCH($A48,ABR!$A$8:$A$73,0))&amp;"","")</f>
        <v/>
      </c>
      <c r="AR48" s="116">
        <f>IFERROR(INDEX(ABR!M$8:M$73,MATCH($A48,ABR!$A$8:$A$73,0))&amp;"","")</f>
        <v/>
      </c>
      <c r="AS48" s="100" t="n"/>
      <c r="AT48" s="117">
        <f>SUMPRODUCT(($C48:$I48="M")*6+($C48:$I48="T")*6+($C48:$I48="D")*12+($C48:$I48="N")*12+($C48:$I48="NT")*6+($C48:$I48="C")*10+($C48:$I48="A")*8+($C48:$I48="J")*5+($C48:$I48="CEP")*4+($C48:$I48="CP")*6+($C48:$I48="CRO")*6+($C48:$I48="M+")*6+($C48:$I48="T+")*6+($C48:$I48="D+")*12+($C48:$I48="N+")*12+($C48:$I48="Dm+")*12+($C48:$I48="Dt+")*12+($C48:$I48="Tm-")*6+($C48:$I48="Mt-")*6)</f>
        <v/>
      </c>
      <c r="AU48" s="118">
        <f>AT48-MAX(0,IFERROR(INDEX(CADASTRO!$I$4:$I$80,MATCH($A48,CADASTRO!$A$4:$A$80,0)),$B48)-CONFIG!$B$50*(COUNTIF($C48:$I48,"AB")+COUNTIF($C48:$I48,"FE")+COUNTIF($C48:$I48,"LM")))</f>
        <v/>
      </c>
      <c r="AV48" s="117">
        <f>SUMPRODUCT(($J48:$P48="M")*6+($J48:$P48="T")*6+($J48:$P48="D")*12+($J48:$P48="N")*12+($J48:$P48="NT")*6+($J48:$P48="C")*10+($J48:$P48="A")*8+($J48:$P48="J")*5+($J48:$P48="CEP")*4+($J48:$P48="CP")*6+($J48:$P48="CRO")*6+($J48:$P48="M+")*6+($J48:$P48="T+")*6+($J48:$P48="D+")*12+($J48:$P48="N+")*12+($J48:$P48="Dm+")*12+($J48:$P48="Dt+")*12+($J48:$P48="Tm-")*6+($J48:$P48="Mt-")*6)</f>
        <v/>
      </c>
      <c r="AW48" s="118">
        <f>AV48-MAX(0,IFERROR(INDEX(CADASTRO!$I$4:$I$80,MATCH($A48,CADASTRO!$A$4:$A$80,0)),$B48)-CONFIG!$B$50*(COUNTIF($J48:$P48,"AB")+COUNTIF($J48:$P48,"FE")+COUNTIF($J48:$P48,"LM")))</f>
        <v/>
      </c>
      <c r="AX48" s="117">
        <f>SUMPRODUCT(($Q48:$W48="M")*6+($Q48:$W48="T")*6+($Q48:$W48="D")*12+($Q48:$W48="N")*12+($Q48:$W48="NT")*6+($Q48:$W48="C")*10+($Q48:$W48="A")*8+($Q48:$W48="J")*5+($Q48:$W48="CEP")*4+($Q48:$W48="CP")*6+($Q48:$W48="CRO")*6+($Q48:$W48="M+")*6+($Q48:$W48="T+")*6+($Q48:$W48="D+")*12+($Q48:$W48="N+")*12+($Q48:$W48="Dm+")*12+($Q48:$W48="Dt+")*12+($Q48:$W48="Tm-")*6+($Q48:$W48="Mt-")*6)</f>
        <v/>
      </c>
      <c r="AY48" s="118">
        <f>AX48-MAX(0,IFERROR(INDEX(CADASTRO!$I$4:$I$80,MATCH($A48,CADASTRO!$A$4:$A$80,0)),$B48)-CONFIG!$B$50*(COUNTIF($Q48:$W48,"AB")+COUNTIF($Q48:$W48,"FE")+COUNTIF($Q48:$W48,"LM")))</f>
        <v/>
      </c>
      <c r="AZ48" s="117">
        <f>SUMPRODUCT(($X48:$AD48="M")*6+($X48:$AD48="T")*6+($X48:$AD48="D")*12+($X48:$AD48="N")*12+($X48:$AD48="NT")*6+($X48:$AD48="C")*10+($X48:$AD48="A")*8+($X48:$AD48="J")*5+($X48:$AD48="CEP")*4+($X48:$AD48="CP")*6+($X48:$AD48="CRO")*6+($X48:$AD48="M+")*6+($X48:$AD48="T+")*6+($X48:$AD48="D+")*12+($X48:$AD48="N+")*12+($X48:$AD48="Dm+")*12+($X48:$AD48="Dt+")*12+($X48:$AD48="Tm-")*6+($X48:$AD48="Mt-")*6)</f>
        <v/>
      </c>
      <c r="BA48" s="118">
        <f>AZ48-MAX(0,IFERROR(INDEX(CADASTRO!$I$4:$I$80,MATCH($A48,CADASTRO!$A$4:$A$80,0)),$B48)-CONFIG!$B$50*(COUNTIF($X48:$AD48,"AB")+COUNTIF($X48:$AD48,"FE")+COUNTIF($X48:$AD48,"LM")))</f>
        <v/>
      </c>
      <c r="BB48" s="117">
        <f>SUMPRODUCT(($AE48:$AK48="M")*6+($AE48:$AK48="T")*6+($AE48:$AK48="D")*12+($AE48:$AK48="N")*12+($AE48:$AK48="NT")*6+($AE48:$AK48="C")*10+($AE48:$AK48="A")*8+($AE48:$AK48="J")*5+($AE48:$AK48="CEP")*4+($AE48:$AK48="CP")*6+($AE48:$AK48="CRO")*6+($AE48:$AK48="M+")*6+($AE48:$AK48="T+")*6+($AE48:$AK48="D+")*12+($AE48:$AK48="N+")*12+($AE48:$AK48="Dm+")*12+($AE48:$AK48="Dt+")*12+($AE48:$AK48="Tm-")*6+($AE48:$AK48="Mt-")*6)</f>
        <v/>
      </c>
      <c r="BC48" s="118">
        <f>BB48-MAX(0,IFERROR(INDEX(CADASTRO!$I$4:$I$80,MATCH($A48,CADASTRO!$A$4:$A$80,0)),$B48)-CONFIG!$B$50*(COUNTIF($AE48:$AK48,"AB")+COUNTIF($AE48:$AK48,"FE")+COUNTIF($AE48:$AK48,"LM")))</f>
        <v/>
      </c>
      <c r="BD48" s="117">
        <f>SUMPRODUCT(($AL48:$AM48="M")*6+($AL48:$AM48="T")*6+($AL48:$AM48="D")*12+($AL48:$AM48="N")*12+($AL48:$AM48="NT")*6+($AL48:$AM48="C")*10+($AL48:$AM48="A")*8+($AL48:$AM48="J")*5+($AL48:$AM48="CEP")*4+($AL48:$AM48="CP")*6+($AL48:$AM48="CRO")*6+($AL48:$AM48="M+")*6+($AL48:$AM48="T+")*6+($AL48:$AM48="D+")*12+($AL48:$AM48="N+")*12+($AL48:$AM48="Dm+")*12+($AL48:$AM48="Dt+")*12+($AL48:$AM48="Tm-")*6+($AL48:$AM48="Mt-")*6)+SUMPRODUCT(($AN48:$AR48="M")*6+($AN48:$AR48="T")*6+($AN48:$AR48="D")*12+($AN48:$AR48="N")*12+($AN48:$AR48="NT")*6+($AN48:$AR48="C")*10+($AN48:$AR48="A")*8+($AN48:$AR48="J")*5+($AN48:$AR48="CEP")*4+($AN48:$AR48="CP")*6+($AN48:$AR48="CRO")*6+($AN48:$AR48="M+")*6+($AN48:$AR48="T+")*6+($AN48:$AR48="D+")*12+($AN48:$AR48="N+")*12+($AN48:$AR48="Dm+")*12+($AN48:$AR48="Dt+")*12+($AN48:$AR48="Tm-")*6+($AN48:$AR48="Mt-")*6)</f>
        <v/>
      </c>
      <c r="BE48" s="118">
        <f>BD48-MAX(0,IFERROR(INDEX(CADASTRO!$I$4:$I$80,MATCH($A48,CADASTRO!$A$4:$A$80,0)),$B48)-CONFIG!$B$50*(COUNTIF($AL48:$AM48,"AB")+COUNTIF($AL48:$AM48,"FE")+COUNTIF($AL48:$AM48,"LM")+COUNTIF($AN48:$AR48,"AB")+COUNTIF($AN48:$AR48,"FE")+COUNTIF($AN48:$AR48,"LM")))</f>
        <v/>
      </c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36">
        <f>IFERROR(INDEX(FEV!AE$8:AE$73,MATCH($A49,FEV!$A$8:$A$73,0))&amp;"","")</f>
        <v/>
      </c>
      <c r="D49" s="136">
        <f>IFERROR(INDEX(FEV!AF$8:AF$73,MATCH($A49,FEV!$A$8:$A$73,0))&amp;"","")</f>
        <v/>
      </c>
      <c r="E49" s="136">
        <f>IFERROR(INDEX(FEV!AG$8:AG$73,MATCH($A49,FEV!$A$8:$A$73,0))&amp;"","")</f>
        <v/>
      </c>
      <c r="F49" s="136">
        <f>IFERROR(INDEX(FEV!AH$8:AH$73,MATCH($A49,FEV!$A$8:$A$73,0))&amp;"","")</f>
        <v/>
      </c>
      <c r="G49" s="136">
        <f>IFERROR(INDEX(FEV!AI$8:AI$73,MATCH($A49,FEV!$A$8:$A$73,0))&amp;"","")</f>
        <v/>
      </c>
      <c r="H49" s="116">
        <f>IFERROR(INDEX(FEV!AJ$8:AJ$73,MATCH($A49,FEV!$A$8:$A$73,0))&amp;"","")</f>
        <v/>
      </c>
      <c r="I49" s="115" t="inlineStr">
        <is>
          <t>M</t>
        </is>
      </c>
      <c r="J49" s="124" t="inlineStr">
        <is>
          <t>D</t>
        </is>
      </c>
      <c r="K49" s="114" t="n"/>
      <c r="L49" s="124" t="inlineStr">
        <is>
          <t>D</t>
        </is>
      </c>
      <c r="M49" s="114" t="n"/>
      <c r="N49" s="114" t="n"/>
      <c r="O49" s="115" t="inlineStr">
        <is>
          <t>M</t>
        </is>
      </c>
      <c r="P49" s="114" t="n"/>
      <c r="Q49" s="124" t="inlineStr">
        <is>
          <t>D</t>
        </is>
      </c>
      <c r="R49" s="114" t="n"/>
      <c r="S49" s="124" t="inlineStr">
        <is>
          <t>D</t>
        </is>
      </c>
      <c r="T49" s="115" t="inlineStr">
        <is>
          <t>M</t>
        </is>
      </c>
      <c r="U49" s="114" t="n"/>
      <c r="V49" s="114" t="n"/>
      <c r="W49" s="114" t="n"/>
      <c r="X49" s="114" t="n"/>
      <c r="Y49" s="114" t="n"/>
      <c r="Z49" s="126" t="inlineStr">
        <is>
          <t>T</t>
        </is>
      </c>
      <c r="AA49" s="114" t="n"/>
      <c r="AB49" s="114" t="n"/>
      <c r="AC49" s="124" t="inlineStr">
        <is>
          <t>D</t>
        </is>
      </c>
      <c r="AD49" s="124" t="inlineStr">
        <is>
          <t>D</t>
        </is>
      </c>
      <c r="AE49" s="126" t="inlineStr">
        <is>
          <t>T</t>
        </is>
      </c>
      <c r="AF49" s="114" t="n"/>
      <c r="AG49" s="124" t="inlineStr">
        <is>
          <t>D</t>
        </is>
      </c>
      <c r="AH49" s="114" t="n"/>
      <c r="AI49" s="125" t="inlineStr">
        <is>
          <t>N</t>
        </is>
      </c>
      <c r="AJ49" s="114" t="n"/>
      <c r="AK49" s="114" t="n"/>
      <c r="AL49" s="114" t="n"/>
      <c r="AM49" s="114" t="n"/>
      <c r="AN49" s="136">
        <f>IFERROR(INDEX(ABR!I$8:I$73,MATCH($A49,ABR!$A$8:$A$73,0))&amp;"","")</f>
        <v/>
      </c>
      <c r="AO49" s="136">
        <f>IFERROR(INDEX(ABR!J$8:J$73,MATCH($A49,ABR!$A$8:$A$73,0))&amp;"","")</f>
        <v/>
      </c>
      <c r="AP49" s="136">
        <f>IFERROR(INDEX(ABR!K$8:K$73,MATCH($A49,ABR!$A$8:$A$73,0))&amp;"","")</f>
        <v/>
      </c>
      <c r="AQ49" s="116">
        <f>IFERROR(INDEX(ABR!L$8:L$73,MATCH($A49,ABR!$A$8:$A$73,0))&amp;"","")</f>
        <v/>
      </c>
      <c r="AR49" s="116">
        <f>IFERROR(INDEX(ABR!M$8:M$73,MATCH($A49,ABR!$A$8:$A$73,0))&amp;"","")</f>
        <v/>
      </c>
      <c r="AS49" s="100" t="n"/>
      <c r="AT49" s="117">
        <f>SUMPRODUCT(($C49:$I49="M")*6+($C49:$I49="T")*6+($C49:$I49="D")*12+($C49:$I49="N")*12+($C49:$I49="NT")*6+($C49:$I49="C")*10+($C49:$I49="A")*8+($C49:$I49="J")*5+($C49:$I49="CEP")*4+($C49:$I49="CP")*6+($C49:$I49="CRO")*6+($C49:$I49="M+")*6+($C49:$I49="T+")*6+($C49:$I49="D+")*12+($C49:$I49="N+")*12+($C49:$I49="Dm+")*12+($C49:$I49="Dt+")*12+($C49:$I49="Tm-")*6+($C49:$I49="Mt-")*6)</f>
        <v/>
      </c>
      <c r="AU49" s="118">
        <f>AT49-MAX(0,IFERROR(INDEX(CADASTRO!$I$4:$I$80,MATCH($A49,CADASTRO!$A$4:$A$80,0)),$B49)-CONFIG!$B$50*(COUNTIF($C49:$I49,"AB")+COUNTIF($C49:$I49,"FE")+COUNTIF($C49:$I49,"LM")))</f>
        <v/>
      </c>
      <c r="AV49" s="117">
        <f>SUMPRODUCT(($J49:$P49="M")*6+($J49:$P49="T")*6+($J49:$P49="D")*12+($J49:$P49="N")*12+($J49:$P49="NT")*6+($J49:$P49="C")*10+($J49:$P49="A")*8+($J49:$P49="J")*5+($J49:$P49="CEP")*4+($J49:$P49="CP")*6+($J49:$P49="CRO")*6+($J49:$P49="M+")*6+($J49:$P49="T+")*6+($J49:$P49="D+")*12+($J49:$P49="N+")*12+($J49:$P49="Dm+")*12+($J49:$P49="Dt+")*12+($J49:$P49="Tm-")*6+($J49:$P49="Mt-")*6)</f>
        <v/>
      </c>
      <c r="AW49" s="118">
        <f>AV49-MAX(0,IFERROR(INDEX(CADASTRO!$I$4:$I$80,MATCH($A49,CADASTRO!$A$4:$A$80,0)),$B49)-CONFIG!$B$50*(COUNTIF($J49:$P49,"AB")+COUNTIF($J49:$P49,"FE")+COUNTIF($J49:$P49,"LM")))</f>
        <v/>
      </c>
      <c r="AX49" s="117">
        <f>SUMPRODUCT(($Q49:$W49="M")*6+($Q49:$W49="T")*6+($Q49:$W49="D")*12+($Q49:$W49="N")*12+($Q49:$W49="NT")*6+($Q49:$W49="C")*10+($Q49:$W49="A")*8+($Q49:$W49="J")*5+($Q49:$W49="CEP")*4+($Q49:$W49="CP")*6+($Q49:$W49="CRO")*6+($Q49:$W49="M+")*6+($Q49:$W49="T+")*6+($Q49:$W49="D+")*12+($Q49:$W49="N+")*12+($Q49:$W49="Dm+")*12+($Q49:$W49="Dt+")*12+($Q49:$W49="Tm-")*6+($Q49:$W49="Mt-")*6)</f>
        <v/>
      </c>
      <c r="AY49" s="118">
        <f>AX49-MAX(0,IFERROR(INDEX(CADASTRO!$I$4:$I$80,MATCH($A49,CADASTRO!$A$4:$A$80,0)),$B49)-CONFIG!$B$50*(COUNTIF($Q49:$W49,"AB")+COUNTIF($Q49:$W49,"FE")+COUNTIF($Q49:$W49,"LM")))</f>
        <v/>
      </c>
      <c r="AZ49" s="117">
        <f>SUMPRODUCT(($X49:$AD49="M")*6+($X49:$AD49="T")*6+($X49:$AD49="D")*12+($X49:$AD49="N")*12+($X49:$AD49="NT")*6+($X49:$AD49="C")*10+($X49:$AD49="A")*8+($X49:$AD49="J")*5+($X49:$AD49="CEP")*4+($X49:$AD49="CP")*6+($X49:$AD49="CRO")*6+($X49:$AD49="M+")*6+($X49:$AD49="T+")*6+($X49:$AD49="D+")*12+($X49:$AD49="N+")*12+($X49:$AD49="Dm+")*12+($X49:$AD49="Dt+")*12+($X49:$AD49="Tm-")*6+($X49:$AD49="Mt-")*6)</f>
        <v/>
      </c>
      <c r="BA49" s="118">
        <f>AZ49-MAX(0,IFERROR(INDEX(CADASTRO!$I$4:$I$80,MATCH($A49,CADASTRO!$A$4:$A$80,0)),$B49)-CONFIG!$B$50*(COUNTIF($X49:$AD49,"AB")+COUNTIF($X49:$AD49,"FE")+COUNTIF($X49:$AD49,"LM")))</f>
        <v/>
      </c>
      <c r="BB49" s="117">
        <f>SUMPRODUCT(($AE49:$AK49="M")*6+($AE49:$AK49="T")*6+($AE49:$AK49="D")*12+($AE49:$AK49="N")*12+($AE49:$AK49="NT")*6+($AE49:$AK49="C")*10+($AE49:$AK49="A")*8+($AE49:$AK49="J")*5+($AE49:$AK49="CEP")*4+($AE49:$AK49="CP")*6+($AE49:$AK49="CRO")*6+($AE49:$AK49="M+")*6+($AE49:$AK49="T+")*6+($AE49:$AK49="D+")*12+($AE49:$AK49="N+")*12+($AE49:$AK49="Dm+")*12+($AE49:$AK49="Dt+")*12+($AE49:$AK49="Tm-")*6+($AE49:$AK49="Mt-")*6)</f>
        <v/>
      </c>
      <c r="BC49" s="118">
        <f>BB49-MAX(0,IFERROR(INDEX(CADASTRO!$I$4:$I$80,MATCH($A49,CADASTRO!$A$4:$A$80,0)),$B49)-CONFIG!$B$50*(COUNTIF($AE49:$AK49,"AB")+COUNTIF($AE49:$AK49,"FE")+COUNTIF($AE49:$AK49,"LM")))</f>
        <v/>
      </c>
      <c r="BD49" s="117">
        <f>SUMPRODUCT(($AL49:$AM49="M")*6+($AL49:$AM49="T")*6+($AL49:$AM49="D")*12+($AL49:$AM49="N")*12+($AL49:$AM49="NT")*6+($AL49:$AM49="C")*10+($AL49:$AM49="A")*8+($AL49:$AM49="J")*5+($AL49:$AM49="CEP")*4+($AL49:$AM49="CP")*6+($AL49:$AM49="CRO")*6+($AL49:$AM49="M+")*6+($AL49:$AM49="T+")*6+($AL49:$AM49="D+")*12+($AL49:$AM49="N+")*12+($AL49:$AM49="Dm+")*12+($AL49:$AM49="Dt+")*12+($AL49:$AM49="Tm-")*6+($AL49:$AM49="Mt-")*6)+SUMPRODUCT(($AN49:$AR49="M")*6+($AN49:$AR49="T")*6+($AN49:$AR49="D")*12+($AN49:$AR49="N")*12+($AN49:$AR49="NT")*6+($AN49:$AR49="C")*10+($AN49:$AR49="A")*8+($AN49:$AR49="J")*5+($AN49:$AR49="CEP")*4+($AN49:$AR49="CP")*6+($AN49:$AR49="CRO")*6+($AN49:$AR49="M+")*6+($AN49:$AR49="T+")*6+($AN49:$AR49="D+")*12+($AN49:$AR49="N+")*12+($AN49:$AR49="Dm+")*12+($AN49:$AR49="Dt+")*12+($AN49:$AR49="Tm-")*6+($AN49:$AR49="Mt-")*6)</f>
        <v/>
      </c>
      <c r="BE49" s="118">
        <f>BD49-MAX(0,IFERROR(INDEX(CADASTRO!$I$4:$I$80,MATCH($A49,CADASTRO!$A$4:$A$80,0)),$B49)-CONFIG!$B$50*(COUNTIF($AL49:$AM49,"AB")+COUNTIF($AL49:$AM49,"FE")+COUNTIF($AL49:$AM49,"LM")+COUNTIF($AN49:$AR49,"AB")+COUNTIF($AN49:$AR49,"FE")+COUNTIF($AN49:$AR49,"LM")))</f>
        <v/>
      </c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36">
        <f>IFERROR(INDEX(FEV!AE$8:AE$73,MATCH($A50,FEV!$A$8:$A$73,0))&amp;"","")</f>
        <v/>
      </c>
      <c r="D50" s="136">
        <f>IFERROR(INDEX(FEV!AF$8:AF$73,MATCH($A50,FEV!$A$8:$A$73,0))&amp;"","")</f>
        <v/>
      </c>
      <c r="E50" s="136">
        <f>IFERROR(INDEX(FEV!AG$8:AG$73,MATCH($A50,FEV!$A$8:$A$73,0))&amp;"","")</f>
        <v/>
      </c>
      <c r="F50" s="136">
        <f>IFERROR(INDEX(FEV!AH$8:AH$73,MATCH($A50,FEV!$A$8:$A$73,0))&amp;"","")</f>
        <v/>
      </c>
      <c r="G50" s="136">
        <f>IFERROR(INDEX(FEV!AI$8:AI$73,MATCH($A50,FEV!$A$8:$A$73,0))&amp;"","")</f>
        <v/>
      </c>
      <c r="H50" s="116">
        <f>IFERROR(INDEX(FEV!AJ$8:AJ$73,MATCH($A50,FEV!$A$8:$A$73,0))&amp;"","")</f>
        <v/>
      </c>
      <c r="I50" s="114" t="n"/>
      <c r="J50" s="114" t="n"/>
      <c r="K50" s="114" t="n"/>
      <c r="L50" s="125" t="inlineStr">
        <is>
          <t>N</t>
        </is>
      </c>
      <c r="M50" s="114" t="n"/>
      <c r="N50" s="114" t="n"/>
      <c r="O50" s="114" t="n"/>
      <c r="P50" s="124" t="inlineStr">
        <is>
          <t>D</t>
        </is>
      </c>
      <c r="Q50" s="124" t="inlineStr">
        <is>
          <t>D</t>
        </is>
      </c>
      <c r="R50" s="115" t="inlineStr">
        <is>
          <t>M</t>
        </is>
      </c>
      <c r="S50" s="126" t="inlineStr">
        <is>
          <t>T</t>
        </is>
      </c>
      <c r="T50" s="114" t="n"/>
      <c r="U50" s="114" t="n"/>
      <c r="V50" s="114" t="n"/>
      <c r="W50" s="114" t="n"/>
      <c r="X50" s="114" t="n"/>
      <c r="Y50" s="114" t="n"/>
      <c r="Z50" s="125" t="inlineStr">
        <is>
          <t>N</t>
        </is>
      </c>
      <c r="AA50" s="114" t="n"/>
      <c r="AB50" s="114" t="n"/>
      <c r="AC50" s="124" t="inlineStr">
        <is>
          <t>D</t>
        </is>
      </c>
      <c r="AD50" s="114" t="n"/>
      <c r="AE50" s="124" t="inlineStr">
        <is>
          <t>D</t>
        </is>
      </c>
      <c r="AF50" s="114" t="n"/>
      <c r="AG50" s="114" t="n"/>
      <c r="AH50" s="114" t="n"/>
      <c r="AI50" s="126" t="inlineStr">
        <is>
          <t>T</t>
        </is>
      </c>
      <c r="AJ50" s="126" t="inlineStr">
        <is>
          <t>T</t>
        </is>
      </c>
      <c r="AK50" s="114" t="n"/>
      <c r="AL50" s="124" t="inlineStr">
        <is>
          <t>D</t>
        </is>
      </c>
      <c r="AM50" s="125" t="inlineStr">
        <is>
          <t>N</t>
        </is>
      </c>
      <c r="AN50" s="136">
        <f>IFERROR(INDEX(ABR!I$8:I$73,MATCH($A50,ABR!$A$8:$A$73,0))&amp;"","")</f>
        <v/>
      </c>
      <c r="AO50" s="136">
        <f>IFERROR(INDEX(ABR!J$8:J$73,MATCH($A50,ABR!$A$8:$A$73,0))&amp;"","")</f>
        <v/>
      </c>
      <c r="AP50" s="136">
        <f>IFERROR(INDEX(ABR!K$8:K$73,MATCH($A50,ABR!$A$8:$A$73,0))&amp;"","")</f>
        <v/>
      </c>
      <c r="AQ50" s="116">
        <f>IFERROR(INDEX(ABR!L$8:L$73,MATCH($A50,ABR!$A$8:$A$73,0))&amp;"","")</f>
        <v/>
      </c>
      <c r="AR50" s="116">
        <f>IFERROR(INDEX(ABR!M$8:M$73,MATCH($A50,ABR!$A$8:$A$73,0))&amp;"","")</f>
        <v/>
      </c>
      <c r="AS50" s="100" t="n"/>
      <c r="AT50" s="117">
        <f>SUMPRODUCT(($C50:$I50="M")*6+($C50:$I50="T")*6+($C50:$I50="D")*12+($C50:$I50="N")*12+($C50:$I50="NT")*6+($C50:$I50="C")*10+($C50:$I50="A")*8+($C50:$I50="J")*5+($C50:$I50="CEP")*4+($C50:$I50="CP")*6+($C50:$I50="CRO")*6+($C50:$I50="M+")*6+($C50:$I50="T+")*6+($C50:$I50="D+")*12+($C50:$I50="N+")*12+($C50:$I50="Dm+")*12+($C50:$I50="Dt+")*12+($C50:$I50="Tm-")*6+($C50:$I50="Mt-")*6)</f>
        <v/>
      </c>
      <c r="AU50" s="118">
        <f>AT50-MAX(0,IFERROR(INDEX(CADASTRO!$I$4:$I$80,MATCH($A50,CADASTRO!$A$4:$A$80,0)),$B50)-CONFIG!$B$50*(COUNTIF($C50:$I50,"AB")+COUNTIF($C50:$I50,"FE")+COUNTIF($C50:$I50,"LM")))</f>
        <v/>
      </c>
      <c r="AV50" s="117">
        <f>SUMPRODUCT(($J50:$P50="M")*6+($J50:$P50="T")*6+($J50:$P50="D")*12+($J50:$P50="N")*12+($J50:$P50="NT")*6+($J50:$P50="C")*10+($J50:$P50="A")*8+($J50:$P50="J")*5+($J50:$P50="CEP")*4+($J50:$P50="CP")*6+($J50:$P50="CRO")*6+($J50:$P50="M+")*6+($J50:$P50="T+")*6+($J50:$P50="D+")*12+($J50:$P50="N+")*12+($J50:$P50="Dm+")*12+($J50:$P50="Dt+")*12+($J50:$P50="Tm-")*6+($J50:$P50="Mt-")*6)</f>
        <v/>
      </c>
      <c r="AW50" s="118">
        <f>AV50-MAX(0,IFERROR(INDEX(CADASTRO!$I$4:$I$80,MATCH($A50,CADASTRO!$A$4:$A$80,0)),$B50)-CONFIG!$B$50*(COUNTIF($J50:$P50,"AB")+COUNTIF($J50:$P50,"FE")+COUNTIF($J50:$P50,"LM")))</f>
        <v/>
      </c>
      <c r="AX50" s="117">
        <f>SUMPRODUCT(($Q50:$W50="M")*6+($Q50:$W50="T")*6+($Q50:$W50="D")*12+($Q50:$W50="N")*12+($Q50:$W50="NT")*6+($Q50:$W50="C")*10+($Q50:$W50="A")*8+($Q50:$W50="J")*5+($Q50:$W50="CEP")*4+($Q50:$W50="CP")*6+($Q50:$W50="CRO")*6+($Q50:$W50="M+")*6+($Q50:$W50="T+")*6+($Q50:$W50="D+")*12+($Q50:$W50="N+")*12+($Q50:$W50="Dm+")*12+($Q50:$W50="Dt+")*12+($Q50:$W50="Tm-")*6+($Q50:$W50="Mt-")*6)</f>
        <v/>
      </c>
      <c r="AY50" s="118">
        <f>AX50-MAX(0,IFERROR(INDEX(CADASTRO!$I$4:$I$80,MATCH($A50,CADASTRO!$A$4:$A$80,0)),$B50)-CONFIG!$B$50*(COUNTIF($Q50:$W50,"AB")+COUNTIF($Q50:$W50,"FE")+COUNTIF($Q50:$W50,"LM")))</f>
        <v/>
      </c>
      <c r="AZ50" s="117">
        <f>SUMPRODUCT(($X50:$AD50="M")*6+($X50:$AD50="T")*6+($X50:$AD50="D")*12+($X50:$AD50="N")*12+($X50:$AD50="NT")*6+($X50:$AD50="C")*10+($X50:$AD50="A")*8+($X50:$AD50="J")*5+($X50:$AD50="CEP")*4+($X50:$AD50="CP")*6+($X50:$AD50="CRO")*6+($X50:$AD50="M+")*6+($X50:$AD50="T+")*6+($X50:$AD50="D+")*12+($X50:$AD50="N+")*12+($X50:$AD50="Dm+")*12+($X50:$AD50="Dt+")*12+($X50:$AD50="Tm-")*6+($X50:$AD50="Mt-")*6)</f>
        <v/>
      </c>
      <c r="BA50" s="118">
        <f>AZ50-MAX(0,IFERROR(INDEX(CADASTRO!$I$4:$I$80,MATCH($A50,CADASTRO!$A$4:$A$80,0)),$B50)-CONFIG!$B$50*(COUNTIF($X50:$AD50,"AB")+COUNTIF($X50:$AD50,"FE")+COUNTIF($X50:$AD50,"LM")))</f>
        <v/>
      </c>
      <c r="BB50" s="117">
        <f>SUMPRODUCT(($AE50:$AK50="M")*6+($AE50:$AK50="T")*6+($AE50:$AK50="D")*12+($AE50:$AK50="N")*12+($AE50:$AK50="NT")*6+($AE50:$AK50="C")*10+($AE50:$AK50="A")*8+($AE50:$AK50="J")*5+($AE50:$AK50="CEP")*4+($AE50:$AK50="CP")*6+($AE50:$AK50="CRO")*6+($AE50:$AK50="M+")*6+($AE50:$AK50="T+")*6+($AE50:$AK50="D+")*12+($AE50:$AK50="N+")*12+($AE50:$AK50="Dm+")*12+($AE50:$AK50="Dt+")*12+($AE50:$AK50="Tm-")*6+($AE50:$AK50="Mt-")*6)</f>
        <v/>
      </c>
      <c r="BC50" s="118">
        <f>BB50-MAX(0,IFERROR(INDEX(CADASTRO!$I$4:$I$80,MATCH($A50,CADASTRO!$A$4:$A$80,0)),$B50)-CONFIG!$B$50*(COUNTIF($AE50:$AK50,"AB")+COUNTIF($AE50:$AK50,"FE")+COUNTIF($AE50:$AK50,"LM")))</f>
        <v/>
      </c>
      <c r="BD50" s="117">
        <f>SUMPRODUCT(($AL50:$AM50="M")*6+($AL50:$AM50="T")*6+($AL50:$AM50="D")*12+($AL50:$AM50="N")*12+($AL50:$AM50="NT")*6+($AL50:$AM50="C")*10+($AL50:$AM50="A")*8+($AL50:$AM50="J")*5+($AL50:$AM50="CEP")*4+($AL50:$AM50="CP")*6+($AL50:$AM50="CRO")*6+($AL50:$AM50="M+")*6+($AL50:$AM50="T+")*6+($AL50:$AM50="D+")*12+($AL50:$AM50="N+")*12+($AL50:$AM50="Dm+")*12+($AL50:$AM50="Dt+")*12+($AL50:$AM50="Tm-")*6+($AL50:$AM50="Mt-")*6)+SUMPRODUCT(($AN50:$AR50="M")*6+($AN50:$AR50="T")*6+($AN50:$AR50="D")*12+($AN50:$AR50="N")*12+($AN50:$AR50="NT")*6+($AN50:$AR50="C")*10+($AN50:$AR50="A")*8+($AN50:$AR50="J")*5+($AN50:$AR50="CEP")*4+($AN50:$AR50="CP")*6+($AN50:$AR50="CRO")*6+($AN50:$AR50="M+")*6+($AN50:$AR50="T+")*6+($AN50:$AR50="D+")*12+($AN50:$AR50="N+")*12+($AN50:$AR50="Dm+")*12+($AN50:$AR50="Dt+")*12+($AN50:$AR50="Tm-")*6+($AN50:$AR50="Mt-")*6)</f>
        <v/>
      </c>
      <c r="BE50" s="118">
        <f>BD50-MAX(0,IFERROR(INDEX(CADASTRO!$I$4:$I$80,MATCH($A50,CADASTRO!$A$4:$A$80,0)),$B50)-CONFIG!$B$50*(COUNTIF($AL50:$AM50,"AB")+COUNTIF($AL50:$AM50,"FE")+COUNTIF($AL50:$AM50,"LM")+COUNTIF($AN50:$AR50,"AB")+COUNTIF($AN50:$AR50,"FE")+COUNTIF($AN50:$AR50,"LM")))</f>
        <v/>
      </c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36">
        <f>IFERROR(INDEX(FEV!AE$8:AE$73,MATCH($A51,FEV!$A$8:$A$73,0))&amp;"","")</f>
        <v/>
      </c>
      <c r="D51" s="136">
        <f>IFERROR(INDEX(FEV!AF$8:AF$73,MATCH($A51,FEV!$A$8:$A$73,0))&amp;"","")</f>
        <v/>
      </c>
      <c r="E51" s="136">
        <f>IFERROR(INDEX(FEV!AG$8:AG$73,MATCH($A51,FEV!$A$8:$A$73,0))&amp;"","")</f>
        <v/>
      </c>
      <c r="F51" s="136">
        <f>IFERROR(INDEX(FEV!AH$8:AH$73,MATCH($A51,FEV!$A$8:$A$73,0))&amp;"","")</f>
        <v/>
      </c>
      <c r="G51" s="136">
        <f>IFERROR(INDEX(FEV!AI$8:AI$73,MATCH($A51,FEV!$A$8:$A$73,0))&amp;"","")</f>
        <v/>
      </c>
      <c r="H51" s="116">
        <f>IFERROR(INDEX(FEV!AJ$8:AJ$73,MATCH($A51,FEV!$A$8:$A$73,0))&amp;"","")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14" t="n"/>
      <c r="AN51" s="136">
        <f>IFERROR(INDEX(ABR!I$8:I$73,MATCH($A51,ABR!$A$8:$A$73,0))&amp;"","")</f>
        <v/>
      </c>
      <c r="AO51" s="136">
        <f>IFERROR(INDEX(ABR!J$8:J$73,MATCH($A51,ABR!$A$8:$A$73,0))&amp;"","")</f>
        <v/>
      </c>
      <c r="AP51" s="136">
        <f>IFERROR(INDEX(ABR!K$8:K$73,MATCH($A51,ABR!$A$8:$A$73,0))&amp;"","")</f>
        <v/>
      </c>
      <c r="AQ51" s="116">
        <f>IFERROR(INDEX(ABR!L$8:L$73,MATCH($A51,ABR!$A$8:$A$73,0))&amp;"","")</f>
        <v/>
      </c>
      <c r="AR51" s="116">
        <f>IFERROR(INDEX(ABR!M$8:M$73,MATCH($A51,ABR!$A$8:$A$73,0))&amp;"","")</f>
        <v/>
      </c>
      <c r="AS51" s="100" t="n"/>
      <c r="AT51" s="117">
        <f>SUMPRODUCT(($C51:$I51="M")*6+($C51:$I51="T")*6+($C51:$I51="D")*12+($C51:$I51="N")*12+($C51:$I51="NT")*6+($C51:$I51="C")*10+($C51:$I51="A")*8+($C51:$I51="J")*5+($C51:$I51="CEP")*4+($C51:$I51="CP")*6+($C51:$I51="CRO")*6+($C51:$I51="M+")*6+($C51:$I51="T+")*6+($C51:$I51="D+")*12+($C51:$I51="N+")*12+($C51:$I51="Dm+")*12+($C51:$I51="Dt+")*12+($C51:$I51="Tm-")*6+($C51:$I51="Mt-")*6)</f>
        <v/>
      </c>
      <c r="AU51" s="118">
        <f>AT51-MAX(0,IFERROR(INDEX(CADASTRO!$I$4:$I$80,MATCH($A51,CADASTRO!$A$4:$A$80,0)),$B51)-CONFIG!$B$50*(COUNTIF($C51:$I51,"AB")+COUNTIF($C51:$I51,"FE")+COUNTIF($C51:$I51,"LM")))</f>
        <v/>
      </c>
      <c r="AV51" s="117">
        <f>SUMPRODUCT(($J51:$P51="M")*6+($J51:$P51="T")*6+($J51:$P51="D")*12+($J51:$P51="N")*12+($J51:$P51="NT")*6+($J51:$P51="C")*10+($J51:$P51="A")*8+($J51:$P51="J")*5+($J51:$P51="CEP")*4+($J51:$P51="CP")*6+($J51:$P51="CRO")*6+($J51:$P51="M+")*6+($J51:$P51="T+")*6+($J51:$P51="D+")*12+($J51:$P51="N+")*12+($J51:$P51="Dm+")*12+($J51:$P51="Dt+")*12+($J51:$P51="Tm-")*6+($J51:$P51="Mt-")*6)</f>
        <v/>
      </c>
      <c r="AW51" s="118">
        <f>AV51-MAX(0,IFERROR(INDEX(CADASTRO!$I$4:$I$80,MATCH($A51,CADASTRO!$A$4:$A$80,0)),$B51)-CONFIG!$B$50*(COUNTIF($J51:$P51,"AB")+COUNTIF($J51:$P51,"FE")+COUNTIF($J51:$P51,"LM")))</f>
        <v/>
      </c>
      <c r="AX51" s="117">
        <f>SUMPRODUCT(($Q51:$W51="M")*6+($Q51:$W51="T")*6+($Q51:$W51="D")*12+($Q51:$W51="N")*12+($Q51:$W51="NT")*6+($Q51:$W51="C")*10+($Q51:$W51="A")*8+($Q51:$W51="J")*5+($Q51:$W51="CEP")*4+($Q51:$W51="CP")*6+($Q51:$W51="CRO")*6+($Q51:$W51="M+")*6+($Q51:$W51="T+")*6+($Q51:$W51="D+")*12+($Q51:$W51="N+")*12+($Q51:$W51="Dm+")*12+($Q51:$W51="Dt+")*12+($Q51:$W51="Tm-")*6+($Q51:$W51="Mt-")*6)</f>
        <v/>
      </c>
      <c r="AY51" s="118">
        <f>AX51-MAX(0,IFERROR(INDEX(CADASTRO!$I$4:$I$80,MATCH($A51,CADASTRO!$A$4:$A$80,0)),$B51)-CONFIG!$B$50*(COUNTIF($Q51:$W51,"AB")+COUNTIF($Q51:$W51,"FE")+COUNTIF($Q51:$W51,"LM")))</f>
        <v/>
      </c>
      <c r="AZ51" s="117">
        <f>SUMPRODUCT(($X51:$AD51="M")*6+($X51:$AD51="T")*6+($X51:$AD51="D")*12+($X51:$AD51="N")*12+($X51:$AD51="NT")*6+($X51:$AD51="C")*10+($X51:$AD51="A")*8+($X51:$AD51="J")*5+($X51:$AD51="CEP")*4+($X51:$AD51="CP")*6+($X51:$AD51="CRO")*6+($X51:$AD51="M+")*6+($X51:$AD51="T+")*6+($X51:$AD51="D+")*12+($X51:$AD51="N+")*12+($X51:$AD51="Dm+")*12+($X51:$AD51="Dt+")*12+($X51:$AD51="Tm-")*6+($X51:$AD51="Mt-")*6)</f>
        <v/>
      </c>
      <c r="BA51" s="118">
        <f>AZ51-MAX(0,IFERROR(INDEX(CADASTRO!$I$4:$I$80,MATCH($A51,CADASTRO!$A$4:$A$80,0)),$B51)-CONFIG!$B$50*(COUNTIF($X51:$AD51,"AB")+COUNTIF($X51:$AD51,"FE")+COUNTIF($X51:$AD51,"LM")))</f>
        <v/>
      </c>
      <c r="BB51" s="117">
        <f>SUMPRODUCT(($AE51:$AK51="M")*6+($AE51:$AK51="T")*6+($AE51:$AK51="D")*12+($AE51:$AK51="N")*12+($AE51:$AK51="NT")*6+($AE51:$AK51="C")*10+($AE51:$AK51="A")*8+($AE51:$AK51="J")*5+($AE51:$AK51="CEP")*4+($AE51:$AK51="CP")*6+($AE51:$AK51="CRO")*6+($AE51:$AK51="M+")*6+($AE51:$AK51="T+")*6+($AE51:$AK51="D+")*12+($AE51:$AK51="N+")*12+($AE51:$AK51="Dm+")*12+($AE51:$AK51="Dt+")*12+($AE51:$AK51="Tm-")*6+($AE51:$AK51="Mt-")*6)</f>
        <v/>
      </c>
      <c r="BC51" s="118">
        <f>BB51-MAX(0,IFERROR(INDEX(CADASTRO!$I$4:$I$80,MATCH($A51,CADASTRO!$A$4:$A$80,0)),$B51)-CONFIG!$B$50*(COUNTIF($AE51:$AK51,"AB")+COUNTIF($AE51:$AK51,"FE")+COUNTIF($AE51:$AK51,"LM")))</f>
        <v/>
      </c>
      <c r="BD51" s="117">
        <f>SUMPRODUCT(($AL51:$AM51="M")*6+($AL51:$AM51="T")*6+($AL51:$AM51="D")*12+($AL51:$AM51="N")*12+($AL51:$AM51="NT")*6+($AL51:$AM51="C")*10+($AL51:$AM51="A")*8+($AL51:$AM51="J")*5+($AL51:$AM51="CEP")*4+($AL51:$AM51="CP")*6+($AL51:$AM51="CRO")*6+($AL51:$AM51="M+")*6+($AL51:$AM51="T+")*6+($AL51:$AM51="D+")*12+($AL51:$AM51="N+")*12+($AL51:$AM51="Dm+")*12+($AL51:$AM51="Dt+")*12+($AL51:$AM51="Tm-")*6+($AL51:$AM51="Mt-")*6)+SUMPRODUCT(($AN51:$AR51="M")*6+($AN51:$AR51="T")*6+($AN51:$AR51="D")*12+($AN51:$AR51="N")*12+($AN51:$AR51="NT")*6+($AN51:$AR51="C")*10+($AN51:$AR51="A")*8+($AN51:$AR51="J")*5+($AN51:$AR51="CEP")*4+($AN51:$AR51="CP")*6+($AN51:$AR51="CRO")*6+($AN51:$AR51="M+")*6+($AN51:$AR51="T+")*6+($AN51:$AR51="D+")*12+($AN51:$AR51="N+")*12+($AN51:$AR51="Dm+")*12+($AN51:$AR51="Dt+")*12+($AN51:$AR51="Tm-")*6+($AN51:$AR51="Mt-")*6)</f>
        <v/>
      </c>
      <c r="BE51" s="118">
        <f>BD51-MAX(0,IFERROR(INDEX(CADASTRO!$I$4:$I$80,MATCH($A51,CADASTRO!$A$4:$A$80,0)),$B51)-CONFIG!$B$50*(COUNTIF($AL51:$AM51,"AB")+COUNTIF($AL51:$AM51,"FE")+COUNTIF($AL51:$AM51,"LM")+COUNTIF($AN51:$AR51,"AB")+COUNTIF($AN51:$AR51,"FE")+COUNTIF($AN51:$AR51,"LM")))</f>
        <v/>
      </c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36">
        <f>IFERROR(INDEX(FEV!AE$8:AE$73,MATCH($A52,FEV!$A$8:$A$73,0))&amp;"","")</f>
        <v/>
      </c>
      <c r="D52" s="136">
        <f>IFERROR(INDEX(FEV!AF$8:AF$73,MATCH($A52,FEV!$A$8:$A$73,0))&amp;"","")</f>
        <v/>
      </c>
      <c r="E52" s="136">
        <f>IFERROR(INDEX(FEV!AG$8:AG$73,MATCH($A52,FEV!$A$8:$A$73,0))&amp;"","")</f>
        <v/>
      </c>
      <c r="F52" s="136">
        <f>IFERROR(INDEX(FEV!AH$8:AH$73,MATCH($A52,FEV!$A$8:$A$73,0))&amp;"","")</f>
        <v/>
      </c>
      <c r="G52" s="136">
        <f>IFERROR(INDEX(FEV!AI$8:AI$73,MATCH($A52,FEV!$A$8:$A$73,0))&amp;"","")</f>
        <v/>
      </c>
      <c r="H52" s="116">
        <f>IFERROR(INDEX(FEV!AJ$8:AJ$73,MATCH($A52,FEV!$A$8:$A$73,0))&amp;"","")</f>
        <v/>
      </c>
      <c r="I52" s="114" t="n"/>
      <c r="J52" s="125" t="inlineStr">
        <is>
          <t>N</t>
        </is>
      </c>
      <c r="K52" s="114" t="n"/>
      <c r="L52" s="114" t="n"/>
      <c r="M52" s="114" t="n"/>
      <c r="N52" s="125" t="inlineStr">
        <is>
          <t>N</t>
        </is>
      </c>
      <c r="O52" s="114" t="n"/>
      <c r="P52" s="114" t="n"/>
      <c r="Q52" s="125" t="inlineStr">
        <is>
          <t>N</t>
        </is>
      </c>
      <c r="R52" s="114" t="n"/>
      <c r="S52" s="114" t="n"/>
      <c r="T52" s="114" t="n"/>
      <c r="U52" s="114" t="n"/>
      <c r="V52" s="125" t="inlineStr">
        <is>
          <t>N</t>
        </is>
      </c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4" t="n"/>
      <c r="AF52" s="114" t="n"/>
      <c r="AG52" s="114" t="n"/>
      <c r="AH52" s="114" t="n"/>
      <c r="AI52" s="114" t="n"/>
      <c r="AJ52" s="114" t="n"/>
      <c r="AK52" s="114" t="n"/>
      <c r="AL52" s="114" t="n"/>
      <c r="AM52" s="114" t="n"/>
      <c r="AN52" s="136">
        <f>IFERROR(INDEX(ABR!I$8:I$73,MATCH($A52,ABR!$A$8:$A$73,0))&amp;"","")</f>
        <v/>
      </c>
      <c r="AO52" s="136">
        <f>IFERROR(INDEX(ABR!J$8:J$73,MATCH($A52,ABR!$A$8:$A$73,0))&amp;"","")</f>
        <v/>
      </c>
      <c r="AP52" s="136">
        <f>IFERROR(INDEX(ABR!K$8:K$73,MATCH($A52,ABR!$A$8:$A$73,0))&amp;"","")</f>
        <v/>
      </c>
      <c r="AQ52" s="116">
        <f>IFERROR(INDEX(ABR!L$8:L$73,MATCH($A52,ABR!$A$8:$A$73,0))&amp;"","")</f>
        <v/>
      </c>
      <c r="AR52" s="116">
        <f>IFERROR(INDEX(ABR!M$8:M$73,MATCH($A52,ABR!$A$8:$A$73,0))&amp;"","")</f>
        <v/>
      </c>
      <c r="AS52" s="100" t="n"/>
      <c r="AT52" s="117">
        <f>SUMPRODUCT(($C52:$I52="M")*6+($C52:$I52="T")*6+($C52:$I52="D")*12+($C52:$I52="N")*12+($C52:$I52="NT")*6+($C52:$I52="C")*10+($C52:$I52="A")*8+($C52:$I52="J")*5+($C52:$I52="CEP")*4+($C52:$I52="CP")*6+($C52:$I52="CRO")*6+($C52:$I52="M+")*6+($C52:$I52="T+")*6+($C52:$I52="D+")*12+($C52:$I52="N+")*12+($C52:$I52="Dm+")*12+($C52:$I52="Dt+")*12+($C52:$I52="Tm-")*6+($C52:$I52="Mt-")*6)</f>
        <v/>
      </c>
      <c r="AU52" s="118">
        <f>AT52-MAX(0,IFERROR(INDEX(CADASTRO!$I$4:$I$80,MATCH($A52,CADASTRO!$A$4:$A$80,0)),$B52)-CONFIG!$B$50*(COUNTIF($C52:$I52,"AB")+COUNTIF($C52:$I52,"FE")+COUNTIF($C52:$I52,"LM")))</f>
        <v/>
      </c>
      <c r="AV52" s="117">
        <f>SUMPRODUCT(($J52:$P52="M")*6+($J52:$P52="T")*6+($J52:$P52="D")*12+($J52:$P52="N")*12+($J52:$P52="NT")*6+($J52:$P52="C")*10+($J52:$P52="A")*8+($J52:$P52="J")*5+($J52:$P52="CEP")*4+($J52:$P52="CP")*6+($J52:$P52="CRO")*6+($J52:$P52="M+")*6+($J52:$P52="T+")*6+($J52:$P52="D+")*12+($J52:$P52="N+")*12+($J52:$P52="Dm+")*12+($J52:$P52="Dt+")*12+($J52:$P52="Tm-")*6+($J52:$P52="Mt-")*6)</f>
        <v/>
      </c>
      <c r="AW52" s="118">
        <f>AV52-MAX(0,IFERROR(INDEX(CADASTRO!$I$4:$I$80,MATCH($A52,CADASTRO!$A$4:$A$80,0)),$B52)-CONFIG!$B$50*(COUNTIF($J52:$P52,"AB")+COUNTIF($J52:$P52,"FE")+COUNTIF($J52:$P52,"LM")))</f>
        <v/>
      </c>
      <c r="AX52" s="117">
        <f>SUMPRODUCT(($Q52:$W52="M")*6+($Q52:$W52="T")*6+($Q52:$W52="D")*12+($Q52:$W52="N")*12+($Q52:$W52="NT")*6+($Q52:$W52="C")*10+($Q52:$W52="A")*8+($Q52:$W52="J")*5+($Q52:$W52="CEP")*4+($Q52:$W52="CP")*6+($Q52:$W52="CRO")*6+($Q52:$W52="M+")*6+($Q52:$W52="T+")*6+($Q52:$W52="D+")*12+($Q52:$W52="N+")*12+($Q52:$W52="Dm+")*12+($Q52:$W52="Dt+")*12+($Q52:$W52="Tm-")*6+($Q52:$W52="Mt-")*6)</f>
        <v/>
      </c>
      <c r="AY52" s="118">
        <f>AX52-MAX(0,IFERROR(INDEX(CADASTRO!$I$4:$I$80,MATCH($A52,CADASTRO!$A$4:$A$80,0)),$B52)-CONFIG!$B$50*(COUNTIF($Q52:$W52,"AB")+COUNTIF($Q52:$W52,"FE")+COUNTIF($Q52:$W52,"LM")))</f>
        <v/>
      </c>
      <c r="AZ52" s="117">
        <f>SUMPRODUCT(($X52:$AD52="M")*6+($X52:$AD52="T")*6+($X52:$AD52="D")*12+($X52:$AD52="N")*12+($X52:$AD52="NT")*6+($X52:$AD52="C")*10+($X52:$AD52="A")*8+($X52:$AD52="J")*5+($X52:$AD52="CEP")*4+($X52:$AD52="CP")*6+($X52:$AD52="CRO")*6+($X52:$AD52="M+")*6+($X52:$AD52="T+")*6+($X52:$AD52="D+")*12+($X52:$AD52="N+")*12+($X52:$AD52="Dm+")*12+($X52:$AD52="Dt+")*12+($X52:$AD52="Tm-")*6+($X52:$AD52="Mt-")*6)</f>
        <v/>
      </c>
      <c r="BA52" s="118">
        <f>AZ52-MAX(0,IFERROR(INDEX(CADASTRO!$I$4:$I$80,MATCH($A52,CADASTRO!$A$4:$A$80,0)),$B52)-CONFIG!$B$50*(COUNTIF($X52:$AD52,"AB")+COUNTIF($X52:$AD52,"FE")+COUNTIF($X52:$AD52,"LM")))</f>
        <v/>
      </c>
      <c r="BB52" s="117">
        <f>SUMPRODUCT(($AE52:$AK52="M")*6+($AE52:$AK52="T")*6+($AE52:$AK52="D")*12+($AE52:$AK52="N")*12+($AE52:$AK52="NT")*6+($AE52:$AK52="C")*10+($AE52:$AK52="A")*8+($AE52:$AK52="J")*5+($AE52:$AK52="CEP")*4+($AE52:$AK52="CP")*6+($AE52:$AK52="CRO")*6+($AE52:$AK52="M+")*6+($AE52:$AK52="T+")*6+($AE52:$AK52="D+")*12+($AE52:$AK52="N+")*12+($AE52:$AK52="Dm+")*12+($AE52:$AK52="Dt+")*12+($AE52:$AK52="Tm-")*6+($AE52:$AK52="Mt-")*6)</f>
        <v/>
      </c>
      <c r="BC52" s="118">
        <f>BB52-MAX(0,IFERROR(INDEX(CADASTRO!$I$4:$I$80,MATCH($A52,CADASTRO!$A$4:$A$80,0)),$B52)-CONFIG!$B$50*(COUNTIF($AE52:$AK52,"AB")+COUNTIF($AE52:$AK52,"FE")+COUNTIF($AE52:$AK52,"LM")))</f>
        <v/>
      </c>
      <c r="BD52" s="117">
        <f>SUMPRODUCT(($AL52:$AM52="M")*6+($AL52:$AM52="T")*6+($AL52:$AM52="D")*12+($AL52:$AM52="N")*12+($AL52:$AM52="NT")*6+($AL52:$AM52="C")*10+($AL52:$AM52="A")*8+($AL52:$AM52="J")*5+($AL52:$AM52="CEP")*4+($AL52:$AM52="CP")*6+($AL52:$AM52="CRO")*6+($AL52:$AM52="M+")*6+($AL52:$AM52="T+")*6+($AL52:$AM52="D+")*12+($AL52:$AM52="N+")*12+($AL52:$AM52="Dm+")*12+($AL52:$AM52="Dt+")*12+($AL52:$AM52="Tm-")*6+($AL52:$AM52="Mt-")*6)+SUMPRODUCT(($AN52:$AR52="M")*6+($AN52:$AR52="T")*6+($AN52:$AR52="D")*12+($AN52:$AR52="N")*12+($AN52:$AR52="NT")*6+($AN52:$AR52="C")*10+($AN52:$AR52="A")*8+($AN52:$AR52="J")*5+($AN52:$AR52="CEP")*4+($AN52:$AR52="CP")*6+($AN52:$AR52="CRO")*6+($AN52:$AR52="M+")*6+($AN52:$AR52="T+")*6+($AN52:$AR52="D+")*12+($AN52:$AR52="N+")*12+($AN52:$AR52="Dm+")*12+($AN52:$AR52="Dt+")*12+($AN52:$AR52="Tm-")*6+($AN52:$AR52="Mt-")*6)</f>
        <v/>
      </c>
      <c r="BE52" s="118">
        <f>BD52-MAX(0,IFERROR(INDEX(CADASTRO!$I$4:$I$80,MATCH($A52,CADASTRO!$A$4:$A$80,0)),$B52)-CONFIG!$B$50*(COUNTIF($AL52:$AM52,"AB")+COUNTIF($AL52:$AM52,"FE")+COUNTIF($AL52:$AM52,"LM")+COUNTIF($AN52:$AR52,"AB")+COUNTIF($AN52:$AR52,"FE")+COUNTIF($AN52:$AR52,"LM")))</f>
        <v/>
      </c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36">
        <f>IFERROR(INDEX(FEV!AE$8:AE$73,MATCH($A53,FEV!$A$8:$A$73,0))&amp;"","")</f>
        <v/>
      </c>
      <c r="D53" s="136">
        <f>IFERROR(INDEX(FEV!AF$8:AF$73,MATCH($A53,FEV!$A$8:$A$73,0))&amp;"","")</f>
        <v/>
      </c>
      <c r="E53" s="136">
        <f>IFERROR(INDEX(FEV!AG$8:AG$73,MATCH($A53,FEV!$A$8:$A$73,0))&amp;"","")</f>
        <v/>
      </c>
      <c r="F53" s="136">
        <f>IFERROR(INDEX(FEV!AH$8:AH$73,MATCH($A53,FEV!$A$8:$A$73,0))&amp;"","")</f>
        <v/>
      </c>
      <c r="G53" s="136">
        <f>IFERROR(INDEX(FEV!AI$8:AI$73,MATCH($A53,FEV!$A$8:$A$73,0))&amp;"","")</f>
        <v/>
      </c>
      <c r="H53" s="116">
        <f>IFERROR(INDEX(FEV!AJ$8:AJ$73,MATCH($A53,FEV!$A$8:$A$73,0))&amp;"","")</f>
        <v/>
      </c>
      <c r="I53" s="114" t="n"/>
      <c r="J53" s="125" t="inlineStr">
        <is>
          <t>N</t>
        </is>
      </c>
      <c r="K53" s="114" t="n"/>
      <c r="L53" s="114" t="n"/>
      <c r="M53" s="114" t="n"/>
      <c r="N53" s="114" t="n"/>
      <c r="O53" s="114" t="n"/>
      <c r="P53" s="125" t="inlineStr">
        <is>
          <t>N</t>
        </is>
      </c>
      <c r="Q53" s="125" t="inlineStr">
        <is>
          <t>N</t>
        </is>
      </c>
      <c r="R53" s="125" t="inlineStr">
        <is>
          <t>N</t>
        </is>
      </c>
      <c r="S53" s="114" t="n"/>
      <c r="T53" s="114" t="n"/>
      <c r="U53" s="114" t="n"/>
      <c r="V53" s="114" t="n"/>
      <c r="W53" s="114" t="n"/>
      <c r="X53" s="125" t="inlineStr">
        <is>
          <t>N</t>
        </is>
      </c>
      <c r="Y53" s="125" t="inlineStr">
        <is>
          <t>N</t>
        </is>
      </c>
      <c r="Z53" s="114" t="n"/>
      <c r="AA53" s="114" t="n"/>
      <c r="AB53" s="114" t="n"/>
      <c r="AC53" s="114" t="n"/>
      <c r="AD53" s="114" t="n"/>
      <c r="AE53" s="114" t="n"/>
      <c r="AF53" s="114" t="n"/>
      <c r="AG53" s="114" t="n"/>
      <c r="AH53" s="114" t="n"/>
      <c r="AI53" s="125" t="inlineStr">
        <is>
          <t>N</t>
        </is>
      </c>
      <c r="AJ53" s="114" t="n"/>
      <c r="AK53" s="125" t="inlineStr">
        <is>
          <t>N</t>
        </is>
      </c>
      <c r="AL53" s="125" t="inlineStr">
        <is>
          <t>N</t>
        </is>
      </c>
      <c r="AM53" s="125" t="inlineStr">
        <is>
          <t>N</t>
        </is>
      </c>
      <c r="AN53" s="136">
        <f>IFERROR(INDEX(ABR!I$8:I$73,MATCH($A53,ABR!$A$8:$A$73,0))&amp;"","")</f>
        <v/>
      </c>
      <c r="AO53" s="136">
        <f>IFERROR(INDEX(ABR!J$8:J$73,MATCH($A53,ABR!$A$8:$A$73,0))&amp;"","")</f>
        <v/>
      </c>
      <c r="AP53" s="136">
        <f>IFERROR(INDEX(ABR!K$8:K$73,MATCH($A53,ABR!$A$8:$A$73,0))&amp;"","")</f>
        <v/>
      </c>
      <c r="AQ53" s="116">
        <f>IFERROR(INDEX(ABR!L$8:L$73,MATCH($A53,ABR!$A$8:$A$73,0))&amp;"","")</f>
        <v/>
      </c>
      <c r="AR53" s="116">
        <f>IFERROR(INDEX(ABR!M$8:M$73,MATCH($A53,ABR!$A$8:$A$73,0))&amp;"","")</f>
        <v/>
      </c>
      <c r="AS53" s="100" t="n"/>
      <c r="AT53" s="117">
        <f>SUMPRODUCT(($C53:$I53="M")*6+($C53:$I53="T")*6+($C53:$I53="D")*12+($C53:$I53="N")*12+($C53:$I53="NT")*6+($C53:$I53="C")*10+($C53:$I53="A")*8+($C53:$I53="J")*5+($C53:$I53="CEP")*4+($C53:$I53="CP")*6+($C53:$I53="CRO")*6+($C53:$I53="M+")*6+($C53:$I53="T+")*6+($C53:$I53="D+")*12+($C53:$I53="N+")*12+($C53:$I53="Dm+")*12+($C53:$I53="Dt+")*12+($C53:$I53="Tm-")*6+($C53:$I53="Mt-")*6)</f>
        <v/>
      </c>
      <c r="AU53" s="118">
        <f>AT53-MAX(0,IFERROR(INDEX(CADASTRO!$I$4:$I$80,MATCH($A53,CADASTRO!$A$4:$A$80,0)),$B53)-CONFIG!$B$50*(COUNTIF($C53:$I53,"AB")+COUNTIF($C53:$I53,"FE")+COUNTIF($C53:$I53,"LM")))</f>
        <v/>
      </c>
      <c r="AV53" s="117">
        <f>SUMPRODUCT(($J53:$P53="M")*6+($J53:$P53="T")*6+($J53:$P53="D")*12+($J53:$P53="N")*12+($J53:$P53="NT")*6+($J53:$P53="C")*10+($J53:$P53="A")*8+($J53:$P53="J")*5+($J53:$P53="CEP")*4+($J53:$P53="CP")*6+($J53:$P53="CRO")*6+($J53:$P53="M+")*6+($J53:$P53="T+")*6+($J53:$P53="D+")*12+($J53:$P53="N+")*12+($J53:$P53="Dm+")*12+($J53:$P53="Dt+")*12+($J53:$P53="Tm-")*6+($J53:$P53="Mt-")*6)</f>
        <v/>
      </c>
      <c r="AW53" s="118">
        <f>AV53-MAX(0,IFERROR(INDEX(CADASTRO!$I$4:$I$80,MATCH($A53,CADASTRO!$A$4:$A$80,0)),$B53)-CONFIG!$B$50*(COUNTIF($J53:$P53,"AB")+COUNTIF($J53:$P53,"FE")+COUNTIF($J53:$P53,"LM")))</f>
        <v/>
      </c>
      <c r="AX53" s="117">
        <f>SUMPRODUCT(($Q53:$W53="M")*6+($Q53:$W53="T")*6+($Q53:$W53="D")*12+($Q53:$W53="N")*12+($Q53:$W53="NT")*6+($Q53:$W53="C")*10+($Q53:$W53="A")*8+($Q53:$W53="J")*5+($Q53:$W53="CEP")*4+($Q53:$W53="CP")*6+($Q53:$W53="CRO")*6+($Q53:$W53="M+")*6+($Q53:$W53="T+")*6+($Q53:$W53="D+")*12+($Q53:$W53="N+")*12+($Q53:$W53="Dm+")*12+($Q53:$W53="Dt+")*12+($Q53:$W53="Tm-")*6+($Q53:$W53="Mt-")*6)</f>
        <v/>
      </c>
      <c r="AY53" s="118">
        <f>AX53-MAX(0,IFERROR(INDEX(CADASTRO!$I$4:$I$80,MATCH($A53,CADASTRO!$A$4:$A$80,0)),$B53)-CONFIG!$B$50*(COUNTIF($Q53:$W53,"AB")+COUNTIF($Q53:$W53,"FE")+COUNTIF($Q53:$W53,"LM")))</f>
        <v/>
      </c>
      <c r="AZ53" s="117">
        <f>SUMPRODUCT(($X53:$AD53="M")*6+($X53:$AD53="T")*6+($X53:$AD53="D")*12+($X53:$AD53="N")*12+($X53:$AD53="NT")*6+($X53:$AD53="C")*10+($X53:$AD53="A")*8+($X53:$AD53="J")*5+($X53:$AD53="CEP")*4+($X53:$AD53="CP")*6+($X53:$AD53="CRO")*6+($X53:$AD53="M+")*6+($X53:$AD53="T+")*6+($X53:$AD53="D+")*12+($X53:$AD53="N+")*12+($X53:$AD53="Dm+")*12+($X53:$AD53="Dt+")*12+($X53:$AD53="Tm-")*6+($X53:$AD53="Mt-")*6)</f>
        <v/>
      </c>
      <c r="BA53" s="118">
        <f>AZ53-MAX(0,IFERROR(INDEX(CADASTRO!$I$4:$I$80,MATCH($A53,CADASTRO!$A$4:$A$80,0)),$B53)-CONFIG!$B$50*(COUNTIF($X53:$AD53,"AB")+COUNTIF($X53:$AD53,"FE")+COUNTIF($X53:$AD53,"LM")))</f>
        <v/>
      </c>
      <c r="BB53" s="117">
        <f>SUMPRODUCT(($AE53:$AK53="M")*6+($AE53:$AK53="T")*6+($AE53:$AK53="D")*12+($AE53:$AK53="N")*12+($AE53:$AK53="NT")*6+($AE53:$AK53="C")*10+($AE53:$AK53="A")*8+($AE53:$AK53="J")*5+($AE53:$AK53="CEP")*4+($AE53:$AK53="CP")*6+($AE53:$AK53="CRO")*6+($AE53:$AK53="M+")*6+($AE53:$AK53="T+")*6+($AE53:$AK53="D+")*12+($AE53:$AK53="N+")*12+($AE53:$AK53="Dm+")*12+($AE53:$AK53="Dt+")*12+($AE53:$AK53="Tm-")*6+($AE53:$AK53="Mt-")*6)</f>
        <v/>
      </c>
      <c r="BC53" s="118">
        <f>BB53-MAX(0,IFERROR(INDEX(CADASTRO!$I$4:$I$80,MATCH($A53,CADASTRO!$A$4:$A$80,0)),$B53)-CONFIG!$B$50*(COUNTIF($AE53:$AK53,"AB")+COUNTIF($AE53:$AK53,"FE")+COUNTIF($AE53:$AK53,"LM")))</f>
        <v/>
      </c>
      <c r="BD53" s="117">
        <f>SUMPRODUCT(($AL53:$AM53="M")*6+($AL53:$AM53="T")*6+($AL53:$AM53="D")*12+($AL53:$AM53="N")*12+($AL53:$AM53="NT")*6+($AL53:$AM53="C")*10+($AL53:$AM53="A")*8+($AL53:$AM53="J")*5+($AL53:$AM53="CEP")*4+($AL53:$AM53="CP")*6+($AL53:$AM53="CRO")*6+($AL53:$AM53="M+")*6+($AL53:$AM53="T+")*6+($AL53:$AM53="D+")*12+($AL53:$AM53="N+")*12+($AL53:$AM53="Dm+")*12+($AL53:$AM53="Dt+")*12+($AL53:$AM53="Tm-")*6+($AL53:$AM53="Mt-")*6)+SUMPRODUCT(($AN53:$AR53="M")*6+($AN53:$AR53="T")*6+($AN53:$AR53="D")*12+($AN53:$AR53="N")*12+($AN53:$AR53="NT")*6+($AN53:$AR53="C")*10+($AN53:$AR53="A")*8+($AN53:$AR53="J")*5+($AN53:$AR53="CEP")*4+($AN53:$AR53="CP")*6+($AN53:$AR53="CRO")*6+($AN53:$AR53="M+")*6+($AN53:$AR53="T+")*6+($AN53:$AR53="D+")*12+($AN53:$AR53="N+")*12+($AN53:$AR53="Dm+")*12+($AN53:$AR53="Dt+")*12+($AN53:$AR53="Tm-")*6+($AN53:$AR53="Mt-")*6)</f>
        <v/>
      </c>
      <c r="BE53" s="118">
        <f>BD53-MAX(0,IFERROR(INDEX(CADASTRO!$I$4:$I$80,MATCH($A53,CADASTRO!$A$4:$A$80,0)),$B53)-CONFIG!$B$50*(COUNTIF($AL53:$AM53,"AB")+COUNTIF($AL53:$AM53,"FE")+COUNTIF($AL53:$AM53,"LM")+COUNTIF($AN53:$AR53,"AB")+COUNTIF($AN53:$AR53,"FE")+COUNTIF($AN53:$AR53,"LM")))</f>
        <v/>
      </c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36">
        <f>IFERROR(INDEX(FEV!AE$8:AE$73,MATCH($A54,FEV!$A$8:$A$73,0))&amp;"","")</f>
        <v/>
      </c>
      <c r="D54" s="136">
        <f>IFERROR(INDEX(FEV!AF$8:AF$73,MATCH($A54,FEV!$A$8:$A$73,0))&amp;"","")</f>
        <v/>
      </c>
      <c r="E54" s="136">
        <f>IFERROR(INDEX(FEV!AG$8:AG$73,MATCH($A54,FEV!$A$8:$A$73,0))&amp;"","")</f>
        <v/>
      </c>
      <c r="F54" s="136">
        <f>IFERROR(INDEX(FEV!AH$8:AH$73,MATCH($A54,FEV!$A$8:$A$73,0))&amp;"","")</f>
        <v/>
      </c>
      <c r="G54" s="136">
        <f>IFERROR(INDEX(FEV!AI$8:AI$73,MATCH($A54,FEV!$A$8:$A$73,0))&amp;"","")</f>
        <v/>
      </c>
      <c r="H54" s="116">
        <f>IFERROR(INDEX(FEV!AJ$8:AJ$73,MATCH($A54,FEV!$A$8:$A$73,0))&amp;"","")</f>
        <v/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26" t="inlineStr">
        <is>
          <t>T</t>
        </is>
      </c>
      <c r="AA54" s="125" t="inlineStr">
        <is>
          <t>N</t>
        </is>
      </c>
      <c r="AB54" s="114" t="n"/>
      <c r="AC54" s="114" t="n"/>
      <c r="AD54" s="114" t="n"/>
      <c r="AE54" s="114" t="n"/>
      <c r="AF54" s="127" t="inlineStr">
        <is>
          <t>T-</t>
        </is>
      </c>
      <c r="AG54" s="126" t="inlineStr">
        <is>
          <t>T</t>
        </is>
      </c>
      <c r="AH54" s="125" t="inlineStr">
        <is>
          <t>N</t>
        </is>
      </c>
      <c r="AI54" s="114" t="n"/>
      <c r="AJ54" s="114" t="n"/>
      <c r="AK54" s="114" t="n"/>
      <c r="AL54" s="114" t="n"/>
      <c r="AM54" s="114" t="n"/>
      <c r="AN54" s="136">
        <f>IFERROR(INDEX(ABR!I$8:I$73,MATCH($A54,ABR!$A$8:$A$73,0))&amp;"","")</f>
        <v/>
      </c>
      <c r="AO54" s="136">
        <f>IFERROR(INDEX(ABR!J$8:J$73,MATCH($A54,ABR!$A$8:$A$73,0))&amp;"","")</f>
        <v/>
      </c>
      <c r="AP54" s="136">
        <f>IFERROR(INDEX(ABR!K$8:K$73,MATCH($A54,ABR!$A$8:$A$73,0))&amp;"","")</f>
        <v/>
      </c>
      <c r="AQ54" s="116">
        <f>IFERROR(INDEX(ABR!L$8:L$73,MATCH($A54,ABR!$A$8:$A$73,0))&amp;"","")</f>
        <v/>
      </c>
      <c r="AR54" s="116">
        <f>IFERROR(INDEX(ABR!M$8:M$73,MATCH($A54,ABR!$A$8:$A$73,0))&amp;"","")</f>
        <v/>
      </c>
      <c r="AS54" s="100" t="n"/>
      <c r="AT54" s="117">
        <f>SUMPRODUCT(($C54:$I54="M")*6+($C54:$I54="T")*6+($C54:$I54="D")*12+($C54:$I54="N")*12+($C54:$I54="NT")*6+($C54:$I54="C")*10+($C54:$I54="A")*8+($C54:$I54="J")*5+($C54:$I54="CEP")*4+($C54:$I54="CP")*6+($C54:$I54="CRO")*6+($C54:$I54="M+")*6+($C54:$I54="T+")*6+($C54:$I54="D+")*12+($C54:$I54="N+")*12+($C54:$I54="Dm+")*12+($C54:$I54="Dt+")*12+($C54:$I54="Tm-")*6+($C54:$I54="Mt-")*6)</f>
        <v/>
      </c>
      <c r="AU54" s="118">
        <f>AT54-MAX(0,IFERROR(INDEX(CADASTRO!$I$4:$I$80,MATCH($A54,CADASTRO!$A$4:$A$80,0)),$B54)-CONFIG!$B$50*(COUNTIF($C54:$I54,"AB")+COUNTIF($C54:$I54,"FE")+COUNTIF($C54:$I54,"LM")))</f>
        <v/>
      </c>
      <c r="AV54" s="117">
        <f>SUMPRODUCT(($J54:$P54="M")*6+($J54:$P54="T")*6+($J54:$P54="D")*12+($J54:$P54="N")*12+($J54:$P54="NT")*6+($J54:$P54="C")*10+($J54:$P54="A")*8+($J54:$P54="J")*5+($J54:$P54="CEP")*4+($J54:$P54="CP")*6+($J54:$P54="CRO")*6+($J54:$P54="M+")*6+($J54:$P54="T+")*6+($J54:$P54="D+")*12+($J54:$P54="N+")*12+($J54:$P54="Dm+")*12+($J54:$P54="Dt+")*12+($J54:$P54="Tm-")*6+($J54:$P54="Mt-")*6)</f>
        <v/>
      </c>
      <c r="AW54" s="118">
        <f>AV54-MAX(0,IFERROR(INDEX(CADASTRO!$I$4:$I$80,MATCH($A54,CADASTRO!$A$4:$A$80,0)),$B54)-CONFIG!$B$50*(COUNTIF($J54:$P54,"AB")+COUNTIF($J54:$P54,"FE")+COUNTIF($J54:$P54,"LM")))</f>
        <v/>
      </c>
      <c r="AX54" s="117">
        <f>SUMPRODUCT(($Q54:$W54="M")*6+($Q54:$W54="T")*6+($Q54:$W54="D")*12+($Q54:$W54="N")*12+($Q54:$W54="NT")*6+($Q54:$W54="C")*10+($Q54:$W54="A")*8+($Q54:$W54="J")*5+($Q54:$W54="CEP")*4+($Q54:$W54="CP")*6+($Q54:$W54="CRO")*6+($Q54:$W54="M+")*6+($Q54:$W54="T+")*6+($Q54:$W54="D+")*12+($Q54:$W54="N+")*12+($Q54:$W54="Dm+")*12+($Q54:$W54="Dt+")*12+($Q54:$W54="Tm-")*6+($Q54:$W54="Mt-")*6)</f>
        <v/>
      </c>
      <c r="AY54" s="118">
        <f>AX54-MAX(0,IFERROR(INDEX(CADASTRO!$I$4:$I$80,MATCH($A54,CADASTRO!$A$4:$A$80,0)),$B54)-CONFIG!$B$50*(COUNTIF($Q54:$W54,"AB")+COUNTIF($Q54:$W54,"FE")+COUNTIF($Q54:$W54,"LM")))</f>
        <v/>
      </c>
      <c r="AZ54" s="117">
        <f>SUMPRODUCT(($X54:$AD54="M")*6+($X54:$AD54="T")*6+($X54:$AD54="D")*12+($X54:$AD54="N")*12+($X54:$AD54="NT")*6+($X54:$AD54="C")*10+($X54:$AD54="A")*8+($X54:$AD54="J")*5+($X54:$AD54="CEP")*4+($X54:$AD54="CP")*6+($X54:$AD54="CRO")*6+($X54:$AD54="M+")*6+($X54:$AD54="T+")*6+($X54:$AD54="D+")*12+($X54:$AD54="N+")*12+($X54:$AD54="Dm+")*12+($X54:$AD54="Dt+")*12+($X54:$AD54="Tm-")*6+($X54:$AD54="Mt-")*6)</f>
        <v/>
      </c>
      <c r="BA54" s="118">
        <f>AZ54-MAX(0,IFERROR(INDEX(CADASTRO!$I$4:$I$80,MATCH($A54,CADASTRO!$A$4:$A$80,0)),$B54)-CONFIG!$B$50*(COUNTIF($X54:$AD54,"AB")+COUNTIF($X54:$AD54,"FE")+COUNTIF($X54:$AD54,"LM")))</f>
        <v/>
      </c>
      <c r="BB54" s="117">
        <f>SUMPRODUCT(($AE54:$AK54="M")*6+($AE54:$AK54="T")*6+($AE54:$AK54="D")*12+($AE54:$AK54="N")*12+($AE54:$AK54="NT")*6+($AE54:$AK54="C")*10+($AE54:$AK54="A")*8+($AE54:$AK54="J")*5+($AE54:$AK54="CEP")*4+($AE54:$AK54="CP")*6+($AE54:$AK54="CRO")*6+($AE54:$AK54="M+")*6+($AE54:$AK54="T+")*6+($AE54:$AK54="D+")*12+($AE54:$AK54="N+")*12+($AE54:$AK54="Dm+")*12+($AE54:$AK54="Dt+")*12+($AE54:$AK54="Tm-")*6+($AE54:$AK54="Mt-")*6)</f>
        <v/>
      </c>
      <c r="BC54" s="118">
        <f>BB54-MAX(0,IFERROR(INDEX(CADASTRO!$I$4:$I$80,MATCH($A54,CADASTRO!$A$4:$A$80,0)),$B54)-CONFIG!$B$50*(COUNTIF($AE54:$AK54,"AB")+COUNTIF($AE54:$AK54,"FE")+COUNTIF($AE54:$AK54,"LM")))</f>
        <v/>
      </c>
      <c r="BD54" s="117">
        <f>SUMPRODUCT(($AL54:$AM54="M")*6+($AL54:$AM54="T")*6+($AL54:$AM54="D")*12+($AL54:$AM54="N")*12+($AL54:$AM54="NT")*6+($AL54:$AM54="C")*10+($AL54:$AM54="A")*8+($AL54:$AM54="J")*5+($AL54:$AM54="CEP")*4+($AL54:$AM54="CP")*6+($AL54:$AM54="CRO")*6+($AL54:$AM54="M+")*6+($AL54:$AM54="T+")*6+($AL54:$AM54="D+")*12+($AL54:$AM54="N+")*12+($AL54:$AM54="Dm+")*12+($AL54:$AM54="Dt+")*12+($AL54:$AM54="Tm-")*6+($AL54:$AM54="Mt-")*6)+SUMPRODUCT(($AN54:$AR54="M")*6+($AN54:$AR54="T")*6+($AN54:$AR54="D")*12+($AN54:$AR54="N")*12+($AN54:$AR54="NT")*6+($AN54:$AR54="C")*10+($AN54:$AR54="A")*8+($AN54:$AR54="J")*5+($AN54:$AR54="CEP")*4+($AN54:$AR54="CP")*6+($AN54:$AR54="CRO")*6+($AN54:$AR54="M+")*6+($AN54:$AR54="T+")*6+($AN54:$AR54="D+")*12+($AN54:$AR54="N+")*12+($AN54:$AR54="Dm+")*12+($AN54:$AR54="Dt+")*12+($AN54:$AR54="Tm-")*6+($AN54:$AR54="Mt-")*6)</f>
        <v/>
      </c>
      <c r="BE54" s="118">
        <f>BD54-MAX(0,IFERROR(INDEX(CADASTRO!$I$4:$I$80,MATCH($A54,CADASTRO!$A$4:$A$80,0)),$B54)-CONFIG!$B$50*(COUNTIF($AL54:$AM54,"AB")+COUNTIF($AL54:$AM54,"FE")+COUNTIF($AL54:$AM54,"LM")+COUNTIF($AN54:$AR54,"AB")+COUNTIF($AN54:$AR54,"FE")+COUNTIF($AN54:$AR54,"LM")))</f>
        <v/>
      </c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36">
        <f>IFERROR(INDEX(FEV!AE$8:AE$73,MATCH($A55,FEV!$A$8:$A$73,0))&amp;"","")</f>
        <v/>
      </c>
      <c r="D55" s="136">
        <f>IFERROR(INDEX(FEV!AF$8:AF$73,MATCH($A55,FEV!$A$8:$A$73,0))&amp;"","")</f>
        <v/>
      </c>
      <c r="E55" s="136">
        <f>IFERROR(INDEX(FEV!AG$8:AG$73,MATCH($A55,FEV!$A$8:$A$73,0))&amp;"","")</f>
        <v/>
      </c>
      <c r="F55" s="136">
        <f>IFERROR(INDEX(FEV!AH$8:AH$73,MATCH($A55,FEV!$A$8:$A$73,0))&amp;"","")</f>
        <v/>
      </c>
      <c r="G55" s="136">
        <f>IFERROR(INDEX(FEV!AI$8:AI$73,MATCH($A55,FEV!$A$8:$A$73,0))&amp;"","")</f>
        <v/>
      </c>
      <c r="H55" s="116">
        <f>IFERROR(INDEX(FEV!AJ$8:AJ$73,MATCH($A55,FEV!$A$8:$A$73,0))&amp;"","")</f>
        <v/>
      </c>
      <c r="I55" s="114" t="n"/>
      <c r="J55" s="115" t="inlineStr">
        <is>
          <t>M</t>
        </is>
      </c>
      <c r="K55" s="115" t="inlineStr">
        <is>
          <t>M</t>
        </is>
      </c>
      <c r="L55" s="114" t="n"/>
      <c r="M55" s="115" t="inlineStr">
        <is>
          <t>M</t>
        </is>
      </c>
      <c r="N55" s="115" t="inlineStr">
        <is>
          <t>M</t>
        </is>
      </c>
      <c r="O55" s="114" t="n"/>
      <c r="P55" s="114" t="n"/>
      <c r="Q55" s="115" t="inlineStr">
        <is>
          <t>M</t>
        </is>
      </c>
      <c r="R55" s="115" t="inlineStr">
        <is>
          <t>M</t>
        </is>
      </c>
      <c r="S55" s="114" t="n"/>
      <c r="T55" s="115" t="inlineStr">
        <is>
          <t>M</t>
        </is>
      </c>
      <c r="U55" s="115" t="inlineStr">
        <is>
          <t>M</t>
        </is>
      </c>
      <c r="V55" s="114" t="n"/>
      <c r="W55" s="114" t="n"/>
      <c r="X55" s="114" t="n"/>
      <c r="Y55" s="114" t="n"/>
      <c r="Z55" s="114" t="n"/>
      <c r="AA55" s="115" t="inlineStr">
        <is>
          <t>M</t>
        </is>
      </c>
      <c r="AB55" s="115" t="inlineStr">
        <is>
          <t>M</t>
        </is>
      </c>
      <c r="AC55" s="115" t="inlineStr">
        <is>
          <t>M</t>
        </is>
      </c>
      <c r="AD55" s="115" t="inlineStr">
        <is>
          <t>M</t>
        </is>
      </c>
      <c r="AE55" s="115" t="inlineStr">
        <is>
          <t>M</t>
        </is>
      </c>
      <c r="AF55" s="114" t="n"/>
      <c r="AG55" s="114" t="n"/>
      <c r="AH55" s="115" t="inlineStr">
        <is>
          <t>M</t>
        </is>
      </c>
      <c r="AI55" s="114" t="n"/>
      <c r="AJ55" s="115" t="inlineStr">
        <is>
          <t>M</t>
        </is>
      </c>
      <c r="AK55" s="115" t="inlineStr">
        <is>
          <t>M</t>
        </is>
      </c>
      <c r="AL55" s="115" t="inlineStr">
        <is>
          <t>M</t>
        </is>
      </c>
      <c r="AM55" s="115" t="inlineStr">
        <is>
          <t>M</t>
        </is>
      </c>
      <c r="AN55" s="136">
        <f>IFERROR(INDEX(ABR!I$8:I$73,MATCH($A55,ABR!$A$8:$A$73,0))&amp;"","")</f>
        <v/>
      </c>
      <c r="AO55" s="136">
        <f>IFERROR(INDEX(ABR!J$8:J$73,MATCH($A55,ABR!$A$8:$A$73,0))&amp;"","")</f>
        <v/>
      </c>
      <c r="AP55" s="136">
        <f>IFERROR(INDEX(ABR!K$8:K$73,MATCH($A55,ABR!$A$8:$A$73,0))&amp;"","")</f>
        <v/>
      </c>
      <c r="AQ55" s="116">
        <f>IFERROR(INDEX(ABR!L$8:L$73,MATCH($A55,ABR!$A$8:$A$73,0))&amp;"","")</f>
        <v/>
      </c>
      <c r="AR55" s="116">
        <f>IFERROR(INDEX(ABR!M$8:M$73,MATCH($A55,ABR!$A$8:$A$73,0))&amp;"","")</f>
        <v/>
      </c>
      <c r="AS55" s="100" t="n"/>
      <c r="AT55" s="117">
        <f>SUMPRODUCT(($C55:$I55="M")*6+($C55:$I55="T")*6+($C55:$I55="D")*12+($C55:$I55="N")*12+($C55:$I55="NT")*6+($C55:$I55="C")*10+($C55:$I55="A")*8+($C55:$I55="J")*5+($C55:$I55="CEP")*4+($C55:$I55="CP")*6+($C55:$I55="CRO")*6+($C55:$I55="M+")*6+($C55:$I55="T+")*6+($C55:$I55="D+")*12+($C55:$I55="N+")*12+($C55:$I55="Dm+")*12+($C55:$I55="Dt+")*12+($C55:$I55="Tm-")*6+($C55:$I55="Mt-")*6)</f>
        <v/>
      </c>
      <c r="AU55" s="118">
        <f>AT55-MAX(0,IFERROR(INDEX(CADASTRO!$I$4:$I$80,MATCH($A55,CADASTRO!$A$4:$A$80,0)),$B55)-CONFIG!$B$50*(COUNTIF($C55:$I55,"AB")+COUNTIF($C55:$I55,"FE")+COUNTIF($C55:$I55,"LM")))</f>
        <v/>
      </c>
      <c r="AV55" s="117">
        <f>SUMPRODUCT(($J55:$P55="M")*6+($J55:$P55="T")*6+($J55:$P55="D")*12+($J55:$P55="N")*12+($J55:$P55="NT")*6+($J55:$P55="C")*10+($J55:$P55="A")*8+($J55:$P55="J")*5+($J55:$P55="CEP")*4+($J55:$P55="CP")*6+($J55:$P55="CRO")*6+($J55:$P55="M+")*6+($J55:$P55="T+")*6+($J55:$P55="D+")*12+($J55:$P55="N+")*12+($J55:$P55="Dm+")*12+($J55:$P55="Dt+")*12+($J55:$P55="Tm-")*6+($J55:$P55="Mt-")*6)</f>
        <v/>
      </c>
      <c r="AW55" s="118">
        <f>AV55-MAX(0,IFERROR(INDEX(CADASTRO!$I$4:$I$80,MATCH($A55,CADASTRO!$A$4:$A$80,0)),$B55)-CONFIG!$B$50*(COUNTIF($J55:$P55,"AB")+COUNTIF($J55:$P55,"FE")+COUNTIF($J55:$P55,"LM")))</f>
        <v/>
      </c>
      <c r="AX55" s="117">
        <f>SUMPRODUCT(($Q55:$W55="M")*6+($Q55:$W55="T")*6+($Q55:$W55="D")*12+($Q55:$W55="N")*12+($Q55:$W55="NT")*6+($Q55:$W55="C")*10+($Q55:$W55="A")*8+($Q55:$W55="J")*5+($Q55:$W55="CEP")*4+($Q55:$W55="CP")*6+($Q55:$W55="CRO")*6+($Q55:$W55="M+")*6+($Q55:$W55="T+")*6+($Q55:$W55="D+")*12+($Q55:$W55="N+")*12+($Q55:$W55="Dm+")*12+($Q55:$W55="Dt+")*12+($Q55:$W55="Tm-")*6+($Q55:$W55="Mt-")*6)</f>
        <v/>
      </c>
      <c r="AY55" s="118">
        <f>AX55-MAX(0,IFERROR(INDEX(CADASTRO!$I$4:$I$80,MATCH($A55,CADASTRO!$A$4:$A$80,0)),$B55)-CONFIG!$B$50*(COUNTIF($Q55:$W55,"AB")+COUNTIF($Q55:$W55,"FE")+COUNTIF($Q55:$W55,"LM")))</f>
        <v/>
      </c>
      <c r="AZ55" s="117">
        <f>SUMPRODUCT(($X55:$AD55="M")*6+($X55:$AD55="T")*6+($X55:$AD55="D")*12+($X55:$AD55="N")*12+($X55:$AD55="NT")*6+($X55:$AD55="C")*10+($X55:$AD55="A")*8+($X55:$AD55="J")*5+($X55:$AD55="CEP")*4+($X55:$AD55="CP")*6+($X55:$AD55="CRO")*6+($X55:$AD55="M+")*6+($X55:$AD55="T+")*6+($X55:$AD55="D+")*12+($X55:$AD55="N+")*12+($X55:$AD55="Dm+")*12+($X55:$AD55="Dt+")*12+($X55:$AD55="Tm-")*6+($X55:$AD55="Mt-")*6)</f>
        <v/>
      </c>
      <c r="BA55" s="118">
        <f>AZ55-MAX(0,IFERROR(INDEX(CADASTRO!$I$4:$I$80,MATCH($A55,CADASTRO!$A$4:$A$80,0)),$B55)-CONFIG!$B$50*(COUNTIF($X55:$AD55,"AB")+COUNTIF($X55:$AD55,"FE")+COUNTIF($X55:$AD55,"LM")))</f>
        <v/>
      </c>
      <c r="BB55" s="117">
        <f>SUMPRODUCT(($AE55:$AK55="M")*6+($AE55:$AK55="T")*6+($AE55:$AK55="D")*12+($AE55:$AK55="N")*12+($AE55:$AK55="NT")*6+($AE55:$AK55="C")*10+($AE55:$AK55="A")*8+($AE55:$AK55="J")*5+($AE55:$AK55="CEP")*4+($AE55:$AK55="CP")*6+($AE55:$AK55="CRO")*6+($AE55:$AK55="M+")*6+($AE55:$AK55="T+")*6+($AE55:$AK55="D+")*12+($AE55:$AK55="N+")*12+($AE55:$AK55="Dm+")*12+($AE55:$AK55="Dt+")*12+($AE55:$AK55="Tm-")*6+($AE55:$AK55="Mt-")*6)</f>
        <v/>
      </c>
      <c r="BC55" s="118">
        <f>BB55-MAX(0,IFERROR(INDEX(CADASTRO!$I$4:$I$80,MATCH($A55,CADASTRO!$A$4:$A$80,0)),$B55)-CONFIG!$B$50*(COUNTIF($AE55:$AK55,"AB")+COUNTIF($AE55:$AK55,"FE")+COUNTIF($AE55:$AK55,"LM")))</f>
        <v/>
      </c>
      <c r="BD55" s="117">
        <f>SUMPRODUCT(($AL55:$AM55="M")*6+($AL55:$AM55="T")*6+($AL55:$AM55="D")*12+($AL55:$AM55="N")*12+($AL55:$AM55="NT")*6+($AL55:$AM55="C")*10+($AL55:$AM55="A")*8+($AL55:$AM55="J")*5+($AL55:$AM55="CEP")*4+($AL55:$AM55="CP")*6+($AL55:$AM55="CRO")*6+($AL55:$AM55="M+")*6+($AL55:$AM55="T+")*6+($AL55:$AM55="D+")*12+($AL55:$AM55="N+")*12+($AL55:$AM55="Dm+")*12+($AL55:$AM55="Dt+")*12+($AL55:$AM55="Tm-")*6+($AL55:$AM55="Mt-")*6)+SUMPRODUCT(($AN55:$AR55="M")*6+($AN55:$AR55="T")*6+($AN55:$AR55="D")*12+($AN55:$AR55="N")*12+($AN55:$AR55="NT")*6+($AN55:$AR55="C")*10+($AN55:$AR55="A")*8+($AN55:$AR55="J")*5+($AN55:$AR55="CEP")*4+($AN55:$AR55="CP")*6+($AN55:$AR55="CRO")*6+($AN55:$AR55="M+")*6+($AN55:$AR55="T+")*6+($AN55:$AR55="D+")*12+($AN55:$AR55="N+")*12+($AN55:$AR55="Dm+")*12+($AN55:$AR55="Dt+")*12+($AN55:$AR55="Tm-")*6+($AN55:$AR55="Mt-")*6)</f>
        <v/>
      </c>
      <c r="BE55" s="118">
        <f>BD55-MAX(0,IFERROR(INDEX(CADASTRO!$I$4:$I$80,MATCH($A55,CADASTRO!$A$4:$A$80,0)),$B55)-CONFIG!$B$50*(COUNTIF($AL55:$AM55,"AB")+COUNTIF($AL55:$AM55,"FE")+COUNTIF($AL55:$AM55,"LM")+COUNTIF($AN55:$AR55,"AB")+COUNTIF($AN55:$AR55,"FE")+COUNTIF($AN55:$AR55,"LM")))</f>
        <v/>
      </c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36">
        <f>IFERROR(INDEX(FEV!AE$8:AE$73,MATCH($A56,FEV!$A$8:$A$73,0))&amp;"","")</f>
        <v/>
      </c>
      <c r="D56" s="136">
        <f>IFERROR(INDEX(FEV!AF$8:AF$73,MATCH($A56,FEV!$A$8:$A$73,0))&amp;"","")</f>
        <v/>
      </c>
      <c r="E56" s="136">
        <f>IFERROR(INDEX(FEV!AG$8:AG$73,MATCH($A56,FEV!$A$8:$A$73,0))&amp;"","")</f>
        <v/>
      </c>
      <c r="F56" s="136">
        <f>IFERROR(INDEX(FEV!AH$8:AH$73,MATCH($A56,FEV!$A$8:$A$73,0))&amp;"","")</f>
        <v/>
      </c>
      <c r="G56" s="136">
        <f>IFERROR(INDEX(FEV!AI$8:AI$73,MATCH($A56,FEV!$A$8:$A$73,0))&amp;"","")</f>
        <v/>
      </c>
      <c r="H56" s="116">
        <f>IFERROR(INDEX(FEV!AJ$8:AJ$73,MATCH($A56,FEV!$A$8:$A$73,0))&amp;"","")</f>
        <v/>
      </c>
      <c r="I56" s="114" t="n"/>
      <c r="J56" s="114" t="n"/>
      <c r="K56" s="114" t="n"/>
      <c r="L56" s="114" t="n"/>
      <c r="M56" s="124" t="inlineStr">
        <is>
          <t>D</t>
        </is>
      </c>
      <c r="N56" s="114" t="n"/>
      <c r="O56" s="124" t="inlineStr">
        <is>
          <t>D</t>
        </is>
      </c>
      <c r="P56" s="114" t="n"/>
      <c r="Q56" s="114" t="n"/>
      <c r="R56" s="126" t="inlineStr">
        <is>
          <t>T</t>
        </is>
      </c>
      <c r="S56" s="114" t="n"/>
      <c r="T56" s="124" t="inlineStr">
        <is>
          <t>D</t>
        </is>
      </c>
      <c r="U56" s="126" t="inlineStr">
        <is>
          <t>T</t>
        </is>
      </c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  <c r="AJ56" s="114" t="n"/>
      <c r="AK56" s="114" t="n"/>
      <c r="AL56" s="114" t="n"/>
      <c r="AM56" s="114" t="n"/>
      <c r="AN56" s="136">
        <f>IFERROR(INDEX(ABR!I$8:I$73,MATCH($A56,ABR!$A$8:$A$73,0))&amp;"","")</f>
        <v/>
      </c>
      <c r="AO56" s="136">
        <f>IFERROR(INDEX(ABR!J$8:J$73,MATCH($A56,ABR!$A$8:$A$73,0))&amp;"","")</f>
        <v/>
      </c>
      <c r="AP56" s="136">
        <f>IFERROR(INDEX(ABR!K$8:K$73,MATCH($A56,ABR!$A$8:$A$73,0))&amp;"","")</f>
        <v/>
      </c>
      <c r="AQ56" s="116">
        <f>IFERROR(INDEX(ABR!L$8:L$73,MATCH($A56,ABR!$A$8:$A$73,0))&amp;"","")</f>
        <v/>
      </c>
      <c r="AR56" s="116">
        <f>IFERROR(INDEX(ABR!M$8:M$73,MATCH($A56,ABR!$A$8:$A$73,0))&amp;"","")</f>
        <v/>
      </c>
      <c r="AS56" s="100" t="n"/>
      <c r="AT56" s="117">
        <f>SUMPRODUCT(($C56:$I56="M")*6+($C56:$I56="T")*6+($C56:$I56="D")*12+($C56:$I56="N")*12+($C56:$I56="NT")*6+($C56:$I56="C")*10+($C56:$I56="A")*8+($C56:$I56="J")*5+($C56:$I56="CEP")*4+($C56:$I56="CP")*6+($C56:$I56="CRO")*6+($C56:$I56="M+")*6+($C56:$I56="T+")*6+($C56:$I56="D+")*12+($C56:$I56="N+")*12+($C56:$I56="Dm+")*12+($C56:$I56="Dt+")*12+($C56:$I56="Tm-")*6+($C56:$I56="Mt-")*6)</f>
        <v/>
      </c>
      <c r="AU56" s="118">
        <f>AT56-MAX(0,IFERROR(INDEX(CADASTRO!$I$4:$I$80,MATCH($A56,CADASTRO!$A$4:$A$80,0)),$B56)-CONFIG!$B$50*(COUNTIF($C56:$I56,"AB")+COUNTIF($C56:$I56,"FE")+COUNTIF($C56:$I56,"LM")))</f>
        <v/>
      </c>
      <c r="AV56" s="117">
        <f>SUMPRODUCT(($J56:$P56="M")*6+($J56:$P56="T")*6+($J56:$P56="D")*12+($J56:$P56="N")*12+($J56:$P56="NT")*6+($J56:$P56="C")*10+($J56:$P56="A")*8+($J56:$P56="J")*5+($J56:$P56="CEP")*4+($J56:$P56="CP")*6+($J56:$P56="CRO")*6+($J56:$P56="M+")*6+($J56:$P56="T+")*6+($J56:$P56="D+")*12+($J56:$P56="N+")*12+($J56:$P56="Dm+")*12+($J56:$P56="Dt+")*12+($J56:$P56="Tm-")*6+($J56:$P56="Mt-")*6)</f>
        <v/>
      </c>
      <c r="AW56" s="118">
        <f>AV56-MAX(0,IFERROR(INDEX(CADASTRO!$I$4:$I$80,MATCH($A56,CADASTRO!$A$4:$A$80,0)),$B56)-CONFIG!$B$50*(COUNTIF($J56:$P56,"AB")+COUNTIF($J56:$P56,"FE")+COUNTIF($J56:$P56,"LM")))</f>
        <v/>
      </c>
      <c r="AX56" s="117">
        <f>SUMPRODUCT(($Q56:$W56="M")*6+($Q56:$W56="T")*6+($Q56:$W56="D")*12+($Q56:$W56="N")*12+($Q56:$W56="NT")*6+($Q56:$W56="C")*10+($Q56:$W56="A")*8+($Q56:$W56="J")*5+($Q56:$W56="CEP")*4+($Q56:$W56="CP")*6+($Q56:$W56="CRO")*6+($Q56:$W56="M+")*6+($Q56:$W56="T+")*6+($Q56:$W56="D+")*12+($Q56:$W56="N+")*12+($Q56:$W56="Dm+")*12+($Q56:$W56="Dt+")*12+($Q56:$W56="Tm-")*6+($Q56:$W56="Mt-")*6)</f>
        <v/>
      </c>
      <c r="AY56" s="118">
        <f>AX56-MAX(0,IFERROR(INDEX(CADASTRO!$I$4:$I$80,MATCH($A56,CADASTRO!$A$4:$A$80,0)),$B56)-CONFIG!$B$50*(COUNTIF($Q56:$W56,"AB")+COUNTIF($Q56:$W56,"FE")+COUNTIF($Q56:$W56,"LM")))</f>
        <v/>
      </c>
      <c r="AZ56" s="117">
        <f>SUMPRODUCT(($X56:$AD56="M")*6+($X56:$AD56="T")*6+($X56:$AD56="D")*12+($X56:$AD56="N")*12+($X56:$AD56="NT")*6+($X56:$AD56="C")*10+($X56:$AD56="A")*8+($X56:$AD56="J")*5+($X56:$AD56="CEP")*4+($X56:$AD56="CP")*6+($X56:$AD56="CRO")*6+($X56:$AD56="M+")*6+($X56:$AD56="T+")*6+($X56:$AD56="D+")*12+($X56:$AD56="N+")*12+($X56:$AD56="Dm+")*12+($X56:$AD56="Dt+")*12+($X56:$AD56="Tm-")*6+($X56:$AD56="Mt-")*6)</f>
        <v/>
      </c>
      <c r="BA56" s="118">
        <f>AZ56-MAX(0,IFERROR(INDEX(CADASTRO!$I$4:$I$80,MATCH($A56,CADASTRO!$A$4:$A$80,0)),$B56)-CONFIG!$B$50*(COUNTIF($X56:$AD56,"AB")+COUNTIF($X56:$AD56,"FE")+COUNTIF($X56:$AD56,"LM")))</f>
        <v/>
      </c>
      <c r="BB56" s="117">
        <f>SUMPRODUCT(($AE56:$AK56="M")*6+($AE56:$AK56="T")*6+($AE56:$AK56="D")*12+($AE56:$AK56="N")*12+($AE56:$AK56="NT")*6+($AE56:$AK56="C")*10+($AE56:$AK56="A")*8+($AE56:$AK56="J")*5+($AE56:$AK56="CEP")*4+($AE56:$AK56="CP")*6+($AE56:$AK56="CRO")*6+($AE56:$AK56="M+")*6+($AE56:$AK56="T+")*6+($AE56:$AK56="D+")*12+($AE56:$AK56="N+")*12+($AE56:$AK56="Dm+")*12+($AE56:$AK56="Dt+")*12+($AE56:$AK56="Tm-")*6+($AE56:$AK56="Mt-")*6)</f>
        <v/>
      </c>
      <c r="BC56" s="118">
        <f>BB56-MAX(0,IFERROR(INDEX(CADASTRO!$I$4:$I$80,MATCH($A56,CADASTRO!$A$4:$A$80,0)),$B56)-CONFIG!$B$50*(COUNTIF($AE56:$AK56,"AB")+COUNTIF($AE56:$AK56,"FE")+COUNTIF($AE56:$AK56,"LM")))</f>
        <v/>
      </c>
      <c r="BD56" s="117">
        <f>SUMPRODUCT(($AL56:$AM56="M")*6+($AL56:$AM56="T")*6+($AL56:$AM56="D")*12+($AL56:$AM56="N")*12+($AL56:$AM56="NT")*6+($AL56:$AM56="C")*10+($AL56:$AM56="A")*8+($AL56:$AM56="J")*5+($AL56:$AM56="CEP")*4+($AL56:$AM56="CP")*6+($AL56:$AM56="CRO")*6+($AL56:$AM56="M+")*6+($AL56:$AM56="T+")*6+($AL56:$AM56="D+")*12+($AL56:$AM56="N+")*12+($AL56:$AM56="Dm+")*12+($AL56:$AM56="Dt+")*12+($AL56:$AM56="Tm-")*6+($AL56:$AM56="Mt-")*6)+SUMPRODUCT(($AN56:$AR56="M")*6+($AN56:$AR56="T")*6+($AN56:$AR56="D")*12+($AN56:$AR56="N")*12+($AN56:$AR56="NT")*6+($AN56:$AR56="C")*10+($AN56:$AR56="A")*8+($AN56:$AR56="J")*5+($AN56:$AR56="CEP")*4+($AN56:$AR56="CP")*6+($AN56:$AR56="CRO")*6+($AN56:$AR56="M+")*6+($AN56:$AR56="T+")*6+($AN56:$AR56="D+")*12+($AN56:$AR56="N+")*12+($AN56:$AR56="Dm+")*12+($AN56:$AR56="Dt+")*12+($AN56:$AR56="Tm-")*6+($AN56:$AR56="Mt-")*6)</f>
        <v/>
      </c>
      <c r="BE56" s="118">
        <f>BD56-MAX(0,IFERROR(INDEX(CADASTRO!$I$4:$I$80,MATCH($A56,CADASTRO!$A$4:$A$80,0)),$B56)-CONFIG!$B$50*(COUNTIF($AL56:$AM56,"AB")+COUNTIF($AL56:$AM56,"FE")+COUNTIF($AL56:$AM56,"LM")+COUNTIF($AN56:$AR56,"AB")+COUNTIF($AN56:$AR56,"FE")+COUNTIF($AN56:$AR56,"LM")))</f>
        <v/>
      </c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36">
        <f>IFERROR(INDEX(FEV!AE$8:AE$73,MATCH($A57,FEV!$A$8:$A$73,0))&amp;"","")</f>
        <v/>
      </c>
      <c r="D57" s="136">
        <f>IFERROR(INDEX(FEV!AF$8:AF$73,MATCH($A57,FEV!$A$8:$A$73,0))&amp;"","")</f>
        <v/>
      </c>
      <c r="E57" s="136">
        <f>IFERROR(INDEX(FEV!AG$8:AG$73,MATCH($A57,FEV!$A$8:$A$73,0))&amp;"","")</f>
        <v/>
      </c>
      <c r="F57" s="136">
        <f>IFERROR(INDEX(FEV!AH$8:AH$73,MATCH($A57,FEV!$A$8:$A$73,0))&amp;"","")</f>
        <v/>
      </c>
      <c r="G57" s="136">
        <f>IFERROR(INDEX(FEV!AI$8:AI$73,MATCH($A57,FEV!$A$8:$A$73,0))&amp;"","")</f>
        <v/>
      </c>
      <c r="H57" s="116">
        <f>IFERROR(INDEX(FEV!AJ$8:AJ$73,MATCH($A57,FEV!$A$8:$A$73,0))&amp;"","")</f>
        <v/>
      </c>
      <c r="I57" s="114" t="n"/>
      <c r="J57" s="114" t="n"/>
      <c r="K57" s="114" t="n"/>
      <c r="L57" s="114" t="n"/>
      <c r="M57" s="125" t="inlineStr">
        <is>
          <t>N</t>
        </is>
      </c>
      <c r="N57" s="114" t="n"/>
      <c r="O57" s="114" t="n"/>
      <c r="P57" s="124" t="inlineStr">
        <is>
          <t>D</t>
        </is>
      </c>
      <c r="Q57" s="114" t="n"/>
      <c r="R57" s="127" t="inlineStr">
        <is>
          <t>T-</t>
        </is>
      </c>
      <c r="S57" s="125" t="inlineStr">
        <is>
          <t>N</t>
        </is>
      </c>
      <c r="T57" s="114" t="n"/>
      <c r="U57" s="114" t="n"/>
      <c r="V57" s="114" t="n"/>
      <c r="W57" s="114" t="n"/>
      <c r="X57" s="125" t="inlineStr">
        <is>
          <t>N</t>
        </is>
      </c>
      <c r="Y57" s="114" t="n"/>
      <c r="Z57" s="114" t="n"/>
      <c r="AA57" s="114" t="n"/>
      <c r="AB57" s="114" t="n"/>
      <c r="AC57" s="124" t="inlineStr">
        <is>
          <t>D</t>
        </is>
      </c>
      <c r="AD57" s="114" t="n"/>
      <c r="AE57" s="114" t="n"/>
      <c r="AF57" s="125" t="inlineStr">
        <is>
          <t>N</t>
        </is>
      </c>
      <c r="AG57" s="114" t="n"/>
      <c r="AH57" s="125" t="inlineStr">
        <is>
          <t>N</t>
        </is>
      </c>
      <c r="AI57" s="114" t="n"/>
      <c r="AJ57" s="114" t="n"/>
      <c r="AK57" s="114" t="n"/>
      <c r="AL57" s="114" t="n"/>
      <c r="AM57" s="114" t="n"/>
      <c r="AN57" s="136">
        <f>IFERROR(INDEX(ABR!I$8:I$73,MATCH($A57,ABR!$A$8:$A$73,0))&amp;"","")</f>
        <v/>
      </c>
      <c r="AO57" s="136">
        <f>IFERROR(INDEX(ABR!J$8:J$73,MATCH($A57,ABR!$A$8:$A$73,0))&amp;"","")</f>
        <v/>
      </c>
      <c r="AP57" s="136">
        <f>IFERROR(INDEX(ABR!K$8:K$73,MATCH($A57,ABR!$A$8:$A$73,0))&amp;"","")</f>
        <v/>
      </c>
      <c r="AQ57" s="116">
        <f>IFERROR(INDEX(ABR!L$8:L$73,MATCH($A57,ABR!$A$8:$A$73,0))&amp;"","")</f>
        <v/>
      </c>
      <c r="AR57" s="116">
        <f>IFERROR(INDEX(ABR!M$8:M$73,MATCH($A57,ABR!$A$8:$A$73,0))&amp;"","")</f>
        <v/>
      </c>
      <c r="AS57" s="100" t="n"/>
      <c r="AT57" s="117">
        <f>SUMPRODUCT(($C57:$I57="M")*6+($C57:$I57="T")*6+($C57:$I57="D")*12+($C57:$I57="N")*12+($C57:$I57="NT")*6+($C57:$I57="C")*10+($C57:$I57="A")*8+($C57:$I57="J")*5+($C57:$I57="CEP")*4+($C57:$I57="CP")*6+($C57:$I57="CRO")*6+($C57:$I57="M+")*6+($C57:$I57="T+")*6+($C57:$I57="D+")*12+($C57:$I57="N+")*12+($C57:$I57="Dm+")*12+($C57:$I57="Dt+")*12+($C57:$I57="Tm-")*6+($C57:$I57="Mt-")*6)</f>
        <v/>
      </c>
      <c r="AU57" s="118">
        <f>AT57-MAX(0,IFERROR(INDEX(CADASTRO!$I$4:$I$80,MATCH($A57,CADASTRO!$A$4:$A$80,0)),$B57)-CONFIG!$B$50*(COUNTIF($C57:$I57,"AB")+COUNTIF($C57:$I57,"FE")+COUNTIF($C57:$I57,"LM")))</f>
        <v/>
      </c>
      <c r="AV57" s="117">
        <f>SUMPRODUCT(($J57:$P57="M")*6+($J57:$P57="T")*6+($J57:$P57="D")*12+($J57:$P57="N")*12+($J57:$P57="NT")*6+($J57:$P57="C")*10+($J57:$P57="A")*8+($J57:$P57="J")*5+($J57:$P57="CEP")*4+($J57:$P57="CP")*6+($J57:$P57="CRO")*6+($J57:$P57="M+")*6+($J57:$P57="T+")*6+($J57:$P57="D+")*12+($J57:$P57="N+")*12+($J57:$P57="Dm+")*12+($J57:$P57="Dt+")*12+($J57:$P57="Tm-")*6+($J57:$P57="Mt-")*6)</f>
        <v/>
      </c>
      <c r="AW57" s="118">
        <f>AV57-MAX(0,IFERROR(INDEX(CADASTRO!$I$4:$I$80,MATCH($A57,CADASTRO!$A$4:$A$80,0)),$B57)-CONFIG!$B$50*(COUNTIF($J57:$P57,"AB")+COUNTIF($J57:$P57,"FE")+COUNTIF($J57:$P57,"LM")))</f>
        <v/>
      </c>
      <c r="AX57" s="117">
        <f>SUMPRODUCT(($Q57:$W57="M")*6+($Q57:$W57="T")*6+($Q57:$W57="D")*12+($Q57:$W57="N")*12+($Q57:$W57="NT")*6+($Q57:$W57="C")*10+($Q57:$W57="A")*8+($Q57:$W57="J")*5+($Q57:$W57="CEP")*4+($Q57:$W57="CP")*6+($Q57:$W57="CRO")*6+($Q57:$W57="M+")*6+($Q57:$W57="T+")*6+($Q57:$W57="D+")*12+($Q57:$W57="N+")*12+($Q57:$W57="Dm+")*12+($Q57:$W57="Dt+")*12+($Q57:$W57="Tm-")*6+($Q57:$W57="Mt-")*6)</f>
        <v/>
      </c>
      <c r="AY57" s="118">
        <f>AX57-MAX(0,IFERROR(INDEX(CADASTRO!$I$4:$I$80,MATCH($A57,CADASTRO!$A$4:$A$80,0)),$B57)-CONFIG!$B$50*(COUNTIF($Q57:$W57,"AB")+COUNTIF($Q57:$W57,"FE")+COUNTIF($Q57:$W57,"LM")))</f>
        <v/>
      </c>
      <c r="AZ57" s="117">
        <f>SUMPRODUCT(($X57:$AD57="M")*6+($X57:$AD57="T")*6+($X57:$AD57="D")*12+($X57:$AD57="N")*12+($X57:$AD57="NT")*6+($X57:$AD57="C")*10+($X57:$AD57="A")*8+($X57:$AD57="J")*5+($X57:$AD57="CEP")*4+($X57:$AD57="CP")*6+($X57:$AD57="CRO")*6+($X57:$AD57="M+")*6+($X57:$AD57="T+")*6+($X57:$AD57="D+")*12+($X57:$AD57="N+")*12+($X57:$AD57="Dm+")*12+($X57:$AD57="Dt+")*12+($X57:$AD57="Tm-")*6+($X57:$AD57="Mt-")*6)</f>
        <v/>
      </c>
      <c r="BA57" s="118">
        <f>AZ57-MAX(0,IFERROR(INDEX(CADASTRO!$I$4:$I$80,MATCH($A57,CADASTRO!$A$4:$A$80,0)),$B57)-CONFIG!$B$50*(COUNTIF($X57:$AD57,"AB")+COUNTIF($X57:$AD57,"FE")+COUNTIF($X57:$AD57,"LM")))</f>
        <v/>
      </c>
      <c r="BB57" s="117">
        <f>SUMPRODUCT(($AE57:$AK57="M")*6+($AE57:$AK57="T")*6+($AE57:$AK57="D")*12+($AE57:$AK57="N")*12+($AE57:$AK57="NT")*6+($AE57:$AK57="C")*10+($AE57:$AK57="A")*8+($AE57:$AK57="J")*5+($AE57:$AK57="CEP")*4+($AE57:$AK57="CP")*6+($AE57:$AK57="CRO")*6+($AE57:$AK57="M+")*6+($AE57:$AK57="T+")*6+($AE57:$AK57="D+")*12+($AE57:$AK57="N+")*12+($AE57:$AK57="Dm+")*12+($AE57:$AK57="Dt+")*12+($AE57:$AK57="Tm-")*6+($AE57:$AK57="Mt-")*6)</f>
        <v/>
      </c>
      <c r="BC57" s="118">
        <f>BB57-MAX(0,IFERROR(INDEX(CADASTRO!$I$4:$I$80,MATCH($A57,CADASTRO!$A$4:$A$80,0)),$B57)-CONFIG!$B$50*(COUNTIF($AE57:$AK57,"AB")+COUNTIF($AE57:$AK57,"FE")+COUNTIF($AE57:$AK57,"LM")))</f>
        <v/>
      </c>
      <c r="BD57" s="117">
        <f>SUMPRODUCT(($AL57:$AM57="M")*6+($AL57:$AM57="T")*6+($AL57:$AM57="D")*12+($AL57:$AM57="N")*12+($AL57:$AM57="NT")*6+($AL57:$AM57="C")*10+($AL57:$AM57="A")*8+($AL57:$AM57="J")*5+($AL57:$AM57="CEP")*4+($AL57:$AM57="CP")*6+($AL57:$AM57="CRO")*6+($AL57:$AM57="M+")*6+($AL57:$AM57="T+")*6+($AL57:$AM57="D+")*12+($AL57:$AM57="N+")*12+($AL57:$AM57="Dm+")*12+($AL57:$AM57="Dt+")*12+($AL57:$AM57="Tm-")*6+($AL57:$AM57="Mt-")*6)+SUMPRODUCT(($AN57:$AR57="M")*6+($AN57:$AR57="T")*6+($AN57:$AR57="D")*12+($AN57:$AR57="N")*12+($AN57:$AR57="NT")*6+($AN57:$AR57="C")*10+($AN57:$AR57="A")*8+($AN57:$AR57="J")*5+($AN57:$AR57="CEP")*4+($AN57:$AR57="CP")*6+($AN57:$AR57="CRO")*6+($AN57:$AR57="M+")*6+($AN57:$AR57="T+")*6+($AN57:$AR57="D+")*12+($AN57:$AR57="N+")*12+($AN57:$AR57="Dm+")*12+($AN57:$AR57="Dt+")*12+($AN57:$AR57="Tm-")*6+($AN57:$AR57="Mt-")*6)</f>
        <v/>
      </c>
      <c r="BE57" s="118">
        <f>BD57-MAX(0,IFERROR(INDEX(CADASTRO!$I$4:$I$80,MATCH($A57,CADASTRO!$A$4:$A$80,0)),$B57)-CONFIG!$B$50*(COUNTIF($AL57:$AM57,"AB")+COUNTIF($AL57:$AM57,"FE")+COUNTIF($AL57:$AM57,"LM")+COUNTIF($AN57:$AR57,"AB")+COUNTIF($AN57:$AR57,"FE")+COUNTIF($AN57:$AR57,"LM")))</f>
        <v/>
      </c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36">
        <f>IFERROR(INDEX(FEV!AE$8:AE$73,MATCH($A58,FEV!$A$8:$A$73,0))&amp;"","")</f>
        <v/>
      </c>
      <c r="D58" s="136">
        <f>IFERROR(INDEX(FEV!AF$8:AF$73,MATCH($A58,FEV!$A$8:$A$73,0))&amp;"","")</f>
        <v/>
      </c>
      <c r="E58" s="136">
        <f>IFERROR(INDEX(FEV!AG$8:AG$73,MATCH($A58,FEV!$A$8:$A$73,0))&amp;"","")</f>
        <v/>
      </c>
      <c r="F58" s="136">
        <f>IFERROR(INDEX(FEV!AH$8:AH$73,MATCH($A58,FEV!$A$8:$A$73,0))&amp;"","")</f>
        <v/>
      </c>
      <c r="G58" s="136">
        <f>IFERROR(INDEX(FEV!AI$8:AI$73,MATCH($A58,FEV!$A$8:$A$73,0))&amp;"","")</f>
        <v/>
      </c>
      <c r="H58" s="116">
        <f>IFERROR(INDEX(FEV!AJ$8:AJ$73,MATCH($A58,FEV!$A$8:$A$73,0))&amp;"","")</f>
        <v/>
      </c>
      <c r="I58" s="114" t="n"/>
      <c r="J58" s="114" t="n"/>
      <c r="K58" s="126" t="inlineStr">
        <is>
          <t>T</t>
        </is>
      </c>
      <c r="L58" s="126" t="inlineStr">
        <is>
          <t>T</t>
        </is>
      </c>
      <c r="M58" s="114" t="n"/>
      <c r="N58" s="125" t="inlineStr">
        <is>
          <t>N</t>
        </is>
      </c>
      <c r="O58" s="114" t="n"/>
      <c r="P58" s="114" t="n"/>
      <c r="Q58" s="114" t="n"/>
      <c r="R58" s="114" t="n"/>
      <c r="S58" s="125" t="inlineStr">
        <is>
          <t>N</t>
        </is>
      </c>
      <c r="T58" s="114" t="n"/>
      <c r="U58" s="114" t="n"/>
      <c r="V58" s="123" t="inlineStr">
        <is>
          <t>T+</t>
        </is>
      </c>
      <c r="W58" s="124" t="inlineStr">
        <is>
          <t>D</t>
        </is>
      </c>
      <c r="X58" s="126" t="inlineStr">
        <is>
          <t>T</t>
        </is>
      </c>
      <c r="Y58" s="114" t="n"/>
      <c r="Z58" s="125" t="inlineStr">
        <is>
          <t>N</t>
        </is>
      </c>
      <c r="AA58" s="114" t="n"/>
      <c r="AB58" s="126" t="inlineStr">
        <is>
          <t>T</t>
        </is>
      </c>
      <c r="AC58" s="114" t="n"/>
      <c r="AD58" s="114" t="n"/>
      <c r="AE58" s="114" t="n"/>
      <c r="AF58" s="114" t="n"/>
      <c r="AG58" s="125" t="inlineStr">
        <is>
          <t>N</t>
        </is>
      </c>
      <c r="AH58" s="114" t="n"/>
      <c r="AI58" s="114" t="n"/>
      <c r="AJ58" s="114" t="n"/>
      <c r="AK58" s="124" t="inlineStr">
        <is>
          <t>D</t>
        </is>
      </c>
      <c r="AL58" s="127" t="inlineStr">
        <is>
          <t>T-</t>
        </is>
      </c>
      <c r="AM58" s="114" t="n"/>
      <c r="AN58" s="136">
        <f>IFERROR(INDEX(ABR!I$8:I$73,MATCH($A58,ABR!$A$8:$A$73,0))&amp;"","")</f>
        <v/>
      </c>
      <c r="AO58" s="136">
        <f>IFERROR(INDEX(ABR!J$8:J$73,MATCH($A58,ABR!$A$8:$A$73,0))&amp;"","")</f>
        <v/>
      </c>
      <c r="AP58" s="136">
        <f>IFERROR(INDEX(ABR!K$8:K$73,MATCH($A58,ABR!$A$8:$A$73,0))&amp;"","")</f>
        <v/>
      </c>
      <c r="AQ58" s="116">
        <f>IFERROR(INDEX(ABR!L$8:L$73,MATCH($A58,ABR!$A$8:$A$73,0))&amp;"","")</f>
        <v/>
      </c>
      <c r="AR58" s="116">
        <f>IFERROR(INDEX(ABR!M$8:M$73,MATCH($A58,ABR!$A$8:$A$73,0))&amp;"","")</f>
        <v/>
      </c>
      <c r="AS58" s="100" t="n"/>
      <c r="AT58" s="117">
        <f>SUMPRODUCT(($C58:$I58="M")*6+($C58:$I58="T")*6+($C58:$I58="D")*12+($C58:$I58="N")*12+($C58:$I58="NT")*6+($C58:$I58="C")*10+($C58:$I58="A")*8+($C58:$I58="J")*5+($C58:$I58="CEP")*4+($C58:$I58="CP")*6+($C58:$I58="CRO")*6+($C58:$I58="M+")*6+($C58:$I58="T+")*6+($C58:$I58="D+")*12+($C58:$I58="N+")*12+($C58:$I58="Dm+")*12+($C58:$I58="Dt+")*12+($C58:$I58="Tm-")*6+($C58:$I58="Mt-")*6)</f>
        <v/>
      </c>
      <c r="AU58" s="118">
        <f>AT58-MAX(0,IFERROR(INDEX(CADASTRO!$I$4:$I$80,MATCH($A58,CADASTRO!$A$4:$A$80,0)),$B58)-CONFIG!$B$50*(COUNTIF($C58:$I58,"AB")+COUNTIF($C58:$I58,"FE")+COUNTIF($C58:$I58,"LM")))</f>
        <v/>
      </c>
      <c r="AV58" s="117">
        <f>SUMPRODUCT(($J58:$P58="M")*6+($J58:$P58="T")*6+($J58:$P58="D")*12+($J58:$P58="N")*12+($J58:$P58="NT")*6+($J58:$P58="C")*10+($J58:$P58="A")*8+($J58:$P58="J")*5+($J58:$P58="CEP")*4+($J58:$P58="CP")*6+($J58:$P58="CRO")*6+($J58:$P58="M+")*6+($J58:$P58="T+")*6+($J58:$P58="D+")*12+($J58:$P58="N+")*12+($J58:$P58="Dm+")*12+($J58:$P58="Dt+")*12+($J58:$P58="Tm-")*6+($J58:$P58="Mt-")*6)</f>
        <v/>
      </c>
      <c r="AW58" s="118">
        <f>AV58-MAX(0,IFERROR(INDEX(CADASTRO!$I$4:$I$80,MATCH($A58,CADASTRO!$A$4:$A$80,0)),$B58)-CONFIG!$B$50*(COUNTIF($J58:$P58,"AB")+COUNTIF($J58:$P58,"FE")+COUNTIF($J58:$P58,"LM")))</f>
        <v/>
      </c>
      <c r="AX58" s="117">
        <f>SUMPRODUCT(($Q58:$W58="M")*6+($Q58:$W58="T")*6+($Q58:$W58="D")*12+($Q58:$W58="N")*12+($Q58:$W58="NT")*6+($Q58:$W58="C")*10+($Q58:$W58="A")*8+($Q58:$W58="J")*5+($Q58:$W58="CEP")*4+($Q58:$W58="CP")*6+($Q58:$W58="CRO")*6+($Q58:$W58="M+")*6+($Q58:$W58="T+")*6+($Q58:$W58="D+")*12+($Q58:$W58="N+")*12+($Q58:$W58="Dm+")*12+($Q58:$W58="Dt+")*12+($Q58:$W58="Tm-")*6+($Q58:$W58="Mt-")*6)</f>
        <v/>
      </c>
      <c r="AY58" s="118">
        <f>AX58-MAX(0,IFERROR(INDEX(CADASTRO!$I$4:$I$80,MATCH($A58,CADASTRO!$A$4:$A$80,0)),$B58)-CONFIG!$B$50*(COUNTIF($Q58:$W58,"AB")+COUNTIF($Q58:$W58,"FE")+COUNTIF($Q58:$W58,"LM")))</f>
        <v/>
      </c>
      <c r="AZ58" s="117">
        <f>SUMPRODUCT(($X58:$AD58="M")*6+($X58:$AD58="T")*6+($X58:$AD58="D")*12+($X58:$AD58="N")*12+($X58:$AD58="NT")*6+($X58:$AD58="C")*10+($X58:$AD58="A")*8+($X58:$AD58="J")*5+($X58:$AD58="CEP")*4+($X58:$AD58="CP")*6+($X58:$AD58="CRO")*6+($X58:$AD58="M+")*6+($X58:$AD58="T+")*6+($X58:$AD58="D+")*12+($X58:$AD58="N+")*12+($X58:$AD58="Dm+")*12+($X58:$AD58="Dt+")*12+($X58:$AD58="Tm-")*6+($X58:$AD58="Mt-")*6)</f>
        <v/>
      </c>
      <c r="BA58" s="118">
        <f>AZ58-MAX(0,IFERROR(INDEX(CADASTRO!$I$4:$I$80,MATCH($A58,CADASTRO!$A$4:$A$80,0)),$B58)-CONFIG!$B$50*(COUNTIF($X58:$AD58,"AB")+COUNTIF($X58:$AD58,"FE")+COUNTIF($X58:$AD58,"LM")))</f>
        <v/>
      </c>
      <c r="BB58" s="117">
        <f>SUMPRODUCT(($AE58:$AK58="M")*6+($AE58:$AK58="T")*6+($AE58:$AK58="D")*12+($AE58:$AK58="N")*12+($AE58:$AK58="NT")*6+($AE58:$AK58="C")*10+($AE58:$AK58="A")*8+($AE58:$AK58="J")*5+($AE58:$AK58="CEP")*4+($AE58:$AK58="CP")*6+($AE58:$AK58="CRO")*6+($AE58:$AK58="M+")*6+($AE58:$AK58="T+")*6+($AE58:$AK58="D+")*12+($AE58:$AK58="N+")*12+($AE58:$AK58="Dm+")*12+($AE58:$AK58="Dt+")*12+($AE58:$AK58="Tm-")*6+($AE58:$AK58="Mt-")*6)</f>
        <v/>
      </c>
      <c r="BC58" s="118">
        <f>BB58-MAX(0,IFERROR(INDEX(CADASTRO!$I$4:$I$80,MATCH($A58,CADASTRO!$A$4:$A$80,0)),$B58)-CONFIG!$B$50*(COUNTIF($AE58:$AK58,"AB")+COUNTIF($AE58:$AK58,"FE")+COUNTIF($AE58:$AK58,"LM")))</f>
        <v/>
      </c>
      <c r="BD58" s="117">
        <f>SUMPRODUCT(($AL58:$AM58="M")*6+($AL58:$AM58="T")*6+($AL58:$AM58="D")*12+($AL58:$AM58="N")*12+($AL58:$AM58="NT")*6+($AL58:$AM58="C")*10+($AL58:$AM58="A")*8+($AL58:$AM58="J")*5+($AL58:$AM58="CEP")*4+($AL58:$AM58="CP")*6+($AL58:$AM58="CRO")*6+($AL58:$AM58="M+")*6+($AL58:$AM58="T+")*6+($AL58:$AM58="D+")*12+($AL58:$AM58="N+")*12+($AL58:$AM58="Dm+")*12+($AL58:$AM58="Dt+")*12+($AL58:$AM58="Tm-")*6+($AL58:$AM58="Mt-")*6)+SUMPRODUCT(($AN58:$AR58="M")*6+($AN58:$AR58="T")*6+($AN58:$AR58="D")*12+($AN58:$AR58="N")*12+($AN58:$AR58="NT")*6+($AN58:$AR58="C")*10+($AN58:$AR58="A")*8+($AN58:$AR58="J")*5+($AN58:$AR58="CEP")*4+($AN58:$AR58="CP")*6+($AN58:$AR58="CRO")*6+($AN58:$AR58="M+")*6+($AN58:$AR58="T+")*6+($AN58:$AR58="D+")*12+($AN58:$AR58="N+")*12+($AN58:$AR58="Dm+")*12+($AN58:$AR58="Dt+")*12+($AN58:$AR58="Tm-")*6+($AN58:$AR58="Mt-")*6)</f>
        <v/>
      </c>
      <c r="BE58" s="118">
        <f>BD58-MAX(0,IFERROR(INDEX(CADASTRO!$I$4:$I$80,MATCH($A58,CADASTRO!$A$4:$A$80,0)),$B58)-CONFIG!$B$50*(COUNTIF($AL58:$AM58,"AB")+COUNTIF($AL58:$AM58,"FE")+COUNTIF($AL58:$AM58,"LM")+COUNTIF($AN58:$AR58,"AB")+COUNTIF($AN58:$AR58,"FE")+COUNTIF($AN58:$AR58,"LM")))</f>
        <v/>
      </c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36">
        <f>IFERROR(INDEX(FEV!AE$8:AE$73,MATCH($A59,FEV!$A$8:$A$73,0))&amp;"","")</f>
        <v/>
      </c>
      <c r="D59" s="136">
        <f>IFERROR(INDEX(FEV!AF$8:AF$73,MATCH($A59,FEV!$A$8:$A$73,0))&amp;"","")</f>
        <v/>
      </c>
      <c r="E59" s="136">
        <f>IFERROR(INDEX(FEV!AG$8:AG$73,MATCH($A59,FEV!$A$8:$A$73,0))&amp;"","")</f>
        <v/>
      </c>
      <c r="F59" s="136">
        <f>IFERROR(INDEX(FEV!AH$8:AH$73,MATCH($A59,FEV!$A$8:$A$73,0))&amp;"","")</f>
        <v/>
      </c>
      <c r="G59" s="136">
        <f>IFERROR(INDEX(FEV!AI$8:AI$73,MATCH($A59,FEV!$A$8:$A$73,0))&amp;"","")</f>
        <v/>
      </c>
      <c r="H59" s="116">
        <f>IFERROR(INDEX(FEV!AJ$8:AJ$73,MATCH($A59,FEV!$A$8:$A$73,0))&amp;"","")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14" t="n"/>
      <c r="AN59" s="136">
        <f>IFERROR(INDEX(ABR!I$8:I$73,MATCH($A59,ABR!$A$8:$A$73,0))&amp;"","")</f>
        <v/>
      </c>
      <c r="AO59" s="136">
        <f>IFERROR(INDEX(ABR!J$8:J$73,MATCH($A59,ABR!$A$8:$A$73,0))&amp;"","")</f>
        <v/>
      </c>
      <c r="AP59" s="136">
        <f>IFERROR(INDEX(ABR!K$8:K$73,MATCH($A59,ABR!$A$8:$A$73,0))&amp;"","")</f>
        <v/>
      </c>
      <c r="AQ59" s="116">
        <f>IFERROR(INDEX(ABR!L$8:L$73,MATCH($A59,ABR!$A$8:$A$73,0))&amp;"","")</f>
        <v/>
      </c>
      <c r="AR59" s="116">
        <f>IFERROR(INDEX(ABR!M$8:M$73,MATCH($A59,ABR!$A$8:$A$73,0))&amp;"","")</f>
        <v/>
      </c>
      <c r="AS59" s="100" t="n"/>
      <c r="AT59" s="117">
        <f>SUMPRODUCT(($C59:$I59="M")*6+($C59:$I59="T")*6+($C59:$I59="D")*12+($C59:$I59="N")*12+($C59:$I59="NT")*6+($C59:$I59="C")*10+($C59:$I59="A")*8+($C59:$I59="J")*5+($C59:$I59="CEP")*4+($C59:$I59="CP")*6+($C59:$I59="CRO")*6+($C59:$I59="M+")*6+($C59:$I59="T+")*6+($C59:$I59="D+")*12+($C59:$I59="N+")*12+($C59:$I59="Dm+")*12+($C59:$I59="Dt+")*12+($C59:$I59="Tm-")*6+($C59:$I59="Mt-")*6)</f>
        <v/>
      </c>
      <c r="AU59" s="118">
        <f>AT59-MAX(0,IFERROR(INDEX(CADASTRO!$I$4:$I$80,MATCH($A59,CADASTRO!$A$4:$A$80,0)),$B59)-CONFIG!$B$50*(COUNTIF($C59:$I59,"AB")+COUNTIF($C59:$I59,"FE")+COUNTIF($C59:$I59,"LM")))</f>
        <v/>
      </c>
      <c r="AV59" s="117">
        <f>SUMPRODUCT(($J59:$P59="M")*6+($J59:$P59="T")*6+($J59:$P59="D")*12+($J59:$P59="N")*12+($J59:$P59="NT")*6+($J59:$P59="C")*10+($J59:$P59="A")*8+($J59:$P59="J")*5+($J59:$P59="CEP")*4+($J59:$P59="CP")*6+($J59:$P59="CRO")*6+($J59:$P59="M+")*6+($J59:$P59="T+")*6+($J59:$P59="D+")*12+($J59:$P59="N+")*12+($J59:$P59="Dm+")*12+($J59:$P59="Dt+")*12+($J59:$P59="Tm-")*6+($J59:$P59="Mt-")*6)</f>
        <v/>
      </c>
      <c r="AW59" s="118">
        <f>AV59-MAX(0,IFERROR(INDEX(CADASTRO!$I$4:$I$80,MATCH($A59,CADASTRO!$A$4:$A$80,0)),$B59)-CONFIG!$B$50*(COUNTIF($J59:$P59,"AB")+COUNTIF($J59:$P59,"FE")+COUNTIF($J59:$P59,"LM")))</f>
        <v/>
      </c>
      <c r="AX59" s="117">
        <f>SUMPRODUCT(($Q59:$W59="M")*6+($Q59:$W59="T")*6+($Q59:$W59="D")*12+($Q59:$W59="N")*12+($Q59:$W59="NT")*6+($Q59:$W59="C")*10+($Q59:$W59="A")*8+($Q59:$W59="J")*5+($Q59:$W59="CEP")*4+($Q59:$W59="CP")*6+($Q59:$W59="CRO")*6+($Q59:$W59="M+")*6+($Q59:$W59="T+")*6+($Q59:$W59="D+")*12+($Q59:$W59="N+")*12+($Q59:$W59="Dm+")*12+($Q59:$W59="Dt+")*12+($Q59:$W59="Tm-")*6+($Q59:$W59="Mt-")*6)</f>
        <v/>
      </c>
      <c r="AY59" s="118">
        <f>AX59-MAX(0,IFERROR(INDEX(CADASTRO!$I$4:$I$80,MATCH($A59,CADASTRO!$A$4:$A$80,0)),$B59)-CONFIG!$B$50*(COUNTIF($Q59:$W59,"AB")+COUNTIF($Q59:$W59,"FE")+COUNTIF($Q59:$W59,"LM")))</f>
        <v/>
      </c>
      <c r="AZ59" s="117">
        <f>SUMPRODUCT(($X59:$AD59="M")*6+($X59:$AD59="T")*6+($X59:$AD59="D")*12+($X59:$AD59="N")*12+($X59:$AD59="NT")*6+($X59:$AD59="C")*10+($X59:$AD59="A")*8+($X59:$AD59="J")*5+($X59:$AD59="CEP")*4+($X59:$AD59="CP")*6+($X59:$AD59="CRO")*6+($X59:$AD59="M+")*6+($X59:$AD59="T+")*6+($X59:$AD59="D+")*12+($X59:$AD59="N+")*12+($X59:$AD59="Dm+")*12+($X59:$AD59="Dt+")*12+($X59:$AD59="Tm-")*6+($X59:$AD59="Mt-")*6)</f>
        <v/>
      </c>
      <c r="BA59" s="118">
        <f>AZ59-MAX(0,IFERROR(INDEX(CADASTRO!$I$4:$I$80,MATCH($A59,CADASTRO!$A$4:$A$80,0)),$B59)-CONFIG!$B$50*(COUNTIF($X59:$AD59,"AB")+COUNTIF($X59:$AD59,"FE")+COUNTIF($X59:$AD59,"LM")))</f>
        <v/>
      </c>
      <c r="BB59" s="117">
        <f>SUMPRODUCT(($AE59:$AK59="M")*6+($AE59:$AK59="T")*6+($AE59:$AK59="D")*12+($AE59:$AK59="N")*12+($AE59:$AK59="NT")*6+($AE59:$AK59="C")*10+($AE59:$AK59="A")*8+($AE59:$AK59="J")*5+($AE59:$AK59="CEP")*4+($AE59:$AK59="CP")*6+($AE59:$AK59="CRO")*6+($AE59:$AK59="M+")*6+($AE59:$AK59="T+")*6+($AE59:$AK59="D+")*12+($AE59:$AK59="N+")*12+($AE59:$AK59="Dm+")*12+($AE59:$AK59="Dt+")*12+($AE59:$AK59="Tm-")*6+($AE59:$AK59="Mt-")*6)</f>
        <v/>
      </c>
      <c r="BC59" s="118">
        <f>BB59-MAX(0,IFERROR(INDEX(CADASTRO!$I$4:$I$80,MATCH($A59,CADASTRO!$A$4:$A$80,0)),$B59)-CONFIG!$B$50*(COUNTIF($AE59:$AK59,"AB")+COUNTIF($AE59:$AK59,"FE")+COUNTIF($AE59:$AK59,"LM")))</f>
        <v/>
      </c>
      <c r="BD59" s="117">
        <f>SUMPRODUCT(($AL59:$AM59="M")*6+($AL59:$AM59="T")*6+($AL59:$AM59="D")*12+($AL59:$AM59="N")*12+($AL59:$AM59="NT")*6+($AL59:$AM59="C")*10+($AL59:$AM59="A")*8+($AL59:$AM59="J")*5+($AL59:$AM59="CEP")*4+($AL59:$AM59="CP")*6+($AL59:$AM59="CRO")*6+($AL59:$AM59="M+")*6+($AL59:$AM59="T+")*6+($AL59:$AM59="D+")*12+($AL59:$AM59="N+")*12+($AL59:$AM59="Dm+")*12+($AL59:$AM59="Dt+")*12+($AL59:$AM59="Tm-")*6+($AL59:$AM59="Mt-")*6)+SUMPRODUCT(($AN59:$AR59="M")*6+($AN59:$AR59="T")*6+($AN59:$AR59="D")*12+($AN59:$AR59="N")*12+($AN59:$AR59="NT")*6+($AN59:$AR59="C")*10+($AN59:$AR59="A")*8+($AN59:$AR59="J")*5+($AN59:$AR59="CEP")*4+($AN59:$AR59="CP")*6+($AN59:$AR59="CRO")*6+($AN59:$AR59="M+")*6+($AN59:$AR59="T+")*6+($AN59:$AR59="D+")*12+($AN59:$AR59="N+")*12+($AN59:$AR59="Dm+")*12+($AN59:$AR59="Dt+")*12+($AN59:$AR59="Tm-")*6+($AN59:$AR59="Mt-")*6)</f>
        <v/>
      </c>
      <c r="BE59" s="118">
        <f>BD59-MAX(0,IFERROR(INDEX(CADASTRO!$I$4:$I$80,MATCH($A59,CADASTRO!$A$4:$A$80,0)),$B59)-CONFIG!$B$50*(COUNTIF($AL59:$AM59,"AB")+COUNTIF($AL59:$AM59,"FE")+COUNTIF($AL59:$AM59,"LM")+COUNTIF($AN59:$AR59,"AB")+COUNTIF($AN59:$AR59,"FE")+COUNTIF($AN59:$AR59,"LM")))</f>
        <v/>
      </c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36">
        <f>IFERROR(INDEX(FEV!AE$8:AE$73,MATCH($A60,FEV!$A$8:$A$73,0))&amp;"","")</f>
        <v/>
      </c>
      <c r="D60" s="136">
        <f>IFERROR(INDEX(FEV!AF$8:AF$73,MATCH($A60,FEV!$A$8:$A$73,0))&amp;"","")</f>
        <v/>
      </c>
      <c r="E60" s="136">
        <f>IFERROR(INDEX(FEV!AG$8:AG$73,MATCH($A60,FEV!$A$8:$A$73,0))&amp;"","")</f>
        <v/>
      </c>
      <c r="F60" s="136">
        <f>IFERROR(INDEX(FEV!AH$8:AH$73,MATCH($A60,FEV!$A$8:$A$73,0))&amp;"","")</f>
        <v/>
      </c>
      <c r="G60" s="136">
        <f>IFERROR(INDEX(FEV!AI$8:AI$73,MATCH($A60,FEV!$A$8:$A$73,0))&amp;"","")</f>
        <v/>
      </c>
      <c r="H60" s="116">
        <f>IFERROR(INDEX(FEV!AJ$8:AJ$73,MATCH($A60,FEV!$A$8:$A$73,0))&amp;"","")</f>
        <v/>
      </c>
      <c r="I60" s="125" t="inlineStr">
        <is>
          <t>N</t>
        </is>
      </c>
      <c r="J60" s="114" t="n"/>
      <c r="K60" s="114" t="n"/>
      <c r="L60" s="126" t="inlineStr">
        <is>
          <t>T</t>
        </is>
      </c>
      <c r="M60" s="114" t="n"/>
      <c r="N60" s="126" t="inlineStr">
        <is>
          <t>T</t>
        </is>
      </c>
      <c r="O60" s="114" t="n"/>
      <c r="P60" s="125" t="inlineStr">
        <is>
          <t>N</t>
        </is>
      </c>
      <c r="Q60" s="114" t="n"/>
      <c r="R60" s="114" t="n"/>
      <c r="S60" s="114" t="n"/>
      <c r="T60" s="114" t="n"/>
      <c r="U60" s="125" t="inlineStr">
        <is>
          <t>N</t>
        </is>
      </c>
      <c r="V60" s="114" t="n"/>
      <c r="W60" s="124" t="inlineStr">
        <is>
          <t>D</t>
        </is>
      </c>
      <c r="X60" s="114" t="n"/>
      <c r="Y60" s="114" t="n"/>
      <c r="Z60" s="114" t="n"/>
      <c r="AA60" s="114" t="n"/>
      <c r="AB60" s="125" t="inlineStr">
        <is>
          <t>N</t>
        </is>
      </c>
      <c r="AC60" s="114" t="n"/>
      <c r="AD60" s="124" t="inlineStr">
        <is>
          <t>D</t>
        </is>
      </c>
      <c r="AE60" s="114" t="n"/>
      <c r="AF60" s="126" t="inlineStr">
        <is>
          <t>T</t>
        </is>
      </c>
      <c r="AG60" s="114" t="n"/>
      <c r="AH60" s="126" t="inlineStr">
        <is>
          <t>T</t>
        </is>
      </c>
      <c r="AI60" s="114" t="n"/>
      <c r="AJ60" s="114" t="n"/>
      <c r="AK60" s="124" t="inlineStr">
        <is>
          <t>D</t>
        </is>
      </c>
      <c r="AL60" s="114" t="n"/>
      <c r="AM60" s="115" t="inlineStr">
        <is>
          <t>M</t>
        </is>
      </c>
      <c r="AN60" s="136">
        <f>IFERROR(INDEX(ABR!I$8:I$73,MATCH($A60,ABR!$A$8:$A$73,0))&amp;"","")</f>
        <v/>
      </c>
      <c r="AO60" s="136">
        <f>IFERROR(INDEX(ABR!J$8:J$73,MATCH($A60,ABR!$A$8:$A$73,0))&amp;"","")</f>
        <v/>
      </c>
      <c r="AP60" s="136">
        <f>IFERROR(INDEX(ABR!K$8:K$73,MATCH($A60,ABR!$A$8:$A$73,0))&amp;"","")</f>
        <v/>
      </c>
      <c r="AQ60" s="116">
        <f>IFERROR(INDEX(ABR!L$8:L$73,MATCH($A60,ABR!$A$8:$A$73,0))&amp;"","")</f>
        <v/>
      </c>
      <c r="AR60" s="116">
        <f>IFERROR(INDEX(ABR!M$8:M$73,MATCH($A60,ABR!$A$8:$A$73,0))&amp;"","")</f>
        <v/>
      </c>
      <c r="AS60" s="100" t="n"/>
      <c r="AT60" s="117">
        <f>SUMPRODUCT(($C60:$I60="M")*6+($C60:$I60="T")*6+($C60:$I60="D")*12+($C60:$I60="N")*12+($C60:$I60="NT")*6+($C60:$I60="C")*10+($C60:$I60="A")*8+($C60:$I60="J")*5+($C60:$I60="CEP")*4+($C60:$I60="CP")*6+($C60:$I60="CRO")*6+($C60:$I60="M+")*6+($C60:$I60="T+")*6+($C60:$I60="D+")*12+($C60:$I60="N+")*12+($C60:$I60="Dm+")*12+($C60:$I60="Dt+")*12+($C60:$I60="Tm-")*6+($C60:$I60="Mt-")*6)</f>
        <v/>
      </c>
      <c r="AU60" s="118">
        <f>AT60-MAX(0,IFERROR(INDEX(CADASTRO!$I$4:$I$80,MATCH($A60,CADASTRO!$A$4:$A$80,0)),$B60)-CONFIG!$B$50*(COUNTIF($C60:$I60,"AB")+COUNTIF($C60:$I60,"FE")+COUNTIF($C60:$I60,"LM")))</f>
        <v/>
      </c>
      <c r="AV60" s="117">
        <f>SUMPRODUCT(($J60:$P60="M")*6+($J60:$P60="T")*6+($J60:$P60="D")*12+($J60:$P60="N")*12+($J60:$P60="NT")*6+($J60:$P60="C")*10+($J60:$P60="A")*8+($J60:$P60="J")*5+($J60:$P60="CEP")*4+($J60:$P60="CP")*6+($J60:$P60="CRO")*6+($J60:$P60="M+")*6+($J60:$P60="T+")*6+($J60:$P60="D+")*12+($J60:$P60="N+")*12+($J60:$P60="Dm+")*12+($J60:$P60="Dt+")*12+($J60:$P60="Tm-")*6+($J60:$P60="Mt-")*6)</f>
        <v/>
      </c>
      <c r="AW60" s="118">
        <f>AV60-MAX(0,IFERROR(INDEX(CADASTRO!$I$4:$I$80,MATCH($A60,CADASTRO!$A$4:$A$80,0)),$B60)-CONFIG!$B$50*(COUNTIF($J60:$P60,"AB")+COUNTIF($J60:$P60,"FE")+COUNTIF($J60:$P60,"LM")))</f>
        <v/>
      </c>
      <c r="AX60" s="117">
        <f>SUMPRODUCT(($Q60:$W60="M")*6+($Q60:$W60="T")*6+($Q60:$W60="D")*12+($Q60:$W60="N")*12+($Q60:$W60="NT")*6+($Q60:$W60="C")*10+($Q60:$W60="A")*8+($Q60:$W60="J")*5+($Q60:$W60="CEP")*4+($Q60:$W60="CP")*6+($Q60:$W60="CRO")*6+($Q60:$W60="M+")*6+($Q60:$W60="T+")*6+($Q60:$W60="D+")*12+($Q60:$W60="N+")*12+($Q60:$W60="Dm+")*12+($Q60:$W60="Dt+")*12+($Q60:$W60="Tm-")*6+($Q60:$W60="Mt-")*6)</f>
        <v/>
      </c>
      <c r="AY60" s="118">
        <f>AX60-MAX(0,IFERROR(INDEX(CADASTRO!$I$4:$I$80,MATCH($A60,CADASTRO!$A$4:$A$80,0)),$B60)-CONFIG!$B$50*(COUNTIF($Q60:$W60,"AB")+COUNTIF($Q60:$W60,"FE")+COUNTIF($Q60:$W60,"LM")))</f>
        <v/>
      </c>
      <c r="AZ60" s="117">
        <f>SUMPRODUCT(($X60:$AD60="M")*6+($X60:$AD60="T")*6+($X60:$AD60="D")*12+($X60:$AD60="N")*12+($X60:$AD60="NT")*6+($X60:$AD60="C")*10+($X60:$AD60="A")*8+($X60:$AD60="J")*5+($X60:$AD60="CEP")*4+($X60:$AD60="CP")*6+($X60:$AD60="CRO")*6+($X60:$AD60="M+")*6+($X60:$AD60="T+")*6+($X60:$AD60="D+")*12+($X60:$AD60="N+")*12+($X60:$AD60="Dm+")*12+($X60:$AD60="Dt+")*12+($X60:$AD60="Tm-")*6+($X60:$AD60="Mt-")*6)</f>
        <v/>
      </c>
      <c r="BA60" s="118">
        <f>AZ60-MAX(0,IFERROR(INDEX(CADASTRO!$I$4:$I$80,MATCH($A60,CADASTRO!$A$4:$A$80,0)),$B60)-CONFIG!$B$50*(COUNTIF($X60:$AD60,"AB")+COUNTIF($X60:$AD60,"FE")+COUNTIF($X60:$AD60,"LM")))</f>
        <v/>
      </c>
      <c r="BB60" s="117">
        <f>SUMPRODUCT(($AE60:$AK60="M")*6+($AE60:$AK60="T")*6+($AE60:$AK60="D")*12+($AE60:$AK60="N")*12+($AE60:$AK60="NT")*6+($AE60:$AK60="C")*10+($AE60:$AK60="A")*8+($AE60:$AK60="J")*5+($AE60:$AK60="CEP")*4+($AE60:$AK60="CP")*6+($AE60:$AK60="CRO")*6+($AE60:$AK60="M+")*6+($AE60:$AK60="T+")*6+($AE60:$AK60="D+")*12+($AE60:$AK60="N+")*12+($AE60:$AK60="Dm+")*12+($AE60:$AK60="Dt+")*12+($AE60:$AK60="Tm-")*6+($AE60:$AK60="Mt-")*6)</f>
        <v/>
      </c>
      <c r="BC60" s="118">
        <f>BB60-MAX(0,IFERROR(INDEX(CADASTRO!$I$4:$I$80,MATCH($A60,CADASTRO!$A$4:$A$80,0)),$B60)-CONFIG!$B$50*(COUNTIF($AE60:$AK60,"AB")+COUNTIF($AE60:$AK60,"FE")+COUNTIF($AE60:$AK60,"LM")))</f>
        <v/>
      </c>
      <c r="BD60" s="117">
        <f>SUMPRODUCT(($AL60:$AM60="M")*6+($AL60:$AM60="T")*6+($AL60:$AM60="D")*12+($AL60:$AM60="N")*12+($AL60:$AM60="NT")*6+($AL60:$AM60="C")*10+($AL60:$AM60="A")*8+($AL60:$AM60="J")*5+($AL60:$AM60="CEP")*4+($AL60:$AM60="CP")*6+($AL60:$AM60="CRO")*6+($AL60:$AM60="M+")*6+($AL60:$AM60="T+")*6+($AL60:$AM60="D+")*12+($AL60:$AM60="N+")*12+($AL60:$AM60="Dm+")*12+($AL60:$AM60="Dt+")*12+($AL60:$AM60="Tm-")*6+($AL60:$AM60="Mt-")*6)+SUMPRODUCT(($AN60:$AR60="M")*6+($AN60:$AR60="T")*6+($AN60:$AR60="D")*12+($AN60:$AR60="N")*12+($AN60:$AR60="NT")*6+($AN60:$AR60="C")*10+($AN60:$AR60="A")*8+($AN60:$AR60="J")*5+($AN60:$AR60="CEP")*4+($AN60:$AR60="CP")*6+($AN60:$AR60="CRO")*6+($AN60:$AR60="M+")*6+($AN60:$AR60="T+")*6+($AN60:$AR60="D+")*12+($AN60:$AR60="N+")*12+($AN60:$AR60="Dm+")*12+($AN60:$AR60="Dt+")*12+($AN60:$AR60="Tm-")*6+($AN60:$AR60="Mt-")*6)</f>
        <v/>
      </c>
      <c r="BE60" s="118">
        <f>BD60-MAX(0,IFERROR(INDEX(CADASTRO!$I$4:$I$80,MATCH($A60,CADASTRO!$A$4:$A$80,0)),$B60)-CONFIG!$B$50*(COUNTIF($AL60:$AM60,"AB")+COUNTIF($AL60:$AM60,"FE")+COUNTIF($AL60:$AM60,"LM")+COUNTIF($AN60:$AR60,"AB")+COUNTIF($AN60:$AR60,"FE")+COUNTIF($AN60:$AR60,"LM")))</f>
        <v/>
      </c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36">
        <f>IFERROR(INDEX(FEV!AE$8:AE$73,MATCH($A61,FEV!$A$8:$A$73,0))&amp;"","")</f>
        <v/>
      </c>
      <c r="D61" s="136">
        <f>IFERROR(INDEX(FEV!AF$8:AF$73,MATCH($A61,FEV!$A$8:$A$73,0))&amp;"","")</f>
        <v/>
      </c>
      <c r="E61" s="136">
        <f>IFERROR(INDEX(FEV!AG$8:AG$73,MATCH($A61,FEV!$A$8:$A$73,0))&amp;"","")</f>
        <v/>
      </c>
      <c r="F61" s="136">
        <f>IFERROR(INDEX(FEV!AH$8:AH$73,MATCH($A61,FEV!$A$8:$A$73,0))&amp;"","")</f>
        <v/>
      </c>
      <c r="G61" s="136">
        <f>IFERROR(INDEX(FEV!AI$8:AI$73,MATCH($A61,FEV!$A$8:$A$73,0))&amp;"","")</f>
        <v/>
      </c>
      <c r="H61" s="116">
        <f>IFERROR(INDEX(FEV!AJ$8:AJ$73,MATCH($A61,FEV!$A$8:$A$73,0))&amp;"","")</f>
        <v/>
      </c>
      <c r="I61" s="115" t="inlineStr">
        <is>
          <t>M</t>
        </is>
      </c>
      <c r="J61" s="124" t="inlineStr">
        <is>
          <t>D</t>
        </is>
      </c>
      <c r="K61" s="114" t="n"/>
      <c r="L61" s="114" t="n"/>
      <c r="M61" s="114" t="n"/>
      <c r="N61" s="125" t="inlineStr">
        <is>
          <t>N</t>
        </is>
      </c>
      <c r="O61" s="114" t="n"/>
      <c r="P61" s="114" t="n"/>
      <c r="Q61" s="124" t="inlineStr">
        <is>
          <t>D</t>
        </is>
      </c>
      <c r="R61" s="126" t="inlineStr">
        <is>
          <t>T</t>
        </is>
      </c>
      <c r="S61" s="114" t="n"/>
      <c r="T61" s="114" t="n"/>
      <c r="U61" s="126" t="inlineStr">
        <is>
          <t>T</t>
        </is>
      </c>
      <c r="V61" s="114" t="n"/>
      <c r="W61" s="114" t="n"/>
      <c r="X61" s="124" t="inlineStr">
        <is>
          <t>D</t>
        </is>
      </c>
      <c r="Y61" s="114" t="n"/>
      <c r="Z61" s="114" t="n"/>
      <c r="AA61" s="114" t="n"/>
      <c r="AB61" s="114" t="n"/>
      <c r="AC61" s="124" t="inlineStr">
        <is>
          <t>D</t>
        </is>
      </c>
      <c r="AD61" s="114" t="n"/>
      <c r="AE61" s="124" t="inlineStr">
        <is>
          <t>D</t>
        </is>
      </c>
      <c r="AF61" s="114" t="n"/>
      <c r="AG61" s="114" t="n"/>
      <c r="AH61" s="114" t="n"/>
      <c r="AI61" s="114" t="n"/>
      <c r="AJ61" s="124" t="inlineStr">
        <is>
          <t>D</t>
        </is>
      </c>
      <c r="AK61" s="114" t="n"/>
      <c r="AL61" s="114" t="n"/>
      <c r="AM61" s="114" t="n"/>
      <c r="AN61" s="136">
        <f>IFERROR(INDEX(ABR!I$8:I$73,MATCH($A61,ABR!$A$8:$A$73,0))&amp;"","")</f>
        <v/>
      </c>
      <c r="AO61" s="136">
        <f>IFERROR(INDEX(ABR!J$8:J$73,MATCH($A61,ABR!$A$8:$A$73,0))&amp;"","")</f>
        <v/>
      </c>
      <c r="AP61" s="136">
        <f>IFERROR(INDEX(ABR!K$8:K$73,MATCH($A61,ABR!$A$8:$A$73,0))&amp;"","")</f>
        <v/>
      </c>
      <c r="AQ61" s="116">
        <f>IFERROR(INDEX(ABR!L$8:L$73,MATCH($A61,ABR!$A$8:$A$73,0))&amp;"","")</f>
        <v/>
      </c>
      <c r="AR61" s="116">
        <f>IFERROR(INDEX(ABR!M$8:M$73,MATCH($A61,ABR!$A$8:$A$73,0))&amp;"","")</f>
        <v/>
      </c>
      <c r="AS61" s="100" t="n"/>
      <c r="AT61" s="117">
        <f>SUMPRODUCT(($C61:$I61="M")*6+($C61:$I61="T")*6+($C61:$I61="D")*12+($C61:$I61="N")*12+($C61:$I61="NT")*6+($C61:$I61="C")*10+($C61:$I61="A")*8+($C61:$I61="J")*5+($C61:$I61="CEP")*4+($C61:$I61="CP")*6+($C61:$I61="CRO")*6+($C61:$I61="M+")*6+($C61:$I61="T+")*6+($C61:$I61="D+")*12+($C61:$I61="N+")*12+($C61:$I61="Dm+")*12+($C61:$I61="Dt+")*12+($C61:$I61="Tm-")*6+($C61:$I61="Mt-")*6)</f>
        <v/>
      </c>
      <c r="AU61" s="118">
        <f>AT61-MAX(0,IFERROR(INDEX(CADASTRO!$I$4:$I$80,MATCH($A61,CADASTRO!$A$4:$A$80,0)),$B61)-CONFIG!$B$50*(COUNTIF($C61:$I61,"AB")+COUNTIF($C61:$I61,"FE")+COUNTIF($C61:$I61,"LM")))</f>
        <v/>
      </c>
      <c r="AV61" s="117">
        <f>SUMPRODUCT(($J61:$P61="M")*6+($J61:$P61="T")*6+($J61:$P61="D")*12+($J61:$P61="N")*12+($J61:$P61="NT")*6+($J61:$P61="C")*10+($J61:$P61="A")*8+($J61:$P61="J")*5+($J61:$P61="CEP")*4+($J61:$P61="CP")*6+($J61:$P61="CRO")*6+($J61:$P61="M+")*6+($J61:$P61="T+")*6+($J61:$P61="D+")*12+($J61:$P61="N+")*12+($J61:$P61="Dm+")*12+($J61:$P61="Dt+")*12+($J61:$P61="Tm-")*6+($J61:$P61="Mt-")*6)</f>
        <v/>
      </c>
      <c r="AW61" s="118">
        <f>AV61-MAX(0,IFERROR(INDEX(CADASTRO!$I$4:$I$80,MATCH($A61,CADASTRO!$A$4:$A$80,0)),$B61)-CONFIG!$B$50*(COUNTIF($J61:$P61,"AB")+COUNTIF($J61:$P61,"FE")+COUNTIF($J61:$P61,"LM")))</f>
        <v/>
      </c>
      <c r="AX61" s="117">
        <f>SUMPRODUCT(($Q61:$W61="M")*6+($Q61:$W61="T")*6+($Q61:$W61="D")*12+($Q61:$W61="N")*12+($Q61:$W61="NT")*6+($Q61:$W61="C")*10+($Q61:$W61="A")*8+($Q61:$W61="J")*5+($Q61:$W61="CEP")*4+($Q61:$W61="CP")*6+($Q61:$W61="CRO")*6+($Q61:$W61="M+")*6+($Q61:$W61="T+")*6+($Q61:$W61="D+")*12+($Q61:$W61="N+")*12+($Q61:$W61="Dm+")*12+($Q61:$W61="Dt+")*12+($Q61:$W61="Tm-")*6+($Q61:$W61="Mt-")*6)</f>
        <v/>
      </c>
      <c r="AY61" s="118">
        <f>AX61-MAX(0,IFERROR(INDEX(CADASTRO!$I$4:$I$80,MATCH($A61,CADASTRO!$A$4:$A$80,0)),$B61)-CONFIG!$B$50*(COUNTIF($Q61:$W61,"AB")+COUNTIF($Q61:$W61,"FE")+COUNTIF($Q61:$W61,"LM")))</f>
        <v/>
      </c>
      <c r="AZ61" s="117">
        <f>SUMPRODUCT(($X61:$AD61="M")*6+($X61:$AD61="T")*6+($X61:$AD61="D")*12+($X61:$AD61="N")*12+($X61:$AD61="NT")*6+($X61:$AD61="C")*10+($X61:$AD61="A")*8+($X61:$AD61="J")*5+($X61:$AD61="CEP")*4+($X61:$AD61="CP")*6+($X61:$AD61="CRO")*6+($X61:$AD61="M+")*6+($X61:$AD61="T+")*6+($X61:$AD61="D+")*12+($X61:$AD61="N+")*12+($X61:$AD61="Dm+")*12+($X61:$AD61="Dt+")*12+($X61:$AD61="Tm-")*6+($X61:$AD61="Mt-")*6)</f>
        <v/>
      </c>
      <c r="BA61" s="118">
        <f>AZ61-MAX(0,IFERROR(INDEX(CADASTRO!$I$4:$I$80,MATCH($A61,CADASTRO!$A$4:$A$80,0)),$B61)-CONFIG!$B$50*(COUNTIF($X61:$AD61,"AB")+COUNTIF($X61:$AD61,"FE")+COUNTIF($X61:$AD61,"LM")))</f>
        <v/>
      </c>
      <c r="BB61" s="117">
        <f>SUMPRODUCT(($AE61:$AK61="M")*6+($AE61:$AK61="T")*6+($AE61:$AK61="D")*12+($AE61:$AK61="N")*12+($AE61:$AK61="NT")*6+($AE61:$AK61="C")*10+($AE61:$AK61="A")*8+($AE61:$AK61="J")*5+($AE61:$AK61="CEP")*4+($AE61:$AK61="CP")*6+($AE61:$AK61="CRO")*6+($AE61:$AK61="M+")*6+($AE61:$AK61="T+")*6+($AE61:$AK61="D+")*12+($AE61:$AK61="N+")*12+($AE61:$AK61="Dm+")*12+($AE61:$AK61="Dt+")*12+($AE61:$AK61="Tm-")*6+($AE61:$AK61="Mt-")*6)</f>
        <v/>
      </c>
      <c r="BC61" s="118">
        <f>BB61-MAX(0,IFERROR(INDEX(CADASTRO!$I$4:$I$80,MATCH($A61,CADASTRO!$A$4:$A$80,0)),$B61)-CONFIG!$B$50*(COUNTIF($AE61:$AK61,"AB")+COUNTIF($AE61:$AK61,"FE")+COUNTIF($AE61:$AK61,"LM")))</f>
        <v/>
      </c>
      <c r="BD61" s="117">
        <f>SUMPRODUCT(($AL61:$AM61="M")*6+($AL61:$AM61="T")*6+($AL61:$AM61="D")*12+($AL61:$AM61="N")*12+($AL61:$AM61="NT")*6+($AL61:$AM61="C")*10+($AL61:$AM61="A")*8+($AL61:$AM61="J")*5+($AL61:$AM61="CEP")*4+($AL61:$AM61="CP")*6+($AL61:$AM61="CRO")*6+($AL61:$AM61="M+")*6+($AL61:$AM61="T+")*6+($AL61:$AM61="D+")*12+($AL61:$AM61="N+")*12+($AL61:$AM61="Dm+")*12+($AL61:$AM61="Dt+")*12+($AL61:$AM61="Tm-")*6+($AL61:$AM61="Mt-")*6)+SUMPRODUCT(($AN61:$AR61="M")*6+($AN61:$AR61="T")*6+($AN61:$AR61="D")*12+($AN61:$AR61="N")*12+($AN61:$AR61="NT")*6+($AN61:$AR61="C")*10+($AN61:$AR61="A")*8+($AN61:$AR61="J")*5+($AN61:$AR61="CEP")*4+($AN61:$AR61="CP")*6+($AN61:$AR61="CRO")*6+($AN61:$AR61="M+")*6+($AN61:$AR61="T+")*6+($AN61:$AR61="D+")*12+($AN61:$AR61="N+")*12+($AN61:$AR61="Dm+")*12+($AN61:$AR61="Dt+")*12+($AN61:$AR61="Tm-")*6+($AN61:$AR61="Mt-")*6)</f>
        <v/>
      </c>
      <c r="BE61" s="118">
        <f>BD61-MAX(0,IFERROR(INDEX(CADASTRO!$I$4:$I$80,MATCH($A61,CADASTRO!$A$4:$A$80,0)),$B61)-CONFIG!$B$50*(COUNTIF($AL61:$AM61,"AB")+COUNTIF($AL61:$AM61,"FE")+COUNTIF($AL61:$AM61,"LM")+COUNTIF($AN61:$AR61,"AB")+COUNTIF($AN61:$AR61,"FE")+COUNTIF($AN61:$AR61,"LM")))</f>
        <v/>
      </c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36">
        <f>IFERROR(INDEX(FEV!AE$8:AE$73,MATCH($A62,FEV!$A$8:$A$73,0))&amp;"","")</f>
        <v/>
      </c>
      <c r="D62" s="136">
        <f>IFERROR(INDEX(FEV!AF$8:AF$73,MATCH($A62,FEV!$A$8:$A$73,0))&amp;"","")</f>
        <v/>
      </c>
      <c r="E62" s="136">
        <f>IFERROR(INDEX(FEV!AG$8:AG$73,MATCH($A62,FEV!$A$8:$A$73,0))&amp;"","")</f>
        <v/>
      </c>
      <c r="F62" s="136">
        <f>IFERROR(INDEX(FEV!AH$8:AH$73,MATCH($A62,FEV!$A$8:$A$73,0))&amp;"","")</f>
        <v/>
      </c>
      <c r="G62" s="136">
        <f>IFERROR(INDEX(FEV!AI$8:AI$73,MATCH($A62,FEV!$A$8:$A$73,0))&amp;"","")</f>
        <v/>
      </c>
      <c r="H62" s="116">
        <f>IFERROR(INDEX(FEV!AJ$8:AJ$73,MATCH($A62,FEV!$A$8:$A$73,0))&amp;"","")</f>
        <v/>
      </c>
      <c r="I62" s="114" t="n"/>
      <c r="J62" s="114" t="n"/>
      <c r="K62" s="114" t="n"/>
      <c r="L62" s="114" t="n"/>
      <c r="M62" s="114" t="n"/>
      <c r="N62" s="114" t="n"/>
      <c r="O62" s="124" t="inlineStr">
        <is>
          <t>D</t>
        </is>
      </c>
      <c r="P62" s="124" t="inlineStr">
        <is>
          <t>D</t>
        </is>
      </c>
      <c r="Q62" s="114" t="n"/>
      <c r="R62" s="125" t="inlineStr">
        <is>
          <t>N</t>
        </is>
      </c>
      <c r="S62" s="114" t="n"/>
      <c r="T62" s="124" t="inlineStr">
        <is>
          <t>D</t>
        </is>
      </c>
      <c r="U62" s="114" t="n"/>
      <c r="V62" s="114" t="n"/>
      <c r="W62" s="114" t="n"/>
      <c r="X62" s="114" t="n"/>
      <c r="Y62" s="114" t="n"/>
      <c r="Z62" s="114" t="n"/>
      <c r="AA62" s="124" t="inlineStr">
        <is>
          <t>D</t>
        </is>
      </c>
      <c r="AB62" s="125" t="inlineStr">
        <is>
          <t>N</t>
        </is>
      </c>
      <c r="AC62" s="114" t="n"/>
      <c r="AD62" s="114" t="n"/>
      <c r="AE62" s="124" t="inlineStr">
        <is>
          <t>D</t>
        </is>
      </c>
      <c r="AF62" s="124" t="inlineStr">
        <is>
          <t>D</t>
        </is>
      </c>
      <c r="AG62" s="114" t="n"/>
      <c r="AH62" s="114" t="n"/>
      <c r="AI62" s="114" t="n"/>
      <c r="AJ62" s="114" t="n"/>
      <c r="AK62" s="114" t="n"/>
      <c r="AL62" s="114" t="n"/>
      <c r="AM62" s="114" t="n"/>
      <c r="AN62" s="136">
        <f>IFERROR(INDEX(ABR!I$8:I$73,MATCH($A62,ABR!$A$8:$A$73,0))&amp;"","")</f>
        <v/>
      </c>
      <c r="AO62" s="136">
        <f>IFERROR(INDEX(ABR!J$8:J$73,MATCH($A62,ABR!$A$8:$A$73,0))&amp;"","")</f>
        <v/>
      </c>
      <c r="AP62" s="136">
        <f>IFERROR(INDEX(ABR!K$8:K$73,MATCH($A62,ABR!$A$8:$A$73,0))&amp;"","")</f>
        <v/>
      </c>
      <c r="AQ62" s="116">
        <f>IFERROR(INDEX(ABR!L$8:L$73,MATCH($A62,ABR!$A$8:$A$73,0))&amp;"","")</f>
        <v/>
      </c>
      <c r="AR62" s="116">
        <f>IFERROR(INDEX(ABR!M$8:M$73,MATCH($A62,ABR!$A$8:$A$73,0))&amp;"","")</f>
        <v/>
      </c>
      <c r="AS62" s="100" t="n"/>
      <c r="AT62" s="117">
        <f>SUMPRODUCT(($C62:$I62="M")*6+($C62:$I62="T")*6+($C62:$I62="D")*12+($C62:$I62="N")*12+($C62:$I62="NT")*6+($C62:$I62="C")*10+($C62:$I62="A")*8+($C62:$I62="J")*5+($C62:$I62="CEP")*4+($C62:$I62="CP")*6+($C62:$I62="CRO")*6+($C62:$I62="M+")*6+($C62:$I62="T+")*6+($C62:$I62="D+")*12+($C62:$I62="N+")*12+($C62:$I62="Dm+")*12+($C62:$I62="Dt+")*12+($C62:$I62="Tm-")*6+($C62:$I62="Mt-")*6)</f>
        <v/>
      </c>
      <c r="AU62" s="118">
        <f>AT62-MAX(0,IFERROR(INDEX(CADASTRO!$I$4:$I$80,MATCH($A62,CADASTRO!$A$4:$A$80,0)),$B62)-CONFIG!$B$50*(COUNTIF($C62:$I62,"AB")+COUNTIF($C62:$I62,"FE")+COUNTIF($C62:$I62,"LM")))</f>
        <v/>
      </c>
      <c r="AV62" s="117">
        <f>SUMPRODUCT(($J62:$P62="M")*6+($J62:$P62="T")*6+($J62:$P62="D")*12+($J62:$P62="N")*12+($J62:$P62="NT")*6+($J62:$P62="C")*10+($J62:$P62="A")*8+($J62:$P62="J")*5+($J62:$P62="CEP")*4+($J62:$P62="CP")*6+($J62:$P62="CRO")*6+($J62:$P62="M+")*6+($J62:$P62="T+")*6+($J62:$P62="D+")*12+($J62:$P62="N+")*12+($J62:$P62="Dm+")*12+($J62:$P62="Dt+")*12+($J62:$P62="Tm-")*6+($J62:$P62="Mt-")*6)</f>
        <v/>
      </c>
      <c r="AW62" s="118">
        <f>AV62-MAX(0,IFERROR(INDEX(CADASTRO!$I$4:$I$80,MATCH($A62,CADASTRO!$A$4:$A$80,0)),$B62)-CONFIG!$B$50*(COUNTIF($J62:$P62,"AB")+COUNTIF($J62:$P62,"FE")+COUNTIF($J62:$P62,"LM")))</f>
        <v/>
      </c>
      <c r="AX62" s="117">
        <f>SUMPRODUCT(($Q62:$W62="M")*6+($Q62:$W62="T")*6+($Q62:$W62="D")*12+($Q62:$W62="N")*12+($Q62:$W62="NT")*6+($Q62:$W62="C")*10+($Q62:$W62="A")*8+($Q62:$W62="J")*5+($Q62:$W62="CEP")*4+($Q62:$W62="CP")*6+($Q62:$W62="CRO")*6+($Q62:$W62="M+")*6+($Q62:$W62="T+")*6+($Q62:$W62="D+")*12+($Q62:$W62="N+")*12+($Q62:$W62="Dm+")*12+($Q62:$W62="Dt+")*12+($Q62:$W62="Tm-")*6+($Q62:$W62="Mt-")*6)</f>
        <v/>
      </c>
      <c r="AY62" s="118">
        <f>AX62-MAX(0,IFERROR(INDEX(CADASTRO!$I$4:$I$80,MATCH($A62,CADASTRO!$A$4:$A$80,0)),$B62)-CONFIG!$B$50*(COUNTIF($Q62:$W62,"AB")+COUNTIF($Q62:$W62,"FE")+COUNTIF($Q62:$W62,"LM")))</f>
        <v/>
      </c>
      <c r="AZ62" s="117">
        <f>SUMPRODUCT(($X62:$AD62="M")*6+($X62:$AD62="T")*6+($X62:$AD62="D")*12+($X62:$AD62="N")*12+($X62:$AD62="NT")*6+($X62:$AD62="C")*10+($X62:$AD62="A")*8+($X62:$AD62="J")*5+($X62:$AD62="CEP")*4+($X62:$AD62="CP")*6+($X62:$AD62="CRO")*6+($X62:$AD62="M+")*6+($X62:$AD62="T+")*6+($X62:$AD62="D+")*12+($X62:$AD62="N+")*12+($X62:$AD62="Dm+")*12+($X62:$AD62="Dt+")*12+($X62:$AD62="Tm-")*6+($X62:$AD62="Mt-")*6)</f>
        <v/>
      </c>
      <c r="BA62" s="118">
        <f>AZ62-MAX(0,IFERROR(INDEX(CADASTRO!$I$4:$I$80,MATCH($A62,CADASTRO!$A$4:$A$80,0)),$B62)-CONFIG!$B$50*(COUNTIF($X62:$AD62,"AB")+COUNTIF($X62:$AD62,"FE")+COUNTIF($X62:$AD62,"LM")))</f>
        <v/>
      </c>
      <c r="BB62" s="117">
        <f>SUMPRODUCT(($AE62:$AK62="M")*6+($AE62:$AK62="T")*6+($AE62:$AK62="D")*12+($AE62:$AK62="N")*12+($AE62:$AK62="NT")*6+($AE62:$AK62="C")*10+($AE62:$AK62="A")*8+($AE62:$AK62="J")*5+($AE62:$AK62="CEP")*4+($AE62:$AK62="CP")*6+($AE62:$AK62="CRO")*6+($AE62:$AK62="M+")*6+($AE62:$AK62="T+")*6+($AE62:$AK62="D+")*12+($AE62:$AK62="N+")*12+($AE62:$AK62="Dm+")*12+($AE62:$AK62="Dt+")*12+($AE62:$AK62="Tm-")*6+($AE62:$AK62="Mt-")*6)</f>
        <v/>
      </c>
      <c r="BC62" s="118">
        <f>BB62-MAX(0,IFERROR(INDEX(CADASTRO!$I$4:$I$80,MATCH($A62,CADASTRO!$A$4:$A$80,0)),$B62)-CONFIG!$B$50*(COUNTIF($AE62:$AK62,"AB")+COUNTIF($AE62:$AK62,"FE")+COUNTIF($AE62:$AK62,"LM")))</f>
        <v/>
      </c>
      <c r="BD62" s="117">
        <f>SUMPRODUCT(($AL62:$AM62="M")*6+($AL62:$AM62="T")*6+($AL62:$AM62="D")*12+($AL62:$AM62="N")*12+($AL62:$AM62="NT")*6+($AL62:$AM62="C")*10+($AL62:$AM62="A")*8+($AL62:$AM62="J")*5+($AL62:$AM62="CEP")*4+($AL62:$AM62="CP")*6+($AL62:$AM62="CRO")*6+($AL62:$AM62="M+")*6+($AL62:$AM62="T+")*6+($AL62:$AM62="D+")*12+($AL62:$AM62="N+")*12+($AL62:$AM62="Dm+")*12+($AL62:$AM62="Dt+")*12+($AL62:$AM62="Tm-")*6+($AL62:$AM62="Mt-")*6)+SUMPRODUCT(($AN62:$AR62="M")*6+($AN62:$AR62="T")*6+($AN62:$AR62="D")*12+($AN62:$AR62="N")*12+($AN62:$AR62="NT")*6+($AN62:$AR62="C")*10+($AN62:$AR62="A")*8+($AN62:$AR62="J")*5+($AN62:$AR62="CEP")*4+($AN62:$AR62="CP")*6+($AN62:$AR62="CRO")*6+($AN62:$AR62="M+")*6+($AN62:$AR62="T+")*6+($AN62:$AR62="D+")*12+($AN62:$AR62="N+")*12+($AN62:$AR62="Dm+")*12+($AN62:$AR62="Dt+")*12+($AN62:$AR62="Tm-")*6+($AN62:$AR62="Mt-")*6)</f>
        <v/>
      </c>
      <c r="BE62" s="118">
        <f>BD62-MAX(0,IFERROR(INDEX(CADASTRO!$I$4:$I$80,MATCH($A62,CADASTRO!$A$4:$A$80,0)),$B62)-CONFIG!$B$50*(COUNTIF($AL62:$AM62,"AB")+COUNTIF($AL62:$AM62,"FE")+COUNTIF($AL62:$AM62,"LM")+COUNTIF($AN62:$AR62,"AB")+COUNTIF($AN62:$AR62,"FE")+COUNTIF($AN62:$AR62,"LM")))</f>
        <v/>
      </c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36">
        <f>IFERROR(INDEX(FEV!AE$8:AE$73,MATCH($A63,FEV!$A$8:$A$73,0))&amp;"","")</f>
        <v/>
      </c>
      <c r="D63" s="136">
        <f>IFERROR(INDEX(FEV!AF$8:AF$73,MATCH($A63,FEV!$A$8:$A$73,0))&amp;"","")</f>
        <v/>
      </c>
      <c r="E63" s="136">
        <f>IFERROR(INDEX(FEV!AG$8:AG$73,MATCH($A63,FEV!$A$8:$A$73,0))&amp;"","")</f>
        <v/>
      </c>
      <c r="F63" s="136">
        <f>IFERROR(INDEX(FEV!AH$8:AH$73,MATCH($A63,FEV!$A$8:$A$73,0))&amp;"","")</f>
        <v/>
      </c>
      <c r="G63" s="136">
        <f>IFERROR(INDEX(FEV!AI$8:AI$73,MATCH($A63,FEV!$A$8:$A$73,0))&amp;"","")</f>
        <v/>
      </c>
      <c r="H63" s="116">
        <f>IFERROR(INDEX(FEV!AJ$8:AJ$73,MATCH($A63,FEV!$A$8:$A$73,0))&amp;"","")</f>
        <v/>
      </c>
      <c r="I63" s="114" t="n"/>
      <c r="J63" s="114" t="n"/>
      <c r="K63" s="114" t="n"/>
      <c r="L63" s="114" t="n"/>
      <c r="M63" s="124" t="inlineStr">
        <is>
          <t>D</t>
        </is>
      </c>
      <c r="N63" s="125" t="inlineStr">
        <is>
          <t>N</t>
        </is>
      </c>
      <c r="O63" s="114" t="n"/>
      <c r="P63" s="114" t="n"/>
      <c r="Q63" s="114" t="n"/>
      <c r="R63" s="114" t="n"/>
      <c r="S63" s="114" t="n"/>
      <c r="T63" s="124" t="inlineStr">
        <is>
          <t>D</t>
        </is>
      </c>
      <c r="U63" s="114" t="n"/>
      <c r="V63" s="124" t="inlineStr">
        <is>
          <t>D</t>
        </is>
      </c>
      <c r="W63" s="114" t="n"/>
      <c r="X63" s="114" t="n"/>
      <c r="Y63" s="114" t="n"/>
      <c r="Z63" s="124" t="inlineStr">
        <is>
          <t>D</t>
        </is>
      </c>
      <c r="AA63" s="124" t="inlineStr">
        <is>
          <t>D</t>
        </is>
      </c>
      <c r="AB63" s="114" t="n"/>
      <c r="AC63" s="114" t="n"/>
      <c r="AD63" s="114" t="n"/>
      <c r="AE63" s="114" t="n"/>
      <c r="AF63" s="114" t="n"/>
      <c r="AG63" s="114" t="n"/>
      <c r="AH63" s="115" t="inlineStr">
        <is>
          <t>M</t>
        </is>
      </c>
      <c r="AI63" s="114" t="n"/>
      <c r="AJ63" s="126" t="inlineStr">
        <is>
          <t>T</t>
        </is>
      </c>
      <c r="AK63" s="124" t="inlineStr">
        <is>
          <t>D</t>
        </is>
      </c>
      <c r="AL63" s="114" t="n"/>
      <c r="AM63" s="114" t="n"/>
      <c r="AN63" s="136">
        <f>IFERROR(INDEX(ABR!I$8:I$73,MATCH($A63,ABR!$A$8:$A$73,0))&amp;"","")</f>
        <v/>
      </c>
      <c r="AO63" s="136">
        <f>IFERROR(INDEX(ABR!J$8:J$73,MATCH($A63,ABR!$A$8:$A$73,0))&amp;"","")</f>
        <v/>
      </c>
      <c r="AP63" s="136">
        <f>IFERROR(INDEX(ABR!K$8:K$73,MATCH($A63,ABR!$A$8:$A$73,0))&amp;"","")</f>
        <v/>
      </c>
      <c r="AQ63" s="116">
        <f>IFERROR(INDEX(ABR!L$8:L$73,MATCH($A63,ABR!$A$8:$A$73,0))&amp;"","")</f>
        <v/>
      </c>
      <c r="AR63" s="116">
        <f>IFERROR(INDEX(ABR!M$8:M$73,MATCH($A63,ABR!$A$8:$A$73,0))&amp;"","")</f>
        <v/>
      </c>
      <c r="AS63" s="100" t="n"/>
      <c r="AT63" s="117">
        <f>SUMPRODUCT(($C63:$I63="M")*6+($C63:$I63="T")*6+($C63:$I63="D")*12+($C63:$I63="N")*12+($C63:$I63="NT")*6+($C63:$I63="C")*10+($C63:$I63="A")*8+($C63:$I63="J")*5+($C63:$I63="CEP")*4+($C63:$I63="CP")*6+($C63:$I63="CRO")*6+($C63:$I63="M+")*6+($C63:$I63="T+")*6+($C63:$I63="D+")*12+($C63:$I63="N+")*12+($C63:$I63="Dm+")*12+($C63:$I63="Dt+")*12+($C63:$I63="Tm-")*6+($C63:$I63="Mt-")*6)</f>
        <v/>
      </c>
      <c r="AU63" s="118">
        <f>AT63-MAX(0,IFERROR(INDEX(CADASTRO!$I$4:$I$80,MATCH($A63,CADASTRO!$A$4:$A$80,0)),$B63)-CONFIG!$B$50*(COUNTIF($C63:$I63,"AB")+COUNTIF($C63:$I63,"FE")+COUNTIF($C63:$I63,"LM")))</f>
        <v/>
      </c>
      <c r="AV63" s="117">
        <f>SUMPRODUCT(($J63:$P63="M")*6+($J63:$P63="T")*6+($J63:$P63="D")*12+($J63:$P63="N")*12+($J63:$P63="NT")*6+($J63:$P63="C")*10+($J63:$P63="A")*8+($J63:$P63="J")*5+($J63:$P63="CEP")*4+($J63:$P63="CP")*6+($J63:$P63="CRO")*6+($J63:$P63="M+")*6+($J63:$P63="T+")*6+($J63:$P63="D+")*12+($J63:$P63="N+")*12+($J63:$P63="Dm+")*12+($J63:$P63="Dt+")*12+($J63:$P63="Tm-")*6+($J63:$P63="Mt-")*6)</f>
        <v/>
      </c>
      <c r="AW63" s="118">
        <f>AV63-MAX(0,IFERROR(INDEX(CADASTRO!$I$4:$I$80,MATCH($A63,CADASTRO!$A$4:$A$80,0)),$B63)-CONFIG!$B$50*(COUNTIF($J63:$P63,"AB")+COUNTIF($J63:$P63,"FE")+COUNTIF($J63:$P63,"LM")))</f>
        <v/>
      </c>
      <c r="AX63" s="117">
        <f>SUMPRODUCT(($Q63:$W63="M")*6+($Q63:$W63="T")*6+($Q63:$W63="D")*12+($Q63:$W63="N")*12+($Q63:$W63="NT")*6+($Q63:$W63="C")*10+($Q63:$W63="A")*8+($Q63:$W63="J")*5+($Q63:$W63="CEP")*4+($Q63:$W63="CP")*6+($Q63:$W63="CRO")*6+($Q63:$W63="M+")*6+($Q63:$W63="T+")*6+($Q63:$W63="D+")*12+($Q63:$W63="N+")*12+($Q63:$W63="Dm+")*12+($Q63:$W63="Dt+")*12+($Q63:$W63="Tm-")*6+($Q63:$W63="Mt-")*6)</f>
        <v/>
      </c>
      <c r="AY63" s="118">
        <f>AX63-MAX(0,IFERROR(INDEX(CADASTRO!$I$4:$I$80,MATCH($A63,CADASTRO!$A$4:$A$80,0)),$B63)-CONFIG!$B$50*(COUNTIF($Q63:$W63,"AB")+COUNTIF($Q63:$W63,"FE")+COUNTIF($Q63:$W63,"LM")))</f>
        <v/>
      </c>
      <c r="AZ63" s="117">
        <f>SUMPRODUCT(($X63:$AD63="M")*6+($X63:$AD63="T")*6+($X63:$AD63="D")*12+($X63:$AD63="N")*12+($X63:$AD63="NT")*6+($X63:$AD63="C")*10+($X63:$AD63="A")*8+($X63:$AD63="J")*5+($X63:$AD63="CEP")*4+($X63:$AD63="CP")*6+($X63:$AD63="CRO")*6+($X63:$AD63="M+")*6+($X63:$AD63="T+")*6+($X63:$AD63="D+")*12+($X63:$AD63="N+")*12+($X63:$AD63="Dm+")*12+($X63:$AD63="Dt+")*12+($X63:$AD63="Tm-")*6+($X63:$AD63="Mt-")*6)</f>
        <v/>
      </c>
      <c r="BA63" s="118">
        <f>AZ63-MAX(0,IFERROR(INDEX(CADASTRO!$I$4:$I$80,MATCH($A63,CADASTRO!$A$4:$A$80,0)),$B63)-CONFIG!$B$50*(COUNTIF($X63:$AD63,"AB")+COUNTIF($X63:$AD63,"FE")+COUNTIF($X63:$AD63,"LM")))</f>
        <v/>
      </c>
      <c r="BB63" s="117">
        <f>SUMPRODUCT(($AE63:$AK63="M")*6+($AE63:$AK63="T")*6+($AE63:$AK63="D")*12+($AE63:$AK63="N")*12+($AE63:$AK63="NT")*6+($AE63:$AK63="C")*10+($AE63:$AK63="A")*8+($AE63:$AK63="J")*5+($AE63:$AK63="CEP")*4+($AE63:$AK63="CP")*6+($AE63:$AK63="CRO")*6+($AE63:$AK63="M+")*6+($AE63:$AK63="T+")*6+($AE63:$AK63="D+")*12+($AE63:$AK63="N+")*12+($AE63:$AK63="Dm+")*12+($AE63:$AK63="Dt+")*12+($AE63:$AK63="Tm-")*6+($AE63:$AK63="Mt-")*6)</f>
        <v/>
      </c>
      <c r="BC63" s="118">
        <f>BB63-MAX(0,IFERROR(INDEX(CADASTRO!$I$4:$I$80,MATCH($A63,CADASTRO!$A$4:$A$80,0)),$B63)-CONFIG!$B$50*(COUNTIF($AE63:$AK63,"AB")+COUNTIF($AE63:$AK63,"FE")+COUNTIF($AE63:$AK63,"LM")))</f>
        <v/>
      </c>
      <c r="BD63" s="117">
        <f>SUMPRODUCT(($AL63:$AM63="M")*6+($AL63:$AM63="T")*6+($AL63:$AM63="D")*12+($AL63:$AM63="N")*12+($AL63:$AM63="NT")*6+($AL63:$AM63="C")*10+($AL63:$AM63="A")*8+($AL63:$AM63="J")*5+($AL63:$AM63="CEP")*4+($AL63:$AM63="CP")*6+($AL63:$AM63="CRO")*6+($AL63:$AM63="M+")*6+($AL63:$AM63="T+")*6+($AL63:$AM63="D+")*12+($AL63:$AM63="N+")*12+($AL63:$AM63="Dm+")*12+($AL63:$AM63="Dt+")*12+($AL63:$AM63="Tm-")*6+($AL63:$AM63="Mt-")*6)+SUMPRODUCT(($AN63:$AR63="M")*6+($AN63:$AR63="T")*6+($AN63:$AR63="D")*12+($AN63:$AR63="N")*12+($AN63:$AR63="NT")*6+($AN63:$AR63="C")*10+($AN63:$AR63="A")*8+($AN63:$AR63="J")*5+($AN63:$AR63="CEP")*4+($AN63:$AR63="CP")*6+($AN63:$AR63="CRO")*6+($AN63:$AR63="M+")*6+($AN63:$AR63="T+")*6+($AN63:$AR63="D+")*12+($AN63:$AR63="N+")*12+($AN63:$AR63="Dm+")*12+($AN63:$AR63="Dt+")*12+($AN63:$AR63="Tm-")*6+($AN63:$AR63="Mt-")*6)</f>
        <v/>
      </c>
      <c r="BE63" s="118">
        <f>BD63-MAX(0,IFERROR(INDEX(CADASTRO!$I$4:$I$80,MATCH($A63,CADASTRO!$A$4:$A$80,0)),$B63)-CONFIG!$B$50*(COUNTIF($AL63:$AM63,"AB")+COUNTIF($AL63:$AM63,"FE")+COUNTIF($AL63:$AM63,"LM")+COUNTIF($AN63:$AR63,"AB")+COUNTIF($AN63:$AR63,"FE")+COUNTIF($AN63:$AR63,"LM")))</f>
        <v/>
      </c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36">
        <f>IFERROR(INDEX(FEV!AE$8:AE$73,MATCH($A64,FEV!$A$8:$A$73,0))&amp;"","")</f>
        <v/>
      </c>
      <c r="D64" s="136">
        <f>IFERROR(INDEX(FEV!AF$8:AF$73,MATCH($A64,FEV!$A$8:$A$73,0))&amp;"","")</f>
        <v/>
      </c>
      <c r="E64" s="136">
        <f>IFERROR(INDEX(FEV!AG$8:AG$73,MATCH($A64,FEV!$A$8:$A$73,0))&amp;"","")</f>
        <v/>
      </c>
      <c r="F64" s="136">
        <f>IFERROR(INDEX(FEV!AH$8:AH$73,MATCH($A64,FEV!$A$8:$A$73,0))&amp;"","")</f>
        <v/>
      </c>
      <c r="G64" s="136">
        <f>IFERROR(INDEX(FEV!AI$8:AI$73,MATCH($A64,FEV!$A$8:$A$73,0))&amp;"","")</f>
        <v/>
      </c>
      <c r="H64" s="116">
        <f>IFERROR(INDEX(FEV!AJ$8:AJ$73,MATCH($A64,FEV!$A$8:$A$73,0))&amp;"","")</f>
        <v/>
      </c>
      <c r="I64" s="114" t="n"/>
      <c r="J64" s="114" t="n"/>
      <c r="K64" s="114" t="n"/>
      <c r="L64" s="125" t="inlineStr">
        <is>
          <t>N</t>
        </is>
      </c>
      <c r="M64" s="114" t="n"/>
      <c r="N64" s="114" t="n"/>
      <c r="O64" s="125" t="inlineStr">
        <is>
          <t>N</t>
        </is>
      </c>
      <c r="P64" s="126" t="inlineStr">
        <is>
          <t>T</t>
        </is>
      </c>
      <c r="Q64" s="125" t="inlineStr">
        <is>
          <t>N</t>
        </is>
      </c>
      <c r="R64" s="114" t="n"/>
      <c r="S64" s="125" t="inlineStr">
        <is>
          <t>N</t>
        </is>
      </c>
      <c r="T64" s="126" t="inlineStr">
        <is>
          <t>T</t>
        </is>
      </c>
      <c r="U64" s="114" t="n"/>
      <c r="V64" s="114" t="n"/>
      <c r="W64" s="114" t="n"/>
      <c r="X64" s="114" t="n"/>
      <c r="Y64" s="114" t="n"/>
      <c r="Z64" s="125" t="inlineStr">
        <is>
          <t>N</t>
        </is>
      </c>
      <c r="AA64" s="126" t="inlineStr">
        <is>
          <t>T</t>
        </is>
      </c>
      <c r="AB64" s="114" t="n"/>
      <c r="AC64" s="114" t="n"/>
      <c r="AD64" s="125" t="inlineStr">
        <is>
          <t>N</t>
        </is>
      </c>
      <c r="AE64" s="114" t="n"/>
      <c r="AF64" s="114" t="n"/>
      <c r="AG64" s="125" t="inlineStr">
        <is>
          <t>N</t>
        </is>
      </c>
      <c r="AH64" s="126" t="inlineStr">
        <is>
          <t>T</t>
        </is>
      </c>
      <c r="AI64" s="114" t="n"/>
      <c r="AJ64" s="125" t="inlineStr">
        <is>
          <t>N</t>
        </is>
      </c>
      <c r="AK64" s="114" t="n"/>
      <c r="AL64" s="114" t="n"/>
      <c r="AM64" s="114" t="n"/>
      <c r="AN64" s="136">
        <f>IFERROR(INDEX(ABR!I$8:I$73,MATCH($A64,ABR!$A$8:$A$73,0))&amp;"","")</f>
        <v/>
      </c>
      <c r="AO64" s="136">
        <f>IFERROR(INDEX(ABR!J$8:J$73,MATCH($A64,ABR!$A$8:$A$73,0))&amp;"","")</f>
        <v/>
      </c>
      <c r="AP64" s="136">
        <f>IFERROR(INDEX(ABR!K$8:K$73,MATCH($A64,ABR!$A$8:$A$73,0))&amp;"","")</f>
        <v/>
      </c>
      <c r="AQ64" s="116">
        <f>IFERROR(INDEX(ABR!L$8:L$73,MATCH($A64,ABR!$A$8:$A$73,0))&amp;"","")</f>
        <v/>
      </c>
      <c r="AR64" s="116">
        <f>IFERROR(INDEX(ABR!M$8:M$73,MATCH($A64,ABR!$A$8:$A$73,0))&amp;"","")</f>
        <v/>
      </c>
      <c r="AS64" s="100" t="n"/>
      <c r="AT64" s="117">
        <f>SUMPRODUCT(($C64:$I64="M")*6+($C64:$I64="T")*6+($C64:$I64="D")*12+($C64:$I64="N")*12+($C64:$I64="NT")*6+($C64:$I64="C")*10+($C64:$I64="A")*8+($C64:$I64="J")*5+($C64:$I64="CEP")*4+($C64:$I64="CP")*6+($C64:$I64="CRO")*6+($C64:$I64="M+")*6+($C64:$I64="T+")*6+($C64:$I64="D+")*12+($C64:$I64="N+")*12+($C64:$I64="Dm+")*12+($C64:$I64="Dt+")*12+($C64:$I64="Tm-")*6+($C64:$I64="Mt-")*6)</f>
        <v/>
      </c>
      <c r="AU64" s="118">
        <f>AT64-MAX(0,IFERROR(INDEX(CADASTRO!$I$4:$I$80,MATCH($A64,CADASTRO!$A$4:$A$80,0)),$B64)-CONFIG!$B$50*(COUNTIF($C64:$I64,"AB")+COUNTIF($C64:$I64,"FE")+COUNTIF($C64:$I64,"LM")))</f>
        <v/>
      </c>
      <c r="AV64" s="117">
        <f>SUMPRODUCT(($J64:$P64="M")*6+($J64:$P64="T")*6+($J64:$P64="D")*12+($J64:$P64="N")*12+($J64:$P64="NT")*6+($J64:$P64="C")*10+($J64:$P64="A")*8+($J64:$P64="J")*5+($J64:$P64="CEP")*4+($J64:$P64="CP")*6+($J64:$P64="CRO")*6+($J64:$P64="M+")*6+($J64:$P64="T+")*6+($J64:$P64="D+")*12+($J64:$P64="N+")*12+($J64:$P64="Dm+")*12+($J64:$P64="Dt+")*12+($J64:$P64="Tm-")*6+($J64:$P64="Mt-")*6)</f>
        <v/>
      </c>
      <c r="AW64" s="118">
        <f>AV64-MAX(0,IFERROR(INDEX(CADASTRO!$I$4:$I$80,MATCH($A64,CADASTRO!$A$4:$A$80,0)),$B64)-CONFIG!$B$50*(COUNTIF($J64:$P64,"AB")+COUNTIF($J64:$P64,"FE")+COUNTIF($J64:$P64,"LM")))</f>
        <v/>
      </c>
      <c r="AX64" s="117">
        <f>SUMPRODUCT(($Q64:$W64="M")*6+($Q64:$W64="T")*6+($Q64:$W64="D")*12+($Q64:$W64="N")*12+($Q64:$W64="NT")*6+($Q64:$W64="C")*10+($Q64:$W64="A")*8+($Q64:$W64="J")*5+($Q64:$W64="CEP")*4+($Q64:$W64="CP")*6+($Q64:$W64="CRO")*6+($Q64:$W64="M+")*6+($Q64:$W64="T+")*6+($Q64:$W64="D+")*12+($Q64:$W64="N+")*12+($Q64:$W64="Dm+")*12+($Q64:$W64="Dt+")*12+($Q64:$W64="Tm-")*6+($Q64:$W64="Mt-")*6)</f>
        <v/>
      </c>
      <c r="AY64" s="118">
        <f>AX64-MAX(0,IFERROR(INDEX(CADASTRO!$I$4:$I$80,MATCH($A64,CADASTRO!$A$4:$A$80,0)),$B64)-CONFIG!$B$50*(COUNTIF($Q64:$W64,"AB")+COUNTIF($Q64:$W64,"FE")+COUNTIF($Q64:$W64,"LM")))</f>
        <v/>
      </c>
      <c r="AZ64" s="117">
        <f>SUMPRODUCT(($X64:$AD64="M")*6+($X64:$AD64="T")*6+($X64:$AD64="D")*12+($X64:$AD64="N")*12+($X64:$AD64="NT")*6+($X64:$AD64="C")*10+($X64:$AD64="A")*8+($X64:$AD64="J")*5+($X64:$AD64="CEP")*4+($X64:$AD64="CP")*6+($X64:$AD64="CRO")*6+($X64:$AD64="M+")*6+($X64:$AD64="T+")*6+($X64:$AD64="D+")*12+($X64:$AD64="N+")*12+($X64:$AD64="Dm+")*12+($X64:$AD64="Dt+")*12+($X64:$AD64="Tm-")*6+($X64:$AD64="Mt-")*6)</f>
        <v/>
      </c>
      <c r="BA64" s="118">
        <f>AZ64-MAX(0,IFERROR(INDEX(CADASTRO!$I$4:$I$80,MATCH($A64,CADASTRO!$A$4:$A$80,0)),$B64)-CONFIG!$B$50*(COUNTIF($X64:$AD64,"AB")+COUNTIF($X64:$AD64,"FE")+COUNTIF($X64:$AD64,"LM")))</f>
        <v/>
      </c>
      <c r="BB64" s="117">
        <f>SUMPRODUCT(($AE64:$AK64="M")*6+($AE64:$AK64="T")*6+($AE64:$AK64="D")*12+($AE64:$AK64="N")*12+($AE64:$AK64="NT")*6+($AE64:$AK64="C")*10+($AE64:$AK64="A")*8+($AE64:$AK64="J")*5+($AE64:$AK64="CEP")*4+($AE64:$AK64="CP")*6+($AE64:$AK64="CRO")*6+($AE64:$AK64="M+")*6+($AE64:$AK64="T+")*6+($AE64:$AK64="D+")*12+($AE64:$AK64="N+")*12+($AE64:$AK64="Dm+")*12+($AE64:$AK64="Dt+")*12+($AE64:$AK64="Tm-")*6+($AE64:$AK64="Mt-")*6)</f>
        <v/>
      </c>
      <c r="BC64" s="118">
        <f>BB64-MAX(0,IFERROR(INDEX(CADASTRO!$I$4:$I$80,MATCH($A64,CADASTRO!$A$4:$A$80,0)),$B64)-CONFIG!$B$50*(COUNTIF($AE64:$AK64,"AB")+COUNTIF($AE64:$AK64,"FE")+COUNTIF($AE64:$AK64,"LM")))</f>
        <v/>
      </c>
      <c r="BD64" s="117">
        <f>SUMPRODUCT(($AL64:$AM64="M")*6+($AL64:$AM64="T")*6+($AL64:$AM64="D")*12+($AL64:$AM64="N")*12+($AL64:$AM64="NT")*6+($AL64:$AM64="C")*10+($AL64:$AM64="A")*8+($AL64:$AM64="J")*5+($AL64:$AM64="CEP")*4+($AL64:$AM64="CP")*6+($AL64:$AM64="CRO")*6+($AL64:$AM64="M+")*6+($AL64:$AM64="T+")*6+($AL64:$AM64="D+")*12+($AL64:$AM64="N+")*12+($AL64:$AM64="Dm+")*12+($AL64:$AM64="Dt+")*12+($AL64:$AM64="Tm-")*6+($AL64:$AM64="Mt-")*6)+SUMPRODUCT(($AN64:$AR64="M")*6+($AN64:$AR64="T")*6+($AN64:$AR64="D")*12+($AN64:$AR64="N")*12+($AN64:$AR64="NT")*6+($AN64:$AR64="C")*10+($AN64:$AR64="A")*8+($AN64:$AR64="J")*5+($AN64:$AR64="CEP")*4+($AN64:$AR64="CP")*6+($AN64:$AR64="CRO")*6+($AN64:$AR64="M+")*6+($AN64:$AR64="T+")*6+($AN64:$AR64="D+")*12+($AN64:$AR64="N+")*12+($AN64:$AR64="Dm+")*12+($AN64:$AR64="Dt+")*12+($AN64:$AR64="Tm-")*6+($AN64:$AR64="Mt-")*6)</f>
        <v/>
      </c>
      <c r="BE64" s="118">
        <f>BD64-MAX(0,IFERROR(INDEX(CADASTRO!$I$4:$I$80,MATCH($A64,CADASTRO!$A$4:$A$80,0)),$B64)-CONFIG!$B$50*(COUNTIF($AL64:$AM64,"AB")+COUNTIF($AL64:$AM64,"FE")+COUNTIF($AL64:$AM64,"LM")+COUNTIF($AN64:$AR64,"AB")+COUNTIF($AN64:$AR64,"FE")+COUNTIF($AN64:$AR64,"LM")))</f>
        <v/>
      </c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36">
        <f>IFERROR(INDEX(FEV!AE$8:AE$73,MATCH($A65,FEV!$A$8:$A$73,0))&amp;"","")</f>
        <v/>
      </c>
      <c r="D65" s="136">
        <f>IFERROR(INDEX(FEV!AF$8:AF$73,MATCH($A65,FEV!$A$8:$A$73,0))&amp;"","")</f>
        <v/>
      </c>
      <c r="E65" s="136">
        <f>IFERROR(INDEX(FEV!AG$8:AG$73,MATCH($A65,FEV!$A$8:$A$73,0))&amp;"","")</f>
        <v/>
      </c>
      <c r="F65" s="136">
        <f>IFERROR(INDEX(FEV!AH$8:AH$73,MATCH($A65,FEV!$A$8:$A$73,0))&amp;"","")</f>
        <v/>
      </c>
      <c r="G65" s="136">
        <f>IFERROR(INDEX(FEV!AI$8:AI$73,MATCH($A65,FEV!$A$8:$A$73,0))&amp;"","")</f>
        <v/>
      </c>
      <c r="H65" s="116">
        <f>IFERROR(INDEX(FEV!AJ$8:AJ$73,MATCH($A65,FEV!$A$8:$A$73,0))&amp;"","")</f>
        <v/>
      </c>
      <c r="I65" s="114" t="n"/>
      <c r="J65" s="114" t="n"/>
      <c r="K65" s="114" t="n"/>
      <c r="L65" s="114" t="n"/>
      <c r="M65" s="114" t="n"/>
      <c r="N65" s="124" t="inlineStr">
        <is>
          <t>D</t>
        </is>
      </c>
      <c r="O65" s="114" t="n"/>
      <c r="P65" s="124" t="inlineStr">
        <is>
          <t>D</t>
        </is>
      </c>
      <c r="Q65" s="114" t="n"/>
      <c r="R65" s="114" t="n"/>
      <c r="S65" s="124" t="inlineStr">
        <is>
          <t>D</t>
        </is>
      </c>
      <c r="T65" s="114" t="n"/>
      <c r="U65" s="124" t="inlineStr">
        <is>
          <t>D</t>
        </is>
      </c>
      <c r="V65" s="123" t="inlineStr">
        <is>
          <t>M+</t>
        </is>
      </c>
      <c r="W65" s="114" t="n"/>
      <c r="X65" s="114" t="n"/>
      <c r="Y65" s="114" t="n"/>
      <c r="Z65" s="114" t="n"/>
      <c r="AA65" s="114" t="n"/>
      <c r="AB65" s="124" t="inlineStr">
        <is>
          <t>D</t>
        </is>
      </c>
      <c r="AC65" s="124" t="inlineStr">
        <is>
          <t>D</t>
        </is>
      </c>
      <c r="AD65" s="114" t="n"/>
      <c r="AE65" s="114" t="n"/>
      <c r="AF65" s="114" t="n"/>
      <c r="AG65" s="126" t="inlineStr">
        <is>
          <t>T</t>
        </is>
      </c>
      <c r="AH65" s="114" t="n"/>
      <c r="AI65" s="124" t="inlineStr">
        <is>
          <t>D</t>
        </is>
      </c>
      <c r="AJ65" s="114" t="n"/>
      <c r="AK65" s="126" t="inlineStr">
        <is>
          <t>T</t>
        </is>
      </c>
      <c r="AL65" s="114" t="n"/>
      <c r="AM65" s="114" t="n"/>
      <c r="AN65" s="136">
        <f>IFERROR(INDEX(ABR!I$8:I$73,MATCH($A65,ABR!$A$8:$A$73,0))&amp;"","")</f>
        <v/>
      </c>
      <c r="AO65" s="136">
        <f>IFERROR(INDEX(ABR!J$8:J$73,MATCH($A65,ABR!$A$8:$A$73,0))&amp;"","")</f>
        <v/>
      </c>
      <c r="AP65" s="136">
        <f>IFERROR(INDEX(ABR!K$8:K$73,MATCH($A65,ABR!$A$8:$A$73,0))&amp;"","")</f>
        <v/>
      </c>
      <c r="AQ65" s="116">
        <f>IFERROR(INDEX(ABR!L$8:L$73,MATCH($A65,ABR!$A$8:$A$73,0))&amp;"","")</f>
        <v/>
      </c>
      <c r="AR65" s="116">
        <f>IFERROR(INDEX(ABR!M$8:M$73,MATCH($A65,ABR!$A$8:$A$73,0))&amp;"","")</f>
        <v/>
      </c>
      <c r="AS65" s="100" t="n"/>
      <c r="AT65" s="117">
        <f>SUMPRODUCT(($C65:$I65="M")*6+($C65:$I65="T")*6+($C65:$I65="D")*12+($C65:$I65="N")*12+($C65:$I65="NT")*6+($C65:$I65="C")*10+($C65:$I65="A")*8+($C65:$I65="J")*5+($C65:$I65="CEP")*4+($C65:$I65="CP")*6+($C65:$I65="CRO")*6+($C65:$I65="M+")*6+($C65:$I65="T+")*6+($C65:$I65="D+")*12+($C65:$I65="N+")*12+($C65:$I65="Dm+")*12+($C65:$I65="Dt+")*12+($C65:$I65="Tm-")*6+($C65:$I65="Mt-")*6)</f>
        <v/>
      </c>
      <c r="AU65" s="118">
        <f>AT65-MAX(0,IFERROR(INDEX(CADASTRO!$I$4:$I$80,MATCH($A65,CADASTRO!$A$4:$A$80,0)),$B65)-CONFIG!$B$50*(COUNTIF($C65:$I65,"AB")+COUNTIF($C65:$I65,"FE")+COUNTIF($C65:$I65,"LM")))</f>
        <v/>
      </c>
      <c r="AV65" s="117">
        <f>SUMPRODUCT(($J65:$P65="M")*6+($J65:$P65="T")*6+($J65:$P65="D")*12+($J65:$P65="N")*12+($J65:$P65="NT")*6+($J65:$P65="C")*10+($J65:$P65="A")*8+($J65:$P65="J")*5+($J65:$P65="CEP")*4+($J65:$P65="CP")*6+($J65:$P65="CRO")*6+($J65:$P65="M+")*6+($J65:$P65="T+")*6+($J65:$P65="D+")*12+($J65:$P65="N+")*12+($J65:$P65="Dm+")*12+($J65:$P65="Dt+")*12+($J65:$P65="Tm-")*6+($J65:$P65="Mt-")*6)</f>
        <v/>
      </c>
      <c r="AW65" s="118">
        <f>AV65-MAX(0,IFERROR(INDEX(CADASTRO!$I$4:$I$80,MATCH($A65,CADASTRO!$A$4:$A$80,0)),$B65)-CONFIG!$B$50*(COUNTIF($J65:$P65,"AB")+COUNTIF($J65:$P65,"FE")+COUNTIF($J65:$P65,"LM")))</f>
        <v/>
      </c>
      <c r="AX65" s="117">
        <f>SUMPRODUCT(($Q65:$W65="M")*6+($Q65:$W65="T")*6+($Q65:$W65="D")*12+($Q65:$W65="N")*12+($Q65:$W65="NT")*6+($Q65:$W65="C")*10+($Q65:$W65="A")*8+($Q65:$W65="J")*5+($Q65:$W65="CEP")*4+($Q65:$W65="CP")*6+($Q65:$W65="CRO")*6+($Q65:$W65="M+")*6+($Q65:$W65="T+")*6+($Q65:$W65="D+")*12+($Q65:$W65="N+")*12+($Q65:$W65="Dm+")*12+($Q65:$W65="Dt+")*12+($Q65:$W65="Tm-")*6+($Q65:$W65="Mt-")*6)</f>
        <v/>
      </c>
      <c r="AY65" s="118">
        <f>AX65-MAX(0,IFERROR(INDEX(CADASTRO!$I$4:$I$80,MATCH($A65,CADASTRO!$A$4:$A$80,0)),$B65)-CONFIG!$B$50*(COUNTIF($Q65:$W65,"AB")+COUNTIF($Q65:$W65,"FE")+COUNTIF($Q65:$W65,"LM")))</f>
        <v/>
      </c>
      <c r="AZ65" s="117">
        <f>SUMPRODUCT(($X65:$AD65="M")*6+($X65:$AD65="T")*6+($X65:$AD65="D")*12+($X65:$AD65="N")*12+($X65:$AD65="NT")*6+($X65:$AD65="C")*10+($X65:$AD65="A")*8+($X65:$AD65="J")*5+($X65:$AD65="CEP")*4+($X65:$AD65="CP")*6+($X65:$AD65="CRO")*6+($X65:$AD65="M+")*6+($X65:$AD65="T+")*6+($X65:$AD65="D+")*12+($X65:$AD65="N+")*12+($X65:$AD65="Dm+")*12+($X65:$AD65="Dt+")*12+($X65:$AD65="Tm-")*6+($X65:$AD65="Mt-")*6)</f>
        <v/>
      </c>
      <c r="BA65" s="118">
        <f>AZ65-MAX(0,IFERROR(INDEX(CADASTRO!$I$4:$I$80,MATCH($A65,CADASTRO!$A$4:$A$80,0)),$B65)-CONFIG!$B$50*(COUNTIF($X65:$AD65,"AB")+COUNTIF($X65:$AD65,"FE")+COUNTIF($X65:$AD65,"LM")))</f>
        <v/>
      </c>
      <c r="BB65" s="117">
        <f>SUMPRODUCT(($AE65:$AK65="M")*6+($AE65:$AK65="T")*6+($AE65:$AK65="D")*12+($AE65:$AK65="N")*12+($AE65:$AK65="NT")*6+($AE65:$AK65="C")*10+($AE65:$AK65="A")*8+($AE65:$AK65="J")*5+($AE65:$AK65="CEP")*4+($AE65:$AK65="CP")*6+($AE65:$AK65="CRO")*6+($AE65:$AK65="M+")*6+($AE65:$AK65="T+")*6+($AE65:$AK65="D+")*12+($AE65:$AK65="N+")*12+($AE65:$AK65="Dm+")*12+($AE65:$AK65="Dt+")*12+($AE65:$AK65="Tm-")*6+($AE65:$AK65="Mt-")*6)</f>
        <v/>
      </c>
      <c r="BC65" s="118">
        <f>BB65-MAX(0,IFERROR(INDEX(CADASTRO!$I$4:$I$80,MATCH($A65,CADASTRO!$A$4:$A$80,0)),$B65)-CONFIG!$B$50*(COUNTIF($AE65:$AK65,"AB")+COUNTIF($AE65:$AK65,"FE")+COUNTIF($AE65:$AK65,"LM")))</f>
        <v/>
      </c>
      <c r="BD65" s="117">
        <f>SUMPRODUCT(($AL65:$AM65="M")*6+($AL65:$AM65="T")*6+($AL65:$AM65="D")*12+($AL65:$AM65="N")*12+($AL65:$AM65="NT")*6+($AL65:$AM65="C")*10+($AL65:$AM65="A")*8+($AL65:$AM65="J")*5+($AL65:$AM65="CEP")*4+($AL65:$AM65="CP")*6+($AL65:$AM65="CRO")*6+($AL65:$AM65="M+")*6+($AL65:$AM65="T+")*6+($AL65:$AM65="D+")*12+($AL65:$AM65="N+")*12+($AL65:$AM65="Dm+")*12+($AL65:$AM65="Dt+")*12+($AL65:$AM65="Tm-")*6+($AL65:$AM65="Mt-")*6)+SUMPRODUCT(($AN65:$AR65="M")*6+($AN65:$AR65="T")*6+($AN65:$AR65="D")*12+($AN65:$AR65="N")*12+($AN65:$AR65="NT")*6+($AN65:$AR65="C")*10+($AN65:$AR65="A")*8+($AN65:$AR65="J")*5+($AN65:$AR65="CEP")*4+($AN65:$AR65="CP")*6+($AN65:$AR65="CRO")*6+($AN65:$AR65="M+")*6+($AN65:$AR65="T+")*6+($AN65:$AR65="D+")*12+($AN65:$AR65="N+")*12+($AN65:$AR65="Dm+")*12+($AN65:$AR65="Dt+")*12+($AN65:$AR65="Tm-")*6+($AN65:$AR65="Mt-")*6)</f>
        <v/>
      </c>
      <c r="BE65" s="118">
        <f>BD65-MAX(0,IFERROR(INDEX(CADASTRO!$I$4:$I$80,MATCH($A65,CADASTRO!$A$4:$A$80,0)),$B65)-CONFIG!$B$50*(COUNTIF($AL65:$AM65,"AB")+COUNTIF($AL65:$AM65,"FE")+COUNTIF($AL65:$AM65,"LM")+COUNTIF($AN65:$AR65,"AB")+COUNTIF($AN65:$AR65,"FE")+COUNTIF($AN65:$AR65,"LM")))</f>
        <v/>
      </c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36">
        <f>IFERROR(INDEX(FEV!AE$8:AE$73,MATCH($A66,FEV!$A$8:$A$73,0))&amp;"","")</f>
        <v/>
      </c>
      <c r="D66" s="136">
        <f>IFERROR(INDEX(FEV!AF$8:AF$73,MATCH($A66,FEV!$A$8:$A$73,0))&amp;"","")</f>
        <v/>
      </c>
      <c r="E66" s="136">
        <f>IFERROR(INDEX(FEV!AG$8:AG$73,MATCH($A66,FEV!$A$8:$A$73,0))&amp;"","")</f>
        <v/>
      </c>
      <c r="F66" s="136">
        <f>IFERROR(INDEX(FEV!AH$8:AH$73,MATCH($A66,FEV!$A$8:$A$73,0))&amp;"","")</f>
        <v/>
      </c>
      <c r="G66" s="136">
        <f>IFERROR(INDEX(FEV!AI$8:AI$73,MATCH($A66,FEV!$A$8:$A$73,0))&amp;"","")</f>
        <v/>
      </c>
      <c r="H66" s="116">
        <f>IFERROR(INDEX(FEV!AJ$8:AJ$73,MATCH($A66,FEV!$A$8:$A$73,0))&amp;"","")</f>
        <v/>
      </c>
      <c r="I66" s="115" t="inlineStr">
        <is>
          <t>M</t>
        </is>
      </c>
      <c r="J66" s="125" t="inlineStr">
        <is>
          <t>N</t>
        </is>
      </c>
      <c r="K66" s="114" t="n"/>
      <c r="L66" s="114" t="n"/>
      <c r="M66" s="126" t="inlineStr">
        <is>
          <t>T</t>
        </is>
      </c>
      <c r="N66" s="126" t="inlineStr">
        <is>
          <t>T</t>
        </is>
      </c>
      <c r="O66" s="114" t="n"/>
      <c r="P66" s="125" t="inlineStr">
        <is>
          <t>N</t>
        </is>
      </c>
      <c r="Q66" s="114" t="n"/>
      <c r="R66" s="124" t="inlineStr">
        <is>
          <t>D</t>
        </is>
      </c>
      <c r="S66" s="114" t="n"/>
      <c r="T66" s="125" t="inlineStr">
        <is>
          <t>N</t>
        </is>
      </c>
      <c r="U66" s="114" t="n"/>
      <c r="V66" s="114" t="n"/>
      <c r="W66" s="124" t="inlineStr">
        <is>
          <t>D</t>
        </is>
      </c>
      <c r="X66" s="125" t="inlineStr">
        <is>
          <t>N</t>
        </is>
      </c>
      <c r="Y66" s="126" t="inlineStr">
        <is>
          <t>T</t>
        </is>
      </c>
      <c r="Z66" s="114" t="n"/>
      <c r="AA66" s="125" t="inlineStr">
        <is>
          <t>N</t>
        </is>
      </c>
      <c r="AB66" s="114" t="n"/>
      <c r="AC66" s="114" t="n"/>
      <c r="AD66" s="126" t="inlineStr">
        <is>
          <t>T</t>
        </is>
      </c>
      <c r="AE66" s="125" t="inlineStr">
        <is>
          <t>N</t>
        </is>
      </c>
      <c r="AF66" s="126" t="inlineStr">
        <is>
          <t>T</t>
        </is>
      </c>
      <c r="AG66" s="126" t="inlineStr">
        <is>
          <t>T</t>
        </is>
      </c>
      <c r="AH66" s="125" t="inlineStr">
        <is>
          <t>N</t>
        </is>
      </c>
      <c r="AI66" s="114" t="n"/>
      <c r="AJ66" s="114" t="n"/>
      <c r="AK66" s="114" t="n"/>
      <c r="AL66" s="114" t="n"/>
      <c r="AM66" s="124" t="inlineStr">
        <is>
          <t>D</t>
        </is>
      </c>
      <c r="AN66" s="136">
        <f>IFERROR(INDEX(ABR!I$8:I$73,MATCH($A66,ABR!$A$8:$A$73,0))&amp;"","")</f>
        <v/>
      </c>
      <c r="AO66" s="136">
        <f>IFERROR(INDEX(ABR!J$8:J$73,MATCH($A66,ABR!$A$8:$A$73,0))&amp;"","")</f>
        <v/>
      </c>
      <c r="AP66" s="136">
        <f>IFERROR(INDEX(ABR!K$8:K$73,MATCH($A66,ABR!$A$8:$A$73,0))&amp;"","")</f>
        <v/>
      </c>
      <c r="AQ66" s="116">
        <f>IFERROR(INDEX(ABR!L$8:L$73,MATCH($A66,ABR!$A$8:$A$73,0))&amp;"","")</f>
        <v/>
      </c>
      <c r="AR66" s="116">
        <f>IFERROR(INDEX(ABR!M$8:M$73,MATCH($A66,ABR!$A$8:$A$73,0))&amp;"","")</f>
        <v/>
      </c>
      <c r="AS66" s="100" t="n"/>
      <c r="AT66" s="117">
        <f>SUMPRODUCT(($C66:$I66="M")*6+($C66:$I66="T")*6+($C66:$I66="D")*12+($C66:$I66="N")*12+($C66:$I66="NT")*6+($C66:$I66="C")*10+($C66:$I66="A")*8+($C66:$I66="J")*5+($C66:$I66="CEP")*4+($C66:$I66="CP")*6+($C66:$I66="CRO")*6+($C66:$I66="M+")*6+($C66:$I66="T+")*6+($C66:$I66="D+")*12+($C66:$I66="N+")*12+($C66:$I66="Dm+")*12+($C66:$I66="Dt+")*12+($C66:$I66="Tm-")*6+($C66:$I66="Mt-")*6)</f>
        <v/>
      </c>
      <c r="AU66" s="118">
        <f>AT66-MAX(0,IFERROR(INDEX(CADASTRO!$I$4:$I$80,MATCH($A66,CADASTRO!$A$4:$A$80,0)),$B66)-CONFIG!$B$50*(COUNTIF($C66:$I66,"AB")+COUNTIF($C66:$I66,"FE")+COUNTIF($C66:$I66,"LM")))</f>
        <v/>
      </c>
      <c r="AV66" s="117">
        <f>SUMPRODUCT(($J66:$P66="M")*6+($J66:$P66="T")*6+($J66:$P66="D")*12+($J66:$P66="N")*12+($J66:$P66="NT")*6+($J66:$P66="C")*10+($J66:$P66="A")*8+($J66:$P66="J")*5+($J66:$P66="CEP")*4+($J66:$P66="CP")*6+($J66:$P66="CRO")*6+($J66:$P66="M+")*6+($J66:$P66="T+")*6+($J66:$P66="D+")*12+($J66:$P66="N+")*12+($J66:$P66="Dm+")*12+($J66:$P66="Dt+")*12+($J66:$P66="Tm-")*6+($J66:$P66="Mt-")*6)</f>
        <v/>
      </c>
      <c r="AW66" s="118">
        <f>AV66-MAX(0,IFERROR(INDEX(CADASTRO!$I$4:$I$80,MATCH($A66,CADASTRO!$A$4:$A$80,0)),$B66)-CONFIG!$B$50*(COUNTIF($J66:$P66,"AB")+COUNTIF($J66:$P66,"FE")+COUNTIF($J66:$P66,"LM")))</f>
        <v/>
      </c>
      <c r="AX66" s="117">
        <f>SUMPRODUCT(($Q66:$W66="M")*6+($Q66:$W66="T")*6+($Q66:$W66="D")*12+($Q66:$W66="N")*12+($Q66:$W66="NT")*6+($Q66:$W66="C")*10+($Q66:$W66="A")*8+($Q66:$W66="J")*5+($Q66:$W66="CEP")*4+($Q66:$W66="CP")*6+($Q66:$W66="CRO")*6+($Q66:$W66="M+")*6+($Q66:$W66="T+")*6+($Q66:$W66="D+")*12+($Q66:$W66="N+")*12+($Q66:$W66="Dm+")*12+($Q66:$W66="Dt+")*12+($Q66:$W66="Tm-")*6+($Q66:$W66="Mt-")*6)</f>
        <v/>
      </c>
      <c r="AY66" s="118">
        <f>AX66-MAX(0,IFERROR(INDEX(CADASTRO!$I$4:$I$80,MATCH($A66,CADASTRO!$A$4:$A$80,0)),$B66)-CONFIG!$B$50*(COUNTIF($Q66:$W66,"AB")+COUNTIF($Q66:$W66,"FE")+COUNTIF($Q66:$W66,"LM")))</f>
        <v/>
      </c>
      <c r="AZ66" s="117">
        <f>SUMPRODUCT(($X66:$AD66="M")*6+($X66:$AD66="T")*6+($X66:$AD66="D")*12+($X66:$AD66="N")*12+($X66:$AD66="NT")*6+($X66:$AD66="C")*10+($X66:$AD66="A")*8+($X66:$AD66="J")*5+($X66:$AD66="CEP")*4+($X66:$AD66="CP")*6+($X66:$AD66="CRO")*6+($X66:$AD66="M+")*6+($X66:$AD66="T+")*6+($X66:$AD66="D+")*12+($X66:$AD66="N+")*12+($X66:$AD66="Dm+")*12+($X66:$AD66="Dt+")*12+($X66:$AD66="Tm-")*6+($X66:$AD66="Mt-")*6)</f>
        <v/>
      </c>
      <c r="BA66" s="118">
        <f>AZ66-MAX(0,IFERROR(INDEX(CADASTRO!$I$4:$I$80,MATCH($A66,CADASTRO!$A$4:$A$80,0)),$B66)-CONFIG!$B$50*(COUNTIF($X66:$AD66,"AB")+COUNTIF($X66:$AD66,"FE")+COUNTIF($X66:$AD66,"LM")))</f>
        <v/>
      </c>
      <c r="BB66" s="117">
        <f>SUMPRODUCT(($AE66:$AK66="M")*6+($AE66:$AK66="T")*6+($AE66:$AK66="D")*12+($AE66:$AK66="N")*12+($AE66:$AK66="NT")*6+($AE66:$AK66="C")*10+($AE66:$AK66="A")*8+($AE66:$AK66="J")*5+($AE66:$AK66="CEP")*4+($AE66:$AK66="CP")*6+($AE66:$AK66="CRO")*6+($AE66:$AK66="M+")*6+($AE66:$AK66="T+")*6+($AE66:$AK66="D+")*12+($AE66:$AK66="N+")*12+($AE66:$AK66="Dm+")*12+($AE66:$AK66="Dt+")*12+($AE66:$AK66="Tm-")*6+($AE66:$AK66="Mt-")*6)</f>
        <v/>
      </c>
      <c r="BC66" s="118">
        <f>BB66-MAX(0,IFERROR(INDEX(CADASTRO!$I$4:$I$80,MATCH($A66,CADASTRO!$A$4:$A$80,0)),$B66)-CONFIG!$B$50*(COUNTIF($AE66:$AK66,"AB")+COUNTIF($AE66:$AK66,"FE")+COUNTIF($AE66:$AK66,"LM")))</f>
        <v/>
      </c>
      <c r="BD66" s="117">
        <f>SUMPRODUCT(($AL66:$AM66="M")*6+($AL66:$AM66="T")*6+($AL66:$AM66="D")*12+($AL66:$AM66="N")*12+($AL66:$AM66="NT")*6+($AL66:$AM66="C")*10+($AL66:$AM66="A")*8+($AL66:$AM66="J")*5+($AL66:$AM66="CEP")*4+($AL66:$AM66="CP")*6+($AL66:$AM66="CRO")*6+($AL66:$AM66="M+")*6+($AL66:$AM66="T+")*6+($AL66:$AM66="D+")*12+($AL66:$AM66="N+")*12+($AL66:$AM66="Dm+")*12+($AL66:$AM66="Dt+")*12+($AL66:$AM66="Tm-")*6+($AL66:$AM66="Mt-")*6)+SUMPRODUCT(($AN66:$AR66="M")*6+($AN66:$AR66="T")*6+($AN66:$AR66="D")*12+($AN66:$AR66="N")*12+($AN66:$AR66="NT")*6+($AN66:$AR66="C")*10+($AN66:$AR66="A")*8+($AN66:$AR66="J")*5+($AN66:$AR66="CEP")*4+($AN66:$AR66="CP")*6+($AN66:$AR66="CRO")*6+($AN66:$AR66="M+")*6+($AN66:$AR66="T+")*6+($AN66:$AR66="D+")*12+($AN66:$AR66="N+")*12+($AN66:$AR66="Dm+")*12+($AN66:$AR66="Dt+")*12+($AN66:$AR66="Tm-")*6+($AN66:$AR66="Mt-")*6)</f>
        <v/>
      </c>
      <c r="BE66" s="118">
        <f>BD66-MAX(0,IFERROR(INDEX(CADASTRO!$I$4:$I$80,MATCH($A66,CADASTRO!$A$4:$A$80,0)),$B66)-CONFIG!$B$50*(COUNTIF($AL66:$AM66,"AB")+COUNTIF($AL66:$AM66,"FE")+COUNTIF($AL66:$AM66,"LM")+COUNTIF($AN66:$AR66,"AB")+COUNTIF($AN66:$AR66,"FE")+COUNTIF($AN66:$AR66,"LM")))</f>
        <v/>
      </c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36">
        <f>IFERROR(INDEX(FEV!AE$8:AE$73,MATCH($A67,FEV!$A$8:$A$73,0))&amp;"","")</f>
        <v/>
      </c>
      <c r="D67" s="136">
        <f>IFERROR(INDEX(FEV!AF$8:AF$73,MATCH($A67,FEV!$A$8:$A$73,0))&amp;"","")</f>
        <v/>
      </c>
      <c r="E67" s="136">
        <f>IFERROR(INDEX(FEV!AG$8:AG$73,MATCH($A67,FEV!$A$8:$A$73,0))&amp;"","")</f>
        <v/>
      </c>
      <c r="F67" s="136">
        <f>IFERROR(INDEX(FEV!AH$8:AH$73,MATCH($A67,FEV!$A$8:$A$73,0))&amp;"","")</f>
        <v/>
      </c>
      <c r="G67" s="136">
        <f>IFERROR(INDEX(FEV!AI$8:AI$73,MATCH($A67,FEV!$A$8:$A$73,0))&amp;"","")</f>
        <v/>
      </c>
      <c r="H67" s="116">
        <f>IFERROR(INDEX(FEV!AJ$8:AJ$73,MATCH($A67,FEV!$A$8:$A$73,0))&amp;"","")</f>
        <v/>
      </c>
      <c r="I67" s="114" t="n"/>
      <c r="J67" s="131" t="inlineStr">
        <is>
          <t>CP</t>
        </is>
      </c>
      <c r="K67" s="125" t="inlineStr">
        <is>
          <t>N</t>
        </is>
      </c>
      <c r="L67" s="131" t="inlineStr">
        <is>
          <t>CP</t>
        </is>
      </c>
      <c r="M67" s="114" t="n"/>
      <c r="N67" s="114" t="n"/>
      <c r="O67" s="114" t="n"/>
      <c r="P67" s="115" t="inlineStr">
        <is>
          <t>M</t>
        </is>
      </c>
      <c r="Q67" s="115" t="inlineStr">
        <is>
          <t>M</t>
        </is>
      </c>
      <c r="R67" s="131" t="inlineStr">
        <is>
          <t>CP</t>
        </is>
      </c>
      <c r="S67" s="131" t="inlineStr">
        <is>
          <t>CP</t>
        </is>
      </c>
      <c r="T67" s="114" t="n"/>
      <c r="U67" s="125" t="inlineStr">
        <is>
          <t>N</t>
        </is>
      </c>
      <c r="V67" s="114" t="n"/>
      <c r="W67" s="114" t="n"/>
      <c r="X67" s="115" t="inlineStr">
        <is>
          <t>M</t>
        </is>
      </c>
      <c r="Y67" s="131" t="inlineStr">
        <is>
          <t>CP</t>
        </is>
      </c>
      <c r="Z67" s="131" t="inlineStr">
        <is>
          <t>CP</t>
        </is>
      </c>
      <c r="AA67" s="114" t="n"/>
      <c r="AB67" s="114" t="n"/>
      <c r="AC67" s="125" t="inlineStr">
        <is>
          <t>N</t>
        </is>
      </c>
      <c r="AD67" s="114" t="n"/>
      <c r="AE67" s="114" t="n"/>
      <c r="AF67" s="114" t="n"/>
      <c r="AG67" s="114" t="n"/>
      <c r="AH67" s="114" t="n"/>
      <c r="AI67" s="114" t="n"/>
      <c r="AJ67" s="114" t="n"/>
      <c r="AK67" s="114" t="n"/>
      <c r="AL67" s="114" t="n"/>
      <c r="AM67" s="114" t="n"/>
      <c r="AN67" s="136">
        <f>IFERROR(INDEX(ABR!I$8:I$73,MATCH($A67,ABR!$A$8:$A$73,0))&amp;"","")</f>
        <v/>
      </c>
      <c r="AO67" s="136">
        <f>IFERROR(INDEX(ABR!J$8:J$73,MATCH($A67,ABR!$A$8:$A$73,0))&amp;"","")</f>
        <v/>
      </c>
      <c r="AP67" s="136">
        <f>IFERROR(INDEX(ABR!K$8:K$73,MATCH($A67,ABR!$A$8:$A$73,0))&amp;"","")</f>
        <v/>
      </c>
      <c r="AQ67" s="116">
        <f>IFERROR(INDEX(ABR!L$8:L$73,MATCH($A67,ABR!$A$8:$A$73,0))&amp;"","")</f>
        <v/>
      </c>
      <c r="AR67" s="116">
        <f>IFERROR(INDEX(ABR!M$8:M$73,MATCH($A67,ABR!$A$8:$A$73,0))&amp;"","")</f>
        <v/>
      </c>
      <c r="AS67" s="100" t="n"/>
      <c r="AT67" s="117">
        <f>SUMPRODUCT(($C67:$I67="M")*6+($C67:$I67="T")*6+($C67:$I67="D")*12+($C67:$I67="N")*12+($C67:$I67="NT")*6+($C67:$I67="C")*10+($C67:$I67="A")*8+($C67:$I67="J")*5+($C67:$I67="CEP")*4+($C67:$I67="CP")*6+($C67:$I67="CRO")*6+($C67:$I67="M+")*6+($C67:$I67="T+")*6+($C67:$I67="D+")*12+($C67:$I67="N+")*12+($C67:$I67="Dm+")*12+($C67:$I67="Dt+")*12+($C67:$I67="Tm-")*6+($C67:$I67="Mt-")*6)</f>
        <v/>
      </c>
      <c r="AU67" s="118">
        <f>AT67-MAX(0,IFERROR(INDEX(CADASTRO!$I$4:$I$80,MATCH($A67,CADASTRO!$A$4:$A$80,0)),$B67)-CONFIG!$B$50*(COUNTIF($C67:$I67,"AB")+COUNTIF($C67:$I67,"FE")+COUNTIF($C67:$I67,"LM")))</f>
        <v/>
      </c>
      <c r="AV67" s="117">
        <f>SUMPRODUCT(($J67:$P67="M")*6+($J67:$P67="T")*6+($J67:$P67="D")*12+($J67:$P67="N")*12+($J67:$P67="NT")*6+($J67:$P67="C")*10+($J67:$P67="A")*8+($J67:$P67="J")*5+($J67:$P67="CEP")*4+($J67:$P67="CP")*6+($J67:$P67="CRO")*6+($J67:$P67="M+")*6+($J67:$P67="T+")*6+($J67:$P67="D+")*12+($J67:$P67="N+")*12+($J67:$P67="Dm+")*12+($J67:$P67="Dt+")*12+($J67:$P67="Tm-")*6+($J67:$P67="Mt-")*6)</f>
        <v/>
      </c>
      <c r="AW67" s="118">
        <f>AV67-MAX(0,IFERROR(INDEX(CADASTRO!$I$4:$I$80,MATCH($A67,CADASTRO!$A$4:$A$80,0)),$B67)-CONFIG!$B$50*(COUNTIF($J67:$P67,"AB")+COUNTIF($J67:$P67,"FE")+COUNTIF($J67:$P67,"LM")))</f>
        <v/>
      </c>
      <c r="AX67" s="117">
        <f>SUMPRODUCT(($Q67:$W67="M")*6+($Q67:$W67="T")*6+($Q67:$W67="D")*12+($Q67:$W67="N")*12+($Q67:$W67="NT")*6+($Q67:$W67="C")*10+($Q67:$W67="A")*8+($Q67:$W67="J")*5+($Q67:$W67="CEP")*4+($Q67:$W67="CP")*6+($Q67:$W67="CRO")*6+($Q67:$W67="M+")*6+($Q67:$W67="T+")*6+($Q67:$W67="D+")*12+($Q67:$W67="N+")*12+($Q67:$W67="Dm+")*12+($Q67:$W67="Dt+")*12+($Q67:$W67="Tm-")*6+($Q67:$W67="Mt-")*6)</f>
        <v/>
      </c>
      <c r="AY67" s="118">
        <f>AX67-MAX(0,IFERROR(INDEX(CADASTRO!$I$4:$I$80,MATCH($A67,CADASTRO!$A$4:$A$80,0)),$B67)-CONFIG!$B$50*(COUNTIF($Q67:$W67,"AB")+COUNTIF($Q67:$W67,"FE")+COUNTIF($Q67:$W67,"LM")))</f>
        <v/>
      </c>
      <c r="AZ67" s="117">
        <f>SUMPRODUCT(($X67:$AD67="M")*6+($X67:$AD67="T")*6+($X67:$AD67="D")*12+($X67:$AD67="N")*12+($X67:$AD67="NT")*6+($X67:$AD67="C")*10+($X67:$AD67="A")*8+($X67:$AD67="J")*5+($X67:$AD67="CEP")*4+($X67:$AD67="CP")*6+($X67:$AD67="CRO")*6+($X67:$AD67="M+")*6+($X67:$AD67="T+")*6+($X67:$AD67="D+")*12+($X67:$AD67="N+")*12+($X67:$AD67="Dm+")*12+($X67:$AD67="Dt+")*12+($X67:$AD67="Tm-")*6+($X67:$AD67="Mt-")*6)</f>
        <v/>
      </c>
      <c r="BA67" s="118">
        <f>AZ67-MAX(0,IFERROR(INDEX(CADASTRO!$I$4:$I$80,MATCH($A67,CADASTRO!$A$4:$A$80,0)),$B67)-CONFIG!$B$50*(COUNTIF($X67:$AD67,"AB")+COUNTIF($X67:$AD67,"FE")+COUNTIF($X67:$AD67,"LM")))</f>
        <v/>
      </c>
      <c r="BB67" s="117">
        <f>SUMPRODUCT(($AE67:$AK67="M")*6+($AE67:$AK67="T")*6+($AE67:$AK67="D")*12+($AE67:$AK67="N")*12+($AE67:$AK67="NT")*6+($AE67:$AK67="C")*10+($AE67:$AK67="A")*8+($AE67:$AK67="J")*5+($AE67:$AK67="CEP")*4+($AE67:$AK67="CP")*6+($AE67:$AK67="CRO")*6+($AE67:$AK67="M+")*6+($AE67:$AK67="T+")*6+($AE67:$AK67="D+")*12+($AE67:$AK67="N+")*12+($AE67:$AK67="Dm+")*12+($AE67:$AK67="Dt+")*12+($AE67:$AK67="Tm-")*6+($AE67:$AK67="Mt-")*6)</f>
        <v/>
      </c>
      <c r="BC67" s="118">
        <f>BB67-MAX(0,IFERROR(INDEX(CADASTRO!$I$4:$I$80,MATCH($A67,CADASTRO!$A$4:$A$80,0)),$B67)-CONFIG!$B$50*(COUNTIF($AE67:$AK67,"AB")+COUNTIF($AE67:$AK67,"FE")+COUNTIF($AE67:$AK67,"LM")))</f>
        <v/>
      </c>
      <c r="BD67" s="117">
        <f>SUMPRODUCT(($AL67:$AM67="M")*6+($AL67:$AM67="T")*6+($AL67:$AM67="D")*12+($AL67:$AM67="N")*12+($AL67:$AM67="NT")*6+($AL67:$AM67="C")*10+($AL67:$AM67="A")*8+($AL67:$AM67="J")*5+($AL67:$AM67="CEP")*4+($AL67:$AM67="CP")*6+($AL67:$AM67="CRO")*6+($AL67:$AM67="M+")*6+($AL67:$AM67="T+")*6+($AL67:$AM67="D+")*12+($AL67:$AM67="N+")*12+($AL67:$AM67="Dm+")*12+($AL67:$AM67="Dt+")*12+($AL67:$AM67="Tm-")*6+($AL67:$AM67="Mt-")*6)+SUMPRODUCT(($AN67:$AR67="M")*6+($AN67:$AR67="T")*6+($AN67:$AR67="D")*12+($AN67:$AR67="N")*12+($AN67:$AR67="NT")*6+($AN67:$AR67="C")*10+($AN67:$AR67="A")*8+($AN67:$AR67="J")*5+($AN67:$AR67="CEP")*4+($AN67:$AR67="CP")*6+($AN67:$AR67="CRO")*6+($AN67:$AR67="M+")*6+($AN67:$AR67="T+")*6+($AN67:$AR67="D+")*12+($AN67:$AR67="N+")*12+($AN67:$AR67="Dm+")*12+($AN67:$AR67="Dt+")*12+($AN67:$AR67="Tm-")*6+($AN67:$AR67="Mt-")*6)</f>
        <v/>
      </c>
      <c r="BE67" s="118">
        <f>BD67-MAX(0,IFERROR(INDEX(CADASTRO!$I$4:$I$80,MATCH($A67,CADASTRO!$A$4:$A$80,0)),$B67)-CONFIG!$B$50*(COUNTIF($AL67:$AM67,"AB")+COUNTIF($AL67:$AM67,"FE")+COUNTIF($AL67:$AM67,"LM")+COUNTIF($AN67:$AR67,"AB")+COUNTIF($AN67:$AR67,"FE")+COUNTIF($AN67:$AR67,"LM")))</f>
        <v/>
      </c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36">
        <f>IFERROR(INDEX(FEV!AE$8:AE$73,MATCH($A68,FEV!$A$8:$A$73,0))&amp;"","")</f>
        <v/>
      </c>
      <c r="D68" s="136">
        <f>IFERROR(INDEX(FEV!AF$8:AF$73,MATCH($A68,FEV!$A$8:$A$73,0))&amp;"","")</f>
        <v/>
      </c>
      <c r="E68" s="136">
        <f>IFERROR(INDEX(FEV!AG$8:AG$73,MATCH($A68,FEV!$A$8:$A$73,0))&amp;"","")</f>
        <v/>
      </c>
      <c r="F68" s="136">
        <f>IFERROR(INDEX(FEV!AH$8:AH$73,MATCH($A68,FEV!$A$8:$A$73,0))&amp;"","")</f>
        <v/>
      </c>
      <c r="G68" s="136">
        <f>IFERROR(INDEX(FEV!AI$8:AI$73,MATCH($A68,FEV!$A$8:$A$73,0))&amp;"","")</f>
        <v/>
      </c>
      <c r="H68" s="116">
        <f>IFERROR(INDEX(FEV!AJ$8:AJ$73,MATCH($A68,FEV!$A$8:$A$73,0))&amp;"","")</f>
        <v/>
      </c>
      <c r="I68" s="115" t="inlineStr">
        <is>
          <t>M</t>
        </is>
      </c>
      <c r="J68" s="114" t="n"/>
      <c r="K68" s="114" t="n"/>
      <c r="L68" s="125" t="inlineStr">
        <is>
          <t>N</t>
        </is>
      </c>
      <c r="M68" s="114" t="n"/>
      <c r="N68" s="127" t="inlineStr">
        <is>
          <t>Mt-</t>
        </is>
      </c>
      <c r="O68" s="114" t="n"/>
      <c r="P68" s="114" t="n"/>
      <c r="Q68" s="114" t="n"/>
      <c r="R68" s="114" t="n"/>
      <c r="S68" s="125" t="inlineStr">
        <is>
          <t>N</t>
        </is>
      </c>
      <c r="T68" s="114" t="n"/>
      <c r="U68" s="114" t="n"/>
      <c r="V68" s="124" t="inlineStr">
        <is>
          <t>D</t>
        </is>
      </c>
      <c r="W68" s="123" t="inlineStr">
        <is>
          <t>T+</t>
        </is>
      </c>
      <c r="X68" s="114" t="n"/>
      <c r="Y68" s="114" t="n"/>
      <c r="Z68" s="125" t="inlineStr">
        <is>
          <t>N</t>
        </is>
      </c>
      <c r="AA68" s="114" t="n"/>
      <c r="AB68" s="124" t="inlineStr">
        <is>
          <t>D</t>
        </is>
      </c>
      <c r="AC68" s="114" t="n"/>
      <c r="AD68" s="114" t="n"/>
      <c r="AE68" s="114" t="n"/>
      <c r="AF68" s="114" t="n"/>
      <c r="AG68" s="125" t="inlineStr">
        <is>
          <t>N</t>
        </is>
      </c>
      <c r="AH68" s="114" t="n"/>
      <c r="AI68" s="126" t="inlineStr">
        <is>
          <t>T</t>
        </is>
      </c>
      <c r="AJ68" s="115" t="inlineStr">
        <is>
          <t>M</t>
        </is>
      </c>
      <c r="AK68" s="114" t="n"/>
      <c r="AL68" s="114" t="n"/>
      <c r="AM68" s="114" t="n"/>
      <c r="AN68" s="136">
        <f>IFERROR(INDEX(ABR!I$8:I$73,MATCH($A68,ABR!$A$8:$A$73,0))&amp;"","")</f>
        <v/>
      </c>
      <c r="AO68" s="136">
        <f>IFERROR(INDEX(ABR!J$8:J$73,MATCH($A68,ABR!$A$8:$A$73,0))&amp;"","")</f>
        <v/>
      </c>
      <c r="AP68" s="136">
        <f>IFERROR(INDEX(ABR!K$8:K$73,MATCH($A68,ABR!$A$8:$A$73,0))&amp;"","")</f>
        <v/>
      </c>
      <c r="AQ68" s="116">
        <f>IFERROR(INDEX(ABR!L$8:L$73,MATCH($A68,ABR!$A$8:$A$73,0))&amp;"","")</f>
        <v/>
      </c>
      <c r="AR68" s="116">
        <f>IFERROR(INDEX(ABR!M$8:M$73,MATCH($A68,ABR!$A$8:$A$73,0))&amp;"","")</f>
        <v/>
      </c>
      <c r="AS68" s="100" t="n"/>
      <c r="AT68" s="117">
        <f>SUMPRODUCT(($C68:$I68="M")*6+($C68:$I68="T")*6+($C68:$I68="D")*12+($C68:$I68="N")*12+($C68:$I68="NT")*6+($C68:$I68="C")*10+($C68:$I68="A")*8+($C68:$I68="J")*5+($C68:$I68="CEP")*4+($C68:$I68="CP")*6+($C68:$I68="CRO")*6+($C68:$I68="M+")*6+($C68:$I68="T+")*6+($C68:$I68="D+")*12+($C68:$I68="N+")*12+($C68:$I68="Dm+")*12+($C68:$I68="Dt+")*12+($C68:$I68="Tm-")*6+($C68:$I68="Mt-")*6)</f>
        <v/>
      </c>
      <c r="AU68" s="118">
        <f>AT68-MAX(0,IFERROR(INDEX(CADASTRO!$I$4:$I$80,MATCH($A68,CADASTRO!$A$4:$A$80,0)),$B68)-CONFIG!$B$50*(COUNTIF($C68:$I68,"AB")+COUNTIF($C68:$I68,"FE")+COUNTIF($C68:$I68,"LM")))</f>
        <v/>
      </c>
      <c r="AV68" s="117">
        <f>SUMPRODUCT(($J68:$P68="M")*6+($J68:$P68="T")*6+($J68:$P68="D")*12+($J68:$P68="N")*12+($J68:$P68="NT")*6+($J68:$P68="C")*10+($J68:$P68="A")*8+($J68:$P68="J")*5+($J68:$P68="CEP")*4+($J68:$P68="CP")*6+($J68:$P68="CRO")*6+($J68:$P68="M+")*6+($J68:$P68="T+")*6+($J68:$P68="D+")*12+($J68:$P68="N+")*12+($J68:$P68="Dm+")*12+($J68:$P68="Dt+")*12+($J68:$P68="Tm-")*6+($J68:$P68="Mt-")*6)</f>
        <v/>
      </c>
      <c r="AW68" s="118">
        <f>AV68-MAX(0,IFERROR(INDEX(CADASTRO!$I$4:$I$80,MATCH($A68,CADASTRO!$A$4:$A$80,0)),$B68)-CONFIG!$B$50*(COUNTIF($J68:$P68,"AB")+COUNTIF($J68:$P68,"FE")+COUNTIF($J68:$P68,"LM")))</f>
        <v/>
      </c>
      <c r="AX68" s="117">
        <f>SUMPRODUCT(($Q68:$W68="M")*6+($Q68:$W68="T")*6+($Q68:$W68="D")*12+($Q68:$W68="N")*12+($Q68:$W68="NT")*6+($Q68:$W68="C")*10+($Q68:$W68="A")*8+($Q68:$W68="J")*5+($Q68:$W68="CEP")*4+($Q68:$W68="CP")*6+($Q68:$W68="CRO")*6+($Q68:$W68="M+")*6+($Q68:$W68="T+")*6+($Q68:$W68="D+")*12+($Q68:$W68="N+")*12+($Q68:$W68="Dm+")*12+($Q68:$W68="Dt+")*12+($Q68:$W68="Tm-")*6+($Q68:$W68="Mt-")*6)</f>
        <v/>
      </c>
      <c r="AY68" s="118">
        <f>AX68-MAX(0,IFERROR(INDEX(CADASTRO!$I$4:$I$80,MATCH($A68,CADASTRO!$A$4:$A$80,0)),$B68)-CONFIG!$B$50*(COUNTIF($Q68:$W68,"AB")+COUNTIF($Q68:$W68,"FE")+COUNTIF($Q68:$W68,"LM")))</f>
        <v/>
      </c>
      <c r="AZ68" s="117">
        <f>SUMPRODUCT(($X68:$AD68="M")*6+($X68:$AD68="T")*6+($X68:$AD68="D")*12+($X68:$AD68="N")*12+($X68:$AD68="NT")*6+($X68:$AD68="C")*10+($X68:$AD68="A")*8+($X68:$AD68="J")*5+($X68:$AD68="CEP")*4+($X68:$AD68="CP")*6+($X68:$AD68="CRO")*6+($X68:$AD68="M+")*6+($X68:$AD68="T+")*6+($X68:$AD68="D+")*12+($X68:$AD68="N+")*12+($X68:$AD68="Dm+")*12+($X68:$AD68="Dt+")*12+($X68:$AD68="Tm-")*6+($X68:$AD68="Mt-")*6)</f>
        <v/>
      </c>
      <c r="BA68" s="118">
        <f>AZ68-MAX(0,IFERROR(INDEX(CADASTRO!$I$4:$I$80,MATCH($A68,CADASTRO!$A$4:$A$80,0)),$B68)-CONFIG!$B$50*(COUNTIF($X68:$AD68,"AB")+COUNTIF($X68:$AD68,"FE")+COUNTIF($X68:$AD68,"LM")))</f>
        <v/>
      </c>
      <c r="BB68" s="117">
        <f>SUMPRODUCT(($AE68:$AK68="M")*6+($AE68:$AK68="T")*6+($AE68:$AK68="D")*12+($AE68:$AK68="N")*12+($AE68:$AK68="NT")*6+($AE68:$AK68="C")*10+($AE68:$AK68="A")*8+($AE68:$AK68="J")*5+($AE68:$AK68="CEP")*4+($AE68:$AK68="CP")*6+($AE68:$AK68="CRO")*6+($AE68:$AK68="M+")*6+($AE68:$AK68="T+")*6+($AE68:$AK68="D+")*12+($AE68:$AK68="N+")*12+($AE68:$AK68="Dm+")*12+($AE68:$AK68="Dt+")*12+($AE68:$AK68="Tm-")*6+($AE68:$AK68="Mt-")*6)</f>
        <v/>
      </c>
      <c r="BC68" s="118">
        <f>BB68-MAX(0,IFERROR(INDEX(CADASTRO!$I$4:$I$80,MATCH($A68,CADASTRO!$A$4:$A$80,0)),$B68)-CONFIG!$B$50*(COUNTIF($AE68:$AK68,"AB")+COUNTIF($AE68:$AK68,"FE")+COUNTIF($AE68:$AK68,"LM")))</f>
        <v/>
      </c>
      <c r="BD68" s="117">
        <f>SUMPRODUCT(($AL68:$AM68="M")*6+($AL68:$AM68="T")*6+($AL68:$AM68="D")*12+($AL68:$AM68="N")*12+($AL68:$AM68="NT")*6+($AL68:$AM68="C")*10+($AL68:$AM68="A")*8+($AL68:$AM68="J")*5+($AL68:$AM68="CEP")*4+($AL68:$AM68="CP")*6+($AL68:$AM68="CRO")*6+($AL68:$AM68="M+")*6+($AL68:$AM68="T+")*6+($AL68:$AM68="D+")*12+($AL68:$AM68="N+")*12+($AL68:$AM68="Dm+")*12+($AL68:$AM68="Dt+")*12+($AL68:$AM68="Tm-")*6+($AL68:$AM68="Mt-")*6)+SUMPRODUCT(($AN68:$AR68="M")*6+($AN68:$AR68="T")*6+($AN68:$AR68="D")*12+($AN68:$AR68="N")*12+($AN68:$AR68="NT")*6+($AN68:$AR68="C")*10+($AN68:$AR68="A")*8+($AN68:$AR68="J")*5+($AN68:$AR68="CEP")*4+($AN68:$AR68="CP")*6+($AN68:$AR68="CRO")*6+($AN68:$AR68="M+")*6+($AN68:$AR68="T+")*6+($AN68:$AR68="D+")*12+($AN68:$AR68="N+")*12+($AN68:$AR68="Dm+")*12+($AN68:$AR68="Dt+")*12+($AN68:$AR68="Tm-")*6+($AN68:$AR68="Mt-")*6)</f>
        <v/>
      </c>
      <c r="BE68" s="118">
        <f>BD68-MAX(0,IFERROR(INDEX(CADASTRO!$I$4:$I$80,MATCH($A68,CADASTRO!$A$4:$A$80,0)),$B68)-CONFIG!$B$50*(COUNTIF($AL68:$AM68,"AB")+COUNTIF($AL68:$AM68,"FE")+COUNTIF($AL68:$AM68,"LM")+COUNTIF($AN68:$AR68,"AB")+COUNTIF($AN68:$AR68,"FE")+COUNTIF($AN68:$AR68,"LM")))</f>
        <v/>
      </c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36">
        <f>IFERROR(INDEX(FEV!AE$8:AE$73,MATCH($A69,FEV!$A$8:$A$73,0))&amp;"","")</f>
        <v/>
      </c>
      <c r="D69" s="136">
        <f>IFERROR(INDEX(FEV!AF$8:AF$73,MATCH($A69,FEV!$A$8:$A$73,0))&amp;"","")</f>
        <v/>
      </c>
      <c r="E69" s="136">
        <f>IFERROR(INDEX(FEV!AG$8:AG$73,MATCH($A69,FEV!$A$8:$A$73,0))&amp;"","")</f>
        <v/>
      </c>
      <c r="F69" s="136">
        <f>IFERROR(INDEX(FEV!AH$8:AH$73,MATCH($A69,FEV!$A$8:$A$73,0))&amp;"","")</f>
        <v/>
      </c>
      <c r="G69" s="136">
        <f>IFERROR(INDEX(FEV!AI$8:AI$73,MATCH($A69,FEV!$A$8:$A$73,0))&amp;"","")</f>
        <v/>
      </c>
      <c r="H69" s="116">
        <f>IFERROR(INDEX(FEV!AJ$8:AJ$73,MATCH($A69,FEV!$A$8:$A$73,0))&amp;"","")</f>
        <v/>
      </c>
      <c r="I69" s="114" t="n"/>
      <c r="J69" s="126" t="inlineStr">
        <is>
          <t>T</t>
        </is>
      </c>
      <c r="K69" s="114" t="n"/>
      <c r="L69" s="124" t="inlineStr">
        <is>
          <t>D</t>
        </is>
      </c>
      <c r="M69" s="115" t="inlineStr">
        <is>
          <t>M</t>
        </is>
      </c>
      <c r="N69" s="114" t="n"/>
      <c r="O69" s="114" t="n"/>
      <c r="P69" s="114" t="n"/>
      <c r="Q69" s="114" t="n"/>
      <c r="R69" s="114" t="n"/>
      <c r="S69" s="115" t="inlineStr">
        <is>
          <t>M</t>
        </is>
      </c>
      <c r="T69" s="114" t="n"/>
      <c r="U69" s="125" t="inlineStr">
        <is>
          <t>N</t>
        </is>
      </c>
      <c r="V69" s="126" t="inlineStr">
        <is>
          <t>T</t>
        </is>
      </c>
      <c r="W69" s="114" t="n"/>
      <c r="X69" s="114" t="n"/>
      <c r="Y69" s="114" t="n"/>
      <c r="Z69" s="115" t="inlineStr">
        <is>
          <t>M</t>
        </is>
      </c>
      <c r="AA69" s="114" t="n"/>
      <c r="AB69" s="114" t="n"/>
      <c r="AC69" s="126" t="inlineStr">
        <is>
          <t>T</t>
        </is>
      </c>
      <c r="AD69" s="125" t="inlineStr">
        <is>
          <t>N</t>
        </is>
      </c>
      <c r="AE69" s="126" t="inlineStr">
        <is>
          <t>T</t>
        </is>
      </c>
      <c r="AF69" s="114" t="n"/>
      <c r="AG69" s="124" t="inlineStr">
        <is>
          <t>D</t>
        </is>
      </c>
      <c r="AH69" s="114" t="n"/>
      <c r="AI69" s="126" t="inlineStr">
        <is>
          <t>T</t>
        </is>
      </c>
      <c r="AJ69" s="114" t="n"/>
      <c r="AK69" s="114" t="n"/>
      <c r="AL69" s="114" t="n"/>
      <c r="AM69" s="114" t="n"/>
      <c r="AN69" s="136">
        <f>IFERROR(INDEX(ABR!I$8:I$73,MATCH($A69,ABR!$A$8:$A$73,0))&amp;"","")</f>
        <v/>
      </c>
      <c r="AO69" s="136">
        <f>IFERROR(INDEX(ABR!J$8:J$73,MATCH($A69,ABR!$A$8:$A$73,0))&amp;"","")</f>
        <v/>
      </c>
      <c r="AP69" s="136">
        <f>IFERROR(INDEX(ABR!K$8:K$73,MATCH($A69,ABR!$A$8:$A$73,0))&amp;"","")</f>
        <v/>
      </c>
      <c r="AQ69" s="116">
        <f>IFERROR(INDEX(ABR!L$8:L$73,MATCH($A69,ABR!$A$8:$A$73,0))&amp;"","")</f>
        <v/>
      </c>
      <c r="AR69" s="116">
        <f>IFERROR(INDEX(ABR!M$8:M$73,MATCH($A69,ABR!$A$8:$A$73,0))&amp;"","")</f>
        <v/>
      </c>
      <c r="AS69" s="100" t="n"/>
      <c r="AT69" s="117">
        <f>SUMPRODUCT(($C69:$I69="M")*6+($C69:$I69="T")*6+($C69:$I69="D")*12+($C69:$I69="N")*12+($C69:$I69="NT")*6+($C69:$I69="C")*10+($C69:$I69="A")*8+($C69:$I69="J")*5+($C69:$I69="CEP")*4+($C69:$I69="CP")*6+($C69:$I69="CRO")*6+($C69:$I69="M+")*6+($C69:$I69="T+")*6+($C69:$I69="D+")*12+($C69:$I69="N+")*12+($C69:$I69="Dm+")*12+($C69:$I69="Dt+")*12+($C69:$I69="Tm-")*6+($C69:$I69="Mt-")*6)</f>
        <v/>
      </c>
      <c r="AU69" s="118">
        <f>AT69-MAX(0,IFERROR(INDEX(CADASTRO!$I$4:$I$80,MATCH($A69,CADASTRO!$A$4:$A$80,0)),$B69)-CONFIG!$B$50*(COUNTIF($C69:$I69,"AB")+COUNTIF($C69:$I69,"FE")+COUNTIF($C69:$I69,"LM")))</f>
        <v/>
      </c>
      <c r="AV69" s="117">
        <f>SUMPRODUCT(($J69:$P69="M")*6+($J69:$P69="T")*6+($J69:$P69="D")*12+($J69:$P69="N")*12+($J69:$P69="NT")*6+($J69:$P69="C")*10+($J69:$P69="A")*8+($J69:$P69="J")*5+($J69:$P69="CEP")*4+($J69:$P69="CP")*6+($J69:$P69="CRO")*6+($J69:$P69="M+")*6+($J69:$P69="T+")*6+($J69:$P69="D+")*12+($J69:$P69="N+")*12+($J69:$P69="Dm+")*12+($J69:$P69="Dt+")*12+($J69:$P69="Tm-")*6+($J69:$P69="Mt-")*6)</f>
        <v/>
      </c>
      <c r="AW69" s="118">
        <f>AV69-MAX(0,IFERROR(INDEX(CADASTRO!$I$4:$I$80,MATCH($A69,CADASTRO!$A$4:$A$80,0)),$B69)-CONFIG!$B$50*(COUNTIF($J69:$P69,"AB")+COUNTIF($J69:$P69,"FE")+COUNTIF($J69:$P69,"LM")))</f>
        <v/>
      </c>
      <c r="AX69" s="117">
        <f>SUMPRODUCT(($Q69:$W69="M")*6+($Q69:$W69="T")*6+($Q69:$W69="D")*12+($Q69:$W69="N")*12+($Q69:$W69="NT")*6+($Q69:$W69="C")*10+($Q69:$W69="A")*8+($Q69:$W69="J")*5+($Q69:$W69="CEP")*4+($Q69:$W69="CP")*6+($Q69:$W69="CRO")*6+($Q69:$W69="M+")*6+($Q69:$W69="T+")*6+($Q69:$W69="D+")*12+($Q69:$W69="N+")*12+($Q69:$W69="Dm+")*12+($Q69:$W69="Dt+")*12+($Q69:$W69="Tm-")*6+($Q69:$W69="Mt-")*6)</f>
        <v/>
      </c>
      <c r="AY69" s="118">
        <f>AX69-MAX(0,IFERROR(INDEX(CADASTRO!$I$4:$I$80,MATCH($A69,CADASTRO!$A$4:$A$80,0)),$B69)-CONFIG!$B$50*(COUNTIF($Q69:$W69,"AB")+COUNTIF($Q69:$W69,"FE")+COUNTIF($Q69:$W69,"LM")))</f>
        <v/>
      </c>
      <c r="AZ69" s="117">
        <f>SUMPRODUCT(($X69:$AD69="M")*6+($X69:$AD69="T")*6+($X69:$AD69="D")*12+($X69:$AD69="N")*12+($X69:$AD69="NT")*6+($X69:$AD69="C")*10+($X69:$AD69="A")*8+($X69:$AD69="J")*5+($X69:$AD69="CEP")*4+($X69:$AD69="CP")*6+($X69:$AD69="CRO")*6+($X69:$AD69="M+")*6+($X69:$AD69="T+")*6+($X69:$AD69="D+")*12+($X69:$AD69="N+")*12+($X69:$AD69="Dm+")*12+($X69:$AD69="Dt+")*12+($X69:$AD69="Tm-")*6+($X69:$AD69="Mt-")*6)</f>
        <v/>
      </c>
      <c r="BA69" s="118">
        <f>AZ69-MAX(0,IFERROR(INDEX(CADASTRO!$I$4:$I$80,MATCH($A69,CADASTRO!$A$4:$A$80,0)),$B69)-CONFIG!$B$50*(COUNTIF($X69:$AD69,"AB")+COUNTIF($X69:$AD69,"FE")+COUNTIF($X69:$AD69,"LM")))</f>
        <v/>
      </c>
      <c r="BB69" s="117">
        <f>SUMPRODUCT(($AE69:$AK69="M")*6+($AE69:$AK69="T")*6+($AE69:$AK69="D")*12+($AE69:$AK69="N")*12+($AE69:$AK69="NT")*6+($AE69:$AK69="C")*10+($AE69:$AK69="A")*8+($AE69:$AK69="J")*5+($AE69:$AK69="CEP")*4+($AE69:$AK69="CP")*6+($AE69:$AK69="CRO")*6+($AE69:$AK69="M+")*6+($AE69:$AK69="T+")*6+($AE69:$AK69="D+")*12+($AE69:$AK69="N+")*12+($AE69:$AK69="Dm+")*12+($AE69:$AK69="Dt+")*12+($AE69:$AK69="Tm-")*6+($AE69:$AK69="Mt-")*6)</f>
        <v/>
      </c>
      <c r="BC69" s="118">
        <f>BB69-MAX(0,IFERROR(INDEX(CADASTRO!$I$4:$I$80,MATCH($A69,CADASTRO!$A$4:$A$80,0)),$B69)-CONFIG!$B$50*(COUNTIF($AE69:$AK69,"AB")+COUNTIF($AE69:$AK69,"FE")+COUNTIF($AE69:$AK69,"LM")))</f>
        <v/>
      </c>
      <c r="BD69" s="117">
        <f>SUMPRODUCT(($AL69:$AM69="M")*6+($AL69:$AM69="T")*6+($AL69:$AM69="D")*12+($AL69:$AM69="N")*12+($AL69:$AM69="NT")*6+($AL69:$AM69="C")*10+($AL69:$AM69="A")*8+($AL69:$AM69="J")*5+($AL69:$AM69="CEP")*4+($AL69:$AM69="CP")*6+($AL69:$AM69="CRO")*6+($AL69:$AM69="M+")*6+($AL69:$AM69="T+")*6+($AL69:$AM69="D+")*12+($AL69:$AM69="N+")*12+($AL69:$AM69="Dm+")*12+($AL69:$AM69="Dt+")*12+($AL69:$AM69="Tm-")*6+($AL69:$AM69="Mt-")*6)+SUMPRODUCT(($AN69:$AR69="M")*6+($AN69:$AR69="T")*6+($AN69:$AR69="D")*12+($AN69:$AR69="N")*12+($AN69:$AR69="NT")*6+($AN69:$AR69="C")*10+($AN69:$AR69="A")*8+($AN69:$AR69="J")*5+($AN69:$AR69="CEP")*4+($AN69:$AR69="CP")*6+($AN69:$AR69="CRO")*6+($AN69:$AR69="M+")*6+($AN69:$AR69="T+")*6+($AN69:$AR69="D+")*12+($AN69:$AR69="N+")*12+($AN69:$AR69="Dm+")*12+($AN69:$AR69="Dt+")*12+($AN69:$AR69="Tm-")*6+($AN69:$AR69="Mt-")*6)</f>
        <v/>
      </c>
      <c r="BE69" s="118">
        <f>BD69-MAX(0,IFERROR(INDEX(CADASTRO!$I$4:$I$80,MATCH($A69,CADASTRO!$A$4:$A$80,0)),$B69)-CONFIG!$B$50*(COUNTIF($AL69:$AM69,"AB")+COUNTIF($AL69:$AM69,"FE")+COUNTIF($AL69:$AM69,"LM")+COUNTIF($AN69:$AR69,"AB")+COUNTIF($AN69:$AR69,"FE")+COUNTIF($AN69:$AR69,"LM")))</f>
        <v/>
      </c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36">
        <f>IFERROR(INDEX(FEV!AE$8:AE$73,MATCH($A70,FEV!$A$8:$A$73,0))&amp;"","")</f>
        <v/>
      </c>
      <c r="D70" s="136">
        <f>IFERROR(INDEX(FEV!AF$8:AF$73,MATCH($A70,FEV!$A$8:$A$73,0))&amp;"","")</f>
        <v/>
      </c>
      <c r="E70" s="136">
        <f>IFERROR(INDEX(FEV!AG$8:AG$73,MATCH($A70,FEV!$A$8:$A$73,0))&amp;"","")</f>
        <v/>
      </c>
      <c r="F70" s="136">
        <f>IFERROR(INDEX(FEV!AH$8:AH$73,MATCH($A70,FEV!$A$8:$A$73,0))&amp;"","")</f>
        <v/>
      </c>
      <c r="G70" s="136">
        <f>IFERROR(INDEX(FEV!AI$8:AI$73,MATCH($A70,FEV!$A$8:$A$73,0))&amp;"","")</f>
        <v/>
      </c>
      <c r="H70" s="116">
        <f>IFERROR(INDEX(FEV!AJ$8:AJ$73,MATCH($A70,FEV!$A$8:$A$73,0))&amp;"","")</f>
        <v/>
      </c>
      <c r="I70" s="126" t="inlineStr">
        <is>
          <t>T</t>
        </is>
      </c>
      <c r="J70" s="114" t="n"/>
      <c r="K70" s="126" t="inlineStr">
        <is>
          <t>T</t>
        </is>
      </c>
      <c r="L70" s="126" t="inlineStr">
        <is>
          <t>T</t>
        </is>
      </c>
      <c r="M70" s="125" t="inlineStr">
        <is>
          <t>N</t>
        </is>
      </c>
      <c r="N70" s="114" t="n"/>
      <c r="O70" s="114" t="n"/>
      <c r="P70" s="114" t="n"/>
      <c r="Q70" s="114" t="n"/>
      <c r="R70" s="126" t="inlineStr">
        <is>
          <t>T</t>
        </is>
      </c>
      <c r="S70" s="126" t="inlineStr">
        <is>
          <t>T</t>
        </is>
      </c>
      <c r="T70" s="125" t="inlineStr">
        <is>
          <t>N</t>
        </is>
      </c>
      <c r="U70" s="114" t="n"/>
      <c r="V70" s="114" t="n"/>
      <c r="W70" s="114" t="n"/>
      <c r="X70" s="114" t="n"/>
      <c r="Y70" s="126" t="inlineStr">
        <is>
          <t>T</t>
        </is>
      </c>
      <c r="Z70" s="126" t="inlineStr">
        <is>
          <t>T</t>
        </is>
      </c>
      <c r="AA70" s="125" t="inlineStr">
        <is>
          <t>N</t>
        </is>
      </c>
      <c r="AB70" s="114" t="n"/>
      <c r="AC70" s="114" t="n"/>
      <c r="AD70" s="114" t="n"/>
      <c r="AE70" s="114" t="n"/>
      <c r="AF70" s="114" t="n"/>
      <c r="AG70" s="114" t="n"/>
      <c r="AH70" s="126" t="inlineStr">
        <is>
          <t>T</t>
        </is>
      </c>
      <c r="AI70" s="114" t="n"/>
      <c r="AJ70" s="126" t="inlineStr">
        <is>
          <t>T</t>
        </is>
      </c>
      <c r="AK70" s="125" t="inlineStr">
        <is>
          <t>N</t>
        </is>
      </c>
      <c r="AL70" s="114" t="n"/>
      <c r="AM70" s="114" t="n"/>
      <c r="AN70" s="136">
        <f>IFERROR(INDEX(ABR!I$8:I$73,MATCH($A70,ABR!$A$8:$A$73,0))&amp;"","")</f>
        <v/>
      </c>
      <c r="AO70" s="136">
        <f>IFERROR(INDEX(ABR!J$8:J$73,MATCH($A70,ABR!$A$8:$A$73,0))&amp;"","")</f>
        <v/>
      </c>
      <c r="AP70" s="136">
        <f>IFERROR(INDEX(ABR!K$8:K$73,MATCH($A70,ABR!$A$8:$A$73,0))&amp;"","")</f>
        <v/>
      </c>
      <c r="AQ70" s="116">
        <f>IFERROR(INDEX(ABR!L$8:L$73,MATCH($A70,ABR!$A$8:$A$73,0))&amp;"","")</f>
        <v/>
      </c>
      <c r="AR70" s="116">
        <f>IFERROR(INDEX(ABR!M$8:M$73,MATCH($A70,ABR!$A$8:$A$73,0))&amp;"","")</f>
        <v/>
      </c>
      <c r="AS70" s="100" t="n"/>
      <c r="AT70" s="117">
        <f>SUMPRODUCT(($C70:$I70="M")*6+($C70:$I70="T")*6+($C70:$I70="D")*12+($C70:$I70="N")*12+($C70:$I70="NT")*6+($C70:$I70="C")*10+($C70:$I70="A")*8+($C70:$I70="J")*5+($C70:$I70="CEP")*4+($C70:$I70="CP")*6+($C70:$I70="CRO")*6+($C70:$I70="M+")*6+($C70:$I70="T+")*6+($C70:$I70="D+")*12+($C70:$I70="N+")*12+($C70:$I70="Dm+")*12+($C70:$I70="Dt+")*12+($C70:$I70="Tm-")*6+($C70:$I70="Mt-")*6)</f>
        <v/>
      </c>
      <c r="AU70" s="118">
        <f>AT70-MAX(0,IFERROR(INDEX(CADASTRO!$I$4:$I$80,MATCH($A70,CADASTRO!$A$4:$A$80,0)),$B70)-CONFIG!$B$50*(COUNTIF($C70:$I70,"AB")+COUNTIF($C70:$I70,"FE")+COUNTIF($C70:$I70,"LM")))</f>
        <v/>
      </c>
      <c r="AV70" s="117">
        <f>SUMPRODUCT(($J70:$P70="M")*6+($J70:$P70="T")*6+($J70:$P70="D")*12+($J70:$P70="N")*12+($J70:$P70="NT")*6+($J70:$P70="C")*10+($J70:$P70="A")*8+($J70:$P70="J")*5+($J70:$P70="CEP")*4+($J70:$P70="CP")*6+($J70:$P70="CRO")*6+($J70:$P70="M+")*6+($J70:$P70="T+")*6+($J70:$P70="D+")*12+($J70:$P70="N+")*12+($J70:$P70="Dm+")*12+($J70:$P70="Dt+")*12+($J70:$P70="Tm-")*6+($J70:$P70="Mt-")*6)</f>
        <v/>
      </c>
      <c r="AW70" s="118">
        <f>AV70-MAX(0,IFERROR(INDEX(CADASTRO!$I$4:$I$80,MATCH($A70,CADASTRO!$A$4:$A$80,0)),$B70)-CONFIG!$B$50*(COUNTIF($J70:$P70,"AB")+COUNTIF($J70:$P70,"FE")+COUNTIF($J70:$P70,"LM")))</f>
        <v/>
      </c>
      <c r="AX70" s="117">
        <f>SUMPRODUCT(($Q70:$W70="M")*6+($Q70:$W70="T")*6+($Q70:$W70="D")*12+($Q70:$W70="N")*12+($Q70:$W70="NT")*6+($Q70:$W70="C")*10+($Q70:$W70="A")*8+($Q70:$W70="J")*5+($Q70:$W70="CEP")*4+($Q70:$W70="CP")*6+($Q70:$W70="CRO")*6+($Q70:$W70="M+")*6+($Q70:$W70="T+")*6+($Q70:$W70="D+")*12+($Q70:$W70="N+")*12+($Q70:$W70="Dm+")*12+($Q70:$W70="Dt+")*12+($Q70:$W70="Tm-")*6+($Q70:$W70="Mt-")*6)</f>
        <v/>
      </c>
      <c r="AY70" s="118">
        <f>AX70-MAX(0,IFERROR(INDEX(CADASTRO!$I$4:$I$80,MATCH($A70,CADASTRO!$A$4:$A$80,0)),$B70)-CONFIG!$B$50*(COUNTIF($Q70:$W70,"AB")+COUNTIF($Q70:$W70,"FE")+COUNTIF($Q70:$W70,"LM")))</f>
        <v/>
      </c>
      <c r="AZ70" s="117">
        <f>SUMPRODUCT(($X70:$AD70="M")*6+($X70:$AD70="T")*6+($X70:$AD70="D")*12+($X70:$AD70="N")*12+($X70:$AD70="NT")*6+($X70:$AD70="C")*10+($X70:$AD70="A")*8+($X70:$AD70="J")*5+($X70:$AD70="CEP")*4+($X70:$AD70="CP")*6+($X70:$AD70="CRO")*6+($X70:$AD70="M+")*6+($X70:$AD70="T+")*6+($X70:$AD70="D+")*12+($X70:$AD70="N+")*12+($X70:$AD70="Dm+")*12+($X70:$AD70="Dt+")*12+($X70:$AD70="Tm-")*6+($X70:$AD70="Mt-")*6)</f>
        <v/>
      </c>
      <c r="BA70" s="118">
        <f>AZ70-MAX(0,IFERROR(INDEX(CADASTRO!$I$4:$I$80,MATCH($A70,CADASTRO!$A$4:$A$80,0)),$B70)-CONFIG!$B$50*(COUNTIF($X70:$AD70,"AB")+COUNTIF($X70:$AD70,"FE")+COUNTIF($X70:$AD70,"LM")))</f>
        <v/>
      </c>
      <c r="BB70" s="117">
        <f>SUMPRODUCT(($AE70:$AK70="M")*6+($AE70:$AK70="T")*6+($AE70:$AK70="D")*12+($AE70:$AK70="N")*12+($AE70:$AK70="NT")*6+($AE70:$AK70="C")*10+($AE70:$AK70="A")*8+($AE70:$AK70="J")*5+($AE70:$AK70="CEP")*4+($AE70:$AK70="CP")*6+($AE70:$AK70="CRO")*6+($AE70:$AK70="M+")*6+($AE70:$AK70="T+")*6+($AE70:$AK70="D+")*12+($AE70:$AK70="N+")*12+($AE70:$AK70="Dm+")*12+($AE70:$AK70="Dt+")*12+($AE70:$AK70="Tm-")*6+($AE70:$AK70="Mt-")*6)</f>
        <v/>
      </c>
      <c r="BC70" s="118">
        <f>BB70-MAX(0,IFERROR(INDEX(CADASTRO!$I$4:$I$80,MATCH($A70,CADASTRO!$A$4:$A$80,0)),$B70)-CONFIG!$B$50*(COUNTIF($AE70:$AK70,"AB")+COUNTIF($AE70:$AK70,"FE")+COUNTIF($AE70:$AK70,"LM")))</f>
        <v/>
      </c>
      <c r="BD70" s="117">
        <f>SUMPRODUCT(($AL70:$AM70="M")*6+($AL70:$AM70="T")*6+($AL70:$AM70="D")*12+($AL70:$AM70="N")*12+($AL70:$AM70="NT")*6+($AL70:$AM70="C")*10+($AL70:$AM70="A")*8+($AL70:$AM70="J")*5+($AL70:$AM70="CEP")*4+($AL70:$AM70="CP")*6+($AL70:$AM70="CRO")*6+($AL70:$AM70="M+")*6+($AL70:$AM70="T+")*6+($AL70:$AM70="D+")*12+($AL70:$AM70="N+")*12+($AL70:$AM70="Dm+")*12+($AL70:$AM70="Dt+")*12+($AL70:$AM70="Tm-")*6+($AL70:$AM70="Mt-")*6)+SUMPRODUCT(($AN70:$AR70="M")*6+($AN70:$AR70="T")*6+($AN70:$AR70="D")*12+($AN70:$AR70="N")*12+($AN70:$AR70="NT")*6+($AN70:$AR70="C")*10+($AN70:$AR70="A")*8+($AN70:$AR70="J")*5+($AN70:$AR70="CEP")*4+($AN70:$AR70="CP")*6+($AN70:$AR70="CRO")*6+($AN70:$AR70="M+")*6+($AN70:$AR70="T+")*6+($AN70:$AR70="D+")*12+($AN70:$AR70="N+")*12+($AN70:$AR70="Dm+")*12+($AN70:$AR70="Dt+")*12+($AN70:$AR70="Tm-")*6+($AN70:$AR70="Mt-")*6)</f>
        <v/>
      </c>
      <c r="BE70" s="118">
        <f>BD70-MAX(0,IFERROR(INDEX(CADASTRO!$I$4:$I$80,MATCH($A70,CADASTRO!$A$4:$A$80,0)),$B70)-CONFIG!$B$50*(COUNTIF($AL70:$AM70,"AB")+COUNTIF($AL70:$AM70,"FE")+COUNTIF($AL70:$AM70,"LM")+COUNTIF($AN70:$AR70,"AB")+COUNTIF($AN70:$AR70,"FE")+COUNTIF($AN70:$AR70,"LM")))</f>
        <v/>
      </c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36">
        <f>IFERROR(INDEX(FEV!AE$8:AE$73,MATCH($A71,FEV!$A$8:$A$73,0))&amp;"","")</f>
        <v/>
      </c>
      <c r="D71" s="136">
        <f>IFERROR(INDEX(FEV!AF$8:AF$73,MATCH($A71,FEV!$A$8:$A$73,0))&amp;"","")</f>
        <v/>
      </c>
      <c r="E71" s="136">
        <f>IFERROR(INDEX(FEV!AG$8:AG$73,MATCH($A71,FEV!$A$8:$A$73,0))&amp;"","")</f>
        <v/>
      </c>
      <c r="F71" s="136">
        <f>IFERROR(INDEX(FEV!AH$8:AH$73,MATCH($A71,FEV!$A$8:$A$73,0))&amp;"","")</f>
        <v/>
      </c>
      <c r="G71" s="136">
        <f>IFERROR(INDEX(FEV!AI$8:AI$73,MATCH($A71,FEV!$A$8:$A$73,0))&amp;"","")</f>
        <v/>
      </c>
      <c r="H71" s="116">
        <f>IFERROR(INDEX(FEV!AJ$8:AJ$73,MATCH($A71,FEV!$A$8:$A$73,0))&amp;"","")</f>
        <v/>
      </c>
      <c r="I71" s="114" t="n"/>
      <c r="J71" s="124" t="inlineStr">
        <is>
          <t>D</t>
        </is>
      </c>
      <c r="K71" s="114" t="n"/>
      <c r="L71" s="114" t="n"/>
      <c r="M71" s="114" t="n"/>
      <c r="N71" s="114" t="n"/>
      <c r="O71" s="114" t="n"/>
      <c r="P71" s="124" t="inlineStr">
        <is>
          <t>D</t>
        </is>
      </c>
      <c r="Q71" s="114" t="n"/>
      <c r="R71" s="114" t="n"/>
      <c r="S71" s="114" t="n"/>
      <c r="T71" s="114" t="n"/>
      <c r="U71" s="125" t="inlineStr">
        <is>
          <t>N</t>
        </is>
      </c>
      <c r="V71" s="114" t="n"/>
      <c r="W71" s="124" t="inlineStr">
        <is>
          <t>D</t>
        </is>
      </c>
      <c r="X71" s="124" t="inlineStr">
        <is>
          <t>D</t>
        </is>
      </c>
      <c r="Y71" s="124" t="inlineStr">
        <is>
          <t>D</t>
        </is>
      </c>
      <c r="Z71" s="114" t="n"/>
      <c r="AA71" s="114" t="n"/>
      <c r="AB71" s="114" t="n"/>
      <c r="AC71" s="114" t="n"/>
      <c r="AD71" s="114" t="n"/>
      <c r="AE71" s="124" t="inlineStr">
        <is>
          <t>D</t>
        </is>
      </c>
      <c r="AF71" s="125" t="inlineStr">
        <is>
          <t>N</t>
        </is>
      </c>
      <c r="AG71" s="114" t="n"/>
      <c r="AH71" s="114" t="n"/>
      <c r="AI71" s="114" t="n"/>
      <c r="AJ71" s="114" t="n"/>
      <c r="AK71" s="114" t="n"/>
      <c r="AL71" s="114" t="n"/>
      <c r="AM71" s="124" t="inlineStr">
        <is>
          <t>D</t>
        </is>
      </c>
      <c r="AN71" s="136">
        <f>IFERROR(INDEX(ABR!I$8:I$73,MATCH($A71,ABR!$A$8:$A$73,0))&amp;"","")</f>
        <v/>
      </c>
      <c r="AO71" s="136">
        <f>IFERROR(INDEX(ABR!J$8:J$73,MATCH($A71,ABR!$A$8:$A$73,0))&amp;"","")</f>
        <v/>
      </c>
      <c r="AP71" s="136">
        <f>IFERROR(INDEX(ABR!K$8:K$73,MATCH($A71,ABR!$A$8:$A$73,0))&amp;"","")</f>
        <v/>
      </c>
      <c r="AQ71" s="116">
        <f>IFERROR(INDEX(ABR!L$8:L$73,MATCH($A71,ABR!$A$8:$A$73,0))&amp;"","")</f>
        <v/>
      </c>
      <c r="AR71" s="116">
        <f>IFERROR(INDEX(ABR!M$8:M$73,MATCH($A71,ABR!$A$8:$A$73,0))&amp;"","")</f>
        <v/>
      </c>
      <c r="AS71" s="100" t="n"/>
      <c r="AT71" s="117">
        <f>SUMPRODUCT(($C71:$I71="M")*6+($C71:$I71="T")*6+($C71:$I71="D")*12+($C71:$I71="N")*12+($C71:$I71="NT")*6+($C71:$I71="C")*10+($C71:$I71="A")*8+($C71:$I71="J")*5+($C71:$I71="CEP")*4+($C71:$I71="CP")*6+($C71:$I71="CRO")*6+($C71:$I71="M+")*6+($C71:$I71="T+")*6+($C71:$I71="D+")*12+($C71:$I71="N+")*12+($C71:$I71="Dm+")*12+($C71:$I71="Dt+")*12+($C71:$I71="Tm-")*6+($C71:$I71="Mt-")*6)</f>
        <v/>
      </c>
      <c r="AU71" s="118">
        <f>AT71-MAX(0,IFERROR(INDEX(CADASTRO!$I$4:$I$80,MATCH($A71,CADASTRO!$A$4:$A$80,0)),$B71)-CONFIG!$B$50*(COUNTIF($C71:$I71,"AB")+COUNTIF($C71:$I71,"FE")+COUNTIF($C71:$I71,"LM")))</f>
        <v/>
      </c>
      <c r="AV71" s="117">
        <f>SUMPRODUCT(($J71:$P71="M")*6+($J71:$P71="T")*6+($J71:$P71="D")*12+($J71:$P71="N")*12+($J71:$P71="NT")*6+($J71:$P71="C")*10+($J71:$P71="A")*8+($J71:$P71="J")*5+($J71:$P71="CEP")*4+($J71:$P71="CP")*6+($J71:$P71="CRO")*6+($J71:$P71="M+")*6+($J71:$P71="T+")*6+($J71:$P71="D+")*12+($J71:$P71="N+")*12+($J71:$P71="Dm+")*12+($J71:$P71="Dt+")*12+($J71:$P71="Tm-")*6+($J71:$P71="Mt-")*6)</f>
        <v/>
      </c>
      <c r="AW71" s="118">
        <f>AV71-MAX(0,IFERROR(INDEX(CADASTRO!$I$4:$I$80,MATCH($A71,CADASTRO!$A$4:$A$80,0)),$B71)-CONFIG!$B$50*(COUNTIF($J71:$P71,"AB")+COUNTIF($J71:$P71,"FE")+COUNTIF($J71:$P71,"LM")))</f>
        <v/>
      </c>
      <c r="AX71" s="117">
        <f>SUMPRODUCT(($Q71:$W71="M")*6+($Q71:$W71="T")*6+($Q71:$W71="D")*12+($Q71:$W71="N")*12+($Q71:$W71="NT")*6+($Q71:$W71="C")*10+($Q71:$W71="A")*8+($Q71:$W71="J")*5+($Q71:$W71="CEP")*4+($Q71:$W71="CP")*6+($Q71:$W71="CRO")*6+($Q71:$W71="M+")*6+($Q71:$W71="T+")*6+($Q71:$W71="D+")*12+($Q71:$W71="N+")*12+($Q71:$W71="Dm+")*12+($Q71:$W71="Dt+")*12+($Q71:$W71="Tm-")*6+($Q71:$W71="Mt-")*6)</f>
        <v/>
      </c>
      <c r="AY71" s="118">
        <f>AX71-MAX(0,IFERROR(INDEX(CADASTRO!$I$4:$I$80,MATCH($A71,CADASTRO!$A$4:$A$80,0)),$B71)-CONFIG!$B$50*(COUNTIF($Q71:$W71,"AB")+COUNTIF($Q71:$W71,"FE")+COUNTIF($Q71:$W71,"LM")))</f>
        <v/>
      </c>
      <c r="AZ71" s="117">
        <f>SUMPRODUCT(($X71:$AD71="M")*6+($X71:$AD71="T")*6+($X71:$AD71="D")*12+($X71:$AD71="N")*12+($X71:$AD71="NT")*6+($X71:$AD71="C")*10+($X71:$AD71="A")*8+($X71:$AD71="J")*5+($X71:$AD71="CEP")*4+($X71:$AD71="CP")*6+($X71:$AD71="CRO")*6+($X71:$AD71="M+")*6+($X71:$AD71="T+")*6+($X71:$AD71="D+")*12+($X71:$AD71="N+")*12+($X71:$AD71="Dm+")*12+($X71:$AD71="Dt+")*12+($X71:$AD71="Tm-")*6+($X71:$AD71="Mt-")*6)</f>
        <v/>
      </c>
      <c r="BA71" s="118">
        <f>AZ71-MAX(0,IFERROR(INDEX(CADASTRO!$I$4:$I$80,MATCH($A71,CADASTRO!$A$4:$A$80,0)),$B71)-CONFIG!$B$50*(COUNTIF($X71:$AD71,"AB")+COUNTIF($X71:$AD71,"FE")+COUNTIF($X71:$AD71,"LM")))</f>
        <v/>
      </c>
      <c r="BB71" s="117">
        <f>SUMPRODUCT(($AE71:$AK71="M")*6+($AE71:$AK71="T")*6+($AE71:$AK71="D")*12+($AE71:$AK71="N")*12+($AE71:$AK71="NT")*6+($AE71:$AK71="C")*10+($AE71:$AK71="A")*8+($AE71:$AK71="J")*5+($AE71:$AK71="CEP")*4+($AE71:$AK71="CP")*6+($AE71:$AK71="CRO")*6+($AE71:$AK71="M+")*6+($AE71:$AK71="T+")*6+($AE71:$AK71="D+")*12+($AE71:$AK71="N+")*12+($AE71:$AK71="Dm+")*12+($AE71:$AK71="Dt+")*12+($AE71:$AK71="Tm-")*6+($AE71:$AK71="Mt-")*6)</f>
        <v/>
      </c>
      <c r="BC71" s="118">
        <f>BB71-MAX(0,IFERROR(INDEX(CADASTRO!$I$4:$I$80,MATCH($A71,CADASTRO!$A$4:$A$80,0)),$B71)-CONFIG!$B$50*(COUNTIF($AE71:$AK71,"AB")+COUNTIF($AE71:$AK71,"FE")+COUNTIF($AE71:$AK71,"LM")))</f>
        <v/>
      </c>
      <c r="BD71" s="117">
        <f>SUMPRODUCT(($AL71:$AM71="M")*6+($AL71:$AM71="T")*6+($AL71:$AM71="D")*12+($AL71:$AM71="N")*12+($AL71:$AM71="NT")*6+($AL71:$AM71="C")*10+($AL71:$AM71="A")*8+($AL71:$AM71="J")*5+($AL71:$AM71="CEP")*4+($AL71:$AM71="CP")*6+($AL71:$AM71="CRO")*6+($AL71:$AM71="M+")*6+($AL71:$AM71="T+")*6+($AL71:$AM71="D+")*12+($AL71:$AM71="N+")*12+($AL71:$AM71="Dm+")*12+($AL71:$AM71="Dt+")*12+($AL71:$AM71="Tm-")*6+($AL71:$AM71="Mt-")*6)+SUMPRODUCT(($AN71:$AR71="M")*6+($AN71:$AR71="T")*6+($AN71:$AR71="D")*12+($AN71:$AR71="N")*12+($AN71:$AR71="NT")*6+($AN71:$AR71="C")*10+($AN71:$AR71="A")*8+($AN71:$AR71="J")*5+($AN71:$AR71="CEP")*4+($AN71:$AR71="CP")*6+($AN71:$AR71="CRO")*6+($AN71:$AR71="M+")*6+($AN71:$AR71="T+")*6+($AN71:$AR71="D+")*12+($AN71:$AR71="N+")*12+($AN71:$AR71="Dm+")*12+($AN71:$AR71="Dt+")*12+($AN71:$AR71="Tm-")*6+($AN71:$AR71="Mt-")*6)</f>
        <v/>
      </c>
      <c r="BE71" s="118">
        <f>BD71-MAX(0,IFERROR(INDEX(CADASTRO!$I$4:$I$80,MATCH($A71,CADASTRO!$A$4:$A$80,0)),$B71)-CONFIG!$B$50*(COUNTIF($AL71:$AM71,"AB")+COUNTIF($AL71:$AM71,"FE")+COUNTIF($AL71:$AM71,"LM")+COUNTIF($AN71:$AR71,"AB")+COUNTIF($AN71:$AR71,"FE")+COUNTIF($AN71:$AR71,"LM")))</f>
        <v/>
      </c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36">
        <f>IFERROR(INDEX(FEV!AE$8:AE$73,MATCH($A72,FEV!$A$8:$A$73,0))&amp;"","")</f>
        <v/>
      </c>
      <c r="D72" s="136">
        <f>IFERROR(INDEX(FEV!AF$8:AF$73,MATCH($A72,FEV!$A$8:$A$73,0))&amp;"","")</f>
        <v/>
      </c>
      <c r="E72" s="136">
        <f>IFERROR(INDEX(FEV!AG$8:AG$73,MATCH($A72,FEV!$A$8:$A$73,0))&amp;"","")</f>
        <v/>
      </c>
      <c r="F72" s="136">
        <f>IFERROR(INDEX(FEV!AH$8:AH$73,MATCH($A72,FEV!$A$8:$A$73,0))&amp;"","")</f>
        <v/>
      </c>
      <c r="G72" s="136">
        <f>IFERROR(INDEX(FEV!AI$8:AI$73,MATCH($A72,FEV!$A$8:$A$73,0))&amp;"","")</f>
        <v/>
      </c>
      <c r="H72" s="116">
        <f>IFERROR(INDEX(FEV!AJ$8:AJ$73,MATCH($A72,FEV!$A$8:$A$73,0))&amp;"","")</f>
        <v/>
      </c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  <c r="AD72" s="114" t="n"/>
      <c r="AE72" s="114" t="n"/>
      <c r="AF72" s="114" t="n"/>
      <c r="AG72" s="114" t="n"/>
      <c r="AH72" s="114" t="n"/>
      <c r="AI72" s="114" t="n"/>
      <c r="AJ72" s="114" t="n"/>
      <c r="AK72" s="114" t="n"/>
      <c r="AL72" s="114" t="n"/>
      <c r="AM72" s="114" t="n"/>
      <c r="AN72" s="136">
        <f>IFERROR(INDEX(ABR!I$8:I$73,MATCH($A72,ABR!$A$8:$A$73,0))&amp;"","")</f>
        <v/>
      </c>
      <c r="AO72" s="136">
        <f>IFERROR(INDEX(ABR!J$8:J$73,MATCH($A72,ABR!$A$8:$A$73,0))&amp;"","")</f>
        <v/>
      </c>
      <c r="AP72" s="136">
        <f>IFERROR(INDEX(ABR!K$8:K$73,MATCH($A72,ABR!$A$8:$A$73,0))&amp;"","")</f>
        <v/>
      </c>
      <c r="AQ72" s="116">
        <f>IFERROR(INDEX(ABR!L$8:L$73,MATCH($A72,ABR!$A$8:$A$73,0))&amp;"","")</f>
        <v/>
      </c>
      <c r="AR72" s="116">
        <f>IFERROR(INDEX(ABR!M$8:M$73,MATCH($A72,ABR!$A$8:$A$73,0))&amp;"","")</f>
        <v/>
      </c>
      <c r="AS72" s="100" t="n"/>
      <c r="AT72" s="117">
        <f>SUMPRODUCT(($C72:$I72="M")*6+($C72:$I72="T")*6+($C72:$I72="D")*12+($C72:$I72="N")*12+($C72:$I72="NT")*6+($C72:$I72="C")*10+($C72:$I72="A")*8+($C72:$I72="J")*5+($C72:$I72="CEP")*4+($C72:$I72="CP")*6+($C72:$I72="CRO")*6+($C72:$I72="M+")*6+($C72:$I72="T+")*6+($C72:$I72="D+")*12+($C72:$I72="N+")*12+($C72:$I72="Dm+")*12+($C72:$I72="Dt+")*12+($C72:$I72="Tm-")*6+($C72:$I72="Mt-")*6)</f>
        <v/>
      </c>
      <c r="AU72" s="118">
        <f>AT72-MAX(0,IFERROR(INDEX(CADASTRO!$I$4:$I$80,MATCH($A72,CADASTRO!$A$4:$A$80,0)),$B72)-CONFIG!$B$50*(COUNTIF($C72:$I72,"AB")+COUNTIF($C72:$I72,"FE")+COUNTIF($C72:$I72,"LM")))</f>
        <v/>
      </c>
      <c r="AV72" s="117">
        <f>SUMPRODUCT(($J72:$P72="M")*6+($J72:$P72="T")*6+($J72:$P72="D")*12+($J72:$P72="N")*12+($J72:$P72="NT")*6+($J72:$P72="C")*10+($J72:$P72="A")*8+($J72:$P72="J")*5+($J72:$P72="CEP")*4+($J72:$P72="CP")*6+($J72:$P72="CRO")*6+($J72:$P72="M+")*6+($J72:$P72="T+")*6+($J72:$P72="D+")*12+($J72:$P72="N+")*12+($J72:$P72="Dm+")*12+($J72:$P72="Dt+")*12+($J72:$P72="Tm-")*6+($J72:$P72="Mt-")*6)</f>
        <v/>
      </c>
      <c r="AW72" s="118">
        <f>AV72-MAX(0,IFERROR(INDEX(CADASTRO!$I$4:$I$80,MATCH($A72,CADASTRO!$A$4:$A$80,0)),$B72)-CONFIG!$B$50*(COUNTIF($J72:$P72,"AB")+COUNTIF($J72:$P72,"FE")+COUNTIF($J72:$P72,"LM")))</f>
        <v/>
      </c>
      <c r="AX72" s="117">
        <f>SUMPRODUCT(($Q72:$W72="M")*6+($Q72:$W72="T")*6+($Q72:$W72="D")*12+($Q72:$W72="N")*12+($Q72:$W72="NT")*6+($Q72:$W72="C")*10+($Q72:$W72="A")*8+($Q72:$W72="J")*5+($Q72:$W72="CEP")*4+($Q72:$W72="CP")*6+($Q72:$W72="CRO")*6+($Q72:$W72="M+")*6+($Q72:$W72="T+")*6+($Q72:$W72="D+")*12+($Q72:$W72="N+")*12+($Q72:$W72="Dm+")*12+($Q72:$W72="Dt+")*12+($Q72:$W72="Tm-")*6+($Q72:$W72="Mt-")*6)</f>
        <v/>
      </c>
      <c r="AY72" s="118">
        <f>AX72-MAX(0,IFERROR(INDEX(CADASTRO!$I$4:$I$80,MATCH($A72,CADASTRO!$A$4:$A$80,0)),$B72)-CONFIG!$B$50*(COUNTIF($Q72:$W72,"AB")+COUNTIF($Q72:$W72,"FE")+COUNTIF($Q72:$W72,"LM")))</f>
        <v/>
      </c>
      <c r="AZ72" s="117">
        <f>SUMPRODUCT(($X72:$AD72="M")*6+($X72:$AD72="T")*6+($X72:$AD72="D")*12+($X72:$AD72="N")*12+($X72:$AD72="NT")*6+($X72:$AD72="C")*10+($X72:$AD72="A")*8+($X72:$AD72="J")*5+($X72:$AD72="CEP")*4+($X72:$AD72="CP")*6+($X72:$AD72="CRO")*6+($X72:$AD72="M+")*6+($X72:$AD72="T+")*6+($X72:$AD72="D+")*12+($X72:$AD72="N+")*12+($X72:$AD72="Dm+")*12+($X72:$AD72="Dt+")*12+($X72:$AD72="Tm-")*6+($X72:$AD72="Mt-")*6)</f>
        <v/>
      </c>
      <c r="BA72" s="118">
        <f>AZ72-MAX(0,IFERROR(INDEX(CADASTRO!$I$4:$I$80,MATCH($A72,CADASTRO!$A$4:$A$80,0)),$B72)-CONFIG!$B$50*(COUNTIF($X72:$AD72,"AB")+COUNTIF($X72:$AD72,"FE")+COUNTIF($X72:$AD72,"LM")))</f>
        <v/>
      </c>
      <c r="BB72" s="117">
        <f>SUMPRODUCT(($AE72:$AK72="M")*6+($AE72:$AK72="T")*6+($AE72:$AK72="D")*12+($AE72:$AK72="N")*12+($AE72:$AK72="NT")*6+($AE72:$AK72="C")*10+($AE72:$AK72="A")*8+($AE72:$AK72="J")*5+($AE72:$AK72="CEP")*4+($AE72:$AK72="CP")*6+($AE72:$AK72="CRO")*6+($AE72:$AK72="M+")*6+($AE72:$AK72="T+")*6+($AE72:$AK72="D+")*12+($AE72:$AK72="N+")*12+($AE72:$AK72="Dm+")*12+($AE72:$AK72="Dt+")*12+($AE72:$AK72="Tm-")*6+($AE72:$AK72="Mt-")*6)</f>
        <v/>
      </c>
      <c r="BC72" s="118">
        <f>BB72-MAX(0,IFERROR(INDEX(CADASTRO!$I$4:$I$80,MATCH($A72,CADASTRO!$A$4:$A$80,0)),$B72)-CONFIG!$B$50*(COUNTIF($AE72:$AK72,"AB")+COUNTIF($AE72:$AK72,"FE")+COUNTIF($AE72:$AK72,"LM")))</f>
        <v/>
      </c>
      <c r="BD72" s="117">
        <f>SUMPRODUCT(($AL72:$AM72="M")*6+($AL72:$AM72="T")*6+($AL72:$AM72="D")*12+($AL72:$AM72="N")*12+($AL72:$AM72="NT")*6+($AL72:$AM72="C")*10+($AL72:$AM72="A")*8+($AL72:$AM72="J")*5+($AL72:$AM72="CEP")*4+($AL72:$AM72="CP")*6+($AL72:$AM72="CRO")*6+($AL72:$AM72="M+")*6+($AL72:$AM72="T+")*6+($AL72:$AM72="D+")*12+($AL72:$AM72="N+")*12+($AL72:$AM72="Dm+")*12+($AL72:$AM72="Dt+")*12+($AL72:$AM72="Tm-")*6+($AL72:$AM72="Mt-")*6)+SUMPRODUCT(($AN72:$AR72="M")*6+($AN72:$AR72="T")*6+($AN72:$AR72="D")*12+($AN72:$AR72="N")*12+($AN72:$AR72="NT")*6+($AN72:$AR72="C")*10+($AN72:$AR72="A")*8+($AN72:$AR72="J")*5+($AN72:$AR72="CEP")*4+($AN72:$AR72="CP")*6+($AN72:$AR72="CRO")*6+($AN72:$AR72="M+")*6+($AN72:$AR72="T+")*6+($AN72:$AR72="D+")*12+($AN72:$AR72="N+")*12+($AN72:$AR72="Dm+")*12+($AN72:$AR72="Dt+")*12+($AN72:$AR72="Tm-")*6+($AN72:$AR72="Mt-")*6)</f>
        <v/>
      </c>
      <c r="BE72" s="118">
        <f>BD72-MAX(0,IFERROR(INDEX(CADASTRO!$I$4:$I$80,MATCH($A72,CADASTRO!$A$4:$A$80,0)),$B72)-CONFIG!$B$50*(COUNTIF($AL72:$AM72,"AB")+COUNTIF($AL72:$AM72,"FE")+COUNTIF($AL72:$AM72,"LM")+COUNTIF($AN72:$AR72,"AB")+COUNTIF($AN72:$AR72,"FE")+COUNTIF($AN72:$AR72,"LM")))</f>
        <v/>
      </c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36">
        <f>IFERROR(INDEX(FEV!AE$8:AE$73,MATCH($A73,FEV!$A$8:$A$73,0))&amp;"","")</f>
        <v/>
      </c>
      <c r="D73" s="136">
        <f>IFERROR(INDEX(FEV!AF$8:AF$73,MATCH($A73,FEV!$A$8:$A$73,0))&amp;"","")</f>
        <v/>
      </c>
      <c r="E73" s="136">
        <f>IFERROR(INDEX(FEV!AG$8:AG$73,MATCH($A73,FEV!$A$8:$A$73,0))&amp;"","")</f>
        <v/>
      </c>
      <c r="F73" s="136">
        <f>IFERROR(INDEX(FEV!AH$8:AH$73,MATCH($A73,FEV!$A$8:$A$73,0))&amp;"","")</f>
        <v/>
      </c>
      <c r="G73" s="136">
        <f>IFERROR(INDEX(FEV!AI$8:AI$73,MATCH($A73,FEV!$A$8:$A$73,0))&amp;"","")</f>
        <v/>
      </c>
      <c r="H73" s="116">
        <f>IFERROR(INDEX(FEV!AJ$8:AJ$73,MATCH($A73,FEV!$A$8:$A$73,0))&amp;"","")</f>
        <v/>
      </c>
      <c r="I73" s="114" t="n"/>
      <c r="J73" s="125" t="inlineStr">
        <is>
          <t>N</t>
        </is>
      </c>
      <c r="K73" s="114" t="n"/>
      <c r="L73" s="114" t="n"/>
      <c r="M73" s="114" t="n"/>
      <c r="N73" s="124" t="inlineStr">
        <is>
          <t>D</t>
        </is>
      </c>
      <c r="O73" s="115" t="inlineStr">
        <is>
          <t>M</t>
        </is>
      </c>
      <c r="P73" s="114" t="n"/>
      <c r="Q73" s="114" t="n"/>
      <c r="R73" s="114" t="n"/>
      <c r="S73" s="114" t="n"/>
      <c r="T73" s="125" t="inlineStr">
        <is>
          <t>N</t>
        </is>
      </c>
      <c r="U73" s="115" t="inlineStr">
        <is>
          <t>M</t>
        </is>
      </c>
      <c r="V73" s="125" t="inlineStr">
        <is>
          <t>N</t>
        </is>
      </c>
      <c r="W73" s="114" t="n"/>
      <c r="X73" s="125" t="inlineStr">
        <is>
          <t>N</t>
        </is>
      </c>
      <c r="Y73" s="114" t="n"/>
      <c r="Z73" s="114" t="n"/>
      <c r="AA73" s="125" t="inlineStr">
        <is>
          <t>N</t>
        </is>
      </c>
      <c r="AB73" s="126" t="inlineStr">
        <is>
          <t>T</t>
        </is>
      </c>
      <c r="AC73" s="114" t="n"/>
      <c r="AD73" s="114" t="n"/>
      <c r="AE73" s="114" t="n"/>
      <c r="AF73" s="114" t="n"/>
      <c r="AG73" s="114" t="n"/>
      <c r="AH73" s="125" t="inlineStr">
        <is>
          <t>N</t>
        </is>
      </c>
      <c r="AI73" s="115" t="inlineStr">
        <is>
          <t>M</t>
        </is>
      </c>
      <c r="AJ73" s="114" t="n"/>
      <c r="AK73" s="125" t="inlineStr">
        <is>
          <t>N</t>
        </is>
      </c>
      <c r="AL73" s="125" t="inlineStr">
        <is>
          <t>N</t>
        </is>
      </c>
      <c r="AM73" s="114" t="n"/>
      <c r="AN73" s="136">
        <f>IFERROR(INDEX(ABR!I$8:I$73,MATCH($A73,ABR!$A$8:$A$73,0))&amp;"","")</f>
        <v/>
      </c>
      <c r="AO73" s="136">
        <f>IFERROR(INDEX(ABR!J$8:J$73,MATCH($A73,ABR!$A$8:$A$73,0))&amp;"","")</f>
        <v/>
      </c>
      <c r="AP73" s="136">
        <f>IFERROR(INDEX(ABR!K$8:K$73,MATCH($A73,ABR!$A$8:$A$73,0))&amp;"","")</f>
        <v/>
      </c>
      <c r="AQ73" s="116">
        <f>IFERROR(INDEX(ABR!L$8:L$73,MATCH($A73,ABR!$A$8:$A$73,0))&amp;"","")</f>
        <v/>
      </c>
      <c r="AR73" s="116">
        <f>IFERROR(INDEX(ABR!M$8:M$73,MATCH($A73,ABR!$A$8:$A$73,0))&amp;"","")</f>
        <v/>
      </c>
      <c r="AS73" s="100" t="n"/>
      <c r="AT73" s="117">
        <f>SUMPRODUCT(($C73:$I73="M")*6+($C73:$I73="T")*6+($C73:$I73="D")*12+($C73:$I73="N")*12+($C73:$I73="NT")*6+($C73:$I73="C")*10+($C73:$I73="A")*8+($C73:$I73="J")*5+($C73:$I73="CEP")*4+($C73:$I73="CP")*6+($C73:$I73="CRO")*6+($C73:$I73="M+")*6+($C73:$I73="T+")*6+($C73:$I73="D+")*12+($C73:$I73="N+")*12+($C73:$I73="Dm+")*12+($C73:$I73="Dt+")*12+($C73:$I73="Tm-")*6+($C73:$I73="Mt-")*6)</f>
        <v/>
      </c>
      <c r="AU73" s="118">
        <f>AT73-MAX(0,IFERROR(INDEX(CADASTRO!$I$4:$I$80,MATCH($A73,CADASTRO!$A$4:$A$80,0)),$B73)-CONFIG!$B$50*(COUNTIF($C73:$I73,"AB")+COUNTIF($C73:$I73,"FE")+COUNTIF($C73:$I73,"LM")))</f>
        <v/>
      </c>
      <c r="AV73" s="117">
        <f>SUMPRODUCT(($J73:$P73="M")*6+($J73:$P73="T")*6+($J73:$P73="D")*12+($J73:$P73="N")*12+($J73:$P73="NT")*6+($J73:$P73="C")*10+($J73:$P73="A")*8+($J73:$P73="J")*5+($J73:$P73="CEP")*4+($J73:$P73="CP")*6+($J73:$P73="CRO")*6+($J73:$P73="M+")*6+($J73:$P73="T+")*6+($J73:$P73="D+")*12+($J73:$P73="N+")*12+($J73:$P73="Dm+")*12+($J73:$P73="Dt+")*12+($J73:$P73="Tm-")*6+($J73:$P73="Mt-")*6)</f>
        <v/>
      </c>
      <c r="AW73" s="118">
        <f>AV73-MAX(0,IFERROR(INDEX(CADASTRO!$I$4:$I$80,MATCH($A73,CADASTRO!$A$4:$A$80,0)),$B73)-CONFIG!$B$50*(COUNTIF($J73:$P73,"AB")+COUNTIF($J73:$P73,"FE")+COUNTIF($J73:$P73,"LM")))</f>
        <v/>
      </c>
      <c r="AX73" s="117">
        <f>SUMPRODUCT(($Q73:$W73="M")*6+($Q73:$W73="T")*6+($Q73:$W73="D")*12+($Q73:$W73="N")*12+($Q73:$W73="NT")*6+($Q73:$W73="C")*10+($Q73:$W73="A")*8+($Q73:$W73="J")*5+($Q73:$W73="CEP")*4+($Q73:$W73="CP")*6+($Q73:$W73="CRO")*6+($Q73:$W73="M+")*6+($Q73:$W73="T+")*6+($Q73:$W73="D+")*12+($Q73:$W73="N+")*12+($Q73:$W73="Dm+")*12+($Q73:$W73="Dt+")*12+($Q73:$W73="Tm-")*6+($Q73:$W73="Mt-")*6)</f>
        <v/>
      </c>
      <c r="AY73" s="118">
        <f>AX73-MAX(0,IFERROR(INDEX(CADASTRO!$I$4:$I$80,MATCH($A73,CADASTRO!$A$4:$A$80,0)),$B73)-CONFIG!$B$50*(COUNTIF($Q73:$W73,"AB")+COUNTIF($Q73:$W73,"FE")+COUNTIF($Q73:$W73,"LM")))</f>
        <v/>
      </c>
      <c r="AZ73" s="117">
        <f>SUMPRODUCT(($X73:$AD73="M")*6+($X73:$AD73="T")*6+($X73:$AD73="D")*12+($X73:$AD73="N")*12+($X73:$AD73="NT")*6+($X73:$AD73="C")*10+($X73:$AD73="A")*8+($X73:$AD73="J")*5+($X73:$AD73="CEP")*4+($X73:$AD73="CP")*6+($X73:$AD73="CRO")*6+($X73:$AD73="M+")*6+($X73:$AD73="T+")*6+($X73:$AD73="D+")*12+($X73:$AD73="N+")*12+($X73:$AD73="Dm+")*12+($X73:$AD73="Dt+")*12+($X73:$AD73="Tm-")*6+($X73:$AD73="Mt-")*6)</f>
        <v/>
      </c>
      <c r="BA73" s="118">
        <f>AZ73-MAX(0,IFERROR(INDEX(CADASTRO!$I$4:$I$80,MATCH($A73,CADASTRO!$A$4:$A$80,0)),$B73)-CONFIG!$B$50*(COUNTIF($X73:$AD73,"AB")+COUNTIF($X73:$AD73,"FE")+COUNTIF($X73:$AD73,"LM")))</f>
        <v/>
      </c>
      <c r="BB73" s="117">
        <f>SUMPRODUCT(($AE73:$AK73="M")*6+($AE73:$AK73="T")*6+($AE73:$AK73="D")*12+($AE73:$AK73="N")*12+($AE73:$AK73="NT")*6+($AE73:$AK73="C")*10+($AE73:$AK73="A")*8+($AE73:$AK73="J")*5+($AE73:$AK73="CEP")*4+($AE73:$AK73="CP")*6+($AE73:$AK73="CRO")*6+($AE73:$AK73="M+")*6+($AE73:$AK73="T+")*6+($AE73:$AK73="D+")*12+($AE73:$AK73="N+")*12+($AE73:$AK73="Dm+")*12+($AE73:$AK73="Dt+")*12+($AE73:$AK73="Tm-")*6+($AE73:$AK73="Mt-")*6)</f>
        <v/>
      </c>
      <c r="BC73" s="118">
        <f>BB73-MAX(0,IFERROR(INDEX(CADASTRO!$I$4:$I$80,MATCH($A73,CADASTRO!$A$4:$A$80,0)),$B73)-CONFIG!$B$50*(COUNTIF($AE73:$AK73,"AB")+COUNTIF($AE73:$AK73,"FE")+COUNTIF($AE73:$AK73,"LM")))</f>
        <v/>
      </c>
      <c r="BD73" s="117">
        <f>SUMPRODUCT(($AL73:$AM73="M")*6+($AL73:$AM73="T")*6+($AL73:$AM73="D")*12+($AL73:$AM73="N")*12+($AL73:$AM73="NT")*6+($AL73:$AM73="C")*10+($AL73:$AM73="A")*8+($AL73:$AM73="J")*5+($AL73:$AM73="CEP")*4+($AL73:$AM73="CP")*6+($AL73:$AM73="CRO")*6+($AL73:$AM73="M+")*6+($AL73:$AM73="T+")*6+($AL73:$AM73="D+")*12+($AL73:$AM73="N+")*12+($AL73:$AM73="Dm+")*12+($AL73:$AM73="Dt+")*12+($AL73:$AM73="Tm-")*6+($AL73:$AM73="Mt-")*6)+SUMPRODUCT(($AN73:$AR73="M")*6+($AN73:$AR73="T")*6+($AN73:$AR73="D")*12+($AN73:$AR73="N")*12+($AN73:$AR73="NT")*6+($AN73:$AR73="C")*10+($AN73:$AR73="A")*8+($AN73:$AR73="J")*5+($AN73:$AR73="CEP")*4+($AN73:$AR73="CP")*6+($AN73:$AR73="CRO")*6+($AN73:$AR73="M+")*6+($AN73:$AR73="T+")*6+($AN73:$AR73="D+")*12+($AN73:$AR73="N+")*12+($AN73:$AR73="Dm+")*12+($AN73:$AR73="Dt+")*12+($AN73:$AR73="Tm-")*6+($AN73:$AR73="Mt-")*6)</f>
        <v/>
      </c>
      <c r="BE73" s="118">
        <f>BD73-MAX(0,IFERROR(INDEX(CADASTRO!$I$4:$I$80,MATCH($A73,CADASTRO!$A$4:$A$80,0)),$B73)-CONFIG!$B$50*(COUNTIF($AL73:$AM73,"AB")+COUNTIF($AL73:$AM73,"FE")+COUNTIF($AL73:$AM73,"LM")+COUNTIF($AN73:$AR73,"AB")+COUNTIF($AN73:$AR73,"FE")+COUNTIF($AN73:$AR73,"LM")))</f>
        <v/>
      </c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133">
        <f>COUNTIF(C8:C73,"M")+COUNTIF(C8:C73,"D")+COUNTIF(C8:C73,"C")+COUNTIF(C8:C73,"J")+COUNTIF(C8:C73,"CEP")+COUNTIF(C8:C73,"M+")+COUNTIF(C8:C73,"D+")+COUNTIF(C8:C73,"Dm+")+COUNTIF(C8:C73,"Dt+")+COUNTIF(C8:C73,"Mt-")</f>
        <v/>
      </c>
      <c r="D75" s="133">
        <f>COUNTIF(D8:D73,"M")+COUNTIF(D8:D73,"D")+COUNTIF(D8:D73,"C")+COUNTIF(D8:D73,"J")+COUNTIF(D8:D73,"CEP")+COUNTIF(D8:D73,"M+")+COUNTIF(D8:D73,"D+")+COUNTIF(D8:D73,"Dm+")+COUNTIF(D8:D73,"Dt+")+COUNTIF(D8:D73,"Mt-")</f>
        <v/>
      </c>
      <c r="E75" s="133">
        <f>COUNTIF(E8:E73,"M")+COUNTIF(E8:E73,"D")+COUNTIF(E8:E73,"C")+COUNTIF(E8:E73,"J")+COUNTIF(E8:E73,"CEP")+COUNTIF(E8:E73,"M+")+COUNTIF(E8:E73,"D+")+COUNTIF(E8:E73,"Dm+")+COUNTIF(E8:E73,"Dt+")+COUNTIF(E8:E73,"Mt-")</f>
        <v/>
      </c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133">
        <f>COUNTIF(AQ8:AQ73,"M")+COUNTIF(AQ8:AQ73,"D")+COUNTIF(AQ8:AQ73,"C")+COUNTIF(AQ8:AQ73,"J")+COUNTIF(AQ8:AQ73,"CEP")+COUNTIF(AQ8:AQ73,"M+")+COUNTIF(AQ8:AQ73,"D+")+COUNTIF(AQ8:AQ73,"Dm+")+COUNTIF(AQ8:AQ73,"Dt+")+COUNTIF(AQ8:AQ73,"Mt-")</f>
        <v/>
      </c>
      <c r="AR75" s="133">
        <f>COUNTIF(AR8:AR73,"M")+COUNTIF(AR8:AR73,"D")+COUNTIF(AR8:AR73,"C")+COUNTIF(AR8:AR73,"J")+COUNTIF(AR8:AR73,"CEP")+COUNTIF(AR8:AR73,"M+")+COUNTIF(AR8:AR73,"D+")+COUNTIF(AR8:AR73,"Dm+")+COUNTIF(AR8:AR73,"Dt+")+COUNTIF(AR8:AR73,"Mt-")</f>
        <v/>
      </c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133">
        <f>COUNTIF(C8:C73,"T")+COUNTIF(C8:C73,"D")+COUNTIF(C8:C73,"C")+COUNTIF(C8:C73,"T+")+COUNTIF(C8:C73,"D+")+COUNTIF(C8:C73,"Dm+")+COUNTIF(C8:C73,"Dt+")+COUNTIF(C8:C73,"Tm-")</f>
        <v/>
      </c>
      <c r="D76" s="133">
        <f>COUNTIF(D8:D73,"T")+COUNTIF(D8:D73,"D")+COUNTIF(D8:D73,"C")+COUNTIF(D8:D73,"T+")+COUNTIF(D8:D73,"D+")+COUNTIF(D8:D73,"Dm+")+COUNTIF(D8:D73,"Dt+")+COUNTIF(D8:D73,"Tm-")</f>
        <v/>
      </c>
      <c r="E76" s="133">
        <f>COUNTIF(E8:E73,"T")+COUNTIF(E8:E73,"D")+COUNTIF(E8:E73,"C")+COUNTIF(E8:E73,"T+")+COUNTIF(E8:E73,"D+")+COUNTIF(E8:E73,"Dm+")+COUNTIF(E8:E73,"Dt+")+COUNTIF(E8:E73,"Tm-")</f>
        <v/>
      </c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133">
        <f>COUNTIF(AQ8:AQ73,"T")+COUNTIF(AQ8:AQ73,"D")+COUNTIF(AQ8:AQ73,"C")+COUNTIF(AQ8:AQ73,"T+")+COUNTIF(AQ8:AQ73,"D+")+COUNTIF(AQ8:AQ73,"Dm+")+COUNTIF(AQ8:AQ73,"Dt+")+COUNTIF(AQ8:AQ73,"Tm-")</f>
        <v/>
      </c>
      <c r="AR76" s="133">
        <f>COUNTIF(AR8:AR73,"T")+COUNTIF(AR8:AR73,"D")+COUNTIF(AR8:AR73,"C")+COUNTIF(AR8:AR73,"T+")+COUNTIF(AR8:AR73,"D+")+COUNTIF(AR8:AR73,"Dm+")+COUNTIF(AR8:AR73,"Dt+")+COUNTIF(AR8:AR73,"Tm-")</f>
        <v/>
      </c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133">
        <f>COUNTIF(C8:C73,"N")+COUNTIF(C8:C73,"NT")+COUNTIF(C8:C73,"N+")</f>
        <v/>
      </c>
      <c r="D77" s="133">
        <f>COUNTIF(D8:D73,"N")+COUNTIF(D8:D73,"NT")+COUNTIF(D8:D73,"N+")</f>
        <v/>
      </c>
      <c r="E77" s="133">
        <f>COUNTIF(E8:E73,"N")+COUNTIF(E8:E73,"NT")+COUNTIF(E8:E73,"N+")</f>
        <v/>
      </c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133">
        <f>COUNTIF(AQ8:AQ73,"N")+COUNTIF(AQ8:AQ73,"NT")+COUNTIF(AQ8:AQ73,"N+")</f>
        <v/>
      </c>
      <c r="AR77" s="133">
        <f>COUNTIF(AR8:AR73,"N")+COUNTIF(AR8:AR73,"NT")+COUNTIF(AR8:AR73,"N+")</f>
        <v/>
      </c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135">
        <f>MAX(0,CONFIG!$B$9-C75)</f>
        <v/>
      </c>
      <c r="D78" s="135">
        <f>MAX(0,CONFIG!$B$9-D75)</f>
        <v/>
      </c>
      <c r="E78" s="135">
        <f>MAX(0,CONFIG!$B$9-E75)</f>
        <v/>
      </c>
      <c r="F78" s="135">
        <f>MAX(0,CONFIG!$B$9-F75)</f>
        <v/>
      </c>
      <c r="G78" s="135">
        <f>MAX(0,CONFIG!$B$9-G75)</f>
        <v/>
      </c>
      <c r="H78" s="135">
        <f>MAX(0,CONFIG!$B$10-H75)</f>
        <v/>
      </c>
      <c r="I78" s="135">
        <f>MAX(0,CONFIG!$B$11-I75)</f>
        <v/>
      </c>
      <c r="J78" s="135">
        <f>MAX(0,CONFIG!$B$9-J75)</f>
        <v/>
      </c>
      <c r="K78" s="135">
        <f>MAX(0,CONFIG!$B$9-K75)</f>
        <v/>
      </c>
      <c r="L78" s="135">
        <f>MAX(0,CONFIG!$B$9-L75)</f>
        <v/>
      </c>
      <c r="M78" s="135">
        <f>MAX(0,CONFIG!$B$9-M75)</f>
        <v/>
      </c>
      <c r="N78" s="135">
        <f>MAX(0,CONFIG!$B$9-N75)</f>
        <v/>
      </c>
      <c r="O78" s="135">
        <f>MAX(0,CONFIG!$B$10-O75)</f>
        <v/>
      </c>
      <c r="P78" s="135">
        <f>MAX(0,CONFIG!$B$11-P75)</f>
        <v/>
      </c>
      <c r="Q78" s="135">
        <f>MAX(0,CONFIG!$B$9-Q75)</f>
        <v/>
      </c>
      <c r="R78" s="135">
        <f>MAX(0,CONFIG!$B$9-R75)</f>
        <v/>
      </c>
      <c r="S78" s="135">
        <f>MAX(0,CONFIG!$B$9-S75)</f>
        <v/>
      </c>
      <c r="T78" s="135">
        <f>MAX(0,CONFIG!$B$9-T75)</f>
        <v/>
      </c>
      <c r="U78" s="135">
        <f>MAX(0,CONFIG!$B$9-U75)</f>
        <v/>
      </c>
      <c r="V78" s="135">
        <f>MAX(0,CONFIG!$B$10-V75)</f>
        <v/>
      </c>
      <c r="W78" s="135">
        <f>MAX(0,CONFIG!$B$11-W75)</f>
        <v/>
      </c>
      <c r="X78" s="135">
        <f>MAX(0,CONFIG!$B$9-X75)</f>
        <v/>
      </c>
      <c r="Y78" s="135">
        <f>MAX(0,CONFIG!$B$9-Y75)</f>
        <v/>
      </c>
      <c r="Z78" s="135">
        <f>MAX(0,CONFIG!$B$9-Z75)</f>
        <v/>
      </c>
      <c r="AA78" s="135">
        <f>MAX(0,CONFIG!$B$9-AA75)</f>
        <v/>
      </c>
      <c r="AB78" s="135">
        <f>MAX(0,CONFIG!$B$9-AB75)</f>
        <v/>
      </c>
      <c r="AC78" s="135">
        <f>MAX(0,CONFIG!$B$10-AC75)</f>
        <v/>
      </c>
      <c r="AD78" s="135">
        <f>MAX(0,CONFIG!$B$11-AD75)</f>
        <v/>
      </c>
      <c r="AE78" s="135">
        <f>MAX(0,CONFIG!$B$9-AE75)</f>
        <v/>
      </c>
      <c r="AF78" s="135">
        <f>MAX(0,CONFIG!$B$9-AF75)</f>
        <v/>
      </c>
      <c r="AG78" s="135">
        <f>MAX(0,CONFIG!$B$9-AG75)</f>
        <v/>
      </c>
      <c r="AH78" s="135">
        <f>MAX(0,CONFIG!$B$9-AH75)</f>
        <v/>
      </c>
      <c r="AI78" s="135">
        <f>MAX(0,CONFIG!$B$9-AI75)</f>
        <v/>
      </c>
      <c r="AJ78" s="135">
        <f>MAX(0,CONFIG!$B$10-AJ75)</f>
        <v/>
      </c>
      <c r="AK78" s="135">
        <f>MAX(0,CONFIG!$B$11-AK75)</f>
        <v/>
      </c>
      <c r="AL78" s="135">
        <f>MAX(0,CONFIG!$B$9-AL75)</f>
        <v/>
      </c>
      <c r="AM78" s="135">
        <f>MAX(0,CONFIG!$B$9-AM75)</f>
        <v/>
      </c>
      <c r="AN78" s="135">
        <f>MAX(0,CONFIG!$B$9-AN75)</f>
        <v/>
      </c>
      <c r="AO78" s="135">
        <f>MAX(0,CONFIG!$B$9-AO75)</f>
        <v/>
      </c>
      <c r="AP78" s="135">
        <f>MAX(0,CONFIG!$B$9-AP75)</f>
        <v/>
      </c>
      <c r="AQ78" s="135">
        <f>MAX(0,CONFIG!$B$10-AQ75)</f>
        <v/>
      </c>
      <c r="AR78" s="135">
        <f>MAX(0,CONFIG!$B$11-AR75)</f>
        <v/>
      </c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135">
        <f>MAX(0,CONFIG!$C$9-C76)</f>
        <v/>
      </c>
      <c r="D79" s="135">
        <f>MAX(0,CONFIG!$C$9-D76)</f>
        <v/>
      </c>
      <c r="E79" s="135">
        <f>MAX(0,CONFIG!$C$9-E76)</f>
        <v/>
      </c>
      <c r="F79" s="135">
        <f>MAX(0,CONFIG!$C$9-F76)</f>
        <v/>
      </c>
      <c r="G79" s="135">
        <f>MAX(0,CONFIG!$C$9-G76)</f>
        <v/>
      </c>
      <c r="H79" s="135">
        <f>MAX(0,CONFIG!$C$10-H76)</f>
        <v/>
      </c>
      <c r="I79" s="135">
        <f>MAX(0,CONFIG!$C$11-I76)</f>
        <v/>
      </c>
      <c r="J79" s="135">
        <f>MAX(0,CONFIG!$C$9-J76)</f>
        <v/>
      </c>
      <c r="K79" s="135">
        <f>MAX(0,CONFIG!$C$9-K76)</f>
        <v/>
      </c>
      <c r="L79" s="135">
        <f>MAX(0,CONFIG!$C$9-L76)</f>
        <v/>
      </c>
      <c r="M79" s="135">
        <f>MAX(0,CONFIG!$C$9-M76)</f>
        <v/>
      </c>
      <c r="N79" s="135">
        <f>MAX(0,CONFIG!$C$9-N76)</f>
        <v/>
      </c>
      <c r="O79" s="135">
        <f>MAX(0,CONFIG!$C$10-O76)</f>
        <v/>
      </c>
      <c r="P79" s="135">
        <f>MAX(0,CONFIG!$C$11-P76)</f>
        <v/>
      </c>
      <c r="Q79" s="135">
        <f>MAX(0,CONFIG!$C$9-Q76)</f>
        <v/>
      </c>
      <c r="R79" s="135">
        <f>MAX(0,CONFIG!$C$9-R76)</f>
        <v/>
      </c>
      <c r="S79" s="135">
        <f>MAX(0,CONFIG!$C$9-S76)</f>
        <v/>
      </c>
      <c r="T79" s="135">
        <f>MAX(0,CONFIG!$C$9-T76)</f>
        <v/>
      </c>
      <c r="U79" s="135">
        <f>MAX(0,CONFIG!$C$9-U76)</f>
        <v/>
      </c>
      <c r="V79" s="135">
        <f>MAX(0,CONFIG!$C$10-V76)</f>
        <v/>
      </c>
      <c r="W79" s="135">
        <f>MAX(0,CONFIG!$C$11-W76)</f>
        <v/>
      </c>
      <c r="X79" s="135">
        <f>MAX(0,CONFIG!$C$9-X76)</f>
        <v/>
      </c>
      <c r="Y79" s="135">
        <f>MAX(0,CONFIG!$C$9-Y76)</f>
        <v/>
      </c>
      <c r="Z79" s="135">
        <f>MAX(0,CONFIG!$C$9-Z76)</f>
        <v/>
      </c>
      <c r="AA79" s="135">
        <f>MAX(0,CONFIG!$C$9-AA76)</f>
        <v/>
      </c>
      <c r="AB79" s="135">
        <f>MAX(0,CONFIG!$C$9-AB76)</f>
        <v/>
      </c>
      <c r="AC79" s="135">
        <f>MAX(0,CONFIG!$C$10-AC76)</f>
        <v/>
      </c>
      <c r="AD79" s="135">
        <f>MAX(0,CONFIG!$C$11-AD76)</f>
        <v/>
      </c>
      <c r="AE79" s="135">
        <f>MAX(0,CONFIG!$C$9-AE76)</f>
        <v/>
      </c>
      <c r="AF79" s="135">
        <f>MAX(0,CONFIG!$C$9-AF76)</f>
        <v/>
      </c>
      <c r="AG79" s="135">
        <f>MAX(0,CONFIG!$C$9-AG76)</f>
        <v/>
      </c>
      <c r="AH79" s="135">
        <f>MAX(0,CONFIG!$C$9-AH76)</f>
        <v/>
      </c>
      <c r="AI79" s="135">
        <f>MAX(0,CONFIG!$C$9-AI76)</f>
        <v/>
      </c>
      <c r="AJ79" s="135">
        <f>MAX(0,CONFIG!$C$10-AJ76)</f>
        <v/>
      </c>
      <c r="AK79" s="135">
        <f>MAX(0,CONFIG!$C$11-AK76)</f>
        <v/>
      </c>
      <c r="AL79" s="135">
        <f>MAX(0,CONFIG!$C$9-AL76)</f>
        <v/>
      </c>
      <c r="AM79" s="135">
        <f>MAX(0,CONFIG!$C$9-AM76)</f>
        <v/>
      </c>
      <c r="AN79" s="135">
        <f>MAX(0,CONFIG!$C$9-AN76)</f>
        <v/>
      </c>
      <c r="AO79" s="135">
        <f>MAX(0,CONFIG!$C$9-AO76)</f>
        <v/>
      </c>
      <c r="AP79" s="135">
        <f>MAX(0,CONFIG!$C$9-AP76)</f>
        <v/>
      </c>
      <c r="AQ79" s="135">
        <f>MAX(0,CONFIG!$C$10-AQ76)</f>
        <v/>
      </c>
      <c r="AR79" s="135">
        <f>MAX(0,CONFIG!$C$11-AR76)</f>
        <v/>
      </c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135">
        <f>MAX(0,CONFIG!$D$9-C77)</f>
        <v/>
      </c>
      <c r="D80" s="135">
        <f>MAX(0,CONFIG!$D$9-D77)</f>
        <v/>
      </c>
      <c r="E80" s="135">
        <f>MAX(0,CONFIG!$D$9-E77)</f>
        <v/>
      </c>
      <c r="F80" s="135">
        <f>MAX(0,CONFIG!$D$9-F77)</f>
        <v/>
      </c>
      <c r="G80" s="135">
        <f>MAX(0,CONFIG!$D$9-G77)</f>
        <v/>
      </c>
      <c r="H80" s="135">
        <f>MAX(0,CONFIG!$D$10-H77)</f>
        <v/>
      </c>
      <c r="I80" s="135">
        <f>MAX(0,CONFIG!$D$11-I77)</f>
        <v/>
      </c>
      <c r="J80" s="135">
        <f>MAX(0,CONFIG!$D$9-J77)</f>
        <v/>
      </c>
      <c r="K80" s="135">
        <f>MAX(0,CONFIG!$D$9-K77)</f>
        <v/>
      </c>
      <c r="L80" s="135">
        <f>MAX(0,CONFIG!$D$9-L77)</f>
        <v/>
      </c>
      <c r="M80" s="135">
        <f>MAX(0,CONFIG!$D$9-M77)</f>
        <v/>
      </c>
      <c r="N80" s="135">
        <f>MAX(0,CONFIG!$D$9-N77)</f>
        <v/>
      </c>
      <c r="O80" s="135">
        <f>MAX(0,CONFIG!$D$10-O77)</f>
        <v/>
      </c>
      <c r="P80" s="135">
        <f>MAX(0,CONFIG!$D$11-P77)</f>
        <v/>
      </c>
      <c r="Q80" s="135">
        <f>MAX(0,CONFIG!$D$9-Q77)</f>
        <v/>
      </c>
      <c r="R80" s="135">
        <f>MAX(0,CONFIG!$D$9-R77)</f>
        <v/>
      </c>
      <c r="S80" s="135">
        <f>MAX(0,CONFIG!$D$9-S77)</f>
        <v/>
      </c>
      <c r="T80" s="135">
        <f>MAX(0,CONFIG!$D$9-T77)</f>
        <v/>
      </c>
      <c r="U80" s="135">
        <f>MAX(0,CONFIG!$D$9-U77)</f>
        <v/>
      </c>
      <c r="V80" s="135">
        <f>MAX(0,CONFIG!$D$10-V77)</f>
        <v/>
      </c>
      <c r="W80" s="135">
        <f>MAX(0,CONFIG!$D$11-W77)</f>
        <v/>
      </c>
      <c r="X80" s="135">
        <f>MAX(0,CONFIG!$D$9-X77)</f>
        <v/>
      </c>
      <c r="Y80" s="135">
        <f>MAX(0,CONFIG!$D$9-Y77)</f>
        <v/>
      </c>
      <c r="Z80" s="135">
        <f>MAX(0,CONFIG!$D$9-Z77)</f>
        <v/>
      </c>
      <c r="AA80" s="135">
        <f>MAX(0,CONFIG!$D$9-AA77)</f>
        <v/>
      </c>
      <c r="AB80" s="135">
        <f>MAX(0,CONFIG!$D$9-AB77)</f>
        <v/>
      </c>
      <c r="AC80" s="135">
        <f>MAX(0,CONFIG!$D$10-AC77)</f>
        <v/>
      </c>
      <c r="AD80" s="135">
        <f>MAX(0,CONFIG!$D$11-AD77)</f>
        <v/>
      </c>
      <c r="AE80" s="135">
        <f>MAX(0,CONFIG!$D$9-AE77)</f>
        <v/>
      </c>
      <c r="AF80" s="135">
        <f>MAX(0,CONFIG!$D$9-AF77)</f>
        <v/>
      </c>
      <c r="AG80" s="135">
        <f>MAX(0,CONFIG!$D$9-AG77)</f>
        <v/>
      </c>
      <c r="AH80" s="135">
        <f>MAX(0,CONFIG!$D$9-AH77)</f>
        <v/>
      </c>
      <c r="AI80" s="135">
        <f>MAX(0,CONFIG!$D$9-AI77)</f>
        <v/>
      </c>
      <c r="AJ80" s="135">
        <f>MAX(0,CONFIG!$D$10-AJ77)</f>
        <v/>
      </c>
      <c r="AK80" s="135">
        <f>MAX(0,CONFIG!$D$11-AK77)</f>
        <v/>
      </c>
      <c r="AL80" s="135">
        <f>MAX(0,CONFIG!$D$9-AL77)</f>
        <v/>
      </c>
      <c r="AM80" s="135">
        <f>MAX(0,CONFIG!$D$9-AM77)</f>
        <v/>
      </c>
      <c r="AN80" s="135">
        <f>MAX(0,CONFIG!$D$9-AN77)</f>
        <v/>
      </c>
      <c r="AO80" s="135">
        <f>MAX(0,CONFIG!$D$9-AO77)</f>
        <v/>
      </c>
      <c r="AP80" s="135">
        <f>MAX(0,CONFIG!$D$9-AP77)</f>
        <v/>
      </c>
      <c r="AQ80" s="135">
        <f>MAX(0,CONFIG!$D$10-AQ77)</f>
        <v/>
      </c>
      <c r="AR80" s="135">
        <f>MAX(0,CONFIG!$D$11-AR77)</f>
        <v/>
      </c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2">
    <mergeCell ref="AT3:AU3"/>
    <mergeCell ref="BD3:BE3"/>
    <mergeCell ref="AX3:AY3"/>
    <mergeCell ref="AV3:AW3"/>
    <mergeCell ref="AZ3:BA3"/>
    <mergeCell ref="BD2:BE2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2.5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Abril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0" t="n"/>
      <c r="G2" s="101" t="inlineStr">
        <is>
          <t>30/03</t>
        </is>
      </c>
      <c r="H2" s="101" t="inlineStr">
        <is>
          <t>31/03</t>
        </is>
      </c>
      <c r="I2" s="103" t="n">
        <v>1</v>
      </c>
      <c r="J2" s="103" t="n">
        <v>2</v>
      </c>
      <c r="K2" s="102" t="n">
        <v>3</v>
      </c>
      <c r="L2" s="104" t="n">
        <v>4</v>
      </c>
      <c r="M2" s="104" t="n">
        <v>5</v>
      </c>
      <c r="N2" s="103" t="n">
        <v>6</v>
      </c>
      <c r="O2" s="103" t="n">
        <v>7</v>
      </c>
      <c r="P2" s="103" t="n">
        <v>8</v>
      </c>
      <c r="Q2" s="103" t="n">
        <v>9</v>
      </c>
      <c r="R2" s="103" t="n">
        <v>10</v>
      </c>
      <c r="S2" s="104" t="n">
        <v>11</v>
      </c>
      <c r="T2" s="104" t="n">
        <v>12</v>
      </c>
      <c r="U2" s="103" t="n">
        <v>13</v>
      </c>
      <c r="V2" s="103" t="n">
        <v>14</v>
      </c>
      <c r="W2" s="103" t="n">
        <v>15</v>
      </c>
      <c r="X2" s="103" t="n">
        <v>16</v>
      </c>
      <c r="Y2" s="103" t="n">
        <v>17</v>
      </c>
      <c r="Z2" s="104" t="n">
        <v>18</v>
      </c>
      <c r="AA2" s="104" t="n">
        <v>19</v>
      </c>
      <c r="AB2" s="103" t="n">
        <v>20</v>
      </c>
      <c r="AC2" s="102" t="n">
        <v>21</v>
      </c>
      <c r="AD2" s="103" t="n">
        <v>22</v>
      </c>
      <c r="AE2" s="103" t="n">
        <v>23</v>
      </c>
      <c r="AF2" s="103" t="n">
        <v>24</v>
      </c>
      <c r="AG2" s="104" t="n">
        <v>25</v>
      </c>
      <c r="AH2" s="104" t="n">
        <v>26</v>
      </c>
      <c r="AI2" s="103" t="n">
        <v>27</v>
      </c>
      <c r="AJ2" s="103" t="n">
        <v>28</v>
      </c>
      <c r="AK2" s="103" t="n">
        <v>29</v>
      </c>
      <c r="AL2" s="103" t="n">
        <v>30</v>
      </c>
      <c r="AM2" s="100" t="n"/>
      <c r="AN2" s="101" t="inlineStr">
        <is>
          <t>01/05</t>
        </is>
      </c>
      <c r="AO2" s="105" t="inlineStr">
        <is>
          <t>02/05</t>
        </is>
      </c>
      <c r="AP2" s="105" t="inlineStr">
        <is>
          <t>03/05</t>
        </is>
      </c>
      <c r="AQ2" s="100" t="n"/>
      <c r="AR2" s="100" t="n"/>
      <c r="AS2" s="100" t="n"/>
      <c r="AT2" s="106" t="inlineStr">
        <is>
          <t>30/03–05/04</t>
        </is>
      </c>
      <c r="AU2" s="39" t="n"/>
      <c r="AV2" s="106" t="inlineStr">
        <is>
          <t>06/04–12/04</t>
        </is>
      </c>
      <c r="AW2" s="39" t="n"/>
      <c r="AX2" s="106" t="inlineStr">
        <is>
          <t>13/04–19/04</t>
        </is>
      </c>
      <c r="AY2" s="39" t="n"/>
      <c r="AZ2" s="106" t="inlineStr">
        <is>
          <t>20/04–26/04</t>
        </is>
      </c>
      <c r="BA2" s="39" t="n"/>
      <c r="BB2" s="106" t="inlineStr">
        <is>
          <t>27/04–03/05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0" t="n"/>
      <c r="G3" s="107" t="inlineStr">
        <is>
          <t>seg</t>
        </is>
      </c>
      <c r="H3" s="107" t="inlineStr">
        <is>
          <t>ter</t>
        </is>
      </c>
      <c r="I3" s="107" t="inlineStr">
        <is>
          <t>qua</t>
        </is>
      </c>
      <c r="J3" s="107" t="inlineStr">
        <is>
          <t>qui</t>
        </is>
      </c>
      <c r="K3" s="108" t="inlineStr">
        <is>
          <t>paix</t>
        </is>
      </c>
      <c r="L3" s="109" t="inlineStr">
        <is>
          <t>sáb</t>
        </is>
      </c>
      <c r="M3" s="109" t="inlineStr">
        <is>
          <t>dom</t>
        </is>
      </c>
      <c r="N3" s="107" t="inlineStr">
        <is>
          <t>seg</t>
        </is>
      </c>
      <c r="O3" s="107" t="inlineStr">
        <is>
          <t>ter</t>
        </is>
      </c>
      <c r="P3" s="107" t="inlineStr">
        <is>
          <t>qua</t>
        </is>
      </c>
      <c r="Q3" s="107" t="inlineStr">
        <is>
          <t>qui</t>
        </is>
      </c>
      <c r="R3" s="107" t="inlineStr">
        <is>
          <t>sex</t>
        </is>
      </c>
      <c r="S3" s="109" t="inlineStr">
        <is>
          <t>sáb</t>
        </is>
      </c>
      <c r="T3" s="109" t="inlineStr">
        <is>
          <t>dom</t>
        </is>
      </c>
      <c r="U3" s="107" t="inlineStr">
        <is>
          <t>seg</t>
        </is>
      </c>
      <c r="V3" s="107" t="inlineStr">
        <is>
          <t>ter</t>
        </is>
      </c>
      <c r="W3" s="107" t="inlineStr">
        <is>
          <t>qua</t>
        </is>
      </c>
      <c r="X3" s="107" t="inlineStr">
        <is>
          <t>qui</t>
        </is>
      </c>
      <c r="Y3" s="107" t="inlineStr">
        <is>
          <t>sex</t>
        </is>
      </c>
      <c r="Z3" s="109" t="inlineStr">
        <is>
          <t>sáb</t>
        </is>
      </c>
      <c r="AA3" s="109" t="inlineStr">
        <is>
          <t>dom</t>
        </is>
      </c>
      <c r="AB3" s="107" t="inlineStr">
        <is>
          <t>seg</t>
        </is>
      </c>
      <c r="AC3" s="108" t="inlineStr">
        <is>
          <t>tira</t>
        </is>
      </c>
      <c r="AD3" s="107" t="inlineStr">
        <is>
          <t>qua</t>
        </is>
      </c>
      <c r="AE3" s="107" t="inlineStr">
        <is>
          <t>qui</t>
        </is>
      </c>
      <c r="AF3" s="107" t="inlineStr">
        <is>
          <t>sex</t>
        </is>
      </c>
      <c r="AG3" s="109" t="inlineStr">
        <is>
          <t>sáb</t>
        </is>
      </c>
      <c r="AH3" s="109" t="inlineStr">
        <is>
          <t>dom</t>
        </is>
      </c>
      <c r="AI3" s="107" t="inlineStr">
        <is>
          <t>seg</t>
        </is>
      </c>
      <c r="AJ3" s="107" t="inlineStr">
        <is>
          <t>ter</t>
        </is>
      </c>
      <c r="AK3" s="107" t="inlineStr">
        <is>
          <t>qua</t>
        </is>
      </c>
      <c r="AL3" s="107" t="inlineStr">
        <is>
          <t>qui</t>
        </is>
      </c>
      <c r="AM3" s="100" t="n"/>
      <c r="AN3" s="107" t="inlineStr">
        <is>
          <t>sex</t>
        </is>
      </c>
      <c r="AO3" s="109" t="inlineStr">
        <is>
          <t>sáb</t>
        </is>
      </c>
      <c r="AP3" s="109" t="inlineStr">
        <is>
          <t>dom</t>
        </is>
      </c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1</v>
      </c>
      <c r="M4" s="39" t="n">
        <v>1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0</v>
      </c>
      <c r="S4" s="39" t="n">
        <v>1</v>
      </c>
      <c r="T4" s="39" t="n">
        <v>1</v>
      </c>
      <c r="U4" s="39" t="n">
        <v>0</v>
      </c>
      <c r="V4" s="39" t="n">
        <v>0</v>
      </c>
      <c r="W4" s="39" t="n">
        <v>0</v>
      </c>
      <c r="X4" s="39" t="n">
        <v>0</v>
      </c>
      <c r="Y4" s="39" t="n">
        <v>0</v>
      </c>
      <c r="Z4" s="39" t="n">
        <v>1</v>
      </c>
      <c r="AA4" s="39" t="n">
        <v>1</v>
      </c>
      <c r="AB4" s="39" t="n">
        <v>0</v>
      </c>
      <c r="AC4" s="39" t="n">
        <v>0</v>
      </c>
      <c r="AD4" s="39" t="n">
        <v>0</v>
      </c>
      <c r="AE4" s="39" t="n">
        <v>0</v>
      </c>
      <c r="AF4" s="39" t="n">
        <v>0</v>
      </c>
      <c r="AG4" s="39" t="n">
        <v>1</v>
      </c>
      <c r="AH4" s="39" t="n">
        <v>1</v>
      </c>
      <c r="AI4" s="39" t="n">
        <v>0</v>
      </c>
      <c r="AJ4" s="39" t="n">
        <v>0</v>
      </c>
      <c r="AK4" s="39" t="n">
        <v>0</v>
      </c>
      <c r="AL4" s="39" t="n">
        <v>0</v>
      </c>
      <c r="AM4" s="39" t="n"/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1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1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1</v>
      </c>
      <c r="Z5" s="39" t="n">
        <v>0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0</v>
      </c>
      <c r="AF5" s="39" t="n">
        <v>1</v>
      </c>
      <c r="AG5" s="39" t="n">
        <v>0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0</v>
      </c>
      <c r="AM5" s="39" t="n"/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1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1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/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36">
        <f>IFERROR(INDEX(MAR!AL$8:AL$73,MATCH($A8,MAR!$A$8:$A$73,0))&amp;"","")</f>
        <v/>
      </c>
      <c r="H8" s="136">
        <f>IFERROR(INDEX(MAR!AM$8:AM$73,MATCH($A8,MAR!$A$8:$A$73,0))&amp;"","")</f>
        <v/>
      </c>
      <c r="I8" s="115" t="inlineStr">
        <is>
          <t>M</t>
        </is>
      </c>
      <c r="J8" s="115" t="inlineStr">
        <is>
          <t>M</t>
        </is>
      </c>
      <c r="K8" s="115" t="inlineStr">
        <is>
          <t>M</t>
        </is>
      </c>
      <c r="L8" s="114" t="n"/>
      <c r="M8" s="114" t="n"/>
      <c r="N8" s="137" t="inlineStr">
        <is>
          <t>C</t>
        </is>
      </c>
      <c r="O8" s="137" t="inlineStr">
        <is>
          <t>C</t>
        </is>
      </c>
      <c r="P8" s="115" t="inlineStr">
        <is>
          <t>M</t>
        </is>
      </c>
      <c r="Q8" s="115" t="inlineStr">
        <is>
          <t>M</t>
        </is>
      </c>
      <c r="R8" s="115" t="inlineStr">
        <is>
          <t>M</t>
        </is>
      </c>
      <c r="S8" s="114" t="n"/>
      <c r="T8" s="114" t="n"/>
      <c r="U8" s="137" t="inlineStr">
        <is>
          <t>C</t>
        </is>
      </c>
      <c r="V8" s="137" t="inlineStr">
        <is>
          <t>C</t>
        </is>
      </c>
      <c r="W8" s="115" t="inlineStr">
        <is>
          <t>M</t>
        </is>
      </c>
      <c r="X8" s="115" t="inlineStr">
        <is>
          <t>M</t>
        </is>
      </c>
      <c r="Y8" s="137" t="inlineStr">
        <is>
          <t>C</t>
        </is>
      </c>
      <c r="Z8" s="114" t="n"/>
      <c r="AA8" s="114" t="n"/>
      <c r="AB8" s="137" t="inlineStr">
        <is>
          <t>C</t>
        </is>
      </c>
      <c r="AC8" s="137" t="inlineStr">
        <is>
          <t>C</t>
        </is>
      </c>
      <c r="AD8" s="115" t="inlineStr">
        <is>
          <t>M</t>
        </is>
      </c>
      <c r="AE8" s="115" t="inlineStr">
        <is>
          <t>M</t>
        </is>
      </c>
      <c r="AF8" s="115" t="inlineStr">
        <is>
          <t>M</t>
        </is>
      </c>
      <c r="AG8" s="114" t="n"/>
      <c r="AH8" s="114" t="n"/>
      <c r="AI8" s="137" t="inlineStr">
        <is>
          <t>C</t>
        </is>
      </c>
      <c r="AJ8" s="137" t="inlineStr">
        <is>
          <t>C</t>
        </is>
      </c>
      <c r="AK8" s="115" t="inlineStr">
        <is>
          <t>M</t>
        </is>
      </c>
      <c r="AL8" s="115" t="inlineStr">
        <is>
          <t>M</t>
        </is>
      </c>
      <c r="AM8" s="100" t="n"/>
      <c r="AN8" s="136">
        <f>IFERROR(INDEX(MAI!I$8:I$73,MATCH($A8,MAI!$A$8:$A$73,0))&amp;"","")</f>
        <v/>
      </c>
      <c r="AO8" s="116">
        <f>IFERROR(INDEX(MAI!J$8:J$73,MATCH($A8,MAI!$A$8:$A$73,0))&amp;"","")</f>
        <v/>
      </c>
      <c r="AP8" s="116">
        <f>IFERROR(INDEX(MAI!K$8:K$73,MATCH($A8,MAI!$A$8:$A$73,0))&amp;"","")</f>
        <v/>
      </c>
      <c r="AQ8" s="100" t="n"/>
      <c r="AR8" s="100" t="n"/>
      <c r="AS8" s="100" t="n"/>
      <c r="AT8" s="117">
        <f>SUMPRODUCT(($G8:$M8="M")*6+($G8:$M8="T")*6+($G8:$M8="D")*12+($G8:$M8="N")*12+($G8:$M8="NT")*6+($G8:$M8="C")*10+($G8:$M8="A")*8+($G8:$M8="J")*5+($G8:$M8="CEP")*4+($G8:$M8="CP")*6+($G8:$M8="CRO")*6+($G8:$M8="M+")*6+($G8:$M8="T+")*6+($G8:$M8="D+")*12+($G8:$M8="N+")*12+($G8:$M8="Dm+")*12+($G8:$M8="Dt+")*12+($G8:$M8="Tm-")*6+($G8:$M8="Mt-")*6)</f>
        <v/>
      </c>
      <c r="AU8" s="118">
        <f>AT8-MAX(0,IFERROR(INDEX(CADASTRO!$I$4:$I$80,MATCH($A8,CADASTRO!$A$4:$A$80,0)),$B8)-CONFIG!$B$50*(COUNTIF($G8:$M8,"AB")+COUNTIF($G8:$M8,"FE")+COUNTIF($G8:$M8,"LM")))</f>
        <v/>
      </c>
      <c r="AV8" s="117">
        <f>SUMPRODUCT(($N8:$T8="M")*6+($N8:$T8="T")*6+($N8:$T8="D")*12+($N8:$T8="N")*12+($N8:$T8="NT")*6+($N8:$T8="C")*10+($N8:$T8="A")*8+($N8:$T8="J")*5+($N8:$T8="CEP")*4+($N8:$T8="CP")*6+($N8:$T8="CRO")*6+($N8:$T8="M+")*6+($N8:$T8="T+")*6+($N8:$T8="D+")*12+($N8:$T8="N+")*12+($N8:$T8="Dm+")*12+($N8:$T8="Dt+")*12+($N8:$T8="Tm-")*6+($N8:$T8="Mt-")*6)</f>
        <v/>
      </c>
      <c r="AW8" s="118">
        <f>AV8-MAX(0,IFERROR(INDEX(CADASTRO!$I$4:$I$80,MATCH($A8,CADASTRO!$A$4:$A$80,0)),$B8)-CONFIG!$B$50*(COUNTIF($N8:$T8,"AB")+COUNTIF($N8:$T8,"FE")+COUNTIF($N8:$T8,"LM")))</f>
        <v/>
      </c>
      <c r="AX8" s="117">
        <f>SUMPRODUCT(($U8:$AA8="M")*6+($U8:$AA8="T")*6+($U8:$AA8="D")*12+($U8:$AA8="N")*12+($U8:$AA8="NT")*6+($U8:$AA8="C")*10+($U8:$AA8="A")*8+($U8:$AA8="J")*5+($U8:$AA8="CEP")*4+($U8:$AA8="CP")*6+($U8:$AA8="CRO")*6+($U8:$AA8="M+")*6+($U8:$AA8="T+")*6+($U8:$AA8="D+")*12+($U8:$AA8="N+")*12+($U8:$AA8="Dm+")*12+($U8:$AA8="Dt+")*12+($U8:$AA8="Tm-")*6+($U8:$AA8="Mt-")*6)</f>
        <v/>
      </c>
      <c r="AY8" s="118">
        <f>AX8-MAX(0,IFERROR(INDEX(CADASTRO!$I$4:$I$80,MATCH($A8,CADASTRO!$A$4:$A$80,0)),$B8)-CONFIG!$B$50*(COUNTIF($U8:$AA8,"AB")+COUNTIF($U8:$AA8,"FE")+COUNTIF($U8:$AA8,"LM")))</f>
        <v/>
      </c>
      <c r="AZ8" s="117">
        <f>SUMPRODUCT(($AB8:$AH8="M")*6+($AB8:$AH8="T")*6+($AB8:$AH8="D")*12+($AB8:$AH8="N")*12+($AB8:$AH8="NT")*6+($AB8:$AH8="C")*10+($AB8:$AH8="A")*8+($AB8:$AH8="J")*5+($AB8:$AH8="CEP")*4+($AB8:$AH8="CP")*6+($AB8:$AH8="CRO")*6+($AB8:$AH8="M+")*6+($AB8:$AH8="T+")*6+($AB8:$AH8="D+")*12+($AB8:$AH8="N+")*12+($AB8:$AH8="Dm+")*12+($AB8:$AH8="Dt+")*12+($AB8:$AH8="Tm-")*6+($AB8:$AH8="Mt-")*6)</f>
        <v/>
      </c>
      <c r="BA8" s="118">
        <f>AZ8-MAX(0,IFERROR(INDEX(CADASTRO!$I$4:$I$80,MATCH($A8,CADASTRO!$A$4:$A$80,0)),$B8)-CONFIG!$B$50*(COUNTIF($AB8:$AH8,"AB")+COUNTIF($AB8:$AH8,"FE")+COUNTIF($AB8:$AH8,"LM")))</f>
        <v/>
      </c>
      <c r="BB8" s="117">
        <f>SUMPRODUCT(($AI8:$AL8="M")*6+($AI8:$AL8="T")*6+($AI8:$AL8="D")*12+($AI8:$AL8="N")*12+($AI8:$AL8="NT")*6+($AI8:$AL8="C")*10+($AI8:$AL8="A")*8+($AI8:$AL8="J")*5+($AI8:$AL8="CEP")*4+($AI8:$AL8="CP")*6+($AI8:$AL8="CRO")*6+($AI8:$AL8="M+")*6+($AI8:$AL8="T+")*6+($AI8:$AL8="D+")*12+($AI8:$AL8="N+")*12+($AI8:$AL8="Dm+")*12+($AI8:$AL8="Dt+")*12+($AI8:$AL8="Tm-")*6+($AI8:$AL8="Mt-")*6)+SUMPRODUCT(($AN8:$AP8="M")*6+($AN8:$AP8="T")*6+($AN8:$AP8="D")*12+($AN8:$AP8="N")*12+($AN8:$AP8="NT")*6+($AN8:$AP8="C")*10+($AN8:$AP8="A")*8+($AN8:$AP8="J")*5+($AN8:$AP8="CEP")*4+($AN8:$AP8="CP")*6+($AN8:$AP8="CRO")*6+($AN8:$AP8="M+")*6+($AN8:$AP8="T+")*6+($AN8:$AP8="D+")*12+($AN8:$AP8="N+")*12+($AN8:$AP8="Dm+")*12+($AN8:$AP8="Dt+")*12+($AN8:$AP8="Tm-")*6+($AN8:$AP8="Mt-")*6)</f>
        <v/>
      </c>
      <c r="BC8" s="118">
        <f>BB8-MAX(0,IFERROR(INDEX(CADASTRO!$I$4:$I$80,MATCH($A8,CADASTRO!$A$4:$A$80,0)),$B8)-CONFIG!$B$50*(COUNTIF($AI8:$AL8,"AB")+COUNTIF($AI8:$AL8,"FE")+COUNTIF($AI8:$AL8,"LM")+COUNTIF($AN8:$AP8,"AB")+COUNTIF($AN8:$AP8,"FE")+COUNTIF($AN8:$AP8,"LM")))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ROUND(B8*4.29,0)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36">
        <f>IFERROR(INDEX(MAR!AL$8:AL$73,MATCH($A9,MAR!$A$8:$A$73,0))&amp;"","")</f>
        <v/>
      </c>
      <c r="H9" s="136">
        <f>IFERROR(INDEX(MAR!AM$8:AM$73,MATCH($A9,MAR!$A$8:$A$73,0))&amp;"","")</f>
        <v/>
      </c>
      <c r="I9" s="115" t="inlineStr">
        <is>
          <t>M</t>
        </is>
      </c>
      <c r="J9" s="137" t="inlineStr">
        <is>
          <t>C</t>
        </is>
      </c>
      <c r="K9" s="137" t="inlineStr">
        <is>
          <t>C</t>
        </is>
      </c>
      <c r="L9" s="114" t="n"/>
      <c r="M9" s="114" t="n"/>
      <c r="N9" s="115" t="inlineStr">
        <is>
          <t>M</t>
        </is>
      </c>
      <c r="O9" s="115" t="inlineStr">
        <is>
          <t>M</t>
        </is>
      </c>
      <c r="P9" s="115" t="inlineStr">
        <is>
          <t>M</t>
        </is>
      </c>
      <c r="Q9" s="137" t="inlineStr">
        <is>
          <t>C</t>
        </is>
      </c>
      <c r="R9" s="115" t="inlineStr">
        <is>
          <t>M</t>
        </is>
      </c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14" t="n"/>
      <c r="AF9" s="114" t="n"/>
      <c r="AG9" s="114" t="n"/>
      <c r="AH9" s="114" t="n"/>
      <c r="AI9" s="115" t="inlineStr">
        <is>
          <t>M</t>
        </is>
      </c>
      <c r="AJ9" s="115" t="inlineStr">
        <is>
          <t>M</t>
        </is>
      </c>
      <c r="AK9" s="115" t="inlineStr">
        <is>
          <t>M</t>
        </is>
      </c>
      <c r="AL9" s="137" t="inlineStr">
        <is>
          <t>C</t>
        </is>
      </c>
      <c r="AM9" s="100" t="n"/>
      <c r="AN9" s="136">
        <f>IFERROR(INDEX(MAI!I$8:I$73,MATCH($A9,MAI!$A$8:$A$73,0))&amp;"","")</f>
        <v/>
      </c>
      <c r="AO9" s="116">
        <f>IFERROR(INDEX(MAI!J$8:J$73,MATCH($A9,MAI!$A$8:$A$73,0))&amp;"","")</f>
        <v/>
      </c>
      <c r="AP9" s="116">
        <f>IFERROR(INDEX(MAI!K$8:K$73,MATCH($A9,MAI!$A$8:$A$73,0))&amp;"","")</f>
        <v/>
      </c>
      <c r="AQ9" s="100" t="n"/>
      <c r="AR9" s="100" t="n"/>
      <c r="AS9" s="100" t="n"/>
      <c r="AT9" s="117">
        <f>SUMPRODUCT(($G9:$M9="M")*6+($G9:$M9="T")*6+($G9:$M9="D")*12+($G9:$M9="N")*12+($G9:$M9="NT")*6+($G9:$M9="C")*10+($G9:$M9="A")*8+($G9:$M9="J")*5+($G9:$M9="CEP")*4+($G9:$M9="CP")*6+($G9:$M9="CRO")*6+($G9:$M9="M+")*6+($G9:$M9="T+")*6+($G9:$M9="D+")*12+($G9:$M9="N+")*12+($G9:$M9="Dm+")*12+($G9:$M9="Dt+")*12+($G9:$M9="Tm-")*6+($G9:$M9="Mt-")*6)</f>
        <v/>
      </c>
      <c r="AU9" s="118">
        <f>AT9-MAX(0,IFERROR(INDEX(CADASTRO!$I$4:$I$80,MATCH($A9,CADASTRO!$A$4:$A$80,0)),$B9)-CONFIG!$B$50*(COUNTIF($G9:$M9,"AB")+COUNTIF($G9:$M9,"FE")+COUNTIF($G9:$M9,"LM")))</f>
        <v/>
      </c>
      <c r="AV9" s="117">
        <f>SUMPRODUCT(($N9:$T9="M")*6+($N9:$T9="T")*6+($N9:$T9="D")*12+($N9:$T9="N")*12+($N9:$T9="NT")*6+($N9:$T9="C")*10+($N9:$T9="A")*8+($N9:$T9="J")*5+($N9:$T9="CEP")*4+($N9:$T9="CP")*6+($N9:$T9="CRO")*6+($N9:$T9="M+")*6+($N9:$T9="T+")*6+($N9:$T9="D+")*12+($N9:$T9="N+")*12+($N9:$T9="Dm+")*12+($N9:$T9="Dt+")*12+($N9:$T9="Tm-")*6+($N9:$T9="Mt-")*6)</f>
        <v/>
      </c>
      <c r="AW9" s="118">
        <f>AV9-MAX(0,IFERROR(INDEX(CADASTRO!$I$4:$I$80,MATCH($A9,CADASTRO!$A$4:$A$80,0)),$B9)-CONFIG!$B$50*(COUNTIF($N9:$T9,"AB")+COUNTIF($N9:$T9,"FE")+COUNTIF($N9:$T9,"LM")))</f>
        <v/>
      </c>
      <c r="AX9" s="117">
        <f>SUMPRODUCT(($U9:$AA9="M")*6+($U9:$AA9="T")*6+($U9:$AA9="D")*12+($U9:$AA9="N")*12+($U9:$AA9="NT")*6+($U9:$AA9="C")*10+($U9:$AA9="A")*8+($U9:$AA9="J")*5+($U9:$AA9="CEP")*4+($U9:$AA9="CP")*6+($U9:$AA9="CRO")*6+($U9:$AA9="M+")*6+($U9:$AA9="T+")*6+($U9:$AA9="D+")*12+($U9:$AA9="N+")*12+($U9:$AA9="Dm+")*12+($U9:$AA9="Dt+")*12+($U9:$AA9="Tm-")*6+($U9:$AA9="Mt-")*6)</f>
        <v/>
      </c>
      <c r="AY9" s="118">
        <f>AX9-MAX(0,IFERROR(INDEX(CADASTRO!$I$4:$I$80,MATCH($A9,CADASTRO!$A$4:$A$80,0)),$B9)-CONFIG!$B$50*(COUNTIF($U9:$AA9,"AB")+COUNTIF($U9:$AA9,"FE")+COUNTIF($U9:$AA9,"LM")))</f>
        <v/>
      </c>
      <c r="AZ9" s="117">
        <f>SUMPRODUCT(($AB9:$AH9="M")*6+($AB9:$AH9="T")*6+($AB9:$AH9="D")*12+($AB9:$AH9="N")*12+($AB9:$AH9="NT")*6+($AB9:$AH9="C")*10+($AB9:$AH9="A")*8+($AB9:$AH9="J")*5+($AB9:$AH9="CEP")*4+($AB9:$AH9="CP")*6+($AB9:$AH9="CRO")*6+($AB9:$AH9="M+")*6+($AB9:$AH9="T+")*6+($AB9:$AH9="D+")*12+($AB9:$AH9="N+")*12+($AB9:$AH9="Dm+")*12+($AB9:$AH9="Dt+")*12+($AB9:$AH9="Tm-")*6+($AB9:$AH9="Mt-")*6)</f>
        <v/>
      </c>
      <c r="BA9" s="118">
        <f>AZ9-MAX(0,IFERROR(INDEX(CADASTRO!$I$4:$I$80,MATCH($A9,CADASTRO!$A$4:$A$80,0)),$B9)-CONFIG!$B$50*(COUNTIF($AB9:$AH9,"AB")+COUNTIF($AB9:$AH9,"FE")+COUNTIF($AB9:$AH9,"LM")))</f>
        <v/>
      </c>
      <c r="BB9" s="117">
        <f>SUMPRODUCT(($AI9:$AL9="M")*6+($AI9:$AL9="T")*6+($AI9:$AL9="D")*12+($AI9:$AL9="N")*12+($AI9:$AL9="NT")*6+($AI9:$AL9="C")*10+($AI9:$AL9="A")*8+($AI9:$AL9="J")*5+($AI9:$AL9="CEP")*4+($AI9:$AL9="CP")*6+($AI9:$AL9="CRO")*6+($AI9:$AL9="M+")*6+($AI9:$AL9="T+")*6+($AI9:$AL9="D+")*12+($AI9:$AL9="N+")*12+($AI9:$AL9="Dm+")*12+($AI9:$AL9="Dt+")*12+($AI9:$AL9="Tm-")*6+($AI9:$AL9="Mt-")*6)+SUMPRODUCT(($AN9:$AP9="M")*6+($AN9:$AP9="T")*6+($AN9:$AP9="D")*12+($AN9:$AP9="N")*12+($AN9:$AP9="NT")*6+($AN9:$AP9="C")*10+($AN9:$AP9="A")*8+($AN9:$AP9="J")*5+($AN9:$AP9="CEP")*4+($AN9:$AP9="CP")*6+($AN9:$AP9="CRO")*6+($AN9:$AP9="M+")*6+($AN9:$AP9="T+")*6+($AN9:$AP9="D+")*12+($AN9:$AP9="N+")*12+($AN9:$AP9="Dm+")*12+($AN9:$AP9="Dt+")*12+($AN9:$AP9="Tm-")*6+($AN9:$AP9="Mt-")*6)</f>
        <v/>
      </c>
      <c r="BC9" s="118">
        <f>BB9-MAX(0,IFERROR(INDEX(CADASTRO!$I$4:$I$80,MATCH($A9,CADASTRO!$A$4:$A$80,0)),$B9)-CONFIG!$B$50*(COUNTIF($AI9:$AL9,"AB")+COUNTIF($AI9:$AL9,"FE")+COUNTIF($AI9:$AL9,"LM")+COUNTIF($AN9:$AP9,"AB")+COUNTIF($AN9:$AP9,"FE")+COUNTIF($AN9:$AP9,"LM")))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ROUND(B9*4.29,0)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36">
        <f>IFERROR(INDEX(MAR!AL$8:AL$73,MATCH($A10,MAR!$A$8:$A$73,0))&amp;"","")</f>
        <v/>
      </c>
      <c r="H10" s="136">
        <f>IFERROR(INDEX(MAR!AM$8:AM$73,MATCH($A10,MAR!$A$8:$A$73,0))&amp;"","")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00" t="n"/>
      <c r="AN10" s="136">
        <f>IFERROR(INDEX(MAI!I$8:I$73,MATCH($A10,MAI!$A$8:$A$73,0))&amp;"","")</f>
        <v/>
      </c>
      <c r="AO10" s="116">
        <f>IFERROR(INDEX(MAI!J$8:J$73,MATCH($A10,MAI!$A$8:$A$73,0))&amp;"","")</f>
        <v/>
      </c>
      <c r="AP10" s="116">
        <f>IFERROR(INDEX(MAI!K$8:K$73,MATCH($A10,MAI!$A$8:$A$73,0))&amp;"","")</f>
        <v/>
      </c>
      <c r="AQ10" s="100" t="n"/>
      <c r="AR10" s="100" t="n"/>
      <c r="AS10" s="100" t="n"/>
      <c r="AT10" s="117">
        <f>SUMPRODUCT(($G10:$M10="M")*6+($G10:$M10="T")*6+($G10:$M10="D")*12+($G10:$M10="N")*12+($G10:$M10="NT")*6+($G10:$M10="C")*10+($G10:$M10="A")*8+($G10:$M10="J")*5+($G10:$M10="CEP")*4+($G10:$M10="CP")*6+($G10:$M10="CRO")*6+($G10:$M10="M+")*6+($G10:$M10="T+")*6+($G10:$M10="D+")*12+($G10:$M10="N+")*12+($G10:$M10="Dm+")*12+($G10:$M10="Dt+")*12+($G10:$M10="Tm-")*6+($G10:$M10="Mt-")*6)</f>
        <v/>
      </c>
      <c r="AU10" s="118">
        <f>AT10-MAX(0,IFERROR(INDEX(CADASTRO!$I$4:$I$80,MATCH($A10,CADASTRO!$A$4:$A$80,0)),$B10)-CONFIG!$B$50*(COUNTIF($G10:$M10,"AB")+COUNTIF($G10:$M10,"FE")+COUNTIF($G10:$M10,"LM")))</f>
        <v/>
      </c>
      <c r="AV10" s="117">
        <f>SUMPRODUCT(($N10:$T10="M")*6+($N10:$T10="T")*6+($N10:$T10="D")*12+($N10:$T10="N")*12+($N10:$T10="NT")*6+($N10:$T10="C")*10+($N10:$T10="A")*8+($N10:$T10="J")*5+($N10:$T10="CEP")*4+($N10:$T10="CP")*6+($N10:$T10="CRO")*6+($N10:$T10="M+")*6+($N10:$T10="T+")*6+($N10:$T10="D+")*12+($N10:$T10="N+")*12+($N10:$T10="Dm+")*12+($N10:$T10="Dt+")*12+($N10:$T10="Tm-")*6+($N10:$T10="Mt-")*6)</f>
        <v/>
      </c>
      <c r="AW10" s="118">
        <f>AV10-MAX(0,IFERROR(INDEX(CADASTRO!$I$4:$I$80,MATCH($A10,CADASTRO!$A$4:$A$80,0)),$B10)-CONFIG!$B$50*(COUNTIF($N10:$T10,"AB")+COUNTIF($N10:$T10,"FE")+COUNTIF($N10:$T10,"LM")))</f>
        <v/>
      </c>
      <c r="AX10" s="117">
        <f>SUMPRODUCT(($U10:$AA10="M")*6+($U10:$AA10="T")*6+($U10:$AA10="D")*12+($U10:$AA10="N")*12+($U10:$AA10="NT")*6+($U10:$AA10="C")*10+($U10:$AA10="A")*8+($U10:$AA10="J")*5+($U10:$AA10="CEP")*4+($U10:$AA10="CP")*6+($U10:$AA10="CRO")*6+($U10:$AA10="M+")*6+($U10:$AA10="T+")*6+($U10:$AA10="D+")*12+($U10:$AA10="N+")*12+($U10:$AA10="Dm+")*12+($U10:$AA10="Dt+")*12+($U10:$AA10="Tm-")*6+($U10:$AA10="Mt-")*6)</f>
        <v/>
      </c>
      <c r="AY10" s="118">
        <f>AX10-MAX(0,IFERROR(INDEX(CADASTRO!$I$4:$I$80,MATCH($A10,CADASTRO!$A$4:$A$80,0)),$B10)-CONFIG!$B$50*(COUNTIF($U10:$AA10,"AB")+COUNTIF($U10:$AA10,"FE")+COUNTIF($U10:$AA10,"LM")))</f>
        <v/>
      </c>
      <c r="AZ10" s="117">
        <f>SUMPRODUCT(($AB10:$AH10="M")*6+($AB10:$AH10="T")*6+($AB10:$AH10="D")*12+($AB10:$AH10="N")*12+($AB10:$AH10="NT")*6+($AB10:$AH10="C")*10+($AB10:$AH10="A")*8+($AB10:$AH10="J")*5+($AB10:$AH10="CEP")*4+($AB10:$AH10="CP")*6+($AB10:$AH10="CRO")*6+($AB10:$AH10="M+")*6+($AB10:$AH10="T+")*6+($AB10:$AH10="D+")*12+($AB10:$AH10="N+")*12+($AB10:$AH10="Dm+")*12+($AB10:$AH10="Dt+")*12+($AB10:$AH10="Tm-")*6+($AB10:$AH10="Mt-")*6)</f>
        <v/>
      </c>
      <c r="BA10" s="118">
        <f>AZ10-MAX(0,IFERROR(INDEX(CADASTRO!$I$4:$I$80,MATCH($A10,CADASTRO!$A$4:$A$80,0)),$B10)-CONFIG!$B$50*(COUNTIF($AB10:$AH10,"AB")+COUNTIF($AB10:$AH10,"FE")+COUNTIF($AB10:$AH10,"LM")))</f>
        <v/>
      </c>
      <c r="BB10" s="117">
        <f>SUMPRODUCT(($AI10:$AL10="M")*6+($AI10:$AL10="T")*6+($AI10:$AL10="D")*12+($AI10:$AL10="N")*12+($AI10:$AL10="NT")*6+($AI10:$AL10="C")*10+($AI10:$AL10="A")*8+($AI10:$AL10="J")*5+($AI10:$AL10="CEP")*4+($AI10:$AL10="CP")*6+($AI10:$AL10="CRO")*6+($AI10:$AL10="M+")*6+($AI10:$AL10="T+")*6+($AI10:$AL10="D+")*12+($AI10:$AL10="N+")*12+($AI10:$AL10="Dm+")*12+($AI10:$AL10="Dt+")*12+($AI10:$AL10="Tm-")*6+($AI10:$AL10="Mt-")*6)+SUMPRODUCT(($AN10:$AP10="M")*6+($AN10:$AP10="T")*6+($AN10:$AP10="D")*12+($AN10:$AP10="N")*12+($AN10:$AP10="NT")*6+($AN10:$AP10="C")*10+($AN10:$AP10="A")*8+($AN10:$AP10="J")*5+($AN10:$AP10="CEP")*4+($AN10:$AP10="CP")*6+($AN10:$AP10="CRO")*6+($AN10:$AP10="M+")*6+($AN10:$AP10="T+")*6+($AN10:$AP10="D+")*12+($AN10:$AP10="N+")*12+($AN10:$AP10="Dm+")*12+($AN10:$AP10="Dt+")*12+($AN10:$AP10="Tm-")*6+($AN10:$AP10="Mt-")*6)</f>
        <v/>
      </c>
      <c r="BC10" s="118">
        <f>BB10-MAX(0,IFERROR(INDEX(CADASTRO!$I$4:$I$80,MATCH($A10,CADASTRO!$A$4:$A$80,0)),$B10)-CONFIG!$B$50*(COUNTIF($AI10:$AL10,"AB")+COUNTIF($AI10:$AL10,"FE")+COUNTIF($AI10:$AL10,"LM")+COUNTIF($AN10:$AP10,"AB")+COUNTIF($AN10:$AP10,"FE")+COUNTIF($AN10:$AP10,"LM")))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ROUND(B10*4.29,0)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36">
        <f>IFERROR(INDEX(MAR!AL$8:AL$73,MATCH($A11,MAR!$A$8:$A$73,0))&amp;"","")</f>
        <v/>
      </c>
      <c r="H11" s="136">
        <f>IFERROR(INDEX(MAR!AM$8:AM$73,MATCH($A11,MAR!$A$8:$A$73,0))&amp;"","")</f>
        <v/>
      </c>
      <c r="I11" s="115" t="inlineStr">
        <is>
          <t>M</t>
        </is>
      </c>
      <c r="J11" s="124" t="inlineStr">
        <is>
          <t>D</t>
        </is>
      </c>
      <c r="K11" s="115" t="inlineStr">
        <is>
          <t>M</t>
        </is>
      </c>
      <c r="L11" s="114" t="n"/>
      <c r="M11" s="114" t="n"/>
      <c r="N11" s="115" t="inlineStr">
        <is>
          <t>M</t>
        </is>
      </c>
      <c r="O11" s="115" t="inlineStr">
        <is>
          <t>M</t>
        </is>
      </c>
      <c r="P11" s="115" t="inlineStr">
        <is>
          <t>M</t>
        </is>
      </c>
      <c r="Q11" s="115" t="inlineStr">
        <is>
          <t>M</t>
        </is>
      </c>
      <c r="R11" s="115" t="inlineStr">
        <is>
          <t>M</t>
        </is>
      </c>
      <c r="S11" s="125" t="inlineStr">
        <is>
          <t>N</t>
        </is>
      </c>
      <c r="T11" s="114" t="n"/>
      <c r="U11" s="115" t="inlineStr">
        <is>
          <t>M</t>
        </is>
      </c>
      <c r="V11" s="115" t="inlineStr">
        <is>
          <t>M</t>
        </is>
      </c>
      <c r="W11" s="115" t="inlineStr">
        <is>
          <t>M</t>
        </is>
      </c>
      <c r="X11" s="115" t="inlineStr">
        <is>
          <t>M</t>
        </is>
      </c>
      <c r="Y11" s="115" t="inlineStr">
        <is>
          <t>M</t>
        </is>
      </c>
      <c r="Z11" s="115" t="inlineStr">
        <is>
          <t>M</t>
        </is>
      </c>
      <c r="AA11" s="114" t="n"/>
      <c r="AB11" s="115" t="inlineStr">
        <is>
          <t>M</t>
        </is>
      </c>
      <c r="AC11" s="115" t="inlineStr">
        <is>
          <t>M</t>
        </is>
      </c>
      <c r="AD11" s="115" t="inlineStr">
        <is>
          <t>M</t>
        </is>
      </c>
      <c r="AE11" s="115" t="inlineStr">
        <is>
          <t>M</t>
        </is>
      </c>
      <c r="AF11" s="115" t="inlineStr">
        <is>
          <t>M</t>
        </is>
      </c>
      <c r="AG11" s="114" t="n"/>
      <c r="AH11" s="125" t="inlineStr">
        <is>
          <t>N</t>
        </is>
      </c>
      <c r="AI11" s="115" t="inlineStr">
        <is>
          <t>M</t>
        </is>
      </c>
      <c r="AJ11" s="115" t="inlineStr">
        <is>
          <t>M</t>
        </is>
      </c>
      <c r="AK11" s="124" t="inlineStr">
        <is>
          <t>D</t>
        </is>
      </c>
      <c r="AL11" s="124" t="inlineStr">
        <is>
          <t>D</t>
        </is>
      </c>
      <c r="AM11" s="100" t="n"/>
      <c r="AN11" s="136">
        <f>IFERROR(INDEX(MAI!I$8:I$73,MATCH($A11,MAI!$A$8:$A$73,0))&amp;"","")</f>
        <v/>
      </c>
      <c r="AO11" s="116">
        <f>IFERROR(INDEX(MAI!J$8:J$73,MATCH($A11,MAI!$A$8:$A$73,0))&amp;"","")</f>
        <v/>
      </c>
      <c r="AP11" s="116">
        <f>IFERROR(INDEX(MAI!K$8:K$73,MATCH($A11,MAI!$A$8:$A$73,0))&amp;"","")</f>
        <v/>
      </c>
      <c r="AQ11" s="100" t="n"/>
      <c r="AR11" s="100" t="n"/>
      <c r="AS11" s="100" t="n"/>
      <c r="AT11" s="117">
        <f>SUMPRODUCT(($G11:$M11="M")*6+($G11:$M11="T")*6+($G11:$M11="D")*12+($G11:$M11="N")*12+($G11:$M11="NT")*6+($G11:$M11="C")*10+($G11:$M11="A")*8+($G11:$M11="J")*5+($G11:$M11="CEP")*4+($G11:$M11="CP")*6+($G11:$M11="CRO")*6+($G11:$M11="M+")*6+($G11:$M11="T+")*6+($G11:$M11="D+")*12+($G11:$M11="N+")*12+($G11:$M11="Dm+")*12+($G11:$M11="Dt+")*12+($G11:$M11="Tm-")*6+($G11:$M11="Mt-")*6)</f>
        <v/>
      </c>
      <c r="AU11" s="118">
        <f>AT11-MAX(0,IFERROR(INDEX(CADASTRO!$I$4:$I$80,MATCH($A11,CADASTRO!$A$4:$A$80,0)),$B11)-CONFIG!$B$50*(COUNTIF($G11:$M11,"AB")+COUNTIF($G11:$M11,"FE")+COUNTIF($G11:$M11,"LM")))</f>
        <v/>
      </c>
      <c r="AV11" s="117">
        <f>SUMPRODUCT(($N11:$T11="M")*6+($N11:$T11="T")*6+($N11:$T11="D")*12+($N11:$T11="N")*12+($N11:$T11="NT")*6+($N11:$T11="C")*10+($N11:$T11="A")*8+($N11:$T11="J")*5+($N11:$T11="CEP")*4+($N11:$T11="CP")*6+($N11:$T11="CRO")*6+($N11:$T11="M+")*6+($N11:$T11="T+")*6+($N11:$T11="D+")*12+($N11:$T11="N+")*12+($N11:$T11="Dm+")*12+($N11:$T11="Dt+")*12+($N11:$T11="Tm-")*6+($N11:$T11="Mt-")*6)</f>
        <v/>
      </c>
      <c r="AW11" s="118">
        <f>AV11-MAX(0,IFERROR(INDEX(CADASTRO!$I$4:$I$80,MATCH($A11,CADASTRO!$A$4:$A$80,0)),$B11)-CONFIG!$B$50*(COUNTIF($N11:$T11,"AB")+COUNTIF($N11:$T11,"FE")+COUNTIF($N11:$T11,"LM")))</f>
        <v/>
      </c>
      <c r="AX11" s="117">
        <f>SUMPRODUCT(($U11:$AA11="M")*6+($U11:$AA11="T")*6+($U11:$AA11="D")*12+($U11:$AA11="N")*12+($U11:$AA11="NT")*6+($U11:$AA11="C")*10+($U11:$AA11="A")*8+($U11:$AA11="J")*5+($U11:$AA11="CEP")*4+($U11:$AA11="CP")*6+($U11:$AA11="CRO")*6+($U11:$AA11="M+")*6+($U11:$AA11="T+")*6+($U11:$AA11="D+")*12+($U11:$AA11="N+")*12+($U11:$AA11="Dm+")*12+($U11:$AA11="Dt+")*12+($U11:$AA11="Tm-")*6+($U11:$AA11="Mt-")*6)</f>
        <v/>
      </c>
      <c r="AY11" s="118">
        <f>AX11-MAX(0,IFERROR(INDEX(CADASTRO!$I$4:$I$80,MATCH($A11,CADASTRO!$A$4:$A$80,0)),$B11)-CONFIG!$B$50*(COUNTIF($U11:$AA11,"AB")+COUNTIF($U11:$AA11,"FE")+COUNTIF($U11:$AA11,"LM")))</f>
        <v/>
      </c>
      <c r="AZ11" s="117">
        <f>SUMPRODUCT(($AB11:$AH11="M")*6+($AB11:$AH11="T")*6+($AB11:$AH11="D")*12+($AB11:$AH11="N")*12+($AB11:$AH11="NT")*6+($AB11:$AH11="C")*10+($AB11:$AH11="A")*8+($AB11:$AH11="J")*5+($AB11:$AH11="CEP")*4+($AB11:$AH11="CP")*6+($AB11:$AH11="CRO")*6+($AB11:$AH11="M+")*6+($AB11:$AH11="T+")*6+($AB11:$AH11="D+")*12+($AB11:$AH11="N+")*12+($AB11:$AH11="Dm+")*12+($AB11:$AH11="Dt+")*12+($AB11:$AH11="Tm-")*6+($AB11:$AH11="Mt-")*6)</f>
        <v/>
      </c>
      <c r="BA11" s="118">
        <f>AZ11-MAX(0,IFERROR(INDEX(CADASTRO!$I$4:$I$80,MATCH($A11,CADASTRO!$A$4:$A$80,0)),$B11)-CONFIG!$B$50*(COUNTIF($AB11:$AH11,"AB")+COUNTIF($AB11:$AH11,"FE")+COUNTIF($AB11:$AH11,"LM")))</f>
        <v/>
      </c>
      <c r="BB11" s="117">
        <f>SUMPRODUCT(($AI11:$AL11="M")*6+($AI11:$AL11="T")*6+($AI11:$AL11="D")*12+($AI11:$AL11="N")*12+($AI11:$AL11="NT")*6+($AI11:$AL11="C")*10+($AI11:$AL11="A")*8+($AI11:$AL11="J")*5+($AI11:$AL11="CEP")*4+($AI11:$AL11="CP")*6+($AI11:$AL11="CRO")*6+($AI11:$AL11="M+")*6+($AI11:$AL11="T+")*6+($AI11:$AL11="D+")*12+($AI11:$AL11="N+")*12+($AI11:$AL11="Dm+")*12+($AI11:$AL11="Dt+")*12+($AI11:$AL11="Tm-")*6+($AI11:$AL11="Mt-")*6)+SUMPRODUCT(($AN11:$AP11="M")*6+($AN11:$AP11="T")*6+($AN11:$AP11="D")*12+($AN11:$AP11="N")*12+($AN11:$AP11="NT")*6+($AN11:$AP11="C")*10+($AN11:$AP11="A")*8+($AN11:$AP11="J")*5+($AN11:$AP11="CEP")*4+($AN11:$AP11="CP")*6+($AN11:$AP11="CRO")*6+($AN11:$AP11="M+")*6+($AN11:$AP11="T+")*6+($AN11:$AP11="D+")*12+($AN11:$AP11="N+")*12+($AN11:$AP11="Dm+")*12+($AN11:$AP11="Dt+")*12+($AN11:$AP11="Tm-")*6+($AN11:$AP11="Mt-")*6)</f>
        <v/>
      </c>
      <c r="BC11" s="118">
        <f>BB11-MAX(0,IFERROR(INDEX(CADASTRO!$I$4:$I$80,MATCH($A11,CADASTRO!$A$4:$A$80,0)),$B11)-CONFIG!$B$50*(COUNTIF($AI11:$AL11,"AB")+COUNTIF($AI11:$AL11,"FE")+COUNTIF($AI11:$AL11,"LM")+COUNTIF($AN11:$AP11,"AB")+COUNTIF($AN11:$AP11,"FE")+COUNTIF($AN11:$AP11,"LM")))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ROUND(B11*4.29,0)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36">
        <f>IFERROR(INDEX(MAR!AL$8:AL$73,MATCH($A12,MAR!$A$8:$A$73,0))&amp;"","")</f>
        <v/>
      </c>
      <c r="H12" s="136">
        <f>IFERROR(INDEX(MAR!AM$8:AM$73,MATCH($A12,MAR!$A$8:$A$73,0))&amp;"","")</f>
        <v/>
      </c>
      <c r="I12" s="115" t="inlineStr">
        <is>
          <t>M</t>
        </is>
      </c>
      <c r="J12" s="115" t="inlineStr">
        <is>
          <t>M</t>
        </is>
      </c>
      <c r="K12" s="124" t="inlineStr">
        <is>
          <t>D</t>
        </is>
      </c>
      <c r="L12" s="114" t="n"/>
      <c r="M12" s="114" t="n"/>
      <c r="N12" s="115" t="inlineStr">
        <is>
          <t>M</t>
        </is>
      </c>
      <c r="O12" s="124" t="inlineStr">
        <is>
          <t>D</t>
        </is>
      </c>
      <c r="P12" s="115" t="inlineStr">
        <is>
          <t>M</t>
        </is>
      </c>
      <c r="Q12" s="115" t="inlineStr">
        <is>
          <t>M</t>
        </is>
      </c>
      <c r="R12" s="115" t="inlineStr">
        <is>
          <t>M</t>
        </is>
      </c>
      <c r="S12" s="114" t="n"/>
      <c r="T12" s="114" t="n"/>
      <c r="U12" s="115" t="inlineStr">
        <is>
          <t>M</t>
        </is>
      </c>
      <c r="V12" s="115" t="inlineStr">
        <is>
          <t>M</t>
        </is>
      </c>
      <c r="W12" s="115" t="inlineStr">
        <is>
          <t>M</t>
        </is>
      </c>
      <c r="X12" s="115" t="inlineStr">
        <is>
          <t>M</t>
        </is>
      </c>
      <c r="Y12" s="115" t="inlineStr">
        <is>
          <t>M</t>
        </is>
      </c>
      <c r="Z12" s="114" t="n"/>
      <c r="AA12" s="124" t="inlineStr">
        <is>
          <t>D</t>
        </is>
      </c>
      <c r="AB12" s="115" t="inlineStr">
        <is>
          <t>M</t>
        </is>
      </c>
      <c r="AC12" s="115" t="inlineStr">
        <is>
          <t>M</t>
        </is>
      </c>
      <c r="AD12" s="115" t="inlineStr">
        <is>
          <t>M</t>
        </is>
      </c>
      <c r="AE12" s="115" t="inlineStr">
        <is>
          <t>M</t>
        </is>
      </c>
      <c r="AF12" s="115" t="inlineStr">
        <is>
          <t>M</t>
        </is>
      </c>
      <c r="AG12" s="124" t="inlineStr">
        <is>
          <t>D</t>
        </is>
      </c>
      <c r="AH12" s="114" t="n"/>
      <c r="AI12" s="115" t="inlineStr">
        <is>
          <t>M</t>
        </is>
      </c>
      <c r="AJ12" s="115" t="inlineStr">
        <is>
          <t>M</t>
        </is>
      </c>
      <c r="AK12" s="115" t="inlineStr">
        <is>
          <t>M</t>
        </is>
      </c>
      <c r="AL12" s="124" t="inlineStr">
        <is>
          <t>D</t>
        </is>
      </c>
      <c r="AM12" s="100" t="n"/>
      <c r="AN12" s="136">
        <f>IFERROR(INDEX(MAI!I$8:I$73,MATCH($A12,MAI!$A$8:$A$73,0))&amp;"","")</f>
        <v/>
      </c>
      <c r="AO12" s="116">
        <f>IFERROR(INDEX(MAI!J$8:J$73,MATCH($A12,MAI!$A$8:$A$73,0))&amp;"","")</f>
        <v/>
      </c>
      <c r="AP12" s="116">
        <f>IFERROR(INDEX(MAI!K$8:K$73,MATCH($A12,MAI!$A$8:$A$73,0))&amp;"","")</f>
        <v/>
      </c>
      <c r="AQ12" s="100" t="n"/>
      <c r="AR12" s="100" t="n"/>
      <c r="AS12" s="100" t="n"/>
      <c r="AT12" s="117">
        <f>SUMPRODUCT(($G12:$M12="M")*6+($G12:$M12="T")*6+($G12:$M12="D")*12+($G12:$M12="N")*12+($G12:$M12="NT")*6+($G12:$M12="C")*10+($G12:$M12="A")*8+($G12:$M12="J")*5+($G12:$M12="CEP")*4+($G12:$M12="CP")*6+($G12:$M12="CRO")*6+($G12:$M12="M+")*6+($G12:$M12="T+")*6+($G12:$M12="D+")*12+($G12:$M12="N+")*12+($G12:$M12="Dm+")*12+($G12:$M12="Dt+")*12+($G12:$M12="Tm-")*6+($G12:$M12="Mt-")*6)</f>
        <v/>
      </c>
      <c r="AU12" s="118">
        <f>AT12-MAX(0,IFERROR(INDEX(CADASTRO!$I$4:$I$80,MATCH($A12,CADASTRO!$A$4:$A$80,0)),$B12)-CONFIG!$B$50*(COUNTIF($G12:$M12,"AB")+COUNTIF($G12:$M12,"FE")+COUNTIF($G12:$M12,"LM")))</f>
        <v/>
      </c>
      <c r="AV12" s="117">
        <f>SUMPRODUCT(($N12:$T12="M")*6+($N12:$T12="T")*6+($N12:$T12="D")*12+($N12:$T12="N")*12+($N12:$T12="NT")*6+($N12:$T12="C")*10+($N12:$T12="A")*8+($N12:$T12="J")*5+($N12:$T12="CEP")*4+($N12:$T12="CP")*6+($N12:$T12="CRO")*6+($N12:$T12="M+")*6+($N12:$T12="T+")*6+($N12:$T12="D+")*12+($N12:$T12="N+")*12+($N12:$T12="Dm+")*12+($N12:$T12="Dt+")*12+($N12:$T12="Tm-")*6+($N12:$T12="Mt-")*6)</f>
        <v/>
      </c>
      <c r="AW12" s="118">
        <f>AV12-MAX(0,IFERROR(INDEX(CADASTRO!$I$4:$I$80,MATCH($A12,CADASTRO!$A$4:$A$80,0)),$B12)-CONFIG!$B$50*(COUNTIF($N12:$T12,"AB")+COUNTIF($N12:$T12,"FE")+COUNTIF($N12:$T12,"LM")))</f>
        <v/>
      </c>
      <c r="AX12" s="117">
        <f>SUMPRODUCT(($U12:$AA12="M")*6+($U12:$AA12="T")*6+($U12:$AA12="D")*12+($U12:$AA12="N")*12+($U12:$AA12="NT")*6+($U12:$AA12="C")*10+($U12:$AA12="A")*8+($U12:$AA12="J")*5+($U12:$AA12="CEP")*4+($U12:$AA12="CP")*6+($U12:$AA12="CRO")*6+($U12:$AA12="M+")*6+($U12:$AA12="T+")*6+($U12:$AA12="D+")*12+($U12:$AA12="N+")*12+($U12:$AA12="Dm+")*12+($U12:$AA12="Dt+")*12+($U12:$AA12="Tm-")*6+($U12:$AA12="Mt-")*6)</f>
        <v/>
      </c>
      <c r="AY12" s="118">
        <f>AX12-MAX(0,IFERROR(INDEX(CADASTRO!$I$4:$I$80,MATCH($A12,CADASTRO!$A$4:$A$80,0)),$B12)-CONFIG!$B$50*(COUNTIF($U12:$AA12,"AB")+COUNTIF($U12:$AA12,"FE")+COUNTIF($U12:$AA12,"LM")))</f>
        <v/>
      </c>
      <c r="AZ12" s="117">
        <f>SUMPRODUCT(($AB12:$AH12="M")*6+($AB12:$AH12="T")*6+($AB12:$AH12="D")*12+($AB12:$AH12="N")*12+($AB12:$AH12="NT")*6+($AB12:$AH12="C")*10+($AB12:$AH12="A")*8+($AB12:$AH12="J")*5+($AB12:$AH12="CEP")*4+($AB12:$AH12="CP")*6+($AB12:$AH12="CRO")*6+($AB12:$AH12="M+")*6+($AB12:$AH12="T+")*6+($AB12:$AH12="D+")*12+($AB12:$AH12="N+")*12+($AB12:$AH12="Dm+")*12+($AB12:$AH12="Dt+")*12+($AB12:$AH12="Tm-")*6+($AB12:$AH12="Mt-")*6)</f>
        <v/>
      </c>
      <c r="BA12" s="118">
        <f>AZ12-MAX(0,IFERROR(INDEX(CADASTRO!$I$4:$I$80,MATCH($A12,CADASTRO!$A$4:$A$80,0)),$B12)-CONFIG!$B$50*(COUNTIF($AB12:$AH12,"AB")+COUNTIF($AB12:$AH12,"FE")+COUNTIF($AB12:$AH12,"LM")))</f>
        <v/>
      </c>
      <c r="BB12" s="117">
        <f>SUMPRODUCT(($AI12:$AL12="M")*6+($AI12:$AL12="T")*6+($AI12:$AL12="D")*12+($AI12:$AL12="N")*12+($AI12:$AL12="NT")*6+($AI12:$AL12="C")*10+($AI12:$AL12="A")*8+($AI12:$AL12="J")*5+($AI12:$AL12="CEP")*4+($AI12:$AL12="CP")*6+($AI12:$AL12="CRO")*6+($AI12:$AL12="M+")*6+($AI12:$AL12="T+")*6+($AI12:$AL12="D+")*12+($AI12:$AL12="N+")*12+($AI12:$AL12="Dm+")*12+($AI12:$AL12="Dt+")*12+($AI12:$AL12="Tm-")*6+($AI12:$AL12="Mt-")*6)+SUMPRODUCT(($AN12:$AP12="M")*6+($AN12:$AP12="T")*6+($AN12:$AP12="D")*12+($AN12:$AP12="N")*12+($AN12:$AP12="NT")*6+($AN12:$AP12="C")*10+($AN12:$AP12="A")*8+($AN12:$AP12="J")*5+($AN12:$AP12="CEP")*4+($AN12:$AP12="CP")*6+($AN12:$AP12="CRO")*6+($AN12:$AP12="M+")*6+($AN12:$AP12="T+")*6+($AN12:$AP12="D+")*12+($AN12:$AP12="N+")*12+($AN12:$AP12="Dm+")*12+($AN12:$AP12="Dt+")*12+($AN12:$AP12="Tm-")*6+($AN12:$AP12="Mt-")*6)</f>
        <v/>
      </c>
      <c r="BC12" s="118">
        <f>BB12-MAX(0,IFERROR(INDEX(CADASTRO!$I$4:$I$80,MATCH($A12,CADASTRO!$A$4:$A$80,0)),$B12)-CONFIG!$B$50*(COUNTIF($AI12:$AL12,"AB")+COUNTIF($AI12:$AL12,"FE")+COUNTIF($AI12:$AL12,"LM")+COUNTIF($AN12:$AP12,"AB")+COUNTIF($AN12:$AP12,"FE")+COUNTIF($AN12:$AP12,"LM")))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ROUND(B12*4.29,0)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36">
        <f>IFERROR(INDEX(MAR!AL$8:AL$73,MATCH($A13,MAR!$A$8:$A$73,0))&amp;"","")</f>
        <v/>
      </c>
      <c r="H13" s="136">
        <f>IFERROR(INDEX(MAR!AM$8:AM$73,MATCH($A13,MAR!$A$8:$A$73,0))&amp;"","")</f>
        <v/>
      </c>
      <c r="I13" s="115" t="inlineStr">
        <is>
          <t>M</t>
        </is>
      </c>
      <c r="J13" s="115" t="inlineStr">
        <is>
          <t>M</t>
        </is>
      </c>
      <c r="K13" s="123" t="inlineStr">
        <is>
          <t>M+</t>
        </is>
      </c>
      <c r="L13" s="114" t="n"/>
      <c r="M13" s="124" t="inlineStr">
        <is>
          <t>D</t>
        </is>
      </c>
      <c r="N13" s="115" t="inlineStr">
        <is>
          <t>M</t>
        </is>
      </c>
      <c r="O13" s="115" t="inlineStr">
        <is>
          <t>M</t>
        </is>
      </c>
      <c r="P13" s="115" t="inlineStr">
        <is>
          <t>M</t>
        </is>
      </c>
      <c r="Q13" s="115" t="inlineStr">
        <is>
          <t>M</t>
        </is>
      </c>
      <c r="R13" s="115" t="inlineStr">
        <is>
          <t>M</t>
        </is>
      </c>
      <c r="S13" s="114" t="n"/>
      <c r="T13" s="114" t="n"/>
      <c r="U13" s="115" t="inlineStr">
        <is>
          <t>M</t>
        </is>
      </c>
      <c r="V13" s="115" t="inlineStr">
        <is>
          <t>M</t>
        </is>
      </c>
      <c r="W13" s="115" t="inlineStr">
        <is>
          <t>M</t>
        </is>
      </c>
      <c r="X13" s="115" t="inlineStr">
        <is>
          <t>M</t>
        </is>
      </c>
      <c r="Y13" s="123" t="inlineStr">
        <is>
          <t>Dt+</t>
        </is>
      </c>
      <c r="Z13" s="114" t="n"/>
      <c r="AA13" s="125" t="inlineStr">
        <is>
          <t>N</t>
        </is>
      </c>
      <c r="AB13" s="115" t="inlineStr">
        <is>
          <t>M</t>
        </is>
      </c>
      <c r="AC13" s="127" t="inlineStr">
        <is>
          <t>M-</t>
        </is>
      </c>
      <c r="AD13" s="115" t="inlineStr">
        <is>
          <t>M</t>
        </is>
      </c>
      <c r="AE13" s="115" t="inlineStr">
        <is>
          <t>M</t>
        </is>
      </c>
      <c r="AF13" s="115" t="inlineStr">
        <is>
          <t>M</t>
        </is>
      </c>
      <c r="AG13" s="114" t="n"/>
      <c r="AH13" s="114" t="n"/>
      <c r="AI13" s="115" t="inlineStr">
        <is>
          <t>M</t>
        </is>
      </c>
      <c r="AJ13" s="115" t="inlineStr">
        <is>
          <t>M</t>
        </is>
      </c>
      <c r="AK13" s="115" t="inlineStr">
        <is>
          <t>M</t>
        </is>
      </c>
      <c r="AL13" s="115" t="inlineStr">
        <is>
          <t>M</t>
        </is>
      </c>
      <c r="AM13" s="100" t="n"/>
      <c r="AN13" s="136">
        <f>IFERROR(INDEX(MAI!I$8:I$73,MATCH($A13,MAI!$A$8:$A$73,0))&amp;"","")</f>
        <v/>
      </c>
      <c r="AO13" s="116">
        <f>IFERROR(INDEX(MAI!J$8:J$73,MATCH($A13,MAI!$A$8:$A$73,0))&amp;"","")</f>
        <v/>
      </c>
      <c r="AP13" s="116">
        <f>IFERROR(INDEX(MAI!K$8:K$73,MATCH($A13,MAI!$A$8:$A$73,0))&amp;"","")</f>
        <v/>
      </c>
      <c r="AQ13" s="100" t="n"/>
      <c r="AR13" s="100" t="n"/>
      <c r="AS13" s="100" t="n"/>
      <c r="AT13" s="117">
        <f>SUMPRODUCT(($G13:$M13="M")*6+($G13:$M13="T")*6+($G13:$M13="D")*12+($G13:$M13="N")*12+($G13:$M13="NT")*6+($G13:$M13="C")*10+($G13:$M13="A")*8+($G13:$M13="J")*5+($G13:$M13="CEP")*4+($G13:$M13="CP")*6+($G13:$M13="CRO")*6+($G13:$M13="M+")*6+($G13:$M13="T+")*6+($G13:$M13="D+")*12+($G13:$M13="N+")*12+($G13:$M13="Dm+")*12+($G13:$M13="Dt+")*12+($G13:$M13="Tm-")*6+($G13:$M13="Mt-")*6)</f>
        <v/>
      </c>
      <c r="AU13" s="118">
        <f>AT13-MAX(0,IFERROR(INDEX(CADASTRO!$I$4:$I$80,MATCH($A13,CADASTRO!$A$4:$A$80,0)),$B13)-CONFIG!$B$50*(COUNTIF($G13:$M13,"AB")+COUNTIF($G13:$M13,"FE")+COUNTIF($G13:$M13,"LM")))</f>
        <v/>
      </c>
      <c r="AV13" s="117">
        <f>SUMPRODUCT(($N13:$T13="M")*6+($N13:$T13="T")*6+($N13:$T13="D")*12+($N13:$T13="N")*12+($N13:$T13="NT")*6+($N13:$T13="C")*10+($N13:$T13="A")*8+($N13:$T13="J")*5+($N13:$T13="CEP")*4+($N13:$T13="CP")*6+($N13:$T13="CRO")*6+($N13:$T13="M+")*6+($N13:$T13="T+")*6+($N13:$T13="D+")*12+($N13:$T13="N+")*12+($N13:$T13="Dm+")*12+($N13:$T13="Dt+")*12+($N13:$T13="Tm-")*6+($N13:$T13="Mt-")*6)</f>
        <v/>
      </c>
      <c r="AW13" s="118">
        <f>AV13-MAX(0,IFERROR(INDEX(CADASTRO!$I$4:$I$80,MATCH($A13,CADASTRO!$A$4:$A$80,0)),$B13)-CONFIG!$B$50*(COUNTIF($N13:$T13,"AB")+COUNTIF($N13:$T13,"FE")+COUNTIF($N13:$T13,"LM")))</f>
        <v/>
      </c>
      <c r="AX13" s="117">
        <f>SUMPRODUCT(($U13:$AA13="M")*6+($U13:$AA13="T")*6+($U13:$AA13="D")*12+($U13:$AA13="N")*12+($U13:$AA13="NT")*6+($U13:$AA13="C")*10+($U13:$AA13="A")*8+($U13:$AA13="J")*5+($U13:$AA13="CEP")*4+($U13:$AA13="CP")*6+($U13:$AA13="CRO")*6+($U13:$AA13="M+")*6+($U13:$AA13="T+")*6+($U13:$AA13="D+")*12+($U13:$AA13="N+")*12+($U13:$AA13="Dm+")*12+($U13:$AA13="Dt+")*12+($U13:$AA13="Tm-")*6+($U13:$AA13="Mt-")*6)</f>
        <v/>
      </c>
      <c r="AY13" s="118">
        <f>AX13-MAX(0,IFERROR(INDEX(CADASTRO!$I$4:$I$80,MATCH($A13,CADASTRO!$A$4:$A$80,0)),$B13)-CONFIG!$B$50*(COUNTIF($U13:$AA13,"AB")+COUNTIF($U13:$AA13,"FE")+COUNTIF($U13:$AA13,"LM")))</f>
        <v/>
      </c>
      <c r="AZ13" s="117">
        <f>SUMPRODUCT(($AB13:$AH13="M")*6+($AB13:$AH13="T")*6+($AB13:$AH13="D")*12+($AB13:$AH13="N")*12+($AB13:$AH13="NT")*6+($AB13:$AH13="C")*10+($AB13:$AH13="A")*8+($AB13:$AH13="J")*5+($AB13:$AH13="CEP")*4+($AB13:$AH13="CP")*6+($AB13:$AH13="CRO")*6+($AB13:$AH13="M+")*6+($AB13:$AH13="T+")*6+($AB13:$AH13="D+")*12+($AB13:$AH13="N+")*12+($AB13:$AH13="Dm+")*12+($AB13:$AH13="Dt+")*12+($AB13:$AH13="Tm-")*6+($AB13:$AH13="Mt-")*6)</f>
        <v/>
      </c>
      <c r="BA13" s="118">
        <f>AZ13-MAX(0,IFERROR(INDEX(CADASTRO!$I$4:$I$80,MATCH($A13,CADASTRO!$A$4:$A$80,0)),$B13)-CONFIG!$B$50*(COUNTIF($AB13:$AH13,"AB")+COUNTIF($AB13:$AH13,"FE")+COUNTIF($AB13:$AH13,"LM")))</f>
        <v/>
      </c>
      <c r="BB13" s="117">
        <f>SUMPRODUCT(($AI13:$AL13="M")*6+($AI13:$AL13="T")*6+($AI13:$AL13="D")*12+($AI13:$AL13="N")*12+($AI13:$AL13="NT")*6+($AI13:$AL13="C")*10+($AI13:$AL13="A")*8+($AI13:$AL13="J")*5+($AI13:$AL13="CEP")*4+($AI13:$AL13="CP")*6+($AI13:$AL13="CRO")*6+($AI13:$AL13="M+")*6+($AI13:$AL13="T+")*6+($AI13:$AL13="D+")*12+($AI13:$AL13="N+")*12+($AI13:$AL13="Dm+")*12+($AI13:$AL13="Dt+")*12+($AI13:$AL13="Tm-")*6+($AI13:$AL13="Mt-")*6)+SUMPRODUCT(($AN13:$AP13="M")*6+($AN13:$AP13="T")*6+($AN13:$AP13="D")*12+($AN13:$AP13="N")*12+($AN13:$AP13="NT")*6+($AN13:$AP13="C")*10+($AN13:$AP13="A")*8+($AN13:$AP13="J")*5+($AN13:$AP13="CEP")*4+($AN13:$AP13="CP")*6+($AN13:$AP13="CRO")*6+($AN13:$AP13="M+")*6+($AN13:$AP13="T+")*6+($AN13:$AP13="D+")*12+($AN13:$AP13="N+")*12+($AN13:$AP13="Dm+")*12+($AN13:$AP13="Dt+")*12+($AN13:$AP13="Tm-")*6+($AN13:$AP13="Mt-")*6)</f>
        <v/>
      </c>
      <c r="BC13" s="118">
        <f>BB13-MAX(0,IFERROR(INDEX(CADASTRO!$I$4:$I$80,MATCH($A13,CADASTRO!$A$4:$A$80,0)),$B13)-CONFIG!$B$50*(COUNTIF($AI13:$AL13,"AB")+COUNTIF($AI13:$AL13,"FE")+COUNTIF($AI13:$AL13,"LM")+COUNTIF($AN13:$AP13,"AB")+COUNTIF($AN13:$AP13,"FE")+COUNTIF($AN13:$AP13,"LM")))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ROUND(B13*4.29,0)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36">
        <f>IFERROR(INDEX(MAR!AL$8:AL$73,MATCH($A14,MAR!$A$8:$A$73,0))&amp;"","")</f>
        <v/>
      </c>
      <c r="H14" s="136">
        <f>IFERROR(INDEX(MAR!AM$8:AM$73,MATCH($A14,MAR!$A$8:$A$73,0))&amp;"","")</f>
        <v/>
      </c>
      <c r="I14" s="115" t="inlineStr">
        <is>
          <t>M</t>
        </is>
      </c>
      <c r="J14" s="115" t="inlineStr">
        <is>
          <t>M</t>
        </is>
      </c>
      <c r="K14" s="114" t="n"/>
      <c r="L14" s="114" t="n"/>
      <c r="M14" s="124" t="inlineStr">
        <is>
          <t>D</t>
        </is>
      </c>
      <c r="N14" s="115" t="inlineStr">
        <is>
          <t>M</t>
        </is>
      </c>
      <c r="O14" s="115" t="inlineStr">
        <is>
          <t>M</t>
        </is>
      </c>
      <c r="P14" s="115" t="inlineStr">
        <is>
          <t>M</t>
        </is>
      </c>
      <c r="Q14" s="115" t="inlineStr">
        <is>
          <t>M</t>
        </is>
      </c>
      <c r="R14" s="127" t="inlineStr">
        <is>
          <t>Mt-</t>
        </is>
      </c>
      <c r="S14" s="114" t="n"/>
      <c r="T14" s="114" t="n"/>
      <c r="U14" s="115" t="inlineStr">
        <is>
          <t>M</t>
        </is>
      </c>
      <c r="V14" s="115" t="inlineStr">
        <is>
          <t>M</t>
        </is>
      </c>
      <c r="W14" s="115" t="inlineStr">
        <is>
          <t>M</t>
        </is>
      </c>
      <c r="X14" s="115" t="inlineStr">
        <is>
          <t>M</t>
        </is>
      </c>
      <c r="Y14" s="115" t="inlineStr">
        <is>
          <t>M</t>
        </is>
      </c>
      <c r="Z14" s="115" t="inlineStr">
        <is>
          <t>M</t>
        </is>
      </c>
      <c r="AA14" s="114" t="n"/>
      <c r="AB14" s="115" t="inlineStr">
        <is>
          <t>M</t>
        </is>
      </c>
      <c r="AC14" s="115" t="inlineStr">
        <is>
          <t>M</t>
        </is>
      </c>
      <c r="AD14" s="115" t="inlineStr">
        <is>
          <t>M</t>
        </is>
      </c>
      <c r="AE14" s="115" t="inlineStr">
        <is>
          <t>M</t>
        </is>
      </c>
      <c r="AF14" s="127" t="inlineStr">
        <is>
          <t>Mt-</t>
        </is>
      </c>
      <c r="AG14" s="114" t="n"/>
      <c r="AH14" s="114" t="n"/>
      <c r="AI14" s="115" t="inlineStr">
        <is>
          <t>M</t>
        </is>
      </c>
      <c r="AJ14" s="115" t="inlineStr">
        <is>
          <t>M</t>
        </is>
      </c>
      <c r="AK14" s="115" t="inlineStr">
        <is>
          <t>M</t>
        </is>
      </c>
      <c r="AL14" s="115" t="inlineStr">
        <is>
          <t>M</t>
        </is>
      </c>
      <c r="AM14" s="100" t="n"/>
      <c r="AN14" s="136">
        <f>IFERROR(INDEX(MAI!I$8:I$73,MATCH($A14,MAI!$A$8:$A$73,0))&amp;"","")</f>
        <v/>
      </c>
      <c r="AO14" s="116">
        <f>IFERROR(INDEX(MAI!J$8:J$73,MATCH($A14,MAI!$A$8:$A$73,0))&amp;"","")</f>
        <v/>
      </c>
      <c r="AP14" s="116">
        <f>IFERROR(INDEX(MAI!K$8:K$73,MATCH($A14,MAI!$A$8:$A$73,0))&amp;"","")</f>
        <v/>
      </c>
      <c r="AQ14" s="100" t="n"/>
      <c r="AR14" s="100" t="n"/>
      <c r="AS14" s="100" t="n"/>
      <c r="AT14" s="117">
        <f>SUMPRODUCT(($G14:$M14="M")*6+($G14:$M14="T")*6+($G14:$M14="D")*12+($G14:$M14="N")*12+($G14:$M14="NT")*6+($G14:$M14="C")*10+($G14:$M14="A")*8+($G14:$M14="J")*5+($G14:$M14="CEP")*4+($G14:$M14="CP")*6+($G14:$M14="CRO")*6+($G14:$M14="M+")*6+($G14:$M14="T+")*6+($G14:$M14="D+")*12+($G14:$M14="N+")*12+($G14:$M14="Dm+")*12+($G14:$M14="Dt+")*12+($G14:$M14="Tm-")*6+($G14:$M14="Mt-")*6)</f>
        <v/>
      </c>
      <c r="AU14" s="118">
        <f>AT14-MAX(0,IFERROR(INDEX(CADASTRO!$I$4:$I$80,MATCH($A14,CADASTRO!$A$4:$A$80,0)),$B14)-CONFIG!$B$50*(COUNTIF($G14:$M14,"AB")+COUNTIF($G14:$M14,"FE")+COUNTIF($G14:$M14,"LM")))</f>
        <v/>
      </c>
      <c r="AV14" s="117">
        <f>SUMPRODUCT(($N14:$T14="M")*6+($N14:$T14="T")*6+($N14:$T14="D")*12+($N14:$T14="N")*12+($N14:$T14="NT")*6+($N14:$T14="C")*10+($N14:$T14="A")*8+($N14:$T14="J")*5+($N14:$T14="CEP")*4+($N14:$T14="CP")*6+($N14:$T14="CRO")*6+($N14:$T14="M+")*6+($N14:$T14="T+")*6+($N14:$T14="D+")*12+($N14:$T14="N+")*12+($N14:$T14="Dm+")*12+($N14:$T14="Dt+")*12+($N14:$T14="Tm-")*6+($N14:$T14="Mt-")*6)</f>
        <v/>
      </c>
      <c r="AW14" s="118">
        <f>AV14-MAX(0,IFERROR(INDEX(CADASTRO!$I$4:$I$80,MATCH($A14,CADASTRO!$A$4:$A$80,0)),$B14)-CONFIG!$B$50*(COUNTIF($N14:$T14,"AB")+COUNTIF($N14:$T14,"FE")+COUNTIF($N14:$T14,"LM")))</f>
        <v/>
      </c>
      <c r="AX14" s="117">
        <f>SUMPRODUCT(($U14:$AA14="M")*6+($U14:$AA14="T")*6+($U14:$AA14="D")*12+($U14:$AA14="N")*12+($U14:$AA14="NT")*6+($U14:$AA14="C")*10+($U14:$AA14="A")*8+($U14:$AA14="J")*5+($U14:$AA14="CEP")*4+($U14:$AA14="CP")*6+($U14:$AA14="CRO")*6+($U14:$AA14="M+")*6+($U14:$AA14="T+")*6+($U14:$AA14="D+")*12+($U14:$AA14="N+")*12+($U14:$AA14="Dm+")*12+($U14:$AA14="Dt+")*12+($U14:$AA14="Tm-")*6+($U14:$AA14="Mt-")*6)</f>
        <v/>
      </c>
      <c r="AY14" s="118">
        <f>AX14-MAX(0,IFERROR(INDEX(CADASTRO!$I$4:$I$80,MATCH($A14,CADASTRO!$A$4:$A$80,0)),$B14)-CONFIG!$B$50*(COUNTIF($U14:$AA14,"AB")+COUNTIF($U14:$AA14,"FE")+COUNTIF($U14:$AA14,"LM")))</f>
        <v/>
      </c>
      <c r="AZ14" s="117">
        <f>SUMPRODUCT(($AB14:$AH14="M")*6+($AB14:$AH14="T")*6+($AB14:$AH14="D")*12+($AB14:$AH14="N")*12+($AB14:$AH14="NT")*6+($AB14:$AH14="C")*10+($AB14:$AH14="A")*8+($AB14:$AH14="J")*5+($AB14:$AH14="CEP")*4+($AB14:$AH14="CP")*6+($AB14:$AH14="CRO")*6+($AB14:$AH14="M+")*6+($AB14:$AH14="T+")*6+($AB14:$AH14="D+")*12+($AB14:$AH14="N+")*12+($AB14:$AH14="Dm+")*12+($AB14:$AH14="Dt+")*12+($AB14:$AH14="Tm-")*6+($AB14:$AH14="Mt-")*6)</f>
        <v/>
      </c>
      <c r="BA14" s="118">
        <f>AZ14-MAX(0,IFERROR(INDEX(CADASTRO!$I$4:$I$80,MATCH($A14,CADASTRO!$A$4:$A$80,0)),$B14)-CONFIG!$B$50*(COUNTIF($AB14:$AH14,"AB")+COUNTIF($AB14:$AH14,"FE")+COUNTIF($AB14:$AH14,"LM")))</f>
        <v/>
      </c>
      <c r="BB14" s="117">
        <f>SUMPRODUCT(($AI14:$AL14="M")*6+($AI14:$AL14="T")*6+($AI14:$AL14="D")*12+($AI14:$AL14="N")*12+($AI14:$AL14="NT")*6+($AI14:$AL14="C")*10+($AI14:$AL14="A")*8+($AI14:$AL14="J")*5+($AI14:$AL14="CEP")*4+($AI14:$AL14="CP")*6+($AI14:$AL14="CRO")*6+($AI14:$AL14="M+")*6+($AI14:$AL14="T+")*6+($AI14:$AL14="D+")*12+($AI14:$AL14="N+")*12+($AI14:$AL14="Dm+")*12+($AI14:$AL14="Dt+")*12+($AI14:$AL14="Tm-")*6+($AI14:$AL14="Mt-")*6)+SUMPRODUCT(($AN14:$AP14="M")*6+($AN14:$AP14="T")*6+($AN14:$AP14="D")*12+($AN14:$AP14="N")*12+($AN14:$AP14="NT")*6+($AN14:$AP14="C")*10+($AN14:$AP14="A")*8+($AN14:$AP14="J")*5+($AN14:$AP14="CEP")*4+($AN14:$AP14="CP")*6+($AN14:$AP14="CRO")*6+($AN14:$AP14="M+")*6+($AN14:$AP14="T+")*6+($AN14:$AP14="D+")*12+($AN14:$AP14="N+")*12+($AN14:$AP14="Dm+")*12+($AN14:$AP14="Dt+")*12+($AN14:$AP14="Tm-")*6+($AN14:$AP14="Mt-")*6)</f>
        <v/>
      </c>
      <c r="BC14" s="118">
        <f>BB14-MAX(0,IFERROR(INDEX(CADASTRO!$I$4:$I$80,MATCH($A14,CADASTRO!$A$4:$A$80,0)),$B14)-CONFIG!$B$50*(COUNTIF($AI14:$AL14,"AB")+COUNTIF($AI14:$AL14,"FE")+COUNTIF($AI14:$AL14,"LM")+COUNTIF($AN14:$AP14,"AB")+COUNTIF($AN14:$AP14,"FE")+COUNTIF($AN14:$AP14,"LM")))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ROUND(B14*4.29,0)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36">
        <f>IFERROR(INDEX(MAR!AL$8:AL$73,MATCH($A15,MAR!$A$8:$A$73,0))&amp;"","")</f>
        <v/>
      </c>
      <c r="H15" s="136">
        <f>IFERROR(INDEX(MAR!AM$8:AM$73,MATCH($A15,MAR!$A$8:$A$73,0))&amp;"","")</f>
        <v/>
      </c>
      <c r="I15" s="115" t="inlineStr">
        <is>
          <t>M</t>
        </is>
      </c>
      <c r="J15" s="115" t="inlineStr">
        <is>
          <t>M</t>
        </is>
      </c>
      <c r="K15" s="123" t="inlineStr">
        <is>
          <t>M+</t>
        </is>
      </c>
      <c r="L15" s="114" t="n"/>
      <c r="M15" s="125" t="inlineStr">
        <is>
          <t>N</t>
        </is>
      </c>
      <c r="N15" s="115" t="inlineStr">
        <is>
          <t>M</t>
        </is>
      </c>
      <c r="O15" s="115" t="inlineStr">
        <is>
          <t>M</t>
        </is>
      </c>
      <c r="P15" s="115" t="inlineStr">
        <is>
          <t>M</t>
        </is>
      </c>
      <c r="Q15" s="115" t="inlineStr">
        <is>
          <t>M</t>
        </is>
      </c>
      <c r="R15" s="115" t="inlineStr">
        <is>
          <t>M</t>
        </is>
      </c>
      <c r="S15" s="114" t="n"/>
      <c r="T15" s="114" t="n"/>
      <c r="U15" s="115" t="inlineStr">
        <is>
          <t>M</t>
        </is>
      </c>
      <c r="V15" s="115" t="inlineStr">
        <is>
          <t>M</t>
        </is>
      </c>
      <c r="W15" s="115" t="inlineStr">
        <is>
          <t>M</t>
        </is>
      </c>
      <c r="X15" s="115" t="inlineStr">
        <is>
          <t>M</t>
        </is>
      </c>
      <c r="Y15" s="115" t="inlineStr">
        <is>
          <t>M</t>
        </is>
      </c>
      <c r="Z15" s="125" t="inlineStr">
        <is>
          <t>N</t>
        </is>
      </c>
      <c r="AA15" s="114" t="n"/>
      <c r="AB15" s="115" t="inlineStr">
        <is>
          <t>M</t>
        </is>
      </c>
      <c r="AC15" s="115" t="inlineStr">
        <is>
          <t>M</t>
        </is>
      </c>
      <c r="AD15" s="115" t="inlineStr">
        <is>
          <t>M</t>
        </is>
      </c>
      <c r="AE15" s="115" t="inlineStr">
        <is>
          <t>M</t>
        </is>
      </c>
      <c r="AF15" s="115" t="inlineStr">
        <is>
          <t>M</t>
        </is>
      </c>
      <c r="AG15" s="114" t="n"/>
      <c r="AH15" s="114" t="n"/>
      <c r="AI15" s="115" t="inlineStr">
        <is>
          <t>M</t>
        </is>
      </c>
      <c r="AJ15" s="115" t="inlineStr">
        <is>
          <t>M</t>
        </is>
      </c>
      <c r="AK15" s="115" t="inlineStr">
        <is>
          <t>M</t>
        </is>
      </c>
      <c r="AL15" s="115" t="inlineStr">
        <is>
          <t>M</t>
        </is>
      </c>
      <c r="AM15" s="100" t="n"/>
      <c r="AN15" s="136">
        <f>IFERROR(INDEX(MAI!I$8:I$73,MATCH($A15,MAI!$A$8:$A$73,0))&amp;"","")</f>
        <v/>
      </c>
      <c r="AO15" s="116">
        <f>IFERROR(INDEX(MAI!J$8:J$73,MATCH($A15,MAI!$A$8:$A$73,0))&amp;"","")</f>
        <v/>
      </c>
      <c r="AP15" s="116">
        <f>IFERROR(INDEX(MAI!K$8:K$73,MATCH($A15,MAI!$A$8:$A$73,0))&amp;"","")</f>
        <v/>
      </c>
      <c r="AQ15" s="100" t="n"/>
      <c r="AR15" s="100" t="n"/>
      <c r="AS15" s="100" t="n"/>
      <c r="AT15" s="117">
        <f>SUMPRODUCT(($G15:$M15="M")*6+($G15:$M15="T")*6+($G15:$M15="D")*12+($G15:$M15="N")*12+($G15:$M15="NT")*6+($G15:$M15="C")*10+($G15:$M15="A")*8+($G15:$M15="J")*5+($G15:$M15="CEP")*4+($G15:$M15="CP")*6+($G15:$M15="CRO")*6+($G15:$M15="M+")*6+($G15:$M15="T+")*6+($G15:$M15="D+")*12+($G15:$M15="N+")*12+($G15:$M15="Dm+")*12+($G15:$M15="Dt+")*12+($G15:$M15="Tm-")*6+($G15:$M15="Mt-")*6)</f>
        <v/>
      </c>
      <c r="AU15" s="118">
        <f>AT15-MAX(0,IFERROR(INDEX(CADASTRO!$I$4:$I$80,MATCH($A15,CADASTRO!$A$4:$A$80,0)),$B15)-CONFIG!$B$50*(COUNTIF($G15:$M15,"AB")+COUNTIF($G15:$M15,"FE")+COUNTIF($G15:$M15,"LM")))</f>
        <v/>
      </c>
      <c r="AV15" s="117">
        <f>SUMPRODUCT(($N15:$T15="M")*6+($N15:$T15="T")*6+($N15:$T15="D")*12+($N15:$T15="N")*12+($N15:$T15="NT")*6+($N15:$T15="C")*10+($N15:$T15="A")*8+($N15:$T15="J")*5+($N15:$T15="CEP")*4+($N15:$T15="CP")*6+($N15:$T15="CRO")*6+($N15:$T15="M+")*6+($N15:$T15="T+")*6+($N15:$T15="D+")*12+($N15:$T15="N+")*12+($N15:$T15="Dm+")*12+($N15:$T15="Dt+")*12+($N15:$T15="Tm-")*6+($N15:$T15="Mt-")*6)</f>
        <v/>
      </c>
      <c r="AW15" s="118">
        <f>AV15-MAX(0,IFERROR(INDEX(CADASTRO!$I$4:$I$80,MATCH($A15,CADASTRO!$A$4:$A$80,0)),$B15)-CONFIG!$B$50*(COUNTIF($N15:$T15,"AB")+COUNTIF($N15:$T15,"FE")+COUNTIF($N15:$T15,"LM")))</f>
        <v/>
      </c>
      <c r="AX15" s="117">
        <f>SUMPRODUCT(($U15:$AA15="M")*6+($U15:$AA15="T")*6+($U15:$AA15="D")*12+($U15:$AA15="N")*12+($U15:$AA15="NT")*6+($U15:$AA15="C")*10+($U15:$AA15="A")*8+($U15:$AA15="J")*5+($U15:$AA15="CEP")*4+($U15:$AA15="CP")*6+($U15:$AA15="CRO")*6+($U15:$AA15="M+")*6+($U15:$AA15="T+")*6+($U15:$AA15="D+")*12+($U15:$AA15="N+")*12+($U15:$AA15="Dm+")*12+($U15:$AA15="Dt+")*12+($U15:$AA15="Tm-")*6+($U15:$AA15="Mt-")*6)</f>
        <v/>
      </c>
      <c r="AY15" s="118">
        <f>AX15-MAX(0,IFERROR(INDEX(CADASTRO!$I$4:$I$80,MATCH($A15,CADASTRO!$A$4:$A$80,0)),$B15)-CONFIG!$B$50*(COUNTIF($U15:$AA15,"AB")+COUNTIF($U15:$AA15,"FE")+COUNTIF($U15:$AA15,"LM")))</f>
        <v/>
      </c>
      <c r="AZ15" s="117">
        <f>SUMPRODUCT(($AB15:$AH15="M")*6+($AB15:$AH15="T")*6+($AB15:$AH15="D")*12+($AB15:$AH15="N")*12+($AB15:$AH15="NT")*6+($AB15:$AH15="C")*10+($AB15:$AH15="A")*8+($AB15:$AH15="J")*5+($AB15:$AH15="CEP")*4+($AB15:$AH15="CP")*6+($AB15:$AH15="CRO")*6+($AB15:$AH15="M+")*6+($AB15:$AH15="T+")*6+($AB15:$AH15="D+")*12+($AB15:$AH15="N+")*12+($AB15:$AH15="Dm+")*12+($AB15:$AH15="Dt+")*12+($AB15:$AH15="Tm-")*6+($AB15:$AH15="Mt-")*6)</f>
        <v/>
      </c>
      <c r="BA15" s="118">
        <f>AZ15-MAX(0,IFERROR(INDEX(CADASTRO!$I$4:$I$80,MATCH($A15,CADASTRO!$A$4:$A$80,0)),$B15)-CONFIG!$B$50*(COUNTIF($AB15:$AH15,"AB")+COUNTIF($AB15:$AH15,"FE")+COUNTIF($AB15:$AH15,"LM")))</f>
        <v/>
      </c>
      <c r="BB15" s="117">
        <f>SUMPRODUCT(($AI15:$AL15="M")*6+($AI15:$AL15="T")*6+($AI15:$AL15="D")*12+($AI15:$AL15="N")*12+($AI15:$AL15="NT")*6+($AI15:$AL15="C")*10+($AI15:$AL15="A")*8+($AI15:$AL15="J")*5+($AI15:$AL15="CEP")*4+($AI15:$AL15="CP")*6+($AI15:$AL15="CRO")*6+($AI15:$AL15="M+")*6+($AI15:$AL15="T+")*6+($AI15:$AL15="D+")*12+($AI15:$AL15="N+")*12+($AI15:$AL15="Dm+")*12+($AI15:$AL15="Dt+")*12+($AI15:$AL15="Tm-")*6+($AI15:$AL15="Mt-")*6)+SUMPRODUCT(($AN15:$AP15="M")*6+($AN15:$AP15="T")*6+($AN15:$AP15="D")*12+($AN15:$AP15="N")*12+($AN15:$AP15="NT")*6+($AN15:$AP15="C")*10+($AN15:$AP15="A")*8+($AN15:$AP15="J")*5+($AN15:$AP15="CEP")*4+($AN15:$AP15="CP")*6+($AN15:$AP15="CRO")*6+($AN15:$AP15="M+")*6+($AN15:$AP15="T+")*6+($AN15:$AP15="D+")*12+($AN15:$AP15="N+")*12+($AN15:$AP15="Dm+")*12+($AN15:$AP15="Dt+")*12+($AN15:$AP15="Tm-")*6+($AN15:$AP15="Mt-")*6)</f>
        <v/>
      </c>
      <c r="BC15" s="118">
        <f>BB15-MAX(0,IFERROR(INDEX(CADASTRO!$I$4:$I$80,MATCH($A15,CADASTRO!$A$4:$A$80,0)),$B15)-CONFIG!$B$50*(COUNTIF($AI15:$AL15,"AB")+COUNTIF($AI15:$AL15,"FE")+COUNTIF($AI15:$AL15,"LM")+COUNTIF($AN15:$AP15,"AB")+COUNTIF($AN15:$AP15,"FE")+COUNTIF($AN15:$AP15,"LM")))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ROUND(B15*4.29,0)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36">
        <f>IFERROR(INDEX(MAR!AL$8:AL$73,MATCH($A16,MAR!$A$8:$A$73,0))&amp;"","")</f>
        <v/>
      </c>
      <c r="H16" s="136">
        <f>IFERROR(INDEX(MAR!AM$8:AM$73,MATCH($A16,MAR!$A$8:$A$73,0))&amp;"","")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24" t="inlineStr">
        <is>
          <t>D</t>
        </is>
      </c>
      <c r="S16" s="114" t="n"/>
      <c r="T16" s="114" t="n"/>
      <c r="U16" s="124" t="inlineStr">
        <is>
          <t>D</t>
        </is>
      </c>
      <c r="V16" s="114" t="n"/>
      <c r="W16" s="114" t="n"/>
      <c r="X16" s="114" t="n"/>
      <c r="Y16" s="124" t="inlineStr">
        <is>
          <t>D</t>
        </is>
      </c>
      <c r="Z16" s="114" t="n"/>
      <c r="AA16" s="115" t="inlineStr">
        <is>
          <t>M</t>
        </is>
      </c>
      <c r="AB16" s="126" t="inlineStr">
        <is>
          <t>T</t>
        </is>
      </c>
      <c r="AC16" s="126" t="inlineStr">
        <is>
          <t>T</t>
        </is>
      </c>
      <c r="AD16" s="114" t="n"/>
      <c r="AE16" s="114" t="n"/>
      <c r="AF16" s="126" t="inlineStr">
        <is>
          <t>T</t>
        </is>
      </c>
      <c r="AG16" s="114" t="n"/>
      <c r="AH16" s="124" t="inlineStr">
        <is>
          <t>D</t>
        </is>
      </c>
      <c r="AI16" s="124" t="inlineStr">
        <is>
          <t>D</t>
        </is>
      </c>
      <c r="AJ16" s="126" t="inlineStr">
        <is>
          <t>T</t>
        </is>
      </c>
      <c r="AK16" s="114" t="n"/>
      <c r="AL16" s="114" t="n"/>
      <c r="AM16" s="100" t="n"/>
      <c r="AN16" s="136">
        <f>IFERROR(INDEX(MAI!I$8:I$73,MATCH($A16,MAI!$A$8:$A$73,0))&amp;"","")</f>
        <v/>
      </c>
      <c r="AO16" s="116">
        <f>IFERROR(INDEX(MAI!J$8:J$73,MATCH($A16,MAI!$A$8:$A$73,0))&amp;"","")</f>
        <v/>
      </c>
      <c r="AP16" s="116">
        <f>IFERROR(INDEX(MAI!K$8:K$73,MATCH($A16,MAI!$A$8:$A$73,0))&amp;"","")</f>
        <v/>
      </c>
      <c r="AQ16" s="100" t="n"/>
      <c r="AR16" s="100" t="n"/>
      <c r="AS16" s="100" t="n"/>
      <c r="AT16" s="117">
        <f>SUMPRODUCT(($G16:$M16="M")*6+($G16:$M16="T")*6+($G16:$M16="D")*12+($G16:$M16="N")*12+($G16:$M16="NT")*6+($G16:$M16="C")*10+($G16:$M16="A")*8+($G16:$M16="J")*5+($G16:$M16="CEP")*4+($G16:$M16="CP")*6+($G16:$M16="CRO")*6+($G16:$M16="M+")*6+($G16:$M16="T+")*6+($G16:$M16="D+")*12+($G16:$M16="N+")*12+($G16:$M16="Dm+")*12+($G16:$M16="Dt+")*12+($G16:$M16="Tm-")*6+($G16:$M16="Mt-")*6)</f>
        <v/>
      </c>
      <c r="AU16" s="118">
        <f>AT16-MAX(0,IFERROR(INDEX(CADASTRO!$I$4:$I$80,MATCH($A16,CADASTRO!$A$4:$A$80,0)),$B16)-CONFIG!$B$50*(COUNTIF($G16:$M16,"AB")+COUNTIF($G16:$M16,"FE")+COUNTIF($G16:$M16,"LM")))</f>
        <v/>
      </c>
      <c r="AV16" s="117">
        <f>SUMPRODUCT(($N16:$T16="M")*6+($N16:$T16="T")*6+($N16:$T16="D")*12+($N16:$T16="N")*12+($N16:$T16="NT")*6+($N16:$T16="C")*10+($N16:$T16="A")*8+($N16:$T16="J")*5+($N16:$T16="CEP")*4+($N16:$T16="CP")*6+($N16:$T16="CRO")*6+($N16:$T16="M+")*6+($N16:$T16="T+")*6+($N16:$T16="D+")*12+($N16:$T16="N+")*12+($N16:$T16="Dm+")*12+($N16:$T16="Dt+")*12+($N16:$T16="Tm-")*6+($N16:$T16="Mt-")*6)</f>
        <v/>
      </c>
      <c r="AW16" s="118">
        <f>AV16-MAX(0,IFERROR(INDEX(CADASTRO!$I$4:$I$80,MATCH($A16,CADASTRO!$A$4:$A$80,0)),$B16)-CONFIG!$B$50*(COUNTIF($N16:$T16,"AB")+COUNTIF($N16:$T16,"FE")+COUNTIF($N16:$T16,"LM")))</f>
        <v/>
      </c>
      <c r="AX16" s="117">
        <f>SUMPRODUCT(($U16:$AA16="M")*6+($U16:$AA16="T")*6+($U16:$AA16="D")*12+($U16:$AA16="N")*12+($U16:$AA16="NT")*6+($U16:$AA16="C")*10+($U16:$AA16="A")*8+($U16:$AA16="J")*5+($U16:$AA16="CEP")*4+($U16:$AA16="CP")*6+($U16:$AA16="CRO")*6+($U16:$AA16="M+")*6+($U16:$AA16="T+")*6+($U16:$AA16="D+")*12+($U16:$AA16="N+")*12+($U16:$AA16="Dm+")*12+($U16:$AA16="Dt+")*12+($U16:$AA16="Tm-")*6+($U16:$AA16="Mt-")*6)</f>
        <v/>
      </c>
      <c r="AY16" s="118">
        <f>AX16-MAX(0,IFERROR(INDEX(CADASTRO!$I$4:$I$80,MATCH($A16,CADASTRO!$A$4:$A$80,0)),$B16)-CONFIG!$B$50*(COUNTIF($U16:$AA16,"AB")+COUNTIF($U16:$AA16,"FE")+COUNTIF($U16:$AA16,"LM")))</f>
        <v/>
      </c>
      <c r="AZ16" s="117">
        <f>SUMPRODUCT(($AB16:$AH16="M")*6+($AB16:$AH16="T")*6+($AB16:$AH16="D")*12+($AB16:$AH16="N")*12+($AB16:$AH16="NT")*6+($AB16:$AH16="C")*10+($AB16:$AH16="A")*8+($AB16:$AH16="J")*5+($AB16:$AH16="CEP")*4+($AB16:$AH16="CP")*6+($AB16:$AH16="CRO")*6+($AB16:$AH16="M+")*6+($AB16:$AH16="T+")*6+($AB16:$AH16="D+")*12+($AB16:$AH16="N+")*12+($AB16:$AH16="Dm+")*12+($AB16:$AH16="Dt+")*12+($AB16:$AH16="Tm-")*6+($AB16:$AH16="Mt-")*6)</f>
        <v/>
      </c>
      <c r="BA16" s="118">
        <f>AZ16-MAX(0,IFERROR(INDEX(CADASTRO!$I$4:$I$80,MATCH($A16,CADASTRO!$A$4:$A$80,0)),$B16)-CONFIG!$B$50*(COUNTIF($AB16:$AH16,"AB")+COUNTIF($AB16:$AH16,"FE")+COUNTIF($AB16:$AH16,"LM")))</f>
        <v/>
      </c>
      <c r="BB16" s="117">
        <f>SUMPRODUCT(($AI16:$AL16="M")*6+($AI16:$AL16="T")*6+($AI16:$AL16="D")*12+($AI16:$AL16="N")*12+($AI16:$AL16="NT")*6+($AI16:$AL16="C")*10+($AI16:$AL16="A")*8+($AI16:$AL16="J")*5+($AI16:$AL16="CEP")*4+($AI16:$AL16="CP")*6+($AI16:$AL16="CRO")*6+($AI16:$AL16="M+")*6+($AI16:$AL16="T+")*6+($AI16:$AL16="D+")*12+($AI16:$AL16="N+")*12+($AI16:$AL16="Dm+")*12+($AI16:$AL16="Dt+")*12+($AI16:$AL16="Tm-")*6+($AI16:$AL16="Mt-")*6)+SUMPRODUCT(($AN16:$AP16="M")*6+($AN16:$AP16="T")*6+($AN16:$AP16="D")*12+($AN16:$AP16="N")*12+($AN16:$AP16="NT")*6+($AN16:$AP16="C")*10+($AN16:$AP16="A")*8+($AN16:$AP16="J")*5+($AN16:$AP16="CEP")*4+($AN16:$AP16="CP")*6+($AN16:$AP16="CRO")*6+($AN16:$AP16="M+")*6+($AN16:$AP16="T+")*6+($AN16:$AP16="D+")*12+($AN16:$AP16="N+")*12+($AN16:$AP16="Dm+")*12+($AN16:$AP16="Dt+")*12+($AN16:$AP16="Tm-")*6+($AN16:$AP16="Mt-")*6)</f>
        <v/>
      </c>
      <c r="BC16" s="118">
        <f>BB16-MAX(0,IFERROR(INDEX(CADASTRO!$I$4:$I$80,MATCH($A16,CADASTRO!$A$4:$A$80,0)),$B16)-CONFIG!$B$50*(COUNTIF($AI16:$AL16,"AB")+COUNTIF($AI16:$AL16,"FE")+COUNTIF($AI16:$AL16,"LM")+COUNTIF($AN16:$AP16,"AB")+COUNTIF($AN16:$AP16,"FE")+COUNTIF($AN16:$AP16,"LM")))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ROUND(B16*4.29,0)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36">
        <f>IFERROR(INDEX(MAR!AL$8:AL$73,MATCH($A17,MAR!$A$8:$A$73,0))&amp;"","")</f>
        <v/>
      </c>
      <c r="H17" s="136">
        <f>IFERROR(INDEX(MAR!AM$8:AM$73,MATCH($A17,MAR!$A$8:$A$73,0))&amp;"","")</f>
        <v/>
      </c>
      <c r="I17" s="126" t="inlineStr">
        <is>
          <t>T</t>
        </is>
      </c>
      <c r="J17" s="129" t="inlineStr">
        <is>
          <t>CEP</t>
        </is>
      </c>
      <c r="K17" s="125" t="inlineStr">
        <is>
          <t>N</t>
        </is>
      </c>
      <c r="L17" s="115" t="inlineStr">
        <is>
          <t>M</t>
        </is>
      </c>
      <c r="M17" s="114" t="n"/>
      <c r="N17" s="125" t="inlineStr">
        <is>
          <t>N</t>
        </is>
      </c>
      <c r="O17" s="129" t="inlineStr">
        <is>
          <t>CEP</t>
        </is>
      </c>
      <c r="P17" s="123" t="inlineStr">
        <is>
          <t>Dt+</t>
        </is>
      </c>
      <c r="Q17" s="114" t="n"/>
      <c r="R17" s="123" t="inlineStr">
        <is>
          <t>T+</t>
        </is>
      </c>
      <c r="S17" s="126" t="inlineStr">
        <is>
          <t>T</t>
        </is>
      </c>
      <c r="T17" s="125" t="inlineStr">
        <is>
          <t>N</t>
        </is>
      </c>
      <c r="U17" s="125" t="inlineStr">
        <is>
          <t>N</t>
        </is>
      </c>
      <c r="V17" s="129" t="inlineStr">
        <is>
          <t>CEP</t>
        </is>
      </c>
      <c r="W17" s="126" t="inlineStr">
        <is>
          <t>T</t>
        </is>
      </c>
      <c r="X17" s="124" t="inlineStr">
        <is>
          <t>D</t>
        </is>
      </c>
      <c r="Y17" s="127" t="inlineStr">
        <is>
          <t>T-</t>
        </is>
      </c>
      <c r="Z17" s="114" t="n"/>
      <c r="AA17" s="114" t="n"/>
      <c r="AB17" s="129" t="inlineStr">
        <is>
          <t>CEP</t>
        </is>
      </c>
      <c r="AC17" s="114" t="n"/>
      <c r="AD17" s="126" t="inlineStr">
        <is>
          <t>T</t>
        </is>
      </c>
      <c r="AE17" s="125" t="inlineStr">
        <is>
          <t>N</t>
        </is>
      </c>
      <c r="AF17" s="114" t="n"/>
      <c r="AG17" s="114" t="n"/>
      <c r="AH17" s="125" t="inlineStr">
        <is>
          <t>N</t>
        </is>
      </c>
      <c r="AI17" s="125" t="inlineStr">
        <is>
          <t>N</t>
        </is>
      </c>
      <c r="AJ17" s="115" t="inlineStr">
        <is>
          <t>M</t>
        </is>
      </c>
      <c r="AK17" s="129" t="inlineStr">
        <is>
          <t>CEP</t>
        </is>
      </c>
      <c r="AL17" s="125" t="inlineStr">
        <is>
          <t>N</t>
        </is>
      </c>
      <c r="AM17" s="100" t="n"/>
      <c r="AN17" s="136">
        <f>IFERROR(INDEX(MAI!I$8:I$73,MATCH($A17,MAI!$A$8:$A$73,0))&amp;"","")</f>
        <v/>
      </c>
      <c r="AO17" s="116">
        <f>IFERROR(INDEX(MAI!J$8:J$73,MATCH($A17,MAI!$A$8:$A$73,0))&amp;"","")</f>
        <v/>
      </c>
      <c r="AP17" s="116">
        <f>IFERROR(INDEX(MAI!K$8:K$73,MATCH($A17,MAI!$A$8:$A$73,0))&amp;"","")</f>
        <v/>
      </c>
      <c r="AQ17" s="100" t="n"/>
      <c r="AR17" s="100" t="n"/>
      <c r="AS17" s="100" t="n"/>
      <c r="AT17" s="117">
        <f>SUMPRODUCT(($G17:$M17="M")*6+($G17:$M17="T")*6+($G17:$M17="D")*12+($G17:$M17="N")*12+($G17:$M17="NT")*6+($G17:$M17="C")*10+($G17:$M17="A")*8+($G17:$M17="J")*5+($G17:$M17="CEP")*4+($G17:$M17="CP")*6+($G17:$M17="CRO")*6+($G17:$M17="M+")*6+($G17:$M17="T+")*6+($G17:$M17="D+")*12+($G17:$M17="N+")*12+($G17:$M17="Dm+")*12+($G17:$M17="Dt+")*12+($G17:$M17="Tm-")*6+($G17:$M17="Mt-")*6)</f>
        <v/>
      </c>
      <c r="AU17" s="118">
        <f>AT17-MAX(0,IFERROR(INDEX(CADASTRO!$I$4:$I$80,MATCH($A17,CADASTRO!$A$4:$A$80,0)),$B17)-CONFIG!$B$50*(COUNTIF($G17:$M17,"AB")+COUNTIF($G17:$M17,"FE")+COUNTIF($G17:$M17,"LM")))</f>
        <v/>
      </c>
      <c r="AV17" s="117">
        <f>SUMPRODUCT(($N17:$T17="M")*6+($N17:$T17="T")*6+($N17:$T17="D")*12+($N17:$T17="N")*12+($N17:$T17="NT")*6+($N17:$T17="C")*10+($N17:$T17="A")*8+($N17:$T17="J")*5+($N17:$T17="CEP")*4+($N17:$T17="CP")*6+($N17:$T17="CRO")*6+($N17:$T17="M+")*6+($N17:$T17="T+")*6+($N17:$T17="D+")*12+($N17:$T17="N+")*12+($N17:$T17="Dm+")*12+($N17:$T17="Dt+")*12+($N17:$T17="Tm-")*6+($N17:$T17="Mt-")*6)</f>
        <v/>
      </c>
      <c r="AW17" s="118">
        <f>AV17-MAX(0,IFERROR(INDEX(CADASTRO!$I$4:$I$80,MATCH($A17,CADASTRO!$A$4:$A$80,0)),$B17)-CONFIG!$B$50*(COUNTIF($N17:$T17,"AB")+COUNTIF($N17:$T17,"FE")+COUNTIF($N17:$T17,"LM")))</f>
        <v/>
      </c>
      <c r="AX17" s="117">
        <f>SUMPRODUCT(($U17:$AA17="M")*6+($U17:$AA17="T")*6+($U17:$AA17="D")*12+($U17:$AA17="N")*12+($U17:$AA17="NT")*6+($U17:$AA17="C")*10+($U17:$AA17="A")*8+($U17:$AA17="J")*5+($U17:$AA17="CEP")*4+($U17:$AA17="CP")*6+($U17:$AA17="CRO")*6+($U17:$AA17="M+")*6+($U17:$AA17="T+")*6+($U17:$AA17="D+")*12+($U17:$AA17="N+")*12+($U17:$AA17="Dm+")*12+($U17:$AA17="Dt+")*12+($U17:$AA17="Tm-")*6+($U17:$AA17="Mt-")*6)</f>
        <v/>
      </c>
      <c r="AY17" s="118">
        <f>AX17-MAX(0,IFERROR(INDEX(CADASTRO!$I$4:$I$80,MATCH($A17,CADASTRO!$A$4:$A$80,0)),$B17)-CONFIG!$B$50*(COUNTIF($U17:$AA17,"AB")+COUNTIF($U17:$AA17,"FE")+COUNTIF($U17:$AA17,"LM")))</f>
        <v/>
      </c>
      <c r="AZ17" s="117">
        <f>SUMPRODUCT(($AB17:$AH17="M")*6+($AB17:$AH17="T")*6+($AB17:$AH17="D")*12+($AB17:$AH17="N")*12+($AB17:$AH17="NT")*6+($AB17:$AH17="C")*10+($AB17:$AH17="A")*8+($AB17:$AH17="J")*5+($AB17:$AH17="CEP")*4+($AB17:$AH17="CP")*6+($AB17:$AH17="CRO")*6+($AB17:$AH17="M+")*6+($AB17:$AH17="T+")*6+($AB17:$AH17="D+")*12+($AB17:$AH17="N+")*12+($AB17:$AH17="Dm+")*12+($AB17:$AH17="Dt+")*12+($AB17:$AH17="Tm-")*6+($AB17:$AH17="Mt-")*6)</f>
        <v/>
      </c>
      <c r="BA17" s="118">
        <f>AZ17-MAX(0,IFERROR(INDEX(CADASTRO!$I$4:$I$80,MATCH($A17,CADASTRO!$A$4:$A$80,0)),$B17)-CONFIG!$B$50*(COUNTIF($AB17:$AH17,"AB")+COUNTIF($AB17:$AH17,"FE")+COUNTIF($AB17:$AH17,"LM")))</f>
        <v/>
      </c>
      <c r="BB17" s="117">
        <f>SUMPRODUCT(($AI17:$AL17="M")*6+($AI17:$AL17="T")*6+($AI17:$AL17="D")*12+($AI17:$AL17="N")*12+($AI17:$AL17="NT")*6+($AI17:$AL17="C")*10+($AI17:$AL17="A")*8+($AI17:$AL17="J")*5+($AI17:$AL17="CEP")*4+($AI17:$AL17="CP")*6+($AI17:$AL17="CRO")*6+($AI17:$AL17="M+")*6+($AI17:$AL17="T+")*6+($AI17:$AL17="D+")*12+($AI17:$AL17="N+")*12+($AI17:$AL17="Dm+")*12+($AI17:$AL17="Dt+")*12+($AI17:$AL17="Tm-")*6+($AI17:$AL17="Mt-")*6)+SUMPRODUCT(($AN17:$AP17="M")*6+($AN17:$AP17="T")*6+($AN17:$AP17="D")*12+($AN17:$AP17="N")*12+($AN17:$AP17="NT")*6+($AN17:$AP17="C")*10+($AN17:$AP17="A")*8+($AN17:$AP17="J")*5+($AN17:$AP17="CEP")*4+($AN17:$AP17="CP")*6+($AN17:$AP17="CRO")*6+($AN17:$AP17="M+")*6+($AN17:$AP17="T+")*6+($AN17:$AP17="D+")*12+($AN17:$AP17="N+")*12+($AN17:$AP17="Dm+")*12+($AN17:$AP17="Dt+")*12+($AN17:$AP17="Tm-")*6+($AN17:$AP17="Mt-")*6)</f>
        <v/>
      </c>
      <c r="BC17" s="118">
        <f>BB17-MAX(0,IFERROR(INDEX(CADASTRO!$I$4:$I$80,MATCH($A17,CADASTRO!$A$4:$A$80,0)),$B17)-CONFIG!$B$50*(COUNTIF($AI17:$AL17,"AB")+COUNTIF($AI17:$AL17,"FE")+COUNTIF($AI17:$AL17,"LM")+COUNTIF($AN17:$AP17,"AB")+COUNTIF($AN17:$AP17,"FE")+COUNTIF($AN17:$AP17,"LM")))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ROUND(B17*4.29,0)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36">
        <f>IFERROR(INDEX(MAR!AL$8:AL$73,MATCH($A18,MAR!$A$8:$A$73,0))&amp;"","")</f>
        <v/>
      </c>
      <c r="H18" s="136">
        <f>IFERROR(INDEX(MAR!AM$8:AM$73,MATCH($A18,MAR!$A$8:$A$73,0))&amp;"","")</f>
        <v/>
      </c>
      <c r="I18" s="124" t="inlineStr">
        <is>
          <t>D</t>
        </is>
      </c>
      <c r="J18" s="115" t="inlineStr">
        <is>
          <t>M</t>
        </is>
      </c>
      <c r="K18" s="114" t="n"/>
      <c r="L18" s="114" t="n"/>
      <c r="M18" s="114" t="n"/>
      <c r="N18" s="114" t="n"/>
      <c r="O18" s="114" t="n"/>
      <c r="P18" s="124" t="inlineStr">
        <is>
          <t>D</t>
        </is>
      </c>
      <c r="Q18" s="114" t="n"/>
      <c r="R18" s="125" t="inlineStr">
        <is>
          <t>N</t>
        </is>
      </c>
      <c r="S18" s="114" t="n"/>
      <c r="T18" s="124" t="inlineStr">
        <is>
          <t>D</t>
        </is>
      </c>
      <c r="U18" s="124" t="inlineStr">
        <is>
          <t>D</t>
        </is>
      </c>
      <c r="V18" s="114" t="n"/>
      <c r="W18" s="124" t="inlineStr">
        <is>
          <t>D</t>
        </is>
      </c>
      <c r="X18" s="114" t="n"/>
      <c r="Y18" s="114" t="n"/>
      <c r="Z18" s="114" t="n"/>
      <c r="AA18" s="124" t="inlineStr">
        <is>
          <t>D</t>
        </is>
      </c>
      <c r="AB18" s="124" t="inlineStr">
        <is>
          <t>D</t>
        </is>
      </c>
      <c r="AC18" s="114" t="n"/>
      <c r="AD18" s="124" t="inlineStr">
        <is>
          <t>D</t>
        </is>
      </c>
      <c r="AE18" s="114" t="n"/>
      <c r="AF18" s="114" t="n"/>
      <c r="AG18" s="125" t="inlineStr">
        <is>
          <t>N</t>
        </is>
      </c>
      <c r="AH18" s="114" t="n"/>
      <c r="AI18" s="124" t="inlineStr">
        <is>
          <t>D</t>
        </is>
      </c>
      <c r="AJ18" s="114" t="n"/>
      <c r="AK18" s="124" t="inlineStr">
        <is>
          <t>D</t>
        </is>
      </c>
      <c r="AL18" s="114" t="n"/>
      <c r="AM18" s="100" t="n"/>
      <c r="AN18" s="136">
        <f>IFERROR(INDEX(MAI!I$8:I$73,MATCH($A18,MAI!$A$8:$A$73,0))&amp;"","")</f>
        <v/>
      </c>
      <c r="AO18" s="116">
        <f>IFERROR(INDEX(MAI!J$8:J$73,MATCH($A18,MAI!$A$8:$A$73,0))&amp;"","")</f>
        <v/>
      </c>
      <c r="AP18" s="116">
        <f>IFERROR(INDEX(MAI!K$8:K$73,MATCH($A18,MAI!$A$8:$A$73,0))&amp;"","")</f>
        <v/>
      </c>
      <c r="AQ18" s="100" t="n"/>
      <c r="AR18" s="100" t="n"/>
      <c r="AS18" s="100" t="n"/>
      <c r="AT18" s="117">
        <f>SUMPRODUCT(($G18:$M18="M")*6+($G18:$M18="T")*6+($G18:$M18="D")*12+($G18:$M18="N")*12+($G18:$M18="NT")*6+($G18:$M18="C")*10+($G18:$M18="A")*8+($G18:$M18="J")*5+($G18:$M18="CEP")*4+($G18:$M18="CP")*6+($G18:$M18="CRO")*6+($G18:$M18="M+")*6+($G18:$M18="T+")*6+($G18:$M18="D+")*12+($G18:$M18="N+")*12+($G18:$M18="Dm+")*12+($G18:$M18="Dt+")*12+($G18:$M18="Tm-")*6+($G18:$M18="Mt-")*6)</f>
        <v/>
      </c>
      <c r="AU18" s="118">
        <f>AT18-MAX(0,IFERROR(INDEX(CADASTRO!$I$4:$I$80,MATCH($A18,CADASTRO!$A$4:$A$80,0)),$B18)-CONFIG!$B$50*(COUNTIF($G18:$M18,"AB")+COUNTIF($G18:$M18,"FE")+COUNTIF($G18:$M18,"LM")))</f>
        <v/>
      </c>
      <c r="AV18" s="117">
        <f>SUMPRODUCT(($N18:$T18="M")*6+($N18:$T18="T")*6+($N18:$T18="D")*12+($N18:$T18="N")*12+($N18:$T18="NT")*6+($N18:$T18="C")*10+($N18:$T18="A")*8+($N18:$T18="J")*5+($N18:$T18="CEP")*4+($N18:$T18="CP")*6+($N18:$T18="CRO")*6+($N18:$T18="M+")*6+($N18:$T18="T+")*6+($N18:$T18="D+")*12+($N18:$T18="N+")*12+($N18:$T18="Dm+")*12+($N18:$T18="Dt+")*12+($N18:$T18="Tm-")*6+($N18:$T18="Mt-")*6)</f>
        <v/>
      </c>
      <c r="AW18" s="118">
        <f>AV18-MAX(0,IFERROR(INDEX(CADASTRO!$I$4:$I$80,MATCH($A18,CADASTRO!$A$4:$A$80,0)),$B18)-CONFIG!$B$50*(COUNTIF($N18:$T18,"AB")+COUNTIF($N18:$T18,"FE")+COUNTIF($N18:$T18,"LM")))</f>
        <v/>
      </c>
      <c r="AX18" s="117">
        <f>SUMPRODUCT(($U18:$AA18="M")*6+($U18:$AA18="T")*6+($U18:$AA18="D")*12+($U18:$AA18="N")*12+($U18:$AA18="NT")*6+($U18:$AA18="C")*10+($U18:$AA18="A")*8+($U18:$AA18="J")*5+($U18:$AA18="CEP")*4+($U18:$AA18="CP")*6+($U18:$AA18="CRO")*6+($U18:$AA18="M+")*6+($U18:$AA18="T+")*6+($U18:$AA18="D+")*12+($U18:$AA18="N+")*12+($U18:$AA18="Dm+")*12+($U18:$AA18="Dt+")*12+($U18:$AA18="Tm-")*6+($U18:$AA18="Mt-")*6)</f>
        <v/>
      </c>
      <c r="AY18" s="118">
        <f>AX18-MAX(0,IFERROR(INDEX(CADASTRO!$I$4:$I$80,MATCH($A18,CADASTRO!$A$4:$A$80,0)),$B18)-CONFIG!$B$50*(COUNTIF($U18:$AA18,"AB")+COUNTIF($U18:$AA18,"FE")+COUNTIF($U18:$AA18,"LM")))</f>
        <v/>
      </c>
      <c r="AZ18" s="117">
        <f>SUMPRODUCT(($AB18:$AH18="M")*6+($AB18:$AH18="T")*6+($AB18:$AH18="D")*12+($AB18:$AH18="N")*12+($AB18:$AH18="NT")*6+($AB18:$AH18="C")*10+($AB18:$AH18="A")*8+($AB18:$AH18="J")*5+($AB18:$AH18="CEP")*4+($AB18:$AH18="CP")*6+($AB18:$AH18="CRO")*6+($AB18:$AH18="M+")*6+($AB18:$AH18="T+")*6+($AB18:$AH18="D+")*12+($AB18:$AH18="N+")*12+($AB18:$AH18="Dm+")*12+($AB18:$AH18="Dt+")*12+($AB18:$AH18="Tm-")*6+($AB18:$AH18="Mt-")*6)</f>
        <v/>
      </c>
      <c r="BA18" s="118">
        <f>AZ18-MAX(0,IFERROR(INDEX(CADASTRO!$I$4:$I$80,MATCH($A18,CADASTRO!$A$4:$A$80,0)),$B18)-CONFIG!$B$50*(COUNTIF($AB18:$AH18,"AB")+COUNTIF($AB18:$AH18,"FE")+COUNTIF($AB18:$AH18,"LM")))</f>
        <v/>
      </c>
      <c r="BB18" s="117">
        <f>SUMPRODUCT(($AI18:$AL18="M")*6+($AI18:$AL18="T")*6+($AI18:$AL18="D")*12+($AI18:$AL18="N")*12+($AI18:$AL18="NT")*6+($AI18:$AL18="C")*10+($AI18:$AL18="A")*8+($AI18:$AL18="J")*5+($AI18:$AL18="CEP")*4+($AI18:$AL18="CP")*6+($AI18:$AL18="CRO")*6+($AI18:$AL18="M+")*6+($AI18:$AL18="T+")*6+($AI18:$AL18="D+")*12+($AI18:$AL18="N+")*12+($AI18:$AL18="Dm+")*12+($AI18:$AL18="Dt+")*12+($AI18:$AL18="Tm-")*6+($AI18:$AL18="Mt-")*6)+SUMPRODUCT(($AN18:$AP18="M")*6+($AN18:$AP18="T")*6+($AN18:$AP18="D")*12+($AN18:$AP18="N")*12+($AN18:$AP18="NT")*6+($AN18:$AP18="C")*10+($AN18:$AP18="A")*8+($AN18:$AP18="J")*5+($AN18:$AP18="CEP")*4+($AN18:$AP18="CP")*6+($AN18:$AP18="CRO")*6+($AN18:$AP18="M+")*6+($AN18:$AP18="T+")*6+($AN18:$AP18="D+")*12+($AN18:$AP18="N+")*12+($AN18:$AP18="Dm+")*12+($AN18:$AP18="Dt+")*12+($AN18:$AP18="Tm-")*6+($AN18:$AP18="Mt-")*6)</f>
        <v/>
      </c>
      <c r="BC18" s="118">
        <f>BB18-MAX(0,IFERROR(INDEX(CADASTRO!$I$4:$I$80,MATCH($A18,CADASTRO!$A$4:$A$80,0)),$B18)-CONFIG!$B$50*(COUNTIF($AI18:$AL18,"AB")+COUNTIF($AI18:$AL18,"FE")+COUNTIF($AI18:$AL18,"LM")+COUNTIF($AN18:$AP18,"AB")+COUNTIF($AN18:$AP18,"FE")+COUNTIF($AN18:$AP18,"LM")))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ROUND(B18*4.29,0)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36">
        <f>IFERROR(INDEX(MAR!AL$8:AL$73,MATCH($A19,MAR!$A$8:$A$73,0))&amp;"","")</f>
        <v/>
      </c>
      <c r="H19" s="136">
        <f>IFERROR(INDEX(MAR!AM$8:AM$73,MATCH($A19,MAR!$A$8:$A$73,0))&amp;"","")</f>
        <v/>
      </c>
      <c r="I19" s="125" t="inlineStr">
        <is>
          <t>N</t>
        </is>
      </c>
      <c r="J19" s="114" t="n"/>
      <c r="K19" s="125" t="inlineStr">
        <is>
          <t>N</t>
        </is>
      </c>
      <c r="L19" s="114" t="n"/>
      <c r="M19" s="125" t="inlineStr">
        <is>
          <t>N</t>
        </is>
      </c>
      <c r="N19" s="114" t="n"/>
      <c r="O19" s="114" t="n"/>
      <c r="P19" s="125" t="inlineStr">
        <is>
          <t>N</t>
        </is>
      </c>
      <c r="Q19" s="125" t="inlineStr">
        <is>
          <t>N</t>
        </is>
      </c>
      <c r="R19" s="114" t="n"/>
      <c r="S19" s="114" t="n"/>
      <c r="T19" s="125" t="inlineStr">
        <is>
          <t>N</t>
        </is>
      </c>
      <c r="U19" s="125" t="inlineStr">
        <is>
          <t>N</t>
        </is>
      </c>
      <c r="V19" s="114" t="n"/>
      <c r="W19" s="125" t="inlineStr">
        <is>
          <t>N</t>
        </is>
      </c>
      <c r="X19" s="125" t="inlineStr">
        <is>
          <t>N</t>
        </is>
      </c>
      <c r="Y19" s="114" t="n"/>
      <c r="Z19" s="114" t="n"/>
      <c r="AA19" s="114" t="n"/>
      <c r="AB19" s="114" t="n"/>
      <c r="AC19" s="114" t="n"/>
      <c r="AD19" s="125" t="inlineStr">
        <is>
          <t>N</t>
        </is>
      </c>
      <c r="AE19" s="125" t="inlineStr">
        <is>
          <t>N</t>
        </is>
      </c>
      <c r="AF19" s="114" t="n"/>
      <c r="AG19" s="114" t="n"/>
      <c r="AH19" s="125" t="inlineStr">
        <is>
          <t>N</t>
        </is>
      </c>
      <c r="AI19" s="114" t="n"/>
      <c r="AJ19" s="114" t="n"/>
      <c r="AK19" s="125" t="inlineStr">
        <is>
          <t>N</t>
        </is>
      </c>
      <c r="AL19" s="114" t="n"/>
      <c r="AM19" s="100" t="n"/>
      <c r="AN19" s="136">
        <f>IFERROR(INDEX(MAI!I$8:I$73,MATCH($A19,MAI!$A$8:$A$73,0))&amp;"","")</f>
        <v/>
      </c>
      <c r="AO19" s="116">
        <f>IFERROR(INDEX(MAI!J$8:J$73,MATCH($A19,MAI!$A$8:$A$73,0))&amp;"","")</f>
        <v/>
      </c>
      <c r="AP19" s="116">
        <f>IFERROR(INDEX(MAI!K$8:K$73,MATCH($A19,MAI!$A$8:$A$73,0))&amp;"","")</f>
        <v/>
      </c>
      <c r="AQ19" s="100" t="n"/>
      <c r="AR19" s="100" t="n"/>
      <c r="AS19" s="100" t="n"/>
      <c r="AT19" s="117">
        <f>SUMPRODUCT(($G19:$M19="M")*6+($G19:$M19="T")*6+($G19:$M19="D")*12+($G19:$M19="N")*12+($G19:$M19="NT")*6+($G19:$M19="C")*10+($G19:$M19="A")*8+($G19:$M19="J")*5+($G19:$M19="CEP")*4+($G19:$M19="CP")*6+($G19:$M19="CRO")*6+($G19:$M19="M+")*6+($G19:$M19="T+")*6+($G19:$M19="D+")*12+($G19:$M19="N+")*12+($G19:$M19="Dm+")*12+($G19:$M19="Dt+")*12+($G19:$M19="Tm-")*6+($G19:$M19="Mt-")*6)</f>
        <v/>
      </c>
      <c r="AU19" s="118">
        <f>AT19-MAX(0,IFERROR(INDEX(CADASTRO!$I$4:$I$80,MATCH($A19,CADASTRO!$A$4:$A$80,0)),$B19)-CONFIG!$B$50*(COUNTIF($G19:$M19,"AB")+COUNTIF($G19:$M19,"FE")+COUNTIF($G19:$M19,"LM")))</f>
        <v/>
      </c>
      <c r="AV19" s="117">
        <f>SUMPRODUCT(($N19:$T19="M")*6+($N19:$T19="T")*6+($N19:$T19="D")*12+($N19:$T19="N")*12+($N19:$T19="NT")*6+($N19:$T19="C")*10+($N19:$T19="A")*8+($N19:$T19="J")*5+($N19:$T19="CEP")*4+($N19:$T19="CP")*6+($N19:$T19="CRO")*6+($N19:$T19="M+")*6+($N19:$T19="T+")*6+($N19:$T19="D+")*12+($N19:$T19="N+")*12+($N19:$T19="Dm+")*12+($N19:$T19="Dt+")*12+($N19:$T19="Tm-")*6+($N19:$T19="Mt-")*6)</f>
        <v/>
      </c>
      <c r="AW19" s="118">
        <f>AV19-MAX(0,IFERROR(INDEX(CADASTRO!$I$4:$I$80,MATCH($A19,CADASTRO!$A$4:$A$80,0)),$B19)-CONFIG!$B$50*(COUNTIF($N19:$T19,"AB")+COUNTIF($N19:$T19,"FE")+COUNTIF($N19:$T19,"LM")))</f>
        <v/>
      </c>
      <c r="AX19" s="117">
        <f>SUMPRODUCT(($U19:$AA19="M")*6+($U19:$AA19="T")*6+($U19:$AA19="D")*12+($U19:$AA19="N")*12+($U19:$AA19="NT")*6+($U19:$AA19="C")*10+($U19:$AA19="A")*8+($U19:$AA19="J")*5+($U19:$AA19="CEP")*4+($U19:$AA19="CP")*6+($U19:$AA19="CRO")*6+($U19:$AA19="M+")*6+($U19:$AA19="T+")*6+($U19:$AA19="D+")*12+($U19:$AA19="N+")*12+($U19:$AA19="Dm+")*12+($U19:$AA19="Dt+")*12+($U19:$AA19="Tm-")*6+($U19:$AA19="Mt-")*6)</f>
        <v/>
      </c>
      <c r="AY19" s="118">
        <f>AX19-MAX(0,IFERROR(INDEX(CADASTRO!$I$4:$I$80,MATCH($A19,CADASTRO!$A$4:$A$80,0)),$B19)-CONFIG!$B$50*(COUNTIF($U19:$AA19,"AB")+COUNTIF($U19:$AA19,"FE")+COUNTIF($U19:$AA19,"LM")))</f>
        <v/>
      </c>
      <c r="AZ19" s="117">
        <f>SUMPRODUCT(($AB19:$AH19="M")*6+($AB19:$AH19="T")*6+($AB19:$AH19="D")*12+($AB19:$AH19="N")*12+($AB19:$AH19="NT")*6+($AB19:$AH19="C")*10+($AB19:$AH19="A")*8+($AB19:$AH19="J")*5+($AB19:$AH19="CEP")*4+($AB19:$AH19="CP")*6+($AB19:$AH19="CRO")*6+($AB19:$AH19="M+")*6+($AB19:$AH19="T+")*6+($AB19:$AH19="D+")*12+($AB19:$AH19="N+")*12+($AB19:$AH19="Dm+")*12+($AB19:$AH19="Dt+")*12+($AB19:$AH19="Tm-")*6+($AB19:$AH19="Mt-")*6)</f>
        <v/>
      </c>
      <c r="BA19" s="118">
        <f>AZ19-MAX(0,IFERROR(INDEX(CADASTRO!$I$4:$I$80,MATCH($A19,CADASTRO!$A$4:$A$80,0)),$B19)-CONFIG!$B$50*(COUNTIF($AB19:$AH19,"AB")+COUNTIF($AB19:$AH19,"FE")+COUNTIF($AB19:$AH19,"LM")))</f>
        <v/>
      </c>
      <c r="BB19" s="117">
        <f>SUMPRODUCT(($AI19:$AL19="M")*6+($AI19:$AL19="T")*6+($AI19:$AL19="D")*12+($AI19:$AL19="N")*12+($AI19:$AL19="NT")*6+($AI19:$AL19="C")*10+($AI19:$AL19="A")*8+($AI19:$AL19="J")*5+($AI19:$AL19="CEP")*4+($AI19:$AL19="CP")*6+($AI19:$AL19="CRO")*6+($AI19:$AL19="M+")*6+($AI19:$AL19="T+")*6+($AI19:$AL19="D+")*12+($AI19:$AL19="N+")*12+($AI19:$AL19="Dm+")*12+($AI19:$AL19="Dt+")*12+($AI19:$AL19="Tm-")*6+($AI19:$AL19="Mt-")*6)+SUMPRODUCT(($AN19:$AP19="M")*6+($AN19:$AP19="T")*6+($AN19:$AP19="D")*12+($AN19:$AP19="N")*12+($AN19:$AP19="NT")*6+($AN19:$AP19="C")*10+($AN19:$AP19="A")*8+($AN19:$AP19="J")*5+($AN19:$AP19="CEP")*4+($AN19:$AP19="CP")*6+($AN19:$AP19="CRO")*6+($AN19:$AP19="M+")*6+($AN19:$AP19="T+")*6+($AN19:$AP19="D+")*12+($AN19:$AP19="N+")*12+($AN19:$AP19="Dm+")*12+($AN19:$AP19="Dt+")*12+($AN19:$AP19="Tm-")*6+($AN19:$AP19="Mt-")*6)</f>
        <v/>
      </c>
      <c r="BC19" s="118">
        <f>BB19-MAX(0,IFERROR(INDEX(CADASTRO!$I$4:$I$80,MATCH($A19,CADASTRO!$A$4:$A$80,0)),$B19)-CONFIG!$B$50*(COUNTIF($AI19:$AL19,"AB")+COUNTIF($AI19:$AL19,"FE")+COUNTIF($AI19:$AL19,"LM")+COUNTIF($AN19:$AP19,"AB")+COUNTIF($AN19:$AP19,"FE")+COUNTIF($AN19:$AP19,"LM")))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ROUND(B19*4.29,0)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36">
        <f>IFERROR(INDEX(MAR!AL$8:AL$73,MATCH($A20,MAR!$A$8:$A$73,0))&amp;"","")</f>
        <v/>
      </c>
      <c r="H20" s="136">
        <f>IFERROR(INDEX(MAR!AM$8:AM$73,MATCH($A20,MAR!$A$8:$A$73,0))&amp;"","")</f>
        <v/>
      </c>
      <c r="I20" s="125" t="inlineStr">
        <is>
          <t>N</t>
        </is>
      </c>
      <c r="J20" s="125" t="inlineStr">
        <is>
          <t>N</t>
        </is>
      </c>
      <c r="K20" s="114" t="n"/>
      <c r="L20" s="114" t="n"/>
      <c r="M20" s="114" t="n"/>
      <c r="N20" s="125" t="inlineStr">
        <is>
          <t>N</t>
        </is>
      </c>
      <c r="O20" s="114" t="n"/>
      <c r="P20" s="125" t="inlineStr">
        <is>
          <t>N</t>
        </is>
      </c>
      <c r="Q20" s="125" t="inlineStr">
        <is>
          <t>N</t>
        </is>
      </c>
      <c r="R20" s="114" t="n"/>
      <c r="S20" s="114" t="n"/>
      <c r="T20" s="114" t="n"/>
      <c r="U20" s="114" t="n"/>
      <c r="V20" s="114" t="n"/>
      <c r="W20" s="125" t="inlineStr">
        <is>
          <t>N</t>
        </is>
      </c>
      <c r="X20" s="125" t="inlineStr">
        <is>
          <t>N</t>
        </is>
      </c>
      <c r="Y20" s="114" t="n"/>
      <c r="Z20" s="125" t="inlineStr">
        <is>
          <t>N</t>
        </is>
      </c>
      <c r="AA20" s="114" t="n"/>
      <c r="AB20" s="114" t="n"/>
      <c r="AC20" s="125" t="inlineStr">
        <is>
          <t>N</t>
        </is>
      </c>
      <c r="AD20" s="125" t="inlineStr">
        <is>
          <t>N</t>
        </is>
      </c>
      <c r="AE20" s="125" t="inlineStr">
        <is>
          <t>N</t>
        </is>
      </c>
      <c r="AF20" s="114" t="n"/>
      <c r="AG20" s="114" t="n"/>
      <c r="AH20" s="114" t="n"/>
      <c r="AI20" s="114" t="n"/>
      <c r="AJ20" s="114" t="n"/>
      <c r="AK20" s="125" t="inlineStr">
        <is>
          <t>N</t>
        </is>
      </c>
      <c r="AL20" s="114" t="n"/>
      <c r="AM20" s="100" t="n"/>
      <c r="AN20" s="136">
        <f>IFERROR(INDEX(MAI!I$8:I$73,MATCH($A20,MAI!$A$8:$A$73,0))&amp;"","")</f>
        <v/>
      </c>
      <c r="AO20" s="116">
        <f>IFERROR(INDEX(MAI!J$8:J$73,MATCH($A20,MAI!$A$8:$A$73,0))&amp;"","")</f>
        <v/>
      </c>
      <c r="AP20" s="116">
        <f>IFERROR(INDEX(MAI!K$8:K$73,MATCH($A20,MAI!$A$8:$A$73,0))&amp;"","")</f>
        <v/>
      </c>
      <c r="AQ20" s="100" t="n"/>
      <c r="AR20" s="100" t="n"/>
      <c r="AS20" s="100" t="n"/>
      <c r="AT20" s="117">
        <f>SUMPRODUCT(($G20:$M20="M")*6+($G20:$M20="T")*6+($G20:$M20="D")*12+($G20:$M20="N")*12+($G20:$M20="NT")*6+($G20:$M20="C")*10+($G20:$M20="A")*8+($G20:$M20="J")*5+($G20:$M20="CEP")*4+($G20:$M20="CP")*6+($G20:$M20="CRO")*6+($G20:$M20="M+")*6+($G20:$M20="T+")*6+($G20:$M20="D+")*12+($G20:$M20="N+")*12+($G20:$M20="Dm+")*12+($G20:$M20="Dt+")*12+($G20:$M20="Tm-")*6+($G20:$M20="Mt-")*6)</f>
        <v/>
      </c>
      <c r="AU20" s="118">
        <f>AT20-MAX(0,IFERROR(INDEX(CADASTRO!$I$4:$I$80,MATCH($A20,CADASTRO!$A$4:$A$80,0)),$B20)-CONFIG!$B$50*(COUNTIF($G20:$M20,"AB")+COUNTIF($G20:$M20,"FE")+COUNTIF($G20:$M20,"LM")))</f>
        <v/>
      </c>
      <c r="AV20" s="117">
        <f>SUMPRODUCT(($N20:$T20="M")*6+($N20:$T20="T")*6+($N20:$T20="D")*12+($N20:$T20="N")*12+($N20:$T20="NT")*6+($N20:$T20="C")*10+($N20:$T20="A")*8+($N20:$T20="J")*5+($N20:$T20="CEP")*4+($N20:$T20="CP")*6+($N20:$T20="CRO")*6+($N20:$T20="M+")*6+($N20:$T20="T+")*6+($N20:$T20="D+")*12+($N20:$T20="N+")*12+($N20:$T20="Dm+")*12+($N20:$T20="Dt+")*12+($N20:$T20="Tm-")*6+($N20:$T20="Mt-")*6)</f>
        <v/>
      </c>
      <c r="AW20" s="118">
        <f>AV20-MAX(0,IFERROR(INDEX(CADASTRO!$I$4:$I$80,MATCH($A20,CADASTRO!$A$4:$A$80,0)),$B20)-CONFIG!$B$50*(COUNTIF($N20:$T20,"AB")+COUNTIF($N20:$T20,"FE")+COUNTIF($N20:$T20,"LM")))</f>
        <v/>
      </c>
      <c r="AX20" s="117">
        <f>SUMPRODUCT(($U20:$AA20="M")*6+($U20:$AA20="T")*6+($U20:$AA20="D")*12+($U20:$AA20="N")*12+($U20:$AA20="NT")*6+($U20:$AA20="C")*10+($U20:$AA20="A")*8+($U20:$AA20="J")*5+($U20:$AA20="CEP")*4+($U20:$AA20="CP")*6+($U20:$AA20="CRO")*6+($U20:$AA20="M+")*6+($U20:$AA20="T+")*6+($U20:$AA20="D+")*12+($U20:$AA20="N+")*12+($U20:$AA20="Dm+")*12+($U20:$AA20="Dt+")*12+($U20:$AA20="Tm-")*6+($U20:$AA20="Mt-")*6)</f>
        <v/>
      </c>
      <c r="AY20" s="118">
        <f>AX20-MAX(0,IFERROR(INDEX(CADASTRO!$I$4:$I$80,MATCH($A20,CADASTRO!$A$4:$A$80,0)),$B20)-CONFIG!$B$50*(COUNTIF($U20:$AA20,"AB")+COUNTIF($U20:$AA20,"FE")+COUNTIF($U20:$AA20,"LM")))</f>
        <v/>
      </c>
      <c r="AZ20" s="117">
        <f>SUMPRODUCT(($AB20:$AH20="M")*6+($AB20:$AH20="T")*6+($AB20:$AH20="D")*12+($AB20:$AH20="N")*12+($AB20:$AH20="NT")*6+($AB20:$AH20="C")*10+($AB20:$AH20="A")*8+($AB20:$AH20="J")*5+($AB20:$AH20="CEP")*4+($AB20:$AH20="CP")*6+($AB20:$AH20="CRO")*6+($AB20:$AH20="M+")*6+($AB20:$AH20="T+")*6+($AB20:$AH20="D+")*12+($AB20:$AH20="N+")*12+($AB20:$AH20="Dm+")*12+($AB20:$AH20="Dt+")*12+($AB20:$AH20="Tm-")*6+($AB20:$AH20="Mt-")*6)</f>
        <v/>
      </c>
      <c r="BA20" s="118">
        <f>AZ20-MAX(0,IFERROR(INDEX(CADASTRO!$I$4:$I$80,MATCH($A20,CADASTRO!$A$4:$A$80,0)),$B20)-CONFIG!$B$50*(COUNTIF($AB20:$AH20,"AB")+COUNTIF($AB20:$AH20,"FE")+COUNTIF($AB20:$AH20,"LM")))</f>
        <v/>
      </c>
      <c r="BB20" s="117">
        <f>SUMPRODUCT(($AI20:$AL20="M")*6+($AI20:$AL20="T")*6+($AI20:$AL20="D")*12+($AI20:$AL20="N")*12+($AI20:$AL20="NT")*6+($AI20:$AL20="C")*10+($AI20:$AL20="A")*8+($AI20:$AL20="J")*5+($AI20:$AL20="CEP")*4+($AI20:$AL20="CP")*6+($AI20:$AL20="CRO")*6+($AI20:$AL20="M+")*6+($AI20:$AL20="T+")*6+($AI20:$AL20="D+")*12+($AI20:$AL20="N+")*12+($AI20:$AL20="Dm+")*12+($AI20:$AL20="Dt+")*12+($AI20:$AL20="Tm-")*6+($AI20:$AL20="Mt-")*6)+SUMPRODUCT(($AN20:$AP20="M")*6+($AN20:$AP20="T")*6+($AN20:$AP20="D")*12+($AN20:$AP20="N")*12+($AN20:$AP20="NT")*6+($AN20:$AP20="C")*10+($AN20:$AP20="A")*8+($AN20:$AP20="J")*5+($AN20:$AP20="CEP")*4+($AN20:$AP20="CP")*6+($AN20:$AP20="CRO")*6+($AN20:$AP20="M+")*6+($AN20:$AP20="T+")*6+($AN20:$AP20="D+")*12+($AN20:$AP20="N+")*12+($AN20:$AP20="Dm+")*12+($AN20:$AP20="Dt+")*12+($AN20:$AP20="Tm-")*6+($AN20:$AP20="Mt-")*6)</f>
        <v/>
      </c>
      <c r="BC20" s="118">
        <f>BB20-MAX(0,IFERROR(INDEX(CADASTRO!$I$4:$I$80,MATCH($A20,CADASTRO!$A$4:$A$80,0)),$B20)-CONFIG!$B$50*(COUNTIF($AI20:$AL20,"AB")+COUNTIF($AI20:$AL20,"FE")+COUNTIF($AI20:$AL20,"LM")+COUNTIF($AN20:$AP20,"AB")+COUNTIF($AN20:$AP20,"FE")+COUNTIF($AN20:$AP20,"LM")))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ROUND(B20*4.29,0)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36">
        <f>IFERROR(INDEX(MAR!AL$8:AL$73,MATCH($A21,MAR!$A$8:$A$73,0))&amp;"","")</f>
        <v/>
      </c>
      <c r="H21" s="136">
        <f>IFERROR(INDEX(MAR!AM$8:AM$73,MATCH($A21,MAR!$A$8:$A$73,0))&amp;"","")</f>
        <v/>
      </c>
      <c r="I21" s="125" t="inlineStr">
        <is>
          <t>N</t>
        </is>
      </c>
      <c r="J21" s="114" t="n"/>
      <c r="K21" s="125" t="inlineStr">
        <is>
          <t>N</t>
        </is>
      </c>
      <c r="L21" s="114" t="n"/>
      <c r="M21" s="114" t="n"/>
      <c r="N21" s="126" t="inlineStr">
        <is>
          <t>T</t>
        </is>
      </c>
      <c r="O21" s="114" t="n"/>
      <c r="P21" s="114" t="n"/>
      <c r="Q21" s="125" t="inlineStr">
        <is>
          <t>N</t>
        </is>
      </c>
      <c r="R21" s="114" t="n"/>
      <c r="S21" s="115" t="inlineStr">
        <is>
          <t>M</t>
        </is>
      </c>
      <c r="T21" s="125" t="inlineStr">
        <is>
          <t>N</t>
        </is>
      </c>
      <c r="U21" s="114" t="n"/>
      <c r="V21" s="114" t="n"/>
      <c r="W21" s="114" t="n"/>
      <c r="X21" s="114" t="n"/>
      <c r="Y21" s="114" t="n"/>
      <c r="Z21" s="114" t="n"/>
      <c r="AA21" s="114" t="n"/>
      <c r="AB21" s="114" t="n"/>
      <c r="AC21" s="114" t="n"/>
      <c r="AD21" s="114" t="n"/>
      <c r="AE21" s="114" t="n"/>
      <c r="AF21" s="114" t="n"/>
      <c r="AG21" s="114" t="n"/>
      <c r="AH21" s="114" t="n"/>
      <c r="AI21" s="114" t="n"/>
      <c r="AJ21" s="124" t="inlineStr">
        <is>
          <t>D</t>
        </is>
      </c>
      <c r="AK21" s="115" t="inlineStr">
        <is>
          <t>M</t>
        </is>
      </c>
      <c r="AL21" s="125" t="inlineStr">
        <is>
          <t>N</t>
        </is>
      </c>
      <c r="AM21" s="100" t="n"/>
      <c r="AN21" s="136">
        <f>IFERROR(INDEX(MAI!I$8:I$73,MATCH($A21,MAI!$A$8:$A$73,0))&amp;"","")</f>
        <v/>
      </c>
      <c r="AO21" s="116">
        <f>IFERROR(INDEX(MAI!J$8:J$73,MATCH($A21,MAI!$A$8:$A$73,0))&amp;"","")</f>
        <v/>
      </c>
      <c r="AP21" s="116">
        <f>IFERROR(INDEX(MAI!K$8:K$73,MATCH($A21,MAI!$A$8:$A$73,0))&amp;"","")</f>
        <v/>
      </c>
      <c r="AQ21" s="100" t="n"/>
      <c r="AR21" s="100" t="n"/>
      <c r="AS21" s="100" t="n"/>
      <c r="AT21" s="117">
        <f>SUMPRODUCT(($G21:$M21="M")*6+($G21:$M21="T")*6+($G21:$M21="D")*12+($G21:$M21="N")*12+($G21:$M21="NT")*6+($G21:$M21="C")*10+($G21:$M21="A")*8+($G21:$M21="J")*5+($G21:$M21="CEP")*4+($G21:$M21="CP")*6+($G21:$M21="CRO")*6+($G21:$M21="M+")*6+($G21:$M21="T+")*6+($G21:$M21="D+")*12+($G21:$M21="N+")*12+($G21:$M21="Dm+")*12+($G21:$M21="Dt+")*12+($G21:$M21="Tm-")*6+($G21:$M21="Mt-")*6)</f>
        <v/>
      </c>
      <c r="AU21" s="118">
        <f>AT21-MAX(0,IFERROR(INDEX(CADASTRO!$I$4:$I$80,MATCH($A21,CADASTRO!$A$4:$A$80,0)),$B21)-CONFIG!$B$50*(COUNTIF($G21:$M21,"AB")+COUNTIF($G21:$M21,"FE")+COUNTIF($G21:$M21,"LM")))</f>
        <v/>
      </c>
      <c r="AV21" s="117">
        <f>SUMPRODUCT(($N21:$T21="M")*6+($N21:$T21="T")*6+($N21:$T21="D")*12+($N21:$T21="N")*12+($N21:$T21="NT")*6+($N21:$T21="C")*10+($N21:$T21="A")*8+($N21:$T21="J")*5+($N21:$T21="CEP")*4+($N21:$T21="CP")*6+($N21:$T21="CRO")*6+($N21:$T21="M+")*6+($N21:$T21="T+")*6+($N21:$T21="D+")*12+($N21:$T21="N+")*12+($N21:$T21="Dm+")*12+($N21:$T21="Dt+")*12+($N21:$T21="Tm-")*6+($N21:$T21="Mt-")*6)</f>
        <v/>
      </c>
      <c r="AW21" s="118">
        <f>AV21-MAX(0,IFERROR(INDEX(CADASTRO!$I$4:$I$80,MATCH($A21,CADASTRO!$A$4:$A$80,0)),$B21)-CONFIG!$B$50*(COUNTIF($N21:$T21,"AB")+COUNTIF($N21:$T21,"FE")+COUNTIF($N21:$T21,"LM")))</f>
        <v/>
      </c>
      <c r="AX21" s="117">
        <f>SUMPRODUCT(($U21:$AA21="M")*6+($U21:$AA21="T")*6+($U21:$AA21="D")*12+($U21:$AA21="N")*12+($U21:$AA21="NT")*6+($U21:$AA21="C")*10+($U21:$AA21="A")*8+($U21:$AA21="J")*5+($U21:$AA21="CEP")*4+($U21:$AA21="CP")*6+($U21:$AA21="CRO")*6+($U21:$AA21="M+")*6+($U21:$AA21="T+")*6+($U21:$AA21="D+")*12+($U21:$AA21="N+")*12+($U21:$AA21="Dm+")*12+($U21:$AA21="Dt+")*12+($U21:$AA21="Tm-")*6+($U21:$AA21="Mt-")*6)</f>
        <v/>
      </c>
      <c r="AY21" s="118">
        <f>AX21-MAX(0,IFERROR(INDEX(CADASTRO!$I$4:$I$80,MATCH($A21,CADASTRO!$A$4:$A$80,0)),$B21)-CONFIG!$B$50*(COUNTIF($U21:$AA21,"AB")+COUNTIF($U21:$AA21,"FE")+COUNTIF($U21:$AA21,"LM")))</f>
        <v/>
      </c>
      <c r="AZ21" s="117">
        <f>SUMPRODUCT(($AB21:$AH21="M")*6+($AB21:$AH21="T")*6+($AB21:$AH21="D")*12+($AB21:$AH21="N")*12+($AB21:$AH21="NT")*6+($AB21:$AH21="C")*10+($AB21:$AH21="A")*8+($AB21:$AH21="J")*5+($AB21:$AH21="CEP")*4+($AB21:$AH21="CP")*6+($AB21:$AH21="CRO")*6+($AB21:$AH21="M+")*6+($AB21:$AH21="T+")*6+($AB21:$AH21="D+")*12+($AB21:$AH21="N+")*12+($AB21:$AH21="Dm+")*12+($AB21:$AH21="Dt+")*12+($AB21:$AH21="Tm-")*6+($AB21:$AH21="Mt-")*6)</f>
        <v/>
      </c>
      <c r="BA21" s="118">
        <f>AZ21-MAX(0,IFERROR(INDEX(CADASTRO!$I$4:$I$80,MATCH($A21,CADASTRO!$A$4:$A$80,0)),$B21)-CONFIG!$B$50*(COUNTIF($AB21:$AH21,"AB")+COUNTIF($AB21:$AH21,"FE")+COUNTIF($AB21:$AH21,"LM")))</f>
        <v/>
      </c>
      <c r="BB21" s="117">
        <f>SUMPRODUCT(($AI21:$AL21="M")*6+($AI21:$AL21="T")*6+($AI21:$AL21="D")*12+($AI21:$AL21="N")*12+($AI21:$AL21="NT")*6+($AI21:$AL21="C")*10+($AI21:$AL21="A")*8+($AI21:$AL21="J")*5+($AI21:$AL21="CEP")*4+($AI21:$AL21="CP")*6+($AI21:$AL21="CRO")*6+($AI21:$AL21="M+")*6+($AI21:$AL21="T+")*6+($AI21:$AL21="D+")*12+($AI21:$AL21="N+")*12+($AI21:$AL21="Dm+")*12+($AI21:$AL21="Dt+")*12+($AI21:$AL21="Tm-")*6+($AI21:$AL21="Mt-")*6)+SUMPRODUCT(($AN21:$AP21="M")*6+($AN21:$AP21="T")*6+($AN21:$AP21="D")*12+($AN21:$AP21="N")*12+($AN21:$AP21="NT")*6+($AN21:$AP21="C")*10+($AN21:$AP21="A")*8+($AN21:$AP21="J")*5+($AN21:$AP21="CEP")*4+($AN21:$AP21="CP")*6+($AN21:$AP21="CRO")*6+($AN21:$AP21="M+")*6+($AN21:$AP21="T+")*6+($AN21:$AP21="D+")*12+($AN21:$AP21="N+")*12+($AN21:$AP21="Dm+")*12+($AN21:$AP21="Dt+")*12+($AN21:$AP21="Tm-")*6+($AN21:$AP21="Mt-")*6)</f>
        <v/>
      </c>
      <c r="BC21" s="118">
        <f>BB21-MAX(0,IFERROR(INDEX(CADASTRO!$I$4:$I$80,MATCH($A21,CADASTRO!$A$4:$A$80,0)),$B21)-CONFIG!$B$50*(COUNTIF($AI21:$AL21,"AB")+COUNTIF($AI21:$AL21,"FE")+COUNTIF($AI21:$AL21,"LM")+COUNTIF($AN21:$AP21,"AB")+COUNTIF($AN21:$AP21,"FE")+COUNTIF($AN21:$AP21,"LM")))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ROUND(B21*4.29,0)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36">
        <f>IFERROR(INDEX(MAR!AL$8:AL$73,MATCH($A22,MAR!$A$8:$A$73,0))&amp;"","")</f>
        <v/>
      </c>
      <c r="H22" s="136">
        <f>IFERROR(INDEX(MAR!AM$8:AM$73,MATCH($A22,MAR!$A$8:$A$73,0))&amp;"","")</f>
        <v/>
      </c>
      <c r="I22" s="124" t="inlineStr">
        <is>
          <t>D</t>
        </is>
      </c>
      <c r="J22" s="124" t="inlineStr">
        <is>
          <t>D</t>
        </is>
      </c>
      <c r="K22" s="114" t="n"/>
      <c r="L22" s="114" t="n"/>
      <c r="M22" s="114" t="n"/>
      <c r="N22" s="114" t="n"/>
      <c r="O22" s="126" t="inlineStr">
        <is>
          <t>T</t>
        </is>
      </c>
      <c r="P22" s="114" t="n"/>
      <c r="Q22" s="124" t="inlineStr">
        <is>
          <t>D</t>
        </is>
      </c>
      <c r="R22" s="115" t="inlineStr">
        <is>
          <t>M</t>
        </is>
      </c>
      <c r="S22" s="114" t="n"/>
      <c r="T22" s="124" t="inlineStr">
        <is>
          <t>D</t>
        </is>
      </c>
      <c r="U22" s="114" t="n"/>
      <c r="V22" s="115" t="inlineStr">
        <is>
          <t>M</t>
        </is>
      </c>
      <c r="W22" s="124" t="inlineStr">
        <is>
          <t>D</t>
        </is>
      </c>
      <c r="X22" s="115" t="inlineStr">
        <is>
          <t>M</t>
        </is>
      </c>
      <c r="Y22" s="114" t="n"/>
      <c r="Z22" s="114" t="n"/>
      <c r="AA22" s="124" t="inlineStr">
        <is>
          <t>D</t>
        </is>
      </c>
      <c r="AB22" s="114" t="n"/>
      <c r="AC22" s="124" t="inlineStr">
        <is>
          <t>D</t>
        </is>
      </c>
      <c r="AD22" s="114" t="n"/>
      <c r="AE22" s="114" t="n"/>
      <c r="AF22" s="125" t="inlineStr">
        <is>
          <t>N</t>
        </is>
      </c>
      <c r="AG22" s="114" t="n"/>
      <c r="AH22" s="124" t="inlineStr">
        <is>
          <t>D</t>
        </is>
      </c>
      <c r="AI22" s="114" t="n"/>
      <c r="AJ22" s="124" t="inlineStr">
        <is>
          <t>D</t>
        </is>
      </c>
      <c r="AK22" s="115" t="inlineStr">
        <is>
          <t>M</t>
        </is>
      </c>
      <c r="AL22" s="124" t="inlineStr">
        <is>
          <t>D</t>
        </is>
      </c>
      <c r="AM22" s="100" t="n"/>
      <c r="AN22" s="136">
        <f>IFERROR(INDEX(MAI!I$8:I$73,MATCH($A22,MAI!$A$8:$A$73,0))&amp;"","")</f>
        <v/>
      </c>
      <c r="AO22" s="116">
        <f>IFERROR(INDEX(MAI!J$8:J$73,MATCH($A22,MAI!$A$8:$A$73,0))&amp;"","")</f>
        <v/>
      </c>
      <c r="AP22" s="116">
        <f>IFERROR(INDEX(MAI!K$8:K$73,MATCH($A22,MAI!$A$8:$A$73,0))&amp;"","")</f>
        <v/>
      </c>
      <c r="AQ22" s="100" t="n"/>
      <c r="AR22" s="100" t="n"/>
      <c r="AS22" s="100" t="n"/>
      <c r="AT22" s="117">
        <f>SUMPRODUCT(($G22:$M22="M")*6+($G22:$M22="T")*6+($G22:$M22="D")*12+($G22:$M22="N")*12+($G22:$M22="NT")*6+($G22:$M22="C")*10+($G22:$M22="A")*8+($G22:$M22="J")*5+($G22:$M22="CEP")*4+($G22:$M22="CP")*6+($G22:$M22="CRO")*6+($G22:$M22="M+")*6+($G22:$M22="T+")*6+($G22:$M22="D+")*12+($G22:$M22="N+")*12+($G22:$M22="Dm+")*12+($G22:$M22="Dt+")*12+($G22:$M22="Tm-")*6+($G22:$M22="Mt-")*6)</f>
        <v/>
      </c>
      <c r="AU22" s="118">
        <f>AT22-MAX(0,IFERROR(INDEX(CADASTRO!$I$4:$I$80,MATCH($A22,CADASTRO!$A$4:$A$80,0)),$B22)-CONFIG!$B$50*(COUNTIF($G22:$M22,"AB")+COUNTIF($G22:$M22,"FE")+COUNTIF($G22:$M22,"LM")))</f>
        <v/>
      </c>
      <c r="AV22" s="117">
        <f>SUMPRODUCT(($N22:$T22="M")*6+($N22:$T22="T")*6+($N22:$T22="D")*12+($N22:$T22="N")*12+($N22:$T22="NT")*6+($N22:$T22="C")*10+($N22:$T22="A")*8+($N22:$T22="J")*5+($N22:$T22="CEP")*4+($N22:$T22="CP")*6+($N22:$T22="CRO")*6+($N22:$T22="M+")*6+($N22:$T22="T+")*6+($N22:$T22="D+")*12+($N22:$T22="N+")*12+($N22:$T22="Dm+")*12+($N22:$T22="Dt+")*12+($N22:$T22="Tm-")*6+($N22:$T22="Mt-")*6)</f>
        <v/>
      </c>
      <c r="AW22" s="118">
        <f>AV22-MAX(0,IFERROR(INDEX(CADASTRO!$I$4:$I$80,MATCH($A22,CADASTRO!$A$4:$A$80,0)),$B22)-CONFIG!$B$50*(COUNTIF($N22:$T22,"AB")+COUNTIF($N22:$T22,"FE")+COUNTIF($N22:$T22,"LM")))</f>
        <v/>
      </c>
      <c r="AX22" s="117">
        <f>SUMPRODUCT(($U22:$AA22="M")*6+($U22:$AA22="T")*6+($U22:$AA22="D")*12+($U22:$AA22="N")*12+($U22:$AA22="NT")*6+($U22:$AA22="C")*10+($U22:$AA22="A")*8+($U22:$AA22="J")*5+($U22:$AA22="CEP")*4+($U22:$AA22="CP")*6+($U22:$AA22="CRO")*6+($U22:$AA22="M+")*6+($U22:$AA22="T+")*6+($U22:$AA22="D+")*12+($U22:$AA22="N+")*12+($U22:$AA22="Dm+")*12+($U22:$AA22="Dt+")*12+($U22:$AA22="Tm-")*6+($U22:$AA22="Mt-")*6)</f>
        <v/>
      </c>
      <c r="AY22" s="118">
        <f>AX22-MAX(0,IFERROR(INDEX(CADASTRO!$I$4:$I$80,MATCH($A22,CADASTRO!$A$4:$A$80,0)),$B22)-CONFIG!$B$50*(COUNTIF($U22:$AA22,"AB")+COUNTIF($U22:$AA22,"FE")+COUNTIF($U22:$AA22,"LM")))</f>
        <v/>
      </c>
      <c r="AZ22" s="117">
        <f>SUMPRODUCT(($AB22:$AH22="M")*6+($AB22:$AH22="T")*6+($AB22:$AH22="D")*12+($AB22:$AH22="N")*12+($AB22:$AH22="NT")*6+($AB22:$AH22="C")*10+($AB22:$AH22="A")*8+($AB22:$AH22="J")*5+($AB22:$AH22="CEP")*4+($AB22:$AH22="CP")*6+($AB22:$AH22="CRO")*6+($AB22:$AH22="M+")*6+($AB22:$AH22="T+")*6+($AB22:$AH22="D+")*12+($AB22:$AH22="N+")*12+($AB22:$AH22="Dm+")*12+($AB22:$AH22="Dt+")*12+($AB22:$AH22="Tm-")*6+($AB22:$AH22="Mt-")*6)</f>
        <v/>
      </c>
      <c r="BA22" s="118">
        <f>AZ22-MAX(0,IFERROR(INDEX(CADASTRO!$I$4:$I$80,MATCH($A22,CADASTRO!$A$4:$A$80,0)),$B22)-CONFIG!$B$50*(COUNTIF($AB22:$AH22,"AB")+COUNTIF($AB22:$AH22,"FE")+COUNTIF($AB22:$AH22,"LM")))</f>
        <v/>
      </c>
      <c r="BB22" s="117">
        <f>SUMPRODUCT(($AI22:$AL22="M")*6+($AI22:$AL22="T")*6+($AI22:$AL22="D")*12+($AI22:$AL22="N")*12+($AI22:$AL22="NT")*6+($AI22:$AL22="C")*10+($AI22:$AL22="A")*8+($AI22:$AL22="J")*5+($AI22:$AL22="CEP")*4+($AI22:$AL22="CP")*6+($AI22:$AL22="CRO")*6+($AI22:$AL22="M+")*6+($AI22:$AL22="T+")*6+($AI22:$AL22="D+")*12+($AI22:$AL22="N+")*12+($AI22:$AL22="Dm+")*12+($AI22:$AL22="Dt+")*12+($AI22:$AL22="Tm-")*6+($AI22:$AL22="Mt-")*6)+SUMPRODUCT(($AN22:$AP22="M")*6+($AN22:$AP22="T")*6+($AN22:$AP22="D")*12+($AN22:$AP22="N")*12+($AN22:$AP22="NT")*6+($AN22:$AP22="C")*10+($AN22:$AP22="A")*8+($AN22:$AP22="J")*5+($AN22:$AP22="CEP")*4+($AN22:$AP22="CP")*6+($AN22:$AP22="CRO")*6+($AN22:$AP22="M+")*6+($AN22:$AP22="T+")*6+($AN22:$AP22="D+")*12+($AN22:$AP22="N+")*12+($AN22:$AP22="Dm+")*12+($AN22:$AP22="Dt+")*12+($AN22:$AP22="Tm-")*6+($AN22:$AP22="Mt-")*6)</f>
        <v/>
      </c>
      <c r="BC22" s="118">
        <f>BB22-MAX(0,IFERROR(INDEX(CADASTRO!$I$4:$I$80,MATCH($A22,CADASTRO!$A$4:$A$80,0)),$B22)-CONFIG!$B$50*(COUNTIF($AI22:$AL22,"AB")+COUNTIF($AI22:$AL22,"FE")+COUNTIF($AI22:$AL22,"LM")+COUNTIF($AN22:$AP22,"AB")+COUNTIF($AN22:$AP22,"FE")+COUNTIF($AN22:$AP22,"LM")))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ROUND(B22*4.29,0)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36">
        <f>IFERROR(INDEX(MAR!AL$8:AL$73,MATCH($A23,MAR!$A$8:$A$73,0))&amp;"","")</f>
        <v/>
      </c>
      <c r="H23" s="136">
        <f>IFERROR(INDEX(MAR!AM$8:AM$73,MATCH($A23,MAR!$A$8:$A$73,0))&amp;"","")</f>
        <v/>
      </c>
      <c r="I23" s="114" t="n"/>
      <c r="J23" s="124" t="inlineStr">
        <is>
          <t>D</t>
        </is>
      </c>
      <c r="K23" s="114" t="n"/>
      <c r="L23" s="114" t="n"/>
      <c r="M23" s="114" t="n"/>
      <c r="N23" s="124" t="inlineStr">
        <is>
          <t>D</t>
        </is>
      </c>
      <c r="O23" s="114" t="n"/>
      <c r="P23" s="114" t="n"/>
      <c r="Q23" s="114" t="n"/>
      <c r="R23" s="114" t="n"/>
      <c r="S23" s="124" t="inlineStr">
        <is>
          <t>D</t>
        </is>
      </c>
      <c r="T23" s="124" t="inlineStr">
        <is>
          <t>D</t>
        </is>
      </c>
      <c r="U23" s="114" t="n"/>
      <c r="V23" s="115" t="inlineStr">
        <is>
          <t>M</t>
        </is>
      </c>
      <c r="W23" s="114" t="n"/>
      <c r="X23" s="124" t="inlineStr">
        <is>
          <t>D</t>
        </is>
      </c>
      <c r="Y23" s="114" t="n"/>
      <c r="Z23" s="124" t="inlineStr">
        <is>
          <t>D</t>
        </is>
      </c>
      <c r="AA23" s="115" t="inlineStr">
        <is>
          <t>M</t>
        </is>
      </c>
      <c r="AB23" s="124" t="inlineStr">
        <is>
          <t>D</t>
        </is>
      </c>
      <c r="AC23" s="124" t="inlineStr">
        <is>
          <t>D</t>
        </is>
      </c>
      <c r="AD23" s="114" t="n"/>
      <c r="AE23" s="124" t="inlineStr">
        <is>
          <t>D</t>
        </is>
      </c>
      <c r="AF23" s="114" t="n"/>
      <c r="AG23" s="114" t="n"/>
      <c r="AH23" s="114" t="n"/>
      <c r="AI23" s="124" t="inlineStr">
        <is>
          <t>D</t>
        </is>
      </c>
      <c r="AJ23" s="124" t="inlineStr">
        <is>
          <t>D</t>
        </is>
      </c>
      <c r="AK23" s="114" t="n"/>
      <c r="AL23" s="124" t="inlineStr">
        <is>
          <t>D</t>
        </is>
      </c>
      <c r="AM23" s="100" t="n"/>
      <c r="AN23" s="136">
        <f>IFERROR(INDEX(MAI!I$8:I$73,MATCH($A23,MAI!$A$8:$A$73,0))&amp;"","")</f>
        <v/>
      </c>
      <c r="AO23" s="116">
        <f>IFERROR(INDEX(MAI!J$8:J$73,MATCH($A23,MAI!$A$8:$A$73,0))&amp;"","")</f>
        <v/>
      </c>
      <c r="AP23" s="116">
        <f>IFERROR(INDEX(MAI!K$8:K$73,MATCH($A23,MAI!$A$8:$A$73,0))&amp;"","")</f>
        <v/>
      </c>
      <c r="AQ23" s="100" t="n"/>
      <c r="AR23" s="100" t="n"/>
      <c r="AS23" s="100" t="n"/>
      <c r="AT23" s="117">
        <f>SUMPRODUCT(($G23:$M23="M")*6+($G23:$M23="T")*6+($G23:$M23="D")*12+($G23:$M23="N")*12+($G23:$M23="NT")*6+($G23:$M23="C")*10+($G23:$M23="A")*8+($G23:$M23="J")*5+($G23:$M23="CEP")*4+($G23:$M23="CP")*6+($G23:$M23="CRO")*6+($G23:$M23="M+")*6+($G23:$M23="T+")*6+($G23:$M23="D+")*12+($G23:$M23="N+")*12+($G23:$M23="Dm+")*12+($G23:$M23="Dt+")*12+($G23:$M23="Tm-")*6+($G23:$M23="Mt-")*6)</f>
        <v/>
      </c>
      <c r="AU23" s="118">
        <f>AT23-MAX(0,IFERROR(INDEX(CADASTRO!$I$4:$I$80,MATCH($A23,CADASTRO!$A$4:$A$80,0)),$B23)-CONFIG!$B$50*(COUNTIF($G23:$M23,"AB")+COUNTIF($G23:$M23,"FE")+COUNTIF($G23:$M23,"LM")))</f>
        <v/>
      </c>
      <c r="AV23" s="117">
        <f>SUMPRODUCT(($N23:$T23="M")*6+($N23:$T23="T")*6+($N23:$T23="D")*12+($N23:$T23="N")*12+($N23:$T23="NT")*6+($N23:$T23="C")*10+($N23:$T23="A")*8+($N23:$T23="J")*5+($N23:$T23="CEP")*4+($N23:$T23="CP")*6+($N23:$T23="CRO")*6+($N23:$T23="M+")*6+($N23:$T23="T+")*6+($N23:$T23="D+")*12+($N23:$T23="N+")*12+($N23:$T23="Dm+")*12+($N23:$T23="Dt+")*12+($N23:$T23="Tm-")*6+($N23:$T23="Mt-")*6)</f>
        <v/>
      </c>
      <c r="AW23" s="118">
        <f>AV23-MAX(0,IFERROR(INDEX(CADASTRO!$I$4:$I$80,MATCH($A23,CADASTRO!$A$4:$A$80,0)),$B23)-CONFIG!$B$50*(COUNTIF($N23:$T23,"AB")+COUNTIF($N23:$T23,"FE")+COUNTIF($N23:$T23,"LM")))</f>
        <v/>
      </c>
      <c r="AX23" s="117">
        <f>SUMPRODUCT(($U23:$AA23="M")*6+($U23:$AA23="T")*6+($U23:$AA23="D")*12+($U23:$AA23="N")*12+($U23:$AA23="NT")*6+($U23:$AA23="C")*10+($U23:$AA23="A")*8+($U23:$AA23="J")*5+($U23:$AA23="CEP")*4+($U23:$AA23="CP")*6+($U23:$AA23="CRO")*6+($U23:$AA23="M+")*6+($U23:$AA23="T+")*6+($U23:$AA23="D+")*12+($U23:$AA23="N+")*12+($U23:$AA23="Dm+")*12+($U23:$AA23="Dt+")*12+($U23:$AA23="Tm-")*6+($U23:$AA23="Mt-")*6)</f>
        <v/>
      </c>
      <c r="AY23" s="118">
        <f>AX23-MAX(0,IFERROR(INDEX(CADASTRO!$I$4:$I$80,MATCH($A23,CADASTRO!$A$4:$A$80,0)),$B23)-CONFIG!$B$50*(COUNTIF($U23:$AA23,"AB")+COUNTIF($U23:$AA23,"FE")+COUNTIF($U23:$AA23,"LM")))</f>
        <v/>
      </c>
      <c r="AZ23" s="117">
        <f>SUMPRODUCT(($AB23:$AH23="M")*6+($AB23:$AH23="T")*6+($AB23:$AH23="D")*12+($AB23:$AH23="N")*12+($AB23:$AH23="NT")*6+($AB23:$AH23="C")*10+($AB23:$AH23="A")*8+($AB23:$AH23="J")*5+($AB23:$AH23="CEP")*4+($AB23:$AH23="CP")*6+($AB23:$AH23="CRO")*6+($AB23:$AH23="M+")*6+($AB23:$AH23="T+")*6+($AB23:$AH23="D+")*12+($AB23:$AH23="N+")*12+($AB23:$AH23="Dm+")*12+($AB23:$AH23="Dt+")*12+($AB23:$AH23="Tm-")*6+($AB23:$AH23="Mt-")*6)</f>
        <v/>
      </c>
      <c r="BA23" s="118">
        <f>AZ23-MAX(0,IFERROR(INDEX(CADASTRO!$I$4:$I$80,MATCH($A23,CADASTRO!$A$4:$A$80,0)),$B23)-CONFIG!$B$50*(COUNTIF($AB23:$AH23,"AB")+COUNTIF($AB23:$AH23,"FE")+COUNTIF($AB23:$AH23,"LM")))</f>
        <v/>
      </c>
      <c r="BB23" s="117">
        <f>SUMPRODUCT(($AI23:$AL23="M")*6+($AI23:$AL23="T")*6+($AI23:$AL23="D")*12+($AI23:$AL23="N")*12+($AI23:$AL23="NT")*6+($AI23:$AL23="C")*10+($AI23:$AL23="A")*8+($AI23:$AL23="J")*5+($AI23:$AL23="CEP")*4+($AI23:$AL23="CP")*6+($AI23:$AL23="CRO")*6+($AI23:$AL23="M+")*6+($AI23:$AL23="T+")*6+($AI23:$AL23="D+")*12+($AI23:$AL23="N+")*12+($AI23:$AL23="Dm+")*12+($AI23:$AL23="Dt+")*12+($AI23:$AL23="Tm-")*6+($AI23:$AL23="Mt-")*6)+SUMPRODUCT(($AN23:$AP23="M")*6+($AN23:$AP23="T")*6+($AN23:$AP23="D")*12+($AN23:$AP23="N")*12+($AN23:$AP23="NT")*6+($AN23:$AP23="C")*10+($AN23:$AP23="A")*8+($AN23:$AP23="J")*5+($AN23:$AP23="CEP")*4+($AN23:$AP23="CP")*6+($AN23:$AP23="CRO")*6+($AN23:$AP23="M+")*6+($AN23:$AP23="T+")*6+($AN23:$AP23="D+")*12+($AN23:$AP23="N+")*12+($AN23:$AP23="Dm+")*12+($AN23:$AP23="Dt+")*12+($AN23:$AP23="Tm-")*6+($AN23:$AP23="Mt-")*6)</f>
        <v/>
      </c>
      <c r="BC23" s="118">
        <f>BB23-MAX(0,IFERROR(INDEX(CADASTRO!$I$4:$I$80,MATCH($A23,CADASTRO!$A$4:$A$80,0)),$B23)-CONFIG!$B$50*(COUNTIF($AI23:$AL23,"AB")+COUNTIF($AI23:$AL23,"FE")+COUNTIF($AI23:$AL23,"LM")+COUNTIF($AN23:$AP23,"AB")+COUNTIF($AN23:$AP23,"FE")+COUNTIF($AN23:$AP23,"LM")))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ROUND(B23*4.29,0)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36">
        <f>IFERROR(INDEX(MAR!AL$8:AL$73,MATCH($A24,MAR!$A$8:$A$73,0))&amp;"","")</f>
        <v/>
      </c>
      <c r="H24" s="136">
        <f>IFERROR(INDEX(MAR!AM$8:AM$73,MATCH($A24,MAR!$A$8:$A$73,0))&amp;"","")</f>
        <v/>
      </c>
      <c r="I24" s="115" t="inlineStr">
        <is>
          <t>M</t>
        </is>
      </c>
      <c r="J24" s="114" t="n"/>
      <c r="K24" s="126" t="inlineStr">
        <is>
          <t>T</t>
        </is>
      </c>
      <c r="L24" s="125" t="inlineStr">
        <is>
          <t>N</t>
        </is>
      </c>
      <c r="M24" s="114" t="n"/>
      <c r="N24" s="115" t="inlineStr">
        <is>
          <t>M</t>
        </is>
      </c>
      <c r="O24" s="124" t="inlineStr">
        <is>
          <t>D</t>
        </is>
      </c>
      <c r="P24" s="114" t="n"/>
      <c r="Q24" s="126" t="inlineStr">
        <is>
          <t>T</t>
        </is>
      </c>
      <c r="R24" s="114" t="n"/>
      <c r="S24" s="125" t="inlineStr">
        <is>
          <t>N</t>
        </is>
      </c>
      <c r="T24" s="114" t="n"/>
      <c r="U24" s="126" t="inlineStr">
        <is>
          <t>T</t>
        </is>
      </c>
      <c r="V24" s="124" t="inlineStr">
        <is>
          <t>D</t>
        </is>
      </c>
      <c r="W24" s="115" t="inlineStr">
        <is>
          <t>M</t>
        </is>
      </c>
      <c r="X24" s="124" t="inlineStr">
        <is>
          <t>D</t>
        </is>
      </c>
      <c r="Y24" s="114" t="n"/>
      <c r="Z24" s="114" t="n"/>
      <c r="AA24" s="114" t="n"/>
      <c r="AB24" s="114" t="n"/>
      <c r="AC24" s="114" t="n"/>
      <c r="AD24" s="114" t="n"/>
      <c r="AE24" s="124" t="inlineStr">
        <is>
          <t>D</t>
        </is>
      </c>
      <c r="AF24" s="124" t="inlineStr">
        <is>
          <t>D</t>
        </is>
      </c>
      <c r="AG24" s="124" t="inlineStr">
        <is>
          <t>D</t>
        </is>
      </c>
      <c r="AH24" s="114" t="n"/>
      <c r="AI24" s="114" t="n"/>
      <c r="AJ24" s="124" t="inlineStr">
        <is>
          <t>D</t>
        </is>
      </c>
      <c r="AK24" s="114" t="n"/>
      <c r="AL24" s="124" t="inlineStr">
        <is>
          <t>D</t>
        </is>
      </c>
      <c r="AM24" s="100" t="n"/>
      <c r="AN24" s="136">
        <f>IFERROR(INDEX(MAI!I$8:I$73,MATCH($A24,MAI!$A$8:$A$73,0))&amp;"","")</f>
        <v/>
      </c>
      <c r="AO24" s="116">
        <f>IFERROR(INDEX(MAI!J$8:J$73,MATCH($A24,MAI!$A$8:$A$73,0))&amp;"","")</f>
        <v/>
      </c>
      <c r="AP24" s="116">
        <f>IFERROR(INDEX(MAI!K$8:K$73,MATCH($A24,MAI!$A$8:$A$73,0))&amp;"","")</f>
        <v/>
      </c>
      <c r="AQ24" s="100" t="n"/>
      <c r="AR24" s="100" t="n"/>
      <c r="AS24" s="100" t="n"/>
      <c r="AT24" s="117">
        <f>SUMPRODUCT(($G24:$M24="M")*6+($G24:$M24="T")*6+($G24:$M24="D")*12+($G24:$M24="N")*12+($G24:$M24="NT")*6+($G24:$M24="C")*10+($G24:$M24="A")*8+($G24:$M24="J")*5+($G24:$M24="CEP")*4+($G24:$M24="CP")*6+($G24:$M24="CRO")*6+($G24:$M24="M+")*6+($G24:$M24="T+")*6+($G24:$M24="D+")*12+($G24:$M24="N+")*12+($G24:$M24="Dm+")*12+($G24:$M24="Dt+")*12+($G24:$M24="Tm-")*6+($G24:$M24="Mt-")*6)</f>
        <v/>
      </c>
      <c r="AU24" s="118">
        <f>AT24-MAX(0,IFERROR(INDEX(CADASTRO!$I$4:$I$80,MATCH($A24,CADASTRO!$A$4:$A$80,0)),$B24)-CONFIG!$B$50*(COUNTIF($G24:$M24,"AB")+COUNTIF($G24:$M24,"FE")+COUNTIF($G24:$M24,"LM")))</f>
        <v/>
      </c>
      <c r="AV24" s="117">
        <f>SUMPRODUCT(($N24:$T24="M")*6+($N24:$T24="T")*6+($N24:$T24="D")*12+($N24:$T24="N")*12+($N24:$T24="NT")*6+($N24:$T24="C")*10+($N24:$T24="A")*8+($N24:$T24="J")*5+($N24:$T24="CEP")*4+($N24:$T24="CP")*6+($N24:$T24="CRO")*6+($N24:$T24="M+")*6+($N24:$T24="T+")*6+($N24:$T24="D+")*12+($N24:$T24="N+")*12+($N24:$T24="Dm+")*12+($N24:$T24="Dt+")*12+($N24:$T24="Tm-")*6+($N24:$T24="Mt-")*6)</f>
        <v/>
      </c>
      <c r="AW24" s="118">
        <f>AV24-MAX(0,IFERROR(INDEX(CADASTRO!$I$4:$I$80,MATCH($A24,CADASTRO!$A$4:$A$80,0)),$B24)-CONFIG!$B$50*(COUNTIF($N24:$T24,"AB")+COUNTIF($N24:$T24,"FE")+COUNTIF($N24:$T24,"LM")))</f>
        <v/>
      </c>
      <c r="AX24" s="117">
        <f>SUMPRODUCT(($U24:$AA24="M")*6+($U24:$AA24="T")*6+($U24:$AA24="D")*12+($U24:$AA24="N")*12+($U24:$AA24="NT")*6+($U24:$AA24="C")*10+($U24:$AA24="A")*8+($U24:$AA24="J")*5+($U24:$AA24="CEP")*4+($U24:$AA24="CP")*6+($U24:$AA24="CRO")*6+($U24:$AA24="M+")*6+($U24:$AA24="T+")*6+($U24:$AA24="D+")*12+($U24:$AA24="N+")*12+($U24:$AA24="Dm+")*12+($U24:$AA24="Dt+")*12+($U24:$AA24="Tm-")*6+($U24:$AA24="Mt-")*6)</f>
        <v/>
      </c>
      <c r="AY24" s="118">
        <f>AX24-MAX(0,IFERROR(INDEX(CADASTRO!$I$4:$I$80,MATCH($A24,CADASTRO!$A$4:$A$80,0)),$B24)-CONFIG!$B$50*(COUNTIF($U24:$AA24,"AB")+COUNTIF($U24:$AA24,"FE")+COUNTIF($U24:$AA24,"LM")))</f>
        <v/>
      </c>
      <c r="AZ24" s="117">
        <f>SUMPRODUCT(($AB24:$AH24="M")*6+($AB24:$AH24="T")*6+($AB24:$AH24="D")*12+($AB24:$AH24="N")*12+($AB24:$AH24="NT")*6+($AB24:$AH24="C")*10+($AB24:$AH24="A")*8+($AB24:$AH24="J")*5+($AB24:$AH24="CEP")*4+($AB24:$AH24="CP")*6+($AB24:$AH24="CRO")*6+($AB24:$AH24="M+")*6+($AB24:$AH24="T+")*6+($AB24:$AH24="D+")*12+($AB24:$AH24="N+")*12+($AB24:$AH24="Dm+")*12+($AB24:$AH24="Dt+")*12+($AB24:$AH24="Tm-")*6+($AB24:$AH24="Mt-")*6)</f>
        <v/>
      </c>
      <c r="BA24" s="118">
        <f>AZ24-MAX(0,IFERROR(INDEX(CADASTRO!$I$4:$I$80,MATCH($A24,CADASTRO!$A$4:$A$80,0)),$B24)-CONFIG!$B$50*(COUNTIF($AB24:$AH24,"AB")+COUNTIF($AB24:$AH24,"FE")+COUNTIF($AB24:$AH24,"LM")))</f>
        <v/>
      </c>
      <c r="BB24" s="117">
        <f>SUMPRODUCT(($AI24:$AL24="M")*6+($AI24:$AL24="T")*6+($AI24:$AL24="D")*12+($AI24:$AL24="N")*12+($AI24:$AL24="NT")*6+($AI24:$AL24="C")*10+($AI24:$AL24="A")*8+($AI24:$AL24="J")*5+($AI24:$AL24="CEP")*4+($AI24:$AL24="CP")*6+($AI24:$AL24="CRO")*6+($AI24:$AL24="M+")*6+($AI24:$AL24="T+")*6+($AI24:$AL24="D+")*12+($AI24:$AL24="N+")*12+($AI24:$AL24="Dm+")*12+($AI24:$AL24="Dt+")*12+($AI24:$AL24="Tm-")*6+($AI24:$AL24="Mt-")*6)+SUMPRODUCT(($AN24:$AP24="M")*6+($AN24:$AP24="T")*6+($AN24:$AP24="D")*12+($AN24:$AP24="N")*12+($AN24:$AP24="NT")*6+($AN24:$AP24="C")*10+($AN24:$AP24="A")*8+($AN24:$AP24="J")*5+($AN24:$AP24="CEP")*4+($AN24:$AP24="CP")*6+($AN24:$AP24="CRO")*6+($AN24:$AP24="M+")*6+($AN24:$AP24="T+")*6+($AN24:$AP24="D+")*12+($AN24:$AP24="N+")*12+($AN24:$AP24="Dm+")*12+($AN24:$AP24="Dt+")*12+($AN24:$AP24="Tm-")*6+($AN24:$AP24="Mt-")*6)</f>
        <v/>
      </c>
      <c r="BC24" s="118">
        <f>BB24-MAX(0,IFERROR(INDEX(CADASTRO!$I$4:$I$80,MATCH($A24,CADASTRO!$A$4:$A$80,0)),$B24)-CONFIG!$B$50*(COUNTIF($AI24:$AL24,"AB")+COUNTIF($AI24:$AL24,"FE")+COUNTIF($AI24:$AL24,"LM")+COUNTIF($AN24:$AP24,"AB")+COUNTIF($AN24:$AP24,"FE")+COUNTIF($AN24:$AP24,"LM")))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ROUND(B24*4.29,0)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36">
        <f>IFERROR(INDEX(MAR!AL$8:AL$73,MATCH($A25,MAR!$A$8:$A$73,0))&amp;"","")</f>
        <v/>
      </c>
      <c r="H25" s="136">
        <f>IFERROR(INDEX(MAR!AM$8:AM$73,MATCH($A25,MAR!$A$8:$A$73,0))&amp;"","")</f>
        <v/>
      </c>
      <c r="I25" s="125" t="inlineStr">
        <is>
          <t>N</t>
        </is>
      </c>
      <c r="J25" s="114" t="n"/>
      <c r="K25" s="114" t="n"/>
      <c r="L25" s="114" t="n"/>
      <c r="M25" s="114" t="n"/>
      <c r="N25" s="114" t="n"/>
      <c r="O25" s="125" t="inlineStr">
        <is>
          <t>N</t>
        </is>
      </c>
      <c r="P25" s="125" t="inlineStr">
        <is>
          <t>N</t>
        </is>
      </c>
      <c r="Q25" s="114" t="n"/>
      <c r="R25" s="114" t="n"/>
      <c r="S25" s="114" t="n"/>
      <c r="T25" s="125" t="inlineStr">
        <is>
          <t>N</t>
        </is>
      </c>
      <c r="U25" s="114" t="n"/>
      <c r="V25" s="125" t="inlineStr">
        <is>
          <t>N</t>
        </is>
      </c>
      <c r="W25" s="125" t="inlineStr">
        <is>
          <t>N</t>
        </is>
      </c>
      <c r="X25" s="114" t="n"/>
      <c r="Y25" s="114" t="n"/>
      <c r="Z25" s="114" t="n"/>
      <c r="AA25" s="125" t="inlineStr">
        <is>
          <t>N</t>
        </is>
      </c>
      <c r="AB25" s="125" t="inlineStr">
        <is>
          <t>N</t>
        </is>
      </c>
      <c r="AC25" s="125" t="inlineStr">
        <is>
          <t>N</t>
        </is>
      </c>
      <c r="AD25" s="114" t="n"/>
      <c r="AE25" s="114" t="n"/>
      <c r="AF25" s="114" t="n"/>
      <c r="AG25" s="114" t="n"/>
      <c r="AH25" s="125" t="inlineStr">
        <is>
          <t>N</t>
        </is>
      </c>
      <c r="AI25" s="125" t="inlineStr">
        <is>
          <t>N</t>
        </is>
      </c>
      <c r="AJ25" s="125" t="inlineStr">
        <is>
          <t>N</t>
        </is>
      </c>
      <c r="AK25" s="125" t="inlineStr">
        <is>
          <t>N</t>
        </is>
      </c>
      <c r="AL25" s="114" t="n"/>
      <c r="AM25" s="100" t="n"/>
      <c r="AN25" s="136">
        <f>IFERROR(INDEX(MAI!I$8:I$73,MATCH($A25,MAI!$A$8:$A$73,0))&amp;"","")</f>
        <v/>
      </c>
      <c r="AO25" s="116">
        <f>IFERROR(INDEX(MAI!J$8:J$73,MATCH($A25,MAI!$A$8:$A$73,0))&amp;"","")</f>
        <v/>
      </c>
      <c r="AP25" s="116">
        <f>IFERROR(INDEX(MAI!K$8:K$73,MATCH($A25,MAI!$A$8:$A$73,0))&amp;"","")</f>
        <v/>
      </c>
      <c r="AQ25" s="100" t="n"/>
      <c r="AR25" s="100" t="n"/>
      <c r="AS25" s="100" t="n"/>
      <c r="AT25" s="117">
        <f>SUMPRODUCT(($G25:$M25="M")*6+($G25:$M25="T")*6+($G25:$M25="D")*12+($G25:$M25="N")*12+($G25:$M25="NT")*6+($G25:$M25="C")*10+($G25:$M25="A")*8+($G25:$M25="J")*5+($G25:$M25="CEP")*4+($G25:$M25="CP")*6+($G25:$M25="CRO")*6+($G25:$M25="M+")*6+($G25:$M25="T+")*6+($G25:$M25="D+")*12+($G25:$M25="N+")*12+($G25:$M25="Dm+")*12+($G25:$M25="Dt+")*12+($G25:$M25="Tm-")*6+($G25:$M25="Mt-")*6)</f>
        <v/>
      </c>
      <c r="AU25" s="118">
        <f>AT25-MAX(0,IFERROR(INDEX(CADASTRO!$I$4:$I$80,MATCH($A25,CADASTRO!$A$4:$A$80,0)),$B25)-CONFIG!$B$50*(COUNTIF($G25:$M25,"AB")+COUNTIF($G25:$M25,"FE")+COUNTIF($G25:$M25,"LM")))</f>
        <v/>
      </c>
      <c r="AV25" s="117">
        <f>SUMPRODUCT(($N25:$T25="M")*6+($N25:$T25="T")*6+($N25:$T25="D")*12+($N25:$T25="N")*12+($N25:$T25="NT")*6+($N25:$T25="C")*10+($N25:$T25="A")*8+($N25:$T25="J")*5+($N25:$T25="CEP")*4+($N25:$T25="CP")*6+($N25:$T25="CRO")*6+($N25:$T25="M+")*6+($N25:$T25="T+")*6+($N25:$T25="D+")*12+($N25:$T25="N+")*12+($N25:$T25="Dm+")*12+($N25:$T25="Dt+")*12+($N25:$T25="Tm-")*6+($N25:$T25="Mt-")*6)</f>
        <v/>
      </c>
      <c r="AW25" s="118">
        <f>AV25-MAX(0,IFERROR(INDEX(CADASTRO!$I$4:$I$80,MATCH($A25,CADASTRO!$A$4:$A$80,0)),$B25)-CONFIG!$B$50*(COUNTIF($N25:$T25,"AB")+COUNTIF($N25:$T25,"FE")+COUNTIF($N25:$T25,"LM")))</f>
        <v/>
      </c>
      <c r="AX25" s="117">
        <f>SUMPRODUCT(($U25:$AA25="M")*6+($U25:$AA25="T")*6+($U25:$AA25="D")*12+($U25:$AA25="N")*12+($U25:$AA25="NT")*6+($U25:$AA25="C")*10+($U25:$AA25="A")*8+($U25:$AA25="J")*5+($U25:$AA25="CEP")*4+($U25:$AA25="CP")*6+($U25:$AA25="CRO")*6+($U25:$AA25="M+")*6+($U25:$AA25="T+")*6+($U25:$AA25="D+")*12+($U25:$AA25="N+")*12+($U25:$AA25="Dm+")*12+($U25:$AA25="Dt+")*12+($U25:$AA25="Tm-")*6+($U25:$AA25="Mt-")*6)</f>
        <v/>
      </c>
      <c r="AY25" s="118">
        <f>AX25-MAX(0,IFERROR(INDEX(CADASTRO!$I$4:$I$80,MATCH($A25,CADASTRO!$A$4:$A$80,0)),$B25)-CONFIG!$B$50*(COUNTIF($U25:$AA25,"AB")+COUNTIF($U25:$AA25,"FE")+COUNTIF($U25:$AA25,"LM")))</f>
        <v/>
      </c>
      <c r="AZ25" s="117">
        <f>SUMPRODUCT(($AB25:$AH25="M")*6+($AB25:$AH25="T")*6+($AB25:$AH25="D")*12+($AB25:$AH25="N")*12+($AB25:$AH25="NT")*6+($AB25:$AH25="C")*10+($AB25:$AH25="A")*8+($AB25:$AH25="J")*5+($AB25:$AH25="CEP")*4+($AB25:$AH25="CP")*6+($AB25:$AH25="CRO")*6+($AB25:$AH25="M+")*6+($AB25:$AH25="T+")*6+($AB25:$AH25="D+")*12+($AB25:$AH25="N+")*12+($AB25:$AH25="Dm+")*12+($AB25:$AH25="Dt+")*12+($AB25:$AH25="Tm-")*6+($AB25:$AH25="Mt-")*6)</f>
        <v/>
      </c>
      <c r="BA25" s="118">
        <f>AZ25-MAX(0,IFERROR(INDEX(CADASTRO!$I$4:$I$80,MATCH($A25,CADASTRO!$A$4:$A$80,0)),$B25)-CONFIG!$B$50*(COUNTIF($AB25:$AH25,"AB")+COUNTIF($AB25:$AH25,"FE")+COUNTIF($AB25:$AH25,"LM")))</f>
        <v/>
      </c>
      <c r="BB25" s="117">
        <f>SUMPRODUCT(($AI25:$AL25="M")*6+($AI25:$AL25="T")*6+($AI25:$AL25="D")*12+($AI25:$AL25="N")*12+($AI25:$AL25="NT")*6+($AI25:$AL25="C")*10+($AI25:$AL25="A")*8+($AI25:$AL25="J")*5+($AI25:$AL25="CEP")*4+($AI25:$AL25="CP")*6+($AI25:$AL25="CRO")*6+($AI25:$AL25="M+")*6+($AI25:$AL25="T+")*6+($AI25:$AL25="D+")*12+($AI25:$AL25="N+")*12+($AI25:$AL25="Dm+")*12+($AI25:$AL25="Dt+")*12+($AI25:$AL25="Tm-")*6+($AI25:$AL25="Mt-")*6)+SUMPRODUCT(($AN25:$AP25="M")*6+($AN25:$AP25="T")*6+($AN25:$AP25="D")*12+($AN25:$AP25="N")*12+($AN25:$AP25="NT")*6+($AN25:$AP25="C")*10+($AN25:$AP25="A")*8+($AN25:$AP25="J")*5+($AN25:$AP25="CEP")*4+($AN25:$AP25="CP")*6+($AN25:$AP25="CRO")*6+($AN25:$AP25="M+")*6+($AN25:$AP25="T+")*6+($AN25:$AP25="D+")*12+($AN25:$AP25="N+")*12+($AN25:$AP25="Dm+")*12+($AN25:$AP25="Dt+")*12+($AN25:$AP25="Tm-")*6+($AN25:$AP25="Mt-")*6)</f>
        <v/>
      </c>
      <c r="BC25" s="118">
        <f>BB25-MAX(0,IFERROR(INDEX(CADASTRO!$I$4:$I$80,MATCH($A25,CADASTRO!$A$4:$A$80,0)),$B25)-CONFIG!$B$50*(COUNTIF($AI25:$AL25,"AB")+COUNTIF($AI25:$AL25,"FE")+COUNTIF($AI25:$AL25,"LM")+COUNTIF($AN25:$AP25,"AB")+COUNTIF($AN25:$AP25,"FE")+COUNTIF($AN25:$AP25,"LM")))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ROUND(B25*4.29,0)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36">
        <f>IFERROR(INDEX(MAR!AL$8:AL$73,MATCH($A26,MAR!$A$8:$A$73,0))&amp;"","")</f>
        <v/>
      </c>
      <c r="H26" s="136">
        <f>IFERROR(INDEX(MAR!AM$8:AM$73,MATCH($A26,MAR!$A$8:$A$73,0))&amp;"","")</f>
        <v/>
      </c>
      <c r="I26" s="114" t="n"/>
      <c r="J26" s="126" t="inlineStr">
        <is>
          <t>T</t>
        </is>
      </c>
      <c r="K26" s="126" t="inlineStr">
        <is>
          <t>T</t>
        </is>
      </c>
      <c r="L26" s="114" t="n"/>
      <c r="M26" s="125" t="inlineStr">
        <is>
          <t>N</t>
        </is>
      </c>
      <c r="N26" s="115" t="inlineStr">
        <is>
          <t>M</t>
        </is>
      </c>
      <c r="O26" s="125" t="inlineStr">
        <is>
          <t>N</t>
        </is>
      </c>
      <c r="P26" s="114" t="n"/>
      <c r="Q26" s="126" t="inlineStr">
        <is>
          <t>T</t>
        </is>
      </c>
      <c r="R26" s="125" t="inlineStr">
        <is>
          <t>N</t>
        </is>
      </c>
      <c r="S26" s="114" t="n"/>
      <c r="T26" s="114" t="n"/>
      <c r="U26" s="126" t="inlineStr">
        <is>
          <t>T</t>
        </is>
      </c>
      <c r="V26" s="125" t="inlineStr">
        <is>
          <t>N</t>
        </is>
      </c>
      <c r="W26" s="114" t="n"/>
      <c r="X26" s="114" t="n"/>
      <c r="Y26" s="126" t="inlineStr">
        <is>
          <t>T</t>
        </is>
      </c>
      <c r="Z26" s="114" t="n"/>
      <c r="AA26" s="125" t="inlineStr">
        <is>
          <t>N</t>
        </is>
      </c>
      <c r="AB26" s="126" t="inlineStr">
        <is>
          <t>T</t>
        </is>
      </c>
      <c r="AC26" s="114" t="n"/>
      <c r="AD26" s="114" t="n"/>
      <c r="AE26" s="126" t="inlineStr">
        <is>
          <t>T</t>
        </is>
      </c>
      <c r="AF26" s="124" t="inlineStr">
        <is>
          <t>D</t>
        </is>
      </c>
      <c r="AG26" s="114" t="n"/>
      <c r="AH26" s="125" t="inlineStr">
        <is>
          <t>N</t>
        </is>
      </c>
      <c r="AI26" s="115" t="inlineStr">
        <is>
          <t>M</t>
        </is>
      </c>
      <c r="AJ26" s="114" t="n"/>
      <c r="AK26" s="114" t="n"/>
      <c r="AL26" s="125" t="inlineStr">
        <is>
          <t>N</t>
        </is>
      </c>
      <c r="AM26" s="100" t="n"/>
      <c r="AN26" s="136">
        <f>IFERROR(INDEX(MAI!I$8:I$73,MATCH($A26,MAI!$A$8:$A$73,0))&amp;"","")</f>
        <v/>
      </c>
      <c r="AO26" s="116">
        <f>IFERROR(INDEX(MAI!J$8:J$73,MATCH($A26,MAI!$A$8:$A$73,0))&amp;"","")</f>
        <v/>
      </c>
      <c r="AP26" s="116">
        <f>IFERROR(INDEX(MAI!K$8:K$73,MATCH($A26,MAI!$A$8:$A$73,0))&amp;"","")</f>
        <v/>
      </c>
      <c r="AQ26" s="100" t="n"/>
      <c r="AR26" s="100" t="n"/>
      <c r="AS26" s="100" t="n"/>
      <c r="AT26" s="117">
        <f>SUMPRODUCT(($G26:$M26="M")*6+($G26:$M26="T")*6+($G26:$M26="D")*12+($G26:$M26="N")*12+($G26:$M26="NT")*6+($G26:$M26="C")*10+($G26:$M26="A")*8+($G26:$M26="J")*5+($G26:$M26="CEP")*4+($G26:$M26="CP")*6+($G26:$M26="CRO")*6+($G26:$M26="M+")*6+($G26:$M26="T+")*6+($G26:$M26="D+")*12+($G26:$M26="N+")*12+($G26:$M26="Dm+")*12+($G26:$M26="Dt+")*12+($G26:$M26="Tm-")*6+($G26:$M26="Mt-")*6)</f>
        <v/>
      </c>
      <c r="AU26" s="118">
        <f>AT26-MAX(0,IFERROR(INDEX(CADASTRO!$I$4:$I$80,MATCH($A26,CADASTRO!$A$4:$A$80,0)),$B26)-CONFIG!$B$50*(COUNTIF($G26:$M26,"AB")+COUNTIF($G26:$M26,"FE")+COUNTIF($G26:$M26,"LM")))</f>
        <v/>
      </c>
      <c r="AV26" s="117">
        <f>SUMPRODUCT(($N26:$T26="M")*6+($N26:$T26="T")*6+($N26:$T26="D")*12+($N26:$T26="N")*12+($N26:$T26="NT")*6+($N26:$T26="C")*10+($N26:$T26="A")*8+($N26:$T26="J")*5+($N26:$T26="CEP")*4+($N26:$T26="CP")*6+($N26:$T26="CRO")*6+($N26:$T26="M+")*6+($N26:$T26="T+")*6+($N26:$T26="D+")*12+($N26:$T26="N+")*12+($N26:$T26="Dm+")*12+($N26:$T26="Dt+")*12+($N26:$T26="Tm-")*6+($N26:$T26="Mt-")*6)</f>
        <v/>
      </c>
      <c r="AW26" s="118">
        <f>AV26-MAX(0,IFERROR(INDEX(CADASTRO!$I$4:$I$80,MATCH($A26,CADASTRO!$A$4:$A$80,0)),$B26)-CONFIG!$B$50*(COUNTIF($N26:$T26,"AB")+COUNTIF($N26:$T26,"FE")+COUNTIF($N26:$T26,"LM")))</f>
        <v/>
      </c>
      <c r="AX26" s="117">
        <f>SUMPRODUCT(($U26:$AA26="M")*6+($U26:$AA26="T")*6+($U26:$AA26="D")*12+($U26:$AA26="N")*12+($U26:$AA26="NT")*6+($U26:$AA26="C")*10+($U26:$AA26="A")*8+($U26:$AA26="J")*5+($U26:$AA26="CEP")*4+($U26:$AA26="CP")*6+($U26:$AA26="CRO")*6+($U26:$AA26="M+")*6+($U26:$AA26="T+")*6+($U26:$AA26="D+")*12+($U26:$AA26="N+")*12+($U26:$AA26="Dm+")*12+($U26:$AA26="Dt+")*12+($U26:$AA26="Tm-")*6+($U26:$AA26="Mt-")*6)</f>
        <v/>
      </c>
      <c r="AY26" s="118">
        <f>AX26-MAX(0,IFERROR(INDEX(CADASTRO!$I$4:$I$80,MATCH($A26,CADASTRO!$A$4:$A$80,0)),$B26)-CONFIG!$B$50*(COUNTIF($U26:$AA26,"AB")+COUNTIF($U26:$AA26,"FE")+COUNTIF($U26:$AA26,"LM")))</f>
        <v/>
      </c>
      <c r="AZ26" s="117">
        <f>SUMPRODUCT(($AB26:$AH26="M")*6+($AB26:$AH26="T")*6+($AB26:$AH26="D")*12+($AB26:$AH26="N")*12+($AB26:$AH26="NT")*6+($AB26:$AH26="C")*10+($AB26:$AH26="A")*8+($AB26:$AH26="J")*5+($AB26:$AH26="CEP")*4+($AB26:$AH26="CP")*6+($AB26:$AH26="CRO")*6+($AB26:$AH26="M+")*6+($AB26:$AH26="T+")*6+($AB26:$AH26="D+")*12+($AB26:$AH26="N+")*12+($AB26:$AH26="Dm+")*12+($AB26:$AH26="Dt+")*12+($AB26:$AH26="Tm-")*6+($AB26:$AH26="Mt-")*6)</f>
        <v/>
      </c>
      <c r="BA26" s="118">
        <f>AZ26-MAX(0,IFERROR(INDEX(CADASTRO!$I$4:$I$80,MATCH($A26,CADASTRO!$A$4:$A$80,0)),$B26)-CONFIG!$B$50*(COUNTIF($AB26:$AH26,"AB")+COUNTIF($AB26:$AH26,"FE")+COUNTIF($AB26:$AH26,"LM")))</f>
        <v/>
      </c>
      <c r="BB26" s="117">
        <f>SUMPRODUCT(($AI26:$AL26="M")*6+($AI26:$AL26="T")*6+($AI26:$AL26="D")*12+($AI26:$AL26="N")*12+($AI26:$AL26="NT")*6+($AI26:$AL26="C")*10+($AI26:$AL26="A")*8+($AI26:$AL26="J")*5+($AI26:$AL26="CEP")*4+($AI26:$AL26="CP")*6+($AI26:$AL26="CRO")*6+($AI26:$AL26="M+")*6+($AI26:$AL26="T+")*6+($AI26:$AL26="D+")*12+($AI26:$AL26="N+")*12+($AI26:$AL26="Dm+")*12+($AI26:$AL26="Dt+")*12+($AI26:$AL26="Tm-")*6+($AI26:$AL26="Mt-")*6)+SUMPRODUCT(($AN26:$AP26="M")*6+($AN26:$AP26="T")*6+($AN26:$AP26="D")*12+($AN26:$AP26="N")*12+($AN26:$AP26="NT")*6+($AN26:$AP26="C")*10+($AN26:$AP26="A")*8+($AN26:$AP26="J")*5+($AN26:$AP26="CEP")*4+($AN26:$AP26="CP")*6+($AN26:$AP26="CRO")*6+($AN26:$AP26="M+")*6+($AN26:$AP26="T+")*6+($AN26:$AP26="D+")*12+($AN26:$AP26="N+")*12+($AN26:$AP26="Dm+")*12+($AN26:$AP26="Dt+")*12+($AN26:$AP26="Tm-")*6+($AN26:$AP26="Mt-")*6)</f>
        <v/>
      </c>
      <c r="BC26" s="118">
        <f>BB26-MAX(0,IFERROR(INDEX(CADASTRO!$I$4:$I$80,MATCH($A26,CADASTRO!$A$4:$A$80,0)),$B26)-CONFIG!$B$50*(COUNTIF($AI26:$AL26,"AB")+COUNTIF($AI26:$AL26,"FE")+COUNTIF($AI26:$AL26,"LM")+COUNTIF($AN26:$AP26,"AB")+COUNTIF($AN26:$AP26,"FE")+COUNTIF($AN26:$AP26,"LM")))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ROUND(B26*4.29,0)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36">
        <f>IFERROR(INDEX(MAR!AL$8:AL$73,MATCH($A27,MAR!$A$8:$A$73,0))&amp;"","")</f>
        <v/>
      </c>
      <c r="H27" s="136">
        <f>IFERROR(INDEX(MAR!AM$8:AM$73,MATCH($A27,MAR!$A$8:$A$73,0))&amp;"","")</f>
        <v/>
      </c>
      <c r="I27" s="114" t="n"/>
      <c r="J27" s="125" t="inlineStr">
        <is>
          <t>N</t>
        </is>
      </c>
      <c r="K27" s="125" t="inlineStr">
        <is>
          <t>N</t>
        </is>
      </c>
      <c r="L27" s="114" t="n"/>
      <c r="M27" s="125" t="inlineStr">
        <is>
          <t>N</t>
        </is>
      </c>
      <c r="N27" s="130" t="inlineStr">
        <is>
          <t>CRO</t>
        </is>
      </c>
      <c r="O27" s="125" t="inlineStr">
        <is>
          <t>N</t>
        </is>
      </c>
      <c r="P27" s="114" t="n"/>
      <c r="Q27" s="114" t="n"/>
      <c r="R27" s="114" t="n"/>
      <c r="S27" s="114" t="n"/>
      <c r="T27" s="125" t="inlineStr">
        <is>
          <t>N</t>
        </is>
      </c>
      <c r="U27" s="130" t="inlineStr">
        <is>
          <t>CRO</t>
        </is>
      </c>
      <c r="V27" s="125" t="inlineStr">
        <is>
          <t>N</t>
        </is>
      </c>
      <c r="W27" s="114" t="n"/>
      <c r="X27" s="125" t="inlineStr">
        <is>
          <t>N</t>
        </is>
      </c>
      <c r="Y27" s="114" t="n"/>
      <c r="Z27" s="114" t="n"/>
      <c r="AA27" s="114" t="n"/>
      <c r="AB27" s="125" t="inlineStr">
        <is>
          <t>N</t>
        </is>
      </c>
      <c r="AC27" s="114" t="n"/>
      <c r="AD27" s="114" t="n"/>
      <c r="AE27" s="125" t="inlineStr">
        <is>
          <t>N</t>
        </is>
      </c>
      <c r="AF27" s="114" t="n"/>
      <c r="AG27" s="125" t="inlineStr">
        <is>
          <t>N</t>
        </is>
      </c>
      <c r="AH27" s="114" t="n"/>
      <c r="AI27" s="114" t="n"/>
      <c r="AJ27" s="114" t="n"/>
      <c r="AK27" s="114" t="n"/>
      <c r="AL27" s="125" t="inlineStr">
        <is>
          <t>N</t>
        </is>
      </c>
      <c r="AM27" s="100" t="n"/>
      <c r="AN27" s="136">
        <f>IFERROR(INDEX(MAI!I$8:I$73,MATCH($A27,MAI!$A$8:$A$73,0))&amp;"","")</f>
        <v/>
      </c>
      <c r="AO27" s="116">
        <f>IFERROR(INDEX(MAI!J$8:J$73,MATCH($A27,MAI!$A$8:$A$73,0))&amp;"","")</f>
        <v/>
      </c>
      <c r="AP27" s="116">
        <f>IFERROR(INDEX(MAI!K$8:K$73,MATCH($A27,MAI!$A$8:$A$73,0))&amp;"","")</f>
        <v/>
      </c>
      <c r="AQ27" s="100" t="n"/>
      <c r="AR27" s="100" t="n"/>
      <c r="AS27" s="100" t="n"/>
      <c r="AT27" s="117">
        <f>SUMPRODUCT(($G27:$M27="M")*6+($G27:$M27="T")*6+($G27:$M27="D")*12+($G27:$M27="N")*12+($G27:$M27="NT")*6+($G27:$M27="C")*10+($G27:$M27="A")*8+($G27:$M27="J")*5+($G27:$M27="CEP")*4+($G27:$M27="CP")*6+($G27:$M27="CRO")*6+($G27:$M27="M+")*6+($G27:$M27="T+")*6+($G27:$M27="D+")*12+($G27:$M27="N+")*12+($G27:$M27="Dm+")*12+($G27:$M27="Dt+")*12+($G27:$M27="Tm-")*6+($G27:$M27="Mt-")*6)</f>
        <v/>
      </c>
      <c r="AU27" s="118">
        <f>AT27-MAX(0,IFERROR(INDEX(CADASTRO!$I$4:$I$80,MATCH($A27,CADASTRO!$A$4:$A$80,0)),$B27)-CONFIG!$B$50*(COUNTIF($G27:$M27,"AB")+COUNTIF($G27:$M27,"FE")+COUNTIF($G27:$M27,"LM")))</f>
        <v/>
      </c>
      <c r="AV27" s="117">
        <f>SUMPRODUCT(($N27:$T27="M")*6+($N27:$T27="T")*6+($N27:$T27="D")*12+($N27:$T27="N")*12+($N27:$T27="NT")*6+($N27:$T27="C")*10+($N27:$T27="A")*8+($N27:$T27="J")*5+($N27:$T27="CEP")*4+($N27:$T27="CP")*6+($N27:$T27="CRO")*6+($N27:$T27="M+")*6+($N27:$T27="T+")*6+($N27:$T27="D+")*12+($N27:$T27="N+")*12+($N27:$T27="Dm+")*12+($N27:$T27="Dt+")*12+($N27:$T27="Tm-")*6+($N27:$T27="Mt-")*6)</f>
        <v/>
      </c>
      <c r="AW27" s="118">
        <f>AV27-MAX(0,IFERROR(INDEX(CADASTRO!$I$4:$I$80,MATCH($A27,CADASTRO!$A$4:$A$80,0)),$B27)-CONFIG!$B$50*(COUNTIF($N27:$T27,"AB")+COUNTIF($N27:$T27,"FE")+COUNTIF($N27:$T27,"LM")))</f>
        <v/>
      </c>
      <c r="AX27" s="117">
        <f>SUMPRODUCT(($U27:$AA27="M")*6+($U27:$AA27="T")*6+($U27:$AA27="D")*12+($U27:$AA27="N")*12+($U27:$AA27="NT")*6+($U27:$AA27="C")*10+($U27:$AA27="A")*8+($U27:$AA27="J")*5+($U27:$AA27="CEP")*4+($U27:$AA27="CP")*6+($U27:$AA27="CRO")*6+($U27:$AA27="M+")*6+($U27:$AA27="T+")*6+($U27:$AA27="D+")*12+($U27:$AA27="N+")*12+($U27:$AA27="Dm+")*12+($U27:$AA27="Dt+")*12+($U27:$AA27="Tm-")*6+($U27:$AA27="Mt-")*6)</f>
        <v/>
      </c>
      <c r="AY27" s="118">
        <f>AX27-MAX(0,IFERROR(INDEX(CADASTRO!$I$4:$I$80,MATCH($A27,CADASTRO!$A$4:$A$80,0)),$B27)-CONFIG!$B$50*(COUNTIF($U27:$AA27,"AB")+COUNTIF($U27:$AA27,"FE")+COUNTIF($U27:$AA27,"LM")))</f>
        <v/>
      </c>
      <c r="AZ27" s="117">
        <f>SUMPRODUCT(($AB27:$AH27="M")*6+($AB27:$AH27="T")*6+($AB27:$AH27="D")*12+($AB27:$AH27="N")*12+($AB27:$AH27="NT")*6+($AB27:$AH27="C")*10+($AB27:$AH27="A")*8+($AB27:$AH27="J")*5+($AB27:$AH27="CEP")*4+($AB27:$AH27="CP")*6+($AB27:$AH27="CRO")*6+($AB27:$AH27="M+")*6+($AB27:$AH27="T+")*6+($AB27:$AH27="D+")*12+($AB27:$AH27="N+")*12+($AB27:$AH27="Dm+")*12+($AB27:$AH27="Dt+")*12+($AB27:$AH27="Tm-")*6+($AB27:$AH27="Mt-")*6)</f>
        <v/>
      </c>
      <c r="BA27" s="118">
        <f>AZ27-MAX(0,IFERROR(INDEX(CADASTRO!$I$4:$I$80,MATCH($A27,CADASTRO!$A$4:$A$80,0)),$B27)-CONFIG!$B$50*(COUNTIF($AB27:$AH27,"AB")+COUNTIF($AB27:$AH27,"FE")+COUNTIF($AB27:$AH27,"LM")))</f>
        <v/>
      </c>
      <c r="BB27" s="117">
        <f>SUMPRODUCT(($AI27:$AL27="M")*6+($AI27:$AL27="T")*6+($AI27:$AL27="D")*12+($AI27:$AL27="N")*12+($AI27:$AL27="NT")*6+($AI27:$AL27="C")*10+($AI27:$AL27="A")*8+($AI27:$AL27="J")*5+($AI27:$AL27="CEP")*4+($AI27:$AL27="CP")*6+($AI27:$AL27="CRO")*6+($AI27:$AL27="M+")*6+($AI27:$AL27="T+")*6+($AI27:$AL27="D+")*12+($AI27:$AL27="N+")*12+($AI27:$AL27="Dm+")*12+($AI27:$AL27="Dt+")*12+($AI27:$AL27="Tm-")*6+($AI27:$AL27="Mt-")*6)+SUMPRODUCT(($AN27:$AP27="M")*6+($AN27:$AP27="T")*6+($AN27:$AP27="D")*12+($AN27:$AP27="N")*12+($AN27:$AP27="NT")*6+($AN27:$AP27="C")*10+($AN27:$AP27="A")*8+($AN27:$AP27="J")*5+($AN27:$AP27="CEP")*4+($AN27:$AP27="CP")*6+($AN27:$AP27="CRO")*6+($AN27:$AP27="M+")*6+($AN27:$AP27="T+")*6+($AN27:$AP27="D+")*12+($AN27:$AP27="N+")*12+($AN27:$AP27="Dm+")*12+($AN27:$AP27="Dt+")*12+($AN27:$AP27="Tm-")*6+($AN27:$AP27="Mt-")*6)</f>
        <v/>
      </c>
      <c r="BC27" s="118">
        <f>BB27-MAX(0,IFERROR(INDEX(CADASTRO!$I$4:$I$80,MATCH($A27,CADASTRO!$A$4:$A$80,0)),$B27)-CONFIG!$B$50*(COUNTIF($AI27:$AL27,"AB")+COUNTIF($AI27:$AL27,"FE")+COUNTIF($AI27:$AL27,"LM")+COUNTIF($AN27:$AP27,"AB")+COUNTIF($AN27:$AP27,"FE")+COUNTIF($AN27:$AP27,"LM")))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ROUND(B27*4.29,0)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36">
        <f>IFERROR(INDEX(MAR!AL$8:AL$73,MATCH($A28,MAR!$A$8:$A$73,0))&amp;"","")</f>
        <v/>
      </c>
      <c r="H28" s="136">
        <f>IFERROR(INDEX(MAR!AM$8:AM$73,MATCH($A28,MAR!$A$8:$A$73,0))&amp;"","")</f>
        <v/>
      </c>
      <c r="I28" s="114" t="n"/>
      <c r="J28" s="125" t="inlineStr">
        <is>
          <t>N</t>
        </is>
      </c>
      <c r="K28" s="115" t="inlineStr">
        <is>
          <t>M</t>
        </is>
      </c>
      <c r="L28" s="125" t="inlineStr">
        <is>
          <t>N</t>
        </is>
      </c>
      <c r="M28" s="114" t="n"/>
      <c r="N28" s="124" t="inlineStr">
        <is>
          <t>D</t>
        </is>
      </c>
      <c r="O28" s="114" t="n"/>
      <c r="P28" s="115" t="inlineStr">
        <is>
          <t>M</t>
        </is>
      </c>
      <c r="Q28" s="124" t="inlineStr">
        <is>
          <t>D</t>
        </is>
      </c>
      <c r="R28" s="114" t="n"/>
      <c r="S28" s="114" t="n"/>
      <c r="T28" s="114" t="n"/>
      <c r="U28" s="114" t="n"/>
      <c r="V28" s="126" t="inlineStr">
        <is>
          <t>T</t>
        </is>
      </c>
      <c r="W28" s="125" t="inlineStr">
        <is>
          <t>N</t>
        </is>
      </c>
      <c r="X28" s="114" t="n"/>
      <c r="Y28" s="124" t="inlineStr">
        <is>
          <t>D</t>
        </is>
      </c>
      <c r="Z28" s="114" t="n"/>
      <c r="AA28" s="114" t="n"/>
      <c r="AB28" s="114" t="n"/>
      <c r="AC28" s="114" t="n"/>
      <c r="AD28" s="114" t="n"/>
      <c r="AE28" s="114" t="n"/>
      <c r="AF28" s="124" t="inlineStr">
        <is>
          <t>D</t>
        </is>
      </c>
      <c r="AG28" s="126" t="inlineStr">
        <is>
          <t>T</t>
        </is>
      </c>
      <c r="AH28" s="124" t="inlineStr">
        <is>
          <t>D</t>
        </is>
      </c>
      <c r="AI28" s="114" t="n"/>
      <c r="AJ28" s="114" t="n"/>
      <c r="AK28" s="126" t="inlineStr">
        <is>
          <t>T</t>
        </is>
      </c>
      <c r="AL28" s="126" t="inlineStr">
        <is>
          <t>T</t>
        </is>
      </c>
      <c r="AM28" s="100" t="n"/>
      <c r="AN28" s="136">
        <f>IFERROR(INDEX(MAI!I$8:I$73,MATCH($A28,MAI!$A$8:$A$73,0))&amp;"","")</f>
        <v/>
      </c>
      <c r="AO28" s="116">
        <f>IFERROR(INDEX(MAI!J$8:J$73,MATCH($A28,MAI!$A$8:$A$73,0))&amp;"","")</f>
        <v/>
      </c>
      <c r="AP28" s="116">
        <f>IFERROR(INDEX(MAI!K$8:K$73,MATCH($A28,MAI!$A$8:$A$73,0))&amp;"","")</f>
        <v/>
      </c>
      <c r="AQ28" s="100" t="n"/>
      <c r="AR28" s="100" t="n"/>
      <c r="AS28" s="100" t="n"/>
      <c r="AT28" s="117">
        <f>SUMPRODUCT(($G28:$M28="M")*6+($G28:$M28="T")*6+($G28:$M28="D")*12+($G28:$M28="N")*12+($G28:$M28="NT")*6+($G28:$M28="C")*10+($G28:$M28="A")*8+($G28:$M28="J")*5+($G28:$M28="CEP")*4+($G28:$M28="CP")*6+($G28:$M28="CRO")*6+($G28:$M28="M+")*6+($G28:$M28="T+")*6+($G28:$M28="D+")*12+($G28:$M28="N+")*12+($G28:$M28="Dm+")*12+($G28:$M28="Dt+")*12+($G28:$M28="Tm-")*6+($G28:$M28="Mt-")*6)</f>
        <v/>
      </c>
      <c r="AU28" s="118">
        <f>AT28-MAX(0,IFERROR(INDEX(CADASTRO!$I$4:$I$80,MATCH($A28,CADASTRO!$A$4:$A$80,0)),$B28)-CONFIG!$B$50*(COUNTIF($G28:$M28,"AB")+COUNTIF($G28:$M28,"FE")+COUNTIF($G28:$M28,"LM")))</f>
        <v/>
      </c>
      <c r="AV28" s="117">
        <f>SUMPRODUCT(($N28:$T28="M")*6+($N28:$T28="T")*6+($N28:$T28="D")*12+($N28:$T28="N")*12+($N28:$T28="NT")*6+($N28:$T28="C")*10+($N28:$T28="A")*8+($N28:$T28="J")*5+($N28:$T28="CEP")*4+($N28:$T28="CP")*6+($N28:$T28="CRO")*6+($N28:$T28="M+")*6+($N28:$T28="T+")*6+($N28:$T28="D+")*12+($N28:$T28="N+")*12+($N28:$T28="Dm+")*12+($N28:$T28="Dt+")*12+($N28:$T28="Tm-")*6+($N28:$T28="Mt-")*6)</f>
        <v/>
      </c>
      <c r="AW28" s="118">
        <f>AV28-MAX(0,IFERROR(INDEX(CADASTRO!$I$4:$I$80,MATCH($A28,CADASTRO!$A$4:$A$80,0)),$B28)-CONFIG!$B$50*(COUNTIF($N28:$T28,"AB")+COUNTIF($N28:$T28,"FE")+COUNTIF($N28:$T28,"LM")))</f>
        <v/>
      </c>
      <c r="AX28" s="117">
        <f>SUMPRODUCT(($U28:$AA28="M")*6+($U28:$AA28="T")*6+($U28:$AA28="D")*12+($U28:$AA28="N")*12+($U28:$AA28="NT")*6+($U28:$AA28="C")*10+($U28:$AA28="A")*8+($U28:$AA28="J")*5+($U28:$AA28="CEP")*4+($U28:$AA28="CP")*6+($U28:$AA28="CRO")*6+($U28:$AA28="M+")*6+($U28:$AA28="T+")*6+($U28:$AA28="D+")*12+($U28:$AA28="N+")*12+($U28:$AA28="Dm+")*12+($U28:$AA28="Dt+")*12+($U28:$AA28="Tm-")*6+($U28:$AA28="Mt-")*6)</f>
        <v/>
      </c>
      <c r="AY28" s="118">
        <f>AX28-MAX(0,IFERROR(INDEX(CADASTRO!$I$4:$I$80,MATCH($A28,CADASTRO!$A$4:$A$80,0)),$B28)-CONFIG!$B$50*(COUNTIF($U28:$AA28,"AB")+COUNTIF($U28:$AA28,"FE")+COUNTIF($U28:$AA28,"LM")))</f>
        <v/>
      </c>
      <c r="AZ28" s="117">
        <f>SUMPRODUCT(($AB28:$AH28="M")*6+($AB28:$AH28="T")*6+($AB28:$AH28="D")*12+($AB28:$AH28="N")*12+($AB28:$AH28="NT")*6+($AB28:$AH28="C")*10+($AB28:$AH28="A")*8+($AB28:$AH28="J")*5+($AB28:$AH28="CEP")*4+($AB28:$AH28="CP")*6+($AB28:$AH28="CRO")*6+($AB28:$AH28="M+")*6+($AB28:$AH28="T+")*6+($AB28:$AH28="D+")*12+($AB28:$AH28="N+")*12+($AB28:$AH28="Dm+")*12+($AB28:$AH28="Dt+")*12+($AB28:$AH28="Tm-")*6+($AB28:$AH28="Mt-")*6)</f>
        <v/>
      </c>
      <c r="BA28" s="118">
        <f>AZ28-MAX(0,IFERROR(INDEX(CADASTRO!$I$4:$I$80,MATCH($A28,CADASTRO!$A$4:$A$80,0)),$B28)-CONFIG!$B$50*(COUNTIF($AB28:$AH28,"AB")+COUNTIF($AB28:$AH28,"FE")+COUNTIF($AB28:$AH28,"LM")))</f>
        <v/>
      </c>
      <c r="BB28" s="117">
        <f>SUMPRODUCT(($AI28:$AL28="M")*6+($AI28:$AL28="T")*6+($AI28:$AL28="D")*12+($AI28:$AL28="N")*12+($AI28:$AL28="NT")*6+($AI28:$AL28="C")*10+($AI28:$AL28="A")*8+($AI28:$AL28="J")*5+($AI28:$AL28="CEP")*4+($AI28:$AL28="CP")*6+($AI28:$AL28="CRO")*6+($AI28:$AL28="M+")*6+($AI28:$AL28="T+")*6+($AI28:$AL28="D+")*12+($AI28:$AL28="N+")*12+($AI28:$AL28="Dm+")*12+($AI28:$AL28="Dt+")*12+($AI28:$AL28="Tm-")*6+($AI28:$AL28="Mt-")*6)+SUMPRODUCT(($AN28:$AP28="M")*6+($AN28:$AP28="T")*6+($AN28:$AP28="D")*12+($AN28:$AP28="N")*12+($AN28:$AP28="NT")*6+($AN28:$AP28="C")*10+($AN28:$AP28="A")*8+($AN28:$AP28="J")*5+($AN28:$AP28="CEP")*4+($AN28:$AP28="CP")*6+($AN28:$AP28="CRO")*6+($AN28:$AP28="M+")*6+($AN28:$AP28="T+")*6+($AN28:$AP28="D+")*12+($AN28:$AP28="N+")*12+($AN28:$AP28="Dm+")*12+($AN28:$AP28="Dt+")*12+($AN28:$AP28="Tm-")*6+($AN28:$AP28="Mt-")*6)</f>
        <v/>
      </c>
      <c r="BC28" s="118">
        <f>BB28-MAX(0,IFERROR(INDEX(CADASTRO!$I$4:$I$80,MATCH($A28,CADASTRO!$A$4:$A$80,0)),$B28)-CONFIG!$B$50*(COUNTIF($AI28:$AL28,"AB")+COUNTIF($AI28:$AL28,"FE")+COUNTIF($AI28:$AL28,"LM")+COUNTIF($AN28:$AP28,"AB")+COUNTIF($AN28:$AP28,"FE")+COUNTIF($AN28:$AP28,"LM")))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ROUND(B28*4.29,0)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36">
        <f>IFERROR(INDEX(MAR!AL$8:AL$73,MATCH($A29,MAR!$A$8:$A$73,0))&amp;"","")</f>
        <v/>
      </c>
      <c r="H29" s="136">
        <f>IFERROR(INDEX(MAR!AM$8:AM$73,MATCH($A29,MAR!$A$8:$A$73,0))&amp;"","")</f>
        <v/>
      </c>
      <c r="I29" s="115" t="inlineStr">
        <is>
          <t>M</t>
        </is>
      </c>
      <c r="J29" s="115" t="inlineStr">
        <is>
          <t>M</t>
        </is>
      </c>
      <c r="K29" s="114" t="n"/>
      <c r="L29" s="114" t="n"/>
      <c r="M29" s="114" t="n"/>
      <c r="N29" s="125" t="inlineStr">
        <is>
          <t>N</t>
        </is>
      </c>
      <c r="O29" s="114" t="n"/>
      <c r="P29" s="114" t="n"/>
      <c r="Q29" s="123" t="inlineStr">
        <is>
          <t>M+</t>
        </is>
      </c>
      <c r="R29" s="114" t="n"/>
      <c r="S29" s="115" t="inlineStr">
        <is>
          <t>M</t>
        </is>
      </c>
      <c r="T29" s="125" t="inlineStr">
        <is>
          <t>N</t>
        </is>
      </c>
      <c r="U29" s="125" t="inlineStr">
        <is>
          <t>N</t>
        </is>
      </c>
      <c r="V29" s="114" t="n"/>
      <c r="W29" s="115" t="inlineStr">
        <is>
          <t>M</t>
        </is>
      </c>
      <c r="X29" s="115" t="inlineStr">
        <is>
          <t>M</t>
        </is>
      </c>
      <c r="Y29" s="127" t="inlineStr">
        <is>
          <t>M-</t>
        </is>
      </c>
      <c r="Z29" s="114" t="n"/>
      <c r="AA29" s="114" t="n"/>
      <c r="AB29" s="125" t="inlineStr">
        <is>
          <t>N</t>
        </is>
      </c>
      <c r="AC29" s="114" t="n"/>
      <c r="AD29" s="115" t="inlineStr">
        <is>
          <t>M</t>
        </is>
      </c>
      <c r="AE29" s="114" t="n"/>
      <c r="AF29" s="114" t="n"/>
      <c r="AG29" s="115" t="inlineStr">
        <is>
          <t>M</t>
        </is>
      </c>
      <c r="AH29" s="115" t="inlineStr">
        <is>
          <t>M</t>
        </is>
      </c>
      <c r="AI29" s="125" t="inlineStr">
        <is>
          <t>N</t>
        </is>
      </c>
      <c r="AJ29" s="114" t="n"/>
      <c r="AK29" s="114" t="n"/>
      <c r="AL29" s="115" t="inlineStr">
        <is>
          <t>M</t>
        </is>
      </c>
      <c r="AM29" s="100" t="n"/>
      <c r="AN29" s="136">
        <f>IFERROR(INDEX(MAI!I$8:I$73,MATCH($A29,MAI!$A$8:$A$73,0))&amp;"","")</f>
        <v/>
      </c>
      <c r="AO29" s="116">
        <f>IFERROR(INDEX(MAI!J$8:J$73,MATCH($A29,MAI!$A$8:$A$73,0))&amp;"","")</f>
        <v/>
      </c>
      <c r="AP29" s="116">
        <f>IFERROR(INDEX(MAI!K$8:K$73,MATCH($A29,MAI!$A$8:$A$73,0))&amp;"","")</f>
        <v/>
      </c>
      <c r="AQ29" s="100" t="n"/>
      <c r="AR29" s="100" t="n"/>
      <c r="AS29" s="100" t="n"/>
      <c r="AT29" s="117">
        <f>SUMPRODUCT(($G29:$M29="M")*6+($G29:$M29="T")*6+($G29:$M29="D")*12+($G29:$M29="N")*12+($G29:$M29="NT")*6+($G29:$M29="C")*10+($G29:$M29="A")*8+($G29:$M29="J")*5+($G29:$M29="CEP")*4+($G29:$M29="CP")*6+($G29:$M29="CRO")*6+($G29:$M29="M+")*6+($G29:$M29="T+")*6+($G29:$M29="D+")*12+($G29:$M29="N+")*12+($G29:$M29="Dm+")*12+($G29:$M29="Dt+")*12+($G29:$M29="Tm-")*6+($G29:$M29="Mt-")*6)</f>
        <v/>
      </c>
      <c r="AU29" s="118">
        <f>AT29-MAX(0,IFERROR(INDEX(CADASTRO!$I$4:$I$80,MATCH($A29,CADASTRO!$A$4:$A$80,0)),$B29)-CONFIG!$B$50*(COUNTIF($G29:$M29,"AB")+COUNTIF($G29:$M29,"FE")+COUNTIF($G29:$M29,"LM")))</f>
        <v/>
      </c>
      <c r="AV29" s="117">
        <f>SUMPRODUCT(($N29:$T29="M")*6+($N29:$T29="T")*6+($N29:$T29="D")*12+($N29:$T29="N")*12+($N29:$T29="NT")*6+($N29:$T29="C")*10+($N29:$T29="A")*8+($N29:$T29="J")*5+($N29:$T29="CEP")*4+($N29:$T29="CP")*6+($N29:$T29="CRO")*6+($N29:$T29="M+")*6+($N29:$T29="T+")*6+($N29:$T29="D+")*12+($N29:$T29="N+")*12+($N29:$T29="Dm+")*12+($N29:$T29="Dt+")*12+($N29:$T29="Tm-")*6+($N29:$T29="Mt-")*6)</f>
        <v/>
      </c>
      <c r="AW29" s="118">
        <f>AV29-MAX(0,IFERROR(INDEX(CADASTRO!$I$4:$I$80,MATCH($A29,CADASTRO!$A$4:$A$80,0)),$B29)-CONFIG!$B$50*(COUNTIF($N29:$T29,"AB")+COUNTIF($N29:$T29,"FE")+COUNTIF($N29:$T29,"LM")))</f>
        <v/>
      </c>
      <c r="AX29" s="117">
        <f>SUMPRODUCT(($U29:$AA29="M")*6+($U29:$AA29="T")*6+($U29:$AA29="D")*12+($U29:$AA29="N")*12+($U29:$AA29="NT")*6+($U29:$AA29="C")*10+($U29:$AA29="A")*8+($U29:$AA29="J")*5+($U29:$AA29="CEP")*4+($U29:$AA29="CP")*6+($U29:$AA29="CRO")*6+($U29:$AA29="M+")*6+($U29:$AA29="T+")*6+($U29:$AA29="D+")*12+($U29:$AA29="N+")*12+($U29:$AA29="Dm+")*12+($U29:$AA29="Dt+")*12+($U29:$AA29="Tm-")*6+($U29:$AA29="Mt-")*6)</f>
        <v/>
      </c>
      <c r="AY29" s="118">
        <f>AX29-MAX(0,IFERROR(INDEX(CADASTRO!$I$4:$I$80,MATCH($A29,CADASTRO!$A$4:$A$80,0)),$B29)-CONFIG!$B$50*(COUNTIF($U29:$AA29,"AB")+COUNTIF($U29:$AA29,"FE")+COUNTIF($U29:$AA29,"LM")))</f>
        <v/>
      </c>
      <c r="AZ29" s="117">
        <f>SUMPRODUCT(($AB29:$AH29="M")*6+($AB29:$AH29="T")*6+($AB29:$AH29="D")*12+($AB29:$AH29="N")*12+($AB29:$AH29="NT")*6+($AB29:$AH29="C")*10+($AB29:$AH29="A")*8+($AB29:$AH29="J")*5+($AB29:$AH29="CEP")*4+($AB29:$AH29="CP")*6+($AB29:$AH29="CRO")*6+($AB29:$AH29="M+")*6+($AB29:$AH29="T+")*6+($AB29:$AH29="D+")*12+($AB29:$AH29="N+")*12+($AB29:$AH29="Dm+")*12+($AB29:$AH29="Dt+")*12+($AB29:$AH29="Tm-")*6+($AB29:$AH29="Mt-")*6)</f>
        <v/>
      </c>
      <c r="BA29" s="118">
        <f>AZ29-MAX(0,IFERROR(INDEX(CADASTRO!$I$4:$I$80,MATCH($A29,CADASTRO!$A$4:$A$80,0)),$B29)-CONFIG!$B$50*(COUNTIF($AB29:$AH29,"AB")+COUNTIF($AB29:$AH29,"FE")+COUNTIF($AB29:$AH29,"LM")))</f>
        <v/>
      </c>
      <c r="BB29" s="117">
        <f>SUMPRODUCT(($AI29:$AL29="M")*6+($AI29:$AL29="T")*6+($AI29:$AL29="D")*12+($AI29:$AL29="N")*12+($AI29:$AL29="NT")*6+($AI29:$AL29="C")*10+($AI29:$AL29="A")*8+($AI29:$AL29="J")*5+($AI29:$AL29="CEP")*4+($AI29:$AL29="CP")*6+($AI29:$AL29="CRO")*6+($AI29:$AL29="M+")*6+($AI29:$AL29="T+")*6+($AI29:$AL29="D+")*12+($AI29:$AL29="N+")*12+($AI29:$AL29="Dm+")*12+($AI29:$AL29="Dt+")*12+($AI29:$AL29="Tm-")*6+($AI29:$AL29="Mt-")*6)+SUMPRODUCT(($AN29:$AP29="M")*6+($AN29:$AP29="T")*6+($AN29:$AP29="D")*12+($AN29:$AP29="N")*12+($AN29:$AP29="NT")*6+($AN29:$AP29="C")*10+($AN29:$AP29="A")*8+($AN29:$AP29="J")*5+($AN29:$AP29="CEP")*4+($AN29:$AP29="CP")*6+($AN29:$AP29="CRO")*6+($AN29:$AP29="M+")*6+($AN29:$AP29="T+")*6+($AN29:$AP29="D+")*12+($AN29:$AP29="N+")*12+($AN29:$AP29="Dm+")*12+($AN29:$AP29="Dt+")*12+($AN29:$AP29="Tm-")*6+($AN29:$AP29="Mt-")*6)</f>
        <v/>
      </c>
      <c r="BC29" s="118">
        <f>BB29-MAX(0,IFERROR(INDEX(CADASTRO!$I$4:$I$80,MATCH($A29,CADASTRO!$A$4:$A$80,0)),$B29)-CONFIG!$B$50*(COUNTIF($AI29:$AL29,"AB")+COUNTIF($AI29:$AL29,"FE")+COUNTIF($AI29:$AL29,"LM")+COUNTIF($AN29:$AP29,"AB")+COUNTIF($AN29:$AP29,"FE")+COUNTIF($AN29:$AP29,"LM")))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ROUND(B29*4.29,0)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36">
        <f>IFERROR(INDEX(MAR!AL$8:AL$73,MATCH($A30,MAR!$A$8:$A$73,0))&amp;"","")</f>
        <v/>
      </c>
      <c r="H30" s="136">
        <f>IFERROR(INDEX(MAR!AM$8:AM$73,MATCH($A30,MAR!$A$8:$A$73,0))&amp;"","")</f>
        <v/>
      </c>
      <c r="I30" s="114" t="n"/>
      <c r="J30" s="114" t="n"/>
      <c r="K30" s="114" t="n"/>
      <c r="L30" s="114" t="n"/>
      <c r="M30" s="125" t="inlineStr">
        <is>
          <t>N</t>
        </is>
      </c>
      <c r="N30" s="114" t="n"/>
      <c r="O30" s="125" t="inlineStr">
        <is>
          <t>N</t>
        </is>
      </c>
      <c r="P30" s="126" t="inlineStr">
        <is>
          <t>T</t>
        </is>
      </c>
      <c r="Q30" s="114" t="n"/>
      <c r="R30" s="125" t="inlineStr">
        <is>
          <t>N</t>
        </is>
      </c>
      <c r="S30" s="114" t="n"/>
      <c r="T30" s="114" t="n"/>
      <c r="U30" s="114" t="n"/>
      <c r="V30" s="125" t="inlineStr">
        <is>
          <t>N</t>
        </is>
      </c>
      <c r="W30" s="126" t="inlineStr">
        <is>
          <t>T</t>
        </is>
      </c>
      <c r="X30" s="114" t="n"/>
      <c r="Y30" s="114" t="n"/>
      <c r="Z30" s="114" t="n"/>
      <c r="AA30" s="125" t="inlineStr">
        <is>
          <t>N</t>
        </is>
      </c>
      <c r="AB30" s="125" t="inlineStr">
        <is>
          <t>N</t>
        </is>
      </c>
      <c r="AC30" s="114" t="n"/>
      <c r="AD30" s="126" t="inlineStr">
        <is>
          <t>T</t>
        </is>
      </c>
      <c r="AE30" s="114" t="n"/>
      <c r="AF30" s="114" t="n"/>
      <c r="AG30" s="125" t="inlineStr">
        <is>
          <t>N</t>
        </is>
      </c>
      <c r="AH30" s="114" t="n"/>
      <c r="AI30" s="114" t="n"/>
      <c r="AJ30" s="125" t="inlineStr">
        <is>
          <t>N</t>
        </is>
      </c>
      <c r="AK30" s="126" t="inlineStr">
        <is>
          <t>T</t>
        </is>
      </c>
      <c r="AL30" s="114" t="n"/>
      <c r="AM30" s="100" t="n"/>
      <c r="AN30" s="136">
        <f>IFERROR(INDEX(MAI!I$8:I$73,MATCH($A30,MAI!$A$8:$A$73,0))&amp;"","")</f>
        <v/>
      </c>
      <c r="AO30" s="116">
        <f>IFERROR(INDEX(MAI!J$8:J$73,MATCH($A30,MAI!$A$8:$A$73,0))&amp;"","")</f>
        <v/>
      </c>
      <c r="AP30" s="116">
        <f>IFERROR(INDEX(MAI!K$8:K$73,MATCH($A30,MAI!$A$8:$A$73,0))&amp;"","")</f>
        <v/>
      </c>
      <c r="AQ30" s="100" t="n"/>
      <c r="AR30" s="100" t="n"/>
      <c r="AS30" s="100" t="n"/>
      <c r="AT30" s="117">
        <f>SUMPRODUCT(($G30:$M30="M")*6+($G30:$M30="T")*6+($G30:$M30="D")*12+($G30:$M30="N")*12+($G30:$M30="NT")*6+($G30:$M30="C")*10+($G30:$M30="A")*8+($G30:$M30="J")*5+($G30:$M30="CEP")*4+($G30:$M30="CP")*6+($G30:$M30="CRO")*6+($G30:$M30="M+")*6+($G30:$M30="T+")*6+($G30:$M30="D+")*12+($G30:$M30="N+")*12+($G30:$M30="Dm+")*12+($G30:$M30="Dt+")*12+($G30:$M30="Tm-")*6+($G30:$M30="Mt-")*6)</f>
        <v/>
      </c>
      <c r="AU30" s="118">
        <f>AT30-MAX(0,IFERROR(INDEX(CADASTRO!$I$4:$I$80,MATCH($A30,CADASTRO!$A$4:$A$80,0)),$B30)-CONFIG!$B$50*(COUNTIF($G30:$M30,"AB")+COUNTIF($G30:$M30,"FE")+COUNTIF($G30:$M30,"LM")))</f>
        <v/>
      </c>
      <c r="AV30" s="117">
        <f>SUMPRODUCT(($N30:$T30="M")*6+($N30:$T30="T")*6+($N30:$T30="D")*12+($N30:$T30="N")*12+($N30:$T30="NT")*6+($N30:$T30="C")*10+($N30:$T30="A")*8+($N30:$T30="J")*5+($N30:$T30="CEP")*4+($N30:$T30="CP")*6+($N30:$T30="CRO")*6+($N30:$T30="M+")*6+($N30:$T30="T+")*6+($N30:$T30="D+")*12+($N30:$T30="N+")*12+($N30:$T30="Dm+")*12+($N30:$T30="Dt+")*12+($N30:$T30="Tm-")*6+($N30:$T30="Mt-")*6)</f>
        <v/>
      </c>
      <c r="AW30" s="118">
        <f>AV30-MAX(0,IFERROR(INDEX(CADASTRO!$I$4:$I$80,MATCH($A30,CADASTRO!$A$4:$A$80,0)),$B30)-CONFIG!$B$50*(COUNTIF($N30:$T30,"AB")+COUNTIF($N30:$T30,"FE")+COUNTIF($N30:$T30,"LM")))</f>
        <v/>
      </c>
      <c r="AX30" s="117">
        <f>SUMPRODUCT(($U30:$AA30="M")*6+($U30:$AA30="T")*6+($U30:$AA30="D")*12+($U30:$AA30="N")*12+($U30:$AA30="NT")*6+($U30:$AA30="C")*10+($U30:$AA30="A")*8+($U30:$AA30="J")*5+($U30:$AA30="CEP")*4+($U30:$AA30="CP")*6+($U30:$AA30="CRO")*6+($U30:$AA30="M+")*6+($U30:$AA30="T+")*6+($U30:$AA30="D+")*12+($U30:$AA30="N+")*12+($U30:$AA30="Dm+")*12+($U30:$AA30="Dt+")*12+($U30:$AA30="Tm-")*6+($U30:$AA30="Mt-")*6)</f>
        <v/>
      </c>
      <c r="AY30" s="118">
        <f>AX30-MAX(0,IFERROR(INDEX(CADASTRO!$I$4:$I$80,MATCH($A30,CADASTRO!$A$4:$A$80,0)),$B30)-CONFIG!$B$50*(COUNTIF($U30:$AA30,"AB")+COUNTIF($U30:$AA30,"FE")+COUNTIF($U30:$AA30,"LM")))</f>
        <v/>
      </c>
      <c r="AZ30" s="117">
        <f>SUMPRODUCT(($AB30:$AH30="M")*6+($AB30:$AH30="T")*6+($AB30:$AH30="D")*12+($AB30:$AH30="N")*12+($AB30:$AH30="NT")*6+($AB30:$AH30="C")*10+($AB30:$AH30="A")*8+($AB30:$AH30="J")*5+($AB30:$AH30="CEP")*4+($AB30:$AH30="CP")*6+($AB30:$AH30="CRO")*6+($AB30:$AH30="M+")*6+($AB30:$AH30="T+")*6+($AB30:$AH30="D+")*12+($AB30:$AH30="N+")*12+($AB30:$AH30="Dm+")*12+($AB30:$AH30="Dt+")*12+($AB30:$AH30="Tm-")*6+($AB30:$AH30="Mt-")*6)</f>
        <v/>
      </c>
      <c r="BA30" s="118">
        <f>AZ30-MAX(0,IFERROR(INDEX(CADASTRO!$I$4:$I$80,MATCH($A30,CADASTRO!$A$4:$A$80,0)),$B30)-CONFIG!$B$50*(COUNTIF($AB30:$AH30,"AB")+COUNTIF($AB30:$AH30,"FE")+COUNTIF($AB30:$AH30,"LM")))</f>
        <v/>
      </c>
      <c r="BB30" s="117">
        <f>SUMPRODUCT(($AI30:$AL30="M")*6+($AI30:$AL30="T")*6+($AI30:$AL30="D")*12+($AI30:$AL30="N")*12+($AI30:$AL30="NT")*6+($AI30:$AL30="C")*10+($AI30:$AL30="A")*8+($AI30:$AL30="J")*5+($AI30:$AL30="CEP")*4+($AI30:$AL30="CP")*6+($AI30:$AL30="CRO")*6+($AI30:$AL30="M+")*6+($AI30:$AL30="T+")*6+($AI30:$AL30="D+")*12+($AI30:$AL30="N+")*12+($AI30:$AL30="Dm+")*12+($AI30:$AL30="Dt+")*12+($AI30:$AL30="Tm-")*6+($AI30:$AL30="Mt-")*6)+SUMPRODUCT(($AN30:$AP30="M")*6+($AN30:$AP30="T")*6+($AN30:$AP30="D")*12+($AN30:$AP30="N")*12+($AN30:$AP30="NT")*6+($AN30:$AP30="C")*10+($AN30:$AP30="A")*8+($AN30:$AP30="J")*5+($AN30:$AP30="CEP")*4+($AN30:$AP30="CP")*6+($AN30:$AP30="CRO")*6+($AN30:$AP30="M+")*6+($AN30:$AP30="T+")*6+($AN30:$AP30="D+")*12+($AN30:$AP30="N+")*12+($AN30:$AP30="Dm+")*12+($AN30:$AP30="Dt+")*12+($AN30:$AP30="Tm-")*6+($AN30:$AP30="Mt-")*6)</f>
        <v/>
      </c>
      <c r="BC30" s="118">
        <f>BB30-MAX(0,IFERROR(INDEX(CADASTRO!$I$4:$I$80,MATCH($A30,CADASTRO!$A$4:$A$80,0)),$B30)-CONFIG!$B$50*(COUNTIF($AI30:$AL30,"AB")+COUNTIF($AI30:$AL30,"FE")+COUNTIF($AI30:$AL30,"LM")+COUNTIF($AN30:$AP30,"AB")+COUNTIF($AN30:$AP30,"FE")+COUNTIF($AN30:$AP30,"LM")))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ROUND(B30*4.29,0)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36">
        <f>IFERROR(INDEX(MAR!AL$8:AL$73,MATCH($A31,MAR!$A$8:$A$73,0))&amp;"","")</f>
        <v/>
      </c>
      <c r="H31" s="136">
        <f>IFERROR(INDEX(MAR!AM$8:AM$73,MATCH($A31,MAR!$A$8:$A$73,0))&amp;"","")</f>
        <v/>
      </c>
      <c r="I31" s="126" t="inlineStr">
        <is>
          <t>T</t>
        </is>
      </c>
      <c r="J31" s="114" t="n"/>
      <c r="K31" s="115" t="inlineStr">
        <is>
          <t>M</t>
        </is>
      </c>
      <c r="L31" s="125" t="inlineStr">
        <is>
          <t>N</t>
        </is>
      </c>
      <c r="M31" s="114" t="n"/>
      <c r="N31" s="124" t="inlineStr">
        <is>
          <t>D</t>
        </is>
      </c>
      <c r="O31" s="125" t="inlineStr">
        <is>
          <t>N</t>
        </is>
      </c>
      <c r="P31" s="126" t="inlineStr">
        <is>
          <t>T</t>
        </is>
      </c>
      <c r="Q31" s="127" t="inlineStr">
        <is>
          <t>T-</t>
        </is>
      </c>
      <c r="R31" s="114" t="n"/>
      <c r="S31" s="114" t="n"/>
      <c r="T31" s="114" t="n"/>
      <c r="U31" s="114" t="n"/>
      <c r="V31" s="125" t="inlineStr">
        <is>
          <t>N</t>
        </is>
      </c>
      <c r="W31" s="114" t="n"/>
      <c r="X31" s="125" t="inlineStr">
        <is>
          <t>N</t>
        </is>
      </c>
      <c r="Y31" s="125" t="inlineStr">
        <is>
          <t>N</t>
        </is>
      </c>
      <c r="Z31" s="114" t="n"/>
      <c r="AA31" s="114" t="n"/>
      <c r="AB31" s="114" t="n"/>
      <c r="AC31" s="114" t="n"/>
      <c r="AD31" s="123" t="inlineStr">
        <is>
          <t>Dm+</t>
        </is>
      </c>
      <c r="AE31" s="114" t="n"/>
      <c r="AF31" s="115" t="inlineStr">
        <is>
          <t>M</t>
        </is>
      </c>
      <c r="AG31" s="124" t="inlineStr">
        <is>
          <t>D</t>
        </is>
      </c>
      <c r="AH31" s="125" t="inlineStr">
        <is>
          <t>N</t>
        </is>
      </c>
      <c r="AI31" s="126" t="inlineStr">
        <is>
          <t>T</t>
        </is>
      </c>
      <c r="AJ31" s="125" t="inlineStr">
        <is>
          <t>N</t>
        </is>
      </c>
      <c r="AK31" s="114" t="n"/>
      <c r="AL31" s="115" t="inlineStr">
        <is>
          <t>M</t>
        </is>
      </c>
      <c r="AM31" s="100" t="n"/>
      <c r="AN31" s="136">
        <f>IFERROR(INDEX(MAI!I$8:I$73,MATCH($A31,MAI!$A$8:$A$73,0))&amp;"","")</f>
        <v/>
      </c>
      <c r="AO31" s="116">
        <f>IFERROR(INDEX(MAI!J$8:J$73,MATCH($A31,MAI!$A$8:$A$73,0))&amp;"","")</f>
        <v/>
      </c>
      <c r="AP31" s="116">
        <f>IFERROR(INDEX(MAI!K$8:K$73,MATCH($A31,MAI!$A$8:$A$73,0))&amp;"","")</f>
        <v/>
      </c>
      <c r="AQ31" s="100" t="n"/>
      <c r="AR31" s="100" t="n"/>
      <c r="AS31" s="100" t="n"/>
      <c r="AT31" s="117">
        <f>SUMPRODUCT(($G31:$M31="M")*6+($G31:$M31="T")*6+($G31:$M31="D")*12+($G31:$M31="N")*12+($G31:$M31="NT")*6+($G31:$M31="C")*10+($G31:$M31="A")*8+($G31:$M31="J")*5+($G31:$M31="CEP")*4+($G31:$M31="CP")*6+($G31:$M31="CRO")*6+($G31:$M31="M+")*6+($G31:$M31="T+")*6+($G31:$M31="D+")*12+($G31:$M31="N+")*12+($G31:$M31="Dm+")*12+($G31:$M31="Dt+")*12+($G31:$M31="Tm-")*6+($G31:$M31="Mt-")*6)</f>
        <v/>
      </c>
      <c r="AU31" s="118">
        <f>AT31-MAX(0,IFERROR(INDEX(CADASTRO!$I$4:$I$80,MATCH($A31,CADASTRO!$A$4:$A$80,0)),$B31)-CONFIG!$B$50*(COUNTIF($G31:$M31,"AB")+COUNTIF($G31:$M31,"FE")+COUNTIF($G31:$M31,"LM")))</f>
        <v/>
      </c>
      <c r="AV31" s="117">
        <f>SUMPRODUCT(($N31:$T31="M")*6+($N31:$T31="T")*6+($N31:$T31="D")*12+($N31:$T31="N")*12+($N31:$T31="NT")*6+($N31:$T31="C")*10+($N31:$T31="A")*8+($N31:$T31="J")*5+($N31:$T31="CEP")*4+($N31:$T31="CP")*6+($N31:$T31="CRO")*6+($N31:$T31="M+")*6+($N31:$T31="T+")*6+($N31:$T31="D+")*12+($N31:$T31="N+")*12+($N31:$T31="Dm+")*12+($N31:$T31="Dt+")*12+($N31:$T31="Tm-")*6+($N31:$T31="Mt-")*6)</f>
        <v/>
      </c>
      <c r="AW31" s="118">
        <f>AV31-MAX(0,IFERROR(INDEX(CADASTRO!$I$4:$I$80,MATCH($A31,CADASTRO!$A$4:$A$80,0)),$B31)-CONFIG!$B$50*(COUNTIF($N31:$T31,"AB")+COUNTIF($N31:$T31,"FE")+COUNTIF($N31:$T31,"LM")))</f>
        <v/>
      </c>
      <c r="AX31" s="117">
        <f>SUMPRODUCT(($U31:$AA31="M")*6+($U31:$AA31="T")*6+($U31:$AA31="D")*12+($U31:$AA31="N")*12+($U31:$AA31="NT")*6+($U31:$AA31="C")*10+($U31:$AA31="A")*8+($U31:$AA31="J")*5+($U31:$AA31="CEP")*4+($U31:$AA31="CP")*6+($U31:$AA31="CRO")*6+($U31:$AA31="M+")*6+($U31:$AA31="T+")*6+($U31:$AA31="D+")*12+($U31:$AA31="N+")*12+($U31:$AA31="Dm+")*12+($U31:$AA31="Dt+")*12+($U31:$AA31="Tm-")*6+($U31:$AA31="Mt-")*6)</f>
        <v/>
      </c>
      <c r="AY31" s="118">
        <f>AX31-MAX(0,IFERROR(INDEX(CADASTRO!$I$4:$I$80,MATCH($A31,CADASTRO!$A$4:$A$80,0)),$B31)-CONFIG!$B$50*(COUNTIF($U31:$AA31,"AB")+COUNTIF($U31:$AA31,"FE")+COUNTIF($U31:$AA31,"LM")))</f>
        <v/>
      </c>
      <c r="AZ31" s="117">
        <f>SUMPRODUCT(($AB31:$AH31="M")*6+($AB31:$AH31="T")*6+($AB31:$AH31="D")*12+($AB31:$AH31="N")*12+($AB31:$AH31="NT")*6+($AB31:$AH31="C")*10+($AB31:$AH31="A")*8+($AB31:$AH31="J")*5+($AB31:$AH31="CEP")*4+($AB31:$AH31="CP")*6+($AB31:$AH31="CRO")*6+($AB31:$AH31="M+")*6+($AB31:$AH31="T+")*6+($AB31:$AH31="D+")*12+($AB31:$AH31="N+")*12+($AB31:$AH31="Dm+")*12+($AB31:$AH31="Dt+")*12+($AB31:$AH31="Tm-")*6+($AB31:$AH31="Mt-")*6)</f>
        <v/>
      </c>
      <c r="BA31" s="118">
        <f>AZ31-MAX(0,IFERROR(INDEX(CADASTRO!$I$4:$I$80,MATCH($A31,CADASTRO!$A$4:$A$80,0)),$B31)-CONFIG!$B$50*(COUNTIF($AB31:$AH31,"AB")+COUNTIF($AB31:$AH31,"FE")+COUNTIF($AB31:$AH31,"LM")))</f>
        <v/>
      </c>
      <c r="BB31" s="117">
        <f>SUMPRODUCT(($AI31:$AL31="M")*6+($AI31:$AL31="T")*6+($AI31:$AL31="D")*12+($AI31:$AL31="N")*12+($AI31:$AL31="NT")*6+($AI31:$AL31="C")*10+($AI31:$AL31="A")*8+($AI31:$AL31="J")*5+($AI31:$AL31="CEP")*4+($AI31:$AL31="CP")*6+($AI31:$AL31="CRO")*6+($AI31:$AL31="M+")*6+($AI31:$AL31="T+")*6+($AI31:$AL31="D+")*12+($AI31:$AL31="N+")*12+($AI31:$AL31="Dm+")*12+($AI31:$AL31="Dt+")*12+($AI31:$AL31="Tm-")*6+($AI31:$AL31="Mt-")*6)+SUMPRODUCT(($AN31:$AP31="M")*6+($AN31:$AP31="T")*6+($AN31:$AP31="D")*12+($AN31:$AP31="N")*12+($AN31:$AP31="NT")*6+($AN31:$AP31="C")*10+($AN31:$AP31="A")*8+($AN31:$AP31="J")*5+($AN31:$AP31="CEP")*4+($AN31:$AP31="CP")*6+($AN31:$AP31="CRO")*6+($AN31:$AP31="M+")*6+($AN31:$AP31="T+")*6+($AN31:$AP31="D+")*12+($AN31:$AP31="N+")*12+($AN31:$AP31="Dm+")*12+($AN31:$AP31="Dt+")*12+($AN31:$AP31="Tm-")*6+($AN31:$AP31="Mt-")*6)</f>
        <v/>
      </c>
      <c r="BC31" s="118">
        <f>BB31-MAX(0,IFERROR(INDEX(CADASTRO!$I$4:$I$80,MATCH($A31,CADASTRO!$A$4:$A$80,0)),$B31)-CONFIG!$B$50*(COUNTIF($AI31:$AL31,"AB")+COUNTIF($AI31:$AL31,"FE")+COUNTIF($AI31:$AL31,"LM")+COUNTIF($AN31:$AP31,"AB")+COUNTIF($AN31:$AP31,"FE")+COUNTIF($AN31:$AP31,"LM")))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ROUND(B31*4.29,0)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36">
        <f>IFERROR(INDEX(MAR!AL$8:AL$73,MATCH($A32,MAR!$A$8:$A$73,0))&amp;"","")</f>
        <v/>
      </c>
      <c r="H32" s="136">
        <f>IFERROR(INDEX(MAR!AM$8:AM$73,MATCH($A32,MAR!$A$8:$A$73,0))&amp;"","")</f>
        <v/>
      </c>
      <c r="I32" s="114" t="n"/>
      <c r="J32" s="114" t="n"/>
      <c r="K32" s="124" t="inlineStr">
        <is>
          <t>D</t>
        </is>
      </c>
      <c r="L32" s="114" t="n"/>
      <c r="M32" s="115" t="inlineStr">
        <is>
          <t>M</t>
        </is>
      </c>
      <c r="N32" s="126" t="inlineStr">
        <is>
          <t>T</t>
        </is>
      </c>
      <c r="O32" s="114" t="n"/>
      <c r="P32" s="114" t="n"/>
      <c r="Q32" s="114" t="n"/>
      <c r="R32" s="124" t="inlineStr">
        <is>
          <t>D</t>
        </is>
      </c>
      <c r="S32" s="114" t="n"/>
      <c r="T32" s="124" t="inlineStr">
        <is>
          <t>D</t>
        </is>
      </c>
      <c r="U32" s="124" t="inlineStr">
        <is>
          <t>D</t>
        </is>
      </c>
      <c r="V32" s="124" t="inlineStr">
        <is>
          <t>D</t>
        </is>
      </c>
      <c r="W32" s="114" t="n"/>
      <c r="X32" s="115" t="inlineStr">
        <is>
          <t>M</t>
        </is>
      </c>
      <c r="Y32" s="114" t="n"/>
      <c r="Z32" s="114" t="n"/>
      <c r="AA32" s="114" t="n"/>
      <c r="AB32" s="124" t="inlineStr">
        <is>
          <t>D</t>
        </is>
      </c>
      <c r="AC32" s="114" t="n"/>
      <c r="AD32" s="114" t="n"/>
      <c r="AE32" s="126" t="inlineStr">
        <is>
          <t>T</t>
        </is>
      </c>
      <c r="AF32" s="114" t="n"/>
      <c r="AG32" s="114" t="n"/>
      <c r="AH32" s="124" t="inlineStr">
        <is>
          <t>D</t>
        </is>
      </c>
      <c r="AI32" s="126" t="inlineStr">
        <is>
          <t>T</t>
        </is>
      </c>
      <c r="AJ32" s="114" t="n"/>
      <c r="AK32" s="114" t="n"/>
      <c r="AL32" s="114" t="n"/>
      <c r="AM32" s="100" t="n"/>
      <c r="AN32" s="136">
        <f>IFERROR(INDEX(MAI!I$8:I$73,MATCH($A32,MAI!$A$8:$A$73,0))&amp;"","")</f>
        <v/>
      </c>
      <c r="AO32" s="116">
        <f>IFERROR(INDEX(MAI!J$8:J$73,MATCH($A32,MAI!$A$8:$A$73,0))&amp;"","")</f>
        <v/>
      </c>
      <c r="AP32" s="116">
        <f>IFERROR(INDEX(MAI!K$8:K$73,MATCH($A32,MAI!$A$8:$A$73,0))&amp;"","")</f>
        <v/>
      </c>
      <c r="AQ32" s="100" t="n"/>
      <c r="AR32" s="100" t="n"/>
      <c r="AS32" s="100" t="n"/>
      <c r="AT32" s="117">
        <f>SUMPRODUCT(($G32:$M32="M")*6+($G32:$M32="T")*6+($G32:$M32="D")*12+($G32:$M32="N")*12+($G32:$M32="NT")*6+($G32:$M32="C")*10+($G32:$M32="A")*8+($G32:$M32="J")*5+($G32:$M32="CEP")*4+($G32:$M32="CP")*6+($G32:$M32="CRO")*6+($G32:$M32="M+")*6+($G32:$M32="T+")*6+($G32:$M32="D+")*12+($G32:$M32="N+")*12+($G32:$M32="Dm+")*12+($G32:$M32="Dt+")*12+($G32:$M32="Tm-")*6+($G32:$M32="Mt-")*6)</f>
        <v/>
      </c>
      <c r="AU32" s="118">
        <f>AT32-MAX(0,IFERROR(INDEX(CADASTRO!$I$4:$I$80,MATCH($A32,CADASTRO!$A$4:$A$80,0)),$B32)-CONFIG!$B$50*(COUNTIF($G32:$M32,"AB")+COUNTIF($G32:$M32,"FE")+COUNTIF($G32:$M32,"LM")))</f>
        <v/>
      </c>
      <c r="AV32" s="117">
        <f>SUMPRODUCT(($N32:$T32="M")*6+($N32:$T32="T")*6+($N32:$T32="D")*12+($N32:$T32="N")*12+($N32:$T32="NT")*6+($N32:$T32="C")*10+($N32:$T32="A")*8+($N32:$T32="J")*5+($N32:$T32="CEP")*4+($N32:$T32="CP")*6+($N32:$T32="CRO")*6+($N32:$T32="M+")*6+($N32:$T32="T+")*6+($N32:$T32="D+")*12+($N32:$T32="N+")*12+($N32:$T32="Dm+")*12+($N32:$T32="Dt+")*12+($N32:$T32="Tm-")*6+($N32:$T32="Mt-")*6)</f>
        <v/>
      </c>
      <c r="AW32" s="118">
        <f>AV32-MAX(0,IFERROR(INDEX(CADASTRO!$I$4:$I$80,MATCH($A32,CADASTRO!$A$4:$A$80,0)),$B32)-CONFIG!$B$50*(COUNTIF($N32:$T32,"AB")+COUNTIF($N32:$T32,"FE")+COUNTIF($N32:$T32,"LM")))</f>
        <v/>
      </c>
      <c r="AX32" s="117">
        <f>SUMPRODUCT(($U32:$AA32="M")*6+($U32:$AA32="T")*6+($U32:$AA32="D")*12+($U32:$AA32="N")*12+($U32:$AA32="NT")*6+($U32:$AA32="C")*10+($U32:$AA32="A")*8+($U32:$AA32="J")*5+($U32:$AA32="CEP")*4+($U32:$AA32="CP")*6+($U32:$AA32="CRO")*6+($U32:$AA32="M+")*6+($U32:$AA32="T+")*6+($U32:$AA32="D+")*12+($U32:$AA32="N+")*12+($U32:$AA32="Dm+")*12+($U32:$AA32="Dt+")*12+($U32:$AA32="Tm-")*6+($U32:$AA32="Mt-")*6)</f>
        <v/>
      </c>
      <c r="AY32" s="118">
        <f>AX32-MAX(0,IFERROR(INDEX(CADASTRO!$I$4:$I$80,MATCH($A32,CADASTRO!$A$4:$A$80,0)),$B32)-CONFIG!$B$50*(COUNTIF($U32:$AA32,"AB")+COUNTIF($U32:$AA32,"FE")+COUNTIF($U32:$AA32,"LM")))</f>
        <v/>
      </c>
      <c r="AZ32" s="117">
        <f>SUMPRODUCT(($AB32:$AH32="M")*6+($AB32:$AH32="T")*6+($AB32:$AH32="D")*12+($AB32:$AH32="N")*12+($AB32:$AH32="NT")*6+($AB32:$AH32="C")*10+($AB32:$AH32="A")*8+($AB32:$AH32="J")*5+($AB32:$AH32="CEP")*4+($AB32:$AH32="CP")*6+($AB32:$AH32="CRO")*6+($AB32:$AH32="M+")*6+($AB32:$AH32="T+")*6+($AB32:$AH32="D+")*12+($AB32:$AH32="N+")*12+($AB32:$AH32="Dm+")*12+($AB32:$AH32="Dt+")*12+($AB32:$AH32="Tm-")*6+($AB32:$AH32="Mt-")*6)</f>
        <v/>
      </c>
      <c r="BA32" s="118">
        <f>AZ32-MAX(0,IFERROR(INDEX(CADASTRO!$I$4:$I$80,MATCH($A32,CADASTRO!$A$4:$A$80,0)),$B32)-CONFIG!$B$50*(COUNTIF($AB32:$AH32,"AB")+COUNTIF($AB32:$AH32,"FE")+COUNTIF($AB32:$AH32,"LM")))</f>
        <v/>
      </c>
      <c r="BB32" s="117">
        <f>SUMPRODUCT(($AI32:$AL32="M")*6+($AI32:$AL32="T")*6+($AI32:$AL32="D")*12+($AI32:$AL32="N")*12+($AI32:$AL32="NT")*6+($AI32:$AL32="C")*10+($AI32:$AL32="A")*8+($AI32:$AL32="J")*5+($AI32:$AL32="CEP")*4+($AI32:$AL32="CP")*6+($AI32:$AL32="CRO")*6+($AI32:$AL32="M+")*6+($AI32:$AL32="T+")*6+($AI32:$AL32="D+")*12+($AI32:$AL32="N+")*12+($AI32:$AL32="Dm+")*12+($AI32:$AL32="Dt+")*12+($AI32:$AL32="Tm-")*6+($AI32:$AL32="Mt-")*6)+SUMPRODUCT(($AN32:$AP32="M")*6+($AN32:$AP32="T")*6+($AN32:$AP32="D")*12+($AN32:$AP32="N")*12+($AN32:$AP32="NT")*6+($AN32:$AP32="C")*10+($AN32:$AP32="A")*8+($AN32:$AP32="J")*5+($AN32:$AP32="CEP")*4+($AN32:$AP32="CP")*6+($AN32:$AP32="CRO")*6+($AN32:$AP32="M+")*6+($AN32:$AP32="T+")*6+($AN32:$AP32="D+")*12+($AN32:$AP32="N+")*12+($AN32:$AP32="Dm+")*12+($AN32:$AP32="Dt+")*12+($AN32:$AP32="Tm-")*6+($AN32:$AP32="Mt-")*6)</f>
        <v/>
      </c>
      <c r="BC32" s="118">
        <f>BB32-MAX(0,IFERROR(INDEX(CADASTRO!$I$4:$I$80,MATCH($A32,CADASTRO!$A$4:$A$80,0)),$B32)-CONFIG!$B$50*(COUNTIF($AI32:$AL32,"AB")+COUNTIF($AI32:$AL32,"FE")+COUNTIF($AI32:$AL32,"LM")+COUNTIF($AN32:$AP32,"AB")+COUNTIF($AN32:$AP32,"FE")+COUNTIF($AN32:$AP32,"LM")))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ROUND(B32*4.29,0)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36">
        <f>IFERROR(INDEX(MAR!AL$8:AL$73,MATCH($A33,MAR!$A$8:$A$73,0))&amp;"","")</f>
        <v/>
      </c>
      <c r="H33" s="136">
        <f>IFERROR(INDEX(MAR!AM$8:AM$73,MATCH($A33,MAR!$A$8:$A$73,0))&amp;"","")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00" t="n"/>
      <c r="AN33" s="136">
        <f>IFERROR(INDEX(MAI!I$8:I$73,MATCH($A33,MAI!$A$8:$A$73,0))&amp;"","")</f>
        <v/>
      </c>
      <c r="AO33" s="116">
        <f>IFERROR(INDEX(MAI!J$8:J$73,MATCH($A33,MAI!$A$8:$A$73,0))&amp;"","")</f>
        <v/>
      </c>
      <c r="AP33" s="116">
        <f>IFERROR(INDEX(MAI!K$8:K$73,MATCH($A33,MAI!$A$8:$A$73,0))&amp;"","")</f>
        <v/>
      </c>
      <c r="AQ33" s="100" t="n"/>
      <c r="AR33" s="100" t="n"/>
      <c r="AS33" s="100" t="n"/>
      <c r="AT33" s="117">
        <f>SUMPRODUCT(($G33:$M33="M")*6+($G33:$M33="T")*6+($G33:$M33="D")*12+($G33:$M33="N")*12+($G33:$M33="NT")*6+($G33:$M33="C")*10+($G33:$M33="A")*8+($G33:$M33="J")*5+($G33:$M33="CEP")*4+($G33:$M33="CP")*6+($G33:$M33="CRO")*6+($G33:$M33="M+")*6+($G33:$M33="T+")*6+($G33:$M33="D+")*12+($G33:$M33="N+")*12+($G33:$M33="Dm+")*12+($G33:$M33="Dt+")*12+($G33:$M33="Tm-")*6+($G33:$M33="Mt-")*6)</f>
        <v/>
      </c>
      <c r="AU33" s="118">
        <f>AT33-MAX(0,IFERROR(INDEX(CADASTRO!$I$4:$I$80,MATCH($A33,CADASTRO!$A$4:$A$80,0)),$B33)-CONFIG!$B$50*(COUNTIF($G33:$M33,"AB")+COUNTIF($G33:$M33,"FE")+COUNTIF($G33:$M33,"LM")))</f>
        <v/>
      </c>
      <c r="AV33" s="117">
        <f>SUMPRODUCT(($N33:$T33="M")*6+($N33:$T33="T")*6+($N33:$T33="D")*12+($N33:$T33="N")*12+($N33:$T33="NT")*6+($N33:$T33="C")*10+($N33:$T33="A")*8+($N33:$T33="J")*5+($N33:$T33="CEP")*4+($N33:$T33="CP")*6+($N33:$T33="CRO")*6+($N33:$T33="M+")*6+($N33:$T33="T+")*6+($N33:$T33="D+")*12+($N33:$T33="N+")*12+($N33:$T33="Dm+")*12+($N33:$T33="Dt+")*12+($N33:$T33="Tm-")*6+($N33:$T33="Mt-")*6)</f>
        <v/>
      </c>
      <c r="AW33" s="118">
        <f>AV33-MAX(0,IFERROR(INDEX(CADASTRO!$I$4:$I$80,MATCH($A33,CADASTRO!$A$4:$A$80,0)),$B33)-CONFIG!$B$50*(COUNTIF($N33:$T33,"AB")+COUNTIF($N33:$T33,"FE")+COUNTIF($N33:$T33,"LM")))</f>
        <v/>
      </c>
      <c r="AX33" s="117">
        <f>SUMPRODUCT(($U33:$AA33="M")*6+($U33:$AA33="T")*6+($U33:$AA33="D")*12+($U33:$AA33="N")*12+($U33:$AA33="NT")*6+($U33:$AA33="C")*10+($U33:$AA33="A")*8+($U33:$AA33="J")*5+($U33:$AA33="CEP")*4+($U33:$AA33="CP")*6+($U33:$AA33="CRO")*6+($U33:$AA33="M+")*6+($U33:$AA33="T+")*6+($U33:$AA33="D+")*12+($U33:$AA33="N+")*12+($U33:$AA33="Dm+")*12+($U33:$AA33="Dt+")*12+($U33:$AA33="Tm-")*6+($U33:$AA33="Mt-")*6)</f>
        <v/>
      </c>
      <c r="AY33" s="118">
        <f>AX33-MAX(0,IFERROR(INDEX(CADASTRO!$I$4:$I$80,MATCH($A33,CADASTRO!$A$4:$A$80,0)),$B33)-CONFIG!$B$50*(COUNTIF($U33:$AA33,"AB")+COUNTIF($U33:$AA33,"FE")+COUNTIF($U33:$AA33,"LM")))</f>
        <v/>
      </c>
      <c r="AZ33" s="117">
        <f>SUMPRODUCT(($AB33:$AH33="M")*6+($AB33:$AH33="T")*6+($AB33:$AH33="D")*12+($AB33:$AH33="N")*12+($AB33:$AH33="NT")*6+($AB33:$AH33="C")*10+($AB33:$AH33="A")*8+($AB33:$AH33="J")*5+($AB33:$AH33="CEP")*4+($AB33:$AH33="CP")*6+($AB33:$AH33="CRO")*6+($AB33:$AH33="M+")*6+($AB33:$AH33="T+")*6+($AB33:$AH33="D+")*12+($AB33:$AH33="N+")*12+($AB33:$AH33="Dm+")*12+($AB33:$AH33="Dt+")*12+($AB33:$AH33="Tm-")*6+($AB33:$AH33="Mt-")*6)</f>
        <v/>
      </c>
      <c r="BA33" s="118">
        <f>AZ33-MAX(0,IFERROR(INDEX(CADASTRO!$I$4:$I$80,MATCH($A33,CADASTRO!$A$4:$A$80,0)),$B33)-CONFIG!$B$50*(COUNTIF($AB33:$AH33,"AB")+COUNTIF($AB33:$AH33,"FE")+COUNTIF($AB33:$AH33,"LM")))</f>
        <v/>
      </c>
      <c r="BB33" s="117">
        <f>SUMPRODUCT(($AI33:$AL33="M")*6+($AI33:$AL33="T")*6+($AI33:$AL33="D")*12+($AI33:$AL33="N")*12+($AI33:$AL33="NT")*6+($AI33:$AL33="C")*10+($AI33:$AL33="A")*8+($AI33:$AL33="J")*5+($AI33:$AL33="CEP")*4+($AI33:$AL33="CP")*6+($AI33:$AL33="CRO")*6+($AI33:$AL33="M+")*6+($AI33:$AL33="T+")*6+($AI33:$AL33="D+")*12+($AI33:$AL33="N+")*12+($AI33:$AL33="Dm+")*12+($AI33:$AL33="Dt+")*12+($AI33:$AL33="Tm-")*6+($AI33:$AL33="Mt-")*6)+SUMPRODUCT(($AN33:$AP33="M")*6+($AN33:$AP33="T")*6+($AN33:$AP33="D")*12+($AN33:$AP33="N")*12+($AN33:$AP33="NT")*6+($AN33:$AP33="C")*10+($AN33:$AP33="A")*8+($AN33:$AP33="J")*5+($AN33:$AP33="CEP")*4+($AN33:$AP33="CP")*6+($AN33:$AP33="CRO")*6+($AN33:$AP33="M+")*6+($AN33:$AP33="T+")*6+($AN33:$AP33="D+")*12+($AN33:$AP33="N+")*12+($AN33:$AP33="Dm+")*12+($AN33:$AP33="Dt+")*12+($AN33:$AP33="Tm-")*6+($AN33:$AP33="Mt-")*6)</f>
        <v/>
      </c>
      <c r="BC33" s="118">
        <f>BB33-MAX(0,IFERROR(INDEX(CADASTRO!$I$4:$I$80,MATCH($A33,CADASTRO!$A$4:$A$80,0)),$B33)-CONFIG!$B$50*(COUNTIF($AI33:$AL33,"AB")+COUNTIF($AI33:$AL33,"FE")+COUNTIF($AI33:$AL33,"LM")+COUNTIF($AN33:$AP33,"AB")+COUNTIF($AN33:$AP33,"FE")+COUNTIF($AN33:$AP33,"LM")))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ROUND(B33*4.29,0)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36">
        <f>IFERROR(INDEX(MAR!AL$8:AL$73,MATCH($A34,MAR!$A$8:$A$73,0))&amp;"","")</f>
        <v/>
      </c>
      <c r="H34" s="136">
        <f>IFERROR(INDEX(MAR!AM$8:AM$73,MATCH($A34,MAR!$A$8:$A$73,0))&amp;"","")</f>
        <v/>
      </c>
      <c r="I34" s="124" t="inlineStr">
        <is>
          <t>D</t>
        </is>
      </c>
      <c r="J34" s="115" t="inlineStr">
        <is>
          <t>M</t>
        </is>
      </c>
      <c r="K34" s="114" t="n"/>
      <c r="L34" s="114" t="n"/>
      <c r="M34" s="114" t="n"/>
      <c r="N34" s="114" t="n"/>
      <c r="O34" s="124" t="inlineStr">
        <is>
          <t>D</t>
        </is>
      </c>
      <c r="P34" s="114" t="n"/>
      <c r="Q34" s="114" t="n"/>
      <c r="R34" s="114" t="n"/>
      <c r="S34" s="124" t="inlineStr">
        <is>
          <t>D</t>
        </is>
      </c>
      <c r="T34" s="115" t="inlineStr">
        <is>
          <t>M</t>
        </is>
      </c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  <c r="AI34" s="114" t="n"/>
      <c r="AJ34" s="124" t="inlineStr">
        <is>
          <t>D</t>
        </is>
      </c>
      <c r="AK34" s="125" t="inlineStr">
        <is>
          <t>N</t>
        </is>
      </c>
      <c r="AL34" s="114" t="n"/>
      <c r="AM34" s="100" t="n"/>
      <c r="AN34" s="136">
        <f>IFERROR(INDEX(MAI!I$8:I$73,MATCH($A34,MAI!$A$8:$A$73,0))&amp;"","")</f>
        <v/>
      </c>
      <c r="AO34" s="116">
        <f>IFERROR(INDEX(MAI!J$8:J$73,MATCH($A34,MAI!$A$8:$A$73,0))&amp;"","")</f>
        <v/>
      </c>
      <c r="AP34" s="116">
        <f>IFERROR(INDEX(MAI!K$8:K$73,MATCH($A34,MAI!$A$8:$A$73,0))&amp;"","")</f>
        <v/>
      </c>
      <c r="AQ34" s="100" t="n"/>
      <c r="AR34" s="100" t="n"/>
      <c r="AS34" s="100" t="n"/>
      <c r="AT34" s="117">
        <f>SUMPRODUCT(($G34:$M34="M")*6+($G34:$M34="T")*6+($G34:$M34="D")*12+($G34:$M34="N")*12+($G34:$M34="NT")*6+($G34:$M34="C")*10+($G34:$M34="A")*8+($G34:$M34="J")*5+($G34:$M34="CEP")*4+($G34:$M34="CP")*6+($G34:$M34="CRO")*6+($G34:$M34="M+")*6+($G34:$M34="T+")*6+($G34:$M34="D+")*12+($G34:$M34="N+")*12+($G34:$M34="Dm+")*12+($G34:$M34="Dt+")*12+($G34:$M34="Tm-")*6+($G34:$M34="Mt-")*6)</f>
        <v/>
      </c>
      <c r="AU34" s="118">
        <f>AT34-MAX(0,IFERROR(INDEX(CADASTRO!$I$4:$I$80,MATCH($A34,CADASTRO!$A$4:$A$80,0)),$B34)-CONFIG!$B$50*(COUNTIF($G34:$M34,"AB")+COUNTIF($G34:$M34,"FE")+COUNTIF($G34:$M34,"LM")))</f>
        <v/>
      </c>
      <c r="AV34" s="117">
        <f>SUMPRODUCT(($N34:$T34="M")*6+($N34:$T34="T")*6+($N34:$T34="D")*12+($N34:$T34="N")*12+($N34:$T34="NT")*6+($N34:$T34="C")*10+($N34:$T34="A")*8+($N34:$T34="J")*5+($N34:$T34="CEP")*4+($N34:$T34="CP")*6+($N34:$T34="CRO")*6+($N34:$T34="M+")*6+($N34:$T34="T+")*6+($N34:$T34="D+")*12+($N34:$T34="N+")*12+($N34:$T34="Dm+")*12+($N34:$T34="Dt+")*12+($N34:$T34="Tm-")*6+($N34:$T34="Mt-")*6)</f>
        <v/>
      </c>
      <c r="AW34" s="118">
        <f>AV34-MAX(0,IFERROR(INDEX(CADASTRO!$I$4:$I$80,MATCH($A34,CADASTRO!$A$4:$A$80,0)),$B34)-CONFIG!$B$50*(COUNTIF($N34:$T34,"AB")+COUNTIF($N34:$T34,"FE")+COUNTIF($N34:$T34,"LM")))</f>
        <v/>
      </c>
      <c r="AX34" s="117">
        <f>SUMPRODUCT(($U34:$AA34="M")*6+($U34:$AA34="T")*6+($U34:$AA34="D")*12+($U34:$AA34="N")*12+($U34:$AA34="NT")*6+($U34:$AA34="C")*10+($U34:$AA34="A")*8+($U34:$AA34="J")*5+($U34:$AA34="CEP")*4+($U34:$AA34="CP")*6+($U34:$AA34="CRO")*6+($U34:$AA34="M+")*6+($U34:$AA34="T+")*6+($U34:$AA34="D+")*12+($U34:$AA34="N+")*12+($U34:$AA34="Dm+")*12+($U34:$AA34="Dt+")*12+($U34:$AA34="Tm-")*6+($U34:$AA34="Mt-")*6)</f>
        <v/>
      </c>
      <c r="AY34" s="118">
        <f>AX34-MAX(0,IFERROR(INDEX(CADASTRO!$I$4:$I$80,MATCH($A34,CADASTRO!$A$4:$A$80,0)),$B34)-CONFIG!$B$50*(COUNTIF($U34:$AA34,"AB")+COUNTIF($U34:$AA34,"FE")+COUNTIF($U34:$AA34,"LM")))</f>
        <v/>
      </c>
      <c r="AZ34" s="117">
        <f>SUMPRODUCT(($AB34:$AH34="M")*6+($AB34:$AH34="T")*6+($AB34:$AH34="D")*12+($AB34:$AH34="N")*12+($AB34:$AH34="NT")*6+($AB34:$AH34="C")*10+($AB34:$AH34="A")*8+($AB34:$AH34="J")*5+($AB34:$AH34="CEP")*4+($AB34:$AH34="CP")*6+($AB34:$AH34="CRO")*6+($AB34:$AH34="M+")*6+($AB34:$AH34="T+")*6+($AB34:$AH34="D+")*12+($AB34:$AH34="N+")*12+($AB34:$AH34="Dm+")*12+($AB34:$AH34="Dt+")*12+($AB34:$AH34="Tm-")*6+($AB34:$AH34="Mt-")*6)</f>
        <v/>
      </c>
      <c r="BA34" s="118">
        <f>AZ34-MAX(0,IFERROR(INDEX(CADASTRO!$I$4:$I$80,MATCH($A34,CADASTRO!$A$4:$A$80,0)),$B34)-CONFIG!$B$50*(COUNTIF($AB34:$AH34,"AB")+COUNTIF($AB34:$AH34,"FE")+COUNTIF($AB34:$AH34,"LM")))</f>
        <v/>
      </c>
      <c r="BB34" s="117">
        <f>SUMPRODUCT(($AI34:$AL34="M")*6+($AI34:$AL34="T")*6+($AI34:$AL34="D")*12+($AI34:$AL34="N")*12+($AI34:$AL34="NT")*6+($AI34:$AL34="C")*10+($AI34:$AL34="A")*8+($AI34:$AL34="J")*5+($AI34:$AL34="CEP")*4+($AI34:$AL34="CP")*6+($AI34:$AL34="CRO")*6+($AI34:$AL34="M+")*6+($AI34:$AL34="T+")*6+($AI34:$AL34="D+")*12+($AI34:$AL34="N+")*12+($AI34:$AL34="Dm+")*12+($AI34:$AL34="Dt+")*12+($AI34:$AL34="Tm-")*6+($AI34:$AL34="Mt-")*6)+SUMPRODUCT(($AN34:$AP34="M")*6+($AN34:$AP34="T")*6+($AN34:$AP34="D")*12+($AN34:$AP34="N")*12+($AN34:$AP34="NT")*6+($AN34:$AP34="C")*10+($AN34:$AP34="A")*8+($AN34:$AP34="J")*5+($AN34:$AP34="CEP")*4+($AN34:$AP34="CP")*6+($AN34:$AP34="CRO")*6+($AN34:$AP34="M+")*6+($AN34:$AP34="T+")*6+($AN34:$AP34="D+")*12+($AN34:$AP34="N+")*12+($AN34:$AP34="Dm+")*12+($AN34:$AP34="Dt+")*12+($AN34:$AP34="Tm-")*6+($AN34:$AP34="Mt-")*6)</f>
        <v/>
      </c>
      <c r="BC34" s="118">
        <f>BB34-MAX(0,IFERROR(INDEX(CADASTRO!$I$4:$I$80,MATCH($A34,CADASTRO!$A$4:$A$80,0)),$B34)-CONFIG!$B$50*(COUNTIF($AI34:$AL34,"AB")+COUNTIF($AI34:$AL34,"FE")+COUNTIF($AI34:$AL34,"LM")+COUNTIF($AN34:$AP34,"AB")+COUNTIF($AN34:$AP34,"FE")+COUNTIF($AN34:$AP34,"LM")))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ROUND(B34*4.29,0)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36">
        <f>IFERROR(INDEX(MAR!AL$8:AL$73,MATCH($A35,MAR!$A$8:$A$73,0))&amp;"","")</f>
        <v/>
      </c>
      <c r="H35" s="136">
        <f>IFERROR(INDEX(MAR!AM$8:AM$73,MATCH($A35,MAR!$A$8:$A$73,0))&amp;"","")</f>
        <v/>
      </c>
      <c r="I35" s="114" t="n"/>
      <c r="J35" s="125" t="inlineStr">
        <is>
          <t>N</t>
        </is>
      </c>
      <c r="K35" s="114" t="n"/>
      <c r="L35" s="125" t="inlineStr">
        <is>
          <t>N</t>
        </is>
      </c>
      <c r="M35" s="114" t="n"/>
      <c r="N35" s="125" t="inlineStr">
        <is>
          <t>N</t>
        </is>
      </c>
      <c r="O35" s="126" t="inlineStr">
        <is>
          <t>T</t>
        </is>
      </c>
      <c r="P35" s="125" t="inlineStr">
        <is>
          <t>N</t>
        </is>
      </c>
      <c r="Q35" s="114" t="n"/>
      <c r="R35" s="114" t="n"/>
      <c r="S35" s="114" t="n"/>
      <c r="T35" s="114" t="n"/>
      <c r="U35" s="126" t="inlineStr">
        <is>
          <t>T</t>
        </is>
      </c>
      <c r="V35" s="124" t="inlineStr">
        <is>
          <t>D</t>
        </is>
      </c>
      <c r="W35" s="114" t="n"/>
      <c r="X35" s="114" t="n"/>
      <c r="Y35" s="125" t="inlineStr">
        <is>
          <t>N</t>
        </is>
      </c>
      <c r="Z35" s="114" t="n"/>
      <c r="AA35" s="114" t="n"/>
      <c r="AB35" s="114" t="n"/>
      <c r="AC35" s="114" t="n"/>
      <c r="AD35" s="115" t="inlineStr">
        <is>
          <t>M</t>
        </is>
      </c>
      <c r="AE35" s="126" t="inlineStr">
        <is>
          <t>T</t>
        </is>
      </c>
      <c r="AF35" s="114" t="n"/>
      <c r="AG35" s="126" t="inlineStr">
        <is>
          <t>T</t>
        </is>
      </c>
      <c r="AH35" s="125" t="inlineStr">
        <is>
          <t>N</t>
        </is>
      </c>
      <c r="AI35" s="125" t="inlineStr">
        <is>
          <t>N</t>
        </is>
      </c>
      <c r="AJ35" s="114" t="n"/>
      <c r="AK35" s="126" t="inlineStr">
        <is>
          <t>T</t>
        </is>
      </c>
      <c r="AL35" s="126" t="inlineStr">
        <is>
          <t>T</t>
        </is>
      </c>
      <c r="AM35" s="100" t="n"/>
      <c r="AN35" s="136">
        <f>IFERROR(INDEX(MAI!I$8:I$73,MATCH($A35,MAI!$A$8:$A$73,0))&amp;"","")</f>
        <v/>
      </c>
      <c r="AO35" s="116">
        <f>IFERROR(INDEX(MAI!J$8:J$73,MATCH($A35,MAI!$A$8:$A$73,0))&amp;"","")</f>
        <v/>
      </c>
      <c r="AP35" s="116">
        <f>IFERROR(INDEX(MAI!K$8:K$73,MATCH($A35,MAI!$A$8:$A$73,0))&amp;"","")</f>
        <v/>
      </c>
      <c r="AQ35" s="100" t="n"/>
      <c r="AR35" s="100" t="n"/>
      <c r="AS35" s="100" t="n"/>
      <c r="AT35" s="117">
        <f>SUMPRODUCT(($G35:$M35="M")*6+($G35:$M35="T")*6+($G35:$M35="D")*12+($G35:$M35="N")*12+($G35:$M35="NT")*6+($G35:$M35="C")*10+($G35:$M35="A")*8+($G35:$M35="J")*5+($G35:$M35="CEP")*4+($G35:$M35="CP")*6+($G35:$M35="CRO")*6+($G35:$M35="M+")*6+($G35:$M35="T+")*6+($G35:$M35="D+")*12+($G35:$M35="N+")*12+($G35:$M35="Dm+")*12+($G35:$M35="Dt+")*12+($G35:$M35="Tm-")*6+($G35:$M35="Mt-")*6)</f>
        <v/>
      </c>
      <c r="AU35" s="118">
        <f>AT35-MAX(0,IFERROR(INDEX(CADASTRO!$I$4:$I$80,MATCH($A35,CADASTRO!$A$4:$A$80,0)),$B35)-CONFIG!$B$50*(COUNTIF($G35:$M35,"AB")+COUNTIF($G35:$M35,"FE")+COUNTIF($G35:$M35,"LM")))</f>
        <v/>
      </c>
      <c r="AV35" s="117">
        <f>SUMPRODUCT(($N35:$T35="M")*6+($N35:$T35="T")*6+($N35:$T35="D")*12+($N35:$T35="N")*12+($N35:$T35="NT")*6+($N35:$T35="C")*10+($N35:$T35="A")*8+($N35:$T35="J")*5+($N35:$T35="CEP")*4+($N35:$T35="CP")*6+($N35:$T35="CRO")*6+($N35:$T35="M+")*6+($N35:$T35="T+")*6+($N35:$T35="D+")*12+($N35:$T35="N+")*12+($N35:$T35="Dm+")*12+($N35:$T35="Dt+")*12+($N35:$T35="Tm-")*6+($N35:$T35="Mt-")*6)</f>
        <v/>
      </c>
      <c r="AW35" s="118">
        <f>AV35-MAX(0,IFERROR(INDEX(CADASTRO!$I$4:$I$80,MATCH($A35,CADASTRO!$A$4:$A$80,0)),$B35)-CONFIG!$B$50*(COUNTIF($N35:$T35,"AB")+COUNTIF($N35:$T35,"FE")+COUNTIF($N35:$T35,"LM")))</f>
        <v/>
      </c>
      <c r="AX35" s="117">
        <f>SUMPRODUCT(($U35:$AA35="M")*6+($U35:$AA35="T")*6+($U35:$AA35="D")*12+($U35:$AA35="N")*12+($U35:$AA35="NT")*6+($U35:$AA35="C")*10+($U35:$AA35="A")*8+($U35:$AA35="J")*5+($U35:$AA35="CEP")*4+($U35:$AA35="CP")*6+($U35:$AA35="CRO")*6+($U35:$AA35="M+")*6+($U35:$AA35="T+")*6+($U35:$AA35="D+")*12+($U35:$AA35="N+")*12+($U35:$AA35="Dm+")*12+($U35:$AA35="Dt+")*12+($U35:$AA35="Tm-")*6+($U35:$AA35="Mt-")*6)</f>
        <v/>
      </c>
      <c r="AY35" s="118">
        <f>AX35-MAX(0,IFERROR(INDEX(CADASTRO!$I$4:$I$80,MATCH($A35,CADASTRO!$A$4:$A$80,0)),$B35)-CONFIG!$B$50*(COUNTIF($U35:$AA35,"AB")+COUNTIF($U35:$AA35,"FE")+COUNTIF($U35:$AA35,"LM")))</f>
        <v/>
      </c>
      <c r="AZ35" s="117">
        <f>SUMPRODUCT(($AB35:$AH35="M")*6+($AB35:$AH35="T")*6+($AB35:$AH35="D")*12+($AB35:$AH35="N")*12+($AB35:$AH35="NT")*6+($AB35:$AH35="C")*10+($AB35:$AH35="A")*8+($AB35:$AH35="J")*5+($AB35:$AH35="CEP")*4+($AB35:$AH35="CP")*6+($AB35:$AH35="CRO")*6+($AB35:$AH35="M+")*6+($AB35:$AH35="T+")*6+($AB35:$AH35="D+")*12+($AB35:$AH35="N+")*12+($AB35:$AH35="Dm+")*12+($AB35:$AH35="Dt+")*12+($AB35:$AH35="Tm-")*6+($AB35:$AH35="Mt-")*6)</f>
        <v/>
      </c>
      <c r="BA35" s="118">
        <f>AZ35-MAX(0,IFERROR(INDEX(CADASTRO!$I$4:$I$80,MATCH($A35,CADASTRO!$A$4:$A$80,0)),$B35)-CONFIG!$B$50*(COUNTIF($AB35:$AH35,"AB")+COUNTIF($AB35:$AH35,"FE")+COUNTIF($AB35:$AH35,"LM")))</f>
        <v/>
      </c>
      <c r="BB35" s="117">
        <f>SUMPRODUCT(($AI35:$AL35="M")*6+($AI35:$AL35="T")*6+($AI35:$AL35="D")*12+($AI35:$AL35="N")*12+($AI35:$AL35="NT")*6+($AI35:$AL35="C")*10+($AI35:$AL35="A")*8+($AI35:$AL35="J")*5+($AI35:$AL35="CEP")*4+($AI35:$AL35="CP")*6+($AI35:$AL35="CRO")*6+($AI35:$AL35="M+")*6+($AI35:$AL35="T+")*6+($AI35:$AL35="D+")*12+($AI35:$AL35="N+")*12+($AI35:$AL35="Dm+")*12+($AI35:$AL35="Dt+")*12+($AI35:$AL35="Tm-")*6+($AI35:$AL35="Mt-")*6)+SUMPRODUCT(($AN35:$AP35="M")*6+($AN35:$AP35="T")*6+($AN35:$AP35="D")*12+($AN35:$AP35="N")*12+($AN35:$AP35="NT")*6+($AN35:$AP35="C")*10+($AN35:$AP35="A")*8+($AN35:$AP35="J")*5+($AN35:$AP35="CEP")*4+($AN35:$AP35="CP")*6+($AN35:$AP35="CRO")*6+($AN35:$AP35="M+")*6+($AN35:$AP35="T+")*6+($AN35:$AP35="D+")*12+($AN35:$AP35="N+")*12+($AN35:$AP35="Dm+")*12+($AN35:$AP35="Dt+")*12+($AN35:$AP35="Tm-")*6+($AN35:$AP35="Mt-")*6)</f>
        <v/>
      </c>
      <c r="BC35" s="118">
        <f>BB35-MAX(0,IFERROR(INDEX(CADASTRO!$I$4:$I$80,MATCH($A35,CADASTRO!$A$4:$A$80,0)),$B35)-CONFIG!$B$50*(COUNTIF($AI35:$AL35,"AB")+COUNTIF($AI35:$AL35,"FE")+COUNTIF($AI35:$AL35,"LM")+COUNTIF($AN35:$AP35,"AB")+COUNTIF($AN35:$AP35,"FE")+COUNTIF($AN35:$AP35,"LM")))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ROUND(B35*4.29,0)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36">
        <f>IFERROR(INDEX(MAR!AL$8:AL$73,MATCH($A36,MAR!$A$8:$A$73,0))&amp;"","")</f>
        <v/>
      </c>
      <c r="H36" s="136">
        <f>IFERROR(INDEX(MAR!AM$8:AM$73,MATCH($A36,MAR!$A$8:$A$73,0))&amp;"","")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26" t="inlineStr">
        <is>
          <t>T</t>
        </is>
      </c>
      <c r="Y36" s="115" t="inlineStr">
        <is>
          <t>M</t>
        </is>
      </c>
      <c r="Z36" s="124" t="inlineStr">
        <is>
          <t>D</t>
        </is>
      </c>
      <c r="AA36" s="114" t="n"/>
      <c r="AB36" s="124" t="inlineStr">
        <is>
          <t>D</t>
        </is>
      </c>
      <c r="AC36" s="125" t="inlineStr">
        <is>
          <t>N</t>
        </is>
      </c>
      <c r="AD36" s="126" t="inlineStr">
        <is>
          <t>T</t>
        </is>
      </c>
      <c r="AE36" s="114" t="n"/>
      <c r="AF36" s="114" t="n"/>
      <c r="AG36" s="114" t="n"/>
      <c r="AH36" s="114" t="n"/>
      <c r="AI36" s="114" t="n"/>
      <c r="AJ36" s="114" t="n"/>
      <c r="AK36" s="114" t="n"/>
      <c r="AL36" s="126" t="inlineStr">
        <is>
          <t>T</t>
        </is>
      </c>
      <c r="AM36" s="100" t="n"/>
      <c r="AN36" s="136">
        <f>IFERROR(INDEX(MAI!I$8:I$73,MATCH($A36,MAI!$A$8:$A$73,0))&amp;"","")</f>
        <v/>
      </c>
      <c r="AO36" s="116">
        <f>IFERROR(INDEX(MAI!J$8:J$73,MATCH($A36,MAI!$A$8:$A$73,0))&amp;"","")</f>
        <v/>
      </c>
      <c r="AP36" s="116">
        <f>IFERROR(INDEX(MAI!K$8:K$73,MATCH($A36,MAI!$A$8:$A$73,0))&amp;"","")</f>
        <v/>
      </c>
      <c r="AQ36" s="100" t="n"/>
      <c r="AR36" s="100" t="n"/>
      <c r="AS36" s="100" t="n"/>
      <c r="AT36" s="117">
        <f>SUMPRODUCT(($G36:$M36="M")*6+($G36:$M36="T")*6+($G36:$M36="D")*12+($G36:$M36="N")*12+($G36:$M36="NT")*6+($G36:$M36="C")*10+($G36:$M36="A")*8+($G36:$M36="J")*5+($G36:$M36="CEP")*4+($G36:$M36="CP")*6+($G36:$M36="CRO")*6+($G36:$M36="M+")*6+($G36:$M36="T+")*6+($G36:$M36="D+")*12+($G36:$M36="N+")*12+($G36:$M36="Dm+")*12+($G36:$M36="Dt+")*12+($G36:$M36="Tm-")*6+($G36:$M36="Mt-")*6)</f>
        <v/>
      </c>
      <c r="AU36" s="118">
        <f>AT36-MAX(0,IFERROR(INDEX(CADASTRO!$I$4:$I$80,MATCH($A36,CADASTRO!$A$4:$A$80,0)),$B36)-CONFIG!$B$50*(COUNTIF($G36:$M36,"AB")+COUNTIF($G36:$M36,"FE")+COUNTIF($G36:$M36,"LM")))</f>
        <v/>
      </c>
      <c r="AV36" s="117">
        <f>SUMPRODUCT(($N36:$T36="M")*6+($N36:$T36="T")*6+($N36:$T36="D")*12+($N36:$T36="N")*12+($N36:$T36="NT")*6+($N36:$T36="C")*10+($N36:$T36="A")*8+($N36:$T36="J")*5+($N36:$T36="CEP")*4+($N36:$T36="CP")*6+($N36:$T36="CRO")*6+($N36:$T36="M+")*6+($N36:$T36="T+")*6+($N36:$T36="D+")*12+($N36:$T36="N+")*12+($N36:$T36="Dm+")*12+($N36:$T36="Dt+")*12+($N36:$T36="Tm-")*6+($N36:$T36="Mt-")*6)</f>
        <v/>
      </c>
      <c r="AW36" s="118">
        <f>AV36-MAX(0,IFERROR(INDEX(CADASTRO!$I$4:$I$80,MATCH($A36,CADASTRO!$A$4:$A$80,0)),$B36)-CONFIG!$B$50*(COUNTIF($N36:$T36,"AB")+COUNTIF($N36:$T36,"FE")+COUNTIF($N36:$T36,"LM")))</f>
        <v/>
      </c>
      <c r="AX36" s="117">
        <f>SUMPRODUCT(($U36:$AA36="M")*6+($U36:$AA36="T")*6+($U36:$AA36="D")*12+($U36:$AA36="N")*12+($U36:$AA36="NT")*6+($U36:$AA36="C")*10+($U36:$AA36="A")*8+($U36:$AA36="J")*5+($U36:$AA36="CEP")*4+($U36:$AA36="CP")*6+($U36:$AA36="CRO")*6+($U36:$AA36="M+")*6+($U36:$AA36="T+")*6+($U36:$AA36="D+")*12+($U36:$AA36="N+")*12+($U36:$AA36="Dm+")*12+($U36:$AA36="Dt+")*12+($U36:$AA36="Tm-")*6+($U36:$AA36="Mt-")*6)</f>
        <v/>
      </c>
      <c r="AY36" s="118">
        <f>AX36-MAX(0,IFERROR(INDEX(CADASTRO!$I$4:$I$80,MATCH($A36,CADASTRO!$A$4:$A$80,0)),$B36)-CONFIG!$B$50*(COUNTIF($U36:$AA36,"AB")+COUNTIF($U36:$AA36,"FE")+COUNTIF($U36:$AA36,"LM")))</f>
        <v/>
      </c>
      <c r="AZ36" s="117">
        <f>SUMPRODUCT(($AB36:$AH36="M")*6+($AB36:$AH36="T")*6+($AB36:$AH36="D")*12+($AB36:$AH36="N")*12+($AB36:$AH36="NT")*6+($AB36:$AH36="C")*10+($AB36:$AH36="A")*8+($AB36:$AH36="J")*5+($AB36:$AH36="CEP")*4+($AB36:$AH36="CP")*6+($AB36:$AH36="CRO")*6+($AB36:$AH36="M+")*6+($AB36:$AH36="T+")*6+($AB36:$AH36="D+")*12+($AB36:$AH36="N+")*12+($AB36:$AH36="Dm+")*12+($AB36:$AH36="Dt+")*12+($AB36:$AH36="Tm-")*6+($AB36:$AH36="Mt-")*6)</f>
        <v/>
      </c>
      <c r="BA36" s="118">
        <f>AZ36-MAX(0,IFERROR(INDEX(CADASTRO!$I$4:$I$80,MATCH($A36,CADASTRO!$A$4:$A$80,0)),$B36)-CONFIG!$B$50*(COUNTIF($AB36:$AH36,"AB")+COUNTIF($AB36:$AH36,"FE")+COUNTIF($AB36:$AH36,"LM")))</f>
        <v/>
      </c>
      <c r="BB36" s="117">
        <f>SUMPRODUCT(($AI36:$AL36="M")*6+($AI36:$AL36="T")*6+($AI36:$AL36="D")*12+($AI36:$AL36="N")*12+($AI36:$AL36="NT")*6+($AI36:$AL36="C")*10+($AI36:$AL36="A")*8+($AI36:$AL36="J")*5+($AI36:$AL36="CEP")*4+($AI36:$AL36="CP")*6+($AI36:$AL36="CRO")*6+($AI36:$AL36="M+")*6+($AI36:$AL36="T+")*6+($AI36:$AL36="D+")*12+($AI36:$AL36="N+")*12+($AI36:$AL36="Dm+")*12+($AI36:$AL36="Dt+")*12+($AI36:$AL36="Tm-")*6+($AI36:$AL36="Mt-")*6)+SUMPRODUCT(($AN36:$AP36="M")*6+($AN36:$AP36="T")*6+($AN36:$AP36="D")*12+($AN36:$AP36="N")*12+($AN36:$AP36="NT")*6+($AN36:$AP36="C")*10+($AN36:$AP36="A")*8+($AN36:$AP36="J")*5+($AN36:$AP36="CEP")*4+($AN36:$AP36="CP")*6+($AN36:$AP36="CRO")*6+($AN36:$AP36="M+")*6+($AN36:$AP36="T+")*6+($AN36:$AP36="D+")*12+($AN36:$AP36="N+")*12+($AN36:$AP36="Dm+")*12+($AN36:$AP36="Dt+")*12+($AN36:$AP36="Tm-")*6+($AN36:$AP36="Mt-")*6)</f>
        <v/>
      </c>
      <c r="BC36" s="118">
        <f>BB36-MAX(0,IFERROR(INDEX(CADASTRO!$I$4:$I$80,MATCH($A36,CADASTRO!$A$4:$A$80,0)),$B36)-CONFIG!$B$50*(COUNTIF($AI36:$AL36,"AB")+COUNTIF($AI36:$AL36,"FE")+COUNTIF($AI36:$AL36,"LM")+COUNTIF($AN36:$AP36,"AB")+COUNTIF($AN36:$AP36,"FE")+COUNTIF($AN36:$AP36,"LM")))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ROUND(B36*4.29,0)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36">
        <f>IFERROR(INDEX(MAR!AL$8:AL$73,MATCH($A37,MAR!$A$8:$A$73,0))&amp;"","")</f>
        <v/>
      </c>
      <c r="H37" s="136">
        <f>IFERROR(INDEX(MAR!AM$8:AM$73,MATCH($A37,MAR!$A$8:$A$73,0))&amp;"","")</f>
        <v/>
      </c>
      <c r="I37" s="125" t="inlineStr">
        <is>
          <t>N</t>
        </is>
      </c>
      <c r="J37" s="114" t="n"/>
      <c r="K37" s="126" t="inlineStr">
        <is>
          <t>T</t>
        </is>
      </c>
      <c r="L37" s="114" t="n"/>
      <c r="M37" s="124" t="inlineStr">
        <is>
          <t>D</t>
        </is>
      </c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14" t="n"/>
      <c r="AE37" s="115" t="inlineStr">
        <is>
          <t>M</t>
        </is>
      </c>
      <c r="AF37" s="124" t="inlineStr">
        <is>
          <t>D</t>
        </is>
      </c>
      <c r="AG37" s="115" t="inlineStr">
        <is>
          <t>M</t>
        </is>
      </c>
      <c r="AH37" s="114" t="n"/>
      <c r="AI37" s="115" t="inlineStr">
        <is>
          <t>M</t>
        </is>
      </c>
      <c r="AJ37" s="124" t="inlineStr">
        <is>
          <t>D</t>
        </is>
      </c>
      <c r="AK37" s="124" t="inlineStr">
        <is>
          <t>D</t>
        </is>
      </c>
      <c r="AL37" s="114" t="n"/>
      <c r="AM37" s="100" t="n"/>
      <c r="AN37" s="136">
        <f>IFERROR(INDEX(MAI!I$8:I$73,MATCH($A37,MAI!$A$8:$A$73,0))&amp;"","")</f>
        <v/>
      </c>
      <c r="AO37" s="116">
        <f>IFERROR(INDEX(MAI!J$8:J$73,MATCH($A37,MAI!$A$8:$A$73,0))&amp;"","")</f>
        <v/>
      </c>
      <c r="AP37" s="116">
        <f>IFERROR(INDEX(MAI!K$8:K$73,MATCH($A37,MAI!$A$8:$A$73,0))&amp;"","")</f>
        <v/>
      </c>
      <c r="AQ37" s="100" t="n"/>
      <c r="AR37" s="100" t="n"/>
      <c r="AS37" s="100" t="n"/>
      <c r="AT37" s="117">
        <f>SUMPRODUCT(($G37:$M37="M")*6+($G37:$M37="T")*6+($G37:$M37="D")*12+($G37:$M37="N")*12+($G37:$M37="NT")*6+($G37:$M37="C")*10+($G37:$M37="A")*8+($G37:$M37="J")*5+($G37:$M37="CEP")*4+($G37:$M37="CP")*6+($G37:$M37="CRO")*6+($G37:$M37="M+")*6+($G37:$M37="T+")*6+($G37:$M37="D+")*12+($G37:$M37="N+")*12+($G37:$M37="Dm+")*12+($G37:$M37="Dt+")*12+($G37:$M37="Tm-")*6+($G37:$M37="Mt-")*6)</f>
        <v/>
      </c>
      <c r="AU37" s="118">
        <f>AT37-MAX(0,IFERROR(INDEX(CADASTRO!$I$4:$I$80,MATCH($A37,CADASTRO!$A$4:$A$80,0)),$B37)-CONFIG!$B$50*(COUNTIF($G37:$M37,"AB")+COUNTIF($G37:$M37,"FE")+COUNTIF($G37:$M37,"LM")))</f>
        <v/>
      </c>
      <c r="AV37" s="117">
        <f>SUMPRODUCT(($N37:$T37="M")*6+($N37:$T37="T")*6+($N37:$T37="D")*12+($N37:$T37="N")*12+($N37:$T37="NT")*6+($N37:$T37="C")*10+($N37:$T37="A")*8+($N37:$T37="J")*5+($N37:$T37="CEP")*4+($N37:$T37="CP")*6+($N37:$T37="CRO")*6+($N37:$T37="M+")*6+($N37:$T37="T+")*6+($N37:$T37="D+")*12+($N37:$T37="N+")*12+($N37:$T37="Dm+")*12+($N37:$T37="Dt+")*12+($N37:$T37="Tm-")*6+($N37:$T37="Mt-")*6)</f>
        <v/>
      </c>
      <c r="AW37" s="118">
        <f>AV37-MAX(0,IFERROR(INDEX(CADASTRO!$I$4:$I$80,MATCH($A37,CADASTRO!$A$4:$A$80,0)),$B37)-CONFIG!$B$50*(COUNTIF($N37:$T37,"AB")+COUNTIF($N37:$T37,"FE")+COUNTIF($N37:$T37,"LM")))</f>
        <v/>
      </c>
      <c r="AX37" s="117">
        <f>SUMPRODUCT(($U37:$AA37="M")*6+($U37:$AA37="T")*6+($U37:$AA37="D")*12+($U37:$AA37="N")*12+($U37:$AA37="NT")*6+($U37:$AA37="C")*10+($U37:$AA37="A")*8+($U37:$AA37="J")*5+($U37:$AA37="CEP")*4+($U37:$AA37="CP")*6+($U37:$AA37="CRO")*6+($U37:$AA37="M+")*6+($U37:$AA37="T+")*6+($U37:$AA37="D+")*12+($U37:$AA37="N+")*12+($U37:$AA37="Dm+")*12+($U37:$AA37="Dt+")*12+($U37:$AA37="Tm-")*6+($U37:$AA37="Mt-")*6)</f>
        <v/>
      </c>
      <c r="AY37" s="118">
        <f>AX37-MAX(0,IFERROR(INDEX(CADASTRO!$I$4:$I$80,MATCH($A37,CADASTRO!$A$4:$A$80,0)),$B37)-CONFIG!$B$50*(COUNTIF($U37:$AA37,"AB")+COUNTIF($U37:$AA37,"FE")+COUNTIF($U37:$AA37,"LM")))</f>
        <v/>
      </c>
      <c r="AZ37" s="117">
        <f>SUMPRODUCT(($AB37:$AH37="M")*6+($AB37:$AH37="T")*6+($AB37:$AH37="D")*12+($AB37:$AH37="N")*12+($AB37:$AH37="NT")*6+($AB37:$AH37="C")*10+($AB37:$AH37="A")*8+($AB37:$AH37="J")*5+($AB37:$AH37="CEP")*4+($AB37:$AH37="CP")*6+($AB37:$AH37="CRO")*6+($AB37:$AH37="M+")*6+($AB37:$AH37="T+")*6+($AB37:$AH37="D+")*12+($AB37:$AH37="N+")*12+($AB37:$AH37="Dm+")*12+($AB37:$AH37="Dt+")*12+($AB37:$AH37="Tm-")*6+($AB37:$AH37="Mt-")*6)</f>
        <v/>
      </c>
      <c r="BA37" s="118">
        <f>AZ37-MAX(0,IFERROR(INDEX(CADASTRO!$I$4:$I$80,MATCH($A37,CADASTRO!$A$4:$A$80,0)),$B37)-CONFIG!$B$50*(COUNTIF($AB37:$AH37,"AB")+COUNTIF($AB37:$AH37,"FE")+COUNTIF($AB37:$AH37,"LM")))</f>
        <v/>
      </c>
      <c r="BB37" s="117">
        <f>SUMPRODUCT(($AI37:$AL37="M")*6+($AI37:$AL37="T")*6+($AI37:$AL37="D")*12+($AI37:$AL37="N")*12+($AI37:$AL37="NT")*6+($AI37:$AL37="C")*10+($AI37:$AL37="A")*8+($AI37:$AL37="J")*5+($AI37:$AL37="CEP")*4+($AI37:$AL37="CP")*6+($AI37:$AL37="CRO")*6+($AI37:$AL37="M+")*6+($AI37:$AL37="T+")*6+($AI37:$AL37="D+")*12+($AI37:$AL37="N+")*12+($AI37:$AL37="Dm+")*12+($AI37:$AL37="Dt+")*12+($AI37:$AL37="Tm-")*6+($AI37:$AL37="Mt-")*6)+SUMPRODUCT(($AN37:$AP37="M")*6+($AN37:$AP37="T")*6+($AN37:$AP37="D")*12+($AN37:$AP37="N")*12+($AN37:$AP37="NT")*6+($AN37:$AP37="C")*10+($AN37:$AP37="A")*8+($AN37:$AP37="J")*5+($AN37:$AP37="CEP")*4+($AN37:$AP37="CP")*6+($AN37:$AP37="CRO")*6+($AN37:$AP37="M+")*6+($AN37:$AP37="T+")*6+($AN37:$AP37="D+")*12+($AN37:$AP37="N+")*12+($AN37:$AP37="Dm+")*12+($AN37:$AP37="Dt+")*12+($AN37:$AP37="Tm-")*6+($AN37:$AP37="Mt-")*6)</f>
        <v/>
      </c>
      <c r="BC37" s="118">
        <f>BB37-MAX(0,IFERROR(INDEX(CADASTRO!$I$4:$I$80,MATCH($A37,CADASTRO!$A$4:$A$80,0)),$B37)-CONFIG!$B$50*(COUNTIF($AI37:$AL37,"AB")+COUNTIF($AI37:$AL37,"FE")+COUNTIF($AI37:$AL37,"LM")+COUNTIF($AN37:$AP37,"AB")+COUNTIF($AN37:$AP37,"FE")+COUNTIF($AN37:$AP37,"LM")))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ROUND(B37*4.29,0)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36">
        <f>IFERROR(INDEX(MAR!AL$8:AL$73,MATCH($A38,MAR!$A$8:$A$73,0))&amp;"","")</f>
        <v/>
      </c>
      <c r="H38" s="136">
        <f>IFERROR(INDEX(MAR!AM$8:AM$73,MATCH($A38,MAR!$A$8:$A$73,0))&amp;"","")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14" t="n"/>
      <c r="AL38" s="114" t="n"/>
      <c r="AM38" s="100" t="n"/>
      <c r="AN38" s="136">
        <f>IFERROR(INDEX(MAI!I$8:I$73,MATCH($A38,MAI!$A$8:$A$73,0))&amp;"","")</f>
        <v/>
      </c>
      <c r="AO38" s="116">
        <f>IFERROR(INDEX(MAI!J$8:J$73,MATCH($A38,MAI!$A$8:$A$73,0))&amp;"","")</f>
        <v/>
      </c>
      <c r="AP38" s="116">
        <f>IFERROR(INDEX(MAI!K$8:K$73,MATCH($A38,MAI!$A$8:$A$73,0))&amp;"","")</f>
        <v/>
      </c>
      <c r="AQ38" s="100" t="n"/>
      <c r="AR38" s="100" t="n"/>
      <c r="AS38" s="100" t="n"/>
      <c r="AT38" s="117">
        <f>SUMPRODUCT(($G38:$M38="M")*6+($G38:$M38="T")*6+($G38:$M38="D")*12+($G38:$M38="N")*12+($G38:$M38="NT")*6+($G38:$M38="C")*10+($G38:$M38="A")*8+($G38:$M38="J")*5+($G38:$M38="CEP")*4+($G38:$M38="CP")*6+($G38:$M38="CRO")*6+($G38:$M38="M+")*6+($G38:$M38="T+")*6+($G38:$M38="D+")*12+($G38:$M38="N+")*12+($G38:$M38="Dm+")*12+($G38:$M38="Dt+")*12+($G38:$M38="Tm-")*6+($G38:$M38="Mt-")*6)</f>
        <v/>
      </c>
      <c r="AU38" s="118">
        <f>AT38-MAX(0,IFERROR(INDEX(CADASTRO!$I$4:$I$80,MATCH($A38,CADASTRO!$A$4:$A$80,0)),$B38)-CONFIG!$B$50*(COUNTIF($G38:$M38,"AB")+COUNTIF($G38:$M38,"FE")+COUNTIF($G38:$M38,"LM")))</f>
        <v/>
      </c>
      <c r="AV38" s="117">
        <f>SUMPRODUCT(($N38:$T38="M")*6+($N38:$T38="T")*6+($N38:$T38="D")*12+($N38:$T38="N")*12+($N38:$T38="NT")*6+($N38:$T38="C")*10+($N38:$T38="A")*8+($N38:$T38="J")*5+($N38:$T38="CEP")*4+($N38:$T38="CP")*6+($N38:$T38="CRO")*6+($N38:$T38="M+")*6+($N38:$T38="T+")*6+($N38:$T38="D+")*12+($N38:$T38="N+")*12+($N38:$T38="Dm+")*12+($N38:$T38="Dt+")*12+($N38:$T38="Tm-")*6+($N38:$T38="Mt-")*6)</f>
        <v/>
      </c>
      <c r="AW38" s="118">
        <f>AV38-MAX(0,IFERROR(INDEX(CADASTRO!$I$4:$I$80,MATCH($A38,CADASTRO!$A$4:$A$80,0)),$B38)-CONFIG!$B$50*(COUNTIF($N38:$T38,"AB")+COUNTIF($N38:$T38,"FE")+COUNTIF($N38:$T38,"LM")))</f>
        <v/>
      </c>
      <c r="AX38" s="117">
        <f>SUMPRODUCT(($U38:$AA38="M")*6+($U38:$AA38="T")*6+($U38:$AA38="D")*12+($U38:$AA38="N")*12+($U38:$AA38="NT")*6+($U38:$AA38="C")*10+($U38:$AA38="A")*8+($U38:$AA38="J")*5+($U38:$AA38="CEP")*4+($U38:$AA38="CP")*6+($U38:$AA38="CRO")*6+($U38:$AA38="M+")*6+($U38:$AA38="T+")*6+($U38:$AA38="D+")*12+($U38:$AA38="N+")*12+($U38:$AA38="Dm+")*12+($U38:$AA38="Dt+")*12+($U38:$AA38="Tm-")*6+($U38:$AA38="Mt-")*6)</f>
        <v/>
      </c>
      <c r="AY38" s="118">
        <f>AX38-MAX(0,IFERROR(INDEX(CADASTRO!$I$4:$I$80,MATCH($A38,CADASTRO!$A$4:$A$80,0)),$B38)-CONFIG!$B$50*(COUNTIF($U38:$AA38,"AB")+COUNTIF($U38:$AA38,"FE")+COUNTIF($U38:$AA38,"LM")))</f>
        <v/>
      </c>
      <c r="AZ38" s="117">
        <f>SUMPRODUCT(($AB38:$AH38="M")*6+($AB38:$AH38="T")*6+($AB38:$AH38="D")*12+($AB38:$AH38="N")*12+($AB38:$AH38="NT")*6+($AB38:$AH38="C")*10+($AB38:$AH38="A")*8+($AB38:$AH38="J")*5+($AB38:$AH38="CEP")*4+($AB38:$AH38="CP")*6+($AB38:$AH38="CRO")*6+($AB38:$AH38="M+")*6+($AB38:$AH38="T+")*6+($AB38:$AH38="D+")*12+($AB38:$AH38="N+")*12+($AB38:$AH38="Dm+")*12+($AB38:$AH38="Dt+")*12+($AB38:$AH38="Tm-")*6+($AB38:$AH38="Mt-")*6)</f>
        <v/>
      </c>
      <c r="BA38" s="118">
        <f>AZ38-MAX(0,IFERROR(INDEX(CADASTRO!$I$4:$I$80,MATCH($A38,CADASTRO!$A$4:$A$80,0)),$B38)-CONFIG!$B$50*(COUNTIF($AB38:$AH38,"AB")+COUNTIF($AB38:$AH38,"FE")+COUNTIF($AB38:$AH38,"LM")))</f>
        <v/>
      </c>
      <c r="BB38" s="117">
        <f>SUMPRODUCT(($AI38:$AL38="M")*6+($AI38:$AL38="T")*6+($AI38:$AL38="D")*12+($AI38:$AL38="N")*12+($AI38:$AL38="NT")*6+($AI38:$AL38="C")*10+($AI38:$AL38="A")*8+($AI38:$AL38="J")*5+($AI38:$AL38="CEP")*4+($AI38:$AL38="CP")*6+($AI38:$AL38="CRO")*6+($AI38:$AL38="M+")*6+($AI38:$AL38="T+")*6+($AI38:$AL38="D+")*12+($AI38:$AL38="N+")*12+($AI38:$AL38="Dm+")*12+($AI38:$AL38="Dt+")*12+($AI38:$AL38="Tm-")*6+($AI38:$AL38="Mt-")*6)+SUMPRODUCT(($AN38:$AP38="M")*6+($AN38:$AP38="T")*6+($AN38:$AP38="D")*12+($AN38:$AP38="N")*12+($AN38:$AP38="NT")*6+($AN38:$AP38="C")*10+($AN38:$AP38="A")*8+($AN38:$AP38="J")*5+($AN38:$AP38="CEP")*4+($AN38:$AP38="CP")*6+($AN38:$AP38="CRO")*6+($AN38:$AP38="M+")*6+($AN38:$AP38="T+")*6+($AN38:$AP38="D+")*12+($AN38:$AP38="N+")*12+($AN38:$AP38="Dm+")*12+($AN38:$AP38="Dt+")*12+($AN38:$AP38="Tm-")*6+($AN38:$AP38="Mt-")*6)</f>
        <v/>
      </c>
      <c r="BC38" s="118">
        <f>BB38-MAX(0,IFERROR(INDEX(CADASTRO!$I$4:$I$80,MATCH($A38,CADASTRO!$A$4:$A$80,0)),$B38)-CONFIG!$B$50*(COUNTIF($AI38:$AL38,"AB")+COUNTIF($AI38:$AL38,"FE")+COUNTIF($AI38:$AL38,"LM")+COUNTIF($AN38:$AP38,"AB")+COUNTIF($AN38:$AP38,"FE")+COUNTIF($AN38:$AP38,"LM")))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ROUND(B38*4.29,0)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36">
        <f>IFERROR(INDEX(MAR!AL$8:AL$73,MATCH($A39,MAR!$A$8:$A$73,0))&amp;"","")</f>
        <v/>
      </c>
      <c r="H39" s="136">
        <f>IFERROR(INDEX(MAR!AM$8:AM$73,MATCH($A39,MAR!$A$8:$A$73,0))&amp;"","")</f>
        <v/>
      </c>
      <c r="I39" s="124" t="inlineStr">
        <is>
          <t>D</t>
        </is>
      </c>
      <c r="J39" s="114" t="n"/>
      <c r="K39" s="114" t="n"/>
      <c r="L39" s="114" t="n"/>
      <c r="M39" s="114" t="n"/>
      <c r="N39" s="114" t="n"/>
      <c r="O39" s="114" t="n"/>
      <c r="P39" s="124" t="inlineStr">
        <is>
          <t>D</t>
        </is>
      </c>
      <c r="Q39" s="114" t="n"/>
      <c r="R39" s="125" t="inlineStr">
        <is>
          <t>N</t>
        </is>
      </c>
      <c r="S39" s="114" t="n"/>
      <c r="T39" s="114" t="n"/>
      <c r="U39" s="114" t="n"/>
      <c r="V39" s="114" t="n"/>
      <c r="W39" s="124" t="inlineStr">
        <is>
          <t>D</t>
        </is>
      </c>
      <c r="X39" s="114" t="n"/>
      <c r="Y39" s="114" t="n"/>
      <c r="Z39" s="125" t="inlineStr">
        <is>
          <t>N</t>
        </is>
      </c>
      <c r="AA39" s="114" t="n"/>
      <c r="AB39" s="114" t="n"/>
      <c r="AC39" s="115" t="inlineStr">
        <is>
          <t>M</t>
        </is>
      </c>
      <c r="AD39" s="115" t="inlineStr">
        <is>
          <t>M</t>
        </is>
      </c>
      <c r="AE39" s="114" t="n"/>
      <c r="AF39" s="114" t="n"/>
      <c r="AG39" s="125" t="inlineStr">
        <is>
          <t>N</t>
        </is>
      </c>
      <c r="AH39" s="114" t="n"/>
      <c r="AI39" s="126" t="inlineStr">
        <is>
          <t>T</t>
        </is>
      </c>
      <c r="AJ39" s="126" t="inlineStr">
        <is>
          <t>T</t>
        </is>
      </c>
      <c r="AK39" s="114" t="n"/>
      <c r="AL39" s="114" t="n"/>
      <c r="AM39" s="100" t="n"/>
      <c r="AN39" s="136">
        <f>IFERROR(INDEX(MAI!I$8:I$73,MATCH($A39,MAI!$A$8:$A$73,0))&amp;"","")</f>
        <v/>
      </c>
      <c r="AO39" s="116">
        <f>IFERROR(INDEX(MAI!J$8:J$73,MATCH($A39,MAI!$A$8:$A$73,0))&amp;"","")</f>
        <v/>
      </c>
      <c r="AP39" s="116">
        <f>IFERROR(INDEX(MAI!K$8:K$73,MATCH($A39,MAI!$A$8:$A$73,0))&amp;"","")</f>
        <v/>
      </c>
      <c r="AQ39" s="100" t="n"/>
      <c r="AR39" s="100" t="n"/>
      <c r="AS39" s="100" t="n"/>
      <c r="AT39" s="117">
        <f>SUMPRODUCT(($G39:$M39="M")*6+($G39:$M39="T")*6+($G39:$M39="D")*12+($G39:$M39="N")*12+($G39:$M39="NT")*6+($G39:$M39="C")*10+($G39:$M39="A")*8+($G39:$M39="J")*5+($G39:$M39="CEP")*4+($G39:$M39="CP")*6+($G39:$M39="CRO")*6+($G39:$M39="M+")*6+($G39:$M39="T+")*6+($G39:$M39="D+")*12+($G39:$M39="N+")*12+($G39:$M39="Dm+")*12+($G39:$M39="Dt+")*12+($G39:$M39="Tm-")*6+($G39:$M39="Mt-")*6)</f>
        <v/>
      </c>
      <c r="AU39" s="118">
        <f>AT39-MAX(0,IFERROR(INDEX(CADASTRO!$I$4:$I$80,MATCH($A39,CADASTRO!$A$4:$A$80,0)),$B39)-CONFIG!$B$50*(COUNTIF($G39:$M39,"AB")+COUNTIF($G39:$M39,"FE")+COUNTIF($G39:$M39,"LM")))</f>
        <v/>
      </c>
      <c r="AV39" s="117">
        <f>SUMPRODUCT(($N39:$T39="M")*6+($N39:$T39="T")*6+($N39:$T39="D")*12+($N39:$T39="N")*12+($N39:$T39="NT")*6+($N39:$T39="C")*10+($N39:$T39="A")*8+($N39:$T39="J")*5+($N39:$T39="CEP")*4+($N39:$T39="CP")*6+($N39:$T39="CRO")*6+($N39:$T39="M+")*6+($N39:$T39="T+")*6+($N39:$T39="D+")*12+($N39:$T39="N+")*12+($N39:$T39="Dm+")*12+($N39:$T39="Dt+")*12+($N39:$T39="Tm-")*6+($N39:$T39="Mt-")*6)</f>
        <v/>
      </c>
      <c r="AW39" s="118">
        <f>AV39-MAX(0,IFERROR(INDEX(CADASTRO!$I$4:$I$80,MATCH($A39,CADASTRO!$A$4:$A$80,0)),$B39)-CONFIG!$B$50*(COUNTIF($N39:$T39,"AB")+COUNTIF($N39:$T39,"FE")+COUNTIF($N39:$T39,"LM")))</f>
        <v/>
      </c>
      <c r="AX39" s="117">
        <f>SUMPRODUCT(($U39:$AA39="M")*6+($U39:$AA39="T")*6+($U39:$AA39="D")*12+($U39:$AA39="N")*12+($U39:$AA39="NT")*6+($U39:$AA39="C")*10+($U39:$AA39="A")*8+($U39:$AA39="J")*5+($U39:$AA39="CEP")*4+($U39:$AA39="CP")*6+($U39:$AA39="CRO")*6+($U39:$AA39="M+")*6+($U39:$AA39="T+")*6+($U39:$AA39="D+")*12+($U39:$AA39="N+")*12+($U39:$AA39="Dm+")*12+($U39:$AA39="Dt+")*12+($U39:$AA39="Tm-")*6+($U39:$AA39="Mt-")*6)</f>
        <v/>
      </c>
      <c r="AY39" s="118">
        <f>AX39-MAX(0,IFERROR(INDEX(CADASTRO!$I$4:$I$80,MATCH($A39,CADASTRO!$A$4:$A$80,0)),$B39)-CONFIG!$B$50*(COUNTIF($U39:$AA39,"AB")+COUNTIF($U39:$AA39,"FE")+COUNTIF($U39:$AA39,"LM")))</f>
        <v/>
      </c>
      <c r="AZ39" s="117">
        <f>SUMPRODUCT(($AB39:$AH39="M")*6+($AB39:$AH39="T")*6+($AB39:$AH39="D")*12+($AB39:$AH39="N")*12+($AB39:$AH39="NT")*6+($AB39:$AH39="C")*10+($AB39:$AH39="A")*8+($AB39:$AH39="J")*5+($AB39:$AH39="CEP")*4+($AB39:$AH39="CP")*6+($AB39:$AH39="CRO")*6+($AB39:$AH39="M+")*6+($AB39:$AH39="T+")*6+($AB39:$AH39="D+")*12+($AB39:$AH39="N+")*12+($AB39:$AH39="Dm+")*12+($AB39:$AH39="Dt+")*12+($AB39:$AH39="Tm-")*6+($AB39:$AH39="Mt-")*6)</f>
        <v/>
      </c>
      <c r="BA39" s="118">
        <f>AZ39-MAX(0,IFERROR(INDEX(CADASTRO!$I$4:$I$80,MATCH($A39,CADASTRO!$A$4:$A$80,0)),$B39)-CONFIG!$B$50*(COUNTIF($AB39:$AH39,"AB")+COUNTIF($AB39:$AH39,"FE")+COUNTIF($AB39:$AH39,"LM")))</f>
        <v/>
      </c>
      <c r="BB39" s="117">
        <f>SUMPRODUCT(($AI39:$AL39="M")*6+($AI39:$AL39="T")*6+($AI39:$AL39="D")*12+($AI39:$AL39="N")*12+($AI39:$AL39="NT")*6+($AI39:$AL39="C")*10+($AI39:$AL39="A")*8+($AI39:$AL39="J")*5+($AI39:$AL39="CEP")*4+($AI39:$AL39="CP")*6+($AI39:$AL39="CRO")*6+($AI39:$AL39="M+")*6+($AI39:$AL39="T+")*6+($AI39:$AL39="D+")*12+($AI39:$AL39="N+")*12+($AI39:$AL39="Dm+")*12+($AI39:$AL39="Dt+")*12+($AI39:$AL39="Tm-")*6+($AI39:$AL39="Mt-")*6)+SUMPRODUCT(($AN39:$AP39="M")*6+($AN39:$AP39="T")*6+($AN39:$AP39="D")*12+($AN39:$AP39="N")*12+($AN39:$AP39="NT")*6+($AN39:$AP39="C")*10+($AN39:$AP39="A")*8+($AN39:$AP39="J")*5+($AN39:$AP39="CEP")*4+($AN39:$AP39="CP")*6+($AN39:$AP39="CRO")*6+($AN39:$AP39="M+")*6+($AN39:$AP39="T+")*6+($AN39:$AP39="D+")*12+($AN39:$AP39="N+")*12+($AN39:$AP39="Dm+")*12+($AN39:$AP39="Dt+")*12+($AN39:$AP39="Tm-")*6+($AN39:$AP39="Mt-")*6)</f>
        <v/>
      </c>
      <c r="BC39" s="118">
        <f>BB39-MAX(0,IFERROR(INDEX(CADASTRO!$I$4:$I$80,MATCH($A39,CADASTRO!$A$4:$A$80,0)),$B39)-CONFIG!$B$50*(COUNTIF($AI39:$AL39,"AB")+COUNTIF($AI39:$AL39,"FE")+COUNTIF($AI39:$AL39,"LM")+COUNTIF($AN39:$AP39,"AB")+COUNTIF($AN39:$AP39,"FE")+COUNTIF($AN39:$AP39,"LM")))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ROUND(B39*4.29,0)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36">
        <f>IFERROR(INDEX(MAR!AL$8:AL$73,MATCH($A40,MAR!$A$8:$A$73,0))&amp;"","")</f>
        <v/>
      </c>
      <c r="H40" s="136">
        <f>IFERROR(INDEX(MAR!AM$8:AM$73,MATCH($A40,MAR!$A$8:$A$73,0))&amp;"","")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00" t="n"/>
      <c r="AN40" s="136">
        <f>IFERROR(INDEX(MAI!I$8:I$73,MATCH($A40,MAI!$A$8:$A$73,0))&amp;"","")</f>
        <v/>
      </c>
      <c r="AO40" s="116">
        <f>IFERROR(INDEX(MAI!J$8:J$73,MATCH($A40,MAI!$A$8:$A$73,0))&amp;"","")</f>
        <v/>
      </c>
      <c r="AP40" s="116">
        <f>IFERROR(INDEX(MAI!K$8:K$73,MATCH($A40,MAI!$A$8:$A$73,0))&amp;"","")</f>
        <v/>
      </c>
      <c r="AQ40" s="100" t="n"/>
      <c r="AR40" s="100" t="n"/>
      <c r="AS40" s="100" t="n"/>
      <c r="AT40" s="117">
        <f>SUMPRODUCT(($G40:$M40="M")*6+($G40:$M40="T")*6+($G40:$M40="D")*12+($G40:$M40="N")*12+($G40:$M40="NT")*6+($G40:$M40="C")*10+($G40:$M40="A")*8+($G40:$M40="J")*5+($G40:$M40="CEP")*4+($G40:$M40="CP")*6+($G40:$M40="CRO")*6+($G40:$M40="M+")*6+($G40:$M40="T+")*6+($G40:$M40="D+")*12+($G40:$M40="N+")*12+($G40:$M40="Dm+")*12+($G40:$M40="Dt+")*12+($G40:$M40="Tm-")*6+($G40:$M40="Mt-")*6)</f>
        <v/>
      </c>
      <c r="AU40" s="118">
        <f>AT40-MAX(0,IFERROR(INDEX(CADASTRO!$I$4:$I$80,MATCH($A40,CADASTRO!$A$4:$A$80,0)),$B40)-CONFIG!$B$50*(COUNTIF($G40:$M40,"AB")+COUNTIF($G40:$M40,"FE")+COUNTIF($G40:$M40,"LM")))</f>
        <v/>
      </c>
      <c r="AV40" s="117">
        <f>SUMPRODUCT(($N40:$T40="M")*6+($N40:$T40="T")*6+($N40:$T40="D")*12+($N40:$T40="N")*12+($N40:$T40="NT")*6+($N40:$T40="C")*10+($N40:$T40="A")*8+($N40:$T40="J")*5+($N40:$T40="CEP")*4+($N40:$T40="CP")*6+($N40:$T40="CRO")*6+($N40:$T40="M+")*6+($N40:$T40="T+")*6+($N40:$T40="D+")*12+($N40:$T40="N+")*12+($N40:$T40="Dm+")*12+($N40:$T40="Dt+")*12+($N40:$T40="Tm-")*6+($N40:$T40="Mt-")*6)</f>
        <v/>
      </c>
      <c r="AW40" s="118">
        <f>AV40-MAX(0,IFERROR(INDEX(CADASTRO!$I$4:$I$80,MATCH($A40,CADASTRO!$A$4:$A$80,0)),$B40)-CONFIG!$B$50*(COUNTIF($N40:$T40,"AB")+COUNTIF($N40:$T40,"FE")+COUNTIF($N40:$T40,"LM")))</f>
        <v/>
      </c>
      <c r="AX40" s="117">
        <f>SUMPRODUCT(($U40:$AA40="M")*6+($U40:$AA40="T")*6+($U40:$AA40="D")*12+($U40:$AA40="N")*12+($U40:$AA40="NT")*6+($U40:$AA40="C")*10+($U40:$AA40="A")*8+($U40:$AA40="J")*5+($U40:$AA40="CEP")*4+($U40:$AA40="CP")*6+($U40:$AA40="CRO")*6+($U40:$AA40="M+")*6+($U40:$AA40="T+")*6+($U40:$AA40="D+")*12+($U40:$AA40="N+")*12+($U40:$AA40="Dm+")*12+($U40:$AA40="Dt+")*12+($U40:$AA40="Tm-")*6+($U40:$AA40="Mt-")*6)</f>
        <v/>
      </c>
      <c r="AY40" s="118">
        <f>AX40-MAX(0,IFERROR(INDEX(CADASTRO!$I$4:$I$80,MATCH($A40,CADASTRO!$A$4:$A$80,0)),$B40)-CONFIG!$B$50*(COUNTIF($U40:$AA40,"AB")+COUNTIF($U40:$AA40,"FE")+COUNTIF($U40:$AA40,"LM")))</f>
        <v/>
      </c>
      <c r="AZ40" s="117">
        <f>SUMPRODUCT(($AB40:$AH40="M")*6+($AB40:$AH40="T")*6+($AB40:$AH40="D")*12+($AB40:$AH40="N")*12+($AB40:$AH40="NT")*6+($AB40:$AH40="C")*10+($AB40:$AH40="A")*8+($AB40:$AH40="J")*5+($AB40:$AH40="CEP")*4+($AB40:$AH40="CP")*6+($AB40:$AH40="CRO")*6+($AB40:$AH40="M+")*6+($AB40:$AH40="T+")*6+($AB40:$AH40="D+")*12+($AB40:$AH40="N+")*12+($AB40:$AH40="Dm+")*12+($AB40:$AH40="Dt+")*12+($AB40:$AH40="Tm-")*6+($AB40:$AH40="Mt-")*6)</f>
        <v/>
      </c>
      <c r="BA40" s="118">
        <f>AZ40-MAX(0,IFERROR(INDEX(CADASTRO!$I$4:$I$80,MATCH($A40,CADASTRO!$A$4:$A$80,0)),$B40)-CONFIG!$B$50*(COUNTIF($AB40:$AH40,"AB")+COUNTIF($AB40:$AH40,"FE")+COUNTIF($AB40:$AH40,"LM")))</f>
        <v/>
      </c>
      <c r="BB40" s="117">
        <f>SUMPRODUCT(($AI40:$AL40="M")*6+($AI40:$AL40="T")*6+($AI40:$AL40="D")*12+($AI40:$AL40="N")*12+($AI40:$AL40="NT")*6+($AI40:$AL40="C")*10+($AI40:$AL40="A")*8+($AI40:$AL40="J")*5+($AI40:$AL40="CEP")*4+($AI40:$AL40="CP")*6+($AI40:$AL40="CRO")*6+($AI40:$AL40="M+")*6+($AI40:$AL40="T+")*6+($AI40:$AL40="D+")*12+($AI40:$AL40="N+")*12+($AI40:$AL40="Dm+")*12+($AI40:$AL40="Dt+")*12+($AI40:$AL40="Tm-")*6+($AI40:$AL40="Mt-")*6)+SUMPRODUCT(($AN40:$AP40="M")*6+($AN40:$AP40="T")*6+($AN40:$AP40="D")*12+($AN40:$AP40="N")*12+($AN40:$AP40="NT")*6+($AN40:$AP40="C")*10+($AN40:$AP40="A")*8+($AN40:$AP40="J")*5+($AN40:$AP40="CEP")*4+($AN40:$AP40="CP")*6+($AN40:$AP40="CRO")*6+($AN40:$AP40="M+")*6+($AN40:$AP40="T+")*6+($AN40:$AP40="D+")*12+($AN40:$AP40="N+")*12+($AN40:$AP40="Dm+")*12+($AN40:$AP40="Dt+")*12+($AN40:$AP40="Tm-")*6+($AN40:$AP40="Mt-")*6)</f>
        <v/>
      </c>
      <c r="BC40" s="118">
        <f>BB40-MAX(0,IFERROR(INDEX(CADASTRO!$I$4:$I$80,MATCH($A40,CADASTRO!$A$4:$A$80,0)),$B40)-CONFIG!$B$50*(COUNTIF($AI40:$AL40,"AB")+COUNTIF($AI40:$AL40,"FE")+COUNTIF($AI40:$AL40,"LM")+COUNTIF($AN40:$AP40,"AB")+COUNTIF($AN40:$AP40,"FE")+COUNTIF($AN40:$AP40,"LM")))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ROUND(B40*4.29,0)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36">
        <f>IFERROR(INDEX(MAR!AL$8:AL$73,MATCH($A41,MAR!$A$8:$A$73,0))&amp;"","")</f>
        <v/>
      </c>
      <c r="H41" s="136">
        <f>IFERROR(INDEX(MAR!AM$8:AM$73,MATCH($A41,MAR!$A$8:$A$73,0))&amp;"","")</f>
        <v/>
      </c>
      <c r="I41" s="114" t="n"/>
      <c r="J41" s="114" t="n"/>
      <c r="K41" s="114" t="n"/>
      <c r="L41" s="114" t="n"/>
      <c r="M41" s="114" t="n"/>
      <c r="N41" s="126" t="inlineStr">
        <is>
          <t>T</t>
        </is>
      </c>
      <c r="O41" s="126" t="inlineStr">
        <is>
          <t>T</t>
        </is>
      </c>
      <c r="P41" s="114" t="n"/>
      <c r="Q41" s="114" t="n"/>
      <c r="R41" s="124" t="inlineStr">
        <is>
          <t>D</t>
        </is>
      </c>
      <c r="S41" s="114" t="n"/>
      <c r="T41" s="114" t="n"/>
      <c r="U41" s="114" t="n"/>
      <c r="V41" s="114" t="n"/>
      <c r="W41" s="114" t="n"/>
      <c r="X41" s="114" t="n"/>
      <c r="Y41" s="125" t="inlineStr">
        <is>
          <t>N</t>
        </is>
      </c>
      <c r="Z41" s="114" t="n"/>
      <c r="AA41" s="124" t="inlineStr">
        <is>
          <t>D</t>
        </is>
      </c>
      <c r="AB41" s="114" t="n"/>
      <c r="AC41" s="124" t="inlineStr">
        <is>
          <t>D</t>
        </is>
      </c>
      <c r="AD41" s="114" t="n"/>
      <c r="AE41" s="114" t="n"/>
      <c r="AF41" s="114" t="n"/>
      <c r="AG41" s="114" t="n"/>
      <c r="AH41" s="124" t="inlineStr">
        <is>
          <t>D</t>
        </is>
      </c>
      <c r="AI41" s="124" t="inlineStr">
        <is>
          <t>D</t>
        </is>
      </c>
      <c r="AJ41" s="125" t="inlineStr">
        <is>
          <t>N</t>
        </is>
      </c>
      <c r="AK41" s="114" t="n"/>
      <c r="AL41" s="114" t="n"/>
      <c r="AM41" s="100" t="n"/>
      <c r="AN41" s="136">
        <f>IFERROR(INDEX(MAI!I$8:I$73,MATCH($A41,MAI!$A$8:$A$73,0))&amp;"","")</f>
        <v/>
      </c>
      <c r="AO41" s="116">
        <f>IFERROR(INDEX(MAI!J$8:J$73,MATCH($A41,MAI!$A$8:$A$73,0))&amp;"","")</f>
        <v/>
      </c>
      <c r="AP41" s="116">
        <f>IFERROR(INDEX(MAI!K$8:K$73,MATCH($A41,MAI!$A$8:$A$73,0))&amp;"","")</f>
        <v/>
      </c>
      <c r="AQ41" s="100" t="n"/>
      <c r="AR41" s="100" t="n"/>
      <c r="AS41" s="100" t="n"/>
      <c r="AT41" s="117">
        <f>SUMPRODUCT(($G41:$M41="M")*6+($G41:$M41="T")*6+($G41:$M41="D")*12+($G41:$M41="N")*12+($G41:$M41="NT")*6+($G41:$M41="C")*10+($G41:$M41="A")*8+($G41:$M41="J")*5+($G41:$M41="CEP")*4+($G41:$M41="CP")*6+($G41:$M41="CRO")*6+($G41:$M41="M+")*6+($G41:$M41="T+")*6+($G41:$M41="D+")*12+($G41:$M41="N+")*12+($G41:$M41="Dm+")*12+($G41:$M41="Dt+")*12+($G41:$M41="Tm-")*6+($G41:$M41="Mt-")*6)</f>
        <v/>
      </c>
      <c r="AU41" s="118">
        <f>AT41-MAX(0,IFERROR(INDEX(CADASTRO!$I$4:$I$80,MATCH($A41,CADASTRO!$A$4:$A$80,0)),$B41)-CONFIG!$B$50*(COUNTIF($G41:$M41,"AB")+COUNTIF($G41:$M41,"FE")+COUNTIF($G41:$M41,"LM")))</f>
        <v/>
      </c>
      <c r="AV41" s="117">
        <f>SUMPRODUCT(($N41:$T41="M")*6+($N41:$T41="T")*6+($N41:$T41="D")*12+($N41:$T41="N")*12+($N41:$T41="NT")*6+($N41:$T41="C")*10+($N41:$T41="A")*8+($N41:$T41="J")*5+($N41:$T41="CEP")*4+($N41:$T41="CP")*6+($N41:$T41="CRO")*6+($N41:$T41="M+")*6+($N41:$T41="T+")*6+($N41:$T41="D+")*12+($N41:$T41="N+")*12+($N41:$T41="Dm+")*12+($N41:$T41="Dt+")*12+($N41:$T41="Tm-")*6+($N41:$T41="Mt-")*6)</f>
        <v/>
      </c>
      <c r="AW41" s="118">
        <f>AV41-MAX(0,IFERROR(INDEX(CADASTRO!$I$4:$I$80,MATCH($A41,CADASTRO!$A$4:$A$80,0)),$B41)-CONFIG!$B$50*(COUNTIF($N41:$T41,"AB")+COUNTIF($N41:$T41,"FE")+COUNTIF($N41:$T41,"LM")))</f>
        <v/>
      </c>
      <c r="AX41" s="117">
        <f>SUMPRODUCT(($U41:$AA41="M")*6+($U41:$AA41="T")*6+($U41:$AA41="D")*12+($U41:$AA41="N")*12+($U41:$AA41="NT")*6+($U41:$AA41="C")*10+($U41:$AA41="A")*8+($U41:$AA41="J")*5+($U41:$AA41="CEP")*4+($U41:$AA41="CP")*6+($U41:$AA41="CRO")*6+($U41:$AA41="M+")*6+($U41:$AA41="T+")*6+($U41:$AA41="D+")*12+($U41:$AA41="N+")*12+($U41:$AA41="Dm+")*12+($U41:$AA41="Dt+")*12+($U41:$AA41="Tm-")*6+($U41:$AA41="Mt-")*6)</f>
        <v/>
      </c>
      <c r="AY41" s="118">
        <f>AX41-MAX(0,IFERROR(INDEX(CADASTRO!$I$4:$I$80,MATCH($A41,CADASTRO!$A$4:$A$80,0)),$B41)-CONFIG!$B$50*(COUNTIF($U41:$AA41,"AB")+COUNTIF($U41:$AA41,"FE")+COUNTIF($U41:$AA41,"LM")))</f>
        <v/>
      </c>
      <c r="AZ41" s="117">
        <f>SUMPRODUCT(($AB41:$AH41="M")*6+($AB41:$AH41="T")*6+($AB41:$AH41="D")*12+($AB41:$AH41="N")*12+($AB41:$AH41="NT")*6+($AB41:$AH41="C")*10+($AB41:$AH41="A")*8+($AB41:$AH41="J")*5+($AB41:$AH41="CEP")*4+($AB41:$AH41="CP")*6+($AB41:$AH41="CRO")*6+($AB41:$AH41="M+")*6+($AB41:$AH41="T+")*6+($AB41:$AH41="D+")*12+($AB41:$AH41="N+")*12+($AB41:$AH41="Dm+")*12+($AB41:$AH41="Dt+")*12+($AB41:$AH41="Tm-")*6+($AB41:$AH41="Mt-")*6)</f>
        <v/>
      </c>
      <c r="BA41" s="118">
        <f>AZ41-MAX(0,IFERROR(INDEX(CADASTRO!$I$4:$I$80,MATCH($A41,CADASTRO!$A$4:$A$80,0)),$B41)-CONFIG!$B$50*(COUNTIF($AB41:$AH41,"AB")+COUNTIF($AB41:$AH41,"FE")+COUNTIF($AB41:$AH41,"LM")))</f>
        <v/>
      </c>
      <c r="BB41" s="117">
        <f>SUMPRODUCT(($AI41:$AL41="M")*6+($AI41:$AL41="T")*6+($AI41:$AL41="D")*12+($AI41:$AL41="N")*12+($AI41:$AL41="NT")*6+($AI41:$AL41="C")*10+($AI41:$AL41="A")*8+($AI41:$AL41="J")*5+($AI41:$AL41="CEP")*4+($AI41:$AL41="CP")*6+($AI41:$AL41="CRO")*6+($AI41:$AL41="M+")*6+($AI41:$AL41="T+")*6+($AI41:$AL41="D+")*12+($AI41:$AL41="N+")*12+($AI41:$AL41="Dm+")*12+($AI41:$AL41="Dt+")*12+($AI41:$AL41="Tm-")*6+($AI41:$AL41="Mt-")*6)+SUMPRODUCT(($AN41:$AP41="M")*6+($AN41:$AP41="T")*6+($AN41:$AP41="D")*12+($AN41:$AP41="N")*12+($AN41:$AP41="NT")*6+($AN41:$AP41="C")*10+($AN41:$AP41="A")*8+($AN41:$AP41="J")*5+($AN41:$AP41="CEP")*4+($AN41:$AP41="CP")*6+($AN41:$AP41="CRO")*6+($AN41:$AP41="M+")*6+($AN41:$AP41="T+")*6+($AN41:$AP41="D+")*12+($AN41:$AP41="N+")*12+($AN41:$AP41="Dm+")*12+($AN41:$AP41="Dt+")*12+($AN41:$AP41="Tm-")*6+($AN41:$AP41="Mt-")*6)</f>
        <v/>
      </c>
      <c r="BC41" s="118">
        <f>BB41-MAX(0,IFERROR(INDEX(CADASTRO!$I$4:$I$80,MATCH($A41,CADASTRO!$A$4:$A$80,0)),$B41)-CONFIG!$B$50*(COUNTIF($AI41:$AL41,"AB")+COUNTIF($AI41:$AL41,"FE")+COUNTIF($AI41:$AL41,"LM")+COUNTIF($AN41:$AP41,"AB")+COUNTIF($AN41:$AP41,"FE")+COUNTIF($AN41:$AP41,"LM")))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ROUND(B41*4.29,0)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36">
        <f>IFERROR(INDEX(MAR!AL$8:AL$73,MATCH($A42,MAR!$A$8:$A$73,0))&amp;"","")</f>
        <v/>
      </c>
      <c r="H42" s="136">
        <f>IFERROR(INDEX(MAR!AM$8:AM$73,MATCH($A42,MAR!$A$8:$A$73,0))&amp;"","")</f>
        <v/>
      </c>
      <c r="I42" s="126" t="inlineStr">
        <is>
          <t>T</t>
        </is>
      </c>
      <c r="J42" s="126" t="inlineStr">
        <is>
          <t>T</t>
        </is>
      </c>
      <c r="K42" s="114" t="n"/>
      <c r="L42" s="126" t="inlineStr">
        <is>
          <t>T</t>
        </is>
      </c>
      <c r="M42" s="126" t="inlineStr">
        <is>
          <t>T</t>
        </is>
      </c>
      <c r="N42" s="114" t="n"/>
      <c r="O42" s="114" t="n"/>
      <c r="P42" s="126" t="inlineStr">
        <is>
          <t>T</t>
        </is>
      </c>
      <c r="Q42" s="126" t="inlineStr">
        <is>
          <t>T</t>
        </is>
      </c>
      <c r="R42" s="114" t="n"/>
      <c r="S42" s="125" t="inlineStr">
        <is>
          <t>N</t>
        </is>
      </c>
      <c r="T42" s="114" t="n"/>
      <c r="U42" s="114" t="n"/>
      <c r="V42" s="124" t="inlineStr">
        <is>
          <t>D</t>
        </is>
      </c>
      <c r="W42" s="114" t="n"/>
      <c r="X42" s="124" t="inlineStr">
        <is>
          <t>D</t>
        </is>
      </c>
      <c r="Y42" s="114" t="n"/>
      <c r="Z42" s="114" t="n"/>
      <c r="AA42" s="114" t="n"/>
      <c r="AB42" s="114" t="n"/>
      <c r="AC42" s="126" t="inlineStr">
        <is>
          <t>T</t>
        </is>
      </c>
      <c r="AD42" s="126" t="inlineStr">
        <is>
          <t>T</t>
        </is>
      </c>
      <c r="AE42" s="124" t="inlineStr">
        <is>
          <t>D</t>
        </is>
      </c>
      <c r="AF42" s="114" t="n"/>
      <c r="AG42" s="114" t="n"/>
      <c r="AH42" s="114" t="n"/>
      <c r="AI42" s="126" t="inlineStr">
        <is>
          <t>T</t>
        </is>
      </c>
      <c r="AJ42" s="115" t="inlineStr">
        <is>
          <t>M</t>
        </is>
      </c>
      <c r="AK42" s="114" t="n"/>
      <c r="AL42" s="114" t="n"/>
      <c r="AM42" s="100" t="n"/>
      <c r="AN42" s="136">
        <f>IFERROR(INDEX(MAI!I$8:I$73,MATCH($A42,MAI!$A$8:$A$73,0))&amp;"","")</f>
        <v/>
      </c>
      <c r="AO42" s="116">
        <f>IFERROR(INDEX(MAI!J$8:J$73,MATCH($A42,MAI!$A$8:$A$73,0))&amp;"","")</f>
        <v/>
      </c>
      <c r="AP42" s="116">
        <f>IFERROR(INDEX(MAI!K$8:K$73,MATCH($A42,MAI!$A$8:$A$73,0))&amp;"","")</f>
        <v/>
      </c>
      <c r="AQ42" s="100" t="n"/>
      <c r="AR42" s="100" t="n"/>
      <c r="AS42" s="100" t="n"/>
      <c r="AT42" s="117">
        <f>SUMPRODUCT(($G42:$M42="M")*6+($G42:$M42="T")*6+($G42:$M42="D")*12+($G42:$M42="N")*12+($G42:$M42="NT")*6+($G42:$M42="C")*10+($G42:$M42="A")*8+($G42:$M42="J")*5+($G42:$M42="CEP")*4+($G42:$M42="CP")*6+($G42:$M42="CRO")*6+($G42:$M42="M+")*6+($G42:$M42="T+")*6+($G42:$M42="D+")*12+($G42:$M42="N+")*12+($G42:$M42="Dm+")*12+($G42:$M42="Dt+")*12+($G42:$M42="Tm-")*6+($G42:$M42="Mt-")*6)</f>
        <v/>
      </c>
      <c r="AU42" s="118">
        <f>AT42-MAX(0,IFERROR(INDEX(CADASTRO!$I$4:$I$80,MATCH($A42,CADASTRO!$A$4:$A$80,0)),$B42)-CONFIG!$B$50*(COUNTIF($G42:$M42,"AB")+COUNTIF($G42:$M42,"FE")+COUNTIF($G42:$M42,"LM")))</f>
        <v/>
      </c>
      <c r="AV42" s="117">
        <f>SUMPRODUCT(($N42:$T42="M")*6+($N42:$T42="T")*6+($N42:$T42="D")*12+($N42:$T42="N")*12+($N42:$T42="NT")*6+($N42:$T42="C")*10+($N42:$T42="A")*8+($N42:$T42="J")*5+($N42:$T42="CEP")*4+($N42:$T42="CP")*6+($N42:$T42="CRO")*6+($N42:$T42="M+")*6+($N42:$T42="T+")*6+($N42:$T42="D+")*12+($N42:$T42="N+")*12+($N42:$T42="Dm+")*12+($N42:$T42="Dt+")*12+($N42:$T42="Tm-")*6+($N42:$T42="Mt-")*6)</f>
        <v/>
      </c>
      <c r="AW42" s="118">
        <f>AV42-MAX(0,IFERROR(INDEX(CADASTRO!$I$4:$I$80,MATCH($A42,CADASTRO!$A$4:$A$80,0)),$B42)-CONFIG!$B$50*(COUNTIF($N42:$T42,"AB")+COUNTIF($N42:$T42,"FE")+COUNTIF($N42:$T42,"LM")))</f>
        <v/>
      </c>
      <c r="AX42" s="117">
        <f>SUMPRODUCT(($U42:$AA42="M")*6+($U42:$AA42="T")*6+($U42:$AA42="D")*12+($U42:$AA42="N")*12+($U42:$AA42="NT")*6+($U42:$AA42="C")*10+($U42:$AA42="A")*8+($U42:$AA42="J")*5+($U42:$AA42="CEP")*4+($U42:$AA42="CP")*6+($U42:$AA42="CRO")*6+($U42:$AA42="M+")*6+($U42:$AA42="T+")*6+($U42:$AA42="D+")*12+($U42:$AA42="N+")*12+($U42:$AA42="Dm+")*12+($U42:$AA42="Dt+")*12+($U42:$AA42="Tm-")*6+($U42:$AA42="Mt-")*6)</f>
        <v/>
      </c>
      <c r="AY42" s="118">
        <f>AX42-MAX(0,IFERROR(INDEX(CADASTRO!$I$4:$I$80,MATCH($A42,CADASTRO!$A$4:$A$80,0)),$B42)-CONFIG!$B$50*(COUNTIF($U42:$AA42,"AB")+COUNTIF($U42:$AA42,"FE")+COUNTIF($U42:$AA42,"LM")))</f>
        <v/>
      </c>
      <c r="AZ42" s="117">
        <f>SUMPRODUCT(($AB42:$AH42="M")*6+($AB42:$AH42="T")*6+($AB42:$AH42="D")*12+($AB42:$AH42="N")*12+($AB42:$AH42="NT")*6+($AB42:$AH42="C")*10+($AB42:$AH42="A")*8+($AB42:$AH42="J")*5+($AB42:$AH42="CEP")*4+($AB42:$AH42="CP")*6+($AB42:$AH42="CRO")*6+($AB42:$AH42="M+")*6+($AB42:$AH42="T+")*6+($AB42:$AH42="D+")*12+($AB42:$AH42="N+")*12+($AB42:$AH42="Dm+")*12+($AB42:$AH42="Dt+")*12+($AB42:$AH42="Tm-")*6+($AB42:$AH42="Mt-")*6)</f>
        <v/>
      </c>
      <c r="BA42" s="118">
        <f>AZ42-MAX(0,IFERROR(INDEX(CADASTRO!$I$4:$I$80,MATCH($A42,CADASTRO!$A$4:$A$80,0)),$B42)-CONFIG!$B$50*(COUNTIF($AB42:$AH42,"AB")+COUNTIF($AB42:$AH42,"FE")+COUNTIF($AB42:$AH42,"LM")))</f>
        <v/>
      </c>
      <c r="BB42" s="117">
        <f>SUMPRODUCT(($AI42:$AL42="M")*6+($AI42:$AL42="T")*6+($AI42:$AL42="D")*12+($AI42:$AL42="N")*12+($AI42:$AL42="NT")*6+($AI42:$AL42="C")*10+($AI42:$AL42="A")*8+($AI42:$AL42="J")*5+($AI42:$AL42="CEP")*4+($AI42:$AL42="CP")*6+($AI42:$AL42="CRO")*6+($AI42:$AL42="M+")*6+($AI42:$AL42="T+")*6+($AI42:$AL42="D+")*12+($AI42:$AL42="N+")*12+($AI42:$AL42="Dm+")*12+($AI42:$AL42="Dt+")*12+($AI42:$AL42="Tm-")*6+($AI42:$AL42="Mt-")*6)+SUMPRODUCT(($AN42:$AP42="M")*6+($AN42:$AP42="T")*6+($AN42:$AP42="D")*12+($AN42:$AP42="N")*12+($AN42:$AP42="NT")*6+($AN42:$AP42="C")*10+($AN42:$AP42="A")*8+($AN42:$AP42="J")*5+($AN42:$AP42="CEP")*4+($AN42:$AP42="CP")*6+($AN42:$AP42="CRO")*6+($AN42:$AP42="M+")*6+($AN42:$AP42="T+")*6+($AN42:$AP42="D+")*12+($AN42:$AP42="N+")*12+($AN42:$AP42="Dm+")*12+($AN42:$AP42="Dt+")*12+($AN42:$AP42="Tm-")*6+($AN42:$AP42="Mt-")*6)</f>
        <v/>
      </c>
      <c r="BC42" s="118">
        <f>BB42-MAX(0,IFERROR(INDEX(CADASTRO!$I$4:$I$80,MATCH($A42,CADASTRO!$A$4:$A$80,0)),$B42)-CONFIG!$B$50*(COUNTIF($AI42:$AL42,"AB")+COUNTIF($AI42:$AL42,"FE")+COUNTIF($AI42:$AL42,"LM")+COUNTIF($AN42:$AP42,"AB")+COUNTIF($AN42:$AP42,"FE")+COUNTIF($AN42:$AP42,"LM")))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ROUND(B42*4.29,0)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36">
        <f>IFERROR(INDEX(MAR!AL$8:AL$73,MATCH($A43,MAR!$A$8:$A$73,0))&amp;"","")</f>
        <v/>
      </c>
      <c r="H43" s="136">
        <f>IFERROR(INDEX(MAR!AM$8:AM$73,MATCH($A43,MAR!$A$8:$A$73,0))&amp;"","")</f>
        <v/>
      </c>
      <c r="I43" s="114" t="n"/>
      <c r="J43" s="114" t="n"/>
      <c r="K43" s="114" t="n"/>
      <c r="L43" s="114" t="n"/>
      <c r="M43" s="125" t="inlineStr">
        <is>
          <t>N</t>
        </is>
      </c>
      <c r="N43" s="114" t="n"/>
      <c r="O43" s="125" t="inlineStr">
        <is>
          <t>N</t>
        </is>
      </c>
      <c r="P43" s="114" t="n"/>
      <c r="Q43" s="125" t="inlineStr">
        <is>
          <t>N</t>
        </is>
      </c>
      <c r="R43" s="114" t="n"/>
      <c r="S43" s="114" t="n"/>
      <c r="T43" s="114" t="n"/>
      <c r="U43" s="114" t="n"/>
      <c r="V43" s="125" t="inlineStr">
        <is>
          <t>N</t>
        </is>
      </c>
      <c r="W43" s="114" t="n"/>
      <c r="X43" s="114" t="n"/>
      <c r="Y43" s="114" t="n"/>
      <c r="Z43" s="125" t="inlineStr">
        <is>
          <t>N</t>
        </is>
      </c>
      <c r="AA43" s="114" t="n"/>
      <c r="AB43" s="125" t="inlineStr">
        <is>
          <t>N</t>
        </is>
      </c>
      <c r="AC43" s="114" t="n"/>
      <c r="AD43" s="114" t="n"/>
      <c r="AE43" s="125" t="inlineStr">
        <is>
          <t>N</t>
        </is>
      </c>
      <c r="AF43" s="114" t="n"/>
      <c r="AG43" s="114" t="n"/>
      <c r="AH43" s="114" t="n"/>
      <c r="AI43" s="125" t="inlineStr">
        <is>
          <t>N</t>
        </is>
      </c>
      <c r="AJ43" s="114" t="n"/>
      <c r="AK43" s="114" t="n"/>
      <c r="AL43" s="114" t="n"/>
      <c r="AM43" s="100" t="n"/>
      <c r="AN43" s="136">
        <f>IFERROR(INDEX(MAI!I$8:I$73,MATCH($A43,MAI!$A$8:$A$73,0))&amp;"","")</f>
        <v/>
      </c>
      <c r="AO43" s="116">
        <f>IFERROR(INDEX(MAI!J$8:J$73,MATCH($A43,MAI!$A$8:$A$73,0))&amp;"","")</f>
        <v/>
      </c>
      <c r="AP43" s="116">
        <f>IFERROR(INDEX(MAI!K$8:K$73,MATCH($A43,MAI!$A$8:$A$73,0))&amp;"","")</f>
        <v/>
      </c>
      <c r="AQ43" s="100" t="n"/>
      <c r="AR43" s="100" t="n"/>
      <c r="AS43" s="100" t="n"/>
      <c r="AT43" s="117">
        <f>SUMPRODUCT(($G43:$M43="M")*6+($G43:$M43="T")*6+($G43:$M43="D")*12+($G43:$M43="N")*12+($G43:$M43="NT")*6+($G43:$M43="C")*10+($G43:$M43="A")*8+($G43:$M43="J")*5+($G43:$M43="CEP")*4+($G43:$M43="CP")*6+($G43:$M43="CRO")*6+($G43:$M43="M+")*6+($G43:$M43="T+")*6+($G43:$M43="D+")*12+($G43:$M43="N+")*12+($G43:$M43="Dm+")*12+($G43:$M43="Dt+")*12+($G43:$M43="Tm-")*6+($G43:$M43="Mt-")*6)</f>
        <v/>
      </c>
      <c r="AU43" s="118">
        <f>AT43-MAX(0,IFERROR(INDEX(CADASTRO!$I$4:$I$80,MATCH($A43,CADASTRO!$A$4:$A$80,0)),$B43)-CONFIG!$B$50*(COUNTIF($G43:$M43,"AB")+COUNTIF($G43:$M43,"FE")+COUNTIF($G43:$M43,"LM")))</f>
        <v/>
      </c>
      <c r="AV43" s="117">
        <f>SUMPRODUCT(($N43:$T43="M")*6+($N43:$T43="T")*6+($N43:$T43="D")*12+($N43:$T43="N")*12+($N43:$T43="NT")*6+($N43:$T43="C")*10+($N43:$T43="A")*8+($N43:$T43="J")*5+($N43:$T43="CEP")*4+($N43:$T43="CP")*6+($N43:$T43="CRO")*6+($N43:$T43="M+")*6+($N43:$T43="T+")*6+($N43:$T43="D+")*12+($N43:$T43="N+")*12+($N43:$T43="Dm+")*12+($N43:$T43="Dt+")*12+($N43:$T43="Tm-")*6+($N43:$T43="Mt-")*6)</f>
        <v/>
      </c>
      <c r="AW43" s="118">
        <f>AV43-MAX(0,IFERROR(INDEX(CADASTRO!$I$4:$I$80,MATCH($A43,CADASTRO!$A$4:$A$80,0)),$B43)-CONFIG!$B$50*(COUNTIF($N43:$T43,"AB")+COUNTIF($N43:$T43,"FE")+COUNTIF($N43:$T43,"LM")))</f>
        <v/>
      </c>
      <c r="AX43" s="117">
        <f>SUMPRODUCT(($U43:$AA43="M")*6+($U43:$AA43="T")*6+($U43:$AA43="D")*12+($U43:$AA43="N")*12+($U43:$AA43="NT")*6+($U43:$AA43="C")*10+($U43:$AA43="A")*8+($U43:$AA43="J")*5+($U43:$AA43="CEP")*4+($U43:$AA43="CP")*6+($U43:$AA43="CRO")*6+($U43:$AA43="M+")*6+($U43:$AA43="T+")*6+($U43:$AA43="D+")*12+($U43:$AA43="N+")*12+($U43:$AA43="Dm+")*12+($U43:$AA43="Dt+")*12+($U43:$AA43="Tm-")*6+($U43:$AA43="Mt-")*6)</f>
        <v/>
      </c>
      <c r="AY43" s="118">
        <f>AX43-MAX(0,IFERROR(INDEX(CADASTRO!$I$4:$I$80,MATCH($A43,CADASTRO!$A$4:$A$80,0)),$B43)-CONFIG!$B$50*(COUNTIF($U43:$AA43,"AB")+COUNTIF($U43:$AA43,"FE")+COUNTIF($U43:$AA43,"LM")))</f>
        <v/>
      </c>
      <c r="AZ43" s="117">
        <f>SUMPRODUCT(($AB43:$AH43="M")*6+($AB43:$AH43="T")*6+($AB43:$AH43="D")*12+($AB43:$AH43="N")*12+($AB43:$AH43="NT")*6+($AB43:$AH43="C")*10+($AB43:$AH43="A")*8+($AB43:$AH43="J")*5+($AB43:$AH43="CEP")*4+($AB43:$AH43="CP")*6+($AB43:$AH43="CRO")*6+($AB43:$AH43="M+")*6+($AB43:$AH43="T+")*6+($AB43:$AH43="D+")*12+($AB43:$AH43="N+")*12+($AB43:$AH43="Dm+")*12+($AB43:$AH43="Dt+")*12+($AB43:$AH43="Tm-")*6+($AB43:$AH43="Mt-")*6)</f>
        <v/>
      </c>
      <c r="BA43" s="118">
        <f>AZ43-MAX(0,IFERROR(INDEX(CADASTRO!$I$4:$I$80,MATCH($A43,CADASTRO!$A$4:$A$80,0)),$B43)-CONFIG!$B$50*(COUNTIF($AB43:$AH43,"AB")+COUNTIF($AB43:$AH43,"FE")+COUNTIF($AB43:$AH43,"LM")))</f>
        <v/>
      </c>
      <c r="BB43" s="117">
        <f>SUMPRODUCT(($AI43:$AL43="M")*6+($AI43:$AL43="T")*6+($AI43:$AL43="D")*12+($AI43:$AL43="N")*12+($AI43:$AL43="NT")*6+($AI43:$AL43="C")*10+($AI43:$AL43="A")*8+($AI43:$AL43="J")*5+($AI43:$AL43="CEP")*4+($AI43:$AL43="CP")*6+($AI43:$AL43="CRO")*6+($AI43:$AL43="M+")*6+($AI43:$AL43="T+")*6+($AI43:$AL43="D+")*12+($AI43:$AL43="N+")*12+($AI43:$AL43="Dm+")*12+($AI43:$AL43="Dt+")*12+($AI43:$AL43="Tm-")*6+($AI43:$AL43="Mt-")*6)+SUMPRODUCT(($AN43:$AP43="M")*6+($AN43:$AP43="T")*6+($AN43:$AP43="D")*12+($AN43:$AP43="N")*12+($AN43:$AP43="NT")*6+($AN43:$AP43="C")*10+($AN43:$AP43="A")*8+($AN43:$AP43="J")*5+($AN43:$AP43="CEP")*4+($AN43:$AP43="CP")*6+($AN43:$AP43="CRO")*6+($AN43:$AP43="M+")*6+($AN43:$AP43="T+")*6+($AN43:$AP43="D+")*12+($AN43:$AP43="N+")*12+($AN43:$AP43="Dm+")*12+($AN43:$AP43="Dt+")*12+($AN43:$AP43="Tm-")*6+($AN43:$AP43="Mt-")*6)</f>
        <v/>
      </c>
      <c r="BC43" s="118">
        <f>BB43-MAX(0,IFERROR(INDEX(CADASTRO!$I$4:$I$80,MATCH($A43,CADASTRO!$A$4:$A$80,0)),$B43)-CONFIG!$B$50*(COUNTIF($AI43:$AL43,"AB")+COUNTIF($AI43:$AL43,"FE")+COUNTIF($AI43:$AL43,"LM")+COUNTIF($AN43:$AP43,"AB")+COUNTIF($AN43:$AP43,"FE")+COUNTIF($AN43:$AP43,"LM")))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ROUND(B43*4.29,0)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36">
        <f>IFERROR(INDEX(MAR!AL$8:AL$73,MATCH($A44,MAR!$A$8:$A$73,0))&amp;"","")</f>
        <v/>
      </c>
      <c r="H44" s="136">
        <f>IFERROR(INDEX(MAR!AM$8:AM$73,MATCH($A44,MAR!$A$8:$A$73,0))&amp;"","")</f>
        <v/>
      </c>
      <c r="I44" s="114" t="n"/>
      <c r="J44" s="114" t="n"/>
      <c r="K44" s="115" t="inlineStr">
        <is>
          <t>M</t>
        </is>
      </c>
      <c r="L44" s="124" t="inlineStr">
        <is>
          <t>D</t>
        </is>
      </c>
      <c r="M44" s="114" t="n"/>
      <c r="N44" s="114" t="n"/>
      <c r="O44" s="124" t="inlineStr">
        <is>
          <t>D</t>
        </is>
      </c>
      <c r="P44" s="124" t="inlineStr">
        <is>
          <t>D</t>
        </is>
      </c>
      <c r="Q44" s="114" t="n"/>
      <c r="R44" s="114" t="n"/>
      <c r="S44" s="114" t="n"/>
      <c r="T44" s="114" t="n"/>
      <c r="U44" s="114" t="n"/>
      <c r="V44" s="124" t="inlineStr">
        <is>
          <t>D</t>
        </is>
      </c>
      <c r="W44" s="114" t="n"/>
      <c r="X44" s="114" t="n"/>
      <c r="Y44" s="114" t="n"/>
      <c r="Z44" s="114" t="n"/>
      <c r="AA44" s="124" t="inlineStr">
        <is>
          <t>D</t>
        </is>
      </c>
      <c r="AB44" s="114" t="n"/>
      <c r="AC44" s="124" t="inlineStr">
        <is>
          <t>D</t>
        </is>
      </c>
      <c r="AD44" s="124" t="inlineStr">
        <is>
          <t>D</t>
        </is>
      </c>
      <c r="AE44" s="114" t="n"/>
      <c r="AF44" s="114" t="n"/>
      <c r="AG44" s="114" t="n"/>
      <c r="AH44" s="114" t="n"/>
      <c r="AI44" s="114" t="n"/>
      <c r="AJ44" s="124" t="inlineStr">
        <is>
          <t>D</t>
        </is>
      </c>
      <c r="AK44" s="124" t="inlineStr">
        <is>
          <t>D</t>
        </is>
      </c>
      <c r="AL44" s="114" t="n"/>
      <c r="AM44" s="100" t="n"/>
      <c r="AN44" s="136">
        <f>IFERROR(INDEX(MAI!I$8:I$73,MATCH($A44,MAI!$A$8:$A$73,0))&amp;"","")</f>
        <v/>
      </c>
      <c r="AO44" s="116">
        <f>IFERROR(INDEX(MAI!J$8:J$73,MATCH($A44,MAI!$A$8:$A$73,0))&amp;"","")</f>
        <v/>
      </c>
      <c r="AP44" s="116">
        <f>IFERROR(INDEX(MAI!K$8:K$73,MATCH($A44,MAI!$A$8:$A$73,0))&amp;"","")</f>
        <v/>
      </c>
      <c r="AQ44" s="100" t="n"/>
      <c r="AR44" s="100" t="n"/>
      <c r="AS44" s="100" t="n"/>
      <c r="AT44" s="117">
        <f>SUMPRODUCT(($G44:$M44="M")*6+($G44:$M44="T")*6+($G44:$M44="D")*12+($G44:$M44="N")*12+($G44:$M44="NT")*6+($G44:$M44="C")*10+($G44:$M44="A")*8+($G44:$M44="J")*5+($G44:$M44="CEP")*4+($G44:$M44="CP")*6+($G44:$M44="CRO")*6+($G44:$M44="M+")*6+($G44:$M44="T+")*6+($G44:$M44="D+")*12+($G44:$M44="N+")*12+($G44:$M44="Dm+")*12+($G44:$M44="Dt+")*12+($G44:$M44="Tm-")*6+($G44:$M44="Mt-")*6)</f>
        <v/>
      </c>
      <c r="AU44" s="118">
        <f>AT44-MAX(0,IFERROR(INDEX(CADASTRO!$I$4:$I$80,MATCH($A44,CADASTRO!$A$4:$A$80,0)),$B44)-CONFIG!$B$50*(COUNTIF($G44:$M44,"AB")+COUNTIF($G44:$M44,"FE")+COUNTIF($G44:$M44,"LM")))</f>
        <v/>
      </c>
      <c r="AV44" s="117">
        <f>SUMPRODUCT(($N44:$T44="M")*6+($N44:$T44="T")*6+($N44:$T44="D")*12+($N44:$T44="N")*12+($N44:$T44="NT")*6+($N44:$T44="C")*10+($N44:$T44="A")*8+($N44:$T44="J")*5+($N44:$T44="CEP")*4+($N44:$T44="CP")*6+($N44:$T44="CRO")*6+($N44:$T44="M+")*6+($N44:$T44="T+")*6+($N44:$T44="D+")*12+($N44:$T44="N+")*12+($N44:$T44="Dm+")*12+($N44:$T44="Dt+")*12+($N44:$T44="Tm-")*6+($N44:$T44="Mt-")*6)</f>
        <v/>
      </c>
      <c r="AW44" s="118">
        <f>AV44-MAX(0,IFERROR(INDEX(CADASTRO!$I$4:$I$80,MATCH($A44,CADASTRO!$A$4:$A$80,0)),$B44)-CONFIG!$B$50*(COUNTIF($N44:$T44,"AB")+COUNTIF($N44:$T44,"FE")+COUNTIF($N44:$T44,"LM")))</f>
        <v/>
      </c>
      <c r="AX44" s="117">
        <f>SUMPRODUCT(($U44:$AA44="M")*6+($U44:$AA44="T")*6+($U44:$AA44="D")*12+($U44:$AA44="N")*12+($U44:$AA44="NT")*6+($U44:$AA44="C")*10+($U44:$AA44="A")*8+($U44:$AA44="J")*5+($U44:$AA44="CEP")*4+($U44:$AA44="CP")*6+($U44:$AA44="CRO")*6+($U44:$AA44="M+")*6+($U44:$AA44="T+")*6+($U44:$AA44="D+")*12+($U44:$AA44="N+")*12+($U44:$AA44="Dm+")*12+($U44:$AA44="Dt+")*12+($U44:$AA44="Tm-")*6+($U44:$AA44="Mt-")*6)</f>
        <v/>
      </c>
      <c r="AY44" s="118">
        <f>AX44-MAX(0,IFERROR(INDEX(CADASTRO!$I$4:$I$80,MATCH($A44,CADASTRO!$A$4:$A$80,0)),$B44)-CONFIG!$B$50*(COUNTIF($U44:$AA44,"AB")+COUNTIF($U44:$AA44,"FE")+COUNTIF($U44:$AA44,"LM")))</f>
        <v/>
      </c>
      <c r="AZ44" s="117">
        <f>SUMPRODUCT(($AB44:$AH44="M")*6+($AB44:$AH44="T")*6+($AB44:$AH44="D")*12+($AB44:$AH44="N")*12+($AB44:$AH44="NT")*6+($AB44:$AH44="C")*10+($AB44:$AH44="A")*8+($AB44:$AH44="J")*5+($AB44:$AH44="CEP")*4+($AB44:$AH44="CP")*6+($AB44:$AH44="CRO")*6+($AB44:$AH44="M+")*6+($AB44:$AH44="T+")*6+($AB44:$AH44="D+")*12+($AB44:$AH44="N+")*12+($AB44:$AH44="Dm+")*12+($AB44:$AH44="Dt+")*12+($AB44:$AH44="Tm-")*6+($AB44:$AH44="Mt-")*6)</f>
        <v/>
      </c>
      <c r="BA44" s="118">
        <f>AZ44-MAX(0,IFERROR(INDEX(CADASTRO!$I$4:$I$80,MATCH($A44,CADASTRO!$A$4:$A$80,0)),$B44)-CONFIG!$B$50*(COUNTIF($AB44:$AH44,"AB")+COUNTIF($AB44:$AH44,"FE")+COUNTIF($AB44:$AH44,"LM")))</f>
        <v/>
      </c>
      <c r="BB44" s="117">
        <f>SUMPRODUCT(($AI44:$AL44="M")*6+($AI44:$AL44="T")*6+($AI44:$AL44="D")*12+($AI44:$AL44="N")*12+($AI44:$AL44="NT")*6+($AI44:$AL44="C")*10+($AI44:$AL44="A")*8+($AI44:$AL44="J")*5+($AI44:$AL44="CEP")*4+($AI44:$AL44="CP")*6+($AI44:$AL44="CRO")*6+($AI44:$AL44="M+")*6+($AI44:$AL44="T+")*6+($AI44:$AL44="D+")*12+($AI44:$AL44="N+")*12+($AI44:$AL44="Dm+")*12+($AI44:$AL44="Dt+")*12+($AI44:$AL44="Tm-")*6+($AI44:$AL44="Mt-")*6)+SUMPRODUCT(($AN44:$AP44="M")*6+($AN44:$AP44="T")*6+($AN44:$AP44="D")*12+($AN44:$AP44="N")*12+($AN44:$AP44="NT")*6+($AN44:$AP44="C")*10+($AN44:$AP44="A")*8+($AN44:$AP44="J")*5+($AN44:$AP44="CEP")*4+($AN44:$AP44="CP")*6+($AN44:$AP44="CRO")*6+($AN44:$AP44="M+")*6+($AN44:$AP44="T+")*6+($AN44:$AP44="D+")*12+($AN44:$AP44="N+")*12+($AN44:$AP44="Dm+")*12+($AN44:$AP44="Dt+")*12+($AN44:$AP44="Tm-")*6+($AN44:$AP44="Mt-")*6)</f>
        <v/>
      </c>
      <c r="BC44" s="118">
        <f>BB44-MAX(0,IFERROR(INDEX(CADASTRO!$I$4:$I$80,MATCH($A44,CADASTRO!$A$4:$A$80,0)),$B44)-CONFIG!$B$50*(COUNTIF($AI44:$AL44,"AB")+COUNTIF($AI44:$AL44,"FE")+COUNTIF($AI44:$AL44,"LM")+COUNTIF($AN44:$AP44,"AB")+COUNTIF($AN44:$AP44,"FE")+COUNTIF($AN44:$AP44,"LM")))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ROUND(B44*4.29,0)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36">
        <f>IFERROR(INDEX(MAR!AL$8:AL$73,MATCH($A45,MAR!$A$8:$A$73,0))&amp;"","")</f>
        <v/>
      </c>
      <c r="H45" s="136">
        <f>IFERROR(INDEX(MAR!AM$8:AM$73,MATCH($A45,MAR!$A$8:$A$73,0))&amp;"","")</f>
        <v/>
      </c>
      <c r="I45" s="114" t="n"/>
      <c r="J45" s="115" t="inlineStr">
        <is>
          <t>M</t>
        </is>
      </c>
      <c r="K45" s="114" t="n"/>
      <c r="L45" s="114" t="n"/>
      <c r="M45" s="115" t="inlineStr">
        <is>
          <t>M</t>
        </is>
      </c>
      <c r="N45" s="115" t="inlineStr">
        <is>
          <t>M</t>
        </is>
      </c>
      <c r="O45" s="115" t="inlineStr">
        <is>
          <t>M</t>
        </is>
      </c>
      <c r="P45" s="114" t="n"/>
      <c r="Q45" s="115" t="inlineStr">
        <is>
          <t>M</t>
        </is>
      </c>
      <c r="R45" s="114" t="n"/>
      <c r="S45" s="114" t="n"/>
      <c r="T45" s="115" t="inlineStr">
        <is>
          <t>M</t>
        </is>
      </c>
      <c r="U45" s="114" t="n"/>
      <c r="V45" s="115" t="inlineStr">
        <is>
          <t>M</t>
        </is>
      </c>
      <c r="W45" s="114" t="n"/>
      <c r="X45" s="115" t="inlineStr">
        <is>
          <t>M</t>
        </is>
      </c>
      <c r="Y45" s="114" t="n"/>
      <c r="Z45" s="125" t="inlineStr">
        <is>
          <t>N</t>
        </is>
      </c>
      <c r="AA45" s="114" t="n"/>
      <c r="AB45" s="115" t="inlineStr">
        <is>
          <t>M</t>
        </is>
      </c>
      <c r="AC45" s="114" t="n"/>
      <c r="AD45" s="114" t="n"/>
      <c r="AE45" s="115" t="inlineStr">
        <is>
          <t>M</t>
        </is>
      </c>
      <c r="AF45" s="125" t="inlineStr">
        <is>
          <t>N</t>
        </is>
      </c>
      <c r="AG45" s="114" t="n"/>
      <c r="AH45" s="114" t="n"/>
      <c r="AI45" s="115" t="inlineStr">
        <is>
          <t>M</t>
        </is>
      </c>
      <c r="AJ45" s="115" t="inlineStr">
        <is>
          <t>M</t>
        </is>
      </c>
      <c r="AK45" s="114" t="n"/>
      <c r="AL45" s="115" t="inlineStr">
        <is>
          <t>M</t>
        </is>
      </c>
      <c r="AM45" s="100" t="n"/>
      <c r="AN45" s="136">
        <f>IFERROR(INDEX(MAI!I$8:I$73,MATCH($A45,MAI!$A$8:$A$73,0))&amp;"","")</f>
        <v/>
      </c>
      <c r="AO45" s="116">
        <f>IFERROR(INDEX(MAI!J$8:J$73,MATCH($A45,MAI!$A$8:$A$73,0))&amp;"","")</f>
        <v/>
      </c>
      <c r="AP45" s="116">
        <f>IFERROR(INDEX(MAI!K$8:K$73,MATCH($A45,MAI!$A$8:$A$73,0))&amp;"","")</f>
        <v/>
      </c>
      <c r="AQ45" s="100" t="n"/>
      <c r="AR45" s="100" t="n"/>
      <c r="AS45" s="100" t="n"/>
      <c r="AT45" s="117">
        <f>SUMPRODUCT(($G45:$M45="M")*6+($G45:$M45="T")*6+($G45:$M45="D")*12+($G45:$M45="N")*12+($G45:$M45="NT")*6+($G45:$M45="C")*10+($G45:$M45="A")*8+($G45:$M45="J")*5+($G45:$M45="CEP")*4+($G45:$M45="CP")*6+($G45:$M45="CRO")*6+($G45:$M45="M+")*6+($G45:$M45="T+")*6+($G45:$M45="D+")*12+($G45:$M45="N+")*12+($G45:$M45="Dm+")*12+($G45:$M45="Dt+")*12+($G45:$M45="Tm-")*6+($G45:$M45="Mt-")*6)</f>
        <v/>
      </c>
      <c r="AU45" s="118">
        <f>AT45-MAX(0,IFERROR(INDEX(CADASTRO!$I$4:$I$80,MATCH($A45,CADASTRO!$A$4:$A$80,0)),$B45)-CONFIG!$B$50*(COUNTIF($G45:$M45,"AB")+COUNTIF($G45:$M45,"FE")+COUNTIF($G45:$M45,"LM")))</f>
        <v/>
      </c>
      <c r="AV45" s="117">
        <f>SUMPRODUCT(($N45:$T45="M")*6+($N45:$T45="T")*6+($N45:$T45="D")*12+($N45:$T45="N")*12+($N45:$T45="NT")*6+($N45:$T45="C")*10+($N45:$T45="A")*8+($N45:$T45="J")*5+($N45:$T45="CEP")*4+($N45:$T45="CP")*6+($N45:$T45="CRO")*6+($N45:$T45="M+")*6+($N45:$T45="T+")*6+($N45:$T45="D+")*12+($N45:$T45="N+")*12+($N45:$T45="Dm+")*12+($N45:$T45="Dt+")*12+($N45:$T45="Tm-")*6+($N45:$T45="Mt-")*6)</f>
        <v/>
      </c>
      <c r="AW45" s="118">
        <f>AV45-MAX(0,IFERROR(INDEX(CADASTRO!$I$4:$I$80,MATCH($A45,CADASTRO!$A$4:$A$80,0)),$B45)-CONFIG!$B$50*(COUNTIF($N45:$T45,"AB")+COUNTIF($N45:$T45,"FE")+COUNTIF($N45:$T45,"LM")))</f>
        <v/>
      </c>
      <c r="AX45" s="117">
        <f>SUMPRODUCT(($U45:$AA45="M")*6+($U45:$AA45="T")*6+($U45:$AA45="D")*12+($U45:$AA45="N")*12+($U45:$AA45="NT")*6+($U45:$AA45="C")*10+($U45:$AA45="A")*8+($U45:$AA45="J")*5+($U45:$AA45="CEP")*4+($U45:$AA45="CP")*6+($U45:$AA45="CRO")*6+($U45:$AA45="M+")*6+($U45:$AA45="T+")*6+($U45:$AA45="D+")*12+($U45:$AA45="N+")*12+($U45:$AA45="Dm+")*12+($U45:$AA45="Dt+")*12+($U45:$AA45="Tm-")*6+($U45:$AA45="Mt-")*6)</f>
        <v/>
      </c>
      <c r="AY45" s="118">
        <f>AX45-MAX(0,IFERROR(INDEX(CADASTRO!$I$4:$I$80,MATCH($A45,CADASTRO!$A$4:$A$80,0)),$B45)-CONFIG!$B$50*(COUNTIF($U45:$AA45,"AB")+COUNTIF($U45:$AA45,"FE")+COUNTIF($U45:$AA45,"LM")))</f>
        <v/>
      </c>
      <c r="AZ45" s="117">
        <f>SUMPRODUCT(($AB45:$AH45="M")*6+($AB45:$AH45="T")*6+($AB45:$AH45="D")*12+($AB45:$AH45="N")*12+($AB45:$AH45="NT")*6+($AB45:$AH45="C")*10+($AB45:$AH45="A")*8+($AB45:$AH45="J")*5+($AB45:$AH45="CEP")*4+($AB45:$AH45="CP")*6+($AB45:$AH45="CRO")*6+($AB45:$AH45="M+")*6+($AB45:$AH45="T+")*6+($AB45:$AH45="D+")*12+($AB45:$AH45="N+")*12+($AB45:$AH45="Dm+")*12+($AB45:$AH45="Dt+")*12+($AB45:$AH45="Tm-")*6+($AB45:$AH45="Mt-")*6)</f>
        <v/>
      </c>
      <c r="BA45" s="118">
        <f>AZ45-MAX(0,IFERROR(INDEX(CADASTRO!$I$4:$I$80,MATCH($A45,CADASTRO!$A$4:$A$80,0)),$B45)-CONFIG!$B$50*(COUNTIF($AB45:$AH45,"AB")+COUNTIF($AB45:$AH45,"FE")+COUNTIF($AB45:$AH45,"LM")))</f>
        <v/>
      </c>
      <c r="BB45" s="117">
        <f>SUMPRODUCT(($AI45:$AL45="M")*6+($AI45:$AL45="T")*6+($AI45:$AL45="D")*12+($AI45:$AL45="N")*12+($AI45:$AL45="NT")*6+($AI45:$AL45="C")*10+($AI45:$AL45="A")*8+($AI45:$AL45="J")*5+($AI45:$AL45="CEP")*4+($AI45:$AL45="CP")*6+($AI45:$AL45="CRO")*6+($AI45:$AL45="M+")*6+($AI45:$AL45="T+")*6+($AI45:$AL45="D+")*12+($AI45:$AL45="N+")*12+($AI45:$AL45="Dm+")*12+($AI45:$AL45="Dt+")*12+($AI45:$AL45="Tm-")*6+($AI45:$AL45="Mt-")*6)+SUMPRODUCT(($AN45:$AP45="M")*6+($AN45:$AP45="T")*6+($AN45:$AP45="D")*12+($AN45:$AP45="N")*12+($AN45:$AP45="NT")*6+($AN45:$AP45="C")*10+($AN45:$AP45="A")*8+($AN45:$AP45="J")*5+($AN45:$AP45="CEP")*4+($AN45:$AP45="CP")*6+($AN45:$AP45="CRO")*6+($AN45:$AP45="M+")*6+($AN45:$AP45="T+")*6+($AN45:$AP45="D+")*12+($AN45:$AP45="N+")*12+($AN45:$AP45="Dm+")*12+($AN45:$AP45="Dt+")*12+($AN45:$AP45="Tm-")*6+($AN45:$AP45="Mt-")*6)</f>
        <v/>
      </c>
      <c r="BC45" s="118">
        <f>BB45-MAX(0,IFERROR(INDEX(CADASTRO!$I$4:$I$80,MATCH($A45,CADASTRO!$A$4:$A$80,0)),$B45)-CONFIG!$B$50*(COUNTIF($AI45:$AL45,"AB")+COUNTIF($AI45:$AL45,"FE")+COUNTIF($AI45:$AL45,"LM")+COUNTIF($AN45:$AP45,"AB")+COUNTIF($AN45:$AP45,"FE")+COUNTIF($AN45:$AP45,"LM")))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ROUND(B45*4.29,0)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36">
        <f>IFERROR(INDEX(MAR!AL$8:AL$73,MATCH($A46,MAR!$A$8:$A$73,0))&amp;"","")</f>
        <v/>
      </c>
      <c r="H46" s="136">
        <f>IFERROR(INDEX(MAR!AM$8:AM$73,MATCH($A46,MAR!$A$8:$A$73,0))&amp;"","")</f>
        <v/>
      </c>
      <c r="I46" s="124" t="inlineStr">
        <is>
          <t>D</t>
        </is>
      </c>
      <c r="J46" s="114" t="n"/>
      <c r="K46" s="114" t="n"/>
      <c r="L46" s="114" t="n"/>
      <c r="M46" s="114" t="n"/>
      <c r="N46" s="125" t="inlineStr">
        <is>
          <t>N</t>
        </is>
      </c>
      <c r="O46" s="114" t="n"/>
      <c r="P46" s="124" t="inlineStr">
        <is>
          <t>D</t>
        </is>
      </c>
      <c r="Q46" s="114" t="n"/>
      <c r="R46" s="114" t="n"/>
      <c r="S46" s="114" t="n"/>
      <c r="T46" s="114" t="n"/>
      <c r="U46" s="114" t="n"/>
      <c r="V46" s="114" t="n"/>
      <c r="W46" s="115" t="inlineStr">
        <is>
          <t>M</t>
        </is>
      </c>
      <c r="X46" s="114" t="n"/>
      <c r="Y46" s="114" t="n"/>
      <c r="Z46" s="125" t="inlineStr">
        <is>
          <t>N</t>
        </is>
      </c>
      <c r="AA46" s="126" t="inlineStr">
        <is>
          <t>T</t>
        </is>
      </c>
      <c r="AB46" s="114" t="n"/>
      <c r="AC46" s="114" t="n"/>
      <c r="AD46" s="124" t="inlineStr">
        <is>
          <t>D</t>
        </is>
      </c>
      <c r="AE46" s="114" t="n"/>
      <c r="AF46" s="125" t="inlineStr">
        <is>
          <t>N</t>
        </is>
      </c>
      <c r="AG46" s="114" t="n"/>
      <c r="AH46" s="114" t="n"/>
      <c r="AI46" s="114" t="n"/>
      <c r="AJ46" s="114" t="n"/>
      <c r="AK46" s="124" t="inlineStr">
        <is>
          <t>D</t>
        </is>
      </c>
      <c r="AL46" s="114" t="n"/>
      <c r="AM46" s="100" t="n"/>
      <c r="AN46" s="136">
        <f>IFERROR(INDEX(MAI!I$8:I$73,MATCH($A46,MAI!$A$8:$A$73,0))&amp;"","")</f>
        <v/>
      </c>
      <c r="AO46" s="116">
        <f>IFERROR(INDEX(MAI!J$8:J$73,MATCH($A46,MAI!$A$8:$A$73,0))&amp;"","")</f>
        <v/>
      </c>
      <c r="AP46" s="116">
        <f>IFERROR(INDEX(MAI!K$8:K$73,MATCH($A46,MAI!$A$8:$A$73,0))&amp;"","")</f>
        <v/>
      </c>
      <c r="AQ46" s="100" t="n"/>
      <c r="AR46" s="100" t="n"/>
      <c r="AS46" s="100" t="n"/>
      <c r="AT46" s="117">
        <f>SUMPRODUCT(($G46:$M46="M")*6+($G46:$M46="T")*6+($G46:$M46="D")*12+($G46:$M46="N")*12+($G46:$M46="NT")*6+($G46:$M46="C")*10+($G46:$M46="A")*8+($G46:$M46="J")*5+($G46:$M46="CEP")*4+($G46:$M46="CP")*6+($G46:$M46="CRO")*6+($G46:$M46="M+")*6+($G46:$M46="T+")*6+($G46:$M46="D+")*12+($G46:$M46="N+")*12+($G46:$M46="Dm+")*12+($G46:$M46="Dt+")*12+($G46:$M46="Tm-")*6+($G46:$M46="Mt-")*6)</f>
        <v/>
      </c>
      <c r="AU46" s="118">
        <f>AT46-MAX(0,IFERROR(INDEX(CADASTRO!$I$4:$I$80,MATCH($A46,CADASTRO!$A$4:$A$80,0)),$B46)-CONFIG!$B$50*(COUNTIF($G46:$M46,"AB")+COUNTIF($G46:$M46,"FE")+COUNTIF($G46:$M46,"LM")))</f>
        <v/>
      </c>
      <c r="AV46" s="117">
        <f>SUMPRODUCT(($N46:$T46="M")*6+($N46:$T46="T")*6+($N46:$T46="D")*12+($N46:$T46="N")*12+($N46:$T46="NT")*6+($N46:$T46="C")*10+($N46:$T46="A")*8+($N46:$T46="J")*5+($N46:$T46="CEP")*4+($N46:$T46="CP")*6+($N46:$T46="CRO")*6+($N46:$T46="M+")*6+($N46:$T46="T+")*6+($N46:$T46="D+")*12+($N46:$T46="N+")*12+($N46:$T46="Dm+")*12+($N46:$T46="Dt+")*12+($N46:$T46="Tm-")*6+($N46:$T46="Mt-")*6)</f>
        <v/>
      </c>
      <c r="AW46" s="118">
        <f>AV46-MAX(0,IFERROR(INDEX(CADASTRO!$I$4:$I$80,MATCH($A46,CADASTRO!$A$4:$A$80,0)),$B46)-CONFIG!$B$50*(COUNTIF($N46:$T46,"AB")+COUNTIF($N46:$T46,"FE")+COUNTIF($N46:$T46,"LM")))</f>
        <v/>
      </c>
      <c r="AX46" s="117">
        <f>SUMPRODUCT(($U46:$AA46="M")*6+($U46:$AA46="T")*6+($U46:$AA46="D")*12+($U46:$AA46="N")*12+($U46:$AA46="NT")*6+($U46:$AA46="C")*10+($U46:$AA46="A")*8+($U46:$AA46="J")*5+($U46:$AA46="CEP")*4+($U46:$AA46="CP")*6+($U46:$AA46="CRO")*6+($U46:$AA46="M+")*6+($U46:$AA46="T+")*6+($U46:$AA46="D+")*12+($U46:$AA46="N+")*12+($U46:$AA46="Dm+")*12+($U46:$AA46="Dt+")*12+($U46:$AA46="Tm-")*6+($U46:$AA46="Mt-")*6)</f>
        <v/>
      </c>
      <c r="AY46" s="118">
        <f>AX46-MAX(0,IFERROR(INDEX(CADASTRO!$I$4:$I$80,MATCH($A46,CADASTRO!$A$4:$A$80,0)),$B46)-CONFIG!$B$50*(COUNTIF($U46:$AA46,"AB")+COUNTIF($U46:$AA46,"FE")+COUNTIF($U46:$AA46,"LM")))</f>
        <v/>
      </c>
      <c r="AZ46" s="117">
        <f>SUMPRODUCT(($AB46:$AH46="M")*6+($AB46:$AH46="T")*6+($AB46:$AH46="D")*12+($AB46:$AH46="N")*12+($AB46:$AH46="NT")*6+($AB46:$AH46="C")*10+($AB46:$AH46="A")*8+($AB46:$AH46="J")*5+($AB46:$AH46="CEP")*4+($AB46:$AH46="CP")*6+($AB46:$AH46="CRO")*6+($AB46:$AH46="M+")*6+($AB46:$AH46="T+")*6+($AB46:$AH46="D+")*12+($AB46:$AH46="N+")*12+($AB46:$AH46="Dm+")*12+($AB46:$AH46="Dt+")*12+($AB46:$AH46="Tm-")*6+($AB46:$AH46="Mt-")*6)</f>
        <v/>
      </c>
      <c r="BA46" s="118">
        <f>AZ46-MAX(0,IFERROR(INDEX(CADASTRO!$I$4:$I$80,MATCH($A46,CADASTRO!$A$4:$A$80,0)),$B46)-CONFIG!$B$50*(COUNTIF($AB46:$AH46,"AB")+COUNTIF($AB46:$AH46,"FE")+COUNTIF($AB46:$AH46,"LM")))</f>
        <v/>
      </c>
      <c r="BB46" s="117">
        <f>SUMPRODUCT(($AI46:$AL46="M")*6+($AI46:$AL46="T")*6+($AI46:$AL46="D")*12+($AI46:$AL46="N")*12+($AI46:$AL46="NT")*6+($AI46:$AL46="C")*10+($AI46:$AL46="A")*8+($AI46:$AL46="J")*5+($AI46:$AL46="CEP")*4+($AI46:$AL46="CP")*6+($AI46:$AL46="CRO")*6+($AI46:$AL46="M+")*6+($AI46:$AL46="T+")*6+($AI46:$AL46="D+")*12+($AI46:$AL46="N+")*12+($AI46:$AL46="Dm+")*12+($AI46:$AL46="Dt+")*12+($AI46:$AL46="Tm-")*6+($AI46:$AL46="Mt-")*6)+SUMPRODUCT(($AN46:$AP46="M")*6+($AN46:$AP46="T")*6+($AN46:$AP46="D")*12+($AN46:$AP46="N")*12+($AN46:$AP46="NT")*6+($AN46:$AP46="C")*10+($AN46:$AP46="A")*8+($AN46:$AP46="J")*5+($AN46:$AP46="CEP")*4+($AN46:$AP46="CP")*6+($AN46:$AP46="CRO")*6+($AN46:$AP46="M+")*6+($AN46:$AP46="T+")*6+($AN46:$AP46="D+")*12+($AN46:$AP46="N+")*12+($AN46:$AP46="Dm+")*12+($AN46:$AP46="Dt+")*12+($AN46:$AP46="Tm-")*6+($AN46:$AP46="Mt-")*6)</f>
        <v/>
      </c>
      <c r="BC46" s="118">
        <f>BB46-MAX(0,IFERROR(INDEX(CADASTRO!$I$4:$I$80,MATCH($A46,CADASTRO!$A$4:$A$80,0)),$B46)-CONFIG!$B$50*(COUNTIF($AI46:$AL46,"AB")+COUNTIF($AI46:$AL46,"FE")+COUNTIF($AI46:$AL46,"LM")+COUNTIF($AN46:$AP46,"AB")+COUNTIF($AN46:$AP46,"FE")+COUNTIF($AN46:$AP46,"LM")))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ROUND(B46*4.29,0)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36">
        <f>IFERROR(INDEX(MAR!AL$8:AL$73,MATCH($A47,MAR!$A$8:$A$73,0))&amp;"","")</f>
        <v/>
      </c>
      <c r="H47" s="136">
        <f>IFERROR(INDEX(MAR!AM$8:AM$73,MATCH($A47,MAR!$A$8:$A$73,0))&amp;"","")</f>
        <v/>
      </c>
      <c r="I47" s="114" t="n"/>
      <c r="J47" s="114" t="n"/>
      <c r="K47" s="114" t="n"/>
      <c r="L47" s="114" t="n"/>
      <c r="M47" s="114" t="n"/>
      <c r="N47" s="114" t="n"/>
      <c r="O47" s="125" t="inlineStr">
        <is>
          <t>N</t>
        </is>
      </c>
      <c r="P47" s="114" t="n"/>
      <c r="Q47" s="114" t="n"/>
      <c r="R47" s="125" t="inlineStr">
        <is>
          <t>N</t>
        </is>
      </c>
      <c r="S47" s="114" t="n"/>
      <c r="T47" s="114" t="n"/>
      <c r="U47" s="114" t="n"/>
      <c r="V47" s="114" t="n"/>
      <c r="W47" s="114" t="n"/>
      <c r="X47" s="114" t="n"/>
      <c r="Y47" s="114" t="n"/>
      <c r="Z47" s="124" t="inlineStr">
        <is>
          <t>D</t>
        </is>
      </c>
      <c r="AA47" s="124" t="inlineStr">
        <is>
          <t>D</t>
        </is>
      </c>
      <c r="AB47" s="114" t="n"/>
      <c r="AC47" s="125" t="inlineStr">
        <is>
          <t>N</t>
        </is>
      </c>
      <c r="AD47" s="114" t="n"/>
      <c r="AE47" s="124" t="inlineStr">
        <is>
          <t>D</t>
        </is>
      </c>
      <c r="AF47" s="114" t="n"/>
      <c r="AG47" s="114" t="n"/>
      <c r="AH47" s="114" t="n"/>
      <c r="AI47" s="114" t="n"/>
      <c r="AJ47" s="125" t="inlineStr">
        <is>
          <t>N</t>
        </is>
      </c>
      <c r="AK47" s="114" t="n"/>
      <c r="AL47" s="114" t="n"/>
      <c r="AM47" s="100" t="n"/>
      <c r="AN47" s="136">
        <f>IFERROR(INDEX(MAI!I$8:I$73,MATCH($A47,MAI!$A$8:$A$73,0))&amp;"","")</f>
        <v/>
      </c>
      <c r="AO47" s="116">
        <f>IFERROR(INDEX(MAI!J$8:J$73,MATCH($A47,MAI!$A$8:$A$73,0))&amp;"","")</f>
        <v/>
      </c>
      <c r="AP47" s="116">
        <f>IFERROR(INDEX(MAI!K$8:K$73,MATCH($A47,MAI!$A$8:$A$73,0))&amp;"","")</f>
        <v/>
      </c>
      <c r="AQ47" s="100" t="n"/>
      <c r="AR47" s="100" t="n"/>
      <c r="AS47" s="100" t="n"/>
      <c r="AT47" s="117">
        <f>SUMPRODUCT(($G47:$M47="M")*6+($G47:$M47="T")*6+($G47:$M47="D")*12+($G47:$M47="N")*12+($G47:$M47="NT")*6+($G47:$M47="C")*10+($G47:$M47="A")*8+($G47:$M47="J")*5+($G47:$M47="CEP")*4+($G47:$M47="CP")*6+($G47:$M47="CRO")*6+($G47:$M47="M+")*6+($G47:$M47="T+")*6+($G47:$M47="D+")*12+($G47:$M47="N+")*12+($G47:$M47="Dm+")*12+($G47:$M47="Dt+")*12+($G47:$M47="Tm-")*6+($G47:$M47="Mt-")*6)</f>
        <v/>
      </c>
      <c r="AU47" s="118">
        <f>AT47-MAX(0,IFERROR(INDEX(CADASTRO!$I$4:$I$80,MATCH($A47,CADASTRO!$A$4:$A$80,0)),$B47)-CONFIG!$B$50*(COUNTIF($G47:$M47,"AB")+COUNTIF($G47:$M47,"FE")+COUNTIF($G47:$M47,"LM")))</f>
        <v/>
      </c>
      <c r="AV47" s="117">
        <f>SUMPRODUCT(($N47:$T47="M")*6+($N47:$T47="T")*6+($N47:$T47="D")*12+($N47:$T47="N")*12+($N47:$T47="NT")*6+($N47:$T47="C")*10+($N47:$T47="A")*8+($N47:$T47="J")*5+($N47:$T47="CEP")*4+($N47:$T47="CP")*6+($N47:$T47="CRO")*6+($N47:$T47="M+")*6+($N47:$T47="T+")*6+($N47:$T47="D+")*12+($N47:$T47="N+")*12+($N47:$T47="Dm+")*12+($N47:$T47="Dt+")*12+($N47:$T47="Tm-")*6+($N47:$T47="Mt-")*6)</f>
        <v/>
      </c>
      <c r="AW47" s="118">
        <f>AV47-MAX(0,IFERROR(INDEX(CADASTRO!$I$4:$I$80,MATCH($A47,CADASTRO!$A$4:$A$80,0)),$B47)-CONFIG!$B$50*(COUNTIF($N47:$T47,"AB")+COUNTIF($N47:$T47,"FE")+COUNTIF($N47:$T47,"LM")))</f>
        <v/>
      </c>
      <c r="AX47" s="117">
        <f>SUMPRODUCT(($U47:$AA47="M")*6+($U47:$AA47="T")*6+($U47:$AA47="D")*12+($U47:$AA47="N")*12+($U47:$AA47="NT")*6+($U47:$AA47="C")*10+($U47:$AA47="A")*8+($U47:$AA47="J")*5+($U47:$AA47="CEP")*4+($U47:$AA47="CP")*6+($U47:$AA47="CRO")*6+($U47:$AA47="M+")*6+($U47:$AA47="T+")*6+($U47:$AA47="D+")*12+($U47:$AA47="N+")*12+($U47:$AA47="Dm+")*12+($U47:$AA47="Dt+")*12+($U47:$AA47="Tm-")*6+($U47:$AA47="Mt-")*6)</f>
        <v/>
      </c>
      <c r="AY47" s="118">
        <f>AX47-MAX(0,IFERROR(INDEX(CADASTRO!$I$4:$I$80,MATCH($A47,CADASTRO!$A$4:$A$80,0)),$B47)-CONFIG!$B$50*(COUNTIF($U47:$AA47,"AB")+COUNTIF($U47:$AA47,"FE")+COUNTIF($U47:$AA47,"LM")))</f>
        <v/>
      </c>
      <c r="AZ47" s="117">
        <f>SUMPRODUCT(($AB47:$AH47="M")*6+($AB47:$AH47="T")*6+($AB47:$AH47="D")*12+($AB47:$AH47="N")*12+($AB47:$AH47="NT")*6+($AB47:$AH47="C")*10+($AB47:$AH47="A")*8+($AB47:$AH47="J")*5+($AB47:$AH47="CEP")*4+($AB47:$AH47="CP")*6+($AB47:$AH47="CRO")*6+($AB47:$AH47="M+")*6+($AB47:$AH47="T+")*6+($AB47:$AH47="D+")*12+($AB47:$AH47="N+")*12+($AB47:$AH47="Dm+")*12+($AB47:$AH47="Dt+")*12+($AB47:$AH47="Tm-")*6+($AB47:$AH47="Mt-")*6)</f>
        <v/>
      </c>
      <c r="BA47" s="118">
        <f>AZ47-MAX(0,IFERROR(INDEX(CADASTRO!$I$4:$I$80,MATCH($A47,CADASTRO!$A$4:$A$80,0)),$B47)-CONFIG!$B$50*(COUNTIF($AB47:$AH47,"AB")+COUNTIF($AB47:$AH47,"FE")+COUNTIF($AB47:$AH47,"LM")))</f>
        <v/>
      </c>
      <c r="BB47" s="117">
        <f>SUMPRODUCT(($AI47:$AL47="M")*6+($AI47:$AL47="T")*6+($AI47:$AL47="D")*12+($AI47:$AL47="N")*12+($AI47:$AL47="NT")*6+($AI47:$AL47="C")*10+($AI47:$AL47="A")*8+($AI47:$AL47="J")*5+($AI47:$AL47="CEP")*4+($AI47:$AL47="CP")*6+($AI47:$AL47="CRO")*6+($AI47:$AL47="M+")*6+($AI47:$AL47="T+")*6+($AI47:$AL47="D+")*12+($AI47:$AL47="N+")*12+($AI47:$AL47="Dm+")*12+($AI47:$AL47="Dt+")*12+($AI47:$AL47="Tm-")*6+($AI47:$AL47="Mt-")*6)+SUMPRODUCT(($AN47:$AP47="M")*6+($AN47:$AP47="T")*6+($AN47:$AP47="D")*12+($AN47:$AP47="N")*12+($AN47:$AP47="NT")*6+($AN47:$AP47="C")*10+($AN47:$AP47="A")*8+($AN47:$AP47="J")*5+($AN47:$AP47="CEP")*4+($AN47:$AP47="CP")*6+($AN47:$AP47="CRO")*6+($AN47:$AP47="M+")*6+($AN47:$AP47="T+")*6+($AN47:$AP47="D+")*12+($AN47:$AP47="N+")*12+($AN47:$AP47="Dm+")*12+($AN47:$AP47="Dt+")*12+($AN47:$AP47="Tm-")*6+($AN47:$AP47="Mt-")*6)</f>
        <v/>
      </c>
      <c r="BC47" s="118">
        <f>BB47-MAX(0,IFERROR(INDEX(CADASTRO!$I$4:$I$80,MATCH($A47,CADASTRO!$A$4:$A$80,0)),$B47)-CONFIG!$B$50*(COUNTIF($AI47:$AL47,"AB")+COUNTIF($AI47:$AL47,"FE")+COUNTIF($AI47:$AL47,"LM")+COUNTIF($AN47:$AP47,"AB")+COUNTIF($AN47:$AP47,"FE")+COUNTIF($AN47:$AP47,"LM")))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ROUND(B47*4.29,0)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36">
        <f>IFERROR(INDEX(MAR!AL$8:AL$73,MATCH($A48,MAR!$A$8:$A$73,0))&amp;"","")</f>
        <v/>
      </c>
      <c r="H48" s="136">
        <f>IFERROR(INDEX(MAR!AM$8:AM$73,MATCH($A48,MAR!$A$8:$A$73,0))&amp;"","")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00" t="n"/>
      <c r="AN48" s="136">
        <f>IFERROR(INDEX(MAI!I$8:I$73,MATCH($A48,MAI!$A$8:$A$73,0))&amp;"","")</f>
        <v/>
      </c>
      <c r="AO48" s="116">
        <f>IFERROR(INDEX(MAI!J$8:J$73,MATCH($A48,MAI!$A$8:$A$73,0))&amp;"","")</f>
        <v/>
      </c>
      <c r="AP48" s="116">
        <f>IFERROR(INDEX(MAI!K$8:K$73,MATCH($A48,MAI!$A$8:$A$73,0))&amp;"","")</f>
        <v/>
      </c>
      <c r="AQ48" s="100" t="n"/>
      <c r="AR48" s="100" t="n"/>
      <c r="AS48" s="100" t="n"/>
      <c r="AT48" s="117">
        <f>SUMPRODUCT(($G48:$M48="M")*6+($G48:$M48="T")*6+($G48:$M48="D")*12+($G48:$M48="N")*12+($G48:$M48="NT")*6+($G48:$M48="C")*10+($G48:$M48="A")*8+($G48:$M48="J")*5+($G48:$M48="CEP")*4+($G48:$M48="CP")*6+($G48:$M48="CRO")*6+($G48:$M48="M+")*6+($G48:$M48="T+")*6+($G48:$M48="D+")*12+($G48:$M48="N+")*12+($G48:$M48="Dm+")*12+($G48:$M48="Dt+")*12+($G48:$M48="Tm-")*6+($G48:$M48="Mt-")*6)</f>
        <v/>
      </c>
      <c r="AU48" s="118">
        <f>AT48-MAX(0,IFERROR(INDEX(CADASTRO!$I$4:$I$80,MATCH($A48,CADASTRO!$A$4:$A$80,0)),$B48)-CONFIG!$B$50*(COUNTIF($G48:$M48,"AB")+COUNTIF($G48:$M48,"FE")+COUNTIF($G48:$M48,"LM")))</f>
        <v/>
      </c>
      <c r="AV48" s="117">
        <f>SUMPRODUCT(($N48:$T48="M")*6+($N48:$T48="T")*6+($N48:$T48="D")*12+($N48:$T48="N")*12+($N48:$T48="NT")*6+($N48:$T48="C")*10+($N48:$T48="A")*8+($N48:$T48="J")*5+($N48:$T48="CEP")*4+($N48:$T48="CP")*6+($N48:$T48="CRO")*6+($N48:$T48="M+")*6+($N48:$T48="T+")*6+($N48:$T48="D+")*12+($N48:$T48="N+")*12+($N48:$T48="Dm+")*12+($N48:$T48="Dt+")*12+($N48:$T48="Tm-")*6+($N48:$T48="Mt-")*6)</f>
        <v/>
      </c>
      <c r="AW48" s="118">
        <f>AV48-MAX(0,IFERROR(INDEX(CADASTRO!$I$4:$I$80,MATCH($A48,CADASTRO!$A$4:$A$80,0)),$B48)-CONFIG!$B$50*(COUNTIF($N48:$T48,"AB")+COUNTIF($N48:$T48,"FE")+COUNTIF($N48:$T48,"LM")))</f>
        <v/>
      </c>
      <c r="AX48" s="117">
        <f>SUMPRODUCT(($U48:$AA48="M")*6+($U48:$AA48="T")*6+($U48:$AA48="D")*12+($U48:$AA48="N")*12+($U48:$AA48="NT")*6+($U48:$AA48="C")*10+($U48:$AA48="A")*8+($U48:$AA48="J")*5+($U48:$AA48="CEP")*4+($U48:$AA48="CP")*6+($U48:$AA48="CRO")*6+($U48:$AA48="M+")*6+($U48:$AA48="T+")*6+($U48:$AA48="D+")*12+($U48:$AA48="N+")*12+($U48:$AA48="Dm+")*12+($U48:$AA48="Dt+")*12+($U48:$AA48="Tm-")*6+($U48:$AA48="Mt-")*6)</f>
        <v/>
      </c>
      <c r="AY48" s="118">
        <f>AX48-MAX(0,IFERROR(INDEX(CADASTRO!$I$4:$I$80,MATCH($A48,CADASTRO!$A$4:$A$80,0)),$B48)-CONFIG!$B$50*(COUNTIF($U48:$AA48,"AB")+COUNTIF($U48:$AA48,"FE")+COUNTIF($U48:$AA48,"LM")))</f>
        <v/>
      </c>
      <c r="AZ48" s="117">
        <f>SUMPRODUCT(($AB48:$AH48="M")*6+($AB48:$AH48="T")*6+($AB48:$AH48="D")*12+($AB48:$AH48="N")*12+($AB48:$AH48="NT")*6+($AB48:$AH48="C")*10+($AB48:$AH48="A")*8+($AB48:$AH48="J")*5+($AB48:$AH48="CEP")*4+($AB48:$AH48="CP")*6+($AB48:$AH48="CRO")*6+($AB48:$AH48="M+")*6+($AB48:$AH48="T+")*6+($AB48:$AH48="D+")*12+($AB48:$AH48="N+")*12+($AB48:$AH48="Dm+")*12+($AB48:$AH48="Dt+")*12+($AB48:$AH48="Tm-")*6+($AB48:$AH48="Mt-")*6)</f>
        <v/>
      </c>
      <c r="BA48" s="118">
        <f>AZ48-MAX(0,IFERROR(INDEX(CADASTRO!$I$4:$I$80,MATCH($A48,CADASTRO!$A$4:$A$80,0)),$B48)-CONFIG!$B$50*(COUNTIF($AB48:$AH48,"AB")+COUNTIF($AB48:$AH48,"FE")+COUNTIF($AB48:$AH48,"LM")))</f>
        <v/>
      </c>
      <c r="BB48" s="117">
        <f>SUMPRODUCT(($AI48:$AL48="M")*6+($AI48:$AL48="T")*6+($AI48:$AL48="D")*12+($AI48:$AL48="N")*12+($AI48:$AL48="NT")*6+($AI48:$AL48="C")*10+($AI48:$AL48="A")*8+($AI48:$AL48="J")*5+($AI48:$AL48="CEP")*4+($AI48:$AL48="CP")*6+($AI48:$AL48="CRO")*6+($AI48:$AL48="M+")*6+($AI48:$AL48="T+")*6+($AI48:$AL48="D+")*12+($AI48:$AL48="N+")*12+($AI48:$AL48="Dm+")*12+($AI48:$AL48="Dt+")*12+($AI48:$AL48="Tm-")*6+($AI48:$AL48="Mt-")*6)+SUMPRODUCT(($AN48:$AP48="M")*6+($AN48:$AP48="T")*6+($AN48:$AP48="D")*12+($AN48:$AP48="N")*12+($AN48:$AP48="NT")*6+($AN48:$AP48="C")*10+($AN48:$AP48="A")*8+($AN48:$AP48="J")*5+($AN48:$AP48="CEP")*4+($AN48:$AP48="CP")*6+($AN48:$AP48="CRO")*6+($AN48:$AP48="M+")*6+($AN48:$AP48="T+")*6+($AN48:$AP48="D+")*12+($AN48:$AP48="N+")*12+($AN48:$AP48="Dm+")*12+($AN48:$AP48="Dt+")*12+($AN48:$AP48="Tm-")*6+($AN48:$AP48="Mt-")*6)</f>
        <v/>
      </c>
      <c r="BC48" s="118">
        <f>BB48-MAX(0,IFERROR(INDEX(CADASTRO!$I$4:$I$80,MATCH($A48,CADASTRO!$A$4:$A$80,0)),$B48)-CONFIG!$B$50*(COUNTIF($AI48:$AL48,"AB")+COUNTIF($AI48:$AL48,"FE")+COUNTIF($AI48:$AL48,"LM")+COUNTIF($AN48:$AP48,"AB")+COUNTIF($AN48:$AP48,"FE")+COUNTIF($AN48:$AP48,"LM")))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ROUND(B48*4.29,0)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36">
        <f>IFERROR(INDEX(MAR!AL$8:AL$73,MATCH($A49,MAR!$A$8:$A$73,0))&amp;"","")</f>
        <v/>
      </c>
      <c r="H49" s="136">
        <f>IFERROR(INDEX(MAR!AM$8:AM$73,MATCH($A49,MAR!$A$8:$A$73,0))&amp;"","")</f>
        <v/>
      </c>
      <c r="I49" s="114" t="n"/>
      <c r="J49" s="114" t="n"/>
      <c r="K49" s="126" t="inlineStr">
        <is>
          <t>T</t>
        </is>
      </c>
      <c r="L49" s="124" t="inlineStr">
        <is>
          <t>D</t>
        </is>
      </c>
      <c r="M49" s="124" t="inlineStr">
        <is>
          <t>D</t>
        </is>
      </c>
      <c r="N49" s="124" t="inlineStr">
        <is>
          <t>D</t>
        </is>
      </c>
      <c r="O49" s="114" t="n"/>
      <c r="P49" s="124" t="inlineStr">
        <is>
          <t>D</t>
        </is>
      </c>
      <c r="Q49" s="114" t="n"/>
      <c r="R49" s="114" t="n"/>
      <c r="S49" s="126" t="inlineStr">
        <is>
          <t>T</t>
        </is>
      </c>
      <c r="T49" s="114" t="n"/>
      <c r="U49" s="124" t="inlineStr">
        <is>
          <t>D</t>
        </is>
      </c>
      <c r="V49" s="114" t="n"/>
      <c r="W49" s="124" t="inlineStr">
        <is>
          <t>D</t>
        </is>
      </c>
      <c r="X49" s="115" t="inlineStr">
        <is>
          <t>M</t>
        </is>
      </c>
      <c r="Y49" s="114" t="n"/>
      <c r="Z49" s="114" t="n"/>
      <c r="AA49" s="114" t="n"/>
      <c r="AB49" s="126" t="inlineStr">
        <is>
          <t>T</t>
        </is>
      </c>
      <c r="AC49" s="114" t="n"/>
      <c r="AD49" s="124" t="inlineStr">
        <is>
          <t>D</t>
        </is>
      </c>
      <c r="AE49" s="114" t="n"/>
      <c r="AF49" s="125" t="inlineStr">
        <is>
          <t>N</t>
        </is>
      </c>
      <c r="AG49" s="114" t="n"/>
      <c r="AH49" s="114" t="n"/>
      <c r="AI49" s="124" t="inlineStr">
        <is>
          <t>D</t>
        </is>
      </c>
      <c r="AJ49" s="114" t="n"/>
      <c r="AK49" s="124" t="inlineStr">
        <is>
          <t>D</t>
        </is>
      </c>
      <c r="AL49" s="115" t="inlineStr">
        <is>
          <t>M</t>
        </is>
      </c>
      <c r="AM49" s="100" t="n"/>
      <c r="AN49" s="136">
        <f>IFERROR(INDEX(MAI!I$8:I$73,MATCH($A49,MAI!$A$8:$A$73,0))&amp;"","")</f>
        <v/>
      </c>
      <c r="AO49" s="116">
        <f>IFERROR(INDEX(MAI!J$8:J$73,MATCH($A49,MAI!$A$8:$A$73,0))&amp;"","")</f>
        <v/>
      </c>
      <c r="AP49" s="116">
        <f>IFERROR(INDEX(MAI!K$8:K$73,MATCH($A49,MAI!$A$8:$A$73,0))&amp;"","")</f>
        <v/>
      </c>
      <c r="AQ49" s="100" t="n"/>
      <c r="AR49" s="100" t="n"/>
      <c r="AS49" s="100" t="n"/>
      <c r="AT49" s="117">
        <f>SUMPRODUCT(($G49:$M49="M")*6+($G49:$M49="T")*6+($G49:$M49="D")*12+($G49:$M49="N")*12+($G49:$M49="NT")*6+($G49:$M49="C")*10+($G49:$M49="A")*8+($G49:$M49="J")*5+($G49:$M49="CEP")*4+($G49:$M49="CP")*6+($G49:$M49="CRO")*6+($G49:$M49="M+")*6+($G49:$M49="T+")*6+($G49:$M49="D+")*12+($G49:$M49="N+")*12+($G49:$M49="Dm+")*12+($G49:$M49="Dt+")*12+($G49:$M49="Tm-")*6+($G49:$M49="Mt-")*6)</f>
        <v/>
      </c>
      <c r="AU49" s="118">
        <f>AT49-MAX(0,IFERROR(INDEX(CADASTRO!$I$4:$I$80,MATCH($A49,CADASTRO!$A$4:$A$80,0)),$B49)-CONFIG!$B$50*(COUNTIF($G49:$M49,"AB")+COUNTIF($G49:$M49,"FE")+COUNTIF($G49:$M49,"LM")))</f>
        <v/>
      </c>
      <c r="AV49" s="117">
        <f>SUMPRODUCT(($N49:$T49="M")*6+($N49:$T49="T")*6+($N49:$T49="D")*12+($N49:$T49="N")*12+($N49:$T49="NT")*6+($N49:$T49="C")*10+($N49:$T49="A")*8+($N49:$T49="J")*5+($N49:$T49="CEP")*4+($N49:$T49="CP")*6+($N49:$T49="CRO")*6+($N49:$T49="M+")*6+($N49:$T49="T+")*6+($N49:$T49="D+")*12+($N49:$T49="N+")*12+($N49:$T49="Dm+")*12+($N49:$T49="Dt+")*12+($N49:$T49="Tm-")*6+($N49:$T49="Mt-")*6)</f>
        <v/>
      </c>
      <c r="AW49" s="118">
        <f>AV49-MAX(0,IFERROR(INDEX(CADASTRO!$I$4:$I$80,MATCH($A49,CADASTRO!$A$4:$A$80,0)),$B49)-CONFIG!$B$50*(COUNTIF($N49:$T49,"AB")+COUNTIF($N49:$T49,"FE")+COUNTIF($N49:$T49,"LM")))</f>
        <v/>
      </c>
      <c r="AX49" s="117">
        <f>SUMPRODUCT(($U49:$AA49="M")*6+($U49:$AA49="T")*6+($U49:$AA49="D")*12+($U49:$AA49="N")*12+($U49:$AA49="NT")*6+($U49:$AA49="C")*10+($U49:$AA49="A")*8+($U49:$AA49="J")*5+($U49:$AA49="CEP")*4+($U49:$AA49="CP")*6+($U49:$AA49="CRO")*6+($U49:$AA49="M+")*6+($U49:$AA49="T+")*6+($U49:$AA49="D+")*12+($U49:$AA49="N+")*12+($U49:$AA49="Dm+")*12+($U49:$AA49="Dt+")*12+($U49:$AA49="Tm-")*6+($U49:$AA49="Mt-")*6)</f>
        <v/>
      </c>
      <c r="AY49" s="118">
        <f>AX49-MAX(0,IFERROR(INDEX(CADASTRO!$I$4:$I$80,MATCH($A49,CADASTRO!$A$4:$A$80,0)),$B49)-CONFIG!$B$50*(COUNTIF($U49:$AA49,"AB")+COUNTIF($U49:$AA49,"FE")+COUNTIF($U49:$AA49,"LM")))</f>
        <v/>
      </c>
      <c r="AZ49" s="117">
        <f>SUMPRODUCT(($AB49:$AH49="M")*6+($AB49:$AH49="T")*6+($AB49:$AH49="D")*12+($AB49:$AH49="N")*12+($AB49:$AH49="NT")*6+($AB49:$AH49="C")*10+($AB49:$AH49="A")*8+($AB49:$AH49="J")*5+($AB49:$AH49="CEP")*4+($AB49:$AH49="CP")*6+($AB49:$AH49="CRO")*6+($AB49:$AH49="M+")*6+($AB49:$AH49="T+")*6+($AB49:$AH49="D+")*12+($AB49:$AH49="N+")*12+($AB49:$AH49="Dm+")*12+($AB49:$AH49="Dt+")*12+($AB49:$AH49="Tm-")*6+($AB49:$AH49="Mt-")*6)</f>
        <v/>
      </c>
      <c r="BA49" s="118">
        <f>AZ49-MAX(0,IFERROR(INDEX(CADASTRO!$I$4:$I$80,MATCH($A49,CADASTRO!$A$4:$A$80,0)),$B49)-CONFIG!$B$50*(COUNTIF($AB49:$AH49,"AB")+COUNTIF($AB49:$AH49,"FE")+COUNTIF($AB49:$AH49,"LM")))</f>
        <v/>
      </c>
      <c r="BB49" s="117">
        <f>SUMPRODUCT(($AI49:$AL49="M")*6+($AI49:$AL49="T")*6+($AI49:$AL49="D")*12+($AI49:$AL49="N")*12+($AI49:$AL49="NT")*6+($AI49:$AL49="C")*10+($AI49:$AL49="A")*8+($AI49:$AL49="J")*5+($AI49:$AL49="CEP")*4+($AI49:$AL49="CP")*6+($AI49:$AL49="CRO")*6+($AI49:$AL49="M+")*6+($AI49:$AL49="T+")*6+($AI49:$AL49="D+")*12+($AI49:$AL49="N+")*12+($AI49:$AL49="Dm+")*12+($AI49:$AL49="Dt+")*12+($AI49:$AL49="Tm-")*6+($AI49:$AL49="Mt-")*6)+SUMPRODUCT(($AN49:$AP49="M")*6+($AN49:$AP49="T")*6+($AN49:$AP49="D")*12+($AN49:$AP49="N")*12+($AN49:$AP49="NT")*6+($AN49:$AP49="C")*10+($AN49:$AP49="A")*8+($AN49:$AP49="J")*5+($AN49:$AP49="CEP")*4+($AN49:$AP49="CP")*6+($AN49:$AP49="CRO")*6+($AN49:$AP49="M+")*6+($AN49:$AP49="T+")*6+($AN49:$AP49="D+")*12+($AN49:$AP49="N+")*12+($AN49:$AP49="Dm+")*12+($AN49:$AP49="Dt+")*12+($AN49:$AP49="Tm-")*6+($AN49:$AP49="Mt-")*6)</f>
        <v/>
      </c>
      <c r="BC49" s="118">
        <f>BB49-MAX(0,IFERROR(INDEX(CADASTRO!$I$4:$I$80,MATCH($A49,CADASTRO!$A$4:$A$80,0)),$B49)-CONFIG!$B$50*(COUNTIF($AI49:$AL49,"AB")+COUNTIF($AI49:$AL49,"FE")+COUNTIF($AI49:$AL49,"LM")+COUNTIF($AN49:$AP49,"AB")+COUNTIF($AN49:$AP49,"FE")+COUNTIF($AN49:$AP49,"LM")))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ROUND(B49*4.29,0)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36">
        <f>IFERROR(INDEX(MAR!AL$8:AL$73,MATCH($A50,MAR!$A$8:$A$73,0))&amp;"","")</f>
        <v/>
      </c>
      <c r="H50" s="136">
        <f>IFERROR(INDEX(MAR!AM$8:AM$73,MATCH($A50,MAR!$A$8:$A$73,0))&amp;"","")</f>
        <v/>
      </c>
      <c r="I50" s="114" t="n"/>
      <c r="J50" s="114" t="n"/>
      <c r="K50" s="114" t="n"/>
      <c r="L50" s="114" t="n"/>
      <c r="M50" s="114" t="n"/>
      <c r="N50" s="114" t="n"/>
      <c r="O50" s="124" t="inlineStr">
        <is>
          <t>D</t>
        </is>
      </c>
      <c r="P50" s="114" t="n"/>
      <c r="Q50" s="114" t="n"/>
      <c r="R50" s="124" t="inlineStr">
        <is>
          <t>D</t>
        </is>
      </c>
      <c r="S50" s="114" t="n"/>
      <c r="T50" s="114" t="n"/>
      <c r="U50" s="114" t="n"/>
      <c r="V50" s="124" t="inlineStr">
        <is>
          <t>D</t>
        </is>
      </c>
      <c r="W50" s="114" t="n"/>
      <c r="X50" s="114" t="n"/>
      <c r="Y50" s="125" t="inlineStr">
        <is>
          <t>N</t>
        </is>
      </c>
      <c r="Z50" s="114" t="n"/>
      <c r="AA50" s="114" t="n"/>
      <c r="AB50" s="114" t="n"/>
      <c r="AC50" s="124" t="inlineStr">
        <is>
          <t>D</t>
        </is>
      </c>
      <c r="AD50" s="114" t="n"/>
      <c r="AE50" s="114" t="n"/>
      <c r="AF50" s="126" t="inlineStr">
        <is>
          <t>T</t>
        </is>
      </c>
      <c r="AG50" s="114" t="n"/>
      <c r="AH50" s="115" t="inlineStr">
        <is>
          <t>M</t>
        </is>
      </c>
      <c r="AI50" s="114" t="n"/>
      <c r="AJ50" s="124" t="inlineStr">
        <is>
          <t>D</t>
        </is>
      </c>
      <c r="AK50" s="114" t="n"/>
      <c r="AL50" s="114" t="n"/>
      <c r="AM50" s="100" t="n"/>
      <c r="AN50" s="136">
        <f>IFERROR(INDEX(MAI!I$8:I$73,MATCH($A50,MAI!$A$8:$A$73,0))&amp;"","")</f>
        <v/>
      </c>
      <c r="AO50" s="116">
        <f>IFERROR(INDEX(MAI!J$8:J$73,MATCH($A50,MAI!$A$8:$A$73,0))&amp;"","")</f>
        <v/>
      </c>
      <c r="AP50" s="116">
        <f>IFERROR(INDEX(MAI!K$8:K$73,MATCH($A50,MAI!$A$8:$A$73,0))&amp;"","")</f>
        <v/>
      </c>
      <c r="AQ50" s="100" t="n"/>
      <c r="AR50" s="100" t="n"/>
      <c r="AS50" s="100" t="n"/>
      <c r="AT50" s="117">
        <f>SUMPRODUCT(($G50:$M50="M")*6+($G50:$M50="T")*6+($G50:$M50="D")*12+($G50:$M50="N")*12+($G50:$M50="NT")*6+($G50:$M50="C")*10+($G50:$M50="A")*8+($G50:$M50="J")*5+($G50:$M50="CEP")*4+($G50:$M50="CP")*6+($G50:$M50="CRO")*6+($G50:$M50="M+")*6+($G50:$M50="T+")*6+($G50:$M50="D+")*12+($G50:$M50="N+")*12+($G50:$M50="Dm+")*12+($G50:$M50="Dt+")*12+($G50:$M50="Tm-")*6+($G50:$M50="Mt-")*6)</f>
        <v/>
      </c>
      <c r="AU50" s="118">
        <f>AT50-MAX(0,IFERROR(INDEX(CADASTRO!$I$4:$I$80,MATCH($A50,CADASTRO!$A$4:$A$80,0)),$B50)-CONFIG!$B$50*(COUNTIF($G50:$M50,"AB")+COUNTIF($G50:$M50,"FE")+COUNTIF($G50:$M50,"LM")))</f>
        <v/>
      </c>
      <c r="AV50" s="117">
        <f>SUMPRODUCT(($N50:$T50="M")*6+($N50:$T50="T")*6+($N50:$T50="D")*12+($N50:$T50="N")*12+($N50:$T50="NT")*6+($N50:$T50="C")*10+($N50:$T50="A")*8+($N50:$T50="J")*5+($N50:$T50="CEP")*4+($N50:$T50="CP")*6+($N50:$T50="CRO")*6+($N50:$T50="M+")*6+($N50:$T50="T+")*6+($N50:$T50="D+")*12+($N50:$T50="N+")*12+($N50:$T50="Dm+")*12+($N50:$T50="Dt+")*12+($N50:$T50="Tm-")*6+($N50:$T50="Mt-")*6)</f>
        <v/>
      </c>
      <c r="AW50" s="118">
        <f>AV50-MAX(0,IFERROR(INDEX(CADASTRO!$I$4:$I$80,MATCH($A50,CADASTRO!$A$4:$A$80,0)),$B50)-CONFIG!$B$50*(COUNTIF($N50:$T50,"AB")+COUNTIF($N50:$T50,"FE")+COUNTIF($N50:$T50,"LM")))</f>
        <v/>
      </c>
      <c r="AX50" s="117">
        <f>SUMPRODUCT(($U50:$AA50="M")*6+($U50:$AA50="T")*6+($U50:$AA50="D")*12+($U50:$AA50="N")*12+($U50:$AA50="NT")*6+($U50:$AA50="C")*10+($U50:$AA50="A")*8+($U50:$AA50="J")*5+($U50:$AA50="CEP")*4+($U50:$AA50="CP")*6+($U50:$AA50="CRO")*6+($U50:$AA50="M+")*6+($U50:$AA50="T+")*6+($U50:$AA50="D+")*12+($U50:$AA50="N+")*12+($U50:$AA50="Dm+")*12+($U50:$AA50="Dt+")*12+($U50:$AA50="Tm-")*6+($U50:$AA50="Mt-")*6)</f>
        <v/>
      </c>
      <c r="AY50" s="118">
        <f>AX50-MAX(0,IFERROR(INDEX(CADASTRO!$I$4:$I$80,MATCH($A50,CADASTRO!$A$4:$A$80,0)),$B50)-CONFIG!$B$50*(COUNTIF($U50:$AA50,"AB")+COUNTIF($U50:$AA50,"FE")+COUNTIF($U50:$AA50,"LM")))</f>
        <v/>
      </c>
      <c r="AZ50" s="117">
        <f>SUMPRODUCT(($AB50:$AH50="M")*6+($AB50:$AH50="T")*6+($AB50:$AH50="D")*12+($AB50:$AH50="N")*12+($AB50:$AH50="NT")*6+($AB50:$AH50="C")*10+($AB50:$AH50="A")*8+($AB50:$AH50="J")*5+($AB50:$AH50="CEP")*4+($AB50:$AH50="CP")*6+($AB50:$AH50="CRO")*6+($AB50:$AH50="M+")*6+($AB50:$AH50="T+")*6+($AB50:$AH50="D+")*12+($AB50:$AH50="N+")*12+($AB50:$AH50="Dm+")*12+($AB50:$AH50="Dt+")*12+($AB50:$AH50="Tm-")*6+($AB50:$AH50="Mt-")*6)</f>
        <v/>
      </c>
      <c r="BA50" s="118">
        <f>AZ50-MAX(0,IFERROR(INDEX(CADASTRO!$I$4:$I$80,MATCH($A50,CADASTRO!$A$4:$A$80,0)),$B50)-CONFIG!$B$50*(COUNTIF($AB50:$AH50,"AB")+COUNTIF($AB50:$AH50,"FE")+COUNTIF($AB50:$AH50,"LM")))</f>
        <v/>
      </c>
      <c r="BB50" s="117">
        <f>SUMPRODUCT(($AI50:$AL50="M")*6+($AI50:$AL50="T")*6+($AI50:$AL50="D")*12+($AI50:$AL50="N")*12+($AI50:$AL50="NT")*6+($AI50:$AL50="C")*10+($AI50:$AL50="A")*8+($AI50:$AL50="J")*5+($AI50:$AL50="CEP")*4+($AI50:$AL50="CP")*6+($AI50:$AL50="CRO")*6+($AI50:$AL50="M+")*6+($AI50:$AL50="T+")*6+($AI50:$AL50="D+")*12+($AI50:$AL50="N+")*12+($AI50:$AL50="Dm+")*12+($AI50:$AL50="Dt+")*12+($AI50:$AL50="Tm-")*6+($AI50:$AL50="Mt-")*6)+SUMPRODUCT(($AN50:$AP50="M")*6+($AN50:$AP50="T")*6+($AN50:$AP50="D")*12+($AN50:$AP50="N")*12+($AN50:$AP50="NT")*6+($AN50:$AP50="C")*10+($AN50:$AP50="A")*8+($AN50:$AP50="J")*5+($AN50:$AP50="CEP")*4+($AN50:$AP50="CP")*6+($AN50:$AP50="CRO")*6+($AN50:$AP50="M+")*6+($AN50:$AP50="T+")*6+($AN50:$AP50="D+")*12+($AN50:$AP50="N+")*12+($AN50:$AP50="Dm+")*12+($AN50:$AP50="Dt+")*12+($AN50:$AP50="Tm-")*6+($AN50:$AP50="Mt-")*6)</f>
        <v/>
      </c>
      <c r="BC50" s="118">
        <f>BB50-MAX(0,IFERROR(INDEX(CADASTRO!$I$4:$I$80,MATCH($A50,CADASTRO!$A$4:$A$80,0)),$B50)-CONFIG!$B$50*(COUNTIF($AI50:$AL50,"AB")+COUNTIF($AI50:$AL50,"FE")+COUNTIF($AI50:$AL50,"LM")+COUNTIF($AN50:$AP50,"AB")+COUNTIF($AN50:$AP50,"FE")+COUNTIF($AN50:$AP50,"LM")))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ROUND(B50*4.29,0)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36">
        <f>IFERROR(INDEX(MAR!AL$8:AL$73,MATCH($A51,MAR!$A$8:$A$73,0))&amp;"","")</f>
        <v/>
      </c>
      <c r="H51" s="136">
        <f>IFERROR(INDEX(MAR!AM$8:AM$73,MATCH($A51,MAR!$A$8:$A$73,0))&amp;"","")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00" t="n"/>
      <c r="AN51" s="136">
        <f>IFERROR(INDEX(MAI!I$8:I$73,MATCH($A51,MAI!$A$8:$A$73,0))&amp;"","")</f>
        <v/>
      </c>
      <c r="AO51" s="116">
        <f>IFERROR(INDEX(MAI!J$8:J$73,MATCH($A51,MAI!$A$8:$A$73,0))&amp;"","")</f>
        <v/>
      </c>
      <c r="AP51" s="116">
        <f>IFERROR(INDEX(MAI!K$8:K$73,MATCH($A51,MAI!$A$8:$A$73,0))&amp;"","")</f>
        <v/>
      </c>
      <c r="AQ51" s="100" t="n"/>
      <c r="AR51" s="100" t="n"/>
      <c r="AS51" s="100" t="n"/>
      <c r="AT51" s="117">
        <f>SUMPRODUCT(($G51:$M51="M")*6+($G51:$M51="T")*6+($G51:$M51="D")*12+($G51:$M51="N")*12+($G51:$M51="NT")*6+($G51:$M51="C")*10+($G51:$M51="A")*8+($G51:$M51="J")*5+($G51:$M51="CEP")*4+($G51:$M51="CP")*6+($G51:$M51="CRO")*6+($G51:$M51="M+")*6+($G51:$M51="T+")*6+($G51:$M51="D+")*12+($G51:$M51="N+")*12+($G51:$M51="Dm+")*12+($G51:$M51="Dt+")*12+($G51:$M51="Tm-")*6+($G51:$M51="Mt-")*6)</f>
        <v/>
      </c>
      <c r="AU51" s="118">
        <f>AT51-MAX(0,IFERROR(INDEX(CADASTRO!$I$4:$I$80,MATCH($A51,CADASTRO!$A$4:$A$80,0)),$B51)-CONFIG!$B$50*(COUNTIF($G51:$M51,"AB")+COUNTIF($G51:$M51,"FE")+COUNTIF($G51:$M51,"LM")))</f>
        <v/>
      </c>
      <c r="AV51" s="117">
        <f>SUMPRODUCT(($N51:$T51="M")*6+($N51:$T51="T")*6+($N51:$T51="D")*12+($N51:$T51="N")*12+($N51:$T51="NT")*6+($N51:$T51="C")*10+($N51:$T51="A")*8+($N51:$T51="J")*5+($N51:$T51="CEP")*4+($N51:$T51="CP")*6+($N51:$T51="CRO")*6+($N51:$T51="M+")*6+($N51:$T51="T+")*6+($N51:$T51="D+")*12+($N51:$T51="N+")*12+($N51:$T51="Dm+")*12+($N51:$T51="Dt+")*12+($N51:$T51="Tm-")*6+($N51:$T51="Mt-")*6)</f>
        <v/>
      </c>
      <c r="AW51" s="118">
        <f>AV51-MAX(0,IFERROR(INDEX(CADASTRO!$I$4:$I$80,MATCH($A51,CADASTRO!$A$4:$A$80,0)),$B51)-CONFIG!$B$50*(COUNTIF($N51:$T51,"AB")+COUNTIF($N51:$T51,"FE")+COUNTIF($N51:$T51,"LM")))</f>
        <v/>
      </c>
      <c r="AX51" s="117">
        <f>SUMPRODUCT(($U51:$AA51="M")*6+($U51:$AA51="T")*6+($U51:$AA51="D")*12+($U51:$AA51="N")*12+($U51:$AA51="NT")*6+($U51:$AA51="C")*10+($U51:$AA51="A")*8+($U51:$AA51="J")*5+($U51:$AA51="CEP")*4+($U51:$AA51="CP")*6+($U51:$AA51="CRO")*6+($U51:$AA51="M+")*6+($U51:$AA51="T+")*6+($U51:$AA51="D+")*12+($U51:$AA51="N+")*12+($U51:$AA51="Dm+")*12+($U51:$AA51="Dt+")*12+($U51:$AA51="Tm-")*6+($U51:$AA51="Mt-")*6)</f>
        <v/>
      </c>
      <c r="AY51" s="118">
        <f>AX51-MAX(0,IFERROR(INDEX(CADASTRO!$I$4:$I$80,MATCH($A51,CADASTRO!$A$4:$A$80,0)),$B51)-CONFIG!$B$50*(COUNTIF($U51:$AA51,"AB")+COUNTIF($U51:$AA51,"FE")+COUNTIF($U51:$AA51,"LM")))</f>
        <v/>
      </c>
      <c r="AZ51" s="117">
        <f>SUMPRODUCT(($AB51:$AH51="M")*6+($AB51:$AH51="T")*6+($AB51:$AH51="D")*12+($AB51:$AH51="N")*12+($AB51:$AH51="NT")*6+($AB51:$AH51="C")*10+($AB51:$AH51="A")*8+($AB51:$AH51="J")*5+($AB51:$AH51="CEP")*4+($AB51:$AH51="CP")*6+($AB51:$AH51="CRO")*6+($AB51:$AH51="M+")*6+($AB51:$AH51="T+")*6+($AB51:$AH51="D+")*12+($AB51:$AH51="N+")*12+($AB51:$AH51="Dm+")*12+($AB51:$AH51="Dt+")*12+($AB51:$AH51="Tm-")*6+($AB51:$AH51="Mt-")*6)</f>
        <v/>
      </c>
      <c r="BA51" s="118">
        <f>AZ51-MAX(0,IFERROR(INDEX(CADASTRO!$I$4:$I$80,MATCH($A51,CADASTRO!$A$4:$A$80,0)),$B51)-CONFIG!$B$50*(COUNTIF($AB51:$AH51,"AB")+COUNTIF($AB51:$AH51,"FE")+COUNTIF($AB51:$AH51,"LM")))</f>
        <v/>
      </c>
      <c r="BB51" s="117">
        <f>SUMPRODUCT(($AI51:$AL51="M")*6+($AI51:$AL51="T")*6+($AI51:$AL51="D")*12+($AI51:$AL51="N")*12+($AI51:$AL51="NT")*6+($AI51:$AL51="C")*10+($AI51:$AL51="A")*8+($AI51:$AL51="J")*5+($AI51:$AL51="CEP")*4+($AI51:$AL51="CP")*6+($AI51:$AL51="CRO")*6+($AI51:$AL51="M+")*6+($AI51:$AL51="T+")*6+($AI51:$AL51="D+")*12+($AI51:$AL51="N+")*12+($AI51:$AL51="Dm+")*12+($AI51:$AL51="Dt+")*12+($AI51:$AL51="Tm-")*6+($AI51:$AL51="Mt-")*6)+SUMPRODUCT(($AN51:$AP51="M")*6+($AN51:$AP51="T")*6+($AN51:$AP51="D")*12+($AN51:$AP51="N")*12+($AN51:$AP51="NT")*6+($AN51:$AP51="C")*10+($AN51:$AP51="A")*8+($AN51:$AP51="J")*5+($AN51:$AP51="CEP")*4+($AN51:$AP51="CP")*6+($AN51:$AP51="CRO")*6+($AN51:$AP51="M+")*6+($AN51:$AP51="T+")*6+($AN51:$AP51="D+")*12+($AN51:$AP51="N+")*12+($AN51:$AP51="Dm+")*12+($AN51:$AP51="Dt+")*12+($AN51:$AP51="Tm-")*6+($AN51:$AP51="Mt-")*6)</f>
        <v/>
      </c>
      <c r="BC51" s="118">
        <f>BB51-MAX(0,IFERROR(INDEX(CADASTRO!$I$4:$I$80,MATCH($A51,CADASTRO!$A$4:$A$80,0)),$B51)-CONFIG!$B$50*(COUNTIF($AI51:$AL51,"AB")+COUNTIF($AI51:$AL51,"FE")+COUNTIF($AI51:$AL51,"LM")+COUNTIF($AN51:$AP51,"AB")+COUNTIF($AN51:$AP51,"FE")+COUNTIF($AN51:$AP51,"LM")))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ROUND(B51*4.29,0)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36">
        <f>IFERROR(INDEX(MAR!AL$8:AL$73,MATCH($A52,MAR!$A$8:$A$73,0))&amp;"","")</f>
        <v/>
      </c>
      <c r="H52" s="136">
        <f>IFERROR(INDEX(MAR!AM$8:AM$73,MATCH($A52,MAR!$A$8:$A$73,0))&amp;"","")</f>
        <v/>
      </c>
      <c r="I52" s="114" t="n"/>
      <c r="J52" s="125" t="inlineStr">
        <is>
          <t>N</t>
        </is>
      </c>
      <c r="K52" s="114" t="n"/>
      <c r="L52" s="114" t="n"/>
      <c r="M52" s="114" t="n"/>
      <c r="N52" s="125" t="inlineStr">
        <is>
          <t>N</t>
        </is>
      </c>
      <c r="O52" s="114" t="n"/>
      <c r="P52" s="114" t="n"/>
      <c r="Q52" s="114" t="n"/>
      <c r="R52" s="114" t="n"/>
      <c r="S52" s="125" t="inlineStr">
        <is>
          <t>N</t>
        </is>
      </c>
      <c r="T52" s="114" t="n"/>
      <c r="U52" s="125" t="inlineStr">
        <is>
          <t>N</t>
        </is>
      </c>
      <c r="V52" s="114" t="n"/>
      <c r="W52" s="114" t="n"/>
      <c r="X52" s="125" t="inlineStr">
        <is>
          <t>N</t>
        </is>
      </c>
      <c r="Y52" s="114" t="n"/>
      <c r="Z52" s="114" t="n"/>
      <c r="AA52" s="114" t="n"/>
      <c r="AB52" s="114" t="n"/>
      <c r="AC52" s="125" t="inlineStr">
        <is>
          <t>N</t>
        </is>
      </c>
      <c r="AD52" s="114" t="n"/>
      <c r="AE52" s="114" t="n"/>
      <c r="AF52" s="114" t="n"/>
      <c r="AG52" s="125" t="inlineStr">
        <is>
          <t>N</t>
        </is>
      </c>
      <c r="AH52" s="114" t="n"/>
      <c r="AI52" s="125" t="inlineStr">
        <is>
          <t>N</t>
        </is>
      </c>
      <c r="AJ52" s="114" t="n"/>
      <c r="AK52" s="114" t="n"/>
      <c r="AL52" s="114" t="n"/>
      <c r="AM52" s="100" t="n"/>
      <c r="AN52" s="136">
        <f>IFERROR(INDEX(MAI!I$8:I$73,MATCH($A52,MAI!$A$8:$A$73,0))&amp;"","")</f>
        <v/>
      </c>
      <c r="AO52" s="116">
        <f>IFERROR(INDEX(MAI!J$8:J$73,MATCH($A52,MAI!$A$8:$A$73,0))&amp;"","")</f>
        <v/>
      </c>
      <c r="AP52" s="116">
        <f>IFERROR(INDEX(MAI!K$8:K$73,MATCH($A52,MAI!$A$8:$A$73,0))&amp;"","")</f>
        <v/>
      </c>
      <c r="AQ52" s="100" t="n"/>
      <c r="AR52" s="100" t="n"/>
      <c r="AS52" s="100" t="n"/>
      <c r="AT52" s="117">
        <f>SUMPRODUCT(($G52:$M52="M")*6+($G52:$M52="T")*6+($G52:$M52="D")*12+($G52:$M52="N")*12+($G52:$M52="NT")*6+($G52:$M52="C")*10+($G52:$M52="A")*8+($G52:$M52="J")*5+($G52:$M52="CEP")*4+($G52:$M52="CP")*6+($G52:$M52="CRO")*6+($G52:$M52="M+")*6+($G52:$M52="T+")*6+($G52:$M52="D+")*12+($G52:$M52="N+")*12+($G52:$M52="Dm+")*12+($G52:$M52="Dt+")*12+($G52:$M52="Tm-")*6+($G52:$M52="Mt-")*6)</f>
        <v/>
      </c>
      <c r="AU52" s="118">
        <f>AT52-MAX(0,IFERROR(INDEX(CADASTRO!$I$4:$I$80,MATCH($A52,CADASTRO!$A$4:$A$80,0)),$B52)-CONFIG!$B$50*(COUNTIF($G52:$M52,"AB")+COUNTIF($G52:$M52,"FE")+COUNTIF($G52:$M52,"LM")))</f>
        <v/>
      </c>
      <c r="AV52" s="117">
        <f>SUMPRODUCT(($N52:$T52="M")*6+($N52:$T52="T")*6+($N52:$T52="D")*12+($N52:$T52="N")*12+($N52:$T52="NT")*6+($N52:$T52="C")*10+($N52:$T52="A")*8+($N52:$T52="J")*5+($N52:$T52="CEP")*4+($N52:$T52="CP")*6+($N52:$T52="CRO")*6+($N52:$T52="M+")*6+($N52:$T52="T+")*6+($N52:$T52="D+")*12+($N52:$T52="N+")*12+($N52:$T52="Dm+")*12+($N52:$T52="Dt+")*12+($N52:$T52="Tm-")*6+($N52:$T52="Mt-")*6)</f>
        <v/>
      </c>
      <c r="AW52" s="118">
        <f>AV52-MAX(0,IFERROR(INDEX(CADASTRO!$I$4:$I$80,MATCH($A52,CADASTRO!$A$4:$A$80,0)),$B52)-CONFIG!$B$50*(COUNTIF($N52:$T52,"AB")+COUNTIF($N52:$T52,"FE")+COUNTIF($N52:$T52,"LM")))</f>
        <v/>
      </c>
      <c r="AX52" s="117">
        <f>SUMPRODUCT(($U52:$AA52="M")*6+($U52:$AA52="T")*6+($U52:$AA52="D")*12+($U52:$AA52="N")*12+($U52:$AA52="NT")*6+($U52:$AA52="C")*10+($U52:$AA52="A")*8+($U52:$AA52="J")*5+($U52:$AA52="CEP")*4+($U52:$AA52="CP")*6+($U52:$AA52="CRO")*6+($U52:$AA52="M+")*6+($U52:$AA52="T+")*6+($U52:$AA52="D+")*12+($U52:$AA52="N+")*12+($U52:$AA52="Dm+")*12+($U52:$AA52="Dt+")*12+($U52:$AA52="Tm-")*6+($U52:$AA52="Mt-")*6)</f>
        <v/>
      </c>
      <c r="AY52" s="118">
        <f>AX52-MAX(0,IFERROR(INDEX(CADASTRO!$I$4:$I$80,MATCH($A52,CADASTRO!$A$4:$A$80,0)),$B52)-CONFIG!$B$50*(COUNTIF($U52:$AA52,"AB")+COUNTIF($U52:$AA52,"FE")+COUNTIF($U52:$AA52,"LM")))</f>
        <v/>
      </c>
      <c r="AZ52" s="117">
        <f>SUMPRODUCT(($AB52:$AH52="M")*6+($AB52:$AH52="T")*6+($AB52:$AH52="D")*12+($AB52:$AH52="N")*12+($AB52:$AH52="NT")*6+($AB52:$AH52="C")*10+($AB52:$AH52="A")*8+($AB52:$AH52="J")*5+($AB52:$AH52="CEP")*4+($AB52:$AH52="CP")*6+($AB52:$AH52="CRO")*6+($AB52:$AH52="M+")*6+($AB52:$AH52="T+")*6+($AB52:$AH52="D+")*12+($AB52:$AH52="N+")*12+($AB52:$AH52="Dm+")*12+($AB52:$AH52="Dt+")*12+($AB52:$AH52="Tm-")*6+($AB52:$AH52="Mt-")*6)</f>
        <v/>
      </c>
      <c r="BA52" s="118">
        <f>AZ52-MAX(0,IFERROR(INDEX(CADASTRO!$I$4:$I$80,MATCH($A52,CADASTRO!$A$4:$A$80,0)),$B52)-CONFIG!$B$50*(COUNTIF($AB52:$AH52,"AB")+COUNTIF($AB52:$AH52,"FE")+COUNTIF($AB52:$AH52,"LM")))</f>
        <v/>
      </c>
      <c r="BB52" s="117">
        <f>SUMPRODUCT(($AI52:$AL52="M")*6+($AI52:$AL52="T")*6+($AI52:$AL52="D")*12+($AI52:$AL52="N")*12+($AI52:$AL52="NT")*6+($AI52:$AL52="C")*10+($AI52:$AL52="A")*8+($AI52:$AL52="J")*5+($AI52:$AL52="CEP")*4+($AI52:$AL52="CP")*6+($AI52:$AL52="CRO")*6+($AI52:$AL52="M+")*6+($AI52:$AL52="T+")*6+($AI52:$AL52="D+")*12+($AI52:$AL52="N+")*12+($AI52:$AL52="Dm+")*12+($AI52:$AL52="Dt+")*12+($AI52:$AL52="Tm-")*6+($AI52:$AL52="Mt-")*6)+SUMPRODUCT(($AN52:$AP52="M")*6+($AN52:$AP52="T")*6+($AN52:$AP52="D")*12+($AN52:$AP52="N")*12+($AN52:$AP52="NT")*6+($AN52:$AP52="C")*10+($AN52:$AP52="A")*8+($AN52:$AP52="J")*5+($AN52:$AP52="CEP")*4+($AN52:$AP52="CP")*6+($AN52:$AP52="CRO")*6+($AN52:$AP52="M+")*6+($AN52:$AP52="T+")*6+($AN52:$AP52="D+")*12+($AN52:$AP52="N+")*12+($AN52:$AP52="Dm+")*12+($AN52:$AP52="Dt+")*12+($AN52:$AP52="Tm-")*6+($AN52:$AP52="Mt-")*6)</f>
        <v/>
      </c>
      <c r="BC52" s="118">
        <f>BB52-MAX(0,IFERROR(INDEX(CADASTRO!$I$4:$I$80,MATCH($A52,CADASTRO!$A$4:$A$80,0)),$B52)-CONFIG!$B$50*(COUNTIF($AI52:$AL52,"AB")+COUNTIF($AI52:$AL52,"FE")+COUNTIF($AI52:$AL52,"LM")+COUNTIF($AN52:$AP52,"AB")+COUNTIF($AN52:$AP52,"FE")+COUNTIF($AN52:$AP52,"LM")))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ROUND(B52*4.29,0)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36">
        <f>IFERROR(INDEX(MAR!AL$8:AL$73,MATCH($A53,MAR!$A$8:$A$73,0))&amp;"","")</f>
        <v/>
      </c>
      <c r="H53" s="136">
        <f>IFERROR(INDEX(MAR!AM$8:AM$73,MATCH($A53,MAR!$A$8:$A$73,0))&amp;"","")</f>
        <v/>
      </c>
      <c r="I53" s="114" t="n"/>
      <c r="J53" s="114" t="n"/>
      <c r="K53" s="114" t="n"/>
      <c r="L53" s="114" t="n"/>
      <c r="M53" s="114" t="n"/>
      <c r="N53" s="115" t="inlineStr">
        <is>
          <t>M</t>
        </is>
      </c>
      <c r="O53" s="115" t="inlineStr">
        <is>
          <t>M</t>
        </is>
      </c>
      <c r="P53" s="114" t="n"/>
      <c r="Q53" s="114" t="n"/>
      <c r="R53" s="114" t="n"/>
      <c r="S53" s="125" t="inlineStr">
        <is>
          <t>N</t>
        </is>
      </c>
      <c r="T53" s="114" t="n"/>
      <c r="U53" s="115" t="inlineStr">
        <is>
          <t>M</t>
        </is>
      </c>
      <c r="V53" s="125" t="inlineStr">
        <is>
          <t>N</t>
        </is>
      </c>
      <c r="W53" s="114" t="n"/>
      <c r="X53" s="127" t="inlineStr">
        <is>
          <t>T-</t>
        </is>
      </c>
      <c r="Y53" s="114" t="n"/>
      <c r="Z53" s="114" t="n"/>
      <c r="AA53" s="114" t="n"/>
      <c r="AB53" s="123" t="inlineStr">
        <is>
          <t>M+</t>
        </is>
      </c>
      <c r="AC53" s="114" t="n"/>
      <c r="AD53" s="125" t="inlineStr">
        <is>
          <t>N</t>
        </is>
      </c>
      <c r="AE53" s="114" t="n"/>
      <c r="AF53" s="114" t="n"/>
      <c r="AG53" s="125" t="inlineStr">
        <is>
          <t>N</t>
        </is>
      </c>
      <c r="AH53" s="114" t="n"/>
      <c r="AI53" s="115" t="inlineStr">
        <is>
          <t>M</t>
        </is>
      </c>
      <c r="AJ53" s="115" t="inlineStr">
        <is>
          <t>M</t>
        </is>
      </c>
      <c r="AK53" s="114" t="n"/>
      <c r="AL53" s="114" t="n"/>
      <c r="AM53" s="100" t="n"/>
      <c r="AN53" s="136">
        <f>IFERROR(INDEX(MAI!I$8:I$73,MATCH($A53,MAI!$A$8:$A$73,0))&amp;"","")</f>
        <v/>
      </c>
      <c r="AO53" s="116">
        <f>IFERROR(INDEX(MAI!J$8:J$73,MATCH($A53,MAI!$A$8:$A$73,0))&amp;"","")</f>
        <v/>
      </c>
      <c r="AP53" s="116">
        <f>IFERROR(INDEX(MAI!K$8:K$73,MATCH($A53,MAI!$A$8:$A$73,0))&amp;"","")</f>
        <v/>
      </c>
      <c r="AQ53" s="100" t="n"/>
      <c r="AR53" s="100" t="n"/>
      <c r="AS53" s="100" t="n"/>
      <c r="AT53" s="117">
        <f>SUMPRODUCT(($G53:$M53="M")*6+($G53:$M53="T")*6+($G53:$M53="D")*12+($G53:$M53="N")*12+($G53:$M53="NT")*6+($G53:$M53="C")*10+($G53:$M53="A")*8+($G53:$M53="J")*5+($G53:$M53="CEP")*4+($G53:$M53="CP")*6+($G53:$M53="CRO")*6+($G53:$M53="M+")*6+($G53:$M53="T+")*6+($G53:$M53="D+")*12+($G53:$M53="N+")*12+($G53:$M53="Dm+")*12+($G53:$M53="Dt+")*12+($G53:$M53="Tm-")*6+($G53:$M53="Mt-")*6)</f>
        <v/>
      </c>
      <c r="AU53" s="118">
        <f>AT53-MAX(0,IFERROR(INDEX(CADASTRO!$I$4:$I$80,MATCH($A53,CADASTRO!$A$4:$A$80,0)),$B53)-CONFIG!$B$50*(COUNTIF($G53:$M53,"AB")+COUNTIF($G53:$M53,"FE")+COUNTIF($G53:$M53,"LM")))</f>
        <v/>
      </c>
      <c r="AV53" s="117">
        <f>SUMPRODUCT(($N53:$T53="M")*6+($N53:$T53="T")*6+($N53:$T53="D")*12+($N53:$T53="N")*12+($N53:$T53="NT")*6+($N53:$T53="C")*10+($N53:$T53="A")*8+($N53:$T53="J")*5+($N53:$T53="CEP")*4+($N53:$T53="CP")*6+($N53:$T53="CRO")*6+($N53:$T53="M+")*6+($N53:$T53="T+")*6+($N53:$T53="D+")*12+($N53:$T53="N+")*12+($N53:$T53="Dm+")*12+($N53:$T53="Dt+")*12+($N53:$T53="Tm-")*6+($N53:$T53="Mt-")*6)</f>
        <v/>
      </c>
      <c r="AW53" s="118">
        <f>AV53-MAX(0,IFERROR(INDEX(CADASTRO!$I$4:$I$80,MATCH($A53,CADASTRO!$A$4:$A$80,0)),$B53)-CONFIG!$B$50*(COUNTIF($N53:$T53,"AB")+COUNTIF($N53:$T53,"FE")+COUNTIF($N53:$T53,"LM")))</f>
        <v/>
      </c>
      <c r="AX53" s="117">
        <f>SUMPRODUCT(($U53:$AA53="M")*6+($U53:$AA53="T")*6+($U53:$AA53="D")*12+($U53:$AA53="N")*12+($U53:$AA53="NT")*6+($U53:$AA53="C")*10+($U53:$AA53="A")*8+($U53:$AA53="J")*5+($U53:$AA53="CEP")*4+($U53:$AA53="CP")*6+($U53:$AA53="CRO")*6+($U53:$AA53="M+")*6+($U53:$AA53="T+")*6+($U53:$AA53="D+")*12+($U53:$AA53="N+")*12+($U53:$AA53="Dm+")*12+($U53:$AA53="Dt+")*12+($U53:$AA53="Tm-")*6+($U53:$AA53="Mt-")*6)</f>
        <v/>
      </c>
      <c r="AY53" s="118">
        <f>AX53-MAX(0,IFERROR(INDEX(CADASTRO!$I$4:$I$80,MATCH($A53,CADASTRO!$A$4:$A$80,0)),$B53)-CONFIG!$B$50*(COUNTIF($U53:$AA53,"AB")+COUNTIF($U53:$AA53,"FE")+COUNTIF($U53:$AA53,"LM")))</f>
        <v/>
      </c>
      <c r="AZ53" s="117">
        <f>SUMPRODUCT(($AB53:$AH53="M")*6+($AB53:$AH53="T")*6+($AB53:$AH53="D")*12+($AB53:$AH53="N")*12+($AB53:$AH53="NT")*6+($AB53:$AH53="C")*10+($AB53:$AH53="A")*8+($AB53:$AH53="J")*5+($AB53:$AH53="CEP")*4+($AB53:$AH53="CP")*6+($AB53:$AH53="CRO")*6+($AB53:$AH53="M+")*6+($AB53:$AH53="T+")*6+($AB53:$AH53="D+")*12+($AB53:$AH53="N+")*12+($AB53:$AH53="Dm+")*12+($AB53:$AH53="Dt+")*12+($AB53:$AH53="Tm-")*6+($AB53:$AH53="Mt-")*6)</f>
        <v/>
      </c>
      <c r="BA53" s="118">
        <f>AZ53-MAX(0,IFERROR(INDEX(CADASTRO!$I$4:$I$80,MATCH($A53,CADASTRO!$A$4:$A$80,0)),$B53)-CONFIG!$B$50*(COUNTIF($AB53:$AH53,"AB")+COUNTIF($AB53:$AH53,"FE")+COUNTIF($AB53:$AH53,"LM")))</f>
        <v/>
      </c>
      <c r="BB53" s="117">
        <f>SUMPRODUCT(($AI53:$AL53="M")*6+($AI53:$AL53="T")*6+($AI53:$AL53="D")*12+($AI53:$AL53="N")*12+($AI53:$AL53="NT")*6+($AI53:$AL53="C")*10+($AI53:$AL53="A")*8+($AI53:$AL53="J")*5+($AI53:$AL53="CEP")*4+($AI53:$AL53="CP")*6+($AI53:$AL53="CRO")*6+($AI53:$AL53="M+")*6+($AI53:$AL53="T+")*6+($AI53:$AL53="D+")*12+($AI53:$AL53="N+")*12+($AI53:$AL53="Dm+")*12+($AI53:$AL53="Dt+")*12+($AI53:$AL53="Tm-")*6+($AI53:$AL53="Mt-")*6)+SUMPRODUCT(($AN53:$AP53="M")*6+($AN53:$AP53="T")*6+($AN53:$AP53="D")*12+($AN53:$AP53="N")*12+($AN53:$AP53="NT")*6+($AN53:$AP53="C")*10+($AN53:$AP53="A")*8+($AN53:$AP53="J")*5+($AN53:$AP53="CEP")*4+($AN53:$AP53="CP")*6+($AN53:$AP53="CRO")*6+($AN53:$AP53="M+")*6+($AN53:$AP53="T+")*6+($AN53:$AP53="D+")*12+($AN53:$AP53="N+")*12+($AN53:$AP53="Dm+")*12+($AN53:$AP53="Dt+")*12+($AN53:$AP53="Tm-")*6+($AN53:$AP53="Mt-")*6)</f>
        <v/>
      </c>
      <c r="BC53" s="118">
        <f>BB53-MAX(0,IFERROR(INDEX(CADASTRO!$I$4:$I$80,MATCH($A53,CADASTRO!$A$4:$A$80,0)),$B53)-CONFIG!$B$50*(COUNTIF($AI53:$AL53,"AB")+COUNTIF($AI53:$AL53,"FE")+COUNTIF($AI53:$AL53,"LM")+COUNTIF($AN53:$AP53,"AB")+COUNTIF($AN53:$AP53,"FE")+COUNTIF($AN53:$AP53,"LM")))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ROUND(B53*4.29,0)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36">
        <f>IFERROR(INDEX(MAR!AL$8:AL$73,MATCH($A54,MAR!$A$8:$A$73,0))&amp;"","")</f>
        <v/>
      </c>
      <c r="H54" s="136">
        <f>IFERROR(INDEX(MAR!AM$8:AM$73,MATCH($A54,MAR!$A$8:$A$73,0))&amp;"","")</f>
        <v/>
      </c>
      <c r="I54" s="123" t="inlineStr">
        <is>
          <t>T+</t>
        </is>
      </c>
      <c r="J54" s="114" t="n"/>
      <c r="K54" s="125" t="inlineStr">
        <is>
          <t>N</t>
        </is>
      </c>
      <c r="L54" s="125" t="inlineStr">
        <is>
          <t>N</t>
        </is>
      </c>
      <c r="M54" s="114" t="n"/>
      <c r="N54" s="114" t="n"/>
      <c r="O54" s="114" t="n"/>
      <c r="P54" s="114" t="n"/>
      <c r="Q54" s="125" t="inlineStr">
        <is>
          <t>N</t>
        </is>
      </c>
      <c r="R54" s="114" t="n"/>
      <c r="S54" s="125" t="inlineStr">
        <is>
          <t>N</t>
        </is>
      </c>
      <c r="T54" s="114" t="n"/>
      <c r="U54" s="114" t="n"/>
      <c r="V54" s="114" t="n"/>
      <c r="W54" s="114" t="n"/>
      <c r="X54" s="125" t="inlineStr">
        <is>
          <t>N</t>
        </is>
      </c>
      <c r="Y54" s="114" t="n"/>
      <c r="Z54" s="114" t="n"/>
      <c r="AA54" s="125" t="inlineStr">
        <is>
          <t>N</t>
        </is>
      </c>
      <c r="AB54" s="126" t="inlineStr">
        <is>
          <t>T</t>
        </is>
      </c>
      <c r="AC54" s="114" t="n"/>
      <c r="AD54" s="114" t="n"/>
      <c r="AE54" s="125" t="inlineStr">
        <is>
          <t>N</t>
        </is>
      </c>
      <c r="AF54" s="114" t="n"/>
      <c r="AG54" s="114" t="n"/>
      <c r="AH54" s="114" t="n"/>
      <c r="AI54" s="114" t="n"/>
      <c r="AJ54" s="114" t="n"/>
      <c r="AK54" s="114" t="n"/>
      <c r="AL54" s="125" t="inlineStr">
        <is>
          <t>N</t>
        </is>
      </c>
      <c r="AM54" s="100" t="n"/>
      <c r="AN54" s="136">
        <f>IFERROR(INDEX(MAI!I$8:I$73,MATCH($A54,MAI!$A$8:$A$73,0))&amp;"","")</f>
        <v/>
      </c>
      <c r="AO54" s="116">
        <f>IFERROR(INDEX(MAI!J$8:J$73,MATCH($A54,MAI!$A$8:$A$73,0))&amp;"","")</f>
        <v/>
      </c>
      <c r="AP54" s="116">
        <f>IFERROR(INDEX(MAI!K$8:K$73,MATCH($A54,MAI!$A$8:$A$73,0))&amp;"","")</f>
        <v/>
      </c>
      <c r="AQ54" s="100" t="n"/>
      <c r="AR54" s="100" t="n"/>
      <c r="AS54" s="100" t="n"/>
      <c r="AT54" s="117">
        <f>SUMPRODUCT(($G54:$M54="M")*6+($G54:$M54="T")*6+($G54:$M54="D")*12+($G54:$M54="N")*12+($G54:$M54="NT")*6+($G54:$M54="C")*10+($G54:$M54="A")*8+($G54:$M54="J")*5+($G54:$M54="CEP")*4+($G54:$M54="CP")*6+($G54:$M54="CRO")*6+($G54:$M54="M+")*6+($G54:$M54="T+")*6+($G54:$M54="D+")*12+($G54:$M54="N+")*12+($G54:$M54="Dm+")*12+($G54:$M54="Dt+")*12+($G54:$M54="Tm-")*6+($G54:$M54="Mt-")*6)</f>
        <v/>
      </c>
      <c r="AU54" s="118">
        <f>AT54-MAX(0,IFERROR(INDEX(CADASTRO!$I$4:$I$80,MATCH($A54,CADASTRO!$A$4:$A$80,0)),$B54)-CONFIG!$B$50*(COUNTIF($G54:$M54,"AB")+COUNTIF($G54:$M54,"FE")+COUNTIF($G54:$M54,"LM")))</f>
        <v/>
      </c>
      <c r="AV54" s="117">
        <f>SUMPRODUCT(($N54:$T54="M")*6+($N54:$T54="T")*6+($N54:$T54="D")*12+($N54:$T54="N")*12+($N54:$T54="NT")*6+($N54:$T54="C")*10+($N54:$T54="A")*8+($N54:$T54="J")*5+($N54:$T54="CEP")*4+($N54:$T54="CP")*6+($N54:$T54="CRO")*6+($N54:$T54="M+")*6+($N54:$T54="T+")*6+($N54:$T54="D+")*12+($N54:$T54="N+")*12+($N54:$T54="Dm+")*12+($N54:$T54="Dt+")*12+($N54:$T54="Tm-")*6+($N54:$T54="Mt-")*6)</f>
        <v/>
      </c>
      <c r="AW54" s="118">
        <f>AV54-MAX(0,IFERROR(INDEX(CADASTRO!$I$4:$I$80,MATCH($A54,CADASTRO!$A$4:$A$80,0)),$B54)-CONFIG!$B$50*(COUNTIF($N54:$T54,"AB")+COUNTIF($N54:$T54,"FE")+COUNTIF($N54:$T54,"LM")))</f>
        <v/>
      </c>
      <c r="AX54" s="117">
        <f>SUMPRODUCT(($U54:$AA54="M")*6+($U54:$AA54="T")*6+($U54:$AA54="D")*12+($U54:$AA54="N")*12+($U54:$AA54="NT")*6+($U54:$AA54="C")*10+($U54:$AA54="A")*8+($U54:$AA54="J")*5+($U54:$AA54="CEP")*4+($U54:$AA54="CP")*6+($U54:$AA54="CRO")*6+($U54:$AA54="M+")*6+($U54:$AA54="T+")*6+($U54:$AA54="D+")*12+($U54:$AA54="N+")*12+($U54:$AA54="Dm+")*12+($U54:$AA54="Dt+")*12+($U54:$AA54="Tm-")*6+($U54:$AA54="Mt-")*6)</f>
        <v/>
      </c>
      <c r="AY54" s="118">
        <f>AX54-MAX(0,IFERROR(INDEX(CADASTRO!$I$4:$I$80,MATCH($A54,CADASTRO!$A$4:$A$80,0)),$B54)-CONFIG!$B$50*(COUNTIF($U54:$AA54,"AB")+COUNTIF($U54:$AA54,"FE")+COUNTIF($U54:$AA54,"LM")))</f>
        <v/>
      </c>
      <c r="AZ54" s="117">
        <f>SUMPRODUCT(($AB54:$AH54="M")*6+($AB54:$AH54="T")*6+($AB54:$AH54="D")*12+($AB54:$AH54="N")*12+($AB54:$AH54="NT")*6+($AB54:$AH54="C")*10+($AB54:$AH54="A")*8+($AB54:$AH54="J")*5+($AB54:$AH54="CEP")*4+($AB54:$AH54="CP")*6+($AB54:$AH54="CRO")*6+($AB54:$AH54="M+")*6+($AB54:$AH54="T+")*6+($AB54:$AH54="D+")*12+($AB54:$AH54="N+")*12+($AB54:$AH54="Dm+")*12+($AB54:$AH54="Dt+")*12+($AB54:$AH54="Tm-")*6+($AB54:$AH54="Mt-")*6)</f>
        <v/>
      </c>
      <c r="BA54" s="118">
        <f>AZ54-MAX(0,IFERROR(INDEX(CADASTRO!$I$4:$I$80,MATCH($A54,CADASTRO!$A$4:$A$80,0)),$B54)-CONFIG!$B$50*(COUNTIF($AB54:$AH54,"AB")+COUNTIF($AB54:$AH54,"FE")+COUNTIF($AB54:$AH54,"LM")))</f>
        <v/>
      </c>
      <c r="BB54" s="117">
        <f>SUMPRODUCT(($AI54:$AL54="M")*6+($AI54:$AL54="T")*6+($AI54:$AL54="D")*12+($AI54:$AL54="N")*12+($AI54:$AL54="NT")*6+($AI54:$AL54="C")*10+($AI54:$AL54="A")*8+($AI54:$AL54="J")*5+($AI54:$AL54="CEP")*4+($AI54:$AL54="CP")*6+($AI54:$AL54="CRO")*6+($AI54:$AL54="M+")*6+($AI54:$AL54="T+")*6+($AI54:$AL54="D+")*12+($AI54:$AL54="N+")*12+($AI54:$AL54="Dm+")*12+($AI54:$AL54="Dt+")*12+($AI54:$AL54="Tm-")*6+($AI54:$AL54="Mt-")*6)+SUMPRODUCT(($AN54:$AP54="M")*6+($AN54:$AP54="T")*6+($AN54:$AP54="D")*12+($AN54:$AP54="N")*12+($AN54:$AP54="NT")*6+($AN54:$AP54="C")*10+($AN54:$AP54="A")*8+($AN54:$AP54="J")*5+($AN54:$AP54="CEP")*4+($AN54:$AP54="CP")*6+($AN54:$AP54="CRO")*6+($AN54:$AP54="M+")*6+($AN54:$AP54="T+")*6+($AN54:$AP54="D+")*12+($AN54:$AP54="N+")*12+($AN54:$AP54="Dm+")*12+($AN54:$AP54="Dt+")*12+($AN54:$AP54="Tm-")*6+($AN54:$AP54="Mt-")*6)</f>
        <v/>
      </c>
      <c r="BC54" s="118">
        <f>BB54-MAX(0,IFERROR(INDEX(CADASTRO!$I$4:$I$80,MATCH($A54,CADASTRO!$A$4:$A$80,0)),$B54)-CONFIG!$B$50*(COUNTIF($AI54:$AL54,"AB")+COUNTIF($AI54:$AL54,"FE")+COUNTIF($AI54:$AL54,"LM")+COUNTIF($AN54:$AP54,"AB")+COUNTIF($AN54:$AP54,"FE")+COUNTIF($AN54:$AP54,"LM")))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ROUND(B54*4.29,0)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36">
        <f>IFERROR(INDEX(MAR!AL$8:AL$73,MATCH($A55,MAR!$A$8:$A$73,0))&amp;"","")</f>
        <v/>
      </c>
      <c r="H55" s="136">
        <f>IFERROR(INDEX(MAR!AM$8:AM$73,MATCH($A55,MAR!$A$8:$A$73,0))&amp;"","")</f>
        <v/>
      </c>
      <c r="I55" s="114" t="n"/>
      <c r="J55" s="114" t="n"/>
      <c r="K55" s="115" t="inlineStr">
        <is>
          <t>M</t>
        </is>
      </c>
      <c r="L55" s="115" t="inlineStr">
        <is>
          <t>M</t>
        </is>
      </c>
      <c r="M55" s="114" t="n"/>
      <c r="N55" s="115" t="inlineStr">
        <is>
          <t>M</t>
        </is>
      </c>
      <c r="O55" s="115" t="inlineStr">
        <is>
          <t>M</t>
        </is>
      </c>
      <c r="P55" s="114" t="n"/>
      <c r="Q55" s="115" t="inlineStr">
        <is>
          <t>M</t>
        </is>
      </c>
      <c r="R55" s="114" t="n"/>
      <c r="S55" s="114" t="n"/>
      <c r="T55" s="115" t="inlineStr">
        <is>
          <t>M</t>
        </is>
      </c>
      <c r="U55" s="115" t="inlineStr">
        <is>
          <t>M</t>
        </is>
      </c>
      <c r="V55" s="115" t="inlineStr">
        <is>
          <t>M</t>
        </is>
      </c>
      <c r="W55" s="114" t="n"/>
      <c r="X55" s="114" t="n"/>
      <c r="Y55" s="125" t="inlineStr">
        <is>
          <t>N</t>
        </is>
      </c>
      <c r="Z55" s="114" t="n"/>
      <c r="AA55" s="114" t="n"/>
      <c r="AB55" s="115" t="inlineStr">
        <is>
          <t>M</t>
        </is>
      </c>
      <c r="AC55" s="115" t="inlineStr">
        <is>
          <t>M</t>
        </is>
      </c>
      <c r="AD55" s="115" t="inlineStr">
        <is>
          <t>M</t>
        </is>
      </c>
      <c r="AE55" s="114" t="n"/>
      <c r="AF55" s="114" t="n"/>
      <c r="AG55" s="114" t="n"/>
      <c r="AH55" s="114" t="n"/>
      <c r="AI55" s="115" t="inlineStr">
        <is>
          <t>M</t>
        </is>
      </c>
      <c r="AJ55" s="114" t="n"/>
      <c r="AK55" s="115" t="inlineStr">
        <is>
          <t>M</t>
        </is>
      </c>
      <c r="AL55" s="115" t="inlineStr">
        <is>
          <t>M</t>
        </is>
      </c>
      <c r="AM55" s="100" t="n"/>
      <c r="AN55" s="136">
        <f>IFERROR(INDEX(MAI!I$8:I$73,MATCH($A55,MAI!$A$8:$A$73,0))&amp;"","")</f>
        <v/>
      </c>
      <c r="AO55" s="116">
        <f>IFERROR(INDEX(MAI!J$8:J$73,MATCH($A55,MAI!$A$8:$A$73,0))&amp;"","")</f>
        <v/>
      </c>
      <c r="AP55" s="116">
        <f>IFERROR(INDEX(MAI!K$8:K$73,MATCH($A55,MAI!$A$8:$A$73,0))&amp;"","")</f>
        <v/>
      </c>
      <c r="AQ55" s="100" t="n"/>
      <c r="AR55" s="100" t="n"/>
      <c r="AS55" s="100" t="n"/>
      <c r="AT55" s="117">
        <f>SUMPRODUCT(($G55:$M55="M")*6+($G55:$M55="T")*6+($G55:$M55="D")*12+($G55:$M55="N")*12+($G55:$M55="NT")*6+($G55:$M55="C")*10+($G55:$M55="A")*8+($G55:$M55="J")*5+($G55:$M55="CEP")*4+($G55:$M55="CP")*6+($G55:$M55="CRO")*6+($G55:$M55="M+")*6+($G55:$M55="T+")*6+($G55:$M55="D+")*12+($G55:$M55="N+")*12+($G55:$M55="Dm+")*12+($G55:$M55="Dt+")*12+($G55:$M55="Tm-")*6+($G55:$M55="Mt-")*6)</f>
        <v/>
      </c>
      <c r="AU55" s="118">
        <f>AT55-MAX(0,IFERROR(INDEX(CADASTRO!$I$4:$I$80,MATCH($A55,CADASTRO!$A$4:$A$80,0)),$B55)-CONFIG!$B$50*(COUNTIF($G55:$M55,"AB")+COUNTIF($G55:$M55,"FE")+COUNTIF($G55:$M55,"LM")))</f>
        <v/>
      </c>
      <c r="AV55" s="117">
        <f>SUMPRODUCT(($N55:$T55="M")*6+($N55:$T55="T")*6+($N55:$T55="D")*12+($N55:$T55="N")*12+($N55:$T55="NT")*6+($N55:$T55="C")*10+($N55:$T55="A")*8+($N55:$T55="J")*5+($N55:$T55="CEP")*4+($N55:$T55="CP")*6+($N55:$T55="CRO")*6+($N55:$T55="M+")*6+($N55:$T55="T+")*6+($N55:$T55="D+")*12+($N55:$T55="N+")*12+($N55:$T55="Dm+")*12+($N55:$T55="Dt+")*12+($N55:$T55="Tm-")*6+($N55:$T55="Mt-")*6)</f>
        <v/>
      </c>
      <c r="AW55" s="118">
        <f>AV55-MAX(0,IFERROR(INDEX(CADASTRO!$I$4:$I$80,MATCH($A55,CADASTRO!$A$4:$A$80,0)),$B55)-CONFIG!$B$50*(COUNTIF($N55:$T55,"AB")+COUNTIF($N55:$T55,"FE")+COUNTIF($N55:$T55,"LM")))</f>
        <v/>
      </c>
      <c r="AX55" s="117">
        <f>SUMPRODUCT(($U55:$AA55="M")*6+($U55:$AA55="T")*6+($U55:$AA55="D")*12+($U55:$AA55="N")*12+($U55:$AA55="NT")*6+($U55:$AA55="C")*10+($U55:$AA55="A")*8+($U55:$AA55="J")*5+($U55:$AA55="CEP")*4+($U55:$AA55="CP")*6+($U55:$AA55="CRO")*6+($U55:$AA55="M+")*6+($U55:$AA55="T+")*6+($U55:$AA55="D+")*12+($U55:$AA55="N+")*12+($U55:$AA55="Dm+")*12+($U55:$AA55="Dt+")*12+($U55:$AA55="Tm-")*6+($U55:$AA55="Mt-")*6)</f>
        <v/>
      </c>
      <c r="AY55" s="118">
        <f>AX55-MAX(0,IFERROR(INDEX(CADASTRO!$I$4:$I$80,MATCH($A55,CADASTRO!$A$4:$A$80,0)),$B55)-CONFIG!$B$50*(COUNTIF($U55:$AA55,"AB")+COUNTIF($U55:$AA55,"FE")+COUNTIF($U55:$AA55,"LM")))</f>
        <v/>
      </c>
      <c r="AZ55" s="117">
        <f>SUMPRODUCT(($AB55:$AH55="M")*6+($AB55:$AH55="T")*6+($AB55:$AH55="D")*12+($AB55:$AH55="N")*12+($AB55:$AH55="NT")*6+($AB55:$AH55="C")*10+($AB55:$AH55="A")*8+($AB55:$AH55="J")*5+($AB55:$AH55="CEP")*4+($AB55:$AH55="CP")*6+($AB55:$AH55="CRO")*6+($AB55:$AH55="M+")*6+($AB55:$AH55="T+")*6+($AB55:$AH55="D+")*12+($AB55:$AH55="N+")*12+($AB55:$AH55="Dm+")*12+($AB55:$AH55="Dt+")*12+($AB55:$AH55="Tm-")*6+($AB55:$AH55="Mt-")*6)</f>
        <v/>
      </c>
      <c r="BA55" s="118">
        <f>AZ55-MAX(0,IFERROR(INDEX(CADASTRO!$I$4:$I$80,MATCH($A55,CADASTRO!$A$4:$A$80,0)),$B55)-CONFIG!$B$50*(COUNTIF($AB55:$AH55,"AB")+COUNTIF($AB55:$AH55,"FE")+COUNTIF($AB55:$AH55,"LM")))</f>
        <v/>
      </c>
      <c r="BB55" s="117">
        <f>SUMPRODUCT(($AI55:$AL55="M")*6+($AI55:$AL55="T")*6+($AI55:$AL55="D")*12+($AI55:$AL55="N")*12+($AI55:$AL55="NT")*6+($AI55:$AL55="C")*10+($AI55:$AL55="A")*8+($AI55:$AL55="J")*5+($AI55:$AL55="CEP")*4+($AI55:$AL55="CP")*6+($AI55:$AL55="CRO")*6+($AI55:$AL55="M+")*6+($AI55:$AL55="T+")*6+($AI55:$AL55="D+")*12+($AI55:$AL55="N+")*12+($AI55:$AL55="Dm+")*12+($AI55:$AL55="Dt+")*12+($AI55:$AL55="Tm-")*6+($AI55:$AL55="Mt-")*6)+SUMPRODUCT(($AN55:$AP55="M")*6+($AN55:$AP55="T")*6+($AN55:$AP55="D")*12+($AN55:$AP55="N")*12+($AN55:$AP55="NT")*6+($AN55:$AP55="C")*10+($AN55:$AP55="A")*8+($AN55:$AP55="J")*5+($AN55:$AP55="CEP")*4+($AN55:$AP55="CP")*6+($AN55:$AP55="CRO")*6+($AN55:$AP55="M+")*6+($AN55:$AP55="T+")*6+($AN55:$AP55="D+")*12+($AN55:$AP55="N+")*12+($AN55:$AP55="Dm+")*12+($AN55:$AP55="Dt+")*12+($AN55:$AP55="Tm-")*6+($AN55:$AP55="Mt-")*6)</f>
        <v/>
      </c>
      <c r="BC55" s="118">
        <f>BB55-MAX(0,IFERROR(INDEX(CADASTRO!$I$4:$I$80,MATCH($A55,CADASTRO!$A$4:$A$80,0)),$B55)-CONFIG!$B$50*(COUNTIF($AI55:$AL55,"AB")+COUNTIF($AI55:$AL55,"FE")+COUNTIF($AI55:$AL55,"LM")+COUNTIF($AN55:$AP55,"AB")+COUNTIF($AN55:$AP55,"FE")+COUNTIF($AN55:$AP55,"LM")))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ROUND(B55*4.29,0)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36">
        <f>IFERROR(INDEX(MAR!AL$8:AL$73,MATCH($A56,MAR!$A$8:$A$73,0))&amp;"","")</f>
        <v/>
      </c>
      <c r="H56" s="136">
        <f>IFERROR(INDEX(MAR!AM$8:AM$73,MATCH($A56,MAR!$A$8:$A$73,0))&amp;"","")</f>
        <v/>
      </c>
      <c r="I56" s="114" t="n"/>
      <c r="J56" s="114" t="n"/>
      <c r="K56" s="126" t="inlineStr">
        <is>
          <t>T</t>
        </is>
      </c>
      <c r="L56" s="124" t="inlineStr">
        <is>
          <t>D</t>
        </is>
      </c>
      <c r="M56" s="114" t="n"/>
      <c r="N56" s="114" t="n"/>
      <c r="O56" s="124" t="inlineStr">
        <is>
          <t>D</t>
        </is>
      </c>
      <c r="P56" s="114" t="n"/>
      <c r="Q56" s="124" t="inlineStr">
        <is>
          <t>D</t>
        </is>
      </c>
      <c r="R56" s="114" t="n"/>
      <c r="S56" s="114" t="n"/>
      <c r="T56" s="114" t="n"/>
      <c r="U56" s="114" t="n"/>
      <c r="V56" s="114" t="n"/>
      <c r="W56" s="114" t="n"/>
      <c r="X56" s="126" t="inlineStr">
        <is>
          <t>T</t>
        </is>
      </c>
      <c r="Y56" s="114" t="n"/>
      <c r="Z56" s="124" t="inlineStr">
        <is>
          <t>D</t>
        </is>
      </c>
      <c r="AA56" s="115" t="inlineStr">
        <is>
          <t>M</t>
        </is>
      </c>
      <c r="AB56" s="114" t="n"/>
      <c r="AC56" s="114" t="n"/>
      <c r="AD56" s="114" t="n"/>
      <c r="AE56" s="124" t="inlineStr">
        <is>
          <t>D</t>
        </is>
      </c>
      <c r="AF56" s="125" t="inlineStr">
        <is>
          <t>N</t>
        </is>
      </c>
      <c r="AG56" s="114" t="n"/>
      <c r="AH56" s="114" t="n"/>
      <c r="AI56" s="114" t="n"/>
      <c r="AJ56" s="126" t="inlineStr">
        <is>
          <t>T</t>
        </is>
      </c>
      <c r="AK56" s="114" t="n"/>
      <c r="AL56" s="124" t="inlineStr">
        <is>
          <t>D</t>
        </is>
      </c>
      <c r="AM56" s="100" t="n"/>
      <c r="AN56" s="136">
        <f>IFERROR(INDEX(MAI!I$8:I$73,MATCH($A56,MAI!$A$8:$A$73,0))&amp;"","")</f>
        <v/>
      </c>
      <c r="AO56" s="116">
        <f>IFERROR(INDEX(MAI!J$8:J$73,MATCH($A56,MAI!$A$8:$A$73,0))&amp;"","")</f>
        <v/>
      </c>
      <c r="AP56" s="116">
        <f>IFERROR(INDEX(MAI!K$8:K$73,MATCH($A56,MAI!$A$8:$A$73,0))&amp;"","")</f>
        <v/>
      </c>
      <c r="AQ56" s="100" t="n"/>
      <c r="AR56" s="100" t="n"/>
      <c r="AS56" s="100" t="n"/>
      <c r="AT56" s="117">
        <f>SUMPRODUCT(($G56:$M56="M")*6+($G56:$M56="T")*6+($G56:$M56="D")*12+($G56:$M56="N")*12+($G56:$M56="NT")*6+($G56:$M56="C")*10+($G56:$M56="A")*8+($G56:$M56="J")*5+($G56:$M56="CEP")*4+($G56:$M56="CP")*6+($G56:$M56="CRO")*6+($G56:$M56="M+")*6+($G56:$M56="T+")*6+($G56:$M56="D+")*12+($G56:$M56="N+")*12+($G56:$M56="Dm+")*12+($G56:$M56="Dt+")*12+($G56:$M56="Tm-")*6+($G56:$M56="Mt-")*6)</f>
        <v/>
      </c>
      <c r="AU56" s="118">
        <f>AT56-MAX(0,IFERROR(INDEX(CADASTRO!$I$4:$I$80,MATCH($A56,CADASTRO!$A$4:$A$80,0)),$B56)-CONFIG!$B$50*(COUNTIF($G56:$M56,"AB")+COUNTIF($G56:$M56,"FE")+COUNTIF($G56:$M56,"LM")))</f>
        <v/>
      </c>
      <c r="AV56" s="117">
        <f>SUMPRODUCT(($N56:$T56="M")*6+($N56:$T56="T")*6+($N56:$T56="D")*12+($N56:$T56="N")*12+($N56:$T56="NT")*6+($N56:$T56="C")*10+($N56:$T56="A")*8+($N56:$T56="J")*5+($N56:$T56="CEP")*4+($N56:$T56="CP")*6+($N56:$T56="CRO")*6+($N56:$T56="M+")*6+($N56:$T56="T+")*6+($N56:$T56="D+")*12+($N56:$T56="N+")*12+($N56:$T56="Dm+")*12+($N56:$T56="Dt+")*12+($N56:$T56="Tm-")*6+($N56:$T56="Mt-")*6)</f>
        <v/>
      </c>
      <c r="AW56" s="118">
        <f>AV56-MAX(0,IFERROR(INDEX(CADASTRO!$I$4:$I$80,MATCH($A56,CADASTRO!$A$4:$A$80,0)),$B56)-CONFIG!$B$50*(COUNTIF($N56:$T56,"AB")+COUNTIF($N56:$T56,"FE")+COUNTIF($N56:$T56,"LM")))</f>
        <v/>
      </c>
      <c r="AX56" s="117">
        <f>SUMPRODUCT(($U56:$AA56="M")*6+($U56:$AA56="T")*6+($U56:$AA56="D")*12+($U56:$AA56="N")*12+($U56:$AA56="NT")*6+($U56:$AA56="C")*10+($U56:$AA56="A")*8+($U56:$AA56="J")*5+($U56:$AA56="CEP")*4+($U56:$AA56="CP")*6+($U56:$AA56="CRO")*6+($U56:$AA56="M+")*6+($U56:$AA56="T+")*6+($U56:$AA56="D+")*12+($U56:$AA56="N+")*12+($U56:$AA56="Dm+")*12+($U56:$AA56="Dt+")*12+($U56:$AA56="Tm-")*6+($U56:$AA56="Mt-")*6)</f>
        <v/>
      </c>
      <c r="AY56" s="118">
        <f>AX56-MAX(0,IFERROR(INDEX(CADASTRO!$I$4:$I$80,MATCH($A56,CADASTRO!$A$4:$A$80,0)),$B56)-CONFIG!$B$50*(COUNTIF($U56:$AA56,"AB")+COUNTIF($U56:$AA56,"FE")+COUNTIF($U56:$AA56,"LM")))</f>
        <v/>
      </c>
      <c r="AZ56" s="117">
        <f>SUMPRODUCT(($AB56:$AH56="M")*6+($AB56:$AH56="T")*6+($AB56:$AH56="D")*12+($AB56:$AH56="N")*12+($AB56:$AH56="NT")*6+($AB56:$AH56="C")*10+($AB56:$AH56="A")*8+($AB56:$AH56="J")*5+($AB56:$AH56="CEP")*4+($AB56:$AH56="CP")*6+($AB56:$AH56="CRO")*6+($AB56:$AH56="M+")*6+($AB56:$AH56="T+")*6+($AB56:$AH56="D+")*12+($AB56:$AH56="N+")*12+($AB56:$AH56="Dm+")*12+($AB56:$AH56="Dt+")*12+($AB56:$AH56="Tm-")*6+($AB56:$AH56="Mt-")*6)</f>
        <v/>
      </c>
      <c r="BA56" s="118">
        <f>AZ56-MAX(0,IFERROR(INDEX(CADASTRO!$I$4:$I$80,MATCH($A56,CADASTRO!$A$4:$A$80,0)),$B56)-CONFIG!$B$50*(COUNTIF($AB56:$AH56,"AB")+COUNTIF($AB56:$AH56,"FE")+COUNTIF($AB56:$AH56,"LM")))</f>
        <v/>
      </c>
      <c r="BB56" s="117">
        <f>SUMPRODUCT(($AI56:$AL56="M")*6+($AI56:$AL56="T")*6+($AI56:$AL56="D")*12+($AI56:$AL56="N")*12+($AI56:$AL56="NT")*6+($AI56:$AL56="C")*10+($AI56:$AL56="A")*8+($AI56:$AL56="J")*5+($AI56:$AL56="CEP")*4+($AI56:$AL56="CP")*6+($AI56:$AL56="CRO")*6+($AI56:$AL56="M+")*6+($AI56:$AL56="T+")*6+($AI56:$AL56="D+")*12+($AI56:$AL56="N+")*12+($AI56:$AL56="Dm+")*12+($AI56:$AL56="Dt+")*12+($AI56:$AL56="Tm-")*6+($AI56:$AL56="Mt-")*6)+SUMPRODUCT(($AN56:$AP56="M")*6+($AN56:$AP56="T")*6+($AN56:$AP56="D")*12+($AN56:$AP56="N")*12+($AN56:$AP56="NT")*6+($AN56:$AP56="C")*10+($AN56:$AP56="A")*8+($AN56:$AP56="J")*5+($AN56:$AP56="CEP")*4+($AN56:$AP56="CP")*6+($AN56:$AP56="CRO")*6+($AN56:$AP56="M+")*6+($AN56:$AP56="T+")*6+($AN56:$AP56="D+")*12+($AN56:$AP56="N+")*12+($AN56:$AP56="Dm+")*12+($AN56:$AP56="Dt+")*12+($AN56:$AP56="Tm-")*6+($AN56:$AP56="Mt-")*6)</f>
        <v/>
      </c>
      <c r="BC56" s="118">
        <f>BB56-MAX(0,IFERROR(INDEX(CADASTRO!$I$4:$I$80,MATCH($A56,CADASTRO!$A$4:$A$80,0)),$B56)-CONFIG!$B$50*(COUNTIF($AI56:$AL56,"AB")+COUNTIF($AI56:$AL56,"FE")+COUNTIF($AI56:$AL56,"LM")+COUNTIF($AN56:$AP56,"AB")+COUNTIF($AN56:$AP56,"FE")+COUNTIF($AN56:$AP56,"LM")))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ROUND(B56*4.29,0)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36">
        <f>IFERROR(INDEX(MAR!AL$8:AL$73,MATCH($A57,MAR!$A$8:$A$73,0))&amp;"","")</f>
        <v/>
      </c>
      <c r="H57" s="136">
        <f>IFERROR(INDEX(MAR!AM$8:AM$73,MATCH($A57,MAR!$A$8:$A$73,0))&amp;"","")</f>
        <v/>
      </c>
      <c r="I57" s="125" t="inlineStr">
        <is>
          <t>N</t>
        </is>
      </c>
      <c r="J57" s="114" t="n"/>
      <c r="K57" s="125" t="inlineStr">
        <is>
          <t>N</t>
        </is>
      </c>
      <c r="L57" s="123" t="inlineStr">
        <is>
          <t>M+</t>
        </is>
      </c>
      <c r="M57" s="114" t="n"/>
      <c r="N57" s="114" t="n"/>
      <c r="O57" s="114" t="n"/>
      <c r="P57" s="114" t="n"/>
      <c r="Q57" s="125" t="inlineStr">
        <is>
          <t>N</t>
        </is>
      </c>
      <c r="R57" s="114" t="n"/>
      <c r="S57" s="115" t="inlineStr">
        <is>
          <t>M</t>
        </is>
      </c>
      <c r="T57" s="126" t="inlineStr">
        <is>
          <t>T</t>
        </is>
      </c>
      <c r="U57" s="125" t="inlineStr">
        <is>
          <t>N</t>
        </is>
      </c>
      <c r="V57" s="114" t="n"/>
      <c r="W57" s="125" t="inlineStr">
        <is>
          <t>N</t>
        </is>
      </c>
      <c r="X57" s="114" t="n"/>
      <c r="Y57" s="114" t="n"/>
      <c r="Z57" s="114" t="n"/>
      <c r="AA57" s="114" t="n"/>
      <c r="AB57" s="125" t="inlineStr">
        <is>
          <t>N</t>
        </is>
      </c>
      <c r="AC57" s="114" t="n"/>
      <c r="AD57" s="114" t="n"/>
      <c r="AE57" s="114" t="n"/>
      <c r="AF57" s="125" t="inlineStr">
        <is>
          <t>N</t>
        </is>
      </c>
      <c r="AG57" s="114" t="n"/>
      <c r="AH57" s="114" t="n"/>
      <c r="AI57" s="114" t="n"/>
      <c r="AJ57" s="114" t="n"/>
      <c r="AK57" s="114" t="n"/>
      <c r="AL57" s="114" t="n"/>
      <c r="AM57" s="100" t="n"/>
      <c r="AN57" s="136">
        <f>IFERROR(INDEX(MAI!I$8:I$73,MATCH($A57,MAI!$A$8:$A$73,0))&amp;"","")</f>
        <v/>
      </c>
      <c r="AO57" s="116">
        <f>IFERROR(INDEX(MAI!J$8:J$73,MATCH($A57,MAI!$A$8:$A$73,0))&amp;"","")</f>
        <v/>
      </c>
      <c r="AP57" s="116">
        <f>IFERROR(INDEX(MAI!K$8:K$73,MATCH($A57,MAI!$A$8:$A$73,0))&amp;"","")</f>
        <v/>
      </c>
      <c r="AQ57" s="100" t="n"/>
      <c r="AR57" s="100" t="n"/>
      <c r="AS57" s="100" t="n"/>
      <c r="AT57" s="117">
        <f>SUMPRODUCT(($G57:$M57="M")*6+($G57:$M57="T")*6+($G57:$M57="D")*12+($G57:$M57="N")*12+($G57:$M57="NT")*6+($G57:$M57="C")*10+($G57:$M57="A")*8+($G57:$M57="J")*5+($G57:$M57="CEP")*4+($G57:$M57="CP")*6+($G57:$M57="CRO")*6+($G57:$M57="M+")*6+($G57:$M57="T+")*6+($G57:$M57="D+")*12+($G57:$M57="N+")*12+($G57:$M57="Dm+")*12+($G57:$M57="Dt+")*12+($G57:$M57="Tm-")*6+($G57:$M57="Mt-")*6)</f>
        <v/>
      </c>
      <c r="AU57" s="118">
        <f>AT57-MAX(0,IFERROR(INDEX(CADASTRO!$I$4:$I$80,MATCH($A57,CADASTRO!$A$4:$A$80,0)),$B57)-CONFIG!$B$50*(COUNTIF($G57:$M57,"AB")+COUNTIF($G57:$M57,"FE")+COUNTIF($G57:$M57,"LM")))</f>
        <v/>
      </c>
      <c r="AV57" s="117">
        <f>SUMPRODUCT(($N57:$T57="M")*6+($N57:$T57="T")*6+($N57:$T57="D")*12+($N57:$T57="N")*12+($N57:$T57="NT")*6+($N57:$T57="C")*10+($N57:$T57="A")*8+($N57:$T57="J")*5+($N57:$T57="CEP")*4+($N57:$T57="CP")*6+($N57:$T57="CRO")*6+($N57:$T57="M+")*6+($N57:$T57="T+")*6+($N57:$T57="D+")*12+($N57:$T57="N+")*12+($N57:$T57="Dm+")*12+($N57:$T57="Dt+")*12+($N57:$T57="Tm-")*6+($N57:$T57="Mt-")*6)</f>
        <v/>
      </c>
      <c r="AW57" s="118">
        <f>AV57-MAX(0,IFERROR(INDEX(CADASTRO!$I$4:$I$80,MATCH($A57,CADASTRO!$A$4:$A$80,0)),$B57)-CONFIG!$B$50*(COUNTIF($N57:$T57,"AB")+COUNTIF($N57:$T57,"FE")+COUNTIF($N57:$T57,"LM")))</f>
        <v/>
      </c>
      <c r="AX57" s="117">
        <f>SUMPRODUCT(($U57:$AA57="M")*6+($U57:$AA57="T")*6+($U57:$AA57="D")*12+($U57:$AA57="N")*12+($U57:$AA57="NT")*6+($U57:$AA57="C")*10+($U57:$AA57="A")*8+($U57:$AA57="J")*5+($U57:$AA57="CEP")*4+($U57:$AA57="CP")*6+($U57:$AA57="CRO")*6+($U57:$AA57="M+")*6+($U57:$AA57="T+")*6+($U57:$AA57="D+")*12+($U57:$AA57="N+")*12+($U57:$AA57="Dm+")*12+($U57:$AA57="Dt+")*12+($U57:$AA57="Tm-")*6+($U57:$AA57="Mt-")*6)</f>
        <v/>
      </c>
      <c r="AY57" s="118">
        <f>AX57-MAX(0,IFERROR(INDEX(CADASTRO!$I$4:$I$80,MATCH($A57,CADASTRO!$A$4:$A$80,0)),$B57)-CONFIG!$B$50*(COUNTIF($U57:$AA57,"AB")+COUNTIF($U57:$AA57,"FE")+COUNTIF($U57:$AA57,"LM")))</f>
        <v/>
      </c>
      <c r="AZ57" s="117">
        <f>SUMPRODUCT(($AB57:$AH57="M")*6+($AB57:$AH57="T")*6+($AB57:$AH57="D")*12+($AB57:$AH57="N")*12+($AB57:$AH57="NT")*6+($AB57:$AH57="C")*10+($AB57:$AH57="A")*8+($AB57:$AH57="J")*5+($AB57:$AH57="CEP")*4+($AB57:$AH57="CP")*6+($AB57:$AH57="CRO")*6+($AB57:$AH57="M+")*6+($AB57:$AH57="T+")*6+($AB57:$AH57="D+")*12+($AB57:$AH57="N+")*12+($AB57:$AH57="Dm+")*12+($AB57:$AH57="Dt+")*12+($AB57:$AH57="Tm-")*6+($AB57:$AH57="Mt-")*6)</f>
        <v/>
      </c>
      <c r="BA57" s="118">
        <f>AZ57-MAX(0,IFERROR(INDEX(CADASTRO!$I$4:$I$80,MATCH($A57,CADASTRO!$A$4:$A$80,0)),$B57)-CONFIG!$B$50*(COUNTIF($AB57:$AH57,"AB")+COUNTIF($AB57:$AH57,"FE")+COUNTIF($AB57:$AH57,"LM")))</f>
        <v/>
      </c>
      <c r="BB57" s="117">
        <f>SUMPRODUCT(($AI57:$AL57="M")*6+($AI57:$AL57="T")*6+($AI57:$AL57="D")*12+($AI57:$AL57="N")*12+($AI57:$AL57="NT")*6+($AI57:$AL57="C")*10+($AI57:$AL57="A")*8+($AI57:$AL57="J")*5+($AI57:$AL57="CEP")*4+($AI57:$AL57="CP")*6+($AI57:$AL57="CRO")*6+($AI57:$AL57="M+")*6+($AI57:$AL57="T+")*6+($AI57:$AL57="D+")*12+($AI57:$AL57="N+")*12+($AI57:$AL57="Dm+")*12+($AI57:$AL57="Dt+")*12+($AI57:$AL57="Tm-")*6+($AI57:$AL57="Mt-")*6)+SUMPRODUCT(($AN57:$AP57="M")*6+($AN57:$AP57="T")*6+($AN57:$AP57="D")*12+($AN57:$AP57="N")*12+($AN57:$AP57="NT")*6+($AN57:$AP57="C")*10+($AN57:$AP57="A")*8+($AN57:$AP57="J")*5+($AN57:$AP57="CEP")*4+($AN57:$AP57="CP")*6+($AN57:$AP57="CRO")*6+($AN57:$AP57="M+")*6+($AN57:$AP57="T+")*6+($AN57:$AP57="D+")*12+($AN57:$AP57="N+")*12+($AN57:$AP57="Dm+")*12+($AN57:$AP57="Dt+")*12+($AN57:$AP57="Tm-")*6+($AN57:$AP57="Mt-")*6)</f>
        <v/>
      </c>
      <c r="BC57" s="118">
        <f>BB57-MAX(0,IFERROR(INDEX(CADASTRO!$I$4:$I$80,MATCH($A57,CADASTRO!$A$4:$A$80,0)),$B57)-CONFIG!$B$50*(COUNTIF($AI57:$AL57,"AB")+COUNTIF($AI57:$AL57,"FE")+COUNTIF($AI57:$AL57,"LM")+COUNTIF($AN57:$AP57,"AB")+COUNTIF($AN57:$AP57,"FE")+COUNTIF($AN57:$AP57,"LM")))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ROUND(B57*4.29,0)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36">
        <f>IFERROR(INDEX(MAR!AL$8:AL$73,MATCH($A58,MAR!$A$8:$A$73,0))&amp;"","")</f>
        <v/>
      </c>
      <c r="H58" s="136">
        <f>IFERROR(INDEX(MAR!AM$8:AM$73,MATCH($A58,MAR!$A$8:$A$73,0))&amp;"","")</f>
        <v/>
      </c>
      <c r="I58" s="114" t="n"/>
      <c r="J58" s="114" t="n"/>
      <c r="K58" s="114" t="n"/>
      <c r="L58" s="126" t="inlineStr">
        <is>
          <t>T</t>
        </is>
      </c>
      <c r="M58" s="124" t="inlineStr">
        <is>
          <t>D</t>
        </is>
      </c>
      <c r="N58" s="124" t="inlineStr">
        <is>
          <t>D</t>
        </is>
      </c>
      <c r="O58" s="114" t="n"/>
      <c r="P58" s="125" t="inlineStr">
        <is>
          <t>N</t>
        </is>
      </c>
      <c r="Q58" s="114" t="n"/>
      <c r="R58" s="114" t="n"/>
      <c r="S58" s="114" t="n"/>
      <c r="T58" s="114" t="n"/>
      <c r="U58" s="124" t="inlineStr">
        <is>
          <t>D</t>
        </is>
      </c>
      <c r="V58" s="114" t="n"/>
      <c r="W58" s="114" t="n"/>
      <c r="X58" s="114" t="n"/>
      <c r="Y58" s="124" t="inlineStr">
        <is>
          <t>D</t>
        </is>
      </c>
      <c r="Z58" s="114" t="n"/>
      <c r="AA58" s="114" t="n"/>
      <c r="AB58" s="114" t="n"/>
      <c r="AC58" s="114" t="n"/>
      <c r="AD58" s="125" t="inlineStr">
        <is>
          <t>N</t>
        </is>
      </c>
      <c r="AE58" s="114" t="n"/>
      <c r="AF58" s="114" t="n"/>
      <c r="AG58" s="124" t="inlineStr">
        <is>
          <t>D</t>
        </is>
      </c>
      <c r="AH58" s="114" t="n"/>
      <c r="AI58" s="114" t="n"/>
      <c r="AJ58" s="114" t="n"/>
      <c r="AK58" s="125" t="inlineStr">
        <is>
          <t>N</t>
        </is>
      </c>
      <c r="AL58" s="114" t="n"/>
      <c r="AM58" s="100" t="n"/>
      <c r="AN58" s="136">
        <f>IFERROR(INDEX(MAI!I$8:I$73,MATCH($A58,MAI!$A$8:$A$73,0))&amp;"","")</f>
        <v/>
      </c>
      <c r="AO58" s="116">
        <f>IFERROR(INDEX(MAI!J$8:J$73,MATCH($A58,MAI!$A$8:$A$73,0))&amp;"","")</f>
        <v/>
      </c>
      <c r="AP58" s="116">
        <f>IFERROR(INDEX(MAI!K$8:K$73,MATCH($A58,MAI!$A$8:$A$73,0))&amp;"","")</f>
        <v/>
      </c>
      <c r="AQ58" s="100" t="n"/>
      <c r="AR58" s="100" t="n"/>
      <c r="AS58" s="100" t="n"/>
      <c r="AT58" s="117">
        <f>SUMPRODUCT(($G58:$M58="M")*6+($G58:$M58="T")*6+($G58:$M58="D")*12+($G58:$M58="N")*12+($G58:$M58="NT")*6+($G58:$M58="C")*10+($G58:$M58="A")*8+($G58:$M58="J")*5+($G58:$M58="CEP")*4+($G58:$M58="CP")*6+($G58:$M58="CRO")*6+($G58:$M58="M+")*6+($G58:$M58="T+")*6+($G58:$M58="D+")*12+($G58:$M58="N+")*12+($G58:$M58="Dm+")*12+($G58:$M58="Dt+")*12+($G58:$M58="Tm-")*6+($G58:$M58="Mt-")*6)</f>
        <v/>
      </c>
      <c r="AU58" s="118">
        <f>AT58-MAX(0,IFERROR(INDEX(CADASTRO!$I$4:$I$80,MATCH($A58,CADASTRO!$A$4:$A$80,0)),$B58)-CONFIG!$B$50*(COUNTIF($G58:$M58,"AB")+COUNTIF($G58:$M58,"FE")+COUNTIF($G58:$M58,"LM")))</f>
        <v/>
      </c>
      <c r="AV58" s="117">
        <f>SUMPRODUCT(($N58:$T58="M")*6+($N58:$T58="T")*6+($N58:$T58="D")*12+($N58:$T58="N")*12+($N58:$T58="NT")*6+($N58:$T58="C")*10+($N58:$T58="A")*8+($N58:$T58="J")*5+($N58:$T58="CEP")*4+($N58:$T58="CP")*6+($N58:$T58="CRO")*6+($N58:$T58="M+")*6+($N58:$T58="T+")*6+($N58:$T58="D+")*12+($N58:$T58="N+")*12+($N58:$T58="Dm+")*12+($N58:$T58="Dt+")*12+($N58:$T58="Tm-")*6+($N58:$T58="Mt-")*6)</f>
        <v/>
      </c>
      <c r="AW58" s="118">
        <f>AV58-MAX(0,IFERROR(INDEX(CADASTRO!$I$4:$I$80,MATCH($A58,CADASTRO!$A$4:$A$80,0)),$B58)-CONFIG!$B$50*(COUNTIF($N58:$T58,"AB")+COUNTIF($N58:$T58,"FE")+COUNTIF($N58:$T58,"LM")))</f>
        <v/>
      </c>
      <c r="AX58" s="117">
        <f>SUMPRODUCT(($U58:$AA58="M")*6+($U58:$AA58="T")*6+($U58:$AA58="D")*12+($U58:$AA58="N")*12+($U58:$AA58="NT")*6+($U58:$AA58="C")*10+($U58:$AA58="A")*8+($U58:$AA58="J")*5+($U58:$AA58="CEP")*4+($U58:$AA58="CP")*6+($U58:$AA58="CRO")*6+($U58:$AA58="M+")*6+($U58:$AA58="T+")*6+($U58:$AA58="D+")*12+($U58:$AA58="N+")*12+($U58:$AA58="Dm+")*12+($U58:$AA58="Dt+")*12+($U58:$AA58="Tm-")*6+($U58:$AA58="Mt-")*6)</f>
        <v/>
      </c>
      <c r="AY58" s="118">
        <f>AX58-MAX(0,IFERROR(INDEX(CADASTRO!$I$4:$I$80,MATCH($A58,CADASTRO!$A$4:$A$80,0)),$B58)-CONFIG!$B$50*(COUNTIF($U58:$AA58,"AB")+COUNTIF($U58:$AA58,"FE")+COUNTIF($U58:$AA58,"LM")))</f>
        <v/>
      </c>
      <c r="AZ58" s="117">
        <f>SUMPRODUCT(($AB58:$AH58="M")*6+($AB58:$AH58="T")*6+($AB58:$AH58="D")*12+($AB58:$AH58="N")*12+($AB58:$AH58="NT")*6+($AB58:$AH58="C")*10+($AB58:$AH58="A")*8+($AB58:$AH58="J")*5+($AB58:$AH58="CEP")*4+($AB58:$AH58="CP")*6+($AB58:$AH58="CRO")*6+($AB58:$AH58="M+")*6+($AB58:$AH58="T+")*6+($AB58:$AH58="D+")*12+($AB58:$AH58="N+")*12+($AB58:$AH58="Dm+")*12+($AB58:$AH58="Dt+")*12+($AB58:$AH58="Tm-")*6+($AB58:$AH58="Mt-")*6)</f>
        <v/>
      </c>
      <c r="BA58" s="118">
        <f>AZ58-MAX(0,IFERROR(INDEX(CADASTRO!$I$4:$I$80,MATCH($A58,CADASTRO!$A$4:$A$80,0)),$B58)-CONFIG!$B$50*(COUNTIF($AB58:$AH58,"AB")+COUNTIF($AB58:$AH58,"FE")+COUNTIF($AB58:$AH58,"LM")))</f>
        <v/>
      </c>
      <c r="BB58" s="117">
        <f>SUMPRODUCT(($AI58:$AL58="M")*6+($AI58:$AL58="T")*6+($AI58:$AL58="D")*12+($AI58:$AL58="N")*12+($AI58:$AL58="NT")*6+($AI58:$AL58="C")*10+($AI58:$AL58="A")*8+($AI58:$AL58="J")*5+($AI58:$AL58="CEP")*4+($AI58:$AL58="CP")*6+($AI58:$AL58="CRO")*6+($AI58:$AL58="M+")*6+($AI58:$AL58="T+")*6+($AI58:$AL58="D+")*12+($AI58:$AL58="N+")*12+($AI58:$AL58="Dm+")*12+($AI58:$AL58="Dt+")*12+($AI58:$AL58="Tm-")*6+($AI58:$AL58="Mt-")*6)+SUMPRODUCT(($AN58:$AP58="M")*6+($AN58:$AP58="T")*6+($AN58:$AP58="D")*12+($AN58:$AP58="N")*12+($AN58:$AP58="NT")*6+($AN58:$AP58="C")*10+($AN58:$AP58="A")*8+($AN58:$AP58="J")*5+($AN58:$AP58="CEP")*4+($AN58:$AP58="CP")*6+($AN58:$AP58="CRO")*6+($AN58:$AP58="M+")*6+($AN58:$AP58="T+")*6+($AN58:$AP58="D+")*12+($AN58:$AP58="N+")*12+($AN58:$AP58="Dm+")*12+($AN58:$AP58="Dt+")*12+($AN58:$AP58="Tm-")*6+($AN58:$AP58="Mt-")*6)</f>
        <v/>
      </c>
      <c r="BC58" s="118">
        <f>BB58-MAX(0,IFERROR(INDEX(CADASTRO!$I$4:$I$80,MATCH($A58,CADASTRO!$A$4:$A$80,0)),$B58)-CONFIG!$B$50*(COUNTIF($AI58:$AL58,"AB")+COUNTIF($AI58:$AL58,"FE")+COUNTIF($AI58:$AL58,"LM")+COUNTIF($AN58:$AP58,"AB")+COUNTIF($AN58:$AP58,"FE")+COUNTIF($AN58:$AP58,"LM")))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ROUND(B58*4.29,0)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36">
        <f>IFERROR(INDEX(MAR!AL$8:AL$73,MATCH($A59,MAR!$A$8:$A$73,0))&amp;"","")</f>
        <v/>
      </c>
      <c r="H59" s="136">
        <f>IFERROR(INDEX(MAR!AM$8:AM$73,MATCH($A59,MAR!$A$8:$A$73,0))&amp;"","")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00" t="n"/>
      <c r="AN59" s="136">
        <f>IFERROR(INDEX(MAI!I$8:I$73,MATCH($A59,MAI!$A$8:$A$73,0))&amp;"","")</f>
        <v/>
      </c>
      <c r="AO59" s="116">
        <f>IFERROR(INDEX(MAI!J$8:J$73,MATCH($A59,MAI!$A$8:$A$73,0))&amp;"","")</f>
        <v/>
      </c>
      <c r="AP59" s="116">
        <f>IFERROR(INDEX(MAI!K$8:K$73,MATCH($A59,MAI!$A$8:$A$73,0))&amp;"","")</f>
        <v/>
      </c>
      <c r="AQ59" s="100" t="n"/>
      <c r="AR59" s="100" t="n"/>
      <c r="AS59" s="100" t="n"/>
      <c r="AT59" s="117">
        <f>SUMPRODUCT(($G59:$M59="M")*6+($G59:$M59="T")*6+($G59:$M59="D")*12+($G59:$M59="N")*12+($G59:$M59="NT")*6+($G59:$M59="C")*10+($G59:$M59="A")*8+($G59:$M59="J")*5+($G59:$M59="CEP")*4+($G59:$M59="CP")*6+($G59:$M59="CRO")*6+($G59:$M59="M+")*6+($G59:$M59="T+")*6+($G59:$M59="D+")*12+($G59:$M59="N+")*12+($G59:$M59="Dm+")*12+($G59:$M59="Dt+")*12+($G59:$M59="Tm-")*6+($G59:$M59="Mt-")*6)</f>
        <v/>
      </c>
      <c r="AU59" s="118">
        <f>AT59-MAX(0,IFERROR(INDEX(CADASTRO!$I$4:$I$80,MATCH($A59,CADASTRO!$A$4:$A$80,0)),$B59)-CONFIG!$B$50*(COUNTIF($G59:$M59,"AB")+COUNTIF($G59:$M59,"FE")+COUNTIF($G59:$M59,"LM")))</f>
        <v/>
      </c>
      <c r="AV59" s="117">
        <f>SUMPRODUCT(($N59:$T59="M")*6+($N59:$T59="T")*6+($N59:$T59="D")*12+($N59:$T59="N")*12+($N59:$T59="NT")*6+($N59:$T59="C")*10+($N59:$T59="A")*8+($N59:$T59="J")*5+($N59:$T59="CEP")*4+($N59:$T59="CP")*6+($N59:$T59="CRO")*6+($N59:$T59="M+")*6+($N59:$T59="T+")*6+($N59:$T59="D+")*12+($N59:$T59="N+")*12+($N59:$T59="Dm+")*12+($N59:$T59="Dt+")*12+($N59:$T59="Tm-")*6+($N59:$T59="Mt-")*6)</f>
        <v/>
      </c>
      <c r="AW59" s="118">
        <f>AV59-MAX(0,IFERROR(INDEX(CADASTRO!$I$4:$I$80,MATCH($A59,CADASTRO!$A$4:$A$80,0)),$B59)-CONFIG!$B$50*(COUNTIF($N59:$T59,"AB")+COUNTIF($N59:$T59,"FE")+COUNTIF($N59:$T59,"LM")))</f>
        <v/>
      </c>
      <c r="AX59" s="117">
        <f>SUMPRODUCT(($U59:$AA59="M")*6+($U59:$AA59="T")*6+($U59:$AA59="D")*12+($U59:$AA59="N")*12+($U59:$AA59="NT")*6+($U59:$AA59="C")*10+($U59:$AA59="A")*8+($U59:$AA59="J")*5+($U59:$AA59="CEP")*4+($U59:$AA59="CP")*6+($U59:$AA59="CRO")*6+($U59:$AA59="M+")*6+($U59:$AA59="T+")*6+($U59:$AA59="D+")*12+($U59:$AA59="N+")*12+($U59:$AA59="Dm+")*12+($U59:$AA59="Dt+")*12+($U59:$AA59="Tm-")*6+($U59:$AA59="Mt-")*6)</f>
        <v/>
      </c>
      <c r="AY59" s="118">
        <f>AX59-MAX(0,IFERROR(INDEX(CADASTRO!$I$4:$I$80,MATCH($A59,CADASTRO!$A$4:$A$80,0)),$B59)-CONFIG!$B$50*(COUNTIF($U59:$AA59,"AB")+COUNTIF($U59:$AA59,"FE")+COUNTIF($U59:$AA59,"LM")))</f>
        <v/>
      </c>
      <c r="AZ59" s="117">
        <f>SUMPRODUCT(($AB59:$AH59="M")*6+($AB59:$AH59="T")*6+($AB59:$AH59="D")*12+($AB59:$AH59="N")*12+($AB59:$AH59="NT")*6+($AB59:$AH59="C")*10+($AB59:$AH59="A")*8+($AB59:$AH59="J")*5+($AB59:$AH59="CEP")*4+($AB59:$AH59="CP")*6+($AB59:$AH59="CRO")*6+($AB59:$AH59="M+")*6+($AB59:$AH59="T+")*6+($AB59:$AH59="D+")*12+($AB59:$AH59="N+")*12+($AB59:$AH59="Dm+")*12+($AB59:$AH59="Dt+")*12+($AB59:$AH59="Tm-")*6+($AB59:$AH59="Mt-")*6)</f>
        <v/>
      </c>
      <c r="BA59" s="118">
        <f>AZ59-MAX(0,IFERROR(INDEX(CADASTRO!$I$4:$I$80,MATCH($A59,CADASTRO!$A$4:$A$80,0)),$B59)-CONFIG!$B$50*(COUNTIF($AB59:$AH59,"AB")+COUNTIF($AB59:$AH59,"FE")+COUNTIF($AB59:$AH59,"LM")))</f>
        <v/>
      </c>
      <c r="BB59" s="117">
        <f>SUMPRODUCT(($AI59:$AL59="M")*6+($AI59:$AL59="T")*6+($AI59:$AL59="D")*12+($AI59:$AL59="N")*12+($AI59:$AL59="NT")*6+($AI59:$AL59="C")*10+($AI59:$AL59="A")*8+($AI59:$AL59="J")*5+($AI59:$AL59="CEP")*4+($AI59:$AL59="CP")*6+($AI59:$AL59="CRO")*6+($AI59:$AL59="M+")*6+($AI59:$AL59="T+")*6+($AI59:$AL59="D+")*12+($AI59:$AL59="N+")*12+($AI59:$AL59="Dm+")*12+($AI59:$AL59="Dt+")*12+($AI59:$AL59="Tm-")*6+($AI59:$AL59="Mt-")*6)+SUMPRODUCT(($AN59:$AP59="M")*6+($AN59:$AP59="T")*6+($AN59:$AP59="D")*12+($AN59:$AP59="N")*12+($AN59:$AP59="NT")*6+($AN59:$AP59="C")*10+($AN59:$AP59="A")*8+($AN59:$AP59="J")*5+($AN59:$AP59="CEP")*4+($AN59:$AP59="CP")*6+($AN59:$AP59="CRO")*6+($AN59:$AP59="M+")*6+($AN59:$AP59="T+")*6+($AN59:$AP59="D+")*12+($AN59:$AP59="N+")*12+($AN59:$AP59="Dm+")*12+($AN59:$AP59="Dt+")*12+($AN59:$AP59="Tm-")*6+($AN59:$AP59="Mt-")*6)</f>
        <v/>
      </c>
      <c r="BC59" s="118">
        <f>BB59-MAX(0,IFERROR(INDEX(CADASTRO!$I$4:$I$80,MATCH($A59,CADASTRO!$A$4:$A$80,0)),$B59)-CONFIG!$B$50*(COUNTIF($AI59:$AL59,"AB")+COUNTIF($AI59:$AL59,"FE")+COUNTIF($AI59:$AL59,"LM")+COUNTIF($AN59:$AP59,"AB")+COUNTIF($AN59:$AP59,"FE")+COUNTIF($AN59:$AP59,"LM")))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ROUND(B59*4.29,0)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36">
        <f>IFERROR(INDEX(MAR!AL$8:AL$73,MATCH($A60,MAR!$A$8:$A$73,0))&amp;"","")</f>
        <v/>
      </c>
      <c r="H60" s="136">
        <f>IFERROR(INDEX(MAR!AM$8:AM$73,MATCH($A60,MAR!$A$8:$A$73,0))&amp;"","")</f>
        <v/>
      </c>
      <c r="I60" s="114" t="n"/>
      <c r="J60" s="115" t="inlineStr">
        <is>
          <t>M</t>
        </is>
      </c>
      <c r="K60" s="125" t="inlineStr">
        <is>
          <t>N</t>
        </is>
      </c>
      <c r="L60" s="114" t="n"/>
      <c r="M60" s="114" t="n"/>
      <c r="N60" s="114" t="n"/>
      <c r="O60" s="114" t="n"/>
      <c r="P60" s="114" t="n"/>
      <c r="Q60" s="114" t="n"/>
      <c r="R60" s="125" t="inlineStr">
        <is>
          <t>N</t>
        </is>
      </c>
      <c r="S60" s="114" t="n"/>
      <c r="T60" s="124" t="inlineStr">
        <is>
          <t>D</t>
        </is>
      </c>
      <c r="U60" s="114" t="n"/>
      <c r="V60" s="126" t="inlineStr">
        <is>
          <t>T</t>
        </is>
      </c>
      <c r="W60" s="126" t="inlineStr">
        <is>
          <t>T</t>
        </is>
      </c>
      <c r="X60" s="114" t="n"/>
      <c r="Y60" s="114" t="n"/>
      <c r="Z60" s="114" t="n"/>
      <c r="AA60" s="125" t="inlineStr">
        <is>
          <t>N</t>
        </is>
      </c>
      <c r="AB60" s="114" t="n"/>
      <c r="AC60" s="115" t="inlineStr">
        <is>
          <t>M</t>
        </is>
      </c>
      <c r="AD60" s="126" t="inlineStr">
        <is>
          <t>T</t>
        </is>
      </c>
      <c r="AE60" s="114" t="n"/>
      <c r="AF60" s="114" t="n"/>
      <c r="AG60" s="114" t="n"/>
      <c r="AH60" s="124" t="inlineStr">
        <is>
          <t>D</t>
        </is>
      </c>
      <c r="AI60" s="114" t="n"/>
      <c r="AJ60" s="114" t="n"/>
      <c r="AK60" s="114" t="n"/>
      <c r="AL60" s="114" t="n"/>
      <c r="AM60" s="100" t="n"/>
      <c r="AN60" s="136">
        <f>IFERROR(INDEX(MAI!I$8:I$73,MATCH($A60,MAI!$A$8:$A$73,0))&amp;"","")</f>
        <v/>
      </c>
      <c r="AO60" s="116">
        <f>IFERROR(INDEX(MAI!J$8:J$73,MATCH($A60,MAI!$A$8:$A$73,0))&amp;"","")</f>
        <v/>
      </c>
      <c r="AP60" s="116">
        <f>IFERROR(INDEX(MAI!K$8:K$73,MATCH($A60,MAI!$A$8:$A$73,0))&amp;"","")</f>
        <v/>
      </c>
      <c r="AQ60" s="100" t="n"/>
      <c r="AR60" s="100" t="n"/>
      <c r="AS60" s="100" t="n"/>
      <c r="AT60" s="117">
        <f>SUMPRODUCT(($G60:$M60="M")*6+($G60:$M60="T")*6+($G60:$M60="D")*12+($G60:$M60="N")*12+($G60:$M60="NT")*6+($G60:$M60="C")*10+($G60:$M60="A")*8+($G60:$M60="J")*5+($G60:$M60="CEP")*4+($G60:$M60="CP")*6+($G60:$M60="CRO")*6+($G60:$M60="M+")*6+($G60:$M60="T+")*6+($G60:$M60="D+")*12+($G60:$M60="N+")*12+($G60:$M60="Dm+")*12+($G60:$M60="Dt+")*12+($G60:$M60="Tm-")*6+($G60:$M60="Mt-")*6)</f>
        <v/>
      </c>
      <c r="AU60" s="118">
        <f>AT60-MAX(0,IFERROR(INDEX(CADASTRO!$I$4:$I$80,MATCH($A60,CADASTRO!$A$4:$A$80,0)),$B60)-CONFIG!$B$50*(COUNTIF($G60:$M60,"AB")+COUNTIF($G60:$M60,"FE")+COUNTIF($G60:$M60,"LM")))</f>
        <v/>
      </c>
      <c r="AV60" s="117">
        <f>SUMPRODUCT(($N60:$T60="M")*6+($N60:$T60="T")*6+($N60:$T60="D")*12+($N60:$T60="N")*12+($N60:$T60="NT")*6+($N60:$T60="C")*10+($N60:$T60="A")*8+($N60:$T60="J")*5+($N60:$T60="CEP")*4+($N60:$T60="CP")*6+($N60:$T60="CRO")*6+($N60:$T60="M+")*6+($N60:$T60="T+")*6+($N60:$T60="D+")*12+($N60:$T60="N+")*12+($N60:$T60="Dm+")*12+($N60:$T60="Dt+")*12+($N60:$T60="Tm-")*6+($N60:$T60="Mt-")*6)</f>
        <v/>
      </c>
      <c r="AW60" s="118">
        <f>AV60-MAX(0,IFERROR(INDEX(CADASTRO!$I$4:$I$80,MATCH($A60,CADASTRO!$A$4:$A$80,0)),$B60)-CONFIG!$B$50*(COUNTIF($N60:$T60,"AB")+COUNTIF($N60:$T60,"FE")+COUNTIF($N60:$T60,"LM")))</f>
        <v/>
      </c>
      <c r="AX60" s="117">
        <f>SUMPRODUCT(($U60:$AA60="M")*6+($U60:$AA60="T")*6+($U60:$AA60="D")*12+($U60:$AA60="N")*12+($U60:$AA60="NT")*6+($U60:$AA60="C")*10+($U60:$AA60="A")*8+($U60:$AA60="J")*5+($U60:$AA60="CEP")*4+($U60:$AA60="CP")*6+($U60:$AA60="CRO")*6+($U60:$AA60="M+")*6+($U60:$AA60="T+")*6+($U60:$AA60="D+")*12+($U60:$AA60="N+")*12+($U60:$AA60="Dm+")*12+($U60:$AA60="Dt+")*12+($U60:$AA60="Tm-")*6+($U60:$AA60="Mt-")*6)</f>
        <v/>
      </c>
      <c r="AY60" s="118">
        <f>AX60-MAX(0,IFERROR(INDEX(CADASTRO!$I$4:$I$80,MATCH($A60,CADASTRO!$A$4:$A$80,0)),$B60)-CONFIG!$B$50*(COUNTIF($U60:$AA60,"AB")+COUNTIF($U60:$AA60,"FE")+COUNTIF($U60:$AA60,"LM")))</f>
        <v/>
      </c>
      <c r="AZ60" s="117">
        <f>SUMPRODUCT(($AB60:$AH60="M")*6+($AB60:$AH60="T")*6+($AB60:$AH60="D")*12+($AB60:$AH60="N")*12+($AB60:$AH60="NT")*6+($AB60:$AH60="C")*10+($AB60:$AH60="A")*8+($AB60:$AH60="J")*5+($AB60:$AH60="CEP")*4+($AB60:$AH60="CP")*6+($AB60:$AH60="CRO")*6+($AB60:$AH60="M+")*6+($AB60:$AH60="T+")*6+($AB60:$AH60="D+")*12+($AB60:$AH60="N+")*12+($AB60:$AH60="Dm+")*12+($AB60:$AH60="Dt+")*12+($AB60:$AH60="Tm-")*6+($AB60:$AH60="Mt-")*6)</f>
        <v/>
      </c>
      <c r="BA60" s="118">
        <f>AZ60-MAX(0,IFERROR(INDEX(CADASTRO!$I$4:$I$80,MATCH($A60,CADASTRO!$A$4:$A$80,0)),$B60)-CONFIG!$B$50*(COUNTIF($AB60:$AH60,"AB")+COUNTIF($AB60:$AH60,"FE")+COUNTIF($AB60:$AH60,"LM")))</f>
        <v/>
      </c>
      <c r="BB60" s="117">
        <f>SUMPRODUCT(($AI60:$AL60="M")*6+($AI60:$AL60="T")*6+($AI60:$AL60="D")*12+($AI60:$AL60="N")*12+($AI60:$AL60="NT")*6+($AI60:$AL60="C")*10+($AI60:$AL60="A")*8+($AI60:$AL60="J")*5+($AI60:$AL60="CEP")*4+($AI60:$AL60="CP")*6+($AI60:$AL60="CRO")*6+($AI60:$AL60="M+")*6+($AI60:$AL60="T+")*6+($AI60:$AL60="D+")*12+($AI60:$AL60="N+")*12+($AI60:$AL60="Dm+")*12+($AI60:$AL60="Dt+")*12+($AI60:$AL60="Tm-")*6+($AI60:$AL60="Mt-")*6)+SUMPRODUCT(($AN60:$AP60="M")*6+($AN60:$AP60="T")*6+($AN60:$AP60="D")*12+($AN60:$AP60="N")*12+($AN60:$AP60="NT")*6+($AN60:$AP60="C")*10+($AN60:$AP60="A")*8+($AN60:$AP60="J")*5+($AN60:$AP60="CEP")*4+($AN60:$AP60="CP")*6+($AN60:$AP60="CRO")*6+($AN60:$AP60="M+")*6+($AN60:$AP60="T+")*6+($AN60:$AP60="D+")*12+($AN60:$AP60="N+")*12+($AN60:$AP60="Dm+")*12+($AN60:$AP60="Dt+")*12+($AN60:$AP60="Tm-")*6+($AN60:$AP60="Mt-")*6)</f>
        <v/>
      </c>
      <c r="BC60" s="118">
        <f>BB60-MAX(0,IFERROR(INDEX(CADASTRO!$I$4:$I$80,MATCH($A60,CADASTRO!$A$4:$A$80,0)),$B60)-CONFIG!$B$50*(COUNTIF($AI60:$AL60,"AB")+COUNTIF($AI60:$AL60,"FE")+COUNTIF($AI60:$AL60,"LM")+COUNTIF($AN60:$AP60,"AB")+COUNTIF($AN60:$AP60,"FE")+COUNTIF($AN60:$AP60,"LM")))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ROUND(B60*4.29,0)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36">
        <f>IFERROR(INDEX(MAR!AL$8:AL$73,MATCH($A61,MAR!$A$8:$A$73,0))&amp;"","")</f>
        <v/>
      </c>
      <c r="H61" s="136">
        <f>IFERROR(INDEX(MAR!AM$8:AM$73,MATCH($A61,MAR!$A$8:$A$73,0))&amp;"","")</f>
        <v/>
      </c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14" t="n"/>
      <c r="AM61" s="100" t="n"/>
      <c r="AN61" s="136">
        <f>IFERROR(INDEX(MAI!I$8:I$73,MATCH($A61,MAI!$A$8:$A$73,0))&amp;"","")</f>
        <v/>
      </c>
      <c r="AO61" s="116">
        <f>IFERROR(INDEX(MAI!J$8:J$73,MATCH($A61,MAI!$A$8:$A$73,0))&amp;"","")</f>
        <v/>
      </c>
      <c r="AP61" s="116">
        <f>IFERROR(INDEX(MAI!K$8:K$73,MATCH($A61,MAI!$A$8:$A$73,0))&amp;"","")</f>
        <v/>
      </c>
      <c r="AQ61" s="100" t="n"/>
      <c r="AR61" s="100" t="n"/>
      <c r="AS61" s="100" t="n"/>
      <c r="AT61" s="117">
        <f>SUMPRODUCT(($G61:$M61="M")*6+($G61:$M61="T")*6+($G61:$M61="D")*12+($G61:$M61="N")*12+($G61:$M61="NT")*6+($G61:$M61="C")*10+($G61:$M61="A")*8+($G61:$M61="J")*5+($G61:$M61="CEP")*4+($G61:$M61="CP")*6+($G61:$M61="CRO")*6+($G61:$M61="M+")*6+($G61:$M61="T+")*6+($G61:$M61="D+")*12+($G61:$M61="N+")*12+($G61:$M61="Dm+")*12+($G61:$M61="Dt+")*12+($G61:$M61="Tm-")*6+($G61:$M61="Mt-")*6)</f>
        <v/>
      </c>
      <c r="AU61" s="118">
        <f>AT61-MAX(0,IFERROR(INDEX(CADASTRO!$I$4:$I$80,MATCH($A61,CADASTRO!$A$4:$A$80,0)),$B61)-CONFIG!$B$50*(COUNTIF($G61:$M61,"AB")+COUNTIF($G61:$M61,"FE")+COUNTIF($G61:$M61,"LM")))</f>
        <v/>
      </c>
      <c r="AV61" s="117">
        <f>SUMPRODUCT(($N61:$T61="M")*6+($N61:$T61="T")*6+($N61:$T61="D")*12+($N61:$T61="N")*12+($N61:$T61="NT")*6+($N61:$T61="C")*10+($N61:$T61="A")*8+($N61:$T61="J")*5+($N61:$T61="CEP")*4+($N61:$T61="CP")*6+($N61:$T61="CRO")*6+($N61:$T61="M+")*6+($N61:$T61="T+")*6+($N61:$T61="D+")*12+($N61:$T61="N+")*12+($N61:$T61="Dm+")*12+($N61:$T61="Dt+")*12+($N61:$T61="Tm-")*6+($N61:$T61="Mt-")*6)</f>
        <v/>
      </c>
      <c r="AW61" s="118">
        <f>AV61-MAX(0,IFERROR(INDEX(CADASTRO!$I$4:$I$80,MATCH($A61,CADASTRO!$A$4:$A$80,0)),$B61)-CONFIG!$B$50*(COUNTIF($N61:$T61,"AB")+COUNTIF($N61:$T61,"FE")+COUNTIF($N61:$T61,"LM")))</f>
        <v/>
      </c>
      <c r="AX61" s="117">
        <f>SUMPRODUCT(($U61:$AA61="M")*6+($U61:$AA61="T")*6+($U61:$AA61="D")*12+($U61:$AA61="N")*12+($U61:$AA61="NT")*6+($U61:$AA61="C")*10+($U61:$AA61="A")*8+($U61:$AA61="J")*5+($U61:$AA61="CEP")*4+($U61:$AA61="CP")*6+($U61:$AA61="CRO")*6+($U61:$AA61="M+")*6+($U61:$AA61="T+")*6+($U61:$AA61="D+")*12+($U61:$AA61="N+")*12+($U61:$AA61="Dm+")*12+($U61:$AA61="Dt+")*12+($U61:$AA61="Tm-")*6+($U61:$AA61="Mt-")*6)</f>
        <v/>
      </c>
      <c r="AY61" s="118">
        <f>AX61-MAX(0,IFERROR(INDEX(CADASTRO!$I$4:$I$80,MATCH($A61,CADASTRO!$A$4:$A$80,0)),$B61)-CONFIG!$B$50*(COUNTIF($U61:$AA61,"AB")+COUNTIF($U61:$AA61,"FE")+COUNTIF($U61:$AA61,"LM")))</f>
        <v/>
      </c>
      <c r="AZ61" s="117">
        <f>SUMPRODUCT(($AB61:$AH61="M")*6+($AB61:$AH61="T")*6+($AB61:$AH61="D")*12+($AB61:$AH61="N")*12+($AB61:$AH61="NT")*6+($AB61:$AH61="C")*10+($AB61:$AH61="A")*8+($AB61:$AH61="J")*5+($AB61:$AH61="CEP")*4+($AB61:$AH61="CP")*6+($AB61:$AH61="CRO")*6+($AB61:$AH61="M+")*6+($AB61:$AH61="T+")*6+($AB61:$AH61="D+")*12+($AB61:$AH61="N+")*12+($AB61:$AH61="Dm+")*12+($AB61:$AH61="Dt+")*12+($AB61:$AH61="Tm-")*6+($AB61:$AH61="Mt-")*6)</f>
        <v/>
      </c>
      <c r="BA61" s="118">
        <f>AZ61-MAX(0,IFERROR(INDEX(CADASTRO!$I$4:$I$80,MATCH($A61,CADASTRO!$A$4:$A$80,0)),$B61)-CONFIG!$B$50*(COUNTIF($AB61:$AH61,"AB")+COUNTIF($AB61:$AH61,"FE")+COUNTIF($AB61:$AH61,"LM")))</f>
        <v/>
      </c>
      <c r="BB61" s="117">
        <f>SUMPRODUCT(($AI61:$AL61="M")*6+($AI61:$AL61="T")*6+($AI61:$AL61="D")*12+($AI61:$AL61="N")*12+($AI61:$AL61="NT")*6+($AI61:$AL61="C")*10+($AI61:$AL61="A")*8+($AI61:$AL61="J")*5+($AI61:$AL61="CEP")*4+($AI61:$AL61="CP")*6+($AI61:$AL61="CRO")*6+($AI61:$AL61="M+")*6+($AI61:$AL61="T+")*6+($AI61:$AL61="D+")*12+($AI61:$AL61="N+")*12+($AI61:$AL61="Dm+")*12+($AI61:$AL61="Dt+")*12+($AI61:$AL61="Tm-")*6+($AI61:$AL61="Mt-")*6)+SUMPRODUCT(($AN61:$AP61="M")*6+($AN61:$AP61="T")*6+($AN61:$AP61="D")*12+($AN61:$AP61="N")*12+($AN61:$AP61="NT")*6+($AN61:$AP61="C")*10+($AN61:$AP61="A")*8+($AN61:$AP61="J")*5+($AN61:$AP61="CEP")*4+($AN61:$AP61="CP")*6+($AN61:$AP61="CRO")*6+($AN61:$AP61="M+")*6+($AN61:$AP61="T+")*6+($AN61:$AP61="D+")*12+($AN61:$AP61="N+")*12+($AN61:$AP61="Dm+")*12+($AN61:$AP61="Dt+")*12+($AN61:$AP61="Tm-")*6+($AN61:$AP61="Mt-")*6)</f>
        <v/>
      </c>
      <c r="BC61" s="118">
        <f>BB61-MAX(0,IFERROR(INDEX(CADASTRO!$I$4:$I$80,MATCH($A61,CADASTRO!$A$4:$A$80,0)),$B61)-CONFIG!$B$50*(COUNTIF($AI61:$AL61,"AB")+COUNTIF($AI61:$AL61,"FE")+COUNTIF($AI61:$AL61,"LM")+COUNTIF($AN61:$AP61,"AB")+COUNTIF($AN61:$AP61,"FE")+COUNTIF($AN61:$AP61,"LM")))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ROUND(B61*4.29,0)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36">
        <f>IFERROR(INDEX(MAR!AL$8:AL$73,MATCH($A62,MAR!$A$8:$A$73,0))&amp;"","")</f>
        <v/>
      </c>
      <c r="H62" s="136">
        <f>IFERROR(INDEX(MAR!AM$8:AM$73,MATCH($A62,MAR!$A$8:$A$73,0))&amp;"","")</f>
        <v/>
      </c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26" t="inlineStr">
        <is>
          <t>T</t>
        </is>
      </c>
      <c r="Y62" s="114" t="n"/>
      <c r="Z62" s="124" t="inlineStr">
        <is>
          <t>D</t>
        </is>
      </c>
      <c r="AA62" s="114" t="n"/>
      <c r="AB62" s="124" t="inlineStr">
        <is>
          <t>D</t>
        </is>
      </c>
      <c r="AC62" s="125" t="inlineStr">
        <is>
          <t>N</t>
        </is>
      </c>
      <c r="AD62" s="114" t="n"/>
      <c r="AE62" s="114" t="n"/>
      <c r="AF62" s="114" t="n"/>
      <c r="AG62" s="114" t="n"/>
      <c r="AH62" s="114" t="n"/>
      <c r="AI62" s="114" t="n"/>
      <c r="AJ62" s="114" t="n"/>
      <c r="AK62" s="114" t="n"/>
      <c r="AL62" s="124" t="inlineStr">
        <is>
          <t>D</t>
        </is>
      </c>
      <c r="AM62" s="100" t="n"/>
      <c r="AN62" s="136">
        <f>IFERROR(INDEX(MAI!I$8:I$73,MATCH($A62,MAI!$A$8:$A$73,0))&amp;"","")</f>
        <v/>
      </c>
      <c r="AO62" s="116">
        <f>IFERROR(INDEX(MAI!J$8:J$73,MATCH($A62,MAI!$A$8:$A$73,0))&amp;"","")</f>
        <v/>
      </c>
      <c r="AP62" s="116">
        <f>IFERROR(INDEX(MAI!K$8:K$73,MATCH($A62,MAI!$A$8:$A$73,0))&amp;"","")</f>
        <v/>
      </c>
      <c r="AQ62" s="100" t="n"/>
      <c r="AR62" s="100" t="n"/>
      <c r="AS62" s="100" t="n"/>
      <c r="AT62" s="117">
        <f>SUMPRODUCT(($G62:$M62="M")*6+($G62:$M62="T")*6+($G62:$M62="D")*12+($G62:$M62="N")*12+($G62:$M62="NT")*6+($G62:$M62="C")*10+($G62:$M62="A")*8+($G62:$M62="J")*5+($G62:$M62="CEP")*4+($G62:$M62="CP")*6+($G62:$M62="CRO")*6+($G62:$M62="M+")*6+($G62:$M62="T+")*6+($G62:$M62="D+")*12+($G62:$M62="N+")*12+($G62:$M62="Dm+")*12+($G62:$M62="Dt+")*12+($G62:$M62="Tm-")*6+($G62:$M62="Mt-")*6)</f>
        <v/>
      </c>
      <c r="AU62" s="118">
        <f>AT62-MAX(0,IFERROR(INDEX(CADASTRO!$I$4:$I$80,MATCH($A62,CADASTRO!$A$4:$A$80,0)),$B62)-CONFIG!$B$50*(COUNTIF($G62:$M62,"AB")+COUNTIF($G62:$M62,"FE")+COUNTIF($G62:$M62,"LM")))</f>
        <v/>
      </c>
      <c r="AV62" s="117">
        <f>SUMPRODUCT(($N62:$T62="M")*6+($N62:$T62="T")*6+($N62:$T62="D")*12+($N62:$T62="N")*12+($N62:$T62="NT")*6+($N62:$T62="C")*10+($N62:$T62="A")*8+($N62:$T62="J")*5+($N62:$T62="CEP")*4+($N62:$T62="CP")*6+($N62:$T62="CRO")*6+($N62:$T62="M+")*6+($N62:$T62="T+")*6+($N62:$T62="D+")*12+($N62:$T62="N+")*12+($N62:$T62="Dm+")*12+($N62:$T62="Dt+")*12+($N62:$T62="Tm-")*6+($N62:$T62="Mt-")*6)</f>
        <v/>
      </c>
      <c r="AW62" s="118">
        <f>AV62-MAX(0,IFERROR(INDEX(CADASTRO!$I$4:$I$80,MATCH($A62,CADASTRO!$A$4:$A$80,0)),$B62)-CONFIG!$B$50*(COUNTIF($N62:$T62,"AB")+COUNTIF($N62:$T62,"FE")+COUNTIF($N62:$T62,"LM")))</f>
        <v/>
      </c>
      <c r="AX62" s="117">
        <f>SUMPRODUCT(($U62:$AA62="M")*6+($U62:$AA62="T")*6+($U62:$AA62="D")*12+($U62:$AA62="N")*12+($U62:$AA62="NT")*6+($U62:$AA62="C")*10+($U62:$AA62="A")*8+($U62:$AA62="J")*5+($U62:$AA62="CEP")*4+($U62:$AA62="CP")*6+($U62:$AA62="CRO")*6+($U62:$AA62="M+")*6+($U62:$AA62="T+")*6+($U62:$AA62="D+")*12+($U62:$AA62="N+")*12+($U62:$AA62="Dm+")*12+($U62:$AA62="Dt+")*12+($U62:$AA62="Tm-")*6+($U62:$AA62="Mt-")*6)</f>
        <v/>
      </c>
      <c r="AY62" s="118">
        <f>AX62-MAX(0,IFERROR(INDEX(CADASTRO!$I$4:$I$80,MATCH($A62,CADASTRO!$A$4:$A$80,0)),$B62)-CONFIG!$B$50*(COUNTIF($U62:$AA62,"AB")+COUNTIF($U62:$AA62,"FE")+COUNTIF($U62:$AA62,"LM")))</f>
        <v/>
      </c>
      <c r="AZ62" s="117">
        <f>SUMPRODUCT(($AB62:$AH62="M")*6+($AB62:$AH62="T")*6+($AB62:$AH62="D")*12+($AB62:$AH62="N")*12+($AB62:$AH62="NT")*6+($AB62:$AH62="C")*10+($AB62:$AH62="A")*8+($AB62:$AH62="J")*5+($AB62:$AH62="CEP")*4+($AB62:$AH62="CP")*6+($AB62:$AH62="CRO")*6+($AB62:$AH62="M+")*6+($AB62:$AH62="T+")*6+($AB62:$AH62="D+")*12+($AB62:$AH62="N+")*12+($AB62:$AH62="Dm+")*12+($AB62:$AH62="Dt+")*12+($AB62:$AH62="Tm-")*6+($AB62:$AH62="Mt-")*6)</f>
        <v/>
      </c>
      <c r="BA62" s="118">
        <f>AZ62-MAX(0,IFERROR(INDEX(CADASTRO!$I$4:$I$80,MATCH($A62,CADASTRO!$A$4:$A$80,0)),$B62)-CONFIG!$B$50*(COUNTIF($AB62:$AH62,"AB")+COUNTIF($AB62:$AH62,"FE")+COUNTIF($AB62:$AH62,"LM")))</f>
        <v/>
      </c>
      <c r="BB62" s="117">
        <f>SUMPRODUCT(($AI62:$AL62="M")*6+($AI62:$AL62="T")*6+($AI62:$AL62="D")*12+($AI62:$AL62="N")*12+($AI62:$AL62="NT")*6+($AI62:$AL62="C")*10+($AI62:$AL62="A")*8+($AI62:$AL62="J")*5+($AI62:$AL62="CEP")*4+($AI62:$AL62="CP")*6+($AI62:$AL62="CRO")*6+($AI62:$AL62="M+")*6+($AI62:$AL62="T+")*6+($AI62:$AL62="D+")*12+($AI62:$AL62="N+")*12+($AI62:$AL62="Dm+")*12+($AI62:$AL62="Dt+")*12+($AI62:$AL62="Tm-")*6+($AI62:$AL62="Mt-")*6)+SUMPRODUCT(($AN62:$AP62="M")*6+($AN62:$AP62="T")*6+($AN62:$AP62="D")*12+($AN62:$AP62="N")*12+($AN62:$AP62="NT")*6+($AN62:$AP62="C")*10+($AN62:$AP62="A")*8+($AN62:$AP62="J")*5+($AN62:$AP62="CEP")*4+($AN62:$AP62="CP")*6+($AN62:$AP62="CRO")*6+($AN62:$AP62="M+")*6+($AN62:$AP62="T+")*6+($AN62:$AP62="D+")*12+($AN62:$AP62="N+")*12+($AN62:$AP62="Dm+")*12+($AN62:$AP62="Dt+")*12+($AN62:$AP62="Tm-")*6+($AN62:$AP62="Mt-")*6)</f>
        <v/>
      </c>
      <c r="BC62" s="118">
        <f>BB62-MAX(0,IFERROR(INDEX(CADASTRO!$I$4:$I$80,MATCH($A62,CADASTRO!$A$4:$A$80,0)),$B62)-CONFIG!$B$50*(COUNTIF($AI62:$AL62,"AB")+COUNTIF($AI62:$AL62,"FE")+COUNTIF($AI62:$AL62,"LM")+COUNTIF($AN62:$AP62,"AB")+COUNTIF($AN62:$AP62,"FE")+COUNTIF($AN62:$AP62,"LM")))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ROUND(B62*4.29,0)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36">
        <f>IFERROR(INDEX(MAR!AL$8:AL$73,MATCH($A63,MAR!$A$8:$A$73,0))&amp;"","")</f>
        <v/>
      </c>
      <c r="H63" s="136">
        <f>IFERROR(INDEX(MAR!AM$8:AM$73,MATCH($A63,MAR!$A$8:$A$73,0))&amp;"","")</f>
        <v/>
      </c>
      <c r="I63" s="114" t="n"/>
      <c r="J63" s="124" t="inlineStr">
        <is>
          <t>D</t>
        </is>
      </c>
      <c r="K63" s="114" t="n"/>
      <c r="L63" s="124" t="inlineStr">
        <is>
          <t>D</t>
        </is>
      </c>
      <c r="M63" s="114" t="n"/>
      <c r="N63" s="114" t="n"/>
      <c r="O63" s="114" t="n"/>
      <c r="P63" s="124" t="inlineStr">
        <is>
          <t>D</t>
        </is>
      </c>
      <c r="Q63" s="124" t="inlineStr">
        <is>
          <t>D</t>
        </is>
      </c>
      <c r="R63" s="114" t="n"/>
      <c r="S63" s="114" t="n"/>
      <c r="T63" s="114" t="n"/>
      <c r="U63" s="114" t="n"/>
      <c r="V63" s="114" t="n"/>
      <c r="W63" s="114" t="n"/>
      <c r="X63" s="124" t="inlineStr">
        <is>
          <t>D</t>
        </is>
      </c>
      <c r="Y63" s="114" t="n"/>
      <c r="Z63" s="124" t="inlineStr">
        <is>
          <t>D</t>
        </is>
      </c>
      <c r="AA63" s="114" t="n"/>
      <c r="AB63" s="114" t="n"/>
      <c r="AC63" s="114" t="n"/>
      <c r="AD63" s="124" t="inlineStr">
        <is>
          <t>D</t>
        </is>
      </c>
      <c r="AE63" s="124" t="inlineStr">
        <is>
          <t>D</t>
        </is>
      </c>
      <c r="AF63" s="114" t="n"/>
      <c r="AG63" s="114" t="n"/>
      <c r="AH63" s="114" t="n"/>
      <c r="AI63" s="114" t="n"/>
      <c r="AJ63" s="114" t="n"/>
      <c r="AK63" s="124" t="inlineStr">
        <is>
          <t>D</t>
        </is>
      </c>
      <c r="AL63" s="114" t="n"/>
      <c r="AM63" s="100" t="n"/>
      <c r="AN63" s="136">
        <f>IFERROR(INDEX(MAI!I$8:I$73,MATCH($A63,MAI!$A$8:$A$73,0))&amp;"","")</f>
        <v/>
      </c>
      <c r="AO63" s="116">
        <f>IFERROR(INDEX(MAI!J$8:J$73,MATCH($A63,MAI!$A$8:$A$73,0))&amp;"","")</f>
        <v/>
      </c>
      <c r="AP63" s="116">
        <f>IFERROR(INDEX(MAI!K$8:K$73,MATCH($A63,MAI!$A$8:$A$73,0))&amp;"","")</f>
        <v/>
      </c>
      <c r="AQ63" s="100" t="n"/>
      <c r="AR63" s="100" t="n"/>
      <c r="AS63" s="100" t="n"/>
      <c r="AT63" s="117">
        <f>SUMPRODUCT(($G63:$M63="M")*6+($G63:$M63="T")*6+($G63:$M63="D")*12+($G63:$M63="N")*12+($G63:$M63="NT")*6+($G63:$M63="C")*10+($G63:$M63="A")*8+($G63:$M63="J")*5+($G63:$M63="CEP")*4+($G63:$M63="CP")*6+($G63:$M63="CRO")*6+($G63:$M63="M+")*6+($G63:$M63="T+")*6+($G63:$M63="D+")*12+($G63:$M63="N+")*12+($G63:$M63="Dm+")*12+($G63:$M63="Dt+")*12+($G63:$M63="Tm-")*6+($G63:$M63="Mt-")*6)</f>
        <v/>
      </c>
      <c r="AU63" s="118">
        <f>AT63-MAX(0,IFERROR(INDEX(CADASTRO!$I$4:$I$80,MATCH($A63,CADASTRO!$A$4:$A$80,0)),$B63)-CONFIG!$B$50*(COUNTIF($G63:$M63,"AB")+COUNTIF($G63:$M63,"FE")+COUNTIF($G63:$M63,"LM")))</f>
        <v/>
      </c>
      <c r="AV63" s="117">
        <f>SUMPRODUCT(($N63:$T63="M")*6+($N63:$T63="T")*6+($N63:$T63="D")*12+($N63:$T63="N")*12+($N63:$T63="NT")*6+($N63:$T63="C")*10+($N63:$T63="A")*8+($N63:$T63="J")*5+($N63:$T63="CEP")*4+($N63:$T63="CP")*6+($N63:$T63="CRO")*6+($N63:$T63="M+")*6+($N63:$T63="T+")*6+($N63:$T63="D+")*12+($N63:$T63="N+")*12+($N63:$T63="Dm+")*12+($N63:$T63="Dt+")*12+($N63:$T63="Tm-")*6+($N63:$T63="Mt-")*6)</f>
        <v/>
      </c>
      <c r="AW63" s="118">
        <f>AV63-MAX(0,IFERROR(INDEX(CADASTRO!$I$4:$I$80,MATCH($A63,CADASTRO!$A$4:$A$80,0)),$B63)-CONFIG!$B$50*(COUNTIF($N63:$T63,"AB")+COUNTIF($N63:$T63,"FE")+COUNTIF($N63:$T63,"LM")))</f>
        <v/>
      </c>
      <c r="AX63" s="117">
        <f>SUMPRODUCT(($U63:$AA63="M")*6+($U63:$AA63="T")*6+($U63:$AA63="D")*12+($U63:$AA63="N")*12+($U63:$AA63="NT")*6+($U63:$AA63="C")*10+($U63:$AA63="A")*8+($U63:$AA63="J")*5+($U63:$AA63="CEP")*4+($U63:$AA63="CP")*6+($U63:$AA63="CRO")*6+($U63:$AA63="M+")*6+($U63:$AA63="T+")*6+($U63:$AA63="D+")*12+($U63:$AA63="N+")*12+($U63:$AA63="Dm+")*12+($U63:$AA63="Dt+")*12+($U63:$AA63="Tm-")*6+($U63:$AA63="Mt-")*6)</f>
        <v/>
      </c>
      <c r="AY63" s="118">
        <f>AX63-MAX(0,IFERROR(INDEX(CADASTRO!$I$4:$I$80,MATCH($A63,CADASTRO!$A$4:$A$80,0)),$B63)-CONFIG!$B$50*(COUNTIF($U63:$AA63,"AB")+COUNTIF($U63:$AA63,"FE")+COUNTIF($U63:$AA63,"LM")))</f>
        <v/>
      </c>
      <c r="AZ63" s="117">
        <f>SUMPRODUCT(($AB63:$AH63="M")*6+($AB63:$AH63="T")*6+($AB63:$AH63="D")*12+($AB63:$AH63="N")*12+($AB63:$AH63="NT")*6+($AB63:$AH63="C")*10+($AB63:$AH63="A")*8+($AB63:$AH63="J")*5+($AB63:$AH63="CEP")*4+($AB63:$AH63="CP")*6+($AB63:$AH63="CRO")*6+($AB63:$AH63="M+")*6+($AB63:$AH63="T+")*6+($AB63:$AH63="D+")*12+($AB63:$AH63="N+")*12+($AB63:$AH63="Dm+")*12+($AB63:$AH63="Dt+")*12+($AB63:$AH63="Tm-")*6+($AB63:$AH63="Mt-")*6)</f>
        <v/>
      </c>
      <c r="BA63" s="118">
        <f>AZ63-MAX(0,IFERROR(INDEX(CADASTRO!$I$4:$I$80,MATCH($A63,CADASTRO!$A$4:$A$80,0)),$B63)-CONFIG!$B$50*(COUNTIF($AB63:$AH63,"AB")+COUNTIF($AB63:$AH63,"FE")+COUNTIF($AB63:$AH63,"LM")))</f>
        <v/>
      </c>
      <c r="BB63" s="117">
        <f>SUMPRODUCT(($AI63:$AL63="M")*6+($AI63:$AL63="T")*6+($AI63:$AL63="D")*12+($AI63:$AL63="N")*12+($AI63:$AL63="NT")*6+($AI63:$AL63="C")*10+($AI63:$AL63="A")*8+($AI63:$AL63="J")*5+($AI63:$AL63="CEP")*4+($AI63:$AL63="CP")*6+($AI63:$AL63="CRO")*6+($AI63:$AL63="M+")*6+($AI63:$AL63="T+")*6+($AI63:$AL63="D+")*12+($AI63:$AL63="N+")*12+($AI63:$AL63="Dm+")*12+($AI63:$AL63="Dt+")*12+($AI63:$AL63="Tm-")*6+($AI63:$AL63="Mt-")*6)+SUMPRODUCT(($AN63:$AP63="M")*6+($AN63:$AP63="T")*6+($AN63:$AP63="D")*12+($AN63:$AP63="N")*12+($AN63:$AP63="NT")*6+($AN63:$AP63="C")*10+($AN63:$AP63="A")*8+($AN63:$AP63="J")*5+($AN63:$AP63="CEP")*4+($AN63:$AP63="CP")*6+($AN63:$AP63="CRO")*6+($AN63:$AP63="M+")*6+($AN63:$AP63="T+")*6+($AN63:$AP63="D+")*12+($AN63:$AP63="N+")*12+($AN63:$AP63="Dm+")*12+($AN63:$AP63="Dt+")*12+($AN63:$AP63="Tm-")*6+($AN63:$AP63="Mt-")*6)</f>
        <v/>
      </c>
      <c r="BC63" s="118">
        <f>BB63-MAX(0,IFERROR(INDEX(CADASTRO!$I$4:$I$80,MATCH($A63,CADASTRO!$A$4:$A$80,0)),$B63)-CONFIG!$B$50*(COUNTIF($AI63:$AL63,"AB")+COUNTIF($AI63:$AL63,"FE")+COUNTIF($AI63:$AL63,"LM")+COUNTIF($AN63:$AP63,"AB")+COUNTIF($AN63:$AP63,"FE")+COUNTIF($AN63:$AP63,"LM")))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ROUND(B63*4.29,0)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36">
        <f>IFERROR(INDEX(MAR!AL$8:AL$73,MATCH($A64,MAR!$A$8:$A$73,0))&amp;"","")</f>
        <v/>
      </c>
      <c r="H64" s="136">
        <f>IFERROR(INDEX(MAR!AM$8:AM$73,MATCH($A64,MAR!$A$8:$A$73,0))&amp;"","")</f>
        <v/>
      </c>
      <c r="I64" s="125" t="inlineStr">
        <is>
          <t>N</t>
        </is>
      </c>
      <c r="J64" s="114" t="n"/>
      <c r="K64" s="114" t="n"/>
      <c r="L64" s="125" t="inlineStr">
        <is>
          <t>N</t>
        </is>
      </c>
      <c r="M64" s="125" t="inlineStr">
        <is>
          <t>N</t>
        </is>
      </c>
      <c r="N64" s="114" t="n"/>
      <c r="O64" s="114" t="n"/>
      <c r="P64" s="125" t="inlineStr">
        <is>
          <t>N</t>
        </is>
      </c>
      <c r="Q64" s="114" t="n"/>
      <c r="R64" s="125" t="inlineStr">
        <is>
          <t>N</t>
        </is>
      </c>
      <c r="S64" s="114" t="n"/>
      <c r="T64" s="114" t="n"/>
      <c r="U64" s="125" t="inlineStr">
        <is>
          <t>N</t>
        </is>
      </c>
      <c r="V64" s="114" t="n"/>
      <c r="W64" s="125" t="inlineStr">
        <is>
          <t>N</t>
        </is>
      </c>
      <c r="X64" s="114" t="n"/>
      <c r="Y64" s="114" t="n"/>
      <c r="Z64" s="114" t="n"/>
      <c r="AA64" s="114" t="n"/>
      <c r="AB64" s="125" t="inlineStr">
        <is>
          <t>N</t>
        </is>
      </c>
      <c r="AC64" s="114" t="n"/>
      <c r="AD64" s="125" t="inlineStr">
        <is>
          <t>N</t>
        </is>
      </c>
      <c r="AE64" s="114" t="n"/>
      <c r="AF64" s="114" t="n"/>
      <c r="AG64" s="114" t="n"/>
      <c r="AH64" s="114" t="n"/>
      <c r="AI64" s="125" t="inlineStr">
        <is>
          <t>N</t>
        </is>
      </c>
      <c r="AJ64" s="114" t="n"/>
      <c r="AK64" s="125" t="inlineStr">
        <is>
          <t>N</t>
        </is>
      </c>
      <c r="AL64" s="114" t="n"/>
      <c r="AM64" s="100" t="n"/>
      <c r="AN64" s="136">
        <f>IFERROR(INDEX(MAI!I$8:I$73,MATCH($A64,MAI!$A$8:$A$73,0))&amp;"","")</f>
        <v/>
      </c>
      <c r="AO64" s="116">
        <f>IFERROR(INDEX(MAI!J$8:J$73,MATCH($A64,MAI!$A$8:$A$73,0))&amp;"","")</f>
        <v/>
      </c>
      <c r="AP64" s="116">
        <f>IFERROR(INDEX(MAI!K$8:K$73,MATCH($A64,MAI!$A$8:$A$73,0))&amp;"","")</f>
        <v/>
      </c>
      <c r="AQ64" s="100" t="n"/>
      <c r="AR64" s="100" t="n"/>
      <c r="AS64" s="100" t="n"/>
      <c r="AT64" s="117">
        <f>SUMPRODUCT(($G64:$M64="M")*6+($G64:$M64="T")*6+($G64:$M64="D")*12+($G64:$M64="N")*12+($G64:$M64="NT")*6+($G64:$M64="C")*10+($G64:$M64="A")*8+($G64:$M64="J")*5+($G64:$M64="CEP")*4+($G64:$M64="CP")*6+($G64:$M64="CRO")*6+($G64:$M64="M+")*6+($G64:$M64="T+")*6+($G64:$M64="D+")*12+($G64:$M64="N+")*12+($G64:$M64="Dm+")*12+($G64:$M64="Dt+")*12+($G64:$M64="Tm-")*6+($G64:$M64="Mt-")*6)</f>
        <v/>
      </c>
      <c r="AU64" s="118">
        <f>AT64-MAX(0,IFERROR(INDEX(CADASTRO!$I$4:$I$80,MATCH($A64,CADASTRO!$A$4:$A$80,0)),$B64)-CONFIG!$B$50*(COUNTIF($G64:$M64,"AB")+COUNTIF($G64:$M64,"FE")+COUNTIF($G64:$M64,"LM")))</f>
        <v/>
      </c>
      <c r="AV64" s="117">
        <f>SUMPRODUCT(($N64:$T64="M")*6+($N64:$T64="T")*6+($N64:$T64="D")*12+($N64:$T64="N")*12+($N64:$T64="NT")*6+($N64:$T64="C")*10+($N64:$T64="A")*8+($N64:$T64="J")*5+($N64:$T64="CEP")*4+($N64:$T64="CP")*6+($N64:$T64="CRO")*6+($N64:$T64="M+")*6+($N64:$T64="T+")*6+($N64:$T64="D+")*12+($N64:$T64="N+")*12+($N64:$T64="Dm+")*12+($N64:$T64="Dt+")*12+($N64:$T64="Tm-")*6+($N64:$T64="Mt-")*6)</f>
        <v/>
      </c>
      <c r="AW64" s="118">
        <f>AV64-MAX(0,IFERROR(INDEX(CADASTRO!$I$4:$I$80,MATCH($A64,CADASTRO!$A$4:$A$80,0)),$B64)-CONFIG!$B$50*(COUNTIF($N64:$T64,"AB")+COUNTIF($N64:$T64,"FE")+COUNTIF($N64:$T64,"LM")))</f>
        <v/>
      </c>
      <c r="AX64" s="117">
        <f>SUMPRODUCT(($U64:$AA64="M")*6+($U64:$AA64="T")*6+($U64:$AA64="D")*12+($U64:$AA64="N")*12+($U64:$AA64="NT")*6+($U64:$AA64="C")*10+($U64:$AA64="A")*8+($U64:$AA64="J")*5+($U64:$AA64="CEP")*4+($U64:$AA64="CP")*6+($U64:$AA64="CRO")*6+($U64:$AA64="M+")*6+($U64:$AA64="T+")*6+($U64:$AA64="D+")*12+($U64:$AA64="N+")*12+($U64:$AA64="Dm+")*12+($U64:$AA64="Dt+")*12+($U64:$AA64="Tm-")*6+($U64:$AA64="Mt-")*6)</f>
        <v/>
      </c>
      <c r="AY64" s="118">
        <f>AX64-MAX(0,IFERROR(INDEX(CADASTRO!$I$4:$I$80,MATCH($A64,CADASTRO!$A$4:$A$80,0)),$B64)-CONFIG!$B$50*(COUNTIF($U64:$AA64,"AB")+COUNTIF($U64:$AA64,"FE")+COUNTIF($U64:$AA64,"LM")))</f>
        <v/>
      </c>
      <c r="AZ64" s="117">
        <f>SUMPRODUCT(($AB64:$AH64="M")*6+($AB64:$AH64="T")*6+($AB64:$AH64="D")*12+($AB64:$AH64="N")*12+($AB64:$AH64="NT")*6+($AB64:$AH64="C")*10+($AB64:$AH64="A")*8+($AB64:$AH64="J")*5+($AB64:$AH64="CEP")*4+($AB64:$AH64="CP")*6+($AB64:$AH64="CRO")*6+($AB64:$AH64="M+")*6+($AB64:$AH64="T+")*6+($AB64:$AH64="D+")*12+($AB64:$AH64="N+")*12+($AB64:$AH64="Dm+")*12+($AB64:$AH64="Dt+")*12+($AB64:$AH64="Tm-")*6+($AB64:$AH64="Mt-")*6)</f>
        <v/>
      </c>
      <c r="BA64" s="118">
        <f>AZ64-MAX(0,IFERROR(INDEX(CADASTRO!$I$4:$I$80,MATCH($A64,CADASTRO!$A$4:$A$80,0)),$B64)-CONFIG!$B$50*(COUNTIF($AB64:$AH64,"AB")+COUNTIF($AB64:$AH64,"FE")+COUNTIF($AB64:$AH64,"LM")))</f>
        <v/>
      </c>
      <c r="BB64" s="117">
        <f>SUMPRODUCT(($AI64:$AL64="M")*6+($AI64:$AL64="T")*6+($AI64:$AL64="D")*12+($AI64:$AL64="N")*12+($AI64:$AL64="NT")*6+($AI64:$AL64="C")*10+($AI64:$AL64="A")*8+($AI64:$AL64="J")*5+($AI64:$AL64="CEP")*4+($AI64:$AL64="CP")*6+($AI64:$AL64="CRO")*6+($AI64:$AL64="M+")*6+($AI64:$AL64="T+")*6+($AI64:$AL64="D+")*12+($AI64:$AL64="N+")*12+($AI64:$AL64="Dm+")*12+($AI64:$AL64="Dt+")*12+($AI64:$AL64="Tm-")*6+($AI64:$AL64="Mt-")*6)+SUMPRODUCT(($AN64:$AP64="M")*6+($AN64:$AP64="T")*6+($AN64:$AP64="D")*12+($AN64:$AP64="N")*12+($AN64:$AP64="NT")*6+($AN64:$AP64="C")*10+($AN64:$AP64="A")*8+($AN64:$AP64="J")*5+($AN64:$AP64="CEP")*4+($AN64:$AP64="CP")*6+($AN64:$AP64="CRO")*6+($AN64:$AP64="M+")*6+($AN64:$AP64="T+")*6+($AN64:$AP64="D+")*12+($AN64:$AP64="N+")*12+($AN64:$AP64="Dm+")*12+($AN64:$AP64="Dt+")*12+($AN64:$AP64="Tm-")*6+($AN64:$AP64="Mt-")*6)</f>
        <v/>
      </c>
      <c r="BC64" s="118">
        <f>BB64-MAX(0,IFERROR(INDEX(CADASTRO!$I$4:$I$80,MATCH($A64,CADASTRO!$A$4:$A$80,0)),$B64)-CONFIG!$B$50*(COUNTIF($AI64:$AL64,"AB")+COUNTIF($AI64:$AL64,"FE")+COUNTIF($AI64:$AL64,"LM")+COUNTIF($AN64:$AP64,"AB")+COUNTIF($AN64:$AP64,"FE")+COUNTIF($AN64:$AP64,"LM")))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ROUND(B64*4.29,0)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36">
        <f>IFERROR(INDEX(MAR!AL$8:AL$73,MATCH($A65,MAR!$A$8:$A$73,0))&amp;"","")</f>
        <v/>
      </c>
      <c r="H65" s="136">
        <f>IFERROR(INDEX(MAR!AM$8:AM$73,MATCH($A65,MAR!$A$8:$A$73,0))&amp;"","")</f>
        <v/>
      </c>
      <c r="I65" s="127" t="inlineStr">
        <is>
          <t>Tm-</t>
        </is>
      </c>
      <c r="J65" s="126" t="inlineStr">
        <is>
          <t>T</t>
        </is>
      </c>
      <c r="K65" s="114" t="n"/>
      <c r="L65" s="114" t="n"/>
      <c r="M65" s="114" t="n"/>
      <c r="N65" s="114" t="n"/>
      <c r="O65" s="114" t="n"/>
      <c r="P65" s="126" t="inlineStr">
        <is>
          <t>T</t>
        </is>
      </c>
      <c r="Q65" s="126" t="inlineStr">
        <is>
          <t>T</t>
        </is>
      </c>
      <c r="R65" s="124" t="inlineStr">
        <is>
          <t>D</t>
        </is>
      </c>
      <c r="S65" s="114" t="n"/>
      <c r="T65" s="114" t="n"/>
      <c r="U65" s="114" t="n"/>
      <c r="V65" s="114" t="n"/>
      <c r="W65" s="114" t="n"/>
      <c r="X65" s="114" t="n"/>
      <c r="Y65" s="124" t="inlineStr">
        <is>
          <t>D</t>
        </is>
      </c>
      <c r="Z65" s="124" t="inlineStr">
        <is>
          <t>D</t>
        </is>
      </c>
      <c r="AA65" s="114" t="n"/>
      <c r="AB65" s="114" t="n"/>
      <c r="AC65" s="114" t="n"/>
      <c r="AD65" s="114" t="n"/>
      <c r="AE65" s="114" t="n"/>
      <c r="AF65" s="124" t="inlineStr">
        <is>
          <t>D</t>
        </is>
      </c>
      <c r="AG65" s="124" t="inlineStr">
        <is>
          <t>D</t>
        </is>
      </c>
      <c r="AH65" s="114" t="n"/>
      <c r="AI65" s="114" t="n"/>
      <c r="AJ65" s="114" t="n"/>
      <c r="AK65" s="124" t="inlineStr">
        <is>
          <t>D</t>
        </is>
      </c>
      <c r="AL65" s="114" t="n"/>
      <c r="AM65" s="100" t="n"/>
      <c r="AN65" s="136">
        <f>IFERROR(INDEX(MAI!I$8:I$73,MATCH($A65,MAI!$A$8:$A$73,0))&amp;"","")</f>
        <v/>
      </c>
      <c r="AO65" s="116">
        <f>IFERROR(INDEX(MAI!J$8:J$73,MATCH($A65,MAI!$A$8:$A$73,0))&amp;"","")</f>
        <v/>
      </c>
      <c r="AP65" s="116">
        <f>IFERROR(INDEX(MAI!K$8:K$73,MATCH($A65,MAI!$A$8:$A$73,0))&amp;"","")</f>
        <v/>
      </c>
      <c r="AQ65" s="100" t="n"/>
      <c r="AR65" s="100" t="n"/>
      <c r="AS65" s="100" t="n"/>
      <c r="AT65" s="117">
        <f>SUMPRODUCT(($G65:$M65="M")*6+($G65:$M65="T")*6+($G65:$M65="D")*12+($G65:$M65="N")*12+($G65:$M65="NT")*6+($G65:$M65="C")*10+($G65:$M65="A")*8+($G65:$M65="J")*5+($G65:$M65="CEP")*4+($G65:$M65="CP")*6+($G65:$M65="CRO")*6+($G65:$M65="M+")*6+($G65:$M65="T+")*6+($G65:$M65="D+")*12+($G65:$M65="N+")*12+($G65:$M65="Dm+")*12+($G65:$M65="Dt+")*12+($G65:$M65="Tm-")*6+($G65:$M65="Mt-")*6)</f>
        <v/>
      </c>
      <c r="AU65" s="118">
        <f>AT65-MAX(0,IFERROR(INDEX(CADASTRO!$I$4:$I$80,MATCH($A65,CADASTRO!$A$4:$A$80,0)),$B65)-CONFIG!$B$50*(COUNTIF($G65:$M65,"AB")+COUNTIF($G65:$M65,"FE")+COUNTIF($G65:$M65,"LM")))</f>
        <v/>
      </c>
      <c r="AV65" s="117">
        <f>SUMPRODUCT(($N65:$T65="M")*6+($N65:$T65="T")*6+($N65:$T65="D")*12+($N65:$T65="N")*12+($N65:$T65="NT")*6+($N65:$T65="C")*10+($N65:$T65="A")*8+($N65:$T65="J")*5+($N65:$T65="CEP")*4+($N65:$T65="CP")*6+($N65:$T65="CRO")*6+($N65:$T65="M+")*6+($N65:$T65="T+")*6+($N65:$T65="D+")*12+($N65:$T65="N+")*12+($N65:$T65="Dm+")*12+($N65:$T65="Dt+")*12+($N65:$T65="Tm-")*6+($N65:$T65="Mt-")*6)</f>
        <v/>
      </c>
      <c r="AW65" s="118">
        <f>AV65-MAX(0,IFERROR(INDEX(CADASTRO!$I$4:$I$80,MATCH($A65,CADASTRO!$A$4:$A$80,0)),$B65)-CONFIG!$B$50*(COUNTIF($N65:$T65,"AB")+COUNTIF($N65:$T65,"FE")+COUNTIF($N65:$T65,"LM")))</f>
        <v/>
      </c>
      <c r="AX65" s="117">
        <f>SUMPRODUCT(($U65:$AA65="M")*6+($U65:$AA65="T")*6+($U65:$AA65="D")*12+($U65:$AA65="N")*12+($U65:$AA65="NT")*6+($U65:$AA65="C")*10+($U65:$AA65="A")*8+($U65:$AA65="J")*5+($U65:$AA65="CEP")*4+($U65:$AA65="CP")*6+($U65:$AA65="CRO")*6+($U65:$AA65="M+")*6+($U65:$AA65="T+")*6+($U65:$AA65="D+")*12+($U65:$AA65="N+")*12+($U65:$AA65="Dm+")*12+($U65:$AA65="Dt+")*12+($U65:$AA65="Tm-")*6+($U65:$AA65="Mt-")*6)</f>
        <v/>
      </c>
      <c r="AY65" s="118">
        <f>AX65-MAX(0,IFERROR(INDEX(CADASTRO!$I$4:$I$80,MATCH($A65,CADASTRO!$A$4:$A$80,0)),$B65)-CONFIG!$B$50*(COUNTIF($U65:$AA65,"AB")+COUNTIF($U65:$AA65,"FE")+COUNTIF($U65:$AA65,"LM")))</f>
        <v/>
      </c>
      <c r="AZ65" s="117">
        <f>SUMPRODUCT(($AB65:$AH65="M")*6+($AB65:$AH65="T")*6+($AB65:$AH65="D")*12+($AB65:$AH65="N")*12+($AB65:$AH65="NT")*6+($AB65:$AH65="C")*10+($AB65:$AH65="A")*8+($AB65:$AH65="J")*5+($AB65:$AH65="CEP")*4+($AB65:$AH65="CP")*6+($AB65:$AH65="CRO")*6+($AB65:$AH65="M+")*6+($AB65:$AH65="T+")*6+($AB65:$AH65="D+")*12+($AB65:$AH65="N+")*12+($AB65:$AH65="Dm+")*12+($AB65:$AH65="Dt+")*12+($AB65:$AH65="Tm-")*6+($AB65:$AH65="Mt-")*6)</f>
        <v/>
      </c>
      <c r="BA65" s="118">
        <f>AZ65-MAX(0,IFERROR(INDEX(CADASTRO!$I$4:$I$80,MATCH($A65,CADASTRO!$A$4:$A$80,0)),$B65)-CONFIG!$B$50*(COUNTIF($AB65:$AH65,"AB")+COUNTIF($AB65:$AH65,"FE")+COUNTIF($AB65:$AH65,"LM")))</f>
        <v/>
      </c>
      <c r="BB65" s="117">
        <f>SUMPRODUCT(($AI65:$AL65="M")*6+($AI65:$AL65="T")*6+($AI65:$AL65="D")*12+($AI65:$AL65="N")*12+($AI65:$AL65="NT")*6+($AI65:$AL65="C")*10+($AI65:$AL65="A")*8+($AI65:$AL65="J")*5+($AI65:$AL65="CEP")*4+($AI65:$AL65="CP")*6+($AI65:$AL65="CRO")*6+($AI65:$AL65="M+")*6+($AI65:$AL65="T+")*6+($AI65:$AL65="D+")*12+($AI65:$AL65="N+")*12+($AI65:$AL65="Dm+")*12+($AI65:$AL65="Dt+")*12+($AI65:$AL65="Tm-")*6+($AI65:$AL65="Mt-")*6)+SUMPRODUCT(($AN65:$AP65="M")*6+($AN65:$AP65="T")*6+($AN65:$AP65="D")*12+($AN65:$AP65="N")*12+($AN65:$AP65="NT")*6+($AN65:$AP65="C")*10+($AN65:$AP65="A")*8+($AN65:$AP65="J")*5+($AN65:$AP65="CEP")*4+($AN65:$AP65="CP")*6+($AN65:$AP65="CRO")*6+($AN65:$AP65="M+")*6+($AN65:$AP65="T+")*6+($AN65:$AP65="D+")*12+($AN65:$AP65="N+")*12+($AN65:$AP65="Dm+")*12+($AN65:$AP65="Dt+")*12+($AN65:$AP65="Tm-")*6+($AN65:$AP65="Mt-")*6)</f>
        <v/>
      </c>
      <c r="BC65" s="118">
        <f>BB65-MAX(0,IFERROR(INDEX(CADASTRO!$I$4:$I$80,MATCH($A65,CADASTRO!$A$4:$A$80,0)),$B65)-CONFIG!$B$50*(COUNTIF($AI65:$AL65,"AB")+COUNTIF($AI65:$AL65,"FE")+COUNTIF($AI65:$AL65,"LM")+COUNTIF($AN65:$AP65,"AB")+COUNTIF($AN65:$AP65,"FE")+COUNTIF($AN65:$AP65,"LM")))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ROUND(B65*4.29,0)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36">
        <f>IFERROR(INDEX(MAR!AL$8:AL$73,MATCH($A66,MAR!$A$8:$A$73,0))&amp;"","")</f>
        <v/>
      </c>
      <c r="H66" s="136">
        <f>IFERROR(INDEX(MAR!AM$8:AM$73,MATCH($A66,MAR!$A$8:$A$73,0))&amp;"","")</f>
        <v/>
      </c>
      <c r="I66" s="114" t="n"/>
      <c r="J66" s="114" t="n"/>
      <c r="K66" s="114" t="n"/>
      <c r="L66" s="124" t="inlineStr">
        <is>
          <t>D</t>
        </is>
      </c>
      <c r="M66" s="125" t="inlineStr">
        <is>
          <t>N</t>
        </is>
      </c>
      <c r="N66" s="125" t="inlineStr">
        <is>
          <t>N</t>
        </is>
      </c>
      <c r="O66" s="114" t="n"/>
      <c r="P66" s="127" t="inlineStr">
        <is>
          <t>T-</t>
        </is>
      </c>
      <c r="Q66" s="125" t="inlineStr">
        <is>
          <t>N</t>
        </is>
      </c>
      <c r="R66" s="126" t="inlineStr">
        <is>
          <t>T</t>
        </is>
      </c>
      <c r="S66" s="114" t="n"/>
      <c r="T66" s="114" t="n"/>
      <c r="U66" s="125" t="inlineStr">
        <is>
          <t>N</t>
        </is>
      </c>
      <c r="V66" s="126" t="inlineStr">
        <is>
          <t>T</t>
        </is>
      </c>
      <c r="W66" s="114" t="n"/>
      <c r="X66" s="125" t="inlineStr">
        <is>
          <t>N</t>
        </is>
      </c>
      <c r="Y66" s="126" t="inlineStr">
        <is>
          <t>T</t>
        </is>
      </c>
      <c r="Z66" s="114" t="n"/>
      <c r="AA66" s="123" t="inlineStr">
        <is>
          <t>T+</t>
        </is>
      </c>
      <c r="AB66" s="126" t="inlineStr">
        <is>
          <t>T</t>
        </is>
      </c>
      <c r="AC66" s="124" t="inlineStr">
        <is>
          <t>D</t>
        </is>
      </c>
      <c r="AD66" s="114" t="n"/>
      <c r="AE66" s="125" t="inlineStr">
        <is>
          <t>N</t>
        </is>
      </c>
      <c r="AF66" s="126" t="inlineStr">
        <is>
          <t>T</t>
        </is>
      </c>
      <c r="AG66" s="114" t="n"/>
      <c r="AH66" s="114" t="n"/>
      <c r="AI66" s="114" t="n"/>
      <c r="AJ66" s="114" t="n"/>
      <c r="AK66" s="114" t="n"/>
      <c r="AL66" s="114" t="n"/>
      <c r="AM66" s="100" t="n"/>
      <c r="AN66" s="136">
        <f>IFERROR(INDEX(MAI!I$8:I$73,MATCH($A66,MAI!$A$8:$A$73,0))&amp;"","")</f>
        <v/>
      </c>
      <c r="AO66" s="116">
        <f>IFERROR(INDEX(MAI!J$8:J$73,MATCH($A66,MAI!$A$8:$A$73,0))&amp;"","")</f>
        <v/>
      </c>
      <c r="AP66" s="116">
        <f>IFERROR(INDEX(MAI!K$8:K$73,MATCH($A66,MAI!$A$8:$A$73,0))&amp;"","")</f>
        <v/>
      </c>
      <c r="AQ66" s="100" t="n"/>
      <c r="AR66" s="100" t="n"/>
      <c r="AS66" s="100" t="n"/>
      <c r="AT66" s="117">
        <f>SUMPRODUCT(($G66:$M66="M")*6+($G66:$M66="T")*6+($G66:$M66="D")*12+($G66:$M66="N")*12+($G66:$M66="NT")*6+($G66:$M66="C")*10+($G66:$M66="A")*8+($G66:$M66="J")*5+($G66:$M66="CEP")*4+($G66:$M66="CP")*6+($G66:$M66="CRO")*6+($G66:$M66="M+")*6+($G66:$M66="T+")*6+($G66:$M66="D+")*12+($G66:$M66="N+")*12+($G66:$M66="Dm+")*12+($G66:$M66="Dt+")*12+($G66:$M66="Tm-")*6+($G66:$M66="Mt-")*6)</f>
        <v/>
      </c>
      <c r="AU66" s="118">
        <f>AT66-MAX(0,IFERROR(INDEX(CADASTRO!$I$4:$I$80,MATCH($A66,CADASTRO!$A$4:$A$80,0)),$B66)-CONFIG!$B$50*(COUNTIF($G66:$M66,"AB")+COUNTIF($G66:$M66,"FE")+COUNTIF($G66:$M66,"LM")))</f>
        <v/>
      </c>
      <c r="AV66" s="117">
        <f>SUMPRODUCT(($N66:$T66="M")*6+($N66:$T66="T")*6+($N66:$T66="D")*12+($N66:$T66="N")*12+($N66:$T66="NT")*6+($N66:$T66="C")*10+($N66:$T66="A")*8+($N66:$T66="J")*5+($N66:$T66="CEP")*4+($N66:$T66="CP")*6+($N66:$T66="CRO")*6+($N66:$T66="M+")*6+($N66:$T66="T+")*6+($N66:$T66="D+")*12+($N66:$T66="N+")*12+($N66:$T66="Dm+")*12+($N66:$T66="Dt+")*12+($N66:$T66="Tm-")*6+($N66:$T66="Mt-")*6)</f>
        <v/>
      </c>
      <c r="AW66" s="118">
        <f>AV66-MAX(0,IFERROR(INDEX(CADASTRO!$I$4:$I$80,MATCH($A66,CADASTRO!$A$4:$A$80,0)),$B66)-CONFIG!$B$50*(COUNTIF($N66:$T66,"AB")+COUNTIF($N66:$T66,"FE")+COUNTIF($N66:$T66,"LM")))</f>
        <v/>
      </c>
      <c r="AX66" s="117">
        <f>SUMPRODUCT(($U66:$AA66="M")*6+($U66:$AA66="T")*6+($U66:$AA66="D")*12+($U66:$AA66="N")*12+($U66:$AA66="NT")*6+($U66:$AA66="C")*10+($U66:$AA66="A")*8+($U66:$AA66="J")*5+($U66:$AA66="CEP")*4+($U66:$AA66="CP")*6+($U66:$AA66="CRO")*6+($U66:$AA66="M+")*6+($U66:$AA66="T+")*6+($U66:$AA66="D+")*12+($U66:$AA66="N+")*12+($U66:$AA66="Dm+")*12+($U66:$AA66="Dt+")*12+($U66:$AA66="Tm-")*6+($U66:$AA66="Mt-")*6)</f>
        <v/>
      </c>
      <c r="AY66" s="118">
        <f>AX66-MAX(0,IFERROR(INDEX(CADASTRO!$I$4:$I$80,MATCH($A66,CADASTRO!$A$4:$A$80,0)),$B66)-CONFIG!$B$50*(COUNTIF($U66:$AA66,"AB")+COUNTIF($U66:$AA66,"FE")+COUNTIF($U66:$AA66,"LM")))</f>
        <v/>
      </c>
      <c r="AZ66" s="117">
        <f>SUMPRODUCT(($AB66:$AH66="M")*6+($AB66:$AH66="T")*6+($AB66:$AH66="D")*12+($AB66:$AH66="N")*12+($AB66:$AH66="NT")*6+($AB66:$AH66="C")*10+($AB66:$AH66="A")*8+($AB66:$AH66="J")*5+($AB66:$AH66="CEP")*4+($AB66:$AH66="CP")*6+($AB66:$AH66="CRO")*6+($AB66:$AH66="M+")*6+($AB66:$AH66="T+")*6+($AB66:$AH66="D+")*12+($AB66:$AH66="N+")*12+($AB66:$AH66="Dm+")*12+($AB66:$AH66="Dt+")*12+($AB66:$AH66="Tm-")*6+($AB66:$AH66="Mt-")*6)</f>
        <v/>
      </c>
      <c r="BA66" s="118">
        <f>AZ66-MAX(0,IFERROR(INDEX(CADASTRO!$I$4:$I$80,MATCH($A66,CADASTRO!$A$4:$A$80,0)),$B66)-CONFIG!$B$50*(COUNTIF($AB66:$AH66,"AB")+COUNTIF($AB66:$AH66,"FE")+COUNTIF($AB66:$AH66,"LM")))</f>
        <v/>
      </c>
      <c r="BB66" s="117">
        <f>SUMPRODUCT(($AI66:$AL66="M")*6+($AI66:$AL66="T")*6+($AI66:$AL66="D")*12+($AI66:$AL66="N")*12+($AI66:$AL66="NT")*6+($AI66:$AL66="C")*10+($AI66:$AL66="A")*8+($AI66:$AL66="J")*5+($AI66:$AL66="CEP")*4+($AI66:$AL66="CP")*6+($AI66:$AL66="CRO")*6+($AI66:$AL66="M+")*6+($AI66:$AL66="T+")*6+($AI66:$AL66="D+")*12+($AI66:$AL66="N+")*12+($AI66:$AL66="Dm+")*12+($AI66:$AL66="Dt+")*12+($AI66:$AL66="Tm-")*6+($AI66:$AL66="Mt-")*6)+SUMPRODUCT(($AN66:$AP66="M")*6+($AN66:$AP66="T")*6+($AN66:$AP66="D")*12+($AN66:$AP66="N")*12+($AN66:$AP66="NT")*6+($AN66:$AP66="C")*10+($AN66:$AP66="A")*8+($AN66:$AP66="J")*5+($AN66:$AP66="CEP")*4+($AN66:$AP66="CP")*6+($AN66:$AP66="CRO")*6+($AN66:$AP66="M+")*6+($AN66:$AP66="T+")*6+($AN66:$AP66="D+")*12+($AN66:$AP66="N+")*12+($AN66:$AP66="Dm+")*12+($AN66:$AP66="Dt+")*12+($AN66:$AP66="Tm-")*6+($AN66:$AP66="Mt-")*6)</f>
        <v/>
      </c>
      <c r="BC66" s="118">
        <f>BB66-MAX(0,IFERROR(INDEX(CADASTRO!$I$4:$I$80,MATCH($A66,CADASTRO!$A$4:$A$80,0)),$B66)-CONFIG!$B$50*(COUNTIF($AI66:$AL66,"AB")+COUNTIF($AI66:$AL66,"FE")+COUNTIF($AI66:$AL66,"LM")+COUNTIF($AN66:$AP66,"AB")+COUNTIF($AN66:$AP66,"FE")+COUNTIF($AN66:$AP66,"LM")))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ROUND(B66*4.29,0)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36">
        <f>IFERROR(INDEX(MAR!AL$8:AL$73,MATCH($A67,MAR!$A$8:$A$73,0))&amp;"","")</f>
        <v/>
      </c>
      <c r="H67" s="136">
        <f>IFERROR(INDEX(MAR!AM$8:AM$73,MATCH($A67,MAR!$A$8:$A$73,0))&amp;"","")</f>
        <v/>
      </c>
      <c r="I67" s="114" t="n"/>
      <c r="J67" s="114" t="n"/>
      <c r="K67" s="114" t="n"/>
      <c r="L67" s="114" t="n"/>
      <c r="M67" s="114" t="n"/>
      <c r="N67" s="114" t="n"/>
      <c r="O67" s="114" t="n"/>
      <c r="P67" s="131" t="inlineStr">
        <is>
          <t>CP</t>
        </is>
      </c>
      <c r="Q67" s="114" t="n"/>
      <c r="R67" s="114" t="n"/>
      <c r="S67" s="125" t="inlineStr">
        <is>
          <t>N</t>
        </is>
      </c>
      <c r="T67" s="115" t="inlineStr">
        <is>
          <t>M</t>
        </is>
      </c>
      <c r="U67" s="131" t="inlineStr">
        <is>
          <t>CP</t>
        </is>
      </c>
      <c r="V67" s="114" t="n"/>
      <c r="W67" s="131" t="inlineStr">
        <is>
          <t>CP</t>
        </is>
      </c>
      <c r="X67" s="114" t="n"/>
      <c r="Y67" s="125" t="inlineStr">
        <is>
          <t>N</t>
        </is>
      </c>
      <c r="Z67" s="114" t="n"/>
      <c r="AA67" s="125" t="inlineStr">
        <is>
          <t>N</t>
        </is>
      </c>
      <c r="AB67" s="131" t="inlineStr">
        <is>
          <t>CP</t>
        </is>
      </c>
      <c r="AC67" s="125" t="inlineStr">
        <is>
          <t>N</t>
        </is>
      </c>
      <c r="AD67" s="131" t="inlineStr">
        <is>
          <t>CP</t>
        </is>
      </c>
      <c r="AE67" s="114" t="n"/>
      <c r="AF67" s="114" t="n"/>
      <c r="AG67" s="114" t="n"/>
      <c r="AH67" s="114" t="n"/>
      <c r="AI67" s="131" t="inlineStr">
        <is>
          <t>CP</t>
        </is>
      </c>
      <c r="AJ67" s="125" t="inlineStr">
        <is>
          <t>N</t>
        </is>
      </c>
      <c r="AK67" s="131" t="inlineStr">
        <is>
          <t>CP</t>
        </is>
      </c>
      <c r="AL67" s="114" t="n"/>
      <c r="AM67" s="100" t="n"/>
      <c r="AN67" s="136">
        <f>IFERROR(INDEX(MAI!I$8:I$73,MATCH($A67,MAI!$A$8:$A$73,0))&amp;"","")</f>
        <v/>
      </c>
      <c r="AO67" s="116">
        <f>IFERROR(INDEX(MAI!J$8:J$73,MATCH($A67,MAI!$A$8:$A$73,0))&amp;"","")</f>
        <v/>
      </c>
      <c r="AP67" s="116">
        <f>IFERROR(INDEX(MAI!K$8:K$73,MATCH($A67,MAI!$A$8:$A$73,0))&amp;"","")</f>
        <v/>
      </c>
      <c r="AQ67" s="100" t="n"/>
      <c r="AR67" s="100" t="n"/>
      <c r="AS67" s="100" t="n"/>
      <c r="AT67" s="117">
        <f>SUMPRODUCT(($G67:$M67="M")*6+($G67:$M67="T")*6+($G67:$M67="D")*12+($G67:$M67="N")*12+($G67:$M67="NT")*6+($G67:$M67="C")*10+($G67:$M67="A")*8+($G67:$M67="J")*5+($G67:$M67="CEP")*4+($G67:$M67="CP")*6+($G67:$M67="CRO")*6+($G67:$M67="M+")*6+($G67:$M67="T+")*6+($G67:$M67="D+")*12+($G67:$M67="N+")*12+($G67:$M67="Dm+")*12+($G67:$M67="Dt+")*12+($G67:$M67="Tm-")*6+($G67:$M67="Mt-")*6)</f>
        <v/>
      </c>
      <c r="AU67" s="118">
        <f>AT67-MAX(0,IFERROR(INDEX(CADASTRO!$I$4:$I$80,MATCH($A67,CADASTRO!$A$4:$A$80,0)),$B67)-CONFIG!$B$50*(COUNTIF($G67:$M67,"AB")+COUNTIF($G67:$M67,"FE")+COUNTIF($G67:$M67,"LM")))</f>
        <v/>
      </c>
      <c r="AV67" s="117">
        <f>SUMPRODUCT(($N67:$T67="M")*6+($N67:$T67="T")*6+($N67:$T67="D")*12+($N67:$T67="N")*12+($N67:$T67="NT")*6+($N67:$T67="C")*10+($N67:$T67="A")*8+($N67:$T67="J")*5+($N67:$T67="CEP")*4+($N67:$T67="CP")*6+($N67:$T67="CRO")*6+($N67:$T67="M+")*6+($N67:$T67="T+")*6+($N67:$T67="D+")*12+($N67:$T67="N+")*12+($N67:$T67="Dm+")*12+($N67:$T67="Dt+")*12+($N67:$T67="Tm-")*6+($N67:$T67="Mt-")*6)</f>
        <v/>
      </c>
      <c r="AW67" s="118">
        <f>AV67-MAX(0,IFERROR(INDEX(CADASTRO!$I$4:$I$80,MATCH($A67,CADASTRO!$A$4:$A$80,0)),$B67)-CONFIG!$B$50*(COUNTIF($N67:$T67,"AB")+COUNTIF($N67:$T67,"FE")+COUNTIF($N67:$T67,"LM")))</f>
        <v/>
      </c>
      <c r="AX67" s="117">
        <f>SUMPRODUCT(($U67:$AA67="M")*6+($U67:$AA67="T")*6+($U67:$AA67="D")*12+($U67:$AA67="N")*12+($U67:$AA67="NT")*6+($U67:$AA67="C")*10+($U67:$AA67="A")*8+($U67:$AA67="J")*5+($U67:$AA67="CEP")*4+($U67:$AA67="CP")*6+($U67:$AA67="CRO")*6+($U67:$AA67="M+")*6+($U67:$AA67="T+")*6+($U67:$AA67="D+")*12+($U67:$AA67="N+")*12+($U67:$AA67="Dm+")*12+($U67:$AA67="Dt+")*12+($U67:$AA67="Tm-")*6+($U67:$AA67="Mt-")*6)</f>
        <v/>
      </c>
      <c r="AY67" s="118">
        <f>AX67-MAX(0,IFERROR(INDEX(CADASTRO!$I$4:$I$80,MATCH($A67,CADASTRO!$A$4:$A$80,0)),$B67)-CONFIG!$B$50*(COUNTIF($U67:$AA67,"AB")+COUNTIF($U67:$AA67,"FE")+COUNTIF($U67:$AA67,"LM")))</f>
        <v/>
      </c>
      <c r="AZ67" s="117">
        <f>SUMPRODUCT(($AB67:$AH67="M")*6+($AB67:$AH67="T")*6+($AB67:$AH67="D")*12+($AB67:$AH67="N")*12+($AB67:$AH67="NT")*6+($AB67:$AH67="C")*10+($AB67:$AH67="A")*8+($AB67:$AH67="J")*5+($AB67:$AH67="CEP")*4+($AB67:$AH67="CP")*6+($AB67:$AH67="CRO")*6+($AB67:$AH67="M+")*6+($AB67:$AH67="T+")*6+($AB67:$AH67="D+")*12+($AB67:$AH67="N+")*12+($AB67:$AH67="Dm+")*12+($AB67:$AH67="Dt+")*12+($AB67:$AH67="Tm-")*6+($AB67:$AH67="Mt-")*6)</f>
        <v/>
      </c>
      <c r="BA67" s="118">
        <f>AZ67-MAX(0,IFERROR(INDEX(CADASTRO!$I$4:$I$80,MATCH($A67,CADASTRO!$A$4:$A$80,0)),$B67)-CONFIG!$B$50*(COUNTIF($AB67:$AH67,"AB")+COUNTIF($AB67:$AH67,"FE")+COUNTIF($AB67:$AH67,"LM")))</f>
        <v/>
      </c>
      <c r="BB67" s="117">
        <f>SUMPRODUCT(($AI67:$AL67="M")*6+($AI67:$AL67="T")*6+($AI67:$AL67="D")*12+($AI67:$AL67="N")*12+($AI67:$AL67="NT")*6+($AI67:$AL67="C")*10+($AI67:$AL67="A")*8+($AI67:$AL67="J")*5+($AI67:$AL67="CEP")*4+($AI67:$AL67="CP")*6+($AI67:$AL67="CRO")*6+($AI67:$AL67="M+")*6+($AI67:$AL67="T+")*6+($AI67:$AL67="D+")*12+($AI67:$AL67="N+")*12+($AI67:$AL67="Dm+")*12+($AI67:$AL67="Dt+")*12+($AI67:$AL67="Tm-")*6+($AI67:$AL67="Mt-")*6)+SUMPRODUCT(($AN67:$AP67="M")*6+($AN67:$AP67="T")*6+($AN67:$AP67="D")*12+($AN67:$AP67="N")*12+($AN67:$AP67="NT")*6+($AN67:$AP67="C")*10+($AN67:$AP67="A")*8+($AN67:$AP67="J")*5+($AN67:$AP67="CEP")*4+($AN67:$AP67="CP")*6+($AN67:$AP67="CRO")*6+($AN67:$AP67="M+")*6+($AN67:$AP67="T+")*6+($AN67:$AP67="D+")*12+($AN67:$AP67="N+")*12+($AN67:$AP67="Dm+")*12+($AN67:$AP67="Dt+")*12+($AN67:$AP67="Tm-")*6+($AN67:$AP67="Mt-")*6)</f>
        <v/>
      </c>
      <c r="BC67" s="118">
        <f>BB67-MAX(0,IFERROR(INDEX(CADASTRO!$I$4:$I$80,MATCH($A67,CADASTRO!$A$4:$A$80,0)),$B67)-CONFIG!$B$50*(COUNTIF($AI67:$AL67,"AB")+COUNTIF($AI67:$AL67,"FE")+COUNTIF($AI67:$AL67,"LM")+COUNTIF($AN67:$AP67,"AB")+COUNTIF($AN67:$AP67,"FE")+COUNTIF($AN67:$AP67,"LM")))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ROUND(B67*4.29,0)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36">
        <f>IFERROR(INDEX(MAR!AL$8:AL$73,MATCH($A68,MAR!$A$8:$A$73,0))&amp;"","")</f>
        <v/>
      </c>
      <c r="H68" s="136">
        <f>IFERROR(INDEX(MAR!AM$8:AM$73,MATCH($A68,MAR!$A$8:$A$73,0))&amp;"","")</f>
        <v/>
      </c>
      <c r="I68" s="114" t="n"/>
      <c r="J68" s="114" t="n"/>
      <c r="K68" s="124" t="inlineStr">
        <is>
          <t>D</t>
        </is>
      </c>
      <c r="L68" s="115" t="inlineStr">
        <is>
          <t>M</t>
        </is>
      </c>
      <c r="M68" s="115" t="inlineStr">
        <is>
          <t>M</t>
        </is>
      </c>
      <c r="N68" s="114" t="n"/>
      <c r="O68" s="114" t="n"/>
      <c r="P68" s="125" t="inlineStr">
        <is>
          <t>N</t>
        </is>
      </c>
      <c r="Q68" s="114" t="n"/>
      <c r="R68" s="124" t="inlineStr">
        <is>
          <t>D</t>
        </is>
      </c>
      <c r="S68" s="114" t="n"/>
      <c r="T68" s="114" t="n"/>
      <c r="U68" s="114" t="n"/>
      <c r="V68" s="114" t="n"/>
      <c r="W68" s="125" t="inlineStr">
        <is>
          <t>N</t>
        </is>
      </c>
      <c r="X68" s="114" t="n"/>
      <c r="Y68" s="125" t="inlineStr">
        <is>
          <t>N</t>
        </is>
      </c>
      <c r="Z68" s="114" t="n"/>
      <c r="AA68" s="114" t="n"/>
      <c r="AB68" s="114" t="n"/>
      <c r="AC68" s="114" t="n"/>
      <c r="AD68" s="125" t="inlineStr">
        <is>
          <t>N</t>
        </is>
      </c>
      <c r="AE68" s="114" t="n"/>
      <c r="AF68" s="114" t="n"/>
      <c r="AG68" s="124" t="inlineStr">
        <is>
          <t>D</t>
        </is>
      </c>
      <c r="AH68" s="114" t="n"/>
      <c r="AI68" s="114" t="n"/>
      <c r="AJ68" s="114" t="n"/>
      <c r="AK68" s="125" t="inlineStr">
        <is>
          <t>N</t>
        </is>
      </c>
      <c r="AL68" s="114" t="n"/>
      <c r="AM68" s="100" t="n"/>
      <c r="AN68" s="136">
        <f>IFERROR(INDEX(MAI!I$8:I$73,MATCH($A68,MAI!$A$8:$A$73,0))&amp;"","")</f>
        <v/>
      </c>
      <c r="AO68" s="116">
        <f>IFERROR(INDEX(MAI!J$8:J$73,MATCH($A68,MAI!$A$8:$A$73,0))&amp;"","")</f>
        <v/>
      </c>
      <c r="AP68" s="116">
        <f>IFERROR(INDEX(MAI!K$8:K$73,MATCH($A68,MAI!$A$8:$A$73,0))&amp;"","")</f>
        <v/>
      </c>
      <c r="AQ68" s="100" t="n"/>
      <c r="AR68" s="100" t="n"/>
      <c r="AS68" s="100" t="n"/>
      <c r="AT68" s="117">
        <f>SUMPRODUCT(($G68:$M68="M")*6+($G68:$M68="T")*6+($G68:$M68="D")*12+($G68:$M68="N")*12+($G68:$M68="NT")*6+($G68:$M68="C")*10+($G68:$M68="A")*8+($G68:$M68="J")*5+($G68:$M68="CEP")*4+($G68:$M68="CP")*6+($G68:$M68="CRO")*6+($G68:$M68="M+")*6+($G68:$M68="T+")*6+($G68:$M68="D+")*12+($G68:$M68="N+")*12+($G68:$M68="Dm+")*12+($G68:$M68="Dt+")*12+($G68:$M68="Tm-")*6+($G68:$M68="Mt-")*6)</f>
        <v/>
      </c>
      <c r="AU68" s="118">
        <f>AT68-MAX(0,IFERROR(INDEX(CADASTRO!$I$4:$I$80,MATCH($A68,CADASTRO!$A$4:$A$80,0)),$B68)-CONFIG!$B$50*(COUNTIF($G68:$M68,"AB")+COUNTIF($G68:$M68,"FE")+COUNTIF($G68:$M68,"LM")))</f>
        <v/>
      </c>
      <c r="AV68" s="117">
        <f>SUMPRODUCT(($N68:$T68="M")*6+($N68:$T68="T")*6+($N68:$T68="D")*12+($N68:$T68="N")*12+($N68:$T68="NT")*6+($N68:$T68="C")*10+($N68:$T68="A")*8+($N68:$T68="J")*5+($N68:$T68="CEP")*4+($N68:$T68="CP")*6+($N68:$T68="CRO")*6+($N68:$T68="M+")*6+($N68:$T68="T+")*6+($N68:$T68="D+")*12+($N68:$T68="N+")*12+($N68:$T68="Dm+")*12+($N68:$T68="Dt+")*12+($N68:$T68="Tm-")*6+($N68:$T68="Mt-")*6)</f>
        <v/>
      </c>
      <c r="AW68" s="118">
        <f>AV68-MAX(0,IFERROR(INDEX(CADASTRO!$I$4:$I$80,MATCH($A68,CADASTRO!$A$4:$A$80,0)),$B68)-CONFIG!$B$50*(COUNTIF($N68:$T68,"AB")+COUNTIF($N68:$T68,"FE")+COUNTIF($N68:$T68,"LM")))</f>
        <v/>
      </c>
      <c r="AX68" s="117">
        <f>SUMPRODUCT(($U68:$AA68="M")*6+($U68:$AA68="T")*6+($U68:$AA68="D")*12+($U68:$AA68="N")*12+($U68:$AA68="NT")*6+($U68:$AA68="C")*10+($U68:$AA68="A")*8+($U68:$AA68="J")*5+($U68:$AA68="CEP")*4+($U68:$AA68="CP")*6+($U68:$AA68="CRO")*6+($U68:$AA68="M+")*6+($U68:$AA68="T+")*6+($U68:$AA68="D+")*12+($U68:$AA68="N+")*12+($U68:$AA68="Dm+")*12+($U68:$AA68="Dt+")*12+($U68:$AA68="Tm-")*6+($U68:$AA68="Mt-")*6)</f>
        <v/>
      </c>
      <c r="AY68" s="118">
        <f>AX68-MAX(0,IFERROR(INDEX(CADASTRO!$I$4:$I$80,MATCH($A68,CADASTRO!$A$4:$A$80,0)),$B68)-CONFIG!$B$50*(COUNTIF($U68:$AA68,"AB")+COUNTIF($U68:$AA68,"FE")+COUNTIF($U68:$AA68,"LM")))</f>
        <v/>
      </c>
      <c r="AZ68" s="117">
        <f>SUMPRODUCT(($AB68:$AH68="M")*6+($AB68:$AH68="T")*6+($AB68:$AH68="D")*12+($AB68:$AH68="N")*12+($AB68:$AH68="NT")*6+($AB68:$AH68="C")*10+($AB68:$AH68="A")*8+($AB68:$AH68="J")*5+($AB68:$AH68="CEP")*4+($AB68:$AH68="CP")*6+($AB68:$AH68="CRO")*6+($AB68:$AH68="M+")*6+($AB68:$AH68="T+")*6+($AB68:$AH68="D+")*12+($AB68:$AH68="N+")*12+($AB68:$AH68="Dm+")*12+($AB68:$AH68="Dt+")*12+($AB68:$AH68="Tm-")*6+($AB68:$AH68="Mt-")*6)</f>
        <v/>
      </c>
      <c r="BA68" s="118">
        <f>AZ68-MAX(0,IFERROR(INDEX(CADASTRO!$I$4:$I$80,MATCH($A68,CADASTRO!$A$4:$A$80,0)),$B68)-CONFIG!$B$50*(COUNTIF($AB68:$AH68,"AB")+COUNTIF($AB68:$AH68,"FE")+COUNTIF($AB68:$AH68,"LM")))</f>
        <v/>
      </c>
      <c r="BB68" s="117">
        <f>SUMPRODUCT(($AI68:$AL68="M")*6+($AI68:$AL68="T")*6+($AI68:$AL68="D")*12+($AI68:$AL68="N")*12+($AI68:$AL68="NT")*6+($AI68:$AL68="C")*10+($AI68:$AL68="A")*8+($AI68:$AL68="J")*5+($AI68:$AL68="CEP")*4+($AI68:$AL68="CP")*6+($AI68:$AL68="CRO")*6+($AI68:$AL68="M+")*6+($AI68:$AL68="T+")*6+($AI68:$AL68="D+")*12+($AI68:$AL68="N+")*12+($AI68:$AL68="Dm+")*12+($AI68:$AL68="Dt+")*12+($AI68:$AL68="Tm-")*6+($AI68:$AL68="Mt-")*6)+SUMPRODUCT(($AN68:$AP68="M")*6+($AN68:$AP68="T")*6+($AN68:$AP68="D")*12+($AN68:$AP68="N")*12+($AN68:$AP68="NT")*6+($AN68:$AP68="C")*10+($AN68:$AP68="A")*8+($AN68:$AP68="J")*5+($AN68:$AP68="CEP")*4+($AN68:$AP68="CP")*6+($AN68:$AP68="CRO")*6+($AN68:$AP68="M+")*6+($AN68:$AP68="T+")*6+($AN68:$AP68="D+")*12+($AN68:$AP68="N+")*12+($AN68:$AP68="Dm+")*12+($AN68:$AP68="Dt+")*12+($AN68:$AP68="Tm-")*6+($AN68:$AP68="Mt-")*6)</f>
        <v/>
      </c>
      <c r="BC68" s="118">
        <f>BB68-MAX(0,IFERROR(INDEX(CADASTRO!$I$4:$I$80,MATCH($A68,CADASTRO!$A$4:$A$80,0)),$B68)-CONFIG!$B$50*(COUNTIF($AI68:$AL68,"AB")+COUNTIF($AI68:$AL68,"FE")+COUNTIF($AI68:$AL68,"LM")+COUNTIF($AN68:$AP68,"AB")+COUNTIF($AN68:$AP68,"FE")+COUNTIF($AN68:$AP68,"LM")))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ROUND(B68*4.29,0)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36">
        <f>IFERROR(INDEX(MAR!AL$8:AL$73,MATCH($A69,MAR!$A$8:$A$73,0))&amp;"","")</f>
        <v/>
      </c>
      <c r="H69" s="136">
        <f>IFERROR(INDEX(MAR!AM$8:AM$73,MATCH($A69,MAR!$A$8:$A$73,0))&amp;"","")</f>
        <v/>
      </c>
      <c r="I69" s="124" t="inlineStr">
        <is>
          <t>D</t>
        </is>
      </c>
      <c r="J69" s="126" t="inlineStr">
        <is>
          <t>T</t>
        </is>
      </c>
      <c r="K69" s="115" t="inlineStr">
        <is>
          <t>M</t>
        </is>
      </c>
      <c r="L69" s="114" t="n"/>
      <c r="M69" s="114" t="n"/>
      <c r="N69" s="126" t="inlineStr">
        <is>
          <t>T</t>
        </is>
      </c>
      <c r="O69" s="114" t="n"/>
      <c r="P69" s="126" t="inlineStr">
        <is>
          <t>T</t>
        </is>
      </c>
      <c r="Q69" s="114" t="n"/>
      <c r="R69" s="114" t="n"/>
      <c r="S69" s="124" t="inlineStr">
        <is>
          <t>D</t>
        </is>
      </c>
      <c r="T69" s="114" t="n"/>
      <c r="U69" s="114" t="n"/>
      <c r="V69" s="114" t="n"/>
      <c r="W69" s="126" t="inlineStr">
        <is>
          <t>T</t>
        </is>
      </c>
      <c r="X69" s="114" t="n"/>
      <c r="Y69" s="124" t="inlineStr">
        <is>
          <t>D</t>
        </is>
      </c>
      <c r="Z69" s="115" t="inlineStr">
        <is>
          <t>M</t>
        </is>
      </c>
      <c r="AA69" s="114" t="n"/>
      <c r="AB69" s="114" t="n"/>
      <c r="AC69" s="114" t="n"/>
      <c r="AD69" s="114" t="n"/>
      <c r="AE69" s="114" t="n"/>
      <c r="AF69" s="114" t="n"/>
      <c r="AG69" s="114" t="n"/>
      <c r="AH69" s="114" t="n"/>
      <c r="AI69" s="114" t="n"/>
      <c r="AJ69" s="114" t="n"/>
      <c r="AK69" s="114" t="n"/>
      <c r="AL69" s="114" t="n"/>
      <c r="AM69" s="100" t="n"/>
      <c r="AN69" s="136">
        <f>IFERROR(INDEX(MAI!I$8:I$73,MATCH($A69,MAI!$A$8:$A$73,0))&amp;"","")</f>
        <v/>
      </c>
      <c r="AO69" s="116">
        <f>IFERROR(INDEX(MAI!J$8:J$73,MATCH($A69,MAI!$A$8:$A$73,0))&amp;"","")</f>
        <v/>
      </c>
      <c r="AP69" s="116">
        <f>IFERROR(INDEX(MAI!K$8:K$73,MATCH($A69,MAI!$A$8:$A$73,0))&amp;"","")</f>
        <v/>
      </c>
      <c r="AQ69" s="100" t="n"/>
      <c r="AR69" s="100" t="n"/>
      <c r="AS69" s="100" t="n"/>
      <c r="AT69" s="117">
        <f>SUMPRODUCT(($G69:$M69="M")*6+($G69:$M69="T")*6+($G69:$M69="D")*12+($G69:$M69="N")*12+($G69:$M69="NT")*6+($G69:$M69="C")*10+($G69:$M69="A")*8+($G69:$M69="J")*5+($G69:$M69="CEP")*4+($G69:$M69="CP")*6+($G69:$M69="CRO")*6+($G69:$M69="M+")*6+($G69:$M69="T+")*6+($G69:$M69="D+")*12+($G69:$M69="N+")*12+($G69:$M69="Dm+")*12+($G69:$M69="Dt+")*12+($G69:$M69="Tm-")*6+($G69:$M69="Mt-")*6)</f>
        <v/>
      </c>
      <c r="AU69" s="118">
        <f>AT69-MAX(0,IFERROR(INDEX(CADASTRO!$I$4:$I$80,MATCH($A69,CADASTRO!$A$4:$A$80,0)),$B69)-CONFIG!$B$50*(COUNTIF($G69:$M69,"AB")+COUNTIF($G69:$M69,"FE")+COUNTIF($G69:$M69,"LM")))</f>
        <v/>
      </c>
      <c r="AV69" s="117">
        <f>SUMPRODUCT(($N69:$T69="M")*6+($N69:$T69="T")*6+($N69:$T69="D")*12+($N69:$T69="N")*12+($N69:$T69="NT")*6+($N69:$T69="C")*10+($N69:$T69="A")*8+($N69:$T69="J")*5+($N69:$T69="CEP")*4+($N69:$T69="CP")*6+($N69:$T69="CRO")*6+($N69:$T69="M+")*6+($N69:$T69="T+")*6+($N69:$T69="D+")*12+($N69:$T69="N+")*12+($N69:$T69="Dm+")*12+($N69:$T69="Dt+")*12+($N69:$T69="Tm-")*6+($N69:$T69="Mt-")*6)</f>
        <v/>
      </c>
      <c r="AW69" s="118">
        <f>AV69-MAX(0,IFERROR(INDEX(CADASTRO!$I$4:$I$80,MATCH($A69,CADASTRO!$A$4:$A$80,0)),$B69)-CONFIG!$B$50*(COUNTIF($N69:$T69,"AB")+COUNTIF($N69:$T69,"FE")+COUNTIF($N69:$T69,"LM")))</f>
        <v/>
      </c>
      <c r="AX69" s="117">
        <f>SUMPRODUCT(($U69:$AA69="M")*6+($U69:$AA69="T")*6+($U69:$AA69="D")*12+($U69:$AA69="N")*12+($U69:$AA69="NT")*6+($U69:$AA69="C")*10+($U69:$AA69="A")*8+($U69:$AA69="J")*5+($U69:$AA69="CEP")*4+($U69:$AA69="CP")*6+($U69:$AA69="CRO")*6+($U69:$AA69="M+")*6+($U69:$AA69="T+")*6+($U69:$AA69="D+")*12+($U69:$AA69="N+")*12+($U69:$AA69="Dm+")*12+($U69:$AA69="Dt+")*12+($U69:$AA69="Tm-")*6+($U69:$AA69="Mt-")*6)</f>
        <v/>
      </c>
      <c r="AY69" s="118">
        <f>AX69-MAX(0,IFERROR(INDEX(CADASTRO!$I$4:$I$80,MATCH($A69,CADASTRO!$A$4:$A$80,0)),$B69)-CONFIG!$B$50*(COUNTIF($U69:$AA69,"AB")+COUNTIF($U69:$AA69,"FE")+COUNTIF($U69:$AA69,"LM")))</f>
        <v/>
      </c>
      <c r="AZ69" s="117">
        <f>SUMPRODUCT(($AB69:$AH69="M")*6+($AB69:$AH69="T")*6+($AB69:$AH69="D")*12+($AB69:$AH69="N")*12+($AB69:$AH69="NT")*6+($AB69:$AH69="C")*10+($AB69:$AH69="A")*8+($AB69:$AH69="J")*5+($AB69:$AH69="CEP")*4+($AB69:$AH69="CP")*6+($AB69:$AH69="CRO")*6+($AB69:$AH69="M+")*6+($AB69:$AH69="T+")*6+($AB69:$AH69="D+")*12+($AB69:$AH69="N+")*12+($AB69:$AH69="Dm+")*12+($AB69:$AH69="Dt+")*12+($AB69:$AH69="Tm-")*6+($AB69:$AH69="Mt-")*6)</f>
        <v/>
      </c>
      <c r="BA69" s="118">
        <f>AZ69-MAX(0,IFERROR(INDEX(CADASTRO!$I$4:$I$80,MATCH($A69,CADASTRO!$A$4:$A$80,0)),$B69)-CONFIG!$B$50*(COUNTIF($AB69:$AH69,"AB")+COUNTIF($AB69:$AH69,"FE")+COUNTIF($AB69:$AH69,"LM")))</f>
        <v/>
      </c>
      <c r="BB69" s="117">
        <f>SUMPRODUCT(($AI69:$AL69="M")*6+($AI69:$AL69="T")*6+($AI69:$AL69="D")*12+($AI69:$AL69="N")*12+($AI69:$AL69="NT")*6+($AI69:$AL69="C")*10+($AI69:$AL69="A")*8+($AI69:$AL69="J")*5+($AI69:$AL69="CEP")*4+($AI69:$AL69="CP")*6+($AI69:$AL69="CRO")*6+($AI69:$AL69="M+")*6+($AI69:$AL69="T+")*6+($AI69:$AL69="D+")*12+($AI69:$AL69="N+")*12+($AI69:$AL69="Dm+")*12+($AI69:$AL69="Dt+")*12+($AI69:$AL69="Tm-")*6+($AI69:$AL69="Mt-")*6)+SUMPRODUCT(($AN69:$AP69="M")*6+($AN69:$AP69="T")*6+($AN69:$AP69="D")*12+($AN69:$AP69="N")*12+($AN69:$AP69="NT")*6+($AN69:$AP69="C")*10+($AN69:$AP69="A")*8+($AN69:$AP69="J")*5+($AN69:$AP69="CEP")*4+($AN69:$AP69="CP")*6+($AN69:$AP69="CRO")*6+($AN69:$AP69="M+")*6+($AN69:$AP69="T+")*6+($AN69:$AP69="D+")*12+($AN69:$AP69="N+")*12+($AN69:$AP69="Dm+")*12+($AN69:$AP69="Dt+")*12+($AN69:$AP69="Tm-")*6+($AN69:$AP69="Mt-")*6)</f>
        <v/>
      </c>
      <c r="BC69" s="118">
        <f>BB69-MAX(0,IFERROR(INDEX(CADASTRO!$I$4:$I$80,MATCH($A69,CADASTRO!$A$4:$A$80,0)),$B69)-CONFIG!$B$50*(COUNTIF($AI69:$AL69,"AB")+COUNTIF($AI69:$AL69,"FE")+COUNTIF($AI69:$AL69,"LM")+COUNTIF($AN69:$AP69,"AB")+COUNTIF($AN69:$AP69,"FE")+COUNTIF($AN69:$AP69,"LM")))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ROUND(B69*4.29,0)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36">
        <f>IFERROR(INDEX(MAR!AL$8:AL$73,MATCH($A70,MAR!$A$8:$A$73,0))&amp;"","")</f>
        <v/>
      </c>
      <c r="H70" s="136">
        <f>IFERROR(INDEX(MAR!AM$8:AM$73,MATCH($A70,MAR!$A$8:$A$73,0))&amp;"","")</f>
        <v/>
      </c>
      <c r="I70" s="114" t="n"/>
      <c r="J70" s="125" t="inlineStr">
        <is>
          <t>N</t>
        </is>
      </c>
      <c r="K70" s="114" t="n"/>
      <c r="L70" s="114" t="n"/>
      <c r="M70" s="124" t="inlineStr">
        <is>
          <t>D</t>
        </is>
      </c>
      <c r="N70" s="114" t="n"/>
      <c r="O70" s="125" t="inlineStr">
        <is>
          <t>N</t>
        </is>
      </c>
      <c r="P70" s="114" t="n"/>
      <c r="Q70" s="126" t="inlineStr">
        <is>
          <t>T</t>
        </is>
      </c>
      <c r="R70" s="114" t="n"/>
      <c r="S70" s="114" t="n"/>
      <c r="T70" s="126" t="inlineStr">
        <is>
          <t>T</t>
        </is>
      </c>
      <c r="U70" s="114" t="n"/>
      <c r="V70" s="126" t="inlineStr">
        <is>
          <t>T</t>
        </is>
      </c>
      <c r="W70" s="125" t="inlineStr">
        <is>
          <t>N</t>
        </is>
      </c>
      <c r="X70" s="126" t="inlineStr">
        <is>
          <t>T</t>
        </is>
      </c>
      <c r="Y70" s="114" t="n"/>
      <c r="Z70" s="114" t="n"/>
      <c r="AA70" s="114" t="n"/>
      <c r="AB70" s="114" t="n"/>
      <c r="AC70" s="124" t="inlineStr">
        <is>
          <t>D</t>
        </is>
      </c>
      <c r="AD70" s="114" t="n"/>
      <c r="AE70" s="126" t="inlineStr">
        <is>
          <t>T</t>
        </is>
      </c>
      <c r="AF70" s="114" t="n"/>
      <c r="AG70" s="115" t="inlineStr">
        <is>
          <t>M</t>
        </is>
      </c>
      <c r="AH70" s="114" t="n"/>
      <c r="AI70" s="114" t="n"/>
      <c r="AJ70" s="114" t="n"/>
      <c r="AK70" s="114" t="n"/>
      <c r="AL70" s="125" t="inlineStr">
        <is>
          <t>N</t>
        </is>
      </c>
      <c r="AM70" s="100" t="n"/>
      <c r="AN70" s="136">
        <f>IFERROR(INDEX(MAI!I$8:I$73,MATCH($A70,MAI!$A$8:$A$73,0))&amp;"","")</f>
        <v/>
      </c>
      <c r="AO70" s="116">
        <f>IFERROR(INDEX(MAI!J$8:J$73,MATCH($A70,MAI!$A$8:$A$73,0))&amp;"","")</f>
        <v/>
      </c>
      <c r="AP70" s="116">
        <f>IFERROR(INDEX(MAI!K$8:K$73,MATCH($A70,MAI!$A$8:$A$73,0))&amp;"","")</f>
        <v/>
      </c>
      <c r="AQ70" s="100" t="n"/>
      <c r="AR70" s="100" t="n"/>
      <c r="AS70" s="100" t="n"/>
      <c r="AT70" s="117">
        <f>SUMPRODUCT(($G70:$M70="M")*6+($G70:$M70="T")*6+($G70:$M70="D")*12+($G70:$M70="N")*12+($G70:$M70="NT")*6+($G70:$M70="C")*10+($G70:$M70="A")*8+($G70:$M70="J")*5+($G70:$M70="CEP")*4+($G70:$M70="CP")*6+($G70:$M70="CRO")*6+($G70:$M70="M+")*6+($G70:$M70="T+")*6+($G70:$M70="D+")*12+($G70:$M70="N+")*12+($G70:$M70="Dm+")*12+($G70:$M70="Dt+")*12+($G70:$M70="Tm-")*6+($G70:$M70="Mt-")*6)</f>
        <v/>
      </c>
      <c r="AU70" s="118">
        <f>AT70-MAX(0,IFERROR(INDEX(CADASTRO!$I$4:$I$80,MATCH($A70,CADASTRO!$A$4:$A$80,0)),$B70)-CONFIG!$B$50*(COUNTIF($G70:$M70,"AB")+COUNTIF($G70:$M70,"FE")+COUNTIF($G70:$M70,"LM")))</f>
        <v/>
      </c>
      <c r="AV70" s="117">
        <f>SUMPRODUCT(($N70:$T70="M")*6+($N70:$T70="T")*6+($N70:$T70="D")*12+($N70:$T70="N")*12+($N70:$T70="NT")*6+($N70:$T70="C")*10+($N70:$T70="A")*8+($N70:$T70="J")*5+($N70:$T70="CEP")*4+($N70:$T70="CP")*6+($N70:$T70="CRO")*6+($N70:$T70="M+")*6+($N70:$T70="T+")*6+($N70:$T70="D+")*12+($N70:$T70="N+")*12+($N70:$T70="Dm+")*12+($N70:$T70="Dt+")*12+($N70:$T70="Tm-")*6+($N70:$T70="Mt-")*6)</f>
        <v/>
      </c>
      <c r="AW70" s="118">
        <f>AV70-MAX(0,IFERROR(INDEX(CADASTRO!$I$4:$I$80,MATCH($A70,CADASTRO!$A$4:$A$80,0)),$B70)-CONFIG!$B$50*(COUNTIF($N70:$T70,"AB")+COUNTIF($N70:$T70,"FE")+COUNTIF($N70:$T70,"LM")))</f>
        <v/>
      </c>
      <c r="AX70" s="117">
        <f>SUMPRODUCT(($U70:$AA70="M")*6+($U70:$AA70="T")*6+($U70:$AA70="D")*12+($U70:$AA70="N")*12+($U70:$AA70="NT")*6+($U70:$AA70="C")*10+($U70:$AA70="A")*8+($U70:$AA70="J")*5+($U70:$AA70="CEP")*4+($U70:$AA70="CP")*6+($U70:$AA70="CRO")*6+($U70:$AA70="M+")*6+($U70:$AA70="T+")*6+($U70:$AA70="D+")*12+($U70:$AA70="N+")*12+($U70:$AA70="Dm+")*12+($U70:$AA70="Dt+")*12+($U70:$AA70="Tm-")*6+($U70:$AA70="Mt-")*6)</f>
        <v/>
      </c>
      <c r="AY70" s="118">
        <f>AX70-MAX(0,IFERROR(INDEX(CADASTRO!$I$4:$I$80,MATCH($A70,CADASTRO!$A$4:$A$80,0)),$B70)-CONFIG!$B$50*(COUNTIF($U70:$AA70,"AB")+COUNTIF($U70:$AA70,"FE")+COUNTIF($U70:$AA70,"LM")))</f>
        <v/>
      </c>
      <c r="AZ70" s="117">
        <f>SUMPRODUCT(($AB70:$AH70="M")*6+($AB70:$AH70="T")*6+($AB70:$AH70="D")*12+($AB70:$AH70="N")*12+($AB70:$AH70="NT")*6+($AB70:$AH70="C")*10+($AB70:$AH70="A")*8+($AB70:$AH70="J")*5+($AB70:$AH70="CEP")*4+($AB70:$AH70="CP")*6+($AB70:$AH70="CRO")*6+($AB70:$AH70="M+")*6+($AB70:$AH70="T+")*6+($AB70:$AH70="D+")*12+($AB70:$AH70="N+")*12+($AB70:$AH70="Dm+")*12+($AB70:$AH70="Dt+")*12+($AB70:$AH70="Tm-")*6+($AB70:$AH70="Mt-")*6)</f>
        <v/>
      </c>
      <c r="BA70" s="118">
        <f>AZ70-MAX(0,IFERROR(INDEX(CADASTRO!$I$4:$I$80,MATCH($A70,CADASTRO!$A$4:$A$80,0)),$B70)-CONFIG!$B$50*(COUNTIF($AB70:$AH70,"AB")+COUNTIF($AB70:$AH70,"FE")+COUNTIF($AB70:$AH70,"LM")))</f>
        <v/>
      </c>
      <c r="BB70" s="117">
        <f>SUMPRODUCT(($AI70:$AL70="M")*6+($AI70:$AL70="T")*6+($AI70:$AL70="D")*12+($AI70:$AL70="N")*12+($AI70:$AL70="NT")*6+($AI70:$AL70="C")*10+($AI70:$AL70="A")*8+($AI70:$AL70="J")*5+($AI70:$AL70="CEP")*4+($AI70:$AL70="CP")*6+($AI70:$AL70="CRO")*6+($AI70:$AL70="M+")*6+($AI70:$AL70="T+")*6+($AI70:$AL70="D+")*12+($AI70:$AL70="N+")*12+($AI70:$AL70="Dm+")*12+($AI70:$AL70="Dt+")*12+($AI70:$AL70="Tm-")*6+($AI70:$AL70="Mt-")*6)+SUMPRODUCT(($AN70:$AP70="M")*6+($AN70:$AP70="T")*6+($AN70:$AP70="D")*12+($AN70:$AP70="N")*12+($AN70:$AP70="NT")*6+($AN70:$AP70="C")*10+($AN70:$AP70="A")*8+($AN70:$AP70="J")*5+($AN70:$AP70="CEP")*4+($AN70:$AP70="CP")*6+($AN70:$AP70="CRO")*6+($AN70:$AP70="M+")*6+($AN70:$AP70="T+")*6+($AN70:$AP70="D+")*12+($AN70:$AP70="N+")*12+($AN70:$AP70="Dm+")*12+($AN70:$AP70="Dt+")*12+($AN70:$AP70="Tm-")*6+($AN70:$AP70="Mt-")*6)</f>
        <v/>
      </c>
      <c r="BC70" s="118">
        <f>BB70-MAX(0,IFERROR(INDEX(CADASTRO!$I$4:$I$80,MATCH($A70,CADASTRO!$A$4:$A$80,0)),$B70)-CONFIG!$B$50*(COUNTIF($AI70:$AL70,"AB")+COUNTIF($AI70:$AL70,"FE")+COUNTIF($AI70:$AL70,"LM")+COUNTIF($AN70:$AP70,"AB")+COUNTIF($AN70:$AP70,"FE")+COUNTIF($AN70:$AP70,"LM")))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ROUND(B70*4.29,0)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36">
        <f>IFERROR(INDEX(MAR!AL$8:AL$73,MATCH($A71,MAR!$A$8:$A$73,0))&amp;"","")</f>
        <v/>
      </c>
      <c r="H71" s="136">
        <f>IFERROR(INDEX(MAR!AM$8:AM$73,MATCH($A71,MAR!$A$8:$A$73,0))&amp;"","")</f>
        <v/>
      </c>
      <c r="I71" s="114" t="n"/>
      <c r="J71" s="114" t="n"/>
      <c r="K71" s="114" t="n"/>
      <c r="L71" s="125" t="inlineStr">
        <is>
          <t>N</t>
        </is>
      </c>
      <c r="M71" s="114" t="n"/>
      <c r="N71" s="126" t="inlineStr">
        <is>
          <t>T</t>
        </is>
      </c>
      <c r="O71" s="126" t="inlineStr">
        <is>
          <t>T</t>
        </is>
      </c>
      <c r="P71" s="114" t="n"/>
      <c r="Q71" s="114" t="n"/>
      <c r="R71" s="123" t="inlineStr">
        <is>
          <t>T+</t>
        </is>
      </c>
      <c r="S71" s="124" t="inlineStr">
        <is>
          <t>D</t>
        </is>
      </c>
      <c r="T71" s="114" t="n"/>
      <c r="U71" s="124" t="inlineStr">
        <is>
          <t>D</t>
        </is>
      </c>
      <c r="V71" s="114" t="n"/>
      <c r="W71" s="124" t="inlineStr">
        <is>
          <t>D</t>
        </is>
      </c>
      <c r="X71" s="114" t="n"/>
      <c r="Y71" s="114" t="n"/>
      <c r="Z71" s="114" t="n"/>
      <c r="AA71" s="114" t="n"/>
      <c r="AB71" s="114" t="n"/>
      <c r="AC71" s="126" t="inlineStr">
        <is>
          <t>T</t>
        </is>
      </c>
      <c r="AD71" s="114" t="n"/>
      <c r="AE71" s="127" t="inlineStr">
        <is>
          <t>T-</t>
        </is>
      </c>
      <c r="AF71" s="124" t="inlineStr">
        <is>
          <t>D</t>
        </is>
      </c>
      <c r="AG71" s="114" t="n"/>
      <c r="AH71" s="114" t="n"/>
      <c r="AI71" s="124" t="inlineStr">
        <is>
          <t>D</t>
        </is>
      </c>
      <c r="AJ71" s="125" t="inlineStr">
        <is>
          <t>N</t>
        </is>
      </c>
      <c r="AK71" s="114" t="n"/>
      <c r="AL71" s="114" t="n"/>
      <c r="AM71" s="100" t="n"/>
      <c r="AN71" s="136">
        <f>IFERROR(INDEX(MAI!I$8:I$73,MATCH($A71,MAI!$A$8:$A$73,0))&amp;"","")</f>
        <v/>
      </c>
      <c r="AO71" s="116">
        <f>IFERROR(INDEX(MAI!J$8:J$73,MATCH($A71,MAI!$A$8:$A$73,0))&amp;"","")</f>
        <v/>
      </c>
      <c r="AP71" s="116">
        <f>IFERROR(INDEX(MAI!K$8:K$73,MATCH($A71,MAI!$A$8:$A$73,0))&amp;"","")</f>
        <v/>
      </c>
      <c r="AQ71" s="100" t="n"/>
      <c r="AR71" s="100" t="n"/>
      <c r="AS71" s="100" t="n"/>
      <c r="AT71" s="117">
        <f>SUMPRODUCT(($G71:$M71="M")*6+($G71:$M71="T")*6+($G71:$M71="D")*12+($G71:$M71="N")*12+($G71:$M71="NT")*6+($G71:$M71="C")*10+($G71:$M71="A")*8+($G71:$M71="J")*5+($G71:$M71="CEP")*4+($G71:$M71="CP")*6+($G71:$M71="CRO")*6+($G71:$M71="M+")*6+($G71:$M71="T+")*6+($G71:$M71="D+")*12+($G71:$M71="N+")*12+($G71:$M71="Dm+")*12+($G71:$M71="Dt+")*12+($G71:$M71="Tm-")*6+($G71:$M71="Mt-")*6)</f>
        <v/>
      </c>
      <c r="AU71" s="118">
        <f>AT71-MAX(0,IFERROR(INDEX(CADASTRO!$I$4:$I$80,MATCH($A71,CADASTRO!$A$4:$A$80,0)),$B71)-CONFIG!$B$50*(COUNTIF($G71:$M71,"AB")+COUNTIF($G71:$M71,"FE")+COUNTIF($G71:$M71,"LM")))</f>
        <v/>
      </c>
      <c r="AV71" s="117">
        <f>SUMPRODUCT(($N71:$T71="M")*6+($N71:$T71="T")*6+($N71:$T71="D")*12+($N71:$T71="N")*12+($N71:$T71="NT")*6+($N71:$T71="C")*10+($N71:$T71="A")*8+($N71:$T71="J")*5+($N71:$T71="CEP")*4+($N71:$T71="CP")*6+($N71:$T71="CRO")*6+($N71:$T71="M+")*6+($N71:$T71="T+")*6+($N71:$T71="D+")*12+($N71:$T71="N+")*12+($N71:$T71="Dm+")*12+($N71:$T71="Dt+")*12+($N71:$T71="Tm-")*6+($N71:$T71="Mt-")*6)</f>
        <v/>
      </c>
      <c r="AW71" s="118">
        <f>AV71-MAX(0,IFERROR(INDEX(CADASTRO!$I$4:$I$80,MATCH($A71,CADASTRO!$A$4:$A$80,0)),$B71)-CONFIG!$B$50*(COUNTIF($N71:$T71,"AB")+COUNTIF($N71:$T71,"FE")+COUNTIF($N71:$T71,"LM")))</f>
        <v/>
      </c>
      <c r="AX71" s="117">
        <f>SUMPRODUCT(($U71:$AA71="M")*6+($U71:$AA71="T")*6+($U71:$AA71="D")*12+($U71:$AA71="N")*12+($U71:$AA71="NT")*6+($U71:$AA71="C")*10+($U71:$AA71="A")*8+($U71:$AA71="J")*5+($U71:$AA71="CEP")*4+($U71:$AA71="CP")*6+($U71:$AA71="CRO")*6+($U71:$AA71="M+")*6+($U71:$AA71="T+")*6+($U71:$AA71="D+")*12+($U71:$AA71="N+")*12+($U71:$AA71="Dm+")*12+($U71:$AA71="Dt+")*12+($U71:$AA71="Tm-")*6+($U71:$AA71="Mt-")*6)</f>
        <v/>
      </c>
      <c r="AY71" s="118">
        <f>AX71-MAX(0,IFERROR(INDEX(CADASTRO!$I$4:$I$80,MATCH($A71,CADASTRO!$A$4:$A$80,0)),$B71)-CONFIG!$B$50*(COUNTIF($U71:$AA71,"AB")+COUNTIF($U71:$AA71,"FE")+COUNTIF($U71:$AA71,"LM")))</f>
        <v/>
      </c>
      <c r="AZ71" s="117">
        <f>SUMPRODUCT(($AB71:$AH71="M")*6+($AB71:$AH71="T")*6+($AB71:$AH71="D")*12+($AB71:$AH71="N")*12+($AB71:$AH71="NT")*6+($AB71:$AH71="C")*10+($AB71:$AH71="A")*8+($AB71:$AH71="J")*5+($AB71:$AH71="CEP")*4+($AB71:$AH71="CP")*6+($AB71:$AH71="CRO")*6+($AB71:$AH71="M+")*6+($AB71:$AH71="T+")*6+($AB71:$AH71="D+")*12+($AB71:$AH71="N+")*12+($AB71:$AH71="Dm+")*12+($AB71:$AH71="Dt+")*12+($AB71:$AH71="Tm-")*6+($AB71:$AH71="Mt-")*6)</f>
        <v/>
      </c>
      <c r="BA71" s="118">
        <f>AZ71-MAX(0,IFERROR(INDEX(CADASTRO!$I$4:$I$80,MATCH($A71,CADASTRO!$A$4:$A$80,0)),$B71)-CONFIG!$B$50*(COUNTIF($AB71:$AH71,"AB")+COUNTIF($AB71:$AH71,"FE")+COUNTIF($AB71:$AH71,"LM")))</f>
        <v/>
      </c>
      <c r="BB71" s="117">
        <f>SUMPRODUCT(($AI71:$AL71="M")*6+($AI71:$AL71="T")*6+($AI71:$AL71="D")*12+($AI71:$AL71="N")*12+($AI71:$AL71="NT")*6+($AI71:$AL71="C")*10+($AI71:$AL71="A")*8+($AI71:$AL71="J")*5+($AI71:$AL71="CEP")*4+($AI71:$AL71="CP")*6+($AI71:$AL71="CRO")*6+($AI71:$AL71="M+")*6+($AI71:$AL71="T+")*6+($AI71:$AL71="D+")*12+($AI71:$AL71="N+")*12+($AI71:$AL71="Dm+")*12+($AI71:$AL71="Dt+")*12+($AI71:$AL71="Tm-")*6+($AI71:$AL71="Mt-")*6)+SUMPRODUCT(($AN71:$AP71="M")*6+($AN71:$AP71="T")*6+($AN71:$AP71="D")*12+($AN71:$AP71="N")*12+($AN71:$AP71="NT")*6+($AN71:$AP71="C")*10+($AN71:$AP71="A")*8+($AN71:$AP71="J")*5+($AN71:$AP71="CEP")*4+($AN71:$AP71="CP")*6+($AN71:$AP71="CRO")*6+($AN71:$AP71="M+")*6+($AN71:$AP71="T+")*6+($AN71:$AP71="D+")*12+($AN71:$AP71="N+")*12+($AN71:$AP71="Dm+")*12+($AN71:$AP71="Dt+")*12+($AN71:$AP71="Tm-")*6+($AN71:$AP71="Mt-")*6)</f>
        <v/>
      </c>
      <c r="BC71" s="118">
        <f>BB71-MAX(0,IFERROR(INDEX(CADASTRO!$I$4:$I$80,MATCH($A71,CADASTRO!$A$4:$A$80,0)),$B71)-CONFIG!$B$50*(COUNTIF($AI71:$AL71,"AB")+COUNTIF($AI71:$AL71,"FE")+COUNTIF($AI71:$AL71,"LM")+COUNTIF($AN71:$AP71,"AB")+COUNTIF($AN71:$AP71,"FE")+COUNTIF($AN71:$AP71,"LM")))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ROUND(B71*4.29,0)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36">
        <f>IFERROR(INDEX(MAR!AL$8:AL$73,MATCH($A72,MAR!$A$8:$A$73,0))&amp;"","")</f>
        <v/>
      </c>
      <c r="H72" s="136">
        <f>IFERROR(INDEX(MAR!AM$8:AM$73,MATCH($A72,MAR!$A$8:$A$73,0))&amp;"","")</f>
        <v/>
      </c>
      <c r="I72" s="114" t="n"/>
      <c r="J72" s="114" t="n"/>
      <c r="K72" s="114" t="n"/>
      <c r="L72" s="114" t="n"/>
      <c r="M72" s="114" t="n"/>
      <c r="N72" s="114" t="n"/>
      <c r="O72" s="126" t="inlineStr">
        <is>
          <t>T</t>
        </is>
      </c>
      <c r="P72" s="114" t="n"/>
      <c r="Q72" s="114" t="n"/>
      <c r="R72" s="126" t="inlineStr">
        <is>
          <t>T</t>
        </is>
      </c>
      <c r="S72" s="124" t="inlineStr">
        <is>
          <t>D</t>
        </is>
      </c>
      <c r="T72" s="126" t="inlineStr">
        <is>
          <t>T</t>
        </is>
      </c>
      <c r="U72" s="114" t="n"/>
      <c r="V72" s="126" t="inlineStr">
        <is>
          <t>T</t>
        </is>
      </c>
      <c r="W72" s="126" t="inlineStr">
        <is>
          <t>T</t>
        </is>
      </c>
      <c r="X72" s="126" t="inlineStr">
        <is>
          <t>T</t>
        </is>
      </c>
      <c r="Y72" s="124" t="inlineStr">
        <is>
          <t>D</t>
        </is>
      </c>
      <c r="Z72" s="114" t="n"/>
      <c r="AA72" s="114" t="n"/>
      <c r="AB72" s="114" t="n"/>
      <c r="AC72" s="126" t="inlineStr">
        <is>
          <t>T</t>
        </is>
      </c>
      <c r="AD72" s="114" t="n"/>
      <c r="AE72" s="114" t="n"/>
      <c r="AF72" s="126" t="inlineStr">
        <is>
          <t>T</t>
        </is>
      </c>
      <c r="AG72" s="125" t="inlineStr">
        <is>
          <t>N</t>
        </is>
      </c>
      <c r="AH72" s="126" t="inlineStr">
        <is>
          <t>T</t>
        </is>
      </c>
      <c r="AI72" s="114" t="n"/>
      <c r="AJ72" s="126" t="inlineStr">
        <is>
          <t>T</t>
        </is>
      </c>
      <c r="AK72" s="125" t="inlineStr">
        <is>
          <t>N</t>
        </is>
      </c>
      <c r="AL72" s="114" t="n"/>
      <c r="AM72" s="100" t="n"/>
      <c r="AN72" s="136">
        <f>IFERROR(INDEX(MAI!I$8:I$73,MATCH($A72,MAI!$A$8:$A$73,0))&amp;"","")</f>
        <v/>
      </c>
      <c r="AO72" s="116">
        <f>IFERROR(INDEX(MAI!J$8:J$73,MATCH($A72,MAI!$A$8:$A$73,0))&amp;"","")</f>
        <v/>
      </c>
      <c r="AP72" s="116">
        <f>IFERROR(INDEX(MAI!K$8:K$73,MATCH($A72,MAI!$A$8:$A$73,0))&amp;"","")</f>
        <v/>
      </c>
      <c r="AQ72" s="100" t="n"/>
      <c r="AR72" s="100" t="n"/>
      <c r="AS72" s="100" t="n"/>
      <c r="AT72" s="117">
        <f>SUMPRODUCT(($G72:$M72="M")*6+($G72:$M72="T")*6+($G72:$M72="D")*12+($G72:$M72="N")*12+($G72:$M72="NT")*6+($G72:$M72="C")*10+($G72:$M72="A")*8+($G72:$M72="J")*5+($G72:$M72="CEP")*4+($G72:$M72="CP")*6+($G72:$M72="CRO")*6+($G72:$M72="M+")*6+($G72:$M72="T+")*6+($G72:$M72="D+")*12+($G72:$M72="N+")*12+($G72:$M72="Dm+")*12+($G72:$M72="Dt+")*12+($G72:$M72="Tm-")*6+($G72:$M72="Mt-")*6)</f>
        <v/>
      </c>
      <c r="AU72" s="118">
        <f>AT72-MAX(0,IFERROR(INDEX(CADASTRO!$I$4:$I$80,MATCH($A72,CADASTRO!$A$4:$A$80,0)),$B72)-CONFIG!$B$50*(COUNTIF($G72:$M72,"AB")+COUNTIF($G72:$M72,"FE")+COUNTIF($G72:$M72,"LM")))</f>
        <v/>
      </c>
      <c r="AV72" s="117">
        <f>SUMPRODUCT(($N72:$T72="M")*6+($N72:$T72="T")*6+($N72:$T72="D")*12+($N72:$T72="N")*12+($N72:$T72="NT")*6+($N72:$T72="C")*10+($N72:$T72="A")*8+($N72:$T72="J")*5+($N72:$T72="CEP")*4+($N72:$T72="CP")*6+($N72:$T72="CRO")*6+($N72:$T72="M+")*6+($N72:$T72="T+")*6+($N72:$T72="D+")*12+($N72:$T72="N+")*12+($N72:$T72="Dm+")*12+($N72:$T72="Dt+")*12+($N72:$T72="Tm-")*6+($N72:$T72="Mt-")*6)</f>
        <v/>
      </c>
      <c r="AW72" s="118">
        <f>AV72-MAX(0,IFERROR(INDEX(CADASTRO!$I$4:$I$80,MATCH($A72,CADASTRO!$A$4:$A$80,0)),$B72)-CONFIG!$B$50*(COUNTIF($N72:$T72,"AB")+COUNTIF($N72:$T72,"FE")+COUNTIF($N72:$T72,"LM")))</f>
        <v/>
      </c>
      <c r="AX72" s="117">
        <f>SUMPRODUCT(($U72:$AA72="M")*6+($U72:$AA72="T")*6+($U72:$AA72="D")*12+($U72:$AA72="N")*12+($U72:$AA72="NT")*6+($U72:$AA72="C")*10+($U72:$AA72="A")*8+($U72:$AA72="J")*5+($U72:$AA72="CEP")*4+($U72:$AA72="CP")*6+($U72:$AA72="CRO")*6+($U72:$AA72="M+")*6+($U72:$AA72="T+")*6+($U72:$AA72="D+")*12+($U72:$AA72="N+")*12+($U72:$AA72="Dm+")*12+($U72:$AA72="Dt+")*12+($U72:$AA72="Tm-")*6+($U72:$AA72="Mt-")*6)</f>
        <v/>
      </c>
      <c r="AY72" s="118">
        <f>AX72-MAX(0,IFERROR(INDEX(CADASTRO!$I$4:$I$80,MATCH($A72,CADASTRO!$A$4:$A$80,0)),$B72)-CONFIG!$B$50*(COUNTIF($U72:$AA72,"AB")+COUNTIF($U72:$AA72,"FE")+COUNTIF($U72:$AA72,"LM")))</f>
        <v/>
      </c>
      <c r="AZ72" s="117">
        <f>SUMPRODUCT(($AB72:$AH72="M")*6+($AB72:$AH72="T")*6+($AB72:$AH72="D")*12+($AB72:$AH72="N")*12+($AB72:$AH72="NT")*6+($AB72:$AH72="C")*10+($AB72:$AH72="A")*8+($AB72:$AH72="J")*5+($AB72:$AH72="CEP")*4+($AB72:$AH72="CP")*6+($AB72:$AH72="CRO")*6+($AB72:$AH72="M+")*6+($AB72:$AH72="T+")*6+($AB72:$AH72="D+")*12+($AB72:$AH72="N+")*12+($AB72:$AH72="Dm+")*12+($AB72:$AH72="Dt+")*12+($AB72:$AH72="Tm-")*6+($AB72:$AH72="Mt-")*6)</f>
        <v/>
      </c>
      <c r="BA72" s="118">
        <f>AZ72-MAX(0,IFERROR(INDEX(CADASTRO!$I$4:$I$80,MATCH($A72,CADASTRO!$A$4:$A$80,0)),$B72)-CONFIG!$B$50*(COUNTIF($AB72:$AH72,"AB")+COUNTIF($AB72:$AH72,"FE")+COUNTIF($AB72:$AH72,"LM")))</f>
        <v/>
      </c>
      <c r="BB72" s="117">
        <f>SUMPRODUCT(($AI72:$AL72="M")*6+($AI72:$AL72="T")*6+($AI72:$AL72="D")*12+($AI72:$AL72="N")*12+($AI72:$AL72="NT")*6+($AI72:$AL72="C")*10+($AI72:$AL72="A")*8+($AI72:$AL72="J")*5+($AI72:$AL72="CEP")*4+($AI72:$AL72="CP")*6+($AI72:$AL72="CRO")*6+($AI72:$AL72="M+")*6+($AI72:$AL72="T+")*6+($AI72:$AL72="D+")*12+($AI72:$AL72="N+")*12+($AI72:$AL72="Dm+")*12+($AI72:$AL72="Dt+")*12+($AI72:$AL72="Tm-")*6+($AI72:$AL72="Mt-")*6)+SUMPRODUCT(($AN72:$AP72="M")*6+($AN72:$AP72="T")*6+($AN72:$AP72="D")*12+($AN72:$AP72="N")*12+($AN72:$AP72="NT")*6+($AN72:$AP72="C")*10+($AN72:$AP72="A")*8+($AN72:$AP72="J")*5+($AN72:$AP72="CEP")*4+($AN72:$AP72="CP")*6+($AN72:$AP72="CRO")*6+($AN72:$AP72="M+")*6+($AN72:$AP72="T+")*6+($AN72:$AP72="D+")*12+($AN72:$AP72="N+")*12+($AN72:$AP72="Dm+")*12+($AN72:$AP72="Dt+")*12+($AN72:$AP72="Tm-")*6+($AN72:$AP72="Mt-")*6)</f>
        <v/>
      </c>
      <c r="BC72" s="118">
        <f>BB72-MAX(0,IFERROR(INDEX(CADASTRO!$I$4:$I$80,MATCH($A72,CADASTRO!$A$4:$A$80,0)),$B72)-CONFIG!$B$50*(COUNTIF($AI72:$AL72,"AB")+COUNTIF($AI72:$AL72,"FE")+COUNTIF($AI72:$AL72,"LM")+COUNTIF($AN72:$AP72,"AB")+COUNTIF($AN72:$AP72,"FE")+COUNTIF($AN72:$AP72,"LM")))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ROUND(B72*4.29,0)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36">
        <f>IFERROR(INDEX(MAR!AL$8:AL$73,MATCH($A73,MAR!$A$8:$A$73,0))&amp;"","")</f>
        <v/>
      </c>
      <c r="H73" s="136">
        <f>IFERROR(INDEX(MAR!AM$8:AM$73,MATCH($A73,MAR!$A$8:$A$73,0))&amp;"","")</f>
        <v/>
      </c>
      <c r="I73" s="114" t="n"/>
      <c r="J73" s="114" t="n"/>
      <c r="K73" s="124" t="inlineStr">
        <is>
          <t>D</t>
        </is>
      </c>
      <c r="L73" s="126" t="inlineStr">
        <is>
          <t>T</t>
        </is>
      </c>
      <c r="M73" s="114" t="n"/>
      <c r="N73" s="114" t="n"/>
      <c r="O73" s="114" t="n"/>
      <c r="P73" s="114" t="n"/>
      <c r="Q73" s="124" t="inlineStr">
        <is>
          <t>D</t>
        </is>
      </c>
      <c r="R73" s="115" t="inlineStr">
        <is>
          <t>M</t>
        </is>
      </c>
      <c r="S73" s="124" t="inlineStr">
        <is>
          <t>D</t>
        </is>
      </c>
      <c r="T73" s="114" t="n"/>
      <c r="U73" s="124" t="inlineStr">
        <is>
          <t>D</t>
        </is>
      </c>
      <c r="V73" s="114" t="n"/>
      <c r="W73" s="114" t="n"/>
      <c r="X73" s="114" t="n"/>
      <c r="Y73" s="124" t="inlineStr">
        <is>
          <t>D</t>
        </is>
      </c>
      <c r="Z73" s="126" t="inlineStr">
        <is>
          <t>T</t>
        </is>
      </c>
      <c r="AA73" s="114" t="n"/>
      <c r="AB73" s="114" t="n"/>
      <c r="AC73" s="114" t="n"/>
      <c r="AD73" s="125" t="inlineStr">
        <is>
          <t>N</t>
        </is>
      </c>
      <c r="AE73" s="114" t="n"/>
      <c r="AF73" s="115" t="inlineStr">
        <is>
          <t>M</t>
        </is>
      </c>
      <c r="AG73" s="114" t="n"/>
      <c r="AH73" s="124" t="inlineStr">
        <is>
          <t>D</t>
        </is>
      </c>
      <c r="AI73" s="125" t="inlineStr">
        <is>
          <t>N</t>
        </is>
      </c>
      <c r="AJ73" s="114" t="n"/>
      <c r="AK73" s="126" t="inlineStr">
        <is>
          <t>T</t>
        </is>
      </c>
      <c r="AL73" s="114" t="n"/>
      <c r="AM73" s="100" t="n"/>
      <c r="AN73" s="136">
        <f>IFERROR(INDEX(MAI!I$8:I$73,MATCH($A73,MAI!$A$8:$A$73,0))&amp;"","")</f>
        <v/>
      </c>
      <c r="AO73" s="116">
        <f>IFERROR(INDEX(MAI!J$8:J$73,MATCH($A73,MAI!$A$8:$A$73,0))&amp;"","")</f>
        <v/>
      </c>
      <c r="AP73" s="116">
        <f>IFERROR(INDEX(MAI!K$8:K$73,MATCH($A73,MAI!$A$8:$A$73,0))&amp;"","")</f>
        <v/>
      </c>
      <c r="AQ73" s="100" t="n"/>
      <c r="AR73" s="100" t="n"/>
      <c r="AS73" s="100" t="n"/>
      <c r="AT73" s="117">
        <f>SUMPRODUCT(($G73:$M73="M")*6+($G73:$M73="T")*6+($G73:$M73="D")*12+($G73:$M73="N")*12+($G73:$M73="NT")*6+($G73:$M73="C")*10+($G73:$M73="A")*8+($G73:$M73="J")*5+($G73:$M73="CEP")*4+($G73:$M73="CP")*6+($G73:$M73="CRO")*6+($G73:$M73="M+")*6+($G73:$M73="T+")*6+($G73:$M73="D+")*12+($G73:$M73="N+")*12+($G73:$M73="Dm+")*12+($G73:$M73="Dt+")*12+($G73:$M73="Tm-")*6+($G73:$M73="Mt-")*6)</f>
        <v/>
      </c>
      <c r="AU73" s="118">
        <f>AT73-MAX(0,IFERROR(INDEX(CADASTRO!$I$4:$I$80,MATCH($A73,CADASTRO!$A$4:$A$80,0)),$B73)-CONFIG!$B$50*(COUNTIF($G73:$M73,"AB")+COUNTIF($G73:$M73,"FE")+COUNTIF($G73:$M73,"LM")))</f>
        <v/>
      </c>
      <c r="AV73" s="117">
        <f>SUMPRODUCT(($N73:$T73="M")*6+($N73:$T73="T")*6+($N73:$T73="D")*12+($N73:$T73="N")*12+($N73:$T73="NT")*6+($N73:$T73="C")*10+($N73:$T73="A")*8+($N73:$T73="J")*5+($N73:$T73="CEP")*4+($N73:$T73="CP")*6+($N73:$T73="CRO")*6+($N73:$T73="M+")*6+($N73:$T73="T+")*6+($N73:$T73="D+")*12+($N73:$T73="N+")*12+($N73:$T73="Dm+")*12+($N73:$T73="Dt+")*12+($N73:$T73="Tm-")*6+($N73:$T73="Mt-")*6)</f>
        <v/>
      </c>
      <c r="AW73" s="118">
        <f>AV73-MAX(0,IFERROR(INDEX(CADASTRO!$I$4:$I$80,MATCH($A73,CADASTRO!$A$4:$A$80,0)),$B73)-CONFIG!$B$50*(COUNTIF($N73:$T73,"AB")+COUNTIF($N73:$T73,"FE")+COUNTIF($N73:$T73,"LM")))</f>
        <v/>
      </c>
      <c r="AX73" s="117">
        <f>SUMPRODUCT(($U73:$AA73="M")*6+($U73:$AA73="T")*6+($U73:$AA73="D")*12+($U73:$AA73="N")*12+($U73:$AA73="NT")*6+($U73:$AA73="C")*10+($U73:$AA73="A")*8+($U73:$AA73="J")*5+($U73:$AA73="CEP")*4+($U73:$AA73="CP")*6+($U73:$AA73="CRO")*6+($U73:$AA73="M+")*6+($U73:$AA73="T+")*6+($U73:$AA73="D+")*12+($U73:$AA73="N+")*12+($U73:$AA73="Dm+")*12+($U73:$AA73="Dt+")*12+($U73:$AA73="Tm-")*6+($U73:$AA73="Mt-")*6)</f>
        <v/>
      </c>
      <c r="AY73" s="118">
        <f>AX73-MAX(0,IFERROR(INDEX(CADASTRO!$I$4:$I$80,MATCH($A73,CADASTRO!$A$4:$A$80,0)),$B73)-CONFIG!$B$50*(COUNTIF($U73:$AA73,"AB")+COUNTIF($U73:$AA73,"FE")+COUNTIF($U73:$AA73,"LM")))</f>
        <v/>
      </c>
      <c r="AZ73" s="117">
        <f>SUMPRODUCT(($AB73:$AH73="M")*6+($AB73:$AH73="T")*6+($AB73:$AH73="D")*12+($AB73:$AH73="N")*12+($AB73:$AH73="NT")*6+($AB73:$AH73="C")*10+($AB73:$AH73="A")*8+($AB73:$AH73="J")*5+($AB73:$AH73="CEP")*4+($AB73:$AH73="CP")*6+($AB73:$AH73="CRO")*6+($AB73:$AH73="M+")*6+($AB73:$AH73="T+")*6+($AB73:$AH73="D+")*12+($AB73:$AH73="N+")*12+($AB73:$AH73="Dm+")*12+($AB73:$AH73="Dt+")*12+($AB73:$AH73="Tm-")*6+($AB73:$AH73="Mt-")*6)</f>
        <v/>
      </c>
      <c r="BA73" s="118">
        <f>AZ73-MAX(0,IFERROR(INDEX(CADASTRO!$I$4:$I$80,MATCH($A73,CADASTRO!$A$4:$A$80,0)),$B73)-CONFIG!$B$50*(COUNTIF($AB73:$AH73,"AB")+COUNTIF($AB73:$AH73,"FE")+COUNTIF($AB73:$AH73,"LM")))</f>
        <v/>
      </c>
      <c r="BB73" s="117">
        <f>SUMPRODUCT(($AI73:$AL73="M")*6+($AI73:$AL73="T")*6+($AI73:$AL73="D")*12+($AI73:$AL73="N")*12+($AI73:$AL73="NT")*6+($AI73:$AL73="C")*10+($AI73:$AL73="A")*8+($AI73:$AL73="J")*5+($AI73:$AL73="CEP")*4+($AI73:$AL73="CP")*6+($AI73:$AL73="CRO")*6+($AI73:$AL73="M+")*6+($AI73:$AL73="T+")*6+($AI73:$AL73="D+")*12+($AI73:$AL73="N+")*12+($AI73:$AL73="Dm+")*12+($AI73:$AL73="Dt+")*12+($AI73:$AL73="Tm-")*6+($AI73:$AL73="Mt-")*6)+SUMPRODUCT(($AN73:$AP73="M")*6+($AN73:$AP73="T")*6+($AN73:$AP73="D")*12+($AN73:$AP73="N")*12+($AN73:$AP73="NT")*6+($AN73:$AP73="C")*10+($AN73:$AP73="A")*8+($AN73:$AP73="J")*5+($AN73:$AP73="CEP")*4+($AN73:$AP73="CP")*6+($AN73:$AP73="CRO")*6+($AN73:$AP73="M+")*6+($AN73:$AP73="T+")*6+($AN73:$AP73="D+")*12+($AN73:$AP73="N+")*12+($AN73:$AP73="Dm+")*12+($AN73:$AP73="Dt+")*12+($AN73:$AP73="Tm-")*6+($AN73:$AP73="Mt-")*6)</f>
        <v/>
      </c>
      <c r="BC73" s="118">
        <f>BB73-MAX(0,IFERROR(INDEX(CADASTRO!$I$4:$I$80,MATCH($A73,CADASTRO!$A$4:$A$80,0)),$B73)-CONFIG!$B$50*(COUNTIF($AI73:$AL73,"AB")+COUNTIF($AI73:$AL73,"FE")+COUNTIF($AI73:$AL73,"LM")+COUNTIF($AN73:$AP73,"AB")+COUNTIF($AN73:$AP73,"FE")+COUNTIF($AN73:$AP73,"LM")))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ROUND(B73*4.29,0)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39" t="n"/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39" t="n"/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39" t="n"/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135">
        <f>MAX(0,CONFIG!$B$9-G75)</f>
        <v/>
      </c>
      <c r="H78" s="135">
        <f>MAX(0,CONFIG!$B$9-H75)</f>
        <v/>
      </c>
      <c r="I78" s="135">
        <f>MAX(0,CONFIG!$B$9-I75)</f>
        <v/>
      </c>
      <c r="J78" s="135">
        <f>MAX(0,CONFIG!$B$9-J75)</f>
        <v/>
      </c>
      <c r="K78" s="135">
        <f>MAX(0,CONFIG!$B$9-K75)</f>
        <v/>
      </c>
      <c r="L78" s="135">
        <f>MAX(0,CONFIG!$B$10-L75)</f>
        <v/>
      </c>
      <c r="M78" s="135">
        <f>MAX(0,CONFIG!$B$11-M75)</f>
        <v/>
      </c>
      <c r="N78" s="135">
        <f>MAX(0,CONFIG!$B$9-N75)</f>
        <v/>
      </c>
      <c r="O78" s="135">
        <f>MAX(0,CONFIG!$B$9-O75)</f>
        <v/>
      </c>
      <c r="P78" s="135">
        <f>MAX(0,CONFIG!$B$9-P75)</f>
        <v/>
      </c>
      <c r="Q78" s="135">
        <f>MAX(0,CONFIG!$B$9-Q75)</f>
        <v/>
      </c>
      <c r="R78" s="135">
        <f>MAX(0,CONFIG!$B$9-R75)</f>
        <v/>
      </c>
      <c r="S78" s="135">
        <f>MAX(0,CONFIG!$B$10-S75)</f>
        <v/>
      </c>
      <c r="T78" s="135">
        <f>MAX(0,CONFIG!$B$11-T75)</f>
        <v/>
      </c>
      <c r="U78" s="135">
        <f>MAX(0,CONFIG!$B$9-U75)</f>
        <v/>
      </c>
      <c r="V78" s="135">
        <f>MAX(0,CONFIG!$B$9-V75)</f>
        <v/>
      </c>
      <c r="W78" s="135">
        <f>MAX(0,CONFIG!$B$9-W75)</f>
        <v/>
      </c>
      <c r="X78" s="135">
        <f>MAX(0,CONFIG!$B$9-X75)</f>
        <v/>
      </c>
      <c r="Y78" s="135">
        <f>MAX(0,CONFIG!$B$9-Y75)</f>
        <v/>
      </c>
      <c r="Z78" s="135">
        <f>MAX(0,CONFIG!$B$10-Z75)</f>
        <v/>
      </c>
      <c r="AA78" s="135">
        <f>MAX(0,CONFIG!$B$11-AA75)</f>
        <v/>
      </c>
      <c r="AB78" s="135">
        <f>MAX(0,CONFIG!$B$9-AB75)</f>
        <v/>
      </c>
      <c r="AC78" s="135">
        <f>MAX(0,CONFIG!$B$9-AC75)</f>
        <v/>
      </c>
      <c r="AD78" s="135">
        <f>MAX(0,CONFIG!$B$9-AD75)</f>
        <v/>
      </c>
      <c r="AE78" s="135">
        <f>MAX(0,CONFIG!$B$9-AE75)</f>
        <v/>
      </c>
      <c r="AF78" s="135">
        <f>MAX(0,CONFIG!$B$9-AF75)</f>
        <v/>
      </c>
      <c r="AG78" s="135">
        <f>MAX(0,CONFIG!$B$10-AG75)</f>
        <v/>
      </c>
      <c r="AH78" s="135">
        <f>MAX(0,CONFIG!$B$11-AH75)</f>
        <v/>
      </c>
      <c r="AI78" s="135">
        <f>MAX(0,CONFIG!$B$9-AI75)</f>
        <v/>
      </c>
      <c r="AJ78" s="135">
        <f>MAX(0,CONFIG!$B$9-AJ75)</f>
        <v/>
      </c>
      <c r="AK78" s="135">
        <f>MAX(0,CONFIG!$B$9-AK75)</f>
        <v/>
      </c>
      <c r="AL78" s="135">
        <f>MAX(0,CONFIG!$B$9-AL75)</f>
        <v/>
      </c>
      <c r="AM78" s="39" t="n"/>
      <c r="AN78" s="135">
        <f>MAX(0,CONFIG!$B$9-AN75)</f>
        <v/>
      </c>
      <c r="AO78" s="135">
        <f>MAX(0,CONFIG!$B$10-AO75)</f>
        <v/>
      </c>
      <c r="AP78" s="135">
        <f>MAX(0,CONFIG!$B$11-AP75)</f>
        <v/>
      </c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135">
        <f>MAX(0,CONFIG!$C$9-G76)</f>
        <v/>
      </c>
      <c r="H79" s="135">
        <f>MAX(0,CONFIG!$C$9-H76)</f>
        <v/>
      </c>
      <c r="I79" s="135">
        <f>MAX(0,CONFIG!$C$9-I76)</f>
        <v/>
      </c>
      <c r="J79" s="135">
        <f>MAX(0,CONFIG!$C$9-J76)</f>
        <v/>
      </c>
      <c r="K79" s="135">
        <f>MAX(0,CONFIG!$C$9-K76)</f>
        <v/>
      </c>
      <c r="L79" s="135">
        <f>MAX(0,CONFIG!$C$10-L76)</f>
        <v/>
      </c>
      <c r="M79" s="135">
        <f>MAX(0,CONFIG!$C$11-M76)</f>
        <v/>
      </c>
      <c r="N79" s="135">
        <f>MAX(0,CONFIG!$C$9-N76)</f>
        <v/>
      </c>
      <c r="O79" s="135">
        <f>MAX(0,CONFIG!$C$9-O76)</f>
        <v/>
      </c>
      <c r="P79" s="135">
        <f>MAX(0,CONFIG!$C$9-P76)</f>
        <v/>
      </c>
      <c r="Q79" s="135">
        <f>MAX(0,CONFIG!$C$9-Q76)</f>
        <v/>
      </c>
      <c r="R79" s="135">
        <f>MAX(0,CONFIG!$C$9-R76)</f>
        <v/>
      </c>
      <c r="S79" s="135">
        <f>MAX(0,CONFIG!$C$10-S76)</f>
        <v/>
      </c>
      <c r="T79" s="135">
        <f>MAX(0,CONFIG!$C$11-T76)</f>
        <v/>
      </c>
      <c r="U79" s="135">
        <f>MAX(0,CONFIG!$C$9-U76)</f>
        <v/>
      </c>
      <c r="V79" s="135">
        <f>MAX(0,CONFIG!$C$9-V76)</f>
        <v/>
      </c>
      <c r="W79" s="135">
        <f>MAX(0,CONFIG!$C$9-W76)</f>
        <v/>
      </c>
      <c r="X79" s="135">
        <f>MAX(0,CONFIG!$C$9-X76)</f>
        <v/>
      </c>
      <c r="Y79" s="135">
        <f>MAX(0,CONFIG!$C$9-Y76)</f>
        <v/>
      </c>
      <c r="Z79" s="135">
        <f>MAX(0,CONFIG!$C$10-Z76)</f>
        <v/>
      </c>
      <c r="AA79" s="135">
        <f>MAX(0,CONFIG!$C$11-AA76)</f>
        <v/>
      </c>
      <c r="AB79" s="135">
        <f>MAX(0,CONFIG!$C$9-AB76)</f>
        <v/>
      </c>
      <c r="AC79" s="135">
        <f>MAX(0,CONFIG!$C$9-AC76)</f>
        <v/>
      </c>
      <c r="AD79" s="135">
        <f>MAX(0,CONFIG!$C$9-AD76)</f>
        <v/>
      </c>
      <c r="AE79" s="135">
        <f>MAX(0,CONFIG!$C$9-AE76)</f>
        <v/>
      </c>
      <c r="AF79" s="135">
        <f>MAX(0,CONFIG!$C$9-AF76)</f>
        <v/>
      </c>
      <c r="AG79" s="135">
        <f>MAX(0,CONFIG!$C$10-AG76)</f>
        <v/>
      </c>
      <c r="AH79" s="135">
        <f>MAX(0,CONFIG!$C$11-AH76)</f>
        <v/>
      </c>
      <c r="AI79" s="135">
        <f>MAX(0,CONFIG!$C$9-AI76)</f>
        <v/>
      </c>
      <c r="AJ79" s="135">
        <f>MAX(0,CONFIG!$C$9-AJ76)</f>
        <v/>
      </c>
      <c r="AK79" s="135">
        <f>MAX(0,CONFIG!$C$9-AK76)</f>
        <v/>
      </c>
      <c r="AL79" s="135">
        <f>MAX(0,CONFIG!$C$9-AL76)</f>
        <v/>
      </c>
      <c r="AM79" s="39" t="n"/>
      <c r="AN79" s="135">
        <f>MAX(0,CONFIG!$C$9-AN76)</f>
        <v/>
      </c>
      <c r="AO79" s="135">
        <f>MAX(0,CONFIG!$C$10-AO76)</f>
        <v/>
      </c>
      <c r="AP79" s="135">
        <f>MAX(0,CONFIG!$C$11-AP76)</f>
        <v/>
      </c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135">
        <f>MAX(0,CONFIG!$D$9-G77)</f>
        <v/>
      </c>
      <c r="H80" s="135">
        <f>MAX(0,CONFIG!$D$9-H77)</f>
        <v/>
      </c>
      <c r="I80" s="135">
        <f>MAX(0,CONFIG!$D$9-I77)</f>
        <v/>
      </c>
      <c r="J80" s="135">
        <f>MAX(0,CONFIG!$D$9-J77)</f>
        <v/>
      </c>
      <c r="K80" s="135">
        <f>MAX(0,CONFIG!$D$9-K77)</f>
        <v/>
      </c>
      <c r="L80" s="135">
        <f>MAX(0,CONFIG!$D$10-L77)</f>
        <v/>
      </c>
      <c r="M80" s="135">
        <f>MAX(0,CONFIG!$D$11-M77)</f>
        <v/>
      </c>
      <c r="N80" s="135">
        <f>MAX(0,CONFIG!$D$9-N77)</f>
        <v/>
      </c>
      <c r="O80" s="135">
        <f>MAX(0,CONFIG!$D$9-O77)</f>
        <v/>
      </c>
      <c r="P80" s="135">
        <f>MAX(0,CONFIG!$D$9-P77)</f>
        <v/>
      </c>
      <c r="Q80" s="135">
        <f>MAX(0,CONFIG!$D$9-Q77)</f>
        <v/>
      </c>
      <c r="R80" s="135">
        <f>MAX(0,CONFIG!$D$9-R77)</f>
        <v/>
      </c>
      <c r="S80" s="135">
        <f>MAX(0,CONFIG!$D$10-S77)</f>
        <v/>
      </c>
      <c r="T80" s="135">
        <f>MAX(0,CONFIG!$D$11-T77)</f>
        <v/>
      </c>
      <c r="U80" s="135">
        <f>MAX(0,CONFIG!$D$9-U77)</f>
        <v/>
      </c>
      <c r="V80" s="135">
        <f>MAX(0,CONFIG!$D$9-V77)</f>
        <v/>
      </c>
      <c r="W80" s="135">
        <f>MAX(0,CONFIG!$D$9-W77)</f>
        <v/>
      </c>
      <c r="X80" s="135">
        <f>MAX(0,CONFIG!$D$9-X77)</f>
        <v/>
      </c>
      <c r="Y80" s="135">
        <f>MAX(0,CONFIG!$D$9-Y77)</f>
        <v/>
      </c>
      <c r="Z80" s="135">
        <f>MAX(0,CONFIG!$D$10-Z77)</f>
        <v/>
      </c>
      <c r="AA80" s="135">
        <f>MAX(0,CONFIG!$D$11-AA77)</f>
        <v/>
      </c>
      <c r="AB80" s="135">
        <f>MAX(0,CONFIG!$D$9-AB77)</f>
        <v/>
      </c>
      <c r="AC80" s="135">
        <f>MAX(0,CONFIG!$D$9-AC77)</f>
        <v/>
      </c>
      <c r="AD80" s="135">
        <f>MAX(0,CONFIG!$D$9-AD77)</f>
        <v/>
      </c>
      <c r="AE80" s="135">
        <f>MAX(0,CONFIG!$D$9-AE77)</f>
        <v/>
      </c>
      <c r="AF80" s="135">
        <f>MAX(0,CONFIG!$D$9-AF77)</f>
        <v/>
      </c>
      <c r="AG80" s="135">
        <f>MAX(0,CONFIG!$D$10-AG77)</f>
        <v/>
      </c>
      <c r="AH80" s="135">
        <f>MAX(0,CONFIG!$D$11-AH77)</f>
        <v/>
      </c>
      <c r="AI80" s="135">
        <f>MAX(0,CONFIG!$D$9-AI77)</f>
        <v/>
      </c>
      <c r="AJ80" s="135">
        <f>MAX(0,CONFIG!$D$9-AJ77)</f>
        <v/>
      </c>
      <c r="AK80" s="135">
        <f>MAX(0,CONFIG!$D$9-AK77)</f>
        <v/>
      </c>
      <c r="AL80" s="135">
        <f>MAX(0,CONFIG!$D$9-AL77)</f>
        <v/>
      </c>
      <c r="AM80" s="39" t="n"/>
      <c r="AN80" s="135">
        <f>MAX(0,CONFIG!$D$9-AN77)</f>
        <v/>
      </c>
      <c r="AO80" s="135">
        <f>MAX(0,CONFIG!$D$10-AO77)</f>
        <v/>
      </c>
      <c r="AP80" s="135">
        <f>MAX(0,CONFIG!$D$11-AP77)</f>
        <v/>
      </c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Maio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1" t="inlineStr">
        <is>
          <t>27/04</t>
        </is>
      </c>
      <c r="F2" s="101" t="inlineStr">
        <is>
          <t>28/04</t>
        </is>
      </c>
      <c r="G2" s="101" t="inlineStr">
        <is>
          <t>29/04</t>
        </is>
      </c>
      <c r="H2" s="101" t="inlineStr">
        <is>
          <t>30/04</t>
        </is>
      </c>
      <c r="I2" s="102" t="n">
        <v>1</v>
      </c>
      <c r="J2" s="104" t="n">
        <v>2</v>
      </c>
      <c r="K2" s="104" t="n">
        <v>3</v>
      </c>
      <c r="L2" s="103" t="n">
        <v>4</v>
      </c>
      <c r="M2" s="103" t="n">
        <v>5</v>
      </c>
      <c r="N2" s="103" t="n">
        <v>6</v>
      </c>
      <c r="O2" s="103" t="n">
        <v>7</v>
      </c>
      <c r="P2" s="103" t="n">
        <v>8</v>
      </c>
      <c r="Q2" s="104" t="n">
        <v>9</v>
      </c>
      <c r="R2" s="104" t="n">
        <v>10</v>
      </c>
      <c r="S2" s="103" t="n">
        <v>11</v>
      </c>
      <c r="T2" s="103" t="n">
        <v>12</v>
      </c>
      <c r="U2" s="103" t="n">
        <v>13</v>
      </c>
      <c r="V2" s="103" t="n">
        <v>14</v>
      </c>
      <c r="W2" s="103" t="n">
        <v>15</v>
      </c>
      <c r="X2" s="104" t="n">
        <v>16</v>
      </c>
      <c r="Y2" s="104" t="n">
        <v>17</v>
      </c>
      <c r="Z2" s="103" t="n">
        <v>18</v>
      </c>
      <c r="AA2" s="103" t="n">
        <v>19</v>
      </c>
      <c r="AB2" s="103" t="n">
        <v>20</v>
      </c>
      <c r="AC2" s="103" t="n">
        <v>21</v>
      </c>
      <c r="AD2" s="103" t="n">
        <v>22</v>
      </c>
      <c r="AE2" s="104" t="n">
        <v>23</v>
      </c>
      <c r="AF2" s="104" t="n">
        <v>24</v>
      </c>
      <c r="AG2" s="103" t="n">
        <v>25</v>
      </c>
      <c r="AH2" s="103" t="n">
        <v>26</v>
      </c>
      <c r="AI2" s="103" t="n">
        <v>27</v>
      </c>
      <c r="AJ2" s="103" t="n">
        <v>28</v>
      </c>
      <c r="AK2" s="103" t="n">
        <v>29</v>
      </c>
      <c r="AL2" s="104" t="n">
        <v>30</v>
      </c>
      <c r="AM2" s="104" t="n">
        <v>31</v>
      </c>
      <c r="AN2" s="100" t="n"/>
      <c r="AO2" s="100" t="n"/>
      <c r="AP2" s="100" t="n"/>
      <c r="AQ2" s="100" t="n"/>
      <c r="AR2" s="100" t="n"/>
      <c r="AS2" s="100" t="n"/>
      <c r="AT2" s="106" t="inlineStr">
        <is>
          <t>27/04–03/05</t>
        </is>
      </c>
      <c r="AU2" s="39" t="n"/>
      <c r="AV2" s="106" t="inlineStr">
        <is>
          <t>04/05–10/05</t>
        </is>
      </c>
      <c r="AW2" s="39" t="n"/>
      <c r="AX2" s="106" t="inlineStr">
        <is>
          <t>11/05–17/05</t>
        </is>
      </c>
      <c r="AY2" s="39" t="n"/>
      <c r="AZ2" s="106" t="inlineStr">
        <is>
          <t>18/05–24/05</t>
        </is>
      </c>
      <c r="BA2" s="39" t="n"/>
      <c r="BB2" s="106" t="inlineStr">
        <is>
          <t>25/05–31/05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7" t="inlineStr">
        <is>
          <t>seg</t>
        </is>
      </c>
      <c r="F3" s="107" t="inlineStr">
        <is>
          <t>ter</t>
        </is>
      </c>
      <c r="G3" s="107" t="inlineStr">
        <is>
          <t>qua</t>
        </is>
      </c>
      <c r="H3" s="107" t="inlineStr">
        <is>
          <t>qui</t>
        </is>
      </c>
      <c r="I3" s="108" t="inlineStr">
        <is>
          <t>trab</t>
        </is>
      </c>
      <c r="J3" s="109" t="inlineStr">
        <is>
          <t>sáb</t>
        </is>
      </c>
      <c r="K3" s="109" t="inlineStr">
        <is>
          <t>dom</t>
        </is>
      </c>
      <c r="L3" s="107" t="inlineStr">
        <is>
          <t>seg</t>
        </is>
      </c>
      <c r="M3" s="107" t="inlineStr">
        <is>
          <t>ter</t>
        </is>
      </c>
      <c r="N3" s="107" t="inlineStr">
        <is>
          <t>qua</t>
        </is>
      </c>
      <c r="O3" s="107" t="inlineStr">
        <is>
          <t>qui</t>
        </is>
      </c>
      <c r="P3" s="107" t="inlineStr">
        <is>
          <t>sex</t>
        </is>
      </c>
      <c r="Q3" s="109" t="inlineStr">
        <is>
          <t>sáb</t>
        </is>
      </c>
      <c r="R3" s="109" t="inlineStr">
        <is>
          <t>dom</t>
        </is>
      </c>
      <c r="S3" s="107" t="inlineStr">
        <is>
          <t>seg</t>
        </is>
      </c>
      <c r="T3" s="107" t="inlineStr">
        <is>
          <t>ter</t>
        </is>
      </c>
      <c r="U3" s="107" t="inlineStr">
        <is>
          <t>qua</t>
        </is>
      </c>
      <c r="V3" s="107" t="inlineStr">
        <is>
          <t>qui</t>
        </is>
      </c>
      <c r="W3" s="107" t="inlineStr">
        <is>
          <t>sex</t>
        </is>
      </c>
      <c r="X3" s="109" t="inlineStr">
        <is>
          <t>sáb</t>
        </is>
      </c>
      <c r="Y3" s="109" t="inlineStr">
        <is>
          <t>dom</t>
        </is>
      </c>
      <c r="Z3" s="107" t="inlineStr">
        <is>
          <t>seg</t>
        </is>
      </c>
      <c r="AA3" s="107" t="inlineStr">
        <is>
          <t>ter</t>
        </is>
      </c>
      <c r="AB3" s="107" t="inlineStr">
        <is>
          <t>qua</t>
        </is>
      </c>
      <c r="AC3" s="107" t="inlineStr">
        <is>
          <t>qui</t>
        </is>
      </c>
      <c r="AD3" s="107" t="inlineStr">
        <is>
          <t>sex</t>
        </is>
      </c>
      <c r="AE3" s="109" t="inlineStr">
        <is>
          <t>sáb</t>
        </is>
      </c>
      <c r="AF3" s="109" t="inlineStr">
        <is>
          <t>dom</t>
        </is>
      </c>
      <c r="AG3" s="107" t="inlineStr">
        <is>
          <t>seg</t>
        </is>
      </c>
      <c r="AH3" s="107" t="inlineStr">
        <is>
          <t>ter</t>
        </is>
      </c>
      <c r="AI3" s="107" t="inlineStr">
        <is>
          <t>qua</t>
        </is>
      </c>
      <c r="AJ3" s="107" t="inlineStr">
        <is>
          <t>qui</t>
        </is>
      </c>
      <c r="AK3" s="107" t="inlineStr">
        <is>
          <t>sex</t>
        </is>
      </c>
      <c r="AL3" s="109" t="inlineStr">
        <is>
          <t>sáb</t>
        </is>
      </c>
      <c r="AM3" s="109" t="inlineStr">
        <is>
          <t>dom</t>
        </is>
      </c>
      <c r="AN3" s="100" t="n"/>
      <c r="AO3" s="100" t="n"/>
      <c r="AP3" s="100" t="n"/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1</v>
      </c>
      <c r="K4" s="39" t="n">
        <v>1</v>
      </c>
      <c r="L4" s="39" t="n">
        <v>0</v>
      </c>
      <c r="M4" s="39" t="n">
        <v>0</v>
      </c>
      <c r="N4" s="39" t="n">
        <v>0</v>
      </c>
      <c r="O4" s="39" t="n">
        <v>0</v>
      </c>
      <c r="P4" s="39" t="n">
        <v>0</v>
      </c>
      <c r="Q4" s="39" t="n">
        <v>1</v>
      </c>
      <c r="R4" s="39" t="n">
        <v>1</v>
      </c>
      <c r="S4" s="39" t="n">
        <v>0</v>
      </c>
      <c r="T4" s="39" t="n">
        <v>0</v>
      </c>
      <c r="U4" s="39" t="n">
        <v>0</v>
      </c>
      <c r="V4" s="39" t="n">
        <v>0</v>
      </c>
      <c r="W4" s="39" t="n">
        <v>0</v>
      </c>
      <c r="X4" s="39" t="n">
        <v>1</v>
      </c>
      <c r="Y4" s="39" t="n">
        <v>1</v>
      </c>
      <c r="Z4" s="39" t="n">
        <v>0</v>
      </c>
      <c r="AA4" s="39" t="n">
        <v>0</v>
      </c>
      <c r="AB4" s="39" t="n">
        <v>0</v>
      </c>
      <c r="AC4" s="39" t="n">
        <v>0</v>
      </c>
      <c r="AD4" s="39" t="n">
        <v>0</v>
      </c>
      <c r="AE4" s="39" t="n">
        <v>1</v>
      </c>
      <c r="AF4" s="39" t="n">
        <v>1</v>
      </c>
      <c r="AG4" s="39" t="n">
        <v>0</v>
      </c>
      <c r="AH4" s="39" t="n">
        <v>0</v>
      </c>
      <c r="AI4" s="39" t="n">
        <v>0</v>
      </c>
      <c r="AJ4" s="39" t="n">
        <v>0</v>
      </c>
      <c r="AK4" s="39" t="n">
        <v>0</v>
      </c>
      <c r="AL4" s="39" t="n">
        <v>1</v>
      </c>
      <c r="AM4" s="39" t="n">
        <v>1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1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1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1</v>
      </c>
      <c r="X5" s="39" t="n">
        <v>0</v>
      </c>
      <c r="Y5" s="39" t="n">
        <v>0</v>
      </c>
      <c r="Z5" s="39" t="n">
        <v>0</v>
      </c>
      <c r="AA5" s="39" t="n">
        <v>0</v>
      </c>
      <c r="AB5" s="39" t="n">
        <v>0</v>
      </c>
      <c r="AC5" s="39" t="n">
        <v>0</v>
      </c>
      <c r="AD5" s="39" t="n">
        <v>1</v>
      </c>
      <c r="AE5" s="39" t="n">
        <v>0</v>
      </c>
      <c r="AF5" s="39" t="n">
        <v>0</v>
      </c>
      <c r="AG5" s="39" t="n">
        <v>0</v>
      </c>
      <c r="AH5" s="39" t="n">
        <v>0</v>
      </c>
      <c r="AI5" s="39" t="n">
        <v>0</v>
      </c>
      <c r="AJ5" s="39" t="n">
        <v>0</v>
      </c>
      <c r="AK5" s="39" t="n">
        <v>1</v>
      </c>
      <c r="AL5" s="39" t="n">
        <v>0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1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36">
        <f>IFERROR(INDEX(ABR!AI$8:AI$73,MATCH($A8,ABR!$A$8:$A$73,0))&amp;"","")</f>
        <v/>
      </c>
      <c r="F8" s="136">
        <f>IFERROR(INDEX(ABR!AJ$8:AJ$73,MATCH($A8,ABR!$A$8:$A$73,0))&amp;"","")</f>
        <v/>
      </c>
      <c r="G8" s="136">
        <f>IFERROR(INDEX(ABR!AK$8:AK$73,MATCH($A8,ABR!$A$8:$A$73,0))&amp;"","")</f>
        <v/>
      </c>
      <c r="H8" s="136">
        <f>IFERROR(INDEX(ABR!AL$8:AL$73,MATCH($A8,ABR!$A$8:$A$73,0))&amp;"","")</f>
        <v/>
      </c>
      <c r="I8" s="137" t="inlineStr">
        <is>
          <t>C</t>
        </is>
      </c>
      <c r="J8" s="114" t="n"/>
      <c r="K8" s="114" t="n"/>
      <c r="L8" s="115" t="inlineStr">
        <is>
          <t>M</t>
        </is>
      </c>
      <c r="M8" s="115" t="inlineStr">
        <is>
          <t>M</t>
        </is>
      </c>
      <c r="N8" s="115" t="inlineStr">
        <is>
          <t>M</t>
        </is>
      </c>
      <c r="O8" s="115" t="inlineStr">
        <is>
          <t>M</t>
        </is>
      </c>
      <c r="P8" s="115" t="inlineStr">
        <is>
          <t>M</t>
        </is>
      </c>
      <c r="Q8" s="114" t="n"/>
      <c r="R8" s="114" t="n"/>
      <c r="S8" s="115" t="inlineStr">
        <is>
          <t>M</t>
        </is>
      </c>
      <c r="T8" s="115" t="inlineStr">
        <is>
          <t>M</t>
        </is>
      </c>
      <c r="U8" s="115" t="inlineStr">
        <is>
          <t>M</t>
        </is>
      </c>
      <c r="V8" s="115" t="inlineStr">
        <is>
          <t>M</t>
        </is>
      </c>
      <c r="W8" s="115" t="inlineStr">
        <is>
          <t>M</t>
        </is>
      </c>
      <c r="X8" s="114" t="n"/>
      <c r="Y8" s="114" t="n"/>
      <c r="Z8" s="115" t="inlineStr">
        <is>
          <t>M</t>
        </is>
      </c>
      <c r="AA8" s="115" t="inlineStr">
        <is>
          <t>M</t>
        </is>
      </c>
      <c r="AB8" s="115" t="inlineStr">
        <is>
          <t>M</t>
        </is>
      </c>
      <c r="AC8" s="115" t="inlineStr">
        <is>
          <t>M</t>
        </is>
      </c>
      <c r="AD8" s="115" t="inlineStr">
        <is>
          <t>M</t>
        </is>
      </c>
      <c r="AE8" s="114" t="n"/>
      <c r="AF8" s="114" t="n"/>
      <c r="AG8" s="115" t="inlineStr">
        <is>
          <t>M</t>
        </is>
      </c>
      <c r="AH8" s="115" t="inlineStr">
        <is>
          <t>M</t>
        </is>
      </c>
      <c r="AI8" s="115" t="inlineStr">
        <is>
          <t>M</t>
        </is>
      </c>
      <c r="AJ8" s="115" t="inlineStr">
        <is>
          <t>M</t>
        </is>
      </c>
      <c r="AK8" s="115" t="inlineStr">
        <is>
          <t>M</t>
        </is>
      </c>
      <c r="AL8" s="114" t="n"/>
      <c r="AM8" s="114" t="n"/>
      <c r="AN8" s="100" t="n"/>
      <c r="AO8" s="100" t="n"/>
      <c r="AP8" s="100" t="n"/>
      <c r="AQ8" s="100" t="n"/>
      <c r="AR8" s="100" t="n"/>
      <c r="AS8" s="100" t="n"/>
      <c r="AT8" s="117">
        <f>SUMPRODUCT(($E8:$K8="M")*6+($E8:$K8="T")*6+($E8:$K8="D")*12+($E8:$K8="N")*12+($E8:$K8="NT")*6+($E8:$K8="C")*10+($E8:$K8="A")*8+($E8:$K8="J")*5+($E8:$K8="CEP")*4+($E8:$K8="CP")*6+($E8:$K8="CRO")*6+($E8:$K8="M+")*6+($E8:$K8="T+")*6+($E8:$K8="D+")*12+($E8:$K8="N+")*12+($E8:$K8="Dm+")*12+($E8:$K8="Dt+")*12+($E8:$K8="Tm-")*6+($E8:$K8="Mt-")*6)</f>
        <v/>
      </c>
      <c r="AU8" s="118">
        <f>AT8-MAX(0,IFERROR(INDEX(CADASTRO!$I$4:$I$80,MATCH($A8,CADASTRO!$A$4:$A$80,0)),$B8)-CONFIG!$B$50*(COUNTIF($E8:$K8,"AB")+COUNTIF($E8:$K8,"FE")+COUNTIF($E8:$K8,"LM")))</f>
        <v/>
      </c>
      <c r="AV8" s="117">
        <f>SUMPRODUCT(($L8:$R8="M")*6+($L8:$R8="T")*6+($L8:$R8="D")*12+($L8:$R8="N")*12+($L8:$R8="NT")*6+($L8:$R8="C")*10+($L8:$R8="A")*8+($L8:$R8="J")*5+($L8:$R8="CEP")*4+($L8:$R8="CP")*6+($L8:$R8="CRO")*6+($L8:$R8="M+")*6+($L8:$R8="T+")*6+($L8:$R8="D+")*12+($L8:$R8="N+")*12+($L8:$R8="Dm+")*12+($L8:$R8="Dt+")*12+($L8:$R8="Tm-")*6+($L8:$R8="Mt-")*6)</f>
        <v/>
      </c>
      <c r="AW8" s="118">
        <f>AV8-MAX(0,IFERROR(INDEX(CADASTRO!$I$4:$I$80,MATCH($A8,CADASTRO!$A$4:$A$80,0)),$B8)-CONFIG!$B$50*(COUNTIF($L8:$R8,"AB")+COUNTIF($L8:$R8,"FE")+COUNTIF($L8:$R8,"LM")))</f>
        <v/>
      </c>
      <c r="AX8" s="117">
        <f>SUMPRODUCT(($S8:$Y8="M")*6+($S8:$Y8="T")*6+($S8:$Y8="D")*12+($S8:$Y8="N")*12+($S8:$Y8="NT")*6+($S8:$Y8="C")*10+($S8:$Y8="A")*8+($S8:$Y8="J")*5+($S8:$Y8="CEP")*4+($S8:$Y8="CP")*6+($S8:$Y8="CRO")*6+($S8:$Y8="M+")*6+($S8:$Y8="T+")*6+($S8:$Y8="D+")*12+($S8:$Y8="N+")*12+($S8:$Y8="Dm+")*12+($S8:$Y8="Dt+")*12+($S8:$Y8="Tm-")*6+($S8:$Y8="Mt-")*6)</f>
        <v/>
      </c>
      <c r="AY8" s="118">
        <f>AX8-MAX(0,IFERROR(INDEX(CADASTRO!$I$4:$I$80,MATCH($A8,CADASTRO!$A$4:$A$80,0)),$B8)-CONFIG!$B$50*(COUNTIF($S8:$Y8,"AB")+COUNTIF($S8:$Y8,"FE")+COUNTIF($S8:$Y8,"LM")))</f>
        <v/>
      </c>
      <c r="AZ8" s="117">
        <f>SUMPRODUCT(($Z8:$AF8="M")*6+($Z8:$AF8="T")*6+($Z8:$AF8="D")*12+($Z8:$AF8="N")*12+($Z8:$AF8="NT")*6+($Z8:$AF8="C")*10+($Z8:$AF8="A")*8+($Z8:$AF8="J")*5+($Z8:$AF8="CEP")*4+($Z8:$AF8="CP")*6+($Z8:$AF8="CRO")*6+($Z8:$AF8="M+")*6+($Z8:$AF8="T+")*6+($Z8:$AF8="D+")*12+($Z8:$AF8="N+")*12+($Z8:$AF8="Dm+")*12+($Z8:$AF8="Dt+")*12+($Z8:$AF8="Tm-")*6+($Z8:$AF8="Mt-")*6)</f>
        <v/>
      </c>
      <c r="BA8" s="118">
        <f>AZ8-MAX(0,IFERROR(INDEX(CADASTRO!$I$4:$I$80,MATCH($A8,CADASTRO!$A$4:$A$80,0)),$B8)-CONFIG!$B$50*(COUNTIF($Z8:$AF8,"AB")+COUNTIF($Z8:$AF8,"FE")+COUNTIF($Z8:$AF8,"LM")))</f>
        <v/>
      </c>
      <c r="BB8" s="117">
        <f>SUMPRODUCT(($AG8:$AM8="M")*6+($AG8:$AM8="T")*6+($AG8:$AM8="D")*12+($AG8:$AM8="N")*12+($AG8:$AM8="NT")*6+($AG8:$AM8="C")*10+($AG8:$AM8="A")*8+($AG8:$AM8="J")*5+($AG8:$AM8="CEP")*4+($AG8:$AM8="CP")*6+($AG8:$AM8="CRO")*6+($AG8:$AM8="M+")*6+($AG8:$AM8="T+")*6+($AG8:$AM8="D+")*12+($AG8:$AM8="N+")*12+($AG8:$AM8="Dm+")*12+($AG8:$AM8="Dt+")*12+($AG8:$AM8="Tm-")*6+($AG8:$AM8="Mt-")*6)</f>
        <v/>
      </c>
      <c r="BC8" s="118">
        <f>BB8-MAX(0,IFERROR(INDEX(CADASTRO!$I$4:$I$80,MATCH($A8,CADASTRO!$A$4:$A$80,0)),$B8)-CONFIG!$B$50*(COUNTIF($AG8:$AM8,"AB")+COUNTIF($AG8:$AM8,"FE")+COUNTIF($AG8:$AM8,"LM")))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36">
        <f>IFERROR(INDEX(ABR!AI$8:AI$73,MATCH($A9,ABR!$A$8:$A$73,0))&amp;"","")</f>
        <v/>
      </c>
      <c r="F9" s="136">
        <f>IFERROR(INDEX(ABR!AJ$8:AJ$73,MATCH($A9,ABR!$A$8:$A$73,0))&amp;"","")</f>
        <v/>
      </c>
      <c r="G9" s="136">
        <f>IFERROR(INDEX(ABR!AK$8:AK$73,MATCH($A9,ABR!$A$8:$A$73,0))&amp;"","")</f>
        <v/>
      </c>
      <c r="H9" s="136">
        <f>IFERROR(INDEX(ABR!AL$8:AL$73,MATCH($A9,ABR!$A$8:$A$73,0))&amp;"","")</f>
        <v/>
      </c>
      <c r="I9" s="115" t="inlineStr">
        <is>
          <t>M</t>
        </is>
      </c>
      <c r="J9" s="114" t="n"/>
      <c r="K9" s="114" t="n"/>
      <c r="L9" s="115" t="inlineStr">
        <is>
          <t>M</t>
        </is>
      </c>
      <c r="M9" s="115" t="inlineStr">
        <is>
          <t>M</t>
        </is>
      </c>
      <c r="N9" s="115" t="inlineStr">
        <is>
          <t>M</t>
        </is>
      </c>
      <c r="O9" s="115" t="inlineStr">
        <is>
          <t>M</t>
        </is>
      </c>
      <c r="P9" s="115" t="inlineStr">
        <is>
          <t>M</t>
        </is>
      </c>
      <c r="Q9" s="114" t="n"/>
      <c r="R9" s="114" t="n"/>
      <c r="S9" s="115" t="inlineStr">
        <is>
          <t>M</t>
        </is>
      </c>
      <c r="T9" s="115" t="inlineStr">
        <is>
          <t>M</t>
        </is>
      </c>
      <c r="U9" s="115" t="inlineStr">
        <is>
          <t>M</t>
        </is>
      </c>
      <c r="V9" s="115" t="inlineStr">
        <is>
          <t>M</t>
        </is>
      </c>
      <c r="W9" s="115" t="inlineStr">
        <is>
          <t>M</t>
        </is>
      </c>
      <c r="X9" s="114" t="n"/>
      <c r="Y9" s="114" t="n"/>
      <c r="Z9" s="115" t="inlineStr">
        <is>
          <t>M</t>
        </is>
      </c>
      <c r="AA9" s="115" t="inlineStr">
        <is>
          <t>M</t>
        </is>
      </c>
      <c r="AB9" s="115" t="inlineStr">
        <is>
          <t>M</t>
        </is>
      </c>
      <c r="AC9" s="115" t="inlineStr">
        <is>
          <t>M</t>
        </is>
      </c>
      <c r="AD9" s="115" t="inlineStr">
        <is>
          <t>M</t>
        </is>
      </c>
      <c r="AE9" s="114" t="n"/>
      <c r="AF9" s="114" t="n"/>
      <c r="AG9" s="115" t="inlineStr">
        <is>
          <t>M</t>
        </is>
      </c>
      <c r="AH9" s="115" t="inlineStr">
        <is>
          <t>M</t>
        </is>
      </c>
      <c r="AI9" s="115" t="inlineStr">
        <is>
          <t>M</t>
        </is>
      </c>
      <c r="AJ9" s="115" t="inlineStr">
        <is>
          <t>M</t>
        </is>
      </c>
      <c r="AK9" s="115" t="inlineStr">
        <is>
          <t>M</t>
        </is>
      </c>
      <c r="AL9" s="114" t="n"/>
      <c r="AM9" s="114" t="n"/>
      <c r="AN9" s="100" t="n"/>
      <c r="AO9" s="100" t="n"/>
      <c r="AP9" s="100" t="n"/>
      <c r="AQ9" s="100" t="n"/>
      <c r="AR9" s="100" t="n"/>
      <c r="AS9" s="100" t="n"/>
      <c r="AT9" s="117">
        <f>SUMPRODUCT(($E9:$K9="M")*6+($E9:$K9="T")*6+($E9:$K9="D")*12+($E9:$K9="N")*12+($E9:$K9="NT")*6+($E9:$K9="C")*10+($E9:$K9="A")*8+($E9:$K9="J")*5+($E9:$K9="CEP")*4+($E9:$K9="CP")*6+($E9:$K9="CRO")*6+($E9:$K9="M+")*6+($E9:$K9="T+")*6+($E9:$K9="D+")*12+($E9:$K9="N+")*12+($E9:$K9="Dm+")*12+($E9:$K9="Dt+")*12+($E9:$K9="Tm-")*6+($E9:$K9="Mt-")*6)</f>
        <v/>
      </c>
      <c r="AU9" s="118">
        <f>AT9-MAX(0,IFERROR(INDEX(CADASTRO!$I$4:$I$80,MATCH($A9,CADASTRO!$A$4:$A$80,0)),$B9)-CONFIG!$B$50*(COUNTIF($E9:$K9,"AB")+COUNTIF($E9:$K9,"FE")+COUNTIF($E9:$K9,"LM")))</f>
        <v/>
      </c>
      <c r="AV9" s="117">
        <f>SUMPRODUCT(($L9:$R9="M")*6+($L9:$R9="T")*6+($L9:$R9="D")*12+($L9:$R9="N")*12+($L9:$R9="NT")*6+($L9:$R9="C")*10+($L9:$R9="A")*8+($L9:$R9="J")*5+($L9:$R9="CEP")*4+($L9:$R9="CP")*6+($L9:$R9="CRO")*6+($L9:$R9="M+")*6+($L9:$R9="T+")*6+($L9:$R9="D+")*12+($L9:$R9="N+")*12+($L9:$R9="Dm+")*12+($L9:$R9="Dt+")*12+($L9:$R9="Tm-")*6+($L9:$R9="Mt-")*6)</f>
        <v/>
      </c>
      <c r="AW9" s="118">
        <f>AV9-MAX(0,IFERROR(INDEX(CADASTRO!$I$4:$I$80,MATCH($A9,CADASTRO!$A$4:$A$80,0)),$B9)-CONFIG!$B$50*(COUNTIF($L9:$R9,"AB")+COUNTIF($L9:$R9,"FE")+COUNTIF($L9:$R9,"LM")))</f>
        <v/>
      </c>
      <c r="AX9" s="117">
        <f>SUMPRODUCT(($S9:$Y9="M")*6+($S9:$Y9="T")*6+($S9:$Y9="D")*12+($S9:$Y9="N")*12+($S9:$Y9="NT")*6+($S9:$Y9="C")*10+($S9:$Y9="A")*8+($S9:$Y9="J")*5+($S9:$Y9="CEP")*4+($S9:$Y9="CP")*6+($S9:$Y9="CRO")*6+($S9:$Y9="M+")*6+($S9:$Y9="T+")*6+($S9:$Y9="D+")*12+($S9:$Y9="N+")*12+($S9:$Y9="Dm+")*12+($S9:$Y9="Dt+")*12+($S9:$Y9="Tm-")*6+($S9:$Y9="Mt-")*6)</f>
        <v/>
      </c>
      <c r="AY9" s="118">
        <f>AX9-MAX(0,IFERROR(INDEX(CADASTRO!$I$4:$I$80,MATCH($A9,CADASTRO!$A$4:$A$80,0)),$B9)-CONFIG!$B$50*(COUNTIF($S9:$Y9,"AB")+COUNTIF($S9:$Y9,"FE")+COUNTIF($S9:$Y9,"LM")))</f>
        <v/>
      </c>
      <c r="AZ9" s="117">
        <f>SUMPRODUCT(($Z9:$AF9="M")*6+($Z9:$AF9="T")*6+($Z9:$AF9="D")*12+($Z9:$AF9="N")*12+($Z9:$AF9="NT")*6+($Z9:$AF9="C")*10+($Z9:$AF9="A")*8+($Z9:$AF9="J")*5+($Z9:$AF9="CEP")*4+($Z9:$AF9="CP")*6+($Z9:$AF9="CRO")*6+($Z9:$AF9="M+")*6+($Z9:$AF9="T+")*6+($Z9:$AF9="D+")*12+($Z9:$AF9="N+")*12+($Z9:$AF9="Dm+")*12+($Z9:$AF9="Dt+")*12+($Z9:$AF9="Tm-")*6+($Z9:$AF9="Mt-")*6)</f>
        <v/>
      </c>
      <c r="BA9" s="118">
        <f>AZ9-MAX(0,IFERROR(INDEX(CADASTRO!$I$4:$I$80,MATCH($A9,CADASTRO!$A$4:$A$80,0)),$B9)-CONFIG!$B$50*(COUNTIF($Z9:$AF9,"AB")+COUNTIF($Z9:$AF9,"FE")+COUNTIF($Z9:$AF9,"LM")))</f>
        <v/>
      </c>
      <c r="BB9" s="117">
        <f>SUMPRODUCT(($AG9:$AM9="M")*6+($AG9:$AM9="T")*6+($AG9:$AM9="D")*12+($AG9:$AM9="N")*12+($AG9:$AM9="NT")*6+($AG9:$AM9="C")*10+($AG9:$AM9="A")*8+($AG9:$AM9="J")*5+($AG9:$AM9="CEP")*4+($AG9:$AM9="CP")*6+($AG9:$AM9="CRO")*6+($AG9:$AM9="M+")*6+($AG9:$AM9="T+")*6+($AG9:$AM9="D+")*12+($AG9:$AM9="N+")*12+($AG9:$AM9="Dm+")*12+($AG9:$AM9="Dt+")*12+($AG9:$AM9="Tm-")*6+($AG9:$AM9="Mt-")*6)</f>
        <v/>
      </c>
      <c r="BC9" s="118">
        <f>BB9-MAX(0,IFERROR(INDEX(CADASTRO!$I$4:$I$80,MATCH($A9,CADASTRO!$A$4:$A$80,0)),$B9)-CONFIG!$B$50*(COUNTIF($AG9:$AM9,"AB")+COUNTIF($AG9:$AM9,"FE")+COUNTIF($AG9:$AM9,"LM")))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36">
        <f>IFERROR(INDEX(ABR!AI$8:AI$73,MATCH($A10,ABR!$A$8:$A$73,0))&amp;"","")</f>
        <v/>
      </c>
      <c r="F10" s="136">
        <f>IFERROR(INDEX(ABR!AJ$8:AJ$73,MATCH($A10,ABR!$A$8:$A$73,0))&amp;"","")</f>
        <v/>
      </c>
      <c r="G10" s="136">
        <f>IFERROR(INDEX(ABR!AK$8:AK$73,MATCH($A10,ABR!$A$8:$A$73,0))&amp;"","")</f>
        <v/>
      </c>
      <c r="H10" s="136">
        <f>IFERROR(INDEX(ABR!AL$8:AL$73,MATCH($A10,ABR!$A$8:$A$73,0))&amp;"","")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14" t="n"/>
      <c r="AN10" s="100" t="n"/>
      <c r="AO10" s="100" t="n"/>
      <c r="AP10" s="100" t="n"/>
      <c r="AQ10" s="100" t="n"/>
      <c r="AR10" s="100" t="n"/>
      <c r="AS10" s="100" t="n"/>
      <c r="AT10" s="117">
        <f>SUMPRODUCT(($E10:$K10="M")*6+($E10:$K10="T")*6+($E10:$K10="D")*12+($E10:$K10="N")*12+($E10:$K10="NT")*6+($E10:$K10="C")*10+($E10:$K10="A")*8+($E10:$K10="J")*5+($E10:$K10="CEP")*4+($E10:$K10="CP")*6+($E10:$K10="CRO")*6+($E10:$K10="M+")*6+($E10:$K10="T+")*6+($E10:$K10="D+")*12+($E10:$K10="N+")*12+($E10:$K10="Dm+")*12+($E10:$K10="Dt+")*12+($E10:$K10="Tm-")*6+($E10:$K10="Mt-")*6)</f>
        <v/>
      </c>
      <c r="AU10" s="118">
        <f>AT10-MAX(0,IFERROR(INDEX(CADASTRO!$I$4:$I$80,MATCH($A10,CADASTRO!$A$4:$A$80,0)),$B10)-CONFIG!$B$50*(COUNTIF($E10:$K10,"AB")+COUNTIF($E10:$K10,"FE")+COUNTIF($E10:$K10,"LM")))</f>
        <v/>
      </c>
      <c r="AV10" s="117">
        <f>SUMPRODUCT(($L10:$R10="M")*6+($L10:$R10="T")*6+($L10:$R10="D")*12+($L10:$R10="N")*12+($L10:$R10="NT")*6+($L10:$R10="C")*10+($L10:$R10="A")*8+($L10:$R10="J")*5+($L10:$R10="CEP")*4+($L10:$R10="CP")*6+($L10:$R10="CRO")*6+($L10:$R10="M+")*6+($L10:$R10="T+")*6+($L10:$R10="D+")*12+($L10:$R10="N+")*12+($L10:$R10="Dm+")*12+($L10:$R10="Dt+")*12+($L10:$R10="Tm-")*6+($L10:$R10="Mt-")*6)</f>
        <v/>
      </c>
      <c r="AW10" s="118">
        <f>AV10-MAX(0,IFERROR(INDEX(CADASTRO!$I$4:$I$80,MATCH($A10,CADASTRO!$A$4:$A$80,0)),$B10)-CONFIG!$B$50*(COUNTIF($L10:$R10,"AB")+COUNTIF($L10:$R10,"FE")+COUNTIF($L10:$R10,"LM")))</f>
        <v/>
      </c>
      <c r="AX10" s="117">
        <f>SUMPRODUCT(($S10:$Y10="M")*6+($S10:$Y10="T")*6+($S10:$Y10="D")*12+($S10:$Y10="N")*12+($S10:$Y10="NT")*6+($S10:$Y10="C")*10+($S10:$Y10="A")*8+($S10:$Y10="J")*5+($S10:$Y10="CEP")*4+($S10:$Y10="CP")*6+($S10:$Y10="CRO")*6+($S10:$Y10="M+")*6+($S10:$Y10="T+")*6+($S10:$Y10="D+")*12+($S10:$Y10="N+")*12+($S10:$Y10="Dm+")*12+($S10:$Y10="Dt+")*12+($S10:$Y10="Tm-")*6+($S10:$Y10="Mt-")*6)</f>
        <v/>
      </c>
      <c r="AY10" s="118">
        <f>AX10-MAX(0,IFERROR(INDEX(CADASTRO!$I$4:$I$80,MATCH($A10,CADASTRO!$A$4:$A$80,0)),$B10)-CONFIG!$B$50*(COUNTIF($S10:$Y10,"AB")+COUNTIF($S10:$Y10,"FE")+COUNTIF($S10:$Y10,"LM")))</f>
        <v/>
      </c>
      <c r="AZ10" s="117">
        <f>SUMPRODUCT(($Z10:$AF10="M")*6+($Z10:$AF10="T")*6+($Z10:$AF10="D")*12+($Z10:$AF10="N")*12+($Z10:$AF10="NT")*6+($Z10:$AF10="C")*10+($Z10:$AF10="A")*8+($Z10:$AF10="J")*5+($Z10:$AF10="CEP")*4+($Z10:$AF10="CP")*6+($Z10:$AF10="CRO")*6+($Z10:$AF10="M+")*6+($Z10:$AF10="T+")*6+($Z10:$AF10="D+")*12+($Z10:$AF10="N+")*12+($Z10:$AF10="Dm+")*12+($Z10:$AF10="Dt+")*12+($Z10:$AF10="Tm-")*6+($Z10:$AF10="Mt-")*6)</f>
        <v/>
      </c>
      <c r="BA10" s="118">
        <f>AZ10-MAX(0,IFERROR(INDEX(CADASTRO!$I$4:$I$80,MATCH($A10,CADASTRO!$A$4:$A$80,0)),$B10)-CONFIG!$B$50*(COUNTIF($Z10:$AF10,"AB")+COUNTIF($Z10:$AF10,"FE")+COUNTIF($Z10:$AF10,"LM")))</f>
        <v/>
      </c>
      <c r="BB10" s="117">
        <f>SUMPRODUCT(($AG10:$AM10="M")*6+($AG10:$AM10="T")*6+($AG10:$AM10="D")*12+($AG10:$AM10="N")*12+($AG10:$AM10="NT")*6+($AG10:$AM10="C")*10+($AG10:$AM10="A")*8+($AG10:$AM10="J")*5+($AG10:$AM10="CEP")*4+($AG10:$AM10="CP")*6+($AG10:$AM10="CRO")*6+($AG10:$AM10="M+")*6+($AG10:$AM10="T+")*6+($AG10:$AM10="D+")*12+($AG10:$AM10="N+")*12+($AG10:$AM10="Dm+")*12+($AG10:$AM10="Dt+")*12+($AG10:$AM10="Tm-")*6+($AG10:$AM10="Mt-")*6)</f>
        <v/>
      </c>
      <c r="BC10" s="118">
        <f>BB10-MAX(0,IFERROR(INDEX(CADASTRO!$I$4:$I$80,MATCH($A10,CADASTRO!$A$4:$A$80,0)),$B10)-CONFIG!$B$50*(COUNTIF($AG10:$AM10,"AB")+COUNTIF($AG10:$AM10,"FE")+COUNTIF($AG10:$AM10,"LM")))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36">
        <f>IFERROR(INDEX(ABR!AI$8:AI$73,MATCH($A11,ABR!$A$8:$A$73,0))&amp;"","")</f>
        <v/>
      </c>
      <c r="F11" s="136">
        <f>IFERROR(INDEX(ABR!AJ$8:AJ$73,MATCH($A11,ABR!$A$8:$A$73,0))&amp;"","")</f>
        <v/>
      </c>
      <c r="G11" s="136">
        <f>IFERROR(INDEX(ABR!AK$8:AK$73,MATCH($A11,ABR!$A$8:$A$73,0))&amp;"","")</f>
        <v/>
      </c>
      <c r="H11" s="136">
        <f>IFERROR(INDEX(ABR!AL$8:AL$73,MATCH($A11,ABR!$A$8:$A$73,0))&amp;"","")</f>
        <v/>
      </c>
      <c r="I11" s="114" t="n"/>
      <c r="J11" s="114" t="n"/>
      <c r="K11" s="114" t="n"/>
      <c r="L11" s="115" t="inlineStr">
        <is>
          <t>M</t>
        </is>
      </c>
      <c r="M11" s="115" t="inlineStr">
        <is>
          <t>M</t>
        </is>
      </c>
      <c r="N11" s="115" t="inlineStr">
        <is>
          <t>M</t>
        </is>
      </c>
      <c r="O11" s="115" t="inlineStr">
        <is>
          <t>M</t>
        </is>
      </c>
      <c r="P11" s="115" t="inlineStr">
        <is>
          <t>M</t>
        </is>
      </c>
      <c r="Q11" s="125" t="inlineStr">
        <is>
          <t>N</t>
        </is>
      </c>
      <c r="R11" s="114" t="n"/>
      <c r="S11" s="115" t="inlineStr">
        <is>
          <t>M</t>
        </is>
      </c>
      <c r="T11" s="115" t="inlineStr">
        <is>
          <t>M</t>
        </is>
      </c>
      <c r="U11" s="115" t="inlineStr">
        <is>
          <t>M</t>
        </is>
      </c>
      <c r="V11" s="124" t="inlineStr">
        <is>
          <t>D</t>
        </is>
      </c>
      <c r="W11" s="115" t="inlineStr">
        <is>
          <t>M</t>
        </is>
      </c>
      <c r="X11" s="115" t="inlineStr">
        <is>
          <t>M</t>
        </is>
      </c>
      <c r="Y11" s="114" t="n"/>
      <c r="Z11" s="115" t="inlineStr">
        <is>
          <t>M</t>
        </is>
      </c>
      <c r="AA11" s="115" t="inlineStr">
        <is>
          <t>M</t>
        </is>
      </c>
      <c r="AB11" s="115" t="inlineStr">
        <is>
          <t>M</t>
        </is>
      </c>
      <c r="AC11" s="115" t="inlineStr">
        <is>
          <t>M</t>
        </is>
      </c>
      <c r="AD11" s="115" t="inlineStr">
        <is>
          <t>M</t>
        </is>
      </c>
      <c r="AE11" s="114" t="n"/>
      <c r="AF11" s="125" t="inlineStr">
        <is>
          <t>N</t>
        </is>
      </c>
      <c r="AG11" s="115" t="inlineStr">
        <is>
          <t>M</t>
        </is>
      </c>
      <c r="AH11" s="124" t="inlineStr">
        <is>
          <t>D</t>
        </is>
      </c>
      <c r="AI11" s="115" t="inlineStr">
        <is>
          <t>M</t>
        </is>
      </c>
      <c r="AJ11" s="124" t="inlineStr">
        <is>
          <t>D</t>
        </is>
      </c>
      <c r="AK11" s="115" t="inlineStr">
        <is>
          <t>M</t>
        </is>
      </c>
      <c r="AL11" s="114" t="n"/>
      <c r="AM11" s="114" t="n"/>
      <c r="AN11" s="100" t="n"/>
      <c r="AO11" s="100" t="n"/>
      <c r="AP11" s="100" t="n"/>
      <c r="AQ11" s="100" t="n"/>
      <c r="AR11" s="100" t="n"/>
      <c r="AS11" s="100" t="n"/>
      <c r="AT11" s="117">
        <f>SUMPRODUCT(($E11:$K11="M")*6+($E11:$K11="T")*6+($E11:$K11="D")*12+($E11:$K11="N")*12+($E11:$K11="NT")*6+($E11:$K11="C")*10+($E11:$K11="A")*8+($E11:$K11="J")*5+($E11:$K11="CEP")*4+($E11:$K11="CP")*6+($E11:$K11="CRO")*6+($E11:$K11="M+")*6+($E11:$K11="T+")*6+($E11:$K11="D+")*12+($E11:$K11="N+")*12+($E11:$K11="Dm+")*12+($E11:$K11="Dt+")*12+($E11:$K11="Tm-")*6+($E11:$K11="Mt-")*6)</f>
        <v/>
      </c>
      <c r="AU11" s="118">
        <f>AT11-MAX(0,IFERROR(INDEX(CADASTRO!$I$4:$I$80,MATCH($A11,CADASTRO!$A$4:$A$80,0)),$B11)-CONFIG!$B$50*(COUNTIF($E11:$K11,"AB")+COUNTIF($E11:$K11,"FE")+COUNTIF($E11:$K11,"LM")))</f>
        <v/>
      </c>
      <c r="AV11" s="117">
        <f>SUMPRODUCT(($L11:$R11="M")*6+($L11:$R11="T")*6+($L11:$R11="D")*12+($L11:$R11="N")*12+($L11:$R11="NT")*6+($L11:$R11="C")*10+($L11:$R11="A")*8+($L11:$R11="J")*5+($L11:$R11="CEP")*4+($L11:$R11="CP")*6+($L11:$R11="CRO")*6+($L11:$R11="M+")*6+($L11:$R11="T+")*6+($L11:$R11="D+")*12+($L11:$R11="N+")*12+($L11:$R11="Dm+")*12+($L11:$R11="Dt+")*12+($L11:$R11="Tm-")*6+($L11:$R11="Mt-")*6)</f>
        <v/>
      </c>
      <c r="AW11" s="118">
        <f>AV11-MAX(0,IFERROR(INDEX(CADASTRO!$I$4:$I$80,MATCH($A11,CADASTRO!$A$4:$A$80,0)),$B11)-CONFIG!$B$50*(COUNTIF($L11:$R11,"AB")+COUNTIF($L11:$R11,"FE")+COUNTIF($L11:$R11,"LM")))</f>
        <v/>
      </c>
      <c r="AX11" s="117">
        <f>SUMPRODUCT(($S11:$Y11="M")*6+($S11:$Y11="T")*6+($S11:$Y11="D")*12+($S11:$Y11="N")*12+($S11:$Y11="NT")*6+($S11:$Y11="C")*10+($S11:$Y11="A")*8+($S11:$Y11="J")*5+($S11:$Y11="CEP")*4+($S11:$Y11="CP")*6+($S11:$Y11="CRO")*6+($S11:$Y11="M+")*6+($S11:$Y11="T+")*6+($S11:$Y11="D+")*12+($S11:$Y11="N+")*12+($S11:$Y11="Dm+")*12+($S11:$Y11="Dt+")*12+($S11:$Y11="Tm-")*6+($S11:$Y11="Mt-")*6)</f>
        <v/>
      </c>
      <c r="AY11" s="118">
        <f>AX11-MAX(0,IFERROR(INDEX(CADASTRO!$I$4:$I$80,MATCH($A11,CADASTRO!$A$4:$A$80,0)),$B11)-CONFIG!$B$50*(COUNTIF($S11:$Y11,"AB")+COUNTIF($S11:$Y11,"FE")+COUNTIF($S11:$Y11,"LM")))</f>
        <v/>
      </c>
      <c r="AZ11" s="117">
        <f>SUMPRODUCT(($Z11:$AF11="M")*6+($Z11:$AF11="T")*6+($Z11:$AF11="D")*12+($Z11:$AF11="N")*12+($Z11:$AF11="NT")*6+($Z11:$AF11="C")*10+($Z11:$AF11="A")*8+($Z11:$AF11="J")*5+($Z11:$AF11="CEP")*4+($Z11:$AF11="CP")*6+($Z11:$AF11="CRO")*6+($Z11:$AF11="M+")*6+($Z11:$AF11="T+")*6+($Z11:$AF11="D+")*12+($Z11:$AF11="N+")*12+($Z11:$AF11="Dm+")*12+($Z11:$AF11="Dt+")*12+($Z11:$AF11="Tm-")*6+($Z11:$AF11="Mt-")*6)</f>
        <v/>
      </c>
      <c r="BA11" s="118">
        <f>AZ11-MAX(0,IFERROR(INDEX(CADASTRO!$I$4:$I$80,MATCH($A11,CADASTRO!$A$4:$A$80,0)),$B11)-CONFIG!$B$50*(COUNTIF($Z11:$AF11,"AB")+COUNTIF($Z11:$AF11,"FE")+COUNTIF($Z11:$AF11,"LM")))</f>
        <v/>
      </c>
      <c r="BB11" s="117">
        <f>SUMPRODUCT(($AG11:$AM11="M")*6+($AG11:$AM11="T")*6+($AG11:$AM11="D")*12+($AG11:$AM11="N")*12+($AG11:$AM11="NT")*6+($AG11:$AM11="C")*10+($AG11:$AM11="A")*8+($AG11:$AM11="J")*5+($AG11:$AM11="CEP")*4+($AG11:$AM11="CP")*6+($AG11:$AM11="CRO")*6+($AG11:$AM11="M+")*6+($AG11:$AM11="T+")*6+($AG11:$AM11="D+")*12+($AG11:$AM11="N+")*12+($AG11:$AM11="Dm+")*12+($AG11:$AM11="Dt+")*12+($AG11:$AM11="Tm-")*6+($AG11:$AM11="Mt-")*6)</f>
        <v/>
      </c>
      <c r="BC11" s="118">
        <f>BB11-MAX(0,IFERROR(INDEX(CADASTRO!$I$4:$I$80,MATCH($A11,CADASTRO!$A$4:$A$80,0)),$B11)-CONFIG!$B$50*(COUNTIF($AG11:$AM11,"AB")+COUNTIF($AG11:$AM11,"FE")+COUNTIF($AG11:$AM11,"LM")))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36">
        <f>IFERROR(INDEX(ABR!AI$8:AI$73,MATCH($A12,ABR!$A$8:$A$73,0))&amp;"","")</f>
        <v/>
      </c>
      <c r="F12" s="136">
        <f>IFERROR(INDEX(ABR!AJ$8:AJ$73,MATCH($A12,ABR!$A$8:$A$73,0))&amp;"","")</f>
        <v/>
      </c>
      <c r="G12" s="136">
        <f>IFERROR(INDEX(ABR!AK$8:AK$73,MATCH($A12,ABR!$A$8:$A$73,0))&amp;"","")</f>
        <v/>
      </c>
      <c r="H12" s="136">
        <f>IFERROR(INDEX(ABR!AL$8:AL$73,MATCH($A12,ABR!$A$8:$A$73,0))&amp;"","")</f>
        <v/>
      </c>
      <c r="I12" s="115" t="inlineStr">
        <is>
          <t>M</t>
        </is>
      </c>
      <c r="J12" s="114" t="n"/>
      <c r="K12" s="114" t="n"/>
      <c r="L12" s="115" t="inlineStr">
        <is>
          <t>M</t>
        </is>
      </c>
      <c r="M12" s="115" t="inlineStr">
        <is>
          <t>M</t>
        </is>
      </c>
      <c r="N12" s="115" t="inlineStr">
        <is>
          <t>M</t>
        </is>
      </c>
      <c r="O12" s="115" t="inlineStr">
        <is>
          <t>M</t>
        </is>
      </c>
      <c r="P12" s="115" t="inlineStr">
        <is>
          <t>M</t>
        </is>
      </c>
      <c r="Q12" s="124" t="inlineStr">
        <is>
          <t>D</t>
        </is>
      </c>
      <c r="R12" s="114" t="n"/>
      <c r="S12" s="115" t="inlineStr">
        <is>
          <t>M</t>
        </is>
      </c>
      <c r="T12" s="124" t="inlineStr">
        <is>
          <t>D</t>
        </is>
      </c>
      <c r="U12" s="115" t="inlineStr">
        <is>
          <t>M</t>
        </is>
      </c>
      <c r="V12" s="115" t="inlineStr">
        <is>
          <t>M</t>
        </is>
      </c>
      <c r="W12" s="127" t="inlineStr">
        <is>
          <t>Mt-</t>
        </is>
      </c>
      <c r="X12" s="114" t="n"/>
      <c r="Y12" s="114" t="n"/>
      <c r="Z12" s="115" t="inlineStr">
        <is>
          <t>M</t>
        </is>
      </c>
      <c r="AA12" s="115" t="inlineStr">
        <is>
          <t>M</t>
        </is>
      </c>
      <c r="AB12" s="115" t="inlineStr">
        <is>
          <t>M</t>
        </is>
      </c>
      <c r="AC12" s="115" t="inlineStr">
        <is>
          <t>M</t>
        </is>
      </c>
      <c r="AD12" s="124" t="inlineStr">
        <is>
          <t>D</t>
        </is>
      </c>
      <c r="AE12" s="123" t="inlineStr">
        <is>
          <t>Dt+</t>
        </is>
      </c>
      <c r="AF12" s="114" t="n"/>
      <c r="AG12" s="124" t="inlineStr">
        <is>
          <t>D</t>
        </is>
      </c>
      <c r="AH12" s="115" t="inlineStr">
        <is>
          <t>M</t>
        </is>
      </c>
      <c r="AI12" s="115" t="inlineStr">
        <is>
          <t>M</t>
        </is>
      </c>
      <c r="AJ12" s="124" t="inlineStr">
        <is>
          <t>D</t>
        </is>
      </c>
      <c r="AK12" s="115" t="inlineStr">
        <is>
          <t>M</t>
        </is>
      </c>
      <c r="AL12" s="126" t="inlineStr">
        <is>
          <t>T</t>
        </is>
      </c>
      <c r="AM12" s="114" t="n"/>
      <c r="AN12" s="100" t="n"/>
      <c r="AO12" s="100" t="n"/>
      <c r="AP12" s="100" t="n"/>
      <c r="AQ12" s="100" t="n"/>
      <c r="AR12" s="100" t="n"/>
      <c r="AS12" s="100" t="n"/>
      <c r="AT12" s="117">
        <f>SUMPRODUCT(($E12:$K12="M")*6+($E12:$K12="T")*6+($E12:$K12="D")*12+($E12:$K12="N")*12+($E12:$K12="NT")*6+($E12:$K12="C")*10+($E12:$K12="A")*8+($E12:$K12="J")*5+($E12:$K12="CEP")*4+($E12:$K12="CP")*6+($E12:$K12="CRO")*6+($E12:$K12="M+")*6+($E12:$K12="T+")*6+($E12:$K12="D+")*12+($E12:$K12="N+")*12+($E12:$K12="Dm+")*12+($E12:$K12="Dt+")*12+($E12:$K12="Tm-")*6+($E12:$K12="Mt-")*6)</f>
        <v/>
      </c>
      <c r="AU12" s="118">
        <f>AT12-MAX(0,IFERROR(INDEX(CADASTRO!$I$4:$I$80,MATCH($A12,CADASTRO!$A$4:$A$80,0)),$B12)-CONFIG!$B$50*(COUNTIF($E12:$K12,"AB")+COUNTIF($E12:$K12,"FE")+COUNTIF($E12:$K12,"LM")))</f>
        <v/>
      </c>
      <c r="AV12" s="117">
        <f>SUMPRODUCT(($L12:$R12="M")*6+($L12:$R12="T")*6+($L12:$R12="D")*12+($L12:$R12="N")*12+($L12:$R12="NT")*6+($L12:$R12="C")*10+($L12:$R12="A")*8+($L12:$R12="J")*5+($L12:$R12="CEP")*4+($L12:$R12="CP")*6+($L12:$R12="CRO")*6+($L12:$R12="M+")*6+($L12:$R12="T+")*6+($L12:$R12="D+")*12+($L12:$R12="N+")*12+($L12:$R12="Dm+")*12+($L12:$R12="Dt+")*12+($L12:$R12="Tm-")*6+($L12:$R12="Mt-")*6)</f>
        <v/>
      </c>
      <c r="AW12" s="118">
        <f>AV12-MAX(0,IFERROR(INDEX(CADASTRO!$I$4:$I$80,MATCH($A12,CADASTRO!$A$4:$A$80,0)),$B12)-CONFIG!$B$50*(COUNTIF($L12:$R12,"AB")+COUNTIF($L12:$R12,"FE")+COUNTIF($L12:$R12,"LM")))</f>
        <v/>
      </c>
      <c r="AX12" s="117">
        <f>SUMPRODUCT(($S12:$Y12="M")*6+($S12:$Y12="T")*6+($S12:$Y12="D")*12+($S12:$Y12="N")*12+($S12:$Y12="NT")*6+($S12:$Y12="C")*10+($S12:$Y12="A")*8+($S12:$Y12="J")*5+($S12:$Y12="CEP")*4+($S12:$Y12="CP")*6+($S12:$Y12="CRO")*6+($S12:$Y12="M+")*6+($S12:$Y12="T+")*6+($S12:$Y12="D+")*12+($S12:$Y12="N+")*12+($S12:$Y12="Dm+")*12+($S12:$Y12="Dt+")*12+($S12:$Y12="Tm-")*6+($S12:$Y12="Mt-")*6)</f>
        <v/>
      </c>
      <c r="AY12" s="118">
        <f>AX12-MAX(0,IFERROR(INDEX(CADASTRO!$I$4:$I$80,MATCH($A12,CADASTRO!$A$4:$A$80,0)),$B12)-CONFIG!$B$50*(COUNTIF($S12:$Y12,"AB")+COUNTIF($S12:$Y12,"FE")+COUNTIF($S12:$Y12,"LM")))</f>
        <v/>
      </c>
      <c r="AZ12" s="117">
        <f>SUMPRODUCT(($Z12:$AF12="M")*6+($Z12:$AF12="T")*6+($Z12:$AF12="D")*12+($Z12:$AF12="N")*12+($Z12:$AF12="NT")*6+($Z12:$AF12="C")*10+($Z12:$AF12="A")*8+($Z12:$AF12="J")*5+($Z12:$AF12="CEP")*4+($Z12:$AF12="CP")*6+($Z12:$AF12="CRO")*6+($Z12:$AF12="M+")*6+($Z12:$AF12="T+")*6+($Z12:$AF12="D+")*12+($Z12:$AF12="N+")*12+($Z12:$AF12="Dm+")*12+($Z12:$AF12="Dt+")*12+($Z12:$AF12="Tm-")*6+($Z12:$AF12="Mt-")*6)</f>
        <v/>
      </c>
      <c r="BA12" s="118">
        <f>AZ12-MAX(0,IFERROR(INDEX(CADASTRO!$I$4:$I$80,MATCH($A12,CADASTRO!$A$4:$A$80,0)),$B12)-CONFIG!$B$50*(COUNTIF($Z12:$AF12,"AB")+COUNTIF($Z12:$AF12,"FE")+COUNTIF($Z12:$AF12,"LM")))</f>
        <v/>
      </c>
      <c r="BB12" s="117">
        <f>SUMPRODUCT(($AG12:$AM12="M")*6+($AG12:$AM12="T")*6+($AG12:$AM12="D")*12+($AG12:$AM12="N")*12+($AG12:$AM12="NT")*6+($AG12:$AM12="C")*10+($AG12:$AM12="A")*8+($AG12:$AM12="J")*5+($AG12:$AM12="CEP")*4+($AG12:$AM12="CP")*6+($AG12:$AM12="CRO")*6+($AG12:$AM12="M+")*6+($AG12:$AM12="T+")*6+($AG12:$AM12="D+")*12+($AG12:$AM12="N+")*12+($AG12:$AM12="Dm+")*12+($AG12:$AM12="Dt+")*12+($AG12:$AM12="Tm-")*6+($AG12:$AM12="Mt-")*6)</f>
        <v/>
      </c>
      <c r="BC12" s="118">
        <f>BB12-MAX(0,IFERROR(INDEX(CADASTRO!$I$4:$I$80,MATCH($A12,CADASTRO!$A$4:$A$80,0)),$B12)-CONFIG!$B$50*(COUNTIF($AG12:$AM12,"AB")+COUNTIF($AG12:$AM12,"FE")+COUNTIF($AG12:$AM12,"LM")))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36">
        <f>IFERROR(INDEX(ABR!AI$8:AI$73,MATCH($A13,ABR!$A$8:$A$73,0))&amp;"","")</f>
        <v/>
      </c>
      <c r="F13" s="136">
        <f>IFERROR(INDEX(ABR!AJ$8:AJ$73,MATCH($A13,ABR!$A$8:$A$73,0))&amp;"","")</f>
        <v/>
      </c>
      <c r="G13" s="136">
        <f>IFERROR(INDEX(ABR!AK$8:AK$73,MATCH($A13,ABR!$A$8:$A$73,0))&amp;"","")</f>
        <v/>
      </c>
      <c r="H13" s="136">
        <f>IFERROR(INDEX(ABR!AL$8:AL$73,MATCH($A13,ABR!$A$8:$A$73,0))&amp;"","")</f>
        <v/>
      </c>
      <c r="I13" s="115" t="inlineStr">
        <is>
          <t>M</t>
        </is>
      </c>
      <c r="J13" s="125" t="inlineStr">
        <is>
          <t>N</t>
        </is>
      </c>
      <c r="K13" s="114" t="n"/>
      <c r="L13" s="115" t="inlineStr">
        <is>
          <t>M</t>
        </is>
      </c>
      <c r="M13" s="115" t="inlineStr">
        <is>
          <t>M</t>
        </is>
      </c>
      <c r="N13" s="115" t="inlineStr">
        <is>
          <t>M</t>
        </is>
      </c>
      <c r="O13" s="115" t="inlineStr">
        <is>
          <t>M</t>
        </is>
      </c>
      <c r="P13" s="115" t="inlineStr">
        <is>
          <t>M</t>
        </is>
      </c>
      <c r="Q13" s="114" t="n"/>
      <c r="R13" s="114" t="n"/>
      <c r="S13" s="115" t="inlineStr">
        <is>
          <t>M</t>
        </is>
      </c>
      <c r="T13" s="115" t="inlineStr">
        <is>
          <t>M</t>
        </is>
      </c>
      <c r="U13" s="115" t="inlineStr">
        <is>
          <t>M</t>
        </is>
      </c>
      <c r="V13" s="115" t="inlineStr">
        <is>
          <t>M</t>
        </is>
      </c>
      <c r="W13" s="115" t="inlineStr">
        <is>
          <t>M</t>
        </is>
      </c>
      <c r="X13" s="125" t="inlineStr">
        <is>
          <t>N</t>
        </is>
      </c>
      <c r="Y13" s="114" t="n"/>
      <c r="Z13" s="115" t="inlineStr">
        <is>
          <t>M</t>
        </is>
      </c>
      <c r="AA13" s="115" t="inlineStr">
        <is>
          <t>M</t>
        </is>
      </c>
      <c r="AB13" s="115" t="inlineStr">
        <is>
          <t>M</t>
        </is>
      </c>
      <c r="AC13" s="115" t="inlineStr">
        <is>
          <t>M</t>
        </is>
      </c>
      <c r="AD13" s="115" t="inlineStr">
        <is>
          <t>M</t>
        </is>
      </c>
      <c r="AE13" s="114" t="n"/>
      <c r="AF13" s="114" t="n"/>
      <c r="AG13" s="115" t="inlineStr">
        <is>
          <t>M</t>
        </is>
      </c>
      <c r="AH13" s="115" t="inlineStr">
        <is>
          <t>M</t>
        </is>
      </c>
      <c r="AI13" s="115" t="inlineStr">
        <is>
          <t>M</t>
        </is>
      </c>
      <c r="AJ13" s="115" t="inlineStr">
        <is>
          <t>M</t>
        </is>
      </c>
      <c r="AK13" s="115" t="inlineStr">
        <is>
          <t>M</t>
        </is>
      </c>
      <c r="AL13" s="125" t="inlineStr">
        <is>
          <t>N</t>
        </is>
      </c>
      <c r="AM13" s="114" t="n"/>
      <c r="AN13" s="100" t="n"/>
      <c r="AO13" s="100" t="n"/>
      <c r="AP13" s="100" t="n"/>
      <c r="AQ13" s="100" t="n"/>
      <c r="AR13" s="100" t="n"/>
      <c r="AS13" s="100" t="n"/>
      <c r="AT13" s="117">
        <f>SUMPRODUCT(($E13:$K13="M")*6+($E13:$K13="T")*6+($E13:$K13="D")*12+($E13:$K13="N")*12+($E13:$K13="NT")*6+($E13:$K13="C")*10+($E13:$K13="A")*8+($E13:$K13="J")*5+($E13:$K13="CEP")*4+($E13:$K13="CP")*6+($E13:$K13="CRO")*6+($E13:$K13="M+")*6+($E13:$K13="T+")*6+($E13:$K13="D+")*12+($E13:$K13="N+")*12+($E13:$K13="Dm+")*12+($E13:$K13="Dt+")*12+($E13:$K13="Tm-")*6+($E13:$K13="Mt-")*6)</f>
        <v/>
      </c>
      <c r="AU13" s="118">
        <f>AT13-MAX(0,IFERROR(INDEX(CADASTRO!$I$4:$I$80,MATCH($A13,CADASTRO!$A$4:$A$80,0)),$B13)-CONFIG!$B$50*(COUNTIF($E13:$K13,"AB")+COUNTIF($E13:$K13,"FE")+COUNTIF($E13:$K13,"LM")))</f>
        <v/>
      </c>
      <c r="AV13" s="117">
        <f>SUMPRODUCT(($L13:$R13="M")*6+($L13:$R13="T")*6+($L13:$R13="D")*12+($L13:$R13="N")*12+($L13:$R13="NT")*6+($L13:$R13="C")*10+($L13:$R13="A")*8+($L13:$R13="J")*5+($L13:$R13="CEP")*4+($L13:$R13="CP")*6+($L13:$R13="CRO")*6+($L13:$R13="M+")*6+($L13:$R13="T+")*6+($L13:$R13="D+")*12+($L13:$R13="N+")*12+($L13:$R13="Dm+")*12+($L13:$R13="Dt+")*12+($L13:$R13="Tm-")*6+($L13:$R13="Mt-")*6)</f>
        <v/>
      </c>
      <c r="AW13" s="118">
        <f>AV13-MAX(0,IFERROR(INDEX(CADASTRO!$I$4:$I$80,MATCH($A13,CADASTRO!$A$4:$A$80,0)),$B13)-CONFIG!$B$50*(COUNTIF($L13:$R13,"AB")+COUNTIF($L13:$R13,"FE")+COUNTIF($L13:$R13,"LM")))</f>
        <v/>
      </c>
      <c r="AX13" s="117">
        <f>SUMPRODUCT(($S13:$Y13="M")*6+($S13:$Y13="T")*6+($S13:$Y13="D")*12+($S13:$Y13="N")*12+($S13:$Y13="NT")*6+($S13:$Y13="C")*10+($S13:$Y13="A")*8+($S13:$Y13="J")*5+($S13:$Y13="CEP")*4+($S13:$Y13="CP")*6+($S13:$Y13="CRO")*6+($S13:$Y13="M+")*6+($S13:$Y13="T+")*6+($S13:$Y13="D+")*12+($S13:$Y13="N+")*12+($S13:$Y13="Dm+")*12+($S13:$Y13="Dt+")*12+($S13:$Y13="Tm-")*6+($S13:$Y13="Mt-")*6)</f>
        <v/>
      </c>
      <c r="AY13" s="118">
        <f>AX13-MAX(0,IFERROR(INDEX(CADASTRO!$I$4:$I$80,MATCH($A13,CADASTRO!$A$4:$A$80,0)),$B13)-CONFIG!$B$50*(COUNTIF($S13:$Y13,"AB")+COUNTIF($S13:$Y13,"FE")+COUNTIF($S13:$Y13,"LM")))</f>
        <v/>
      </c>
      <c r="AZ13" s="117">
        <f>SUMPRODUCT(($Z13:$AF13="M")*6+($Z13:$AF13="T")*6+($Z13:$AF13="D")*12+($Z13:$AF13="N")*12+($Z13:$AF13="NT")*6+($Z13:$AF13="C")*10+($Z13:$AF13="A")*8+($Z13:$AF13="J")*5+($Z13:$AF13="CEP")*4+($Z13:$AF13="CP")*6+($Z13:$AF13="CRO")*6+($Z13:$AF13="M+")*6+($Z13:$AF13="T+")*6+($Z13:$AF13="D+")*12+($Z13:$AF13="N+")*12+($Z13:$AF13="Dm+")*12+($Z13:$AF13="Dt+")*12+($Z13:$AF13="Tm-")*6+($Z13:$AF13="Mt-")*6)</f>
        <v/>
      </c>
      <c r="BA13" s="118">
        <f>AZ13-MAX(0,IFERROR(INDEX(CADASTRO!$I$4:$I$80,MATCH($A13,CADASTRO!$A$4:$A$80,0)),$B13)-CONFIG!$B$50*(COUNTIF($Z13:$AF13,"AB")+COUNTIF($Z13:$AF13,"FE")+COUNTIF($Z13:$AF13,"LM")))</f>
        <v/>
      </c>
      <c r="BB13" s="117">
        <f>SUMPRODUCT(($AG13:$AM13="M")*6+($AG13:$AM13="T")*6+($AG13:$AM13="D")*12+($AG13:$AM13="N")*12+($AG13:$AM13="NT")*6+($AG13:$AM13="C")*10+($AG13:$AM13="A")*8+($AG13:$AM13="J")*5+($AG13:$AM13="CEP")*4+($AG13:$AM13="CP")*6+($AG13:$AM13="CRO")*6+($AG13:$AM13="M+")*6+($AG13:$AM13="T+")*6+($AG13:$AM13="D+")*12+($AG13:$AM13="N+")*12+($AG13:$AM13="Dm+")*12+($AG13:$AM13="Dt+")*12+($AG13:$AM13="Tm-")*6+($AG13:$AM13="Mt-")*6)</f>
        <v/>
      </c>
      <c r="BC13" s="118">
        <f>BB13-MAX(0,IFERROR(INDEX(CADASTRO!$I$4:$I$80,MATCH($A13,CADASTRO!$A$4:$A$80,0)),$B13)-CONFIG!$B$50*(COUNTIF($AG13:$AM13,"AB")+COUNTIF($AG13:$AM13,"FE")+COUNTIF($AG13:$AM13,"LM")))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36">
        <f>IFERROR(INDEX(ABR!AI$8:AI$73,MATCH($A14,ABR!$A$8:$A$73,0))&amp;"","")</f>
        <v/>
      </c>
      <c r="F14" s="136">
        <f>IFERROR(INDEX(ABR!AJ$8:AJ$73,MATCH($A14,ABR!$A$8:$A$73,0))&amp;"","")</f>
        <v/>
      </c>
      <c r="G14" s="136">
        <f>IFERROR(INDEX(ABR!AK$8:AK$73,MATCH($A14,ABR!$A$8:$A$73,0))&amp;"","")</f>
        <v/>
      </c>
      <c r="H14" s="136">
        <f>IFERROR(INDEX(ABR!AL$8:AL$73,MATCH($A14,ABR!$A$8:$A$73,0))&amp;"","")</f>
        <v/>
      </c>
      <c r="I14" s="114" t="n"/>
      <c r="J14" s="123" t="inlineStr">
        <is>
          <t>D+</t>
        </is>
      </c>
      <c r="K14" s="125" t="inlineStr">
        <is>
          <t>N</t>
        </is>
      </c>
      <c r="L14" s="115" t="inlineStr">
        <is>
          <t>M</t>
        </is>
      </c>
      <c r="M14" s="115" t="inlineStr">
        <is>
          <t>M</t>
        </is>
      </c>
      <c r="N14" s="115" t="inlineStr">
        <is>
          <t>M</t>
        </is>
      </c>
      <c r="O14" s="115" t="inlineStr">
        <is>
          <t>M</t>
        </is>
      </c>
      <c r="P14" s="115" t="inlineStr">
        <is>
          <t>M</t>
        </is>
      </c>
      <c r="Q14" s="114" t="n"/>
      <c r="R14" s="114" t="n"/>
      <c r="S14" s="115" t="inlineStr">
        <is>
          <t>M</t>
        </is>
      </c>
      <c r="T14" s="115" t="inlineStr">
        <is>
          <t>M</t>
        </is>
      </c>
      <c r="U14" s="115" t="inlineStr">
        <is>
          <t>M</t>
        </is>
      </c>
      <c r="V14" s="115" t="inlineStr">
        <is>
          <t>M</t>
        </is>
      </c>
      <c r="W14" s="115" t="inlineStr">
        <is>
          <t>M</t>
        </is>
      </c>
      <c r="X14" s="114" t="n"/>
      <c r="Y14" s="124" t="inlineStr">
        <is>
          <t>D</t>
        </is>
      </c>
      <c r="Z14" s="115" t="inlineStr">
        <is>
          <t>M</t>
        </is>
      </c>
      <c r="AA14" s="115" t="inlineStr">
        <is>
          <t>M</t>
        </is>
      </c>
      <c r="AB14" s="115" t="inlineStr">
        <is>
          <t>M</t>
        </is>
      </c>
      <c r="AC14" s="115" t="inlineStr">
        <is>
          <t>M</t>
        </is>
      </c>
      <c r="AD14" s="115" t="inlineStr">
        <is>
          <t>M</t>
        </is>
      </c>
      <c r="AE14" s="114" t="n"/>
      <c r="AF14" s="114" t="n"/>
      <c r="AG14" s="115" t="inlineStr">
        <is>
          <t>M</t>
        </is>
      </c>
      <c r="AH14" s="114" t="n"/>
      <c r="AI14" s="115" t="inlineStr">
        <is>
          <t>M</t>
        </is>
      </c>
      <c r="AJ14" s="115" t="inlineStr">
        <is>
          <t>M</t>
        </is>
      </c>
      <c r="AK14" s="115" t="inlineStr">
        <is>
          <t>M</t>
        </is>
      </c>
      <c r="AL14" s="114" t="n"/>
      <c r="AM14" s="124" t="inlineStr">
        <is>
          <t>D</t>
        </is>
      </c>
      <c r="AN14" s="100" t="n"/>
      <c r="AO14" s="100" t="n"/>
      <c r="AP14" s="100" t="n"/>
      <c r="AQ14" s="100" t="n"/>
      <c r="AR14" s="100" t="n"/>
      <c r="AS14" s="100" t="n"/>
      <c r="AT14" s="117">
        <f>SUMPRODUCT(($E14:$K14="M")*6+($E14:$K14="T")*6+($E14:$K14="D")*12+($E14:$K14="N")*12+($E14:$K14="NT")*6+($E14:$K14="C")*10+($E14:$K14="A")*8+($E14:$K14="J")*5+($E14:$K14="CEP")*4+($E14:$K14="CP")*6+($E14:$K14="CRO")*6+($E14:$K14="M+")*6+($E14:$K14="T+")*6+($E14:$K14="D+")*12+($E14:$K14="N+")*12+($E14:$K14="Dm+")*12+($E14:$K14="Dt+")*12+($E14:$K14="Tm-")*6+($E14:$K14="Mt-")*6)</f>
        <v/>
      </c>
      <c r="AU14" s="118">
        <f>AT14-MAX(0,IFERROR(INDEX(CADASTRO!$I$4:$I$80,MATCH($A14,CADASTRO!$A$4:$A$80,0)),$B14)-CONFIG!$B$50*(COUNTIF($E14:$K14,"AB")+COUNTIF($E14:$K14,"FE")+COUNTIF($E14:$K14,"LM")))</f>
        <v/>
      </c>
      <c r="AV14" s="117">
        <f>SUMPRODUCT(($L14:$R14="M")*6+($L14:$R14="T")*6+($L14:$R14="D")*12+($L14:$R14="N")*12+($L14:$R14="NT")*6+($L14:$R14="C")*10+($L14:$R14="A")*8+($L14:$R14="J")*5+($L14:$R14="CEP")*4+($L14:$R14="CP")*6+($L14:$R14="CRO")*6+($L14:$R14="M+")*6+($L14:$R14="T+")*6+($L14:$R14="D+")*12+($L14:$R14="N+")*12+($L14:$R14="Dm+")*12+($L14:$R14="Dt+")*12+($L14:$R14="Tm-")*6+($L14:$R14="Mt-")*6)</f>
        <v/>
      </c>
      <c r="AW14" s="118">
        <f>AV14-MAX(0,IFERROR(INDEX(CADASTRO!$I$4:$I$80,MATCH($A14,CADASTRO!$A$4:$A$80,0)),$B14)-CONFIG!$B$50*(COUNTIF($L14:$R14,"AB")+COUNTIF($L14:$R14,"FE")+COUNTIF($L14:$R14,"LM")))</f>
        <v/>
      </c>
      <c r="AX14" s="117">
        <f>SUMPRODUCT(($S14:$Y14="M")*6+($S14:$Y14="T")*6+($S14:$Y14="D")*12+($S14:$Y14="N")*12+($S14:$Y14="NT")*6+($S14:$Y14="C")*10+($S14:$Y14="A")*8+($S14:$Y14="J")*5+($S14:$Y14="CEP")*4+($S14:$Y14="CP")*6+($S14:$Y14="CRO")*6+($S14:$Y14="M+")*6+($S14:$Y14="T+")*6+($S14:$Y14="D+")*12+($S14:$Y14="N+")*12+($S14:$Y14="Dm+")*12+($S14:$Y14="Dt+")*12+($S14:$Y14="Tm-")*6+($S14:$Y14="Mt-")*6)</f>
        <v/>
      </c>
      <c r="AY14" s="118">
        <f>AX14-MAX(0,IFERROR(INDEX(CADASTRO!$I$4:$I$80,MATCH($A14,CADASTRO!$A$4:$A$80,0)),$B14)-CONFIG!$B$50*(COUNTIF($S14:$Y14,"AB")+COUNTIF($S14:$Y14,"FE")+COUNTIF($S14:$Y14,"LM")))</f>
        <v/>
      </c>
      <c r="AZ14" s="117">
        <f>SUMPRODUCT(($Z14:$AF14="M")*6+($Z14:$AF14="T")*6+($Z14:$AF14="D")*12+($Z14:$AF14="N")*12+($Z14:$AF14="NT")*6+($Z14:$AF14="C")*10+($Z14:$AF14="A")*8+($Z14:$AF14="J")*5+($Z14:$AF14="CEP")*4+($Z14:$AF14="CP")*6+($Z14:$AF14="CRO")*6+($Z14:$AF14="M+")*6+($Z14:$AF14="T+")*6+($Z14:$AF14="D+")*12+($Z14:$AF14="N+")*12+($Z14:$AF14="Dm+")*12+($Z14:$AF14="Dt+")*12+($Z14:$AF14="Tm-")*6+($Z14:$AF14="Mt-")*6)</f>
        <v/>
      </c>
      <c r="BA14" s="118">
        <f>AZ14-MAX(0,IFERROR(INDEX(CADASTRO!$I$4:$I$80,MATCH($A14,CADASTRO!$A$4:$A$80,0)),$B14)-CONFIG!$B$50*(COUNTIF($Z14:$AF14,"AB")+COUNTIF($Z14:$AF14,"FE")+COUNTIF($Z14:$AF14,"LM")))</f>
        <v/>
      </c>
      <c r="BB14" s="117">
        <f>SUMPRODUCT(($AG14:$AM14="M")*6+($AG14:$AM14="T")*6+($AG14:$AM14="D")*12+($AG14:$AM14="N")*12+($AG14:$AM14="NT")*6+($AG14:$AM14="C")*10+($AG14:$AM14="A")*8+($AG14:$AM14="J")*5+($AG14:$AM14="CEP")*4+($AG14:$AM14="CP")*6+($AG14:$AM14="CRO")*6+($AG14:$AM14="M+")*6+($AG14:$AM14="T+")*6+($AG14:$AM14="D+")*12+($AG14:$AM14="N+")*12+($AG14:$AM14="Dm+")*12+($AG14:$AM14="Dt+")*12+($AG14:$AM14="Tm-")*6+($AG14:$AM14="Mt-")*6)</f>
        <v/>
      </c>
      <c r="BC14" s="118">
        <f>BB14-MAX(0,IFERROR(INDEX(CADASTRO!$I$4:$I$80,MATCH($A14,CADASTRO!$A$4:$A$80,0)),$B14)-CONFIG!$B$50*(COUNTIF($AG14:$AM14,"AB")+COUNTIF($AG14:$AM14,"FE")+COUNTIF($AG14:$AM14,"LM")))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36">
        <f>IFERROR(INDEX(ABR!AI$8:AI$73,MATCH($A15,ABR!$A$8:$A$73,0))&amp;"","")</f>
        <v/>
      </c>
      <c r="F15" s="136">
        <f>IFERROR(INDEX(ABR!AJ$8:AJ$73,MATCH($A15,ABR!$A$8:$A$73,0))&amp;"","")</f>
        <v/>
      </c>
      <c r="G15" s="136">
        <f>IFERROR(INDEX(ABR!AK$8:AK$73,MATCH($A15,ABR!$A$8:$A$73,0))&amp;"","")</f>
        <v/>
      </c>
      <c r="H15" s="136">
        <f>IFERROR(INDEX(ABR!AL$8:AL$73,MATCH($A15,ABR!$A$8:$A$73,0))&amp;"","")</f>
        <v/>
      </c>
      <c r="I15" s="115" t="inlineStr">
        <is>
          <t>M</t>
        </is>
      </c>
      <c r="J15" s="125" t="inlineStr">
        <is>
          <t>N</t>
        </is>
      </c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5" t="inlineStr">
        <is>
          <t>M</t>
        </is>
      </c>
      <c r="AB15" s="115" t="inlineStr">
        <is>
          <t>M</t>
        </is>
      </c>
      <c r="AC15" s="115" t="inlineStr">
        <is>
          <t>M</t>
        </is>
      </c>
      <c r="AD15" s="115" t="inlineStr">
        <is>
          <t>M</t>
        </is>
      </c>
      <c r="AE15" s="114" t="n"/>
      <c r="AF15" s="114" t="n"/>
      <c r="AG15" s="115" t="inlineStr">
        <is>
          <t>M</t>
        </is>
      </c>
      <c r="AH15" s="115" t="inlineStr">
        <is>
          <t>M</t>
        </is>
      </c>
      <c r="AI15" s="115" t="inlineStr">
        <is>
          <t>M</t>
        </is>
      </c>
      <c r="AJ15" s="115" t="inlineStr">
        <is>
          <t>M</t>
        </is>
      </c>
      <c r="AK15" s="124" t="inlineStr">
        <is>
          <t>D</t>
        </is>
      </c>
      <c r="AL15" s="114" t="n"/>
      <c r="AM15" s="115" t="inlineStr">
        <is>
          <t>M</t>
        </is>
      </c>
      <c r="AN15" s="100" t="n"/>
      <c r="AO15" s="100" t="n"/>
      <c r="AP15" s="100" t="n"/>
      <c r="AQ15" s="100" t="n"/>
      <c r="AR15" s="100" t="n"/>
      <c r="AS15" s="100" t="n"/>
      <c r="AT15" s="117">
        <f>SUMPRODUCT(($E15:$K15="M")*6+($E15:$K15="T")*6+($E15:$K15="D")*12+($E15:$K15="N")*12+($E15:$K15="NT")*6+($E15:$K15="C")*10+($E15:$K15="A")*8+($E15:$K15="J")*5+($E15:$K15="CEP")*4+($E15:$K15="CP")*6+($E15:$K15="CRO")*6+($E15:$K15="M+")*6+($E15:$K15="T+")*6+($E15:$K15="D+")*12+($E15:$K15="N+")*12+($E15:$K15="Dm+")*12+($E15:$K15="Dt+")*12+($E15:$K15="Tm-")*6+($E15:$K15="Mt-")*6)</f>
        <v/>
      </c>
      <c r="AU15" s="118">
        <f>AT15-MAX(0,IFERROR(INDEX(CADASTRO!$I$4:$I$80,MATCH($A15,CADASTRO!$A$4:$A$80,0)),$B15)-CONFIG!$B$50*(COUNTIF($E15:$K15,"AB")+COUNTIF($E15:$K15,"FE")+COUNTIF($E15:$K15,"LM")))</f>
        <v/>
      </c>
      <c r="AV15" s="117">
        <f>SUMPRODUCT(($L15:$R15="M")*6+($L15:$R15="T")*6+($L15:$R15="D")*12+($L15:$R15="N")*12+($L15:$R15="NT")*6+($L15:$R15="C")*10+($L15:$R15="A")*8+($L15:$R15="J")*5+($L15:$R15="CEP")*4+($L15:$R15="CP")*6+($L15:$R15="CRO")*6+($L15:$R15="M+")*6+($L15:$R15="T+")*6+($L15:$R15="D+")*12+($L15:$R15="N+")*12+($L15:$R15="Dm+")*12+($L15:$R15="Dt+")*12+($L15:$R15="Tm-")*6+($L15:$R15="Mt-")*6)</f>
        <v/>
      </c>
      <c r="AW15" s="118">
        <f>AV15-MAX(0,IFERROR(INDEX(CADASTRO!$I$4:$I$80,MATCH($A15,CADASTRO!$A$4:$A$80,0)),$B15)-CONFIG!$B$50*(COUNTIF($L15:$R15,"AB")+COUNTIF($L15:$R15,"FE")+COUNTIF($L15:$R15,"LM")))</f>
        <v/>
      </c>
      <c r="AX15" s="117">
        <f>SUMPRODUCT(($S15:$Y15="M")*6+($S15:$Y15="T")*6+($S15:$Y15="D")*12+($S15:$Y15="N")*12+($S15:$Y15="NT")*6+($S15:$Y15="C")*10+($S15:$Y15="A")*8+($S15:$Y15="J")*5+($S15:$Y15="CEP")*4+($S15:$Y15="CP")*6+($S15:$Y15="CRO")*6+($S15:$Y15="M+")*6+($S15:$Y15="T+")*6+($S15:$Y15="D+")*12+($S15:$Y15="N+")*12+($S15:$Y15="Dm+")*12+($S15:$Y15="Dt+")*12+($S15:$Y15="Tm-")*6+($S15:$Y15="Mt-")*6)</f>
        <v/>
      </c>
      <c r="AY15" s="118">
        <f>AX15-MAX(0,IFERROR(INDEX(CADASTRO!$I$4:$I$80,MATCH($A15,CADASTRO!$A$4:$A$80,0)),$B15)-CONFIG!$B$50*(COUNTIF($S15:$Y15,"AB")+COUNTIF($S15:$Y15,"FE")+COUNTIF($S15:$Y15,"LM")))</f>
        <v/>
      </c>
      <c r="AZ15" s="117">
        <f>SUMPRODUCT(($Z15:$AF15="M")*6+($Z15:$AF15="T")*6+($Z15:$AF15="D")*12+($Z15:$AF15="N")*12+($Z15:$AF15="NT")*6+($Z15:$AF15="C")*10+($Z15:$AF15="A")*8+($Z15:$AF15="J")*5+($Z15:$AF15="CEP")*4+($Z15:$AF15="CP")*6+($Z15:$AF15="CRO")*6+($Z15:$AF15="M+")*6+($Z15:$AF15="T+")*6+($Z15:$AF15="D+")*12+($Z15:$AF15="N+")*12+($Z15:$AF15="Dm+")*12+($Z15:$AF15="Dt+")*12+($Z15:$AF15="Tm-")*6+($Z15:$AF15="Mt-")*6)</f>
        <v/>
      </c>
      <c r="BA15" s="118">
        <f>AZ15-MAX(0,IFERROR(INDEX(CADASTRO!$I$4:$I$80,MATCH($A15,CADASTRO!$A$4:$A$80,0)),$B15)-CONFIG!$B$50*(COUNTIF($Z15:$AF15,"AB")+COUNTIF($Z15:$AF15,"FE")+COUNTIF($Z15:$AF15,"LM")))</f>
        <v/>
      </c>
      <c r="BB15" s="117">
        <f>SUMPRODUCT(($AG15:$AM15="M")*6+($AG15:$AM15="T")*6+($AG15:$AM15="D")*12+($AG15:$AM15="N")*12+($AG15:$AM15="NT")*6+($AG15:$AM15="C")*10+($AG15:$AM15="A")*8+($AG15:$AM15="J")*5+($AG15:$AM15="CEP")*4+($AG15:$AM15="CP")*6+($AG15:$AM15="CRO")*6+($AG15:$AM15="M+")*6+($AG15:$AM15="T+")*6+($AG15:$AM15="D+")*12+($AG15:$AM15="N+")*12+($AG15:$AM15="Dm+")*12+($AG15:$AM15="Dt+")*12+($AG15:$AM15="Tm-")*6+($AG15:$AM15="Mt-")*6)</f>
        <v/>
      </c>
      <c r="BC15" s="118">
        <f>BB15-MAX(0,IFERROR(INDEX(CADASTRO!$I$4:$I$80,MATCH($A15,CADASTRO!$A$4:$A$80,0)),$B15)-CONFIG!$B$50*(COUNTIF($AG15:$AM15,"AB")+COUNTIF($AG15:$AM15,"FE")+COUNTIF($AG15:$AM15,"LM")))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36">
        <f>IFERROR(INDEX(ABR!AI$8:AI$73,MATCH($A16,ABR!$A$8:$A$73,0))&amp;"","")</f>
        <v/>
      </c>
      <c r="F16" s="136">
        <f>IFERROR(INDEX(ABR!AJ$8:AJ$73,MATCH($A16,ABR!$A$8:$A$73,0))&amp;"","")</f>
        <v/>
      </c>
      <c r="G16" s="136">
        <f>IFERROR(INDEX(ABR!AK$8:AK$73,MATCH($A16,ABR!$A$8:$A$73,0))&amp;"","")</f>
        <v/>
      </c>
      <c r="H16" s="136">
        <f>IFERROR(INDEX(ABR!AL$8:AL$73,MATCH($A16,ABR!$A$8:$A$73,0))&amp;"","")</f>
        <v/>
      </c>
      <c r="I16" s="124" t="inlineStr">
        <is>
          <t>D</t>
        </is>
      </c>
      <c r="J16" s="114" t="n"/>
      <c r="K16" s="114" t="n"/>
      <c r="L16" s="124" t="inlineStr">
        <is>
          <t>D</t>
        </is>
      </c>
      <c r="M16" s="126" t="inlineStr">
        <is>
          <t>T</t>
        </is>
      </c>
      <c r="N16" s="114" t="n"/>
      <c r="O16" s="114" t="n"/>
      <c r="P16" s="124" t="inlineStr">
        <is>
          <t>D</t>
        </is>
      </c>
      <c r="Q16" s="114" t="n"/>
      <c r="R16" s="114" t="n"/>
      <c r="S16" s="124" t="inlineStr">
        <is>
          <t>D</t>
        </is>
      </c>
      <c r="T16" s="114" t="n"/>
      <c r="U16" s="114" t="n"/>
      <c r="V16" s="114" t="n"/>
      <c r="W16" s="124" t="inlineStr">
        <is>
          <t>D</t>
        </is>
      </c>
      <c r="X16" s="114" t="n"/>
      <c r="Y16" s="126" t="inlineStr">
        <is>
          <t>T</t>
        </is>
      </c>
      <c r="Z16" s="124" t="inlineStr">
        <is>
          <t>D</t>
        </is>
      </c>
      <c r="AA16" s="114" t="n"/>
      <c r="AB16" s="114" t="n"/>
      <c r="AC16" s="114" t="n"/>
      <c r="AD16" s="126" t="inlineStr">
        <is>
          <t>T</t>
        </is>
      </c>
      <c r="AE16" s="114" t="n"/>
      <c r="AF16" s="124" t="inlineStr">
        <is>
          <t>D</t>
        </is>
      </c>
      <c r="AG16" s="126" t="inlineStr">
        <is>
          <t>T</t>
        </is>
      </c>
      <c r="AH16" s="126" t="inlineStr">
        <is>
          <t>T</t>
        </is>
      </c>
      <c r="AI16" s="114" t="n"/>
      <c r="AJ16" s="114" t="n"/>
      <c r="AK16" s="126" t="inlineStr">
        <is>
          <t>T</t>
        </is>
      </c>
      <c r="AL16" s="114" t="n"/>
      <c r="AM16" s="124" t="inlineStr">
        <is>
          <t>D</t>
        </is>
      </c>
      <c r="AN16" s="100" t="n"/>
      <c r="AO16" s="100" t="n"/>
      <c r="AP16" s="100" t="n"/>
      <c r="AQ16" s="100" t="n"/>
      <c r="AR16" s="100" t="n"/>
      <c r="AS16" s="100" t="n"/>
      <c r="AT16" s="117">
        <f>SUMPRODUCT(($E16:$K16="M")*6+($E16:$K16="T")*6+($E16:$K16="D")*12+($E16:$K16="N")*12+($E16:$K16="NT")*6+($E16:$K16="C")*10+($E16:$K16="A")*8+($E16:$K16="J")*5+($E16:$K16="CEP")*4+($E16:$K16="CP")*6+($E16:$K16="CRO")*6+($E16:$K16="M+")*6+($E16:$K16="T+")*6+($E16:$K16="D+")*12+($E16:$K16="N+")*12+($E16:$K16="Dm+")*12+($E16:$K16="Dt+")*12+($E16:$K16="Tm-")*6+($E16:$K16="Mt-")*6)</f>
        <v/>
      </c>
      <c r="AU16" s="118">
        <f>AT16-MAX(0,IFERROR(INDEX(CADASTRO!$I$4:$I$80,MATCH($A16,CADASTRO!$A$4:$A$80,0)),$B16)-CONFIG!$B$50*(COUNTIF($E16:$K16,"AB")+COUNTIF($E16:$K16,"FE")+COUNTIF($E16:$K16,"LM")))</f>
        <v/>
      </c>
      <c r="AV16" s="117">
        <f>SUMPRODUCT(($L16:$R16="M")*6+($L16:$R16="T")*6+($L16:$R16="D")*12+($L16:$R16="N")*12+($L16:$R16="NT")*6+($L16:$R16="C")*10+($L16:$R16="A")*8+($L16:$R16="J")*5+($L16:$R16="CEP")*4+($L16:$R16="CP")*6+($L16:$R16="CRO")*6+($L16:$R16="M+")*6+($L16:$R16="T+")*6+($L16:$R16="D+")*12+($L16:$R16="N+")*12+($L16:$R16="Dm+")*12+($L16:$R16="Dt+")*12+($L16:$R16="Tm-")*6+($L16:$R16="Mt-")*6)</f>
        <v/>
      </c>
      <c r="AW16" s="118">
        <f>AV16-MAX(0,IFERROR(INDEX(CADASTRO!$I$4:$I$80,MATCH($A16,CADASTRO!$A$4:$A$80,0)),$B16)-CONFIG!$B$50*(COUNTIF($L16:$R16,"AB")+COUNTIF($L16:$R16,"FE")+COUNTIF($L16:$R16,"LM")))</f>
        <v/>
      </c>
      <c r="AX16" s="117">
        <f>SUMPRODUCT(($S16:$Y16="M")*6+($S16:$Y16="T")*6+($S16:$Y16="D")*12+($S16:$Y16="N")*12+($S16:$Y16="NT")*6+($S16:$Y16="C")*10+($S16:$Y16="A")*8+($S16:$Y16="J")*5+($S16:$Y16="CEP")*4+($S16:$Y16="CP")*6+($S16:$Y16="CRO")*6+($S16:$Y16="M+")*6+($S16:$Y16="T+")*6+($S16:$Y16="D+")*12+($S16:$Y16="N+")*12+($S16:$Y16="Dm+")*12+($S16:$Y16="Dt+")*12+($S16:$Y16="Tm-")*6+($S16:$Y16="Mt-")*6)</f>
        <v/>
      </c>
      <c r="AY16" s="118">
        <f>AX16-MAX(0,IFERROR(INDEX(CADASTRO!$I$4:$I$80,MATCH($A16,CADASTRO!$A$4:$A$80,0)),$B16)-CONFIG!$B$50*(COUNTIF($S16:$Y16,"AB")+COUNTIF($S16:$Y16,"FE")+COUNTIF($S16:$Y16,"LM")))</f>
        <v/>
      </c>
      <c r="AZ16" s="117">
        <f>SUMPRODUCT(($Z16:$AF16="M")*6+($Z16:$AF16="T")*6+($Z16:$AF16="D")*12+($Z16:$AF16="N")*12+($Z16:$AF16="NT")*6+($Z16:$AF16="C")*10+($Z16:$AF16="A")*8+($Z16:$AF16="J")*5+($Z16:$AF16="CEP")*4+($Z16:$AF16="CP")*6+($Z16:$AF16="CRO")*6+($Z16:$AF16="M+")*6+($Z16:$AF16="T+")*6+($Z16:$AF16="D+")*12+($Z16:$AF16="N+")*12+($Z16:$AF16="Dm+")*12+($Z16:$AF16="Dt+")*12+($Z16:$AF16="Tm-")*6+($Z16:$AF16="Mt-")*6)</f>
        <v/>
      </c>
      <c r="BA16" s="118">
        <f>AZ16-MAX(0,IFERROR(INDEX(CADASTRO!$I$4:$I$80,MATCH($A16,CADASTRO!$A$4:$A$80,0)),$B16)-CONFIG!$B$50*(COUNTIF($Z16:$AF16,"AB")+COUNTIF($Z16:$AF16,"FE")+COUNTIF($Z16:$AF16,"LM")))</f>
        <v/>
      </c>
      <c r="BB16" s="117">
        <f>SUMPRODUCT(($AG16:$AM16="M")*6+($AG16:$AM16="T")*6+($AG16:$AM16="D")*12+($AG16:$AM16="N")*12+($AG16:$AM16="NT")*6+($AG16:$AM16="C")*10+($AG16:$AM16="A")*8+($AG16:$AM16="J")*5+($AG16:$AM16="CEP")*4+($AG16:$AM16="CP")*6+($AG16:$AM16="CRO")*6+($AG16:$AM16="M+")*6+($AG16:$AM16="T+")*6+($AG16:$AM16="D+")*12+($AG16:$AM16="N+")*12+($AG16:$AM16="Dm+")*12+($AG16:$AM16="Dt+")*12+($AG16:$AM16="Tm-")*6+($AG16:$AM16="Mt-")*6)</f>
        <v/>
      </c>
      <c r="BC16" s="118">
        <f>BB16-MAX(0,IFERROR(INDEX(CADASTRO!$I$4:$I$80,MATCH($A16,CADASTRO!$A$4:$A$80,0)),$B16)-CONFIG!$B$50*(COUNTIF($AG16:$AM16,"AB")+COUNTIF($AG16:$AM16,"FE")+COUNTIF($AG16:$AM16,"LM")))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36">
        <f>IFERROR(INDEX(ABR!AI$8:AI$73,MATCH($A17,ABR!$A$8:$A$73,0))&amp;"","")</f>
        <v/>
      </c>
      <c r="F17" s="136">
        <f>IFERROR(INDEX(ABR!AJ$8:AJ$73,MATCH($A17,ABR!$A$8:$A$73,0))&amp;"","")</f>
        <v/>
      </c>
      <c r="G17" s="136">
        <f>IFERROR(INDEX(ABR!AK$8:AK$73,MATCH($A17,ABR!$A$8:$A$73,0))&amp;"","")</f>
        <v/>
      </c>
      <c r="H17" s="136">
        <f>IFERROR(INDEX(ABR!AL$8:AL$73,MATCH($A17,ABR!$A$8:$A$73,0))&amp;"","")</f>
        <v/>
      </c>
      <c r="I17" s="114" t="n"/>
      <c r="J17" s="114" t="n"/>
      <c r="K17" s="114" t="n"/>
      <c r="L17" s="126" t="inlineStr">
        <is>
          <t>T</t>
        </is>
      </c>
      <c r="M17" s="129" t="inlineStr">
        <is>
          <t>CEP</t>
        </is>
      </c>
      <c r="N17" s="124" t="inlineStr">
        <is>
          <t>D</t>
        </is>
      </c>
      <c r="O17" s="114" t="n"/>
      <c r="P17" s="126" t="inlineStr">
        <is>
          <t>T</t>
        </is>
      </c>
      <c r="Q17" s="125" t="inlineStr">
        <is>
          <t>N</t>
        </is>
      </c>
      <c r="R17" s="114" t="n"/>
      <c r="S17" s="127" t="inlineStr">
        <is>
          <t>T-</t>
        </is>
      </c>
      <c r="T17" s="129" t="inlineStr">
        <is>
          <t>CEP</t>
        </is>
      </c>
      <c r="U17" s="114" t="n"/>
      <c r="V17" s="125" t="inlineStr">
        <is>
          <t>N</t>
        </is>
      </c>
      <c r="W17" s="114" t="n"/>
      <c r="X17" s="115" t="inlineStr">
        <is>
          <t>M</t>
        </is>
      </c>
      <c r="Y17" s="114" t="n"/>
      <c r="Z17" s="126" t="inlineStr">
        <is>
          <t>T</t>
        </is>
      </c>
      <c r="AA17" s="125" t="inlineStr">
        <is>
          <t>N</t>
        </is>
      </c>
      <c r="AB17" s="114" t="n"/>
      <c r="AC17" s="129" t="inlineStr">
        <is>
          <t>CEP</t>
        </is>
      </c>
      <c r="AD17" s="123" t="inlineStr">
        <is>
          <t>Dt+</t>
        </is>
      </c>
      <c r="AE17" s="125" t="inlineStr">
        <is>
          <t>N</t>
        </is>
      </c>
      <c r="AF17" s="114" t="n"/>
      <c r="AG17" s="125" t="inlineStr">
        <is>
          <t>N</t>
        </is>
      </c>
      <c r="AH17" s="129" t="inlineStr">
        <is>
          <t>CEP</t>
        </is>
      </c>
      <c r="AI17" s="114" t="n"/>
      <c r="AJ17" s="125" t="inlineStr">
        <is>
          <t>N</t>
        </is>
      </c>
      <c r="AK17" s="114" t="n"/>
      <c r="AL17" s="114" t="n"/>
      <c r="AM17" s="125" t="inlineStr">
        <is>
          <t>N</t>
        </is>
      </c>
      <c r="AN17" s="100" t="n"/>
      <c r="AO17" s="100" t="n"/>
      <c r="AP17" s="100" t="n"/>
      <c r="AQ17" s="100" t="n"/>
      <c r="AR17" s="100" t="n"/>
      <c r="AS17" s="100" t="n"/>
      <c r="AT17" s="117">
        <f>SUMPRODUCT(($E17:$K17="M")*6+($E17:$K17="T")*6+($E17:$K17="D")*12+($E17:$K17="N")*12+($E17:$K17="NT")*6+($E17:$K17="C")*10+($E17:$K17="A")*8+($E17:$K17="J")*5+($E17:$K17="CEP")*4+($E17:$K17="CP")*6+($E17:$K17="CRO")*6+($E17:$K17="M+")*6+($E17:$K17="T+")*6+($E17:$K17="D+")*12+($E17:$K17="N+")*12+($E17:$K17="Dm+")*12+($E17:$K17="Dt+")*12+($E17:$K17="Tm-")*6+($E17:$K17="Mt-")*6)</f>
        <v/>
      </c>
      <c r="AU17" s="118">
        <f>AT17-MAX(0,IFERROR(INDEX(CADASTRO!$I$4:$I$80,MATCH($A17,CADASTRO!$A$4:$A$80,0)),$B17)-CONFIG!$B$50*(COUNTIF($E17:$K17,"AB")+COUNTIF($E17:$K17,"FE")+COUNTIF($E17:$K17,"LM")))</f>
        <v/>
      </c>
      <c r="AV17" s="117">
        <f>SUMPRODUCT(($L17:$R17="M")*6+($L17:$R17="T")*6+($L17:$R17="D")*12+($L17:$R17="N")*12+($L17:$R17="NT")*6+($L17:$R17="C")*10+($L17:$R17="A")*8+($L17:$R17="J")*5+($L17:$R17="CEP")*4+($L17:$R17="CP")*6+($L17:$R17="CRO")*6+($L17:$R17="M+")*6+($L17:$R17="T+")*6+($L17:$R17="D+")*12+($L17:$R17="N+")*12+($L17:$R17="Dm+")*12+($L17:$R17="Dt+")*12+($L17:$R17="Tm-")*6+($L17:$R17="Mt-")*6)</f>
        <v/>
      </c>
      <c r="AW17" s="118">
        <f>AV17-MAX(0,IFERROR(INDEX(CADASTRO!$I$4:$I$80,MATCH($A17,CADASTRO!$A$4:$A$80,0)),$B17)-CONFIG!$B$50*(COUNTIF($L17:$R17,"AB")+COUNTIF($L17:$R17,"FE")+COUNTIF($L17:$R17,"LM")))</f>
        <v/>
      </c>
      <c r="AX17" s="117">
        <f>SUMPRODUCT(($S17:$Y17="M")*6+($S17:$Y17="T")*6+($S17:$Y17="D")*12+($S17:$Y17="N")*12+($S17:$Y17="NT")*6+($S17:$Y17="C")*10+($S17:$Y17="A")*8+($S17:$Y17="J")*5+($S17:$Y17="CEP")*4+($S17:$Y17="CP")*6+($S17:$Y17="CRO")*6+($S17:$Y17="M+")*6+($S17:$Y17="T+")*6+($S17:$Y17="D+")*12+($S17:$Y17="N+")*12+($S17:$Y17="Dm+")*12+($S17:$Y17="Dt+")*12+($S17:$Y17="Tm-")*6+($S17:$Y17="Mt-")*6)</f>
        <v/>
      </c>
      <c r="AY17" s="118">
        <f>AX17-MAX(0,IFERROR(INDEX(CADASTRO!$I$4:$I$80,MATCH($A17,CADASTRO!$A$4:$A$80,0)),$B17)-CONFIG!$B$50*(COUNTIF($S17:$Y17,"AB")+COUNTIF($S17:$Y17,"FE")+COUNTIF($S17:$Y17,"LM")))</f>
        <v/>
      </c>
      <c r="AZ17" s="117">
        <f>SUMPRODUCT(($Z17:$AF17="M")*6+($Z17:$AF17="T")*6+($Z17:$AF17="D")*12+($Z17:$AF17="N")*12+($Z17:$AF17="NT")*6+($Z17:$AF17="C")*10+($Z17:$AF17="A")*8+($Z17:$AF17="J")*5+($Z17:$AF17="CEP")*4+($Z17:$AF17="CP")*6+($Z17:$AF17="CRO")*6+($Z17:$AF17="M+")*6+($Z17:$AF17="T+")*6+($Z17:$AF17="D+")*12+($Z17:$AF17="N+")*12+($Z17:$AF17="Dm+")*12+($Z17:$AF17="Dt+")*12+($Z17:$AF17="Tm-")*6+($Z17:$AF17="Mt-")*6)</f>
        <v/>
      </c>
      <c r="BA17" s="118">
        <f>AZ17-MAX(0,IFERROR(INDEX(CADASTRO!$I$4:$I$80,MATCH($A17,CADASTRO!$A$4:$A$80,0)),$B17)-CONFIG!$B$50*(COUNTIF($Z17:$AF17,"AB")+COUNTIF($Z17:$AF17,"FE")+COUNTIF($Z17:$AF17,"LM")))</f>
        <v/>
      </c>
      <c r="BB17" s="117">
        <f>SUMPRODUCT(($AG17:$AM17="M")*6+($AG17:$AM17="T")*6+($AG17:$AM17="D")*12+($AG17:$AM17="N")*12+($AG17:$AM17="NT")*6+($AG17:$AM17="C")*10+($AG17:$AM17="A")*8+($AG17:$AM17="J")*5+($AG17:$AM17="CEP")*4+($AG17:$AM17="CP")*6+($AG17:$AM17="CRO")*6+($AG17:$AM17="M+")*6+($AG17:$AM17="T+")*6+($AG17:$AM17="D+")*12+($AG17:$AM17="N+")*12+($AG17:$AM17="Dm+")*12+($AG17:$AM17="Dt+")*12+($AG17:$AM17="Tm-")*6+($AG17:$AM17="Mt-")*6)</f>
        <v/>
      </c>
      <c r="BC17" s="118">
        <f>BB17-MAX(0,IFERROR(INDEX(CADASTRO!$I$4:$I$80,MATCH($A17,CADASTRO!$A$4:$A$80,0)),$B17)-CONFIG!$B$50*(COUNTIF($AG17:$AM17,"AB")+COUNTIF($AG17:$AM17,"FE")+COUNTIF($AG17:$AM17,"LM")))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36">
        <f>IFERROR(INDEX(ABR!AI$8:AI$73,MATCH($A18,ABR!$A$8:$A$73,0))&amp;"","")</f>
        <v/>
      </c>
      <c r="F18" s="136">
        <f>IFERROR(INDEX(ABR!AJ$8:AJ$73,MATCH($A18,ABR!$A$8:$A$73,0))&amp;"","")</f>
        <v/>
      </c>
      <c r="G18" s="136">
        <f>IFERROR(INDEX(ABR!AK$8:AK$73,MATCH($A18,ABR!$A$8:$A$73,0))&amp;"","")</f>
        <v/>
      </c>
      <c r="H18" s="136">
        <f>IFERROR(INDEX(ABR!AL$8:AL$73,MATCH($A18,ABR!$A$8:$A$73,0))&amp;"","")</f>
        <v/>
      </c>
      <c r="I18" s="114" t="n"/>
      <c r="J18" s="114" t="n"/>
      <c r="K18" s="124" t="inlineStr">
        <is>
          <t>D</t>
        </is>
      </c>
      <c r="L18" s="115" t="inlineStr">
        <is>
          <t>M</t>
        </is>
      </c>
      <c r="M18" s="124" t="inlineStr">
        <is>
          <t>D</t>
        </is>
      </c>
      <c r="N18" s="124" t="inlineStr">
        <is>
          <t>D</t>
        </is>
      </c>
      <c r="O18" s="114" t="n"/>
      <c r="P18" s="114" t="n"/>
      <c r="Q18" s="115" t="inlineStr">
        <is>
          <t>M</t>
        </is>
      </c>
      <c r="R18" s="114" t="n"/>
      <c r="S18" s="124" t="inlineStr">
        <is>
          <t>D</t>
        </is>
      </c>
      <c r="T18" s="114" t="n"/>
      <c r="U18" s="124" t="inlineStr">
        <is>
          <t>D</t>
        </is>
      </c>
      <c r="V18" s="114" t="n"/>
      <c r="W18" s="114" t="n"/>
      <c r="X18" s="114" t="n"/>
      <c r="Y18" s="124" t="inlineStr">
        <is>
          <t>D</t>
        </is>
      </c>
      <c r="Z18" s="124" t="inlineStr">
        <is>
          <t>D</t>
        </is>
      </c>
      <c r="AA18" s="124" t="inlineStr">
        <is>
          <t>D</t>
        </is>
      </c>
      <c r="AB18" s="124" t="inlineStr">
        <is>
          <t>D</t>
        </is>
      </c>
      <c r="AC18" s="114" t="n"/>
      <c r="AD18" s="114" t="n"/>
      <c r="AE18" s="114" t="n"/>
      <c r="AF18" s="114" t="n"/>
      <c r="AG18" s="114" t="n"/>
      <c r="AH18" s="124" t="inlineStr">
        <is>
          <t>D</t>
        </is>
      </c>
      <c r="AI18" s="124" t="inlineStr">
        <is>
          <t>D</t>
        </is>
      </c>
      <c r="AJ18" s="114" t="n"/>
      <c r="AK18" s="114" t="n"/>
      <c r="AL18" s="114" t="n"/>
      <c r="AM18" s="124" t="inlineStr">
        <is>
          <t>D</t>
        </is>
      </c>
      <c r="AN18" s="100" t="n"/>
      <c r="AO18" s="100" t="n"/>
      <c r="AP18" s="100" t="n"/>
      <c r="AQ18" s="100" t="n"/>
      <c r="AR18" s="100" t="n"/>
      <c r="AS18" s="100" t="n"/>
      <c r="AT18" s="117">
        <f>SUMPRODUCT(($E18:$K18="M")*6+($E18:$K18="T")*6+($E18:$K18="D")*12+($E18:$K18="N")*12+($E18:$K18="NT")*6+($E18:$K18="C")*10+($E18:$K18="A")*8+($E18:$K18="J")*5+($E18:$K18="CEP")*4+($E18:$K18="CP")*6+($E18:$K18="CRO")*6+($E18:$K18="M+")*6+($E18:$K18="T+")*6+($E18:$K18="D+")*12+($E18:$K18="N+")*12+($E18:$K18="Dm+")*12+($E18:$K18="Dt+")*12+($E18:$K18="Tm-")*6+($E18:$K18="Mt-")*6)</f>
        <v/>
      </c>
      <c r="AU18" s="118">
        <f>AT18-MAX(0,IFERROR(INDEX(CADASTRO!$I$4:$I$80,MATCH($A18,CADASTRO!$A$4:$A$80,0)),$B18)-CONFIG!$B$50*(COUNTIF($E18:$K18,"AB")+COUNTIF($E18:$K18,"FE")+COUNTIF($E18:$K18,"LM")))</f>
        <v/>
      </c>
      <c r="AV18" s="117">
        <f>SUMPRODUCT(($L18:$R18="M")*6+($L18:$R18="T")*6+($L18:$R18="D")*12+($L18:$R18="N")*12+($L18:$R18="NT")*6+($L18:$R18="C")*10+($L18:$R18="A")*8+($L18:$R18="J")*5+($L18:$R18="CEP")*4+($L18:$R18="CP")*6+($L18:$R18="CRO")*6+($L18:$R18="M+")*6+($L18:$R18="T+")*6+($L18:$R18="D+")*12+($L18:$R18="N+")*12+($L18:$R18="Dm+")*12+($L18:$R18="Dt+")*12+($L18:$R18="Tm-")*6+($L18:$R18="Mt-")*6)</f>
        <v/>
      </c>
      <c r="AW18" s="118">
        <f>AV18-MAX(0,IFERROR(INDEX(CADASTRO!$I$4:$I$80,MATCH($A18,CADASTRO!$A$4:$A$80,0)),$B18)-CONFIG!$B$50*(COUNTIF($L18:$R18,"AB")+COUNTIF($L18:$R18,"FE")+COUNTIF($L18:$R18,"LM")))</f>
        <v/>
      </c>
      <c r="AX18" s="117">
        <f>SUMPRODUCT(($S18:$Y18="M")*6+($S18:$Y18="T")*6+($S18:$Y18="D")*12+($S18:$Y18="N")*12+($S18:$Y18="NT")*6+($S18:$Y18="C")*10+($S18:$Y18="A")*8+($S18:$Y18="J")*5+($S18:$Y18="CEP")*4+($S18:$Y18="CP")*6+($S18:$Y18="CRO")*6+($S18:$Y18="M+")*6+($S18:$Y18="T+")*6+($S18:$Y18="D+")*12+($S18:$Y18="N+")*12+($S18:$Y18="Dm+")*12+($S18:$Y18="Dt+")*12+($S18:$Y18="Tm-")*6+($S18:$Y18="Mt-")*6)</f>
        <v/>
      </c>
      <c r="AY18" s="118">
        <f>AX18-MAX(0,IFERROR(INDEX(CADASTRO!$I$4:$I$80,MATCH($A18,CADASTRO!$A$4:$A$80,0)),$B18)-CONFIG!$B$50*(COUNTIF($S18:$Y18,"AB")+COUNTIF($S18:$Y18,"FE")+COUNTIF($S18:$Y18,"LM")))</f>
        <v/>
      </c>
      <c r="AZ18" s="117">
        <f>SUMPRODUCT(($Z18:$AF18="M")*6+($Z18:$AF18="T")*6+($Z18:$AF18="D")*12+($Z18:$AF18="N")*12+($Z18:$AF18="NT")*6+($Z18:$AF18="C")*10+($Z18:$AF18="A")*8+($Z18:$AF18="J")*5+($Z18:$AF18="CEP")*4+($Z18:$AF18="CP")*6+($Z18:$AF18="CRO")*6+($Z18:$AF18="M+")*6+($Z18:$AF18="T+")*6+($Z18:$AF18="D+")*12+($Z18:$AF18="N+")*12+($Z18:$AF18="Dm+")*12+($Z18:$AF18="Dt+")*12+($Z18:$AF18="Tm-")*6+($Z18:$AF18="Mt-")*6)</f>
        <v/>
      </c>
      <c r="BA18" s="118">
        <f>AZ18-MAX(0,IFERROR(INDEX(CADASTRO!$I$4:$I$80,MATCH($A18,CADASTRO!$A$4:$A$80,0)),$B18)-CONFIG!$B$50*(COUNTIF($Z18:$AF18,"AB")+COUNTIF($Z18:$AF18,"FE")+COUNTIF($Z18:$AF18,"LM")))</f>
        <v/>
      </c>
      <c r="BB18" s="117">
        <f>SUMPRODUCT(($AG18:$AM18="M")*6+($AG18:$AM18="T")*6+($AG18:$AM18="D")*12+($AG18:$AM18="N")*12+($AG18:$AM18="NT")*6+($AG18:$AM18="C")*10+($AG18:$AM18="A")*8+($AG18:$AM18="J")*5+($AG18:$AM18="CEP")*4+($AG18:$AM18="CP")*6+($AG18:$AM18="CRO")*6+($AG18:$AM18="M+")*6+($AG18:$AM18="T+")*6+($AG18:$AM18="D+")*12+($AG18:$AM18="N+")*12+($AG18:$AM18="Dm+")*12+($AG18:$AM18="Dt+")*12+($AG18:$AM18="Tm-")*6+($AG18:$AM18="Mt-")*6)</f>
        <v/>
      </c>
      <c r="BC18" s="118">
        <f>BB18-MAX(0,IFERROR(INDEX(CADASTRO!$I$4:$I$80,MATCH($A18,CADASTRO!$A$4:$A$80,0)),$B18)-CONFIG!$B$50*(COUNTIF($AG18:$AM18,"AB")+COUNTIF($AG18:$AM18,"FE")+COUNTIF($AG18:$AM18,"LM")))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36">
        <f>IFERROR(INDEX(ABR!AI$8:AI$73,MATCH($A19,ABR!$A$8:$A$73,0))&amp;"","")</f>
        <v/>
      </c>
      <c r="F19" s="136">
        <f>IFERROR(INDEX(ABR!AJ$8:AJ$73,MATCH($A19,ABR!$A$8:$A$73,0))&amp;"","")</f>
        <v/>
      </c>
      <c r="G19" s="136">
        <f>IFERROR(INDEX(ABR!AK$8:AK$73,MATCH($A19,ABR!$A$8:$A$73,0))&amp;"","")</f>
        <v/>
      </c>
      <c r="H19" s="136">
        <f>IFERROR(INDEX(ABR!AL$8:AL$73,MATCH($A19,ABR!$A$8:$A$73,0))&amp;"","")</f>
        <v/>
      </c>
      <c r="I19" s="125" t="inlineStr">
        <is>
          <t>N</t>
        </is>
      </c>
      <c r="J19" s="114" t="n"/>
      <c r="K19" s="125" t="inlineStr">
        <is>
          <t>N</t>
        </is>
      </c>
      <c r="L19" s="114" t="n"/>
      <c r="M19" s="114" t="n"/>
      <c r="N19" s="125" t="inlineStr">
        <is>
          <t>N</t>
        </is>
      </c>
      <c r="O19" s="125" t="inlineStr">
        <is>
          <t>N</t>
        </is>
      </c>
      <c r="P19" s="114" t="n"/>
      <c r="Q19" s="114" t="n"/>
      <c r="R19" s="125" t="inlineStr">
        <is>
          <t>N</t>
        </is>
      </c>
      <c r="S19" s="125" t="inlineStr">
        <is>
          <t>N</t>
        </is>
      </c>
      <c r="T19" s="114" t="n"/>
      <c r="U19" s="125" t="inlineStr">
        <is>
          <t>N</t>
        </is>
      </c>
      <c r="V19" s="125" t="inlineStr">
        <is>
          <t>N</t>
        </is>
      </c>
      <c r="W19" s="114" t="n"/>
      <c r="X19" s="114" t="n"/>
      <c r="Y19" s="114" t="n"/>
      <c r="Z19" s="114" t="n"/>
      <c r="AA19" s="114" t="n"/>
      <c r="AB19" s="125" t="inlineStr">
        <is>
          <t>N</t>
        </is>
      </c>
      <c r="AC19" s="114" t="n"/>
      <c r="AD19" s="125" t="inlineStr">
        <is>
          <t>N</t>
        </is>
      </c>
      <c r="AE19" s="114" t="n"/>
      <c r="AF19" s="125" t="inlineStr">
        <is>
          <t>N</t>
        </is>
      </c>
      <c r="AG19" s="114" t="n"/>
      <c r="AH19" s="114" t="n"/>
      <c r="AI19" s="125" t="inlineStr">
        <is>
          <t>N</t>
        </is>
      </c>
      <c r="AJ19" s="125" t="inlineStr">
        <is>
          <t>N</t>
        </is>
      </c>
      <c r="AK19" s="114" t="n"/>
      <c r="AL19" s="125" t="inlineStr">
        <is>
          <t>N</t>
        </is>
      </c>
      <c r="AM19" s="114" t="n"/>
      <c r="AN19" s="100" t="n"/>
      <c r="AO19" s="100" t="n"/>
      <c r="AP19" s="100" t="n"/>
      <c r="AQ19" s="100" t="n"/>
      <c r="AR19" s="100" t="n"/>
      <c r="AS19" s="100" t="n"/>
      <c r="AT19" s="117">
        <f>SUMPRODUCT(($E19:$K19="M")*6+($E19:$K19="T")*6+($E19:$K19="D")*12+($E19:$K19="N")*12+($E19:$K19="NT")*6+($E19:$K19="C")*10+($E19:$K19="A")*8+($E19:$K19="J")*5+($E19:$K19="CEP")*4+($E19:$K19="CP")*6+($E19:$K19="CRO")*6+($E19:$K19="M+")*6+($E19:$K19="T+")*6+($E19:$K19="D+")*12+($E19:$K19="N+")*12+($E19:$K19="Dm+")*12+($E19:$K19="Dt+")*12+($E19:$K19="Tm-")*6+($E19:$K19="Mt-")*6)</f>
        <v/>
      </c>
      <c r="AU19" s="118">
        <f>AT19-MAX(0,IFERROR(INDEX(CADASTRO!$I$4:$I$80,MATCH($A19,CADASTRO!$A$4:$A$80,0)),$B19)-CONFIG!$B$50*(COUNTIF($E19:$K19,"AB")+COUNTIF($E19:$K19,"FE")+COUNTIF($E19:$K19,"LM")))</f>
        <v/>
      </c>
      <c r="AV19" s="117">
        <f>SUMPRODUCT(($L19:$R19="M")*6+($L19:$R19="T")*6+($L19:$R19="D")*12+($L19:$R19="N")*12+($L19:$R19="NT")*6+($L19:$R19="C")*10+($L19:$R19="A")*8+($L19:$R19="J")*5+($L19:$R19="CEP")*4+($L19:$R19="CP")*6+($L19:$R19="CRO")*6+($L19:$R19="M+")*6+($L19:$R19="T+")*6+($L19:$R19="D+")*12+($L19:$R19="N+")*12+($L19:$R19="Dm+")*12+($L19:$R19="Dt+")*12+($L19:$R19="Tm-")*6+($L19:$R19="Mt-")*6)</f>
        <v/>
      </c>
      <c r="AW19" s="118">
        <f>AV19-MAX(0,IFERROR(INDEX(CADASTRO!$I$4:$I$80,MATCH($A19,CADASTRO!$A$4:$A$80,0)),$B19)-CONFIG!$B$50*(COUNTIF($L19:$R19,"AB")+COUNTIF($L19:$R19,"FE")+COUNTIF($L19:$R19,"LM")))</f>
        <v/>
      </c>
      <c r="AX19" s="117">
        <f>SUMPRODUCT(($S19:$Y19="M")*6+($S19:$Y19="T")*6+($S19:$Y19="D")*12+($S19:$Y19="N")*12+($S19:$Y19="NT")*6+($S19:$Y19="C")*10+($S19:$Y19="A")*8+($S19:$Y19="J")*5+($S19:$Y19="CEP")*4+($S19:$Y19="CP")*6+($S19:$Y19="CRO")*6+($S19:$Y19="M+")*6+($S19:$Y19="T+")*6+($S19:$Y19="D+")*12+($S19:$Y19="N+")*12+($S19:$Y19="Dm+")*12+($S19:$Y19="Dt+")*12+($S19:$Y19="Tm-")*6+($S19:$Y19="Mt-")*6)</f>
        <v/>
      </c>
      <c r="AY19" s="118">
        <f>AX19-MAX(0,IFERROR(INDEX(CADASTRO!$I$4:$I$80,MATCH($A19,CADASTRO!$A$4:$A$80,0)),$B19)-CONFIG!$B$50*(COUNTIF($S19:$Y19,"AB")+COUNTIF($S19:$Y19,"FE")+COUNTIF($S19:$Y19,"LM")))</f>
        <v/>
      </c>
      <c r="AZ19" s="117">
        <f>SUMPRODUCT(($Z19:$AF19="M")*6+($Z19:$AF19="T")*6+($Z19:$AF19="D")*12+($Z19:$AF19="N")*12+($Z19:$AF19="NT")*6+($Z19:$AF19="C")*10+($Z19:$AF19="A")*8+($Z19:$AF19="J")*5+($Z19:$AF19="CEP")*4+($Z19:$AF19="CP")*6+($Z19:$AF19="CRO")*6+($Z19:$AF19="M+")*6+($Z19:$AF19="T+")*6+($Z19:$AF19="D+")*12+($Z19:$AF19="N+")*12+($Z19:$AF19="Dm+")*12+($Z19:$AF19="Dt+")*12+($Z19:$AF19="Tm-")*6+($Z19:$AF19="Mt-")*6)</f>
        <v/>
      </c>
      <c r="BA19" s="118">
        <f>AZ19-MAX(0,IFERROR(INDEX(CADASTRO!$I$4:$I$80,MATCH($A19,CADASTRO!$A$4:$A$80,0)),$B19)-CONFIG!$B$50*(COUNTIF($Z19:$AF19,"AB")+COUNTIF($Z19:$AF19,"FE")+COUNTIF($Z19:$AF19,"LM")))</f>
        <v/>
      </c>
      <c r="BB19" s="117">
        <f>SUMPRODUCT(($AG19:$AM19="M")*6+($AG19:$AM19="T")*6+($AG19:$AM19="D")*12+($AG19:$AM19="N")*12+($AG19:$AM19="NT")*6+($AG19:$AM19="C")*10+($AG19:$AM19="A")*8+($AG19:$AM19="J")*5+($AG19:$AM19="CEP")*4+($AG19:$AM19="CP")*6+($AG19:$AM19="CRO")*6+($AG19:$AM19="M+")*6+($AG19:$AM19="T+")*6+($AG19:$AM19="D+")*12+($AG19:$AM19="N+")*12+($AG19:$AM19="Dm+")*12+($AG19:$AM19="Dt+")*12+($AG19:$AM19="Tm-")*6+($AG19:$AM19="Mt-")*6)</f>
        <v/>
      </c>
      <c r="BC19" s="118">
        <f>BB19-MAX(0,IFERROR(INDEX(CADASTRO!$I$4:$I$80,MATCH($A19,CADASTRO!$A$4:$A$80,0)),$B19)-CONFIG!$B$50*(COUNTIF($AG19:$AM19,"AB")+COUNTIF($AG19:$AM19,"FE")+COUNTIF($AG19:$AM19,"LM")))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36">
        <f>IFERROR(INDEX(ABR!AI$8:AI$73,MATCH($A20,ABR!$A$8:$A$73,0))&amp;"","")</f>
        <v/>
      </c>
      <c r="F20" s="136">
        <f>IFERROR(INDEX(ABR!AJ$8:AJ$73,MATCH($A20,ABR!$A$8:$A$73,0))&amp;"","")</f>
        <v/>
      </c>
      <c r="G20" s="136">
        <f>IFERROR(INDEX(ABR!AK$8:AK$73,MATCH($A20,ABR!$A$8:$A$73,0))&amp;"","")</f>
        <v/>
      </c>
      <c r="H20" s="136">
        <f>IFERROR(INDEX(ABR!AL$8:AL$73,MATCH($A20,ABR!$A$8:$A$73,0))&amp;"","")</f>
        <v/>
      </c>
      <c r="I20" s="114" t="n"/>
      <c r="J20" s="125" t="inlineStr">
        <is>
          <t>N</t>
        </is>
      </c>
      <c r="K20" s="125" t="inlineStr">
        <is>
          <t>N</t>
        </is>
      </c>
      <c r="L20" s="114" t="n"/>
      <c r="M20" s="125" t="inlineStr">
        <is>
          <t>N</t>
        </is>
      </c>
      <c r="N20" s="125" t="inlineStr">
        <is>
          <t>N</t>
        </is>
      </c>
      <c r="O20" s="114" t="n"/>
      <c r="P20" s="114" t="n"/>
      <c r="Q20" s="114" t="n"/>
      <c r="R20" s="125" t="inlineStr">
        <is>
          <t>N</t>
        </is>
      </c>
      <c r="S20" s="114" t="n"/>
      <c r="T20" s="125" t="inlineStr">
        <is>
          <t>N</t>
        </is>
      </c>
      <c r="U20" s="125" t="inlineStr">
        <is>
          <t>N</t>
        </is>
      </c>
      <c r="V20" s="125" t="inlineStr">
        <is>
          <t>N</t>
        </is>
      </c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  <c r="AH20" s="114" t="n"/>
      <c r="AI20" s="114" t="n"/>
      <c r="AJ20" s="114" t="n"/>
      <c r="AK20" s="114" t="n"/>
      <c r="AL20" s="114" t="n"/>
      <c r="AM20" s="114" t="n"/>
      <c r="AN20" s="100" t="n"/>
      <c r="AO20" s="100" t="n"/>
      <c r="AP20" s="100" t="n"/>
      <c r="AQ20" s="100" t="n"/>
      <c r="AR20" s="100" t="n"/>
      <c r="AS20" s="100" t="n"/>
      <c r="AT20" s="117">
        <f>SUMPRODUCT(($E20:$K20="M")*6+($E20:$K20="T")*6+($E20:$K20="D")*12+($E20:$K20="N")*12+($E20:$K20="NT")*6+($E20:$K20="C")*10+($E20:$K20="A")*8+($E20:$K20="J")*5+($E20:$K20="CEP")*4+($E20:$K20="CP")*6+($E20:$K20="CRO")*6+($E20:$K20="M+")*6+($E20:$K20="T+")*6+($E20:$K20="D+")*12+($E20:$K20="N+")*12+($E20:$K20="Dm+")*12+($E20:$K20="Dt+")*12+($E20:$K20="Tm-")*6+($E20:$K20="Mt-")*6)</f>
        <v/>
      </c>
      <c r="AU20" s="118">
        <f>AT20-MAX(0,IFERROR(INDEX(CADASTRO!$I$4:$I$80,MATCH($A20,CADASTRO!$A$4:$A$80,0)),$B20)-CONFIG!$B$50*(COUNTIF($E20:$K20,"AB")+COUNTIF($E20:$K20,"FE")+COUNTIF($E20:$K20,"LM")))</f>
        <v/>
      </c>
      <c r="AV20" s="117">
        <f>SUMPRODUCT(($L20:$R20="M")*6+($L20:$R20="T")*6+($L20:$R20="D")*12+($L20:$R20="N")*12+($L20:$R20="NT")*6+($L20:$R20="C")*10+($L20:$R20="A")*8+($L20:$R20="J")*5+($L20:$R20="CEP")*4+($L20:$R20="CP")*6+($L20:$R20="CRO")*6+($L20:$R20="M+")*6+($L20:$R20="T+")*6+($L20:$R20="D+")*12+($L20:$R20="N+")*12+($L20:$R20="Dm+")*12+($L20:$R20="Dt+")*12+($L20:$R20="Tm-")*6+($L20:$R20="Mt-")*6)</f>
        <v/>
      </c>
      <c r="AW20" s="118">
        <f>AV20-MAX(0,IFERROR(INDEX(CADASTRO!$I$4:$I$80,MATCH($A20,CADASTRO!$A$4:$A$80,0)),$B20)-CONFIG!$B$50*(COUNTIF($L20:$R20,"AB")+COUNTIF($L20:$R20,"FE")+COUNTIF($L20:$R20,"LM")))</f>
        <v/>
      </c>
      <c r="AX20" s="117">
        <f>SUMPRODUCT(($S20:$Y20="M")*6+($S20:$Y20="T")*6+($S20:$Y20="D")*12+($S20:$Y20="N")*12+($S20:$Y20="NT")*6+($S20:$Y20="C")*10+($S20:$Y20="A")*8+($S20:$Y20="J")*5+($S20:$Y20="CEP")*4+($S20:$Y20="CP")*6+($S20:$Y20="CRO")*6+($S20:$Y20="M+")*6+($S20:$Y20="T+")*6+($S20:$Y20="D+")*12+($S20:$Y20="N+")*12+($S20:$Y20="Dm+")*12+($S20:$Y20="Dt+")*12+($S20:$Y20="Tm-")*6+($S20:$Y20="Mt-")*6)</f>
        <v/>
      </c>
      <c r="AY20" s="118">
        <f>AX20-MAX(0,IFERROR(INDEX(CADASTRO!$I$4:$I$80,MATCH($A20,CADASTRO!$A$4:$A$80,0)),$B20)-CONFIG!$B$50*(COUNTIF($S20:$Y20,"AB")+COUNTIF($S20:$Y20,"FE")+COUNTIF($S20:$Y20,"LM")))</f>
        <v/>
      </c>
      <c r="AZ20" s="117">
        <f>SUMPRODUCT(($Z20:$AF20="M")*6+($Z20:$AF20="T")*6+($Z20:$AF20="D")*12+($Z20:$AF20="N")*12+($Z20:$AF20="NT")*6+($Z20:$AF20="C")*10+($Z20:$AF20="A")*8+($Z20:$AF20="J")*5+($Z20:$AF20="CEP")*4+($Z20:$AF20="CP")*6+($Z20:$AF20="CRO")*6+($Z20:$AF20="M+")*6+($Z20:$AF20="T+")*6+($Z20:$AF20="D+")*12+($Z20:$AF20="N+")*12+($Z20:$AF20="Dm+")*12+($Z20:$AF20="Dt+")*12+($Z20:$AF20="Tm-")*6+($Z20:$AF20="Mt-")*6)</f>
        <v/>
      </c>
      <c r="BA20" s="118">
        <f>AZ20-MAX(0,IFERROR(INDEX(CADASTRO!$I$4:$I$80,MATCH($A20,CADASTRO!$A$4:$A$80,0)),$B20)-CONFIG!$B$50*(COUNTIF($Z20:$AF20,"AB")+COUNTIF($Z20:$AF20,"FE")+COUNTIF($Z20:$AF20,"LM")))</f>
        <v/>
      </c>
      <c r="BB20" s="117">
        <f>SUMPRODUCT(($AG20:$AM20="M")*6+($AG20:$AM20="T")*6+($AG20:$AM20="D")*12+($AG20:$AM20="N")*12+($AG20:$AM20="NT")*6+($AG20:$AM20="C")*10+($AG20:$AM20="A")*8+($AG20:$AM20="J")*5+($AG20:$AM20="CEP")*4+($AG20:$AM20="CP")*6+($AG20:$AM20="CRO")*6+($AG20:$AM20="M+")*6+($AG20:$AM20="T+")*6+($AG20:$AM20="D+")*12+($AG20:$AM20="N+")*12+($AG20:$AM20="Dm+")*12+($AG20:$AM20="Dt+")*12+($AG20:$AM20="Tm-")*6+($AG20:$AM20="Mt-")*6)</f>
        <v/>
      </c>
      <c r="BC20" s="118">
        <f>BB20-MAX(0,IFERROR(INDEX(CADASTRO!$I$4:$I$80,MATCH($A20,CADASTRO!$A$4:$A$80,0)),$B20)-CONFIG!$B$50*(COUNTIF($AG20:$AM20,"AB")+COUNTIF($AG20:$AM20,"FE")+COUNTIF($AG20:$AM20,"LM")))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36">
        <f>IFERROR(INDEX(ABR!AI$8:AI$73,MATCH($A21,ABR!$A$8:$A$73,0))&amp;"","")</f>
        <v/>
      </c>
      <c r="F21" s="136">
        <f>IFERROR(INDEX(ABR!AJ$8:AJ$73,MATCH($A21,ABR!$A$8:$A$73,0))&amp;"","")</f>
        <v/>
      </c>
      <c r="G21" s="136">
        <f>IFERROR(INDEX(ABR!AK$8:AK$73,MATCH($A21,ABR!$A$8:$A$73,0))&amp;"","")</f>
        <v/>
      </c>
      <c r="H21" s="136">
        <f>IFERROR(INDEX(ABR!AL$8:AL$73,MATCH($A21,ABR!$A$8:$A$73,0))&amp;"","")</f>
        <v/>
      </c>
      <c r="I21" s="114" t="n"/>
      <c r="J21" s="114" t="n"/>
      <c r="K21" s="114" t="n"/>
      <c r="L21" s="126" t="inlineStr">
        <is>
          <t>T</t>
        </is>
      </c>
      <c r="M21" s="124" t="inlineStr">
        <is>
          <t>D</t>
        </is>
      </c>
      <c r="N21" s="115" t="inlineStr">
        <is>
          <t>M</t>
        </is>
      </c>
      <c r="O21" s="114" t="n"/>
      <c r="P21" s="114" t="n"/>
      <c r="Q21" s="114" t="n"/>
      <c r="R21" s="125" t="inlineStr">
        <is>
          <t>N</t>
        </is>
      </c>
      <c r="S21" s="126" t="inlineStr">
        <is>
          <t>T</t>
        </is>
      </c>
      <c r="T21" s="124" t="inlineStr">
        <is>
          <t>D</t>
        </is>
      </c>
      <c r="U21" s="126" t="inlineStr">
        <is>
          <t>T</t>
        </is>
      </c>
      <c r="V21" s="124" t="inlineStr">
        <is>
          <t>D</t>
        </is>
      </c>
      <c r="W21" s="114" t="n"/>
      <c r="X21" s="114" t="n"/>
      <c r="Y21" s="114" t="n"/>
      <c r="Z21" s="126" t="inlineStr">
        <is>
          <t>T</t>
        </is>
      </c>
      <c r="AA21" s="114" t="n"/>
      <c r="AB21" s="126" t="inlineStr">
        <is>
          <t>T</t>
        </is>
      </c>
      <c r="AC21" s="125" t="inlineStr">
        <is>
          <t>N</t>
        </is>
      </c>
      <c r="AD21" s="114" t="n"/>
      <c r="AE21" s="125" t="inlineStr">
        <is>
          <t>N</t>
        </is>
      </c>
      <c r="AF21" s="114" t="n"/>
      <c r="AG21" s="126" t="inlineStr">
        <is>
          <t>T</t>
        </is>
      </c>
      <c r="AH21" s="115" t="inlineStr">
        <is>
          <t>M</t>
        </is>
      </c>
      <c r="AI21" s="126" t="inlineStr">
        <is>
          <t>T</t>
        </is>
      </c>
      <c r="AJ21" s="114" t="n"/>
      <c r="AK21" s="114" t="n"/>
      <c r="AL21" s="115" t="inlineStr">
        <is>
          <t>M</t>
        </is>
      </c>
      <c r="AM21" s="124" t="inlineStr">
        <is>
          <t>D</t>
        </is>
      </c>
      <c r="AN21" s="100" t="n"/>
      <c r="AO21" s="100" t="n"/>
      <c r="AP21" s="100" t="n"/>
      <c r="AQ21" s="100" t="n"/>
      <c r="AR21" s="100" t="n"/>
      <c r="AS21" s="100" t="n"/>
      <c r="AT21" s="117">
        <f>SUMPRODUCT(($E21:$K21="M")*6+($E21:$K21="T")*6+($E21:$K21="D")*12+($E21:$K21="N")*12+($E21:$K21="NT")*6+($E21:$K21="C")*10+($E21:$K21="A")*8+($E21:$K21="J")*5+($E21:$K21="CEP")*4+($E21:$K21="CP")*6+($E21:$K21="CRO")*6+($E21:$K21="M+")*6+($E21:$K21="T+")*6+($E21:$K21="D+")*12+($E21:$K21="N+")*12+($E21:$K21="Dm+")*12+($E21:$K21="Dt+")*12+($E21:$K21="Tm-")*6+($E21:$K21="Mt-")*6)</f>
        <v/>
      </c>
      <c r="AU21" s="118">
        <f>AT21-MAX(0,IFERROR(INDEX(CADASTRO!$I$4:$I$80,MATCH($A21,CADASTRO!$A$4:$A$80,0)),$B21)-CONFIG!$B$50*(COUNTIF($E21:$K21,"AB")+COUNTIF($E21:$K21,"FE")+COUNTIF($E21:$K21,"LM")))</f>
        <v/>
      </c>
      <c r="AV21" s="117">
        <f>SUMPRODUCT(($L21:$R21="M")*6+($L21:$R21="T")*6+($L21:$R21="D")*12+($L21:$R21="N")*12+($L21:$R21="NT")*6+($L21:$R21="C")*10+($L21:$R21="A")*8+($L21:$R21="J")*5+($L21:$R21="CEP")*4+($L21:$R21="CP")*6+($L21:$R21="CRO")*6+($L21:$R21="M+")*6+($L21:$R21="T+")*6+($L21:$R21="D+")*12+($L21:$R21="N+")*12+($L21:$R21="Dm+")*12+($L21:$R21="Dt+")*12+($L21:$R21="Tm-")*6+($L21:$R21="Mt-")*6)</f>
        <v/>
      </c>
      <c r="AW21" s="118">
        <f>AV21-MAX(0,IFERROR(INDEX(CADASTRO!$I$4:$I$80,MATCH($A21,CADASTRO!$A$4:$A$80,0)),$B21)-CONFIG!$B$50*(COUNTIF($L21:$R21,"AB")+COUNTIF($L21:$R21,"FE")+COUNTIF($L21:$R21,"LM")))</f>
        <v/>
      </c>
      <c r="AX21" s="117">
        <f>SUMPRODUCT(($S21:$Y21="M")*6+($S21:$Y21="T")*6+($S21:$Y21="D")*12+($S21:$Y21="N")*12+($S21:$Y21="NT")*6+($S21:$Y21="C")*10+($S21:$Y21="A")*8+($S21:$Y21="J")*5+($S21:$Y21="CEP")*4+($S21:$Y21="CP")*6+($S21:$Y21="CRO")*6+($S21:$Y21="M+")*6+($S21:$Y21="T+")*6+($S21:$Y21="D+")*12+($S21:$Y21="N+")*12+($S21:$Y21="Dm+")*12+($S21:$Y21="Dt+")*12+($S21:$Y21="Tm-")*6+($S21:$Y21="Mt-")*6)</f>
        <v/>
      </c>
      <c r="AY21" s="118">
        <f>AX21-MAX(0,IFERROR(INDEX(CADASTRO!$I$4:$I$80,MATCH($A21,CADASTRO!$A$4:$A$80,0)),$B21)-CONFIG!$B$50*(COUNTIF($S21:$Y21,"AB")+COUNTIF($S21:$Y21,"FE")+COUNTIF($S21:$Y21,"LM")))</f>
        <v/>
      </c>
      <c r="AZ21" s="117">
        <f>SUMPRODUCT(($Z21:$AF21="M")*6+($Z21:$AF21="T")*6+($Z21:$AF21="D")*12+($Z21:$AF21="N")*12+($Z21:$AF21="NT")*6+($Z21:$AF21="C")*10+($Z21:$AF21="A")*8+($Z21:$AF21="J")*5+($Z21:$AF21="CEP")*4+($Z21:$AF21="CP")*6+($Z21:$AF21="CRO")*6+($Z21:$AF21="M+")*6+($Z21:$AF21="T+")*6+($Z21:$AF21="D+")*12+($Z21:$AF21="N+")*12+($Z21:$AF21="Dm+")*12+($Z21:$AF21="Dt+")*12+($Z21:$AF21="Tm-")*6+($Z21:$AF21="Mt-")*6)</f>
        <v/>
      </c>
      <c r="BA21" s="118">
        <f>AZ21-MAX(0,IFERROR(INDEX(CADASTRO!$I$4:$I$80,MATCH($A21,CADASTRO!$A$4:$A$80,0)),$B21)-CONFIG!$B$50*(COUNTIF($Z21:$AF21,"AB")+COUNTIF($Z21:$AF21,"FE")+COUNTIF($Z21:$AF21,"LM")))</f>
        <v/>
      </c>
      <c r="BB21" s="117">
        <f>SUMPRODUCT(($AG21:$AM21="M")*6+($AG21:$AM21="T")*6+($AG21:$AM21="D")*12+($AG21:$AM21="N")*12+($AG21:$AM21="NT")*6+($AG21:$AM21="C")*10+($AG21:$AM21="A")*8+($AG21:$AM21="J")*5+($AG21:$AM21="CEP")*4+($AG21:$AM21="CP")*6+($AG21:$AM21="CRO")*6+($AG21:$AM21="M+")*6+($AG21:$AM21="T+")*6+($AG21:$AM21="D+")*12+($AG21:$AM21="N+")*12+($AG21:$AM21="Dm+")*12+($AG21:$AM21="Dt+")*12+($AG21:$AM21="Tm-")*6+($AG21:$AM21="Mt-")*6)</f>
        <v/>
      </c>
      <c r="BC21" s="118">
        <f>BB21-MAX(0,IFERROR(INDEX(CADASTRO!$I$4:$I$80,MATCH($A21,CADASTRO!$A$4:$A$80,0)),$B21)-CONFIG!$B$50*(COUNTIF($AG21:$AM21,"AB")+COUNTIF($AG21:$AM21,"FE")+COUNTIF($AG21:$AM21,"LM")))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36">
        <f>IFERROR(INDEX(ABR!AI$8:AI$73,MATCH($A22,ABR!$A$8:$A$73,0))&amp;"","")</f>
        <v/>
      </c>
      <c r="F22" s="136">
        <f>IFERROR(INDEX(ABR!AJ$8:AJ$73,MATCH($A22,ABR!$A$8:$A$73,0))&amp;"","")</f>
        <v/>
      </c>
      <c r="G22" s="136">
        <f>IFERROR(INDEX(ABR!AK$8:AK$73,MATCH($A22,ABR!$A$8:$A$73,0))&amp;"","")</f>
        <v/>
      </c>
      <c r="H22" s="136">
        <f>IFERROR(INDEX(ABR!AL$8:AL$73,MATCH($A22,ABR!$A$8:$A$73,0))&amp;"","")</f>
        <v/>
      </c>
      <c r="I22" s="126" t="inlineStr">
        <is>
          <t>T</t>
        </is>
      </c>
      <c r="J22" s="114" t="n"/>
      <c r="K22" s="114" t="n"/>
      <c r="L22" s="114" t="n"/>
      <c r="M22" s="124" t="inlineStr">
        <is>
          <t>D</t>
        </is>
      </c>
      <c r="N22" s="114" t="n"/>
      <c r="O22" s="124" t="inlineStr">
        <is>
          <t>D</t>
        </is>
      </c>
      <c r="P22" s="114" t="n"/>
      <c r="Q22" s="124" t="inlineStr">
        <is>
          <t>D</t>
        </is>
      </c>
      <c r="R22" s="114" t="n"/>
      <c r="S22" s="114" t="n"/>
      <c r="T22" s="124" t="inlineStr">
        <is>
          <t>D</t>
        </is>
      </c>
      <c r="U22" s="115" t="inlineStr">
        <is>
          <t>M</t>
        </is>
      </c>
      <c r="V22" s="115" t="inlineStr">
        <is>
          <t>M</t>
        </is>
      </c>
      <c r="W22" s="114" t="n"/>
      <c r="X22" s="124" t="inlineStr">
        <is>
          <t>D</t>
        </is>
      </c>
      <c r="Y22" s="114" t="n"/>
      <c r="Z22" s="125" t="inlineStr">
        <is>
          <t>N</t>
        </is>
      </c>
      <c r="AA22" s="114" t="n"/>
      <c r="AB22" s="114" t="n"/>
      <c r="AC22" s="126" t="inlineStr">
        <is>
          <t>T</t>
        </is>
      </c>
      <c r="AD22" s="114" t="n"/>
      <c r="AE22" s="124" t="inlineStr">
        <is>
          <t>D</t>
        </is>
      </c>
      <c r="AF22" s="115" t="inlineStr">
        <is>
          <t>M</t>
        </is>
      </c>
      <c r="AG22" s="114" t="n"/>
      <c r="AH22" s="124" t="inlineStr">
        <is>
          <t>D</t>
        </is>
      </c>
      <c r="AI22" s="114" t="n"/>
      <c r="AJ22" s="124" t="inlineStr">
        <is>
          <t>D</t>
        </is>
      </c>
      <c r="AK22" s="125" t="inlineStr">
        <is>
          <t>N</t>
        </is>
      </c>
      <c r="AL22" s="114" t="n"/>
      <c r="AM22" s="114" t="n"/>
      <c r="AN22" s="100" t="n"/>
      <c r="AO22" s="100" t="n"/>
      <c r="AP22" s="100" t="n"/>
      <c r="AQ22" s="100" t="n"/>
      <c r="AR22" s="100" t="n"/>
      <c r="AS22" s="100" t="n"/>
      <c r="AT22" s="117">
        <f>SUMPRODUCT(($E22:$K22="M")*6+($E22:$K22="T")*6+($E22:$K22="D")*12+($E22:$K22="N")*12+($E22:$K22="NT")*6+($E22:$K22="C")*10+($E22:$K22="A")*8+($E22:$K22="J")*5+($E22:$K22="CEP")*4+($E22:$K22="CP")*6+($E22:$K22="CRO")*6+($E22:$K22="M+")*6+($E22:$K22="T+")*6+($E22:$K22="D+")*12+($E22:$K22="N+")*12+($E22:$K22="Dm+")*12+($E22:$K22="Dt+")*12+($E22:$K22="Tm-")*6+($E22:$K22="Mt-")*6)</f>
        <v/>
      </c>
      <c r="AU22" s="118">
        <f>AT22-MAX(0,IFERROR(INDEX(CADASTRO!$I$4:$I$80,MATCH($A22,CADASTRO!$A$4:$A$80,0)),$B22)-CONFIG!$B$50*(COUNTIF($E22:$K22,"AB")+COUNTIF($E22:$K22,"FE")+COUNTIF($E22:$K22,"LM")))</f>
        <v/>
      </c>
      <c r="AV22" s="117">
        <f>SUMPRODUCT(($L22:$R22="M")*6+($L22:$R22="T")*6+($L22:$R22="D")*12+($L22:$R22="N")*12+($L22:$R22="NT")*6+($L22:$R22="C")*10+($L22:$R22="A")*8+($L22:$R22="J")*5+($L22:$R22="CEP")*4+($L22:$R22="CP")*6+($L22:$R22="CRO")*6+($L22:$R22="M+")*6+($L22:$R22="T+")*6+($L22:$R22="D+")*12+($L22:$R22="N+")*12+($L22:$R22="Dm+")*12+($L22:$R22="Dt+")*12+($L22:$R22="Tm-")*6+($L22:$R22="Mt-")*6)</f>
        <v/>
      </c>
      <c r="AW22" s="118">
        <f>AV22-MAX(0,IFERROR(INDEX(CADASTRO!$I$4:$I$80,MATCH($A22,CADASTRO!$A$4:$A$80,0)),$B22)-CONFIG!$B$50*(COUNTIF($L22:$R22,"AB")+COUNTIF($L22:$R22,"FE")+COUNTIF($L22:$R22,"LM")))</f>
        <v/>
      </c>
      <c r="AX22" s="117">
        <f>SUMPRODUCT(($S22:$Y22="M")*6+($S22:$Y22="T")*6+($S22:$Y22="D")*12+($S22:$Y22="N")*12+($S22:$Y22="NT")*6+($S22:$Y22="C")*10+($S22:$Y22="A")*8+($S22:$Y22="J")*5+($S22:$Y22="CEP")*4+($S22:$Y22="CP")*6+($S22:$Y22="CRO")*6+($S22:$Y22="M+")*6+($S22:$Y22="T+")*6+($S22:$Y22="D+")*12+($S22:$Y22="N+")*12+($S22:$Y22="Dm+")*12+($S22:$Y22="Dt+")*12+($S22:$Y22="Tm-")*6+($S22:$Y22="Mt-")*6)</f>
        <v/>
      </c>
      <c r="AY22" s="118">
        <f>AX22-MAX(0,IFERROR(INDEX(CADASTRO!$I$4:$I$80,MATCH($A22,CADASTRO!$A$4:$A$80,0)),$B22)-CONFIG!$B$50*(COUNTIF($S22:$Y22,"AB")+COUNTIF($S22:$Y22,"FE")+COUNTIF($S22:$Y22,"LM")))</f>
        <v/>
      </c>
      <c r="AZ22" s="117">
        <f>SUMPRODUCT(($Z22:$AF22="M")*6+($Z22:$AF22="T")*6+($Z22:$AF22="D")*12+($Z22:$AF22="N")*12+($Z22:$AF22="NT")*6+($Z22:$AF22="C")*10+($Z22:$AF22="A")*8+($Z22:$AF22="J")*5+($Z22:$AF22="CEP")*4+($Z22:$AF22="CP")*6+($Z22:$AF22="CRO")*6+($Z22:$AF22="M+")*6+($Z22:$AF22="T+")*6+($Z22:$AF22="D+")*12+($Z22:$AF22="N+")*12+($Z22:$AF22="Dm+")*12+($Z22:$AF22="Dt+")*12+($Z22:$AF22="Tm-")*6+($Z22:$AF22="Mt-")*6)</f>
        <v/>
      </c>
      <c r="BA22" s="118">
        <f>AZ22-MAX(0,IFERROR(INDEX(CADASTRO!$I$4:$I$80,MATCH($A22,CADASTRO!$A$4:$A$80,0)),$B22)-CONFIG!$B$50*(COUNTIF($Z22:$AF22,"AB")+COUNTIF($Z22:$AF22,"FE")+COUNTIF($Z22:$AF22,"LM")))</f>
        <v/>
      </c>
      <c r="BB22" s="117">
        <f>SUMPRODUCT(($AG22:$AM22="M")*6+($AG22:$AM22="T")*6+($AG22:$AM22="D")*12+($AG22:$AM22="N")*12+($AG22:$AM22="NT")*6+($AG22:$AM22="C")*10+($AG22:$AM22="A")*8+($AG22:$AM22="J")*5+($AG22:$AM22="CEP")*4+($AG22:$AM22="CP")*6+($AG22:$AM22="CRO")*6+($AG22:$AM22="M+")*6+($AG22:$AM22="T+")*6+($AG22:$AM22="D+")*12+($AG22:$AM22="N+")*12+($AG22:$AM22="Dm+")*12+($AG22:$AM22="Dt+")*12+($AG22:$AM22="Tm-")*6+($AG22:$AM22="Mt-")*6)</f>
        <v/>
      </c>
      <c r="BC22" s="118">
        <f>BB22-MAX(0,IFERROR(INDEX(CADASTRO!$I$4:$I$80,MATCH($A22,CADASTRO!$A$4:$A$80,0)),$B22)-CONFIG!$B$50*(COUNTIF($AG22:$AM22,"AB")+COUNTIF($AG22:$AM22,"FE")+COUNTIF($AG22:$AM22,"LM")))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36">
        <f>IFERROR(INDEX(ABR!AI$8:AI$73,MATCH($A23,ABR!$A$8:$A$73,0))&amp;"","")</f>
        <v/>
      </c>
      <c r="F23" s="136">
        <f>IFERROR(INDEX(ABR!AJ$8:AJ$73,MATCH($A23,ABR!$A$8:$A$73,0))&amp;"","")</f>
        <v/>
      </c>
      <c r="G23" s="136">
        <f>IFERROR(INDEX(ABR!AK$8:AK$73,MATCH($A23,ABR!$A$8:$A$73,0))&amp;"","")</f>
        <v/>
      </c>
      <c r="H23" s="136">
        <f>IFERROR(INDEX(ABR!AL$8:AL$73,MATCH($A23,ABR!$A$8:$A$73,0))&amp;"","")</f>
        <v/>
      </c>
      <c r="I23" s="114" t="n"/>
      <c r="J23" s="114" t="n"/>
      <c r="K23" s="114" t="n"/>
      <c r="L23" s="124" t="inlineStr">
        <is>
          <t>D</t>
        </is>
      </c>
      <c r="M23" s="124" t="inlineStr">
        <is>
          <t>D</t>
        </is>
      </c>
      <c r="N23" s="114" t="n"/>
      <c r="O23" s="124" t="inlineStr">
        <is>
          <t>D</t>
        </is>
      </c>
      <c r="P23" s="114" t="n"/>
      <c r="Q23" s="114" t="n"/>
      <c r="R23" s="114" t="n"/>
      <c r="S23" s="124" t="inlineStr">
        <is>
          <t>D</t>
        </is>
      </c>
      <c r="T23" s="114" t="n"/>
      <c r="U23" s="114" t="n"/>
      <c r="V23" s="114" t="n"/>
      <c r="W23" s="114" t="n"/>
      <c r="X23" s="124" t="inlineStr">
        <is>
          <t>D</t>
        </is>
      </c>
      <c r="Y23" s="124" t="inlineStr">
        <is>
          <t>D</t>
        </is>
      </c>
      <c r="Z23" s="114" t="n"/>
      <c r="AA23" s="124" t="inlineStr">
        <is>
          <t>D</t>
        </is>
      </c>
      <c r="AB23" s="114" t="n"/>
      <c r="AC23" s="124" t="inlineStr">
        <is>
          <t>D</t>
        </is>
      </c>
      <c r="AD23" s="114" t="n"/>
      <c r="AE23" s="114" t="n"/>
      <c r="AF23" s="124" t="inlineStr">
        <is>
          <t>D</t>
        </is>
      </c>
      <c r="AG23" s="124" t="inlineStr">
        <is>
          <t>D</t>
        </is>
      </c>
      <c r="AH23" s="124" t="inlineStr">
        <is>
          <t>D</t>
        </is>
      </c>
      <c r="AI23" s="114" t="n"/>
      <c r="AJ23" s="124" t="inlineStr">
        <is>
          <t>D</t>
        </is>
      </c>
      <c r="AK23" s="114" t="n"/>
      <c r="AL23" s="114" t="n"/>
      <c r="AM23" s="114" t="n"/>
      <c r="AN23" s="100" t="n"/>
      <c r="AO23" s="100" t="n"/>
      <c r="AP23" s="100" t="n"/>
      <c r="AQ23" s="100" t="n"/>
      <c r="AR23" s="100" t="n"/>
      <c r="AS23" s="100" t="n"/>
      <c r="AT23" s="117">
        <f>SUMPRODUCT(($E23:$K23="M")*6+($E23:$K23="T")*6+($E23:$K23="D")*12+($E23:$K23="N")*12+($E23:$K23="NT")*6+($E23:$K23="C")*10+($E23:$K23="A")*8+($E23:$K23="J")*5+($E23:$K23="CEP")*4+($E23:$K23="CP")*6+($E23:$K23="CRO")*6+($E23:$K23="M+")*6+($E23:$K23="T+")*6+($E23:$K23="D+")*12+($E23:$K23="N+")*12+($E23:$K23="Dm+")*12+($E23:$K23="Dt+")*12+($E23:$K23="Tm-")*6+($E23:$K23="Mt-")*6)</f>
        <v/>
      </c>
      <c r="AU23" s="118">
        <f>AT23-MAX(0,IFERROR(INDEX(CADASTRO!$I$4:$I$80,MATCH($A23,CADASTRO!$A$4:$A$80,0)),$B23)-CONFIG!$B$50*(COUNTIF($E23:$K23,"AB")+COUNTIF($E23:$K23,"FE")+COUNTIF($E23:$K23,"LM")))</f>
        <v/>
      </c>
      <c r="AV23" s="117">
        <f>SUMPRODUCT(($L23:$R23="M")*6+($L23:$R23="T")*6+($L23:$R23="D")*12+($L23:$R23="N")*12+($L23:$R23="NT")*6+($L23:$R23="C")*10+($L23:$R23="A")*8+($L23:$R23="J")*5+($L23:$R23="CEP")*4+($L23:$R23="CP")*6+($L23:$R23="CRO")*6+($L23:$R23="M+")*6+($L23:$R23="T+")*6+($L23:$R23="D+")*12+($L23:$R23="N+")*12+($L23:$R23="Dm+")*12+($L23:$R23="Dt+")*12+($L23:$R23="Tm-")*6+($L23:$R23="Mt-")*6)</f>
        <v/>
      </c>
      <c r="AW23" s="118">
        <f>AV23-MAX(0,IFERROR(INDEX(CADASTRO!$I$4:$I$80,MATCH($A23,CADASTRO!$A$4:$A$80,0)),$B23)-CONFIG!$B$50*(COUNTIF($L23:$R23,"AB")+COUNTIF($L23:$R23,"FE")+COUNTIF($L23:$R23,"LM")))</f>
        <v/>
      </c>
      <c r="AX23" s="117">
        <f>SUMPRODUCT(($S23:$Y23="M")*6+($S23:$Y23="T")*6+($S23:$Y23="D")*12+($S23:$Y23="N")*12+($S23:$Y23="NT")*6+($S23:$Y23="C")*10+($S23:$Y23="A")*8+($S23:$Y23="J")*5+($S23:$Y23="CEP")*4+($S23:$Y23="CP")*6+($S23:$Y23="CRO")*6+($S23:$Y23="M+")*6+($S23:$Y23="T+")*6+($S23:$Y23="D+")*12+($S23:$Y23="N+")*12+($S23:$Y23="Dm+")*12+($S23:$Y23="Dt+")*12+($S23:$Y23="Tm-")*6+($S23:$Y23="Mt-")*6)</f>
        <v/>
      </c>
      <c r="AY23" s="118">
        <f>AX23-MAX(0,IFERROR(INDEX(CADASTRO!$I$4:$I$80,MATCH($A23,CADASTRO!$A$4:$A$80,0)),$B23)-CONFIG!$B$50*(COUNTIF($S23:$Y23,"AB")+COUNTIF($S23:$Y23,"FE")+COUNTIF($S23:$Y23,"LM")))</f>
        <v/>
      </c>
      <c r="AZ23" s="117">
        <f>SUMPRODUCT(($Z23:$AF23="M")*6+($Z23:$AF23="T")*6+($Z23:$AF23="D")*12+($Z23:$AF23="N")*12+($Z23:$AF23="NT")*6+($Z23:$AF23="C")*10+($Z23:$AF23="A")*8+($Z23:$AF23="J")*5+($Z23:$AF23="CEP")*4+($Z23:$AF23="CP")*6+($Z23:$AF23="CRO")*6+($Z23:$AF23="M+")*6+($Z23:$AF23="T+")*6+($Z23:$AF23="D+")*12+($Z23:$AF23="N+")*12+($Z23:$AF23="Dm+")*12+($Z23:$AF23="Dt+")*12+($Z23:$AF23="Tm-")*6+($Z23:$AF23="Mt-")*6)</f>
        <v/>
      </c>
      <c r="BA23" s="118">
        <f>AZ23-MAX(0,IFERROR(INDEX(CADASTRO!$I$4:$I$80,MATCH($A23,CADASTRO!$A$4:$A$80,0)),$B23)-CONFIG!$B$50*(COUNTIF($Z23:$AF23,"AB")+COUNTIF($Z23:$AF23,"FE")+COUNTIF($Z23:$AF23,"LM")))</f>
        <v/>
      </c>
      <c r="BB23" s="117">
        <f>SUMPRODUCT(($AG23:$AM23="M")*6+($AG23:$AM23="T")*6+($AG23:$AM23="D")*12+($AG23:$AM23="N")*12+($AG23:$AM23="NT")*6+($AG23:$AM23="C")*10+($AG23:$AM23="A")*8+($AG23:$AM23="J")*5+($AG23:$AM23="CEP")*4+($AG23:$AM23="CP")*6+($AG23:$AM23="CRO")*6+($AG23:$AM23="M+")*6+($AG23:$AM23="T+")*6+($AG23:$AM23="D+")*12+($AG23:$AM23="N+")*12+($AG23:$AM23="Dm+")*12+($AG23:$AM23="Dt+")*12+($AG23:$AM23="Tm-")*6+($AG23:$AM23="Mt-")*6)</f>
        <v/>
      </c>
      <c r="BC23" s="118">
        <f>BB23-MAX(0,IFERROR(INDEX(CADASTRO!$I$4:$I$80,MATCH($A23,CADASTRO!$A$4:$A$80,0)),$B23)-CONFIG!$B$50*(COUNTIF($AG23:$AM23,"AB")+COUNTIF($AG23:$AM23,"FE")+COUNTIF($AG23:$AM23,"LM")))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36">
        <f>IFERROR(INDEX(ABR!AI$8:AI$73,MATCH($A24,ABR!$A$8:$A$73,0))&amp;"","")</f>
        <v/>
      </c>
      <c r="F24" s="136">
        <f>IFERROR(INDEX(ABR!AJ$8:AJ$73,MATCH($A24,ABR!$A$8:$A$73,0))&amp;"","")</f>
        <v/>
      </c>
      <c r="G24" s="136">
        <f>IFERROR(INDEX(ABR!AK$8:AK$73,MATCH($A24,ABR!$A$8:$A$73,0))&amp;"","")</f>
        <v/>
      </c>
      <c r="H24" s="136">
        <f>IFERROR(INDEX(ABR!AL$8:AL$73,MATCH($A24,ABR!$A$8:$A$73,0))&amp;"","")</f>
        <v/>
      </c>
      <c r="I24" s="114" t="n"/>
      <c r="J24" s="124" t="inlineStr">
        <is>
          <t>D</t>
        </is>
      </c>
      <c r="K24" s="114" t="n"/>
      <c r="L24" s="114" t="n"/>
      <c r="M24" s="124" t="inlineStr">
        <is>
          <t>D</t>
        </is>
      </c>
      <c r="N24" s="114" t="n"/>
      <c r="O24" s="124" t="inlineStr">
        <is>
          <t>D</t>
        </is>
      </c>
      <c r="P24" s="114" t="n"/>
      <c r="Q24" s="124" t="inlineStr">
        <is>
          <t>D</t>
        </is>
      </c>
      <c r="R24" s="114" t="n"/>
      <c r="S24" s="125" t="inlineStr">
        <is>
          <t>N</t>
        </is>
      </c>
      <c r="T24" s="114" t="n"/>
      <c r="U24" s="114" t="n"/>
      <c r="V24" s="124" t="inlineStr">
        <is>
          <t>D</t>
        </is>
      </c>
      <c r="W24" s="114" t="n"/>
      <c r="X24" s="124" t="inlineStr">
        <is>
          <t>D</t>
        </is>
      </c>
      <c r="Y24" s="114" t="n"/>
      <c r="Z24" s="114" t="n"/>
      <c r="AA24" s="124" t="inlineStr">
        <is>
          <t>D</t>
        </is>
      </c>
      <c r="AB24" s="115" t="inlineStr">
        <is>
          <t>M</t>
        </is>
      </c>
      <c r="AC24" s="124" t="inlineStr">
        <is>
          <t>D</t>
        </is>
      </c>
      <c r="AD24" s="115" t="inlineStr">
        <is>
          <t>M</t>
        </is>
      </c>
      <c r="AE24" s="114" t="n"/>
      <c r="AF24" s="114" t="n"/>
      <c r="AG24" s="115" t="inlineStr">
        <is>
          <t>M</t>
        </is>
      </c>
      <c r="AH24" s="124" t="inlineStr">
        <is>
          <t>D</t>
        </is>
      </c>
      <c r="AI24" s="115" t="inlineStr">
        <is>
          <t>M</t>
        </is>
      </c>
      <c r="AJ24" s="115" t="inlineStr">
        <is>
          <t>M</t>
        </is>
      </c>
      <c r="AK24" s="115" t="inlineStr">
        <is>
          <t>M</t>
        </is>
      </c>
      <c r="AL24" s="114" t="n"/>
      <c r="AM24" s="114" t="n"/>
      <c r="AN24" s="100" t="n"/>
      <c r="AO24" s="100" t="n"/>
      <c r="AP24" s="100" t="n"/>
      <c r="AQ24" s="100" t="n"/>
      <c r="AR24" s="100" t="n"/>
      <c r="AS24" s="100" t="n"/>
      <c r="AT24" s="117">
        <f>SUMPRODUCT(($E24:$K24="M")*6+($E24:$K24="T")*6+($E24:$K24="D")*12+($E24:$K24="N")*12+($E24:$K24="NT")*6+($E24:$K24="C")*10+($E24:$K24="A")*8+($E24:$K24="J")*5+($E24:$K24="CEP")*4+($E24:$K24="CP")*6+($E24:$K24="CRO")*6+($E24:$K24="M+")*6+($E24:$K24="T+")*6+($E24:$K24="D+")*12+($E24:$K24="N+")*12+($E24:$K24="Dm+")*12+($E24:$K24="Dt+")*12+($E24:$K24="Tm-")*6+($E24:$K24="Mt-")*6)</f>
        <v/>
      </c>
      <c r="AU24" s="118">
        <f>AT24-MAX(0,IFERROR(INDEX(CADASTRO!$I$4:$I$80,MATCH($A24,CADASTRO!$A$4:$A$80,0)),$B24)-CONFIG!$B$50*(COUNTIF($E24:$K24,"AB")+COUNTIF($E24:$K24,"FE")+COUNTIF($E24:$K24,"LM")))</f>
        <v/>
      </c>
      <c r="AV24" s="117">
        <f>SUMPRODUCT(($L24:$R24="M")*6+($L24:$R24="T")*6+($L24:$R24="D")*12+($L24:$R24="N")*12+($L24:$R24="NT")*6+($L24:$R24="C")*10+($L24:$R24="A")*8+($L24:$R24="J")*5+($L24:$R24="CEP")*4+($L24:$R24="CP")*6+($L24:$R24="CRO")*6+($L24:$R24="M+")*6+($L24:$R24="T+")*6+($L24:$R24="D+")*12+($L24:$R24="N+")*12+($L24:$R24="Dm+")*12+($L24:$R24="Dt+")*12+($L24:$R24="Tm-")*6+($L24:$R24="Mt-")*6)</f>
        <v/>
      </c>
      <c r="AW24" s="118">
        <f>AV24-MAX(0,IFERROR(INDEX(CADASTRO!$I$4:$I$80,MATCH($A24,CADASTRO!$A$4:$A$80,0)),$B24)-CONFIG!$B$50*(COUNTIF($L24:$R24,"AB")+COUNTIF($L24:$R24,"FE")+COUNTIF($L24:$R24,"LM")))</f>
        <v/>
      </c>
      <c r="AX24" s="117">
        <f>SUMPRODUCT(($S24:$Y24="M")*6+($S24:$Y24="T")*6+($S24:$Y24="D")*12+($S24:$Y24="N")*12+($S24:$Y24="NT")*6+($S24:$Y24="C")*10+($S24:$Y24="A")*8+($S24:$Y24="J")*5+($S24:$Y24="CEP")*4+($S24:$Y24="CP")*6+($S24:$Y24="CRO")*6+($S24:$Y24="M+")*6+($S24:$Y24="T+")*6+($S24:$Y24="D+")*12+($S24:$Y24="N+")*12+($S24:$Y24="Dm+")*12+($S24:$Y24="Dt+")*12+($S24:$Y24="Tm-")*6+($S24:$Y24="Mt-")*6)</f>
        <v/>
      </c>
      <c r="AY24" s="118">
        <f>AX24-MAX(0,IFERROR(INDEX(CADASTRO!$I$4:$I$80,MATCH($A24,CADASTRO!$A$4:$A$80,0)),$B24)-CONFIG!$B$50*(COUNTIF($S24:$Y24,"AB")+COUNTIF($S24:$Y24,"FE")+COUNTIF($S24:$Y24,"LM")))</f>
        <v/>
      </c>
      <c r="AZ24" s="117">
        <f>SUMPRODUCT(($Z24:$AF24="M")*6+($Z24:$AF24="T")*6+($Z24:$AF24="D")*12+($Z24:$AF24="N")*12+($Z24:$AF24="NT")*6+($Z24:$AF24="C")*10+($Z24:$AF24="A")*8+($Z24:$AF24="J")*5+($Z24:$AF24="CEP")*4+($Z24:$AF24="CP")*6+($Z24:$AF24="CRO")*6+($Z24:$AF24="M+")*6+($Z24:$AF24="T+")*6+($Z24:$AF24="D+")*12+($Z24:$AF24="N+")*12+($Z24:$AF24="Dm+")*12+($Z24:$AF24="Dt+")*12+($Z24:$AF24="Tm-")*6+($Z24:$AF24="Mt-")*6)</f>
        <v/>
      </c>
      <c r="BA24" s="118">
        <f>AZ24-MAX(0,IFERROR(INDEX(CADASTRO!$I$4:$I$80,MATCH($A24,CADASTRO!$A$4:$A$80,0)),$B24)-CONFIG!$B$50*(COUNTIF($Z24:$AF24,"AB")+COUNTIF($Z24:$AF24,"FE")+COUNTIF($Z24:$AF24,"LM")))</f>
        <v/>
      </c>
      <c r="BB24" s="117">
        <f>SUMPRODUCT(($AG24:$AM24="M")*6+($AG24:$AM24="T")*6+($AG24:$AM24="D")*12+($AG24:$AM24="N")*12+($AG24:$AM24="NT")*6+($AG24:$AM24="C")*10+($AG24:$AM24="A")*8+($AG24:$AM24="J")*5+($AG24:$AM24="CEP")*4+($AG24:$AM24="CP")*6+($AG24:$AM24="CRO")*6+($AG24:$AM24="M+")*6+($AG24:$AM24="T+")*6+($AG24:$AM24="D+")*12+($AG24:$AM24="N+")*12+($AG24:$AM24="Dm+")*12+($AG24:$AM24="Dt+")*12+($AG24:$AM24="Tm-")*6+($AG24:$AM24="Mt-")*6)</f>
        <v/>
      </c>
      <c r="BC24" s="118">
        <f>BB24-MAX(0,IFERROR(INDEX(CADASTRO!$I$4:$I$80,MATCH($A24,CADASTRO!$A$4:$A$80,0)),$B24)-CONFIG!$B$50*(COUNTIF($AG24:$AM24,"AB")+COUNTIF($AG24:$AM24,"FE")+COUNTIF($AG24:$AM24,"LM")))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36">
        <f>IFERROR(INDEX(ABR!AI$8:AI$73,MATCH($A25,ABR!$A$8:$A$73,0))&amp;"","")</f>
        <v/>
      </c>
      <c r="F25" s="136">
        <f>IFERROR(INDEX(ABR!AJ$8:AJ$73,MATCH($A25,ABR!$A$8:$A$73,0))&amp;"","")</f>
        <v/>
      </c>
      <c r="G25" s="136">
        <f>IFERROR(INDEX(ABR!AK$8:AK$73,MATCH($A25,ABR!$A$8:$A$73,0))&amp;"","")</f>
        <v/>
      </c>
      <c r="H25" s="136">
        <f>IFERROR(INDEX(ABR!AL$8:AL$73,MATCH($A25,ABR!$A$8:$A$73,0))&amp;"","")</f>
        <v/>
      </c>
      <c r="I25" s="114" t="n"/>
      <c r="J25" s="114" t="n"/>
      <c r="K25" s="114" t="n"/>
      <c r="L25" s="114" t="n"/>
      <c r="M25" s="125" t="inlineStr">
        <is>
          <t>N</t>
        </is>
      </c>
      <c r="N25" s="125" t="inlineStr">
        <is>
          <t>N</t>
        </is>
      </c>
      <c r="O25" s="114" t="n"/>
      <c r="P25" s="114" t="n"/>
      <c r="Q25" s="114" t="n"/>
      <c r="R25" s="125" t="inlineStr">
        <is>
          <t>N</t>
        </is>
      </c>
      <c r="S25" s="114" t="n"/>
      <c r="T25" s="125" t="inlineStr">
        <is>
          <t>N</t>
        </is>
      </c>
      <c r="U25" s="125" t="inlineStr">
        <is>
          <t>N</t>
        </is>
      </c>
      <c r="V25" s="114" t="n"/>
      <c r="W25" s="114" t="n"/>
      <c r="X25" s="114" t="n"/>
      <c r="Y25" s="125" t="inlineStr">
        <is>
          <t>N</t>
        </is>
      </c>
      <c r="Z25" s="125" t="inlineStr">
        <is>
          <t>N</t>
        </is>
      </c>
      <c r="AA25" s="114" t="n"/>
      <c r="AB25" s="125" t="inlineStr">
        <is>
          <t>N</t>
        </is>
      </c>
      <c r="AC25" s="114" t="n"/>
      <c r="AD25" s="114" t="n"/>
      <c r="AE25" s="114" t="n"/>
      <c r="AF25" s="125" t="inlineStr">
        <is>
          <t>N</t>
        </is>
      </c>
      <c r="AG25" s="125" t="inlineStr">
        <is>
          <t>N</t>
        </is>
      </c>
      <c r="AH25" s="125" t="inlineStr">
        <is>
          <t>N</t>
        </is>
      </c>
      <c r="AI25" s="125" t="inlineStr">
        <is>
          <t>N</t>
        </is>
      </c>
      <c r="AJ25" s="114" t="n"/>
      <c r="AK25" s="114" t="n"/>
      <c r="AL25" s="114" t="n"/>
      <c r="AM25" s="114" t="n"/>
      <c r="AN25" s="100" t="n"/>
      <c r="AO25" s="100" t="n"/>
      <c r="AP25" s="100" t="n"/>
      <c r="AQ25" s="100" t="n"/>
      <c r="AR25" s="100" t="n"/>
      <c r="AS25" s="100" t="n"/>
      <c r="AT25" s="117">
        <f>SUMPRODUCT(($E25:$K25="M")*6+($E25:$K25="T")*6+($E25:$K25="D")*12+($E25:$K25="N")*12+($E25:$K25="NT")*6+($E25:$K25="C")*10+($E25:$K25="A")*8+($E25:$K25="J")*5+($E25:$K25="CEP")*4+($E25:$K25="CP")*6+($E25:$K25="CRO")*6+($E25:$K25="M+")*6+($E25:$K25="T+")*6+($E25:$K25="D+")*12+($E25:$K25="N+")*12+($E25:$K25="Dm+")*12+($E25:$K25="Dt+")*12+($E25:$K25="Tm-")*6+($E25:$K25="Mt-")*6)</f>
        <v/>
      </c>
      <c r="AU25" s="118">
        <f>AT25-MAX(0,IFERROR(INDEX(CADASTRO!$I$4:$I$80,MATCH($A25,CADASTRO!$A$4:$A$80,0)),$B25)-CONFIG!$B$50*(COUNTIF($E25:$K25,"AB")+COUNTIF($E25:$K25,"FE")+COUNTIF($E25:$K25,"LM")))</f>
        <v/>
      </c>
      <c r="AV25" s="117">
        <f>SUMPRODUCT(($L25:$R25="M")*6+($L25:$R25="T")*6+($L25:$R25="D")*12+($L25:$R25="N")*12+($L25:$R25="NT")*6+($L25:$R25="C")*10+($L25:$R25="A")*8+($L25:$R25="J")*5+($L25:$R25="CEP")*4+($L25:$R25="CP")*6+($L25:$R25="CRO")*6+($L25:$R25="M+")*6+($L25:$R25="T+")*6+($L25:$R25="D+")*12+($L25:$R25="N+")*12+($L25:$R25="Dm+")*12+($L25:$R25="Dt+")*12+($L25:$R25="Tm-")*6+($L25:$R25="Mt-")*6)</f>
        <v/>
      </c>
      <c r="AW25" s="118">
        <f>AV25-MAX(0,IFERROR(INDEX(CADASTRO!$I$4:$I$80,MATCH($A25,CADASTRO!$A$4:$A$80,0)),$B25)-CONFIG!$B$50*(COUNTIF($L25:$R25,"AB")+COUNTIF($L25:$R25,"FE")+COUNTIF($L25:$R25,"LM")))</f>
        <v/>
      </c>
      <c r="AX25" s="117">
        <f>SUMPRODUCT(($S25:$Y25="M")*6+($S25:$Y25="T")*6+($S25:$Y25="D")*12+($S25:$Y25="N")*12+($S25:$Y25="NT")*6+($S25:$Y25="C")*10+($S25:$Y25="A")*8+($S25:$Y25="J")*5+($S25:$Y25="CEP")*4+($S25:$Y25="CP")*6+($S25:$Y25="CRO")*6+($S25:$Y25="M+")*6+($S25:$Y25="T+")*6+($S25:$Y25="D+")*12+($S25:$Y25="N+")*12+($S25:$Y25="Dm+")*12+($S25:$Y25="Dt+")*12+($S25:$Y25="Tm-")*6+($S25:$Y25="Mt-")*6)</f>
        <v/>
      </c>
      <c r="AY25" s="118">
        <f>AX25-MAX(0,IFERROR(INDEX(CADASTRO!$I$4:$I$80,MATCH($A25,CADASTRO!$A$4:$A$80,0)),$B25)-CONFIG!$B$50*(COUNTIF($S25:$Y25,"AB")+COUNTIF($S25:$Y25,"FE")+COUNTIF($S25:$Y25,"LM")))</f>
        <v/>
      </c>
      <c r="AZ25" s="117">
        <f>SUMPRODUCT(($Z25:$AF25="M")*6+($Z25:$AF25="T")*6+($Z25:$AF25="D")*12+($Z25:$AF25="N")*12+($Z25:$AF25="NT")*6+($Z25:$AF25="C")*10+($Z25:$AF25="A")*8+($Z25:$AF25="J")*5+($Z25:$AF25="CEP")*4+($Z25:$AF25="CP")*6+($Z25:$AF25="CRO")*6+($Z25:$AF25="M+")*6+($Z25:$AF25="T+")*6+($Z25:$AF25="D+")*12+($Z25:$AF25="N+")*12+($Z25:$AF25="Dm+")*12+($Z25:$AF25="Dt+")*12+($Z25:$AF25="Tm-")*6+($Z25:$AF25="Mt-")*6)</f>
        <v/>
      </c>
      <c r="BA25" s="118">
        <f>AZ25-MAX(0,IFERROR(INDEX(CADASTRO!$I$4:$I$80,MATCH($A25,CADASTRO!$A$4:$A$80,0)),$B25)-CONFIG!$B$50*(COUNTIF($Z25:$AF25,"AB")+COUNTIF($Z25:$AF25,"FE")+COUNTIF($Z25:$AF25,"LM")))</f>
        <v/>
      </c>
      <c r="BB25" s="117">
        <f>SUMPRODUCT(($AG25:$AM25="M")*6+($AG25:$AM25="T")*6+($AG25:$AM25="D")*12+($AG25:$AM25="N")*12+($AG25:$AM25="NT")*6+($AG25:$AM25="C")*10+($AG25:$AM25="A")*8+($AG25:$AM25="J")*5+($AG25:$AM25="CEP")*4+($AG25:$AM25="CP")*6+($AG25:$AM25="CRO")*6+($AG25:$AM25="M+")*6+($AG25:$AM25="T+")*6+($AG25:$AM25="D+")*12+($AG25:$AM25="N+")*12+($AG25:$AM25="Dm+")*12+($AG25:$AM25="Dt+")*12+($AG25:$AM25="Tm-")*6+($AG25:$AM25="Mt-")*6)</f>
        <v/>
      </c>
      <c r="BC25" s="118">
        <f>BB25-MAX(0,IFERROR(INDEX(CADASTRO!$I$4:$I$80,MATCH($A25,CADASTRO!$A$4:$A$80,0)),$B25)-CONFIG!$B$50*(COUNTIF($AG25:$AM25,"AB")+COUNTIF($AG25:$AM25,"FE")+COUNTIF($AG25:$AM25,"LM")))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36">
        <f>IFERROR(INDEX(ABR!AI$8:AI$73,MATCH($A26,ABR!$A$8:$A$73,0))&amp;"","")</f>
        <v/>
      </c>
      <c r="F26" s="136">
        <f>IFERROR(INDEX(ABR!AJ$8:AJ$73,MATCH($A26,ABR!$A$8:$A$73,0))&amp;"","")</f>
        <v/>
      </c>
      <c r="G26" s="136">
        <f>IFERROR(INDEX(ABR!AK$8:AK$73,MATCH($A26,ABR!$A$8:$A$73,0))&amp;"","")</f>
        <v/>
      </c>
      <c r="H26" s="136">
        <f>IFERROR(INDEX(ABR!AL$8:AL$73,MATCH($A26,ABR!$A$8:$A$73,0))&amp;"","")</f>
        <v/>
      </c>
      <c r="I26" s="115" t="inlineStr">
        <is>
          <t>M</t>
        </is>
      </c>
      <c r="J26" s="125" t="inlineStr">
        <is>
          <t>N</t>
        </is>
      </c>
      <c r="K26" s="114" t="n"/>
      <c r="L26" s="125" t="inlineStr">
        <is>
          <t>N</t>
        </is>
      </c>
      <c r="M26" s="125" t="inlineStr">
        <is>
          <t>N</t>
        </is>
      </c>
      <c r="N26" s="114" t="n"/>
      <c r="O26" s="126" t="inlineStr">
        <is>
          <t>T</t>
        </is>
      </c>
      <c r="P26" s="126" t="inlineStr">
        <is>
          <t>T</t>
        </is>
      </c>
      <c r="Q26" s="114" t="n"/>
      <c r="R26" s="114" t="n"/>
      <c r="S26" s="114" t="n"/>
      <c r="T26" s="114" t="n"/>
      <c r="U26" s="114" t="n"/>
      <c r="V26" s="114" t="n"/>
      <c r="W26" s="124" t="inlineStr">
        <is>
          <t>D</t>
        </is>
      </c>
      <c r="X26" s="125" t="inlineStr">
        <is>
          <t>N</t>
        </is>
      </c>
      <c r="Y26" s="125" t="inlineStr">
        <is>
          <t>N</t>
        </is>
      </c>
      <c r="Z26" s="114" t="n"/>
      <c r="AA26" s="125" t="inlineStr">
        <is>
          <t>N</t>
        </is>
      </c>
      <c r="AB26" s="126" t="inlineStr">
        <is>
          <t>T</t>
        </is>
      </c>
      <c r="AC26" s="124" t="inlineStr">
        <is>
          <t>D</t>
        </is>
      </c>
      <c r="AD26" s="114" t="n"/>
      <c r="AE26" s="114" t="n"/>
      <c r="AF26" s="126" t="inlineStr">
        <is>
          <t>T</t>
        </is>
      </c>
      <c r="AG26" s="125" t="inlineStr">
        <is>
          <t>N</t>
        </is>
      </c>
      <c r="AH26" s="125" t="inlineStr">
        <is>
          <t>N</t>
        </is>
      </c>
      <c r="AI26" s="114" t="n"/>
      <c r="AJ26" s="124" t="inlineStr">
        <is>
          <t>D</t>
        </is>
      </c>
      <c r="AK26" s="114" t="n"/>
      <c r="AL26" s="114" t="n"/>
      <c r="AM26" s="114" t="n"/>
      <c r="AN26" s="100" t="n"/>
      <c r="AO26" s="100" t="n"/>
      <c r="AP26" s="100" t="n"/>
      <c r="AQ26" s="100" t="n"/>
      <c r="AR26" s="100" t="n"/>
      <c r="AS26" s="100" t="n"/>
      <c r="AT26" s="117">
        <f>SUMPRODUCT(($E26:$K26="M")*6+($E26:$K26="T")*6+($E26:$K26="D")*12+($E26:$K26="N")*12+($E26:$K26="NT")*6+($E26:$K26="C")*10+($E26:$K26="A")*8+($E26:$K26="J")*5+($E26:$K26="CEP")*4+($E26:$K26="CP")*6+($E26:$K26="CRO")*6+($E26:$K26="M+")*6+($E26:$K26="T+")*6+($E26:$K26="D+")*12+($E26:$K26="N+")*12+($E26:$K26="Dm+")*12+($E26:$K26="Dt+")*12+($E26:$K26="Tm-")*6+($E26:$K26="Mt-")*6)</f>
        <v/>
      </c>
      <c r="AU26" s="118">
        <f>AT26-MAX(0,IFERROR(INDEX(CADASTRO!$I$4:$I$80,MATCH($A26,CADASTRO!$A$4:$A$80,0)),$B26)-CONFIG!$B$50*(COUNTIF($E26:$K26,"AB")+COUNTIF($E26:$K26,"FE")+COUNTIF($E26:$K26,"LM")))</f>
        <v/>
      </c>
      <c r="AV26" s="117">
        <f>SUMPRODUCT(($L26:$R26="M")*6+($L26:$R26="T")*6+($L26:$R26="D")*12+($L26:$R26="N")*12+($L26:$R26="NT")*6+($L26:$R26="C")*10+($L26:$R26="A")*8+($L26:$R26="J")*5+($L26:$R26="CEP")*4+($L26:$R26="CP")*6+($L26:$R26="CRO")*6+($L26:$R26="M+")*6+($L26:$R26="T+")*6+($L26:$R26="D+")*12+($L26:$R26="N+")*12+($L26:$R26="Dm+")*12+($L26:$R26="Dt+")*12+($L26:$R26="Tm-")*6+($L26:$R26="Mt-")*6)</f>
        <v/>
      </c>
      <c r="AW26" s="118">
        <f>AV26-MAX(0,IFERROR(INDEX(CADASTRO!$I$4:$I$80,MATCH($A26,CADASTRO!$A$4:$A$80,0)),$B26)-CONFIG!$B$50*(COUNTIF($L26:$R26,"AB")+COUNTIF($L26:$R26,"FE")+COUNTIF($L26:$R26,"LM")))</f>
        <v/>
      </c>
      <c r="AX26" s="117">
        <f>SUMPRODUCT(($S26:$Y26="M")*6+($S26:$Y26="T")*6+($S26:$Y26="D")*12+($S26:$Y26="N")*12+($S26:$Y26="NT")*6+($S26:$Y26="C")*10+($S26:$Y26="A")*8+($S26:$Y26="J")*5+($S26:$Y26="CEP")*4+($S26:$Y26="CP")*6+($S26:$Y26="CRO")*6+($S26:$Y26="M+")*6+($S26:$Y26="T+")*6+($S26:$Y26="D+")*12+($S26:$Y26="N+")*12+($S26:$Y26="Dm+")*12+($S26:$Y26="Dt+")*12+($S26:$Y26="Tm-")*6+($S26:$Y26="Mt-")*6)</f>
        <v/>
      </c>
      <c r="AY26" s="118">
        <f>AX26-MAX(0,IFERROR(INDEX(CADASTRO!$I$4:$I$80,MATCH($A26,CADASTRO!$A$4:$A$80,0)),$B26)-CONFIG!$B$50*(COUNTIF($S26:$Y26,"AB")+COUNTIF($S26:$Y26,"FE")+COUNTIF($S26:$Y26,"LM")))</f>
        <v/>
      </c>
      <c r="AZ26" s="117">
        <f>SUMPRODUCT(($Z26:$AF26="M")*6+($Z26:$AF26="T")*6+($Z26:$AF26="D")*12+($Z26:$AF26="N")*12+($Z26:$AF26="NT")*6+($Z26:$AF26="C")*10+($Z26:$AF26="A")*8+($Z26:$AF26="J")*5+($Z26:$AF26="CEP")*4+($Z26:$AF26="CP")*6+($Z26:$AF26="CRO")*6+($Z26:$AF26="M+")*6+($Z26:$AF26="T+")*6+($Z26:$AF26="D+")*12+($Z26:$AF26="N+")*12+($Z26:$AF26="Dm+")*12+($Z26:$AF26="Dt+")*12+($Z26:$AF26="Tm-")*6+($Z26:$AF26="Mt-")*6)</f>
        <v/>
      </c>
      <c r="BA26" s="118">
        <f>AZ26-MAX(0,IFERROR(INDEX(CADASTRO!$I$4:$I$80,MATCH($A26,CADASTRO!$A$4:$A$80,0)),$B26)-CONFIG!$B$50*(COUNTIF($Z26:$AF26,"AB")+COUNTIF($Z26:$AF26,"FE")+COUNTIF($Z26:$AF26,"LM")))</f>
        <v/>
      </c>
      <c r="BB26" s="117">
        <f>SUMPRODUCT(($AG26:$AM26="M")*6+($AG26:$AM26="T")*6+($AG26:$AM26="D")*12+($AG26:$AM26="N")*12+($AG26:$AM26="NT")*6+($AG26:$AM26="C")*10+($AG26:$AM26="A")*8+($AG26:$AM26="J")*5+($AG26:$AM26="CEP")*4+($AG26:$AM26="CP")*6+($AG26:$AM26="CRO")*6+($AG26:$AM26="M+")*6+($AG26:$AM26="T+")*6+($AG26:$AM26="D+")*12+($AG26:$AM26="N+")*12+($AG26:$AM26="Dm+")*12+($AG26:$AM26="Dt+")*12+($AG26:$AM26="Tm-")*6+($AG26:$AM26="Mt-")*6)</f>
        <v/>
      </c>
      <c r="BC26" s="118">
        <f>BB26-MAX(0,IFERROR(INDEX(CADASTRO!$I$4:$I$80,MATCH($A26,CADASTRO!$A$4:$A$80,0)),$B26)-CONFIG!$B$50*(COUNTIF($AG26:$AM26,"AB")+COUNTIF($AG26:$AM26,"FE")+COUNTIF($AG26:$AM26,"LM")))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36">
        <f>IFERROR(INDEX(ABR!AI$8:AI$73,MATCH($A27,ABR!$A$8:$A$73,0))&amp;"","")</f>
        <v/>
      </c>
      <c r="F27" s="136">
        <f>IFERROR(INDEX(ABR!AJ$8:AJ$73,MATCH($A27,ABR!$A$8:$A$73,0))&amp;"","")</f>
        <v/>
      </c>
      <c r="G27" s="136">
        <f>IFERROR(INDEX(ABR!AK$8:AK$73,MATCH($A27,ABR!$A$8:$A$73,0))&amp;"","")</f>
        <v/>
      </c>
      <c r="H27" s="136">
        <f>IFERROR(INDEX(ABR!AL$8:AL$73,MATCH($A27,ABR!$A$8:$A$73,0))&amp;"","")</f>
        <v/>
      </c>
      <c r="I27" s="114" t="n"/>
      <c r="J27" s="125" t="inlineStr">
        <is>
          <t>N</t>
        </is>
      </c>
      <c r="K27" s="114" t="n"/>
      <c r="L27" s="130" t="inlineStr">
        <is>
          <t>CRO</t>
        </is>
      </c>
      <c r="M27" s="125" t="inlineStr">
        <is>
          <t>N</t>
        </is>
      </c>
      <c r="N27" s="114" t="n"/>
      <c r="O27" s="125" t="inlineStr">
        <is>
          <t>N</t>
        </is>
      </c>
      <c r="P27" s="126" t="inlineStr">
        <is>
          <t>T</t>
        </is>
      </c>
      <c r="Q27" s="114" t="n"/>
      <c r="R27" s="114" t="n"/>
      <c r="S27" s="130" t="inlineStr">
        <is>
          <t>CRO</t>
        </is>
      </c>
      <c r="T27" s="125" t="inlineStr">
        <is>
          <t>N</t>
        </is>
      </c>
      <c r="U27" s="114" t="n"/>
      <c r="V27" s="125" t="inlineStr">
        <is>
          <t>N</t>
        </is>
      </c>
      <c r="W27" s="114" t="n"/>
      <c r="X27" s="114" t="n"/>
      <c r="Y27" s="114" t="n"/>
      <c r="Z27" s="114" t="n"/>
      <c r="AA27" s="125" t="inlineStr">
        <is>
          <t>N</t>
        </is>
      </c>
      <c r="AB27" s="114" t="n"/>
      <c r="AC27" s="125" t="inlineStr">
        <is>
          <t>N</t>
        </is>
      </c>
      <c r="AD27" s="114" t="n"/>
      <c r="AE27" s="125" t="inlineStr">
        <is>
          <t>N</t>
        </is>
      </c>
      <c r="AF27" s="114" t="n"/>
      <c r="AG27" s="114" t="n"/>
      <c r="AH27" s="114" t="n"/>
      <c r="AI27" s="114" t="n"/>
      <c r="AJ27" s="125" t="inlineStr">
        <is>
          <t>N</t>
        </is>
      </c>
      <c r="AK27" s="114" t="n"/>
      <c r="AL27" s="125" t="inlineStr">
        <is>
          <t>N</t>
        </is>
      </c>
      <c r="AM27" s="114" t="n"/>
      <c r="AN27" s="100" t="n"/>
      <c r="AO27" s="100" t="n"/>
      <c r="AP27" s="100" t="n"/>
      <c r="AQ27" s="100" t="n"/>
      <c r="AR27" s="100" t="n"/>
      <c r="AS27" s="100" t="n"/>
      <c r="AT27" s="117">
        <f>SUMPRODUCT(($E27:$K27="M")*6+($E27:$K27="T")*6+($E27:$K27="D")*12+($E27:$K27="N")*12+($E27:$K27="NT")*6+($E27:$K27="C")*10+($E27:$K27="A")*8+($E27:$K27="J")*5+($E27:$K27="CEP")*4+($E27:$K27="CP")*6+($E27:$K27="CRO")*6+($E27:$K27="M+")*6+($E27:$K27="T+")*6+($E27:$K27="D+")*12+($E27:$K27="N+")*12+($E27:$K27="Dm+")*12+($E27:$K27="Dt+")*12+($E27:$K27="Tm-")*6+($E27:$K27="Mt-")*6)</f>
        <v/>
      </c>
      <c r="AU27" s="118">
        <f>AT27-MAX(0,IFERROR(INDEX(CADASTRO!$I$4:$I$80,MATCH($A27,CADASTRO!$A$4:$A$80,0)),$B27)-CONFIG!$B$50*(COUNTIF($E27:$K27,"AB")+COUNTIF($E27:$K27,"FE")+COUNTIF($E27:$K27,"LM")))</f>
        <v/>
      </c>
      <c r="AV27" s="117">
        <f>SUMPRODUCT(($L27:$R27="M")*6+($L27:$R27="T")*6+($L27:$R27="D")*12+($L27:$R27="N")*12+($L27:$R27="NT")*6+($L27:$R27="C")*10+($L27:$R27="A")*8+($L27:$R27="J")*5+($L27:$R27="CEP")*4+($L27:$R27="CP")*6+($L27:$R27="CRO")*6+($L27:$R27="M+")*6+($L27:$R27="T+")*6+($L27:$R27="D+")*12+($L27:$R27="N+")*12+($L27:$R27="Dm+")*12+($L27:$R27="Dt+")*12+($L27:$R27="Tm-")*6+($L27:$R27="Mt-")*6)</f>
        <v/>
      </c>
      <c r="AW27" s="118">
        <f>AV27-MAX(0,IFERROR(INDEX(CADASTRO!$I$4:$I$80,MATCH($A27,CADASTRO!$A$4:$A$80,0)),$B27)-CONFIG!$B$50*(COUNTIF($L27:$R27,"AB")+COUNTIF($L27:$R27,"FE")+COUNTIF($L27:$R27,"LM")))</f>
        <v/>
      </c>
      <c r="AX27" s="117">
        <f>SUMPRODUCT(($S27:$Y27="M")*6+($S27:$Y27="T")*6+($S27:$Y27="D")*12+($S27:$Y27="N")*12+($S27:$Y27="NT")*6+($S27:$Y27="C")*10+($S27:$Y27="A")*8+($S27:$Y27="J")*5+($S27:$Y27="CEP")*4+($S27:$Y27="CP")*6+($S27:$Y27="CRO")*6+($S27:$Y27="M+")*6+($S27:$Y27="T+")*6+($S27:$Y27="D+")*12+($S27:$Y27="N+")*12+($S27:$Y27="Dm+")*12+($S27:$Y27="Dt+")*12+($S27:$Y27="Tm-")*6+($S27:$Y27="Mt-")*6)</f>
        <v/>
      </c>
      <c r="AY27" s="118">
        <f>AX27-MAX(0,IFERROR(INDEX(CADASTRO!$I$4:$I$80,MATCH($A27,CADASTRO!$A$4:$A$80,0)),$B27)-CONFIG!$B$50*(COUNTIF($S27:$Y27,"AB")+COUNTIF($S27:$Y27,"FE")+COUNTIF($S27:$Y27,"LM")))</f>
        <v/>
      </c>
      <c r="AZ27" s="117">
        <f>SUMPRODUCT(($Z27:$AF27="M")*6+($Z27:$AF27="T")*6+($Z27:$AF27="D")*12+($Z27:$AF27="N")*12+($Z27:$AF27="NT")*6+($Z27:$AF27="C")*10+($Z27:$AF27="A")*8+($Z27:$AF27="J")*5+($Z27:$AF27="CEP")*4+($Z27:$AF27="CP")*6+($Z27:$AF27="CRO")*6+($Z27:$AF27="M+")*6+($Z27:$AF27="T+")*6+($Z27:$AF27="D+")*12+($Z27:$AF27="N+")*12+($Z27:$AF27="Dm+")*12+($Z27:$AF27="Dt+")*12+($Z27:$AF27="Tm-")*6+($Z27:$AF27="Mt-")*6)</f>
        <v/>
      </c>
      <c r="BA27" s="118">
        <f>AZ27-MAX(0,IFERROR(INDEX(CADASTRO!$I$4:$I$80,MATCH($A27,CADASTRO!$A$4:$A$80,0)),$B27)-CONFIG!$B$50*(COUNTIF($Z27:$AF27,"AB")+COUNTIF($Z27:$AF27,"FE")+COUNTIF($Z27:$AF27,"LM")))</f>
        <v/>
      </c>
      <c r="BB27" s="117">
        <f>SUMPRODUCT(($AG27:$AM27="M")*6+($AG27:$AM27="T")*6+($AG27:$AM27="D")*12+($AG27:$AM27="N")*12+($AG27:$AM27="NT")*6+($AG27:$AM27="C")*10+($AG27:$AM27="A")*8+($AG27:$AM27="J")*5+($AG27:$AM27="CEP")*4+($AG27:$AM27="CP")*6+($AG27:$AM27="CRO")*6+($AG27:$AM27="M+")*6+($AG27:$AM27="T+")*6+($AG27:$AM27="D+")*12+($AG27:$AM27="N+")*12+($AG27:$AM27="Dm+")*12+($AG27:$AM27="Dt+")*12+($AG27:$AM27="Tm-")*6+($AG27:$AM27="Mt-")*6)</f>
        <v/>
      </c>
      <c r="BC27" s="118">
        <f>BB27-MAX(0,IFERROR(INDEX(CADASTRO!$I$4:$I$80,MATCH($A27,CADASTRO!$A$4:$A$80,0)),$B27)-CONFIG!$B$50*(COUNTIF($AG27:$AM27,"AB")+COUNTIF($AG27:$AM27,"FE")+COUNTIF($AG27:$AM27,"LM")))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36">
        <f>IFERROR(INDEX(ABR!AI$8:AI$73,MATCH($A28,ABR!$A$8:$A$73,0))&amp;"","")</f>
        <v/>
      </c>
      <c r="F28" s="136">
        <f>IFERROR(INDEX(ABR!AJ$8:AJ$73,MATCH($A28,ABR!$A$8:$A$73,0))&amp;"","")</f>
        <v/>
      </c>
      <c r="G28" s="136">
        <f>IFERROR(INDEX(ABR!AK$8:AK$73,MATCH($A28,ABR!$A$8:$A$73,0))&amp;"","")</f>
        <v/>
      </c>
      <c r="H28" s="136">
        <f>IFERROR(INDEX(ABR!AL$8:AL$73,MATCH($A28,ABR!$A$8:$A$73,0))&amp;"","")</f>
        <v/>
      </c>
      <c r="I28" s="114" t="n"/>
      <c r="J28" s="124" t="inlineStr">
        <is>
          <t>D</t>
        </is>
      </c>
      <c r="K28" s="126" t="inlineStr">
        <is>
          <t>T</t>
        </is>
      </c>
      <c r="L28" s="124" t="inlineStr">
        <is>
          <t>D</t>
        </is>
      </c>
      <c r="M28" s="115" t="inlineStr">
        <is>
          <t>M</t>
        </is>
      </c>
      <c r="N28" s="126" t="inlineStr">
        <is>
          <t>T</t>
        </is>
      </c>
      <c r="O28" s="114" t="n"/>
      <c r="P28" s="114" t="n"/>
      <c r="Q28" s="114" t="n"/>
      <c r="R28" s="115" t="inlineStr">
        <is>
          <t>M</t>
        </is>
      </c>
      <c r="S28" s="114" t="n"/>
      <c r="T28" s="115" t="inlineStr">
        <is>
          <t>M</t>
        </is>
      </c>
      <c r="U28" s="114" t="n"/>
      <c r="V28" s="125" t="inlineStr">
        <is>
          <t>N</t>
        </is>
      </c>
      <c r="W28" s="114" t="n"/>
      <c r="X28" s="124" t="inlineStr">
        <is>
          <t>D</t>
        </is>
      </c>
      <c r="Y28" s="114" t="n"/>
      <c r="Z28" s="124" t="inlineStr">
        <is>
          <t>D</t>
        </is>
      </c>
      <c r="AA28" s="124" t="inlineStr">
        <is>
          <t>D</t>
        </is>
      </c>
      <c r="AB28" s="126" t="inlineStr">
        <is>
          <t>T</t>
        </is>
      </c>
      <c r="AC28" s="114" t="n"/>
      <c r="AD28" s="114" t="n"/>
      <c r="AE28" s="114" t="n"/>
      <c r="AF28" s="114" t="n"/>
      <c r="AG28" s="114" t="n"/>
      <c r="AH28" s="114" t="n"/>
      <c r="AI28" s="126" t="inlineStr">
        <is>
          <t>T</t>
        </is>
      </c>
      <c r="AJ28" s="125" t="inlineStr">
        <is>
          <t>N</t>
        </is>
      </c>
      <c r="AK28" s="125" t="inlineStr">
        <is>
          <t>N</t>
        </is>
      </c>
      <c r="AL28" s="114" t="n"/>
      <c r="AM28" s="114" t="n"/>
      <c r="AN28" s="100" t="n"/>
      <c r="AO28" s="100" t="n"/>
      <c r="AP28" s="100" t="n"/>
      <c r="AQ28" s="100" t="n"/>
      <c r="AR28" s="100" t="n"/>
      <c r="AS28" s="100" t="n"/>
      <c r="AT28" s="117">
        <f>SUMPRODUCT(($E28:$K28="M")*6+($E28:$K28="T")*6+($E28:$K28="D")*12+($E28:$K28="N")*12+($E28:$K28="NT")*6+($E28:$K28="C")*10+($E28:$K28="A")*8+($E28:$K28="J")*5+($E28:$K28="CEP")*4+($E28:$K28="CP")*6+($E28:$K28="CRO")*6+($E28:$K28="M+")*6+($E28:$K28="T+")*6+($E28:$K28="D+")*12+($E28:$K28="N+")*12+($E28:$K28="Dm+")*12+($E28:$K28="Dt+")*12+($E28:$K28="Tm-")*6+($E28:$K28="Mt-")*6)</f>
        <v/>
      </c>
      <c r="AU28" s="118">
        <f>AT28-MAX(0,IFERROR(INDEX(CADASTRO!$I$4:$I$80,MATCH($A28,CADASTRO!$A$4:$A$80,0)),$B28)-CONFIG!$B$50*(COUNTIF($E28:$K28,"AB")+COUNTIF($E28:$K28,"FE")+COUNTIF($E28:$K28,"LM")))</f>
        <v/>
      </c>
      <c r="AV28" s="117">
        <f>SUMPRODUCT(($L28:$R28="M")*6+($L28:$R28="T")*6+($L28:$R28="D")*12+($L28:$R28="N")*12+($L28:$R28="NT")*6+($L28:$R28="C")*10+($L28:$R28="A")*8+($L28:$R28="J")*5+($L28:$R28="CEP")*4+($L28:$R28="CP")*6+($L28:$R28="CRO")*6+($L28:$R28="M+")*6+($L28:$R28="T+")*6+($L28:$R28="D+")*12+($L28:$R28="N+")*12+($L28:$R28="Dm+")*12+($L28:$R28="Dt+")*12+($L28:$R28="Tm-")*6+($L28:$R28="Mt-")*6)</f>
        <v/>
      </c>
      <c r="AW28" s="118">
        <f>AV28-MAX(0,IFERROR(INDEX(CADASTRO!$I$4:$I$80,MATCH($A28,CADASTRO!$A$4:$A$80,0)),$B28)-CONFIG!$B$50*(COUNTIF($L28:$R28,"AB")+COUNTIF($L28:$R28,"FE")+COUNTIF($L28:$R28,"LM")))</f>
        <v/>
      </c>
      <c r="AX28" s="117">
        <f>SUMPRODUCT(($S28:$Y28="M")*6+($S28:$Y28="T")*6+($S28:$Y28="D")*12+($S28:$Y28="N")*12+($S28:$Y28="NT")*6+($S28:$Y28="C")*10+($S28:$Y28="A")*8+($S28:$Y28="J")*5+($S28:$Y28="CEP")*4+($S28:$Y28="CP")*6+($S28:$Y28="CRO")*6+($S28:$Y28="M+")*6+($S28:$Y28="T+")*6+($S28:$Y28="D+")*12+($S28:$Y28="N+")*12+($S28:$Y28="Dm+")*12+($S28:$Y28="Dt+")*12+($S28:$Y28="Tm-")*6+($S28:$Y28="Mt-")*6)</f>
        <v/>
      </c>
      <c r="AY28" s="118">
        <f>AX28-MAX(0,IFERROR(INDEX(CADASTRO!$I$4:$I$80,MATCH($A28,CADASTRO!$A$4:$A$80,0)),$B28)-CONFIG!$B$50*(COUNTIF($S28:$Y28,"AB")+COUNTIF($S28:$Y28,"FE")+COUNTIF($S28:$Y28,"LM")))</f>
        <v/>
      </c>
      <c r="AZ28" s="117">
        <f>SUMPRODUCT(($Z28:$AF28="M")*6+($Z28:$AF28="T")*6+($Z28:$AF28="D")*12+($Z28:$AF28="N")*12+($Z28:$AF28="NT")*6+($Z28:$AF28="C")*10+($Z28:$AF28="A")*8+($Z28:$AF28="J")*5+($Z28:$AF28="CEP")*4+($Z28:$AF28="CP")*6+($Z28:$AF28="CRO")*6+($Z28:$AF28="M+")*6+($Z28:$AF28="T+")*6+($Z28:$AF28="D+")*12+($Z28:$AF28="N+")*12+($Z28:$AF28="Dm+")*12+($Z28:$AF28="Dt+")*12+($Z28:$AF28="Tm-")*6+($Z28:$AF28="Mt-")*6)</f>
        <v/>
      </c>
      <c r="BA28" s="118">
        <f>AZ28-MAX(0,IFERROR(INDEX(CADASTRO!$I$4:$I$80,MATCH($A28,CADASTRO!$A$4:$A$80,0)),$B28)-CONFIG!$B$50*(COUNTIF($Z28:$AF28,"AB")+COUNTIF($Z28:$AF28,"FE")+COUNTIF($Z28:$AF28,"LM")))</f>
        <v/>
      </c>
      <c r="BB28" s="117">
        <f>SUMPRODUCT(($AG28:$AM28="M")*6+($AG28:$AM28="T")*6+($AG28:$AM28="D")*12+($AG28:$AM28="N")*12+($AG28:$AM28="NT")*6+($AG28:$AM28="C")*10+($AG28:$AM28="A")*8+($AG28:$AM28="J")*5+($AG28:$AM28="CEP")*4+($AG28:$AM28="CP")*6+($AG28:$AM28="CRO")*6+($AG28:$AM28="M+")*6+($AG28:$AM28="T+")*6+($AG28:$AM28="D+")*12+($AG28:$AM28="N+")*12+($AG28:$AM28="Dm+")*12+($AG28:$AM28="Dt+")*12+($AG28:$AM28="Tm-")*6+($AG28:$AM28="Mt-")*6)</f>
        <v/>
      </c>
      <c r="BC28" s="118">
        <f>BB28-MAX(0,IFERROR(INDEX(CADASTRO!$I$4:$I$80,MATCH($A28,CADASTRO!$A$4:$A$80,0)),$B28)-CONFIG!$B$50*(COUNTIF($AG28:$AM28,"AB")+COUNTIF($AG28:$AM28,"FE")+COUNTIF($AG28:$AM28,"LM")))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36">
        <f>IFERROR(INDEX(ABR!AI$8:AI$73,MATCH($A29,ABR!$A$8:$A$73,0))&amp;"","")</f>
        <v/>
      </c>
      <c r="F29" s="136">
        <f>IFERROR(INDEX(ABR!AJ$8:AJ$73,MATCH($A29,ABR!$A$8:$A$73,0))&amp;"","")</f>
        <v/>
      </c>
      <c r="G29" s="136">
        <f>IFERROR(INDEX(ABR!AK$8:AK$73,MATCH($A29,ABR!$A$8:$A$73,0))&amp;"","")</f>
        <v/>
      </c>
      <c r="H29" s="136">
        <f>IFERROR(INDEX(ABR!AL$8:AL$73,MATCH($A29,ABR!$A$8:$A$73,0))&amp;"","")</f>
        <v/>
      </c>
      <c r="I29" s="115" t="inlineStr">
        <is>
          <t>M</t>
        </is>
      </c>
      <c r="J29" s="114" t="n"/>
      <c r="K29" s="115" t="inlineStr">
        <is>
          <t>M</t>
        </is>
      </c>
      <c r="L29" s="125" t="inlineStr">
        <is>
          <t>N</t>
        </is>
      </c>
      <c r="M29" s="114" t="n"/>
      <c r="N29" s="114" t="n"/>
      <c r="O29" s="115" t="inlineStr">
        <is>
          <t>M</t>
        </is>
      </c>
      <c r="P29" s="126" t="inlineStr">
        <is>
          <t>T</t>
        </is>
      </c>
      <c r="Q29" s="115" t="inlineStr">
        <is>
          <t>M</t>
        </is>
      </c>
      <c r="R29" s="114" t="n"/>
      <c r="S29" s="114" t="n"/>
      <c r="T29" s="114" t="n"/>
      <c r="U29" s="115" t="inlineStr">
        <is>
          <t>M</t>
        </is>
      </c>
      <c r="V29" s="115" t="inlineStr">
        <is>
          <t>M</t>
        </is>
      </c>
      <c r="W29" s="125" t="inlineStr">
        <is>
          <t>N</t>
        </is>
      </c>
      <c r="X29" s="114" t="n"/>
      <c r="Y29" s="115" t="inlineStr">
        <is>
          <t>M</t>
        </is>
      </c>
      <c r="Z29" s="125" t="inlineStr">
        <is>
          <t>N</t>
        </is>
      </c>
      <c r="AA29" s="114" t="n"/>
      <c r="AB29" s="115" t="inlineStr">
        <is>
          <t>M</t>
        </is>
      </c>
      <c r="AC29" s="115" t="inlineStr">
        <is>
          <t>M</t>
        </is>
      </c>
      <c r="AD29" s="114" t="n"/>
      <c r="AE29" s="115" t="inlineStr">
        <is>
          <t>M</t>
        </is>
      </c>
      <c r="AF29" s="114" t="n"/>
      <c r="AG29" s="125" t="inlineStr">
        <is>
          <t>N</t>
        </is>
      </c>
      <c r="AH29" s="114" t="n"/>
      <c r="AI29" s="115" t="inlineStr">
        <is>
          <t>M</t>
        </is>
      </c>
      <c r="AJ29" s="114" t="n"/>
      <c r="AK29" s="114" t="n"/>
      <c r="AL29" s="115" t="inlineStr">
        <is>
          <t>M</t>
        </is>
      </c>
      <c r="AM29" s="115" t="inlineStr">
        <is>
          <t>M</t>
        </is>
      </c>
      <c r="AN29" s="100" t="n"/>
      <c r="AO29" s="100" t="n"/>
      <c r="AP29" s="100" t="n"/>
      <c r="AQ29" s="100" t="n"/>
      <c r="AR29" s="100" t="n"/>
      <c r="AS29" s="100" t="n"/>
      <c r="AT29" s="117">
        <f>SUMPRODUCT(($E29:$K29="M")*6+($E29:$K29="T")*6+($E29:$K29="D")*12+($E29:$K29="N")*12+($E29:$K29="NT")*6+($E29:$K29="C")*10+($E29:$K29="A")*8+($E29:$K29="J")*5+($E29:$K29="CEP")*4+($E29:$K29="CP")*6+($E29:$K29="CRO")*6+($E29:$K29="M+")*6+($E29:$K29="T+")*6+($E29:$K29="D+")*12+($E29:$K29="N+")*12+($E29:$K29="Dm+")*12+($E29:$K29="Dt+")*12+($E29:$K29="Tm-")*6+($E29:$K29="Mt-")*6)</f>
        <v/>
      </c>
      <c r="AU29" s="118">
        <f>AT29-MAX(0,IFERROR(INDEX(CADASTRO!$I$4:$I$80,MATCH($A29,CADASTRO!$A$4:$A$80,0)),$B29)-CONFIG!$B$50*(COUNTIF($E29:$K29,"AB")+COUNTIF($E29:$K29,"FE")+COUNTIF($E29:$K29,"LM")))</f>
        <v/>
      </c>
      <c r="AV29" s="117">
        <f>SUMPRODUCT(($L29:$R29="M")*6+($L29:$R29="T")*6+($L29:$R29="D")*12+($L29:$R29="N")*12+($L29:$R29="NT")*6+($L29:$R29="C")*10+($L29:$R29="A")*8+($L29:$R29="J")*5+($L29:$R29="CEP")*4+($L29:$R29="CP")*6+($L29:$R29="CRO")*6+($L29:$R29="M+")*6+($L29:$R29="T+")*6+($L29:$R29="D+")*12+($L29:$R29="N+")*12+($L29:$R29="Dm+")*12+($L29:$R29="Dt+")*12+($L29:$R29="Tm-")*6+($L29:$R29="Mt-")*6)</f>
        <v/>
      </c>
      <c r="AW29" s="118">
        <f>AV29-MAX(0,IFERROR(INDEX(CADASTRO!$I$4:$I$80,MATCH($A29,CADASTRO!$A$4:$A$80,0)),$B29)-CONFIG!$B$50*(COUNTIF($L29:$R29,"AB")+COUNTIF($L29:$R29,"FE")+COUNTIF($L29:$R29,"LM")))</f>
        <v/>
      </c>
      <c r="AX29" s="117">
        <f>SUMPRODUCT(($S29:$Y29="M")*6+($S29:$Y29="T")*6+($S29:$Y29="D")*12+($S29:$Y29="N")*12+($S29:$Y29="NT")*6+($S29:$Y29="C")*10+($S29:$Y29="A")*8+($S29:$Y29="J")*5+($S29:$Y29="CEP")*4+($S29:$Y29="CP")*6+($S29:$Y29="CRO")*6+($S29:$Y29="M+")*6+($S29:$Y29="T+")*6+($S29:$Y29="D+")*12+($S29:$Y29="N+")*12+($S29:$Y29="Dm+")*12+($S29:$Y29="Dt+")*12+($S29:$Y29="Tm-")*6+($S29:$Y29="Mt-")*6)</f>
        <v/>
      </c>
      <c r="AY29" s="118">
        <f>AX29-MAX(0,IFERROR(INDEX(CADASTRO!$I$4:$I$80,MATCH($A29,CADASTRO!$A$4:$A$80,0)),$B29)-CONFIG!$B$50*(COUNTIF($S29:$Y29,"AB")+COUNTIF($S29:$Y29,"FE")+COUNTIF($S29:$Y29,"LM")))</f>
        <v/>
      </c>
      <c r="AZ29" s="117">
        <f>SUMPRODUCT(($Z29:$AF29="M")*6+($Z29:$AF29="T")*6+($Z29:$AF29="D")*12+($Z29:$AF29="N")*12+($Z29:$AF29="NT")*6+($Z29:$AF29="C")*10+($Z29:$AF29="A")*8+($Z29:$AF29="J")*5+($Z29:$AF29="CEP")*4+($Z29:$AF29="CP")*6+($Z29:$AF29="CRO")*6+($Z29:$AF29="M+")*6+($Z29:$AF29="T+")*6+($Z29:$AF29="D+")*12+($Z29:$AF29="N+")*12+($Z29:$AF29="Dm+")*12+($Z29:$AF29="Dt+")*12+($Z29:$AF29="Tm-")*6+($Z29:$AF29="Mt-")*6)</f>
        <v/>
      </c>
      <c r="BA29" s="118">
        <f>AZ29-MAX(0,IFERROR(INDEX(CADASTRO!$I$4:$I$80,MATCH($A29,CADASTRO!$A$4:$A$80,0)),$B29)-CONFIG!$B$50*(COUNTIF($Z29:$AF29,"AB")+COUNTIF($Z29:$AF29,"FE")+COUNTIF($Z29:$AF29,"LM")))</f>
        <v/>
      </c>
      <c r="BB29" s="117">
        <f>SUMPRODUCT(($AG29:$AM29="M")*6+($AG29:$AM29="T")*6+($AG29:$AM29="D")*12+($AG29:$AM29="N")*12+($AG29:$AM29="NT")*6+($AG29:$AM29="C")*10+($AG29:$AM29="A")*8+($AG29:$AM29="J")*5+($AG29:$AM29="CEP")*4+($AG29:$AM29="CP")*6+($AG29:$AM29="CRO")*6+($AG29:$AM29="M+")*6+($AG29:$AM29="T+")*6+($AG29:$AM29="D+")*12+($AG29:$AM29="N+")*12+($AG29:$AM29="Dm+")*12+($AG29:$AM29="Dt+")*12+($AG29:$AM29="Tm-")*6+($AG29:$AM29="Mt-")*6)</f>
        <v/>
      </c>
      <c r="BC29" s="118">
        <f>BB29-MAX(0,IFERROR(INDEX(CADASTRO!$I$4:$I$80,MATCH($A29,CADASTRO!$A$4:$A$80,0)),$B29)-CONFIG!$B$50*(COUNTIF($AG29:$AM29,"AB")+COUNTIF($AG29:$AM29,"FE")+COUNTIF($AG29:$AM29,"LM")))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36">
        <f>IFERROR(INDEX(ABR!AI$8:AI$73,MATCH($A30,ABR!$A$8:$A$73,0))&amp;"","")</f>
        <v/>
      </c>
      <c r="F30" s="136">
        <f>IFERROR(INDEX(ABR!AJ$8:AJ$73,MATCH($A30,ABR!$A$8:$A$73,0))&amp;"","")</f>
        <v/>
      </c>
      <c r="G30" s="136">
        <f>IFERROR(INDEX(ABR!AK$8:AK$73,MATCH($A30,ABR!$A$8:$A$73,0))&amp;"","")</f>
        <v/>
      </c>
      <c r="H30" s="136">
        <f>IFERROR(INDEX(ABR!AL$8:AL$73,MATCH($A30,ABR!$A$8:$A$73,0))&amp;"","")</f>
        <v/>
      </c>
      <c r="I30" s="114" t="n"/>
      <c r="J30" s="114" t="n"/>
      <c r="K30" s="125" t="inlineStr">
        <is>
          <t>N</t>
        </is>
      </c>
      <c r="L30" s="114" t="n"/>
      <c r="M30" s="114" t="n"/>
      <c r="N30" s="125" t="inlineStr">
        <is>
          <t>N</t>
        </is>
      </c>
      <c r="O30" s="126" t="inlineStr">
        <is>
          <t>T</t>
        </is>
      </c>
      <c r="P30" s="114" t="n"/>
      <c r="Q30" s="114" t="n"/>
      <c r="R30" s="125" t="inlineStr">
        <is>
          <t>N</t>
        </is>
      </c>
      <c r="S30" s="114" t="n"/>
      <c r="T30" s="126" t="inlineStr">
        <is>
          <t>T</t>
        </is>
      </c>
      <c r="U30" s="125" t="inlineStr">
        <is>
          <t>N</t>
        </is>
      </c>
      <c r="V30" s="114" t="n"/>
      <c r="W30" s="125" t="inlineStr">
        <is>
          <t>N</t>
        </is>
      </c>
      <c r="X30" s="114" t="n"/>
      <c r="Y30" s="114" t="n"/>
      <c r="Z30" s="114" t="n"/>
      <c r="AA30" s="114" t="n"/>
      <c r="AB30" s="125" t="inlineStr">
        <is>
          <t>N</t>
        </is>
      </c>
      <c r="AC30" s="126" t="inlineStr">
        <is>
          <t>T</t>
        </is>
      </c>
      <c r="AD30" s="114" t="n"/>
      <c r="AE30" s="114" t="n"/>
      <c r="AF30" s="125" t="inlineStr">
        <is>
          <t>N</t>
        </is>
      </c>
      <c r="AG30" s="114" t="n"/>
      <c r="AH30" s="114" t="n"/>
      <c r="AI30" s="125" t="inlineStr">
        <is>
          <t>N</t>
        </is>
      </c>
      <c r="AJ30" s="114" t="n"/>
      <c r="AK30" s="126" t="inlineStr">
        <is>
          <t>T</t>
        </is>
      </c>
      <c r="AL30" s="114" t="n"/>
      <c r="AM30" s="125" t="inlineStr">
        <is>
          <t>N</t>
        </is>
      </c>
      <c r="AN30" s="100" t="n"/>
      <c r="AO30" s="100" t="n"/>
      <c r="AP30" s="100" t="n"/>
      <c r="AQ30" s="100" t="n"/>
      <c r="AR30" s="100" t="n"/>
      <c r="AS30" s="100" t="n"/>
      <c r="AT30" s="117">
        <f>SUMPRODUCT(($E30:$K30="M")*6+($E30:$K30="T")*6+($E30:$K30="D")*12+($E30:$K30="N")*12+($E30:$K30="NT")*6+($E30:$K30="C")*10+($E30:$K30="A")*8+($E30:$K30="J")*5+($E30:$K30="CEP")*4+($E30:$K30="CP")*6+($E30:$K30="CRO")*6+($E30:$K30="M+")*6+($E30:$K30="T+")*6+($E30:$K30="D+")*12+($E30:$K30="N+")*12+($E30:$K30="Dm+")*12+($E30:$K30="Dt+")*12+($E30:$K30="Tm-")*6+($E30:$K30="Mt-")*6)</f>
        <v/>
      </c>
      <c r="AU30" s="118">
        <f>AT30-MAX(0,IFERROR(INDEX(CADASTRO!$I$4:$I$80,MATCH($A30,CADASTRO!$A$4:$A$80,0)),$B30)-CONFIG!$B$50*(COUNTIF($E30:$K30,"AB")+COUNTIF($E30:$K30,"FE")+COUNTIF($E30:$K30,"LM")))</f>
        <v/>
      </c>
      <c r="AV30" s="117">
        <f>SUMPRODUCT(($L30:$R30="M")*6+($L30:$R30="T")*6+($L30:$R30="D")*12+($L30:$R30="N")*12+($L30:$R30="NT")*6+($L30:$R30="C")*10+($L30:$R30="A")*8+($L30:$R30="J")*5+($L30:$R30="CEP")*4+($L30:$R30="CP")*6+($L30:$R30="CRO")*6+($L30:$R30="M+")*6+($L30:$R30="T+")*6+($L30:$R30="D+")*12+($L30:$R30="N+")*12+($L30:$R30="Dm+")*12+($L30:$R30="Dt+")*12+($L30:$R30="Tm-")*6+($L30:$R30="Mt-")*6)</f>
        <v/>
      </c>
      <c r="AW30" s="118">
        <f>AV30-MAX(0,IFERROR(INDEX(CADASTRO!$I$4:$I$80,MATCH($A30,CADASTRO!$A$4:$A$80,0)),$B30)-CONFIG!$B$50*(COUNTIF($L30:$R30,"AB")+COUNTIF($L30:$R30,"FE")+COUNTIF($L30:$R30,"LM")))</f>
        <v/>
      </c>
      <c r="AX30" s="117">
        <f>SUMPRODUCT(($S30:$Y30="M")*6+($S30:$Y30="T")*6+($S30:$Y30="D")*12+($S30:$Y30="N")*12+($S30:$Y30="NT")*6+($S30:$Y30="C")*10+($S30:$Y30="A")*8+($S30:$Y30="J")*5+($S30:$Y30="CEP")*4+($S30:$Y30="CP")*6+($S30:$Y30="CRO")*6+($S30:$Y30="M+")*6+($S30:$Y30="T+")*6+($S30:$Y30="D+")*12+($S30:$Y30="N+")*12+($S30:$Y30="Dm+")*12+($S30:$Y30="Dt+")*12+($S30:$Y30="Tm-")*6+($S30:$Y30="Mt-")*6)</f>
        <v/>
      </c>
      <c r="AY30" s="118">
        <f>AX30-MAX(0,IFERROR(INDEX(CADASTRO!$I$4:$I$80,MATCH($A30,CADASTRO!$A$4:$A$80,0)),$B30)-CONFIG!$B$50*(COUNTIF($S30:$Y30,"AB")+COUNTIF($S30:$Y30,"FE")+COUNTIF($S30:$Y30,"LM")))</f>
        <v/>
      </c>
      <c r="AZ30" s="117">
        <f>SUMPRODUCT(($Z30:$AF30="M")*6+($Z30:$AF30="T")*6+($Z30:$AF30="D")*12+($Z30:$AF30="N")*12+($Z30:$AF30="NT")*6+($Z30:$AF30="C")*10+($Z30:$AF30="A")*8+($Z30:$AF30="J")*5+($Z30:$AF30="CEP")*4+($Z30:$AF30="CP")*6+($Z30:$AF30="CRO")*6+($Z30:$AF30="M+")*6+($Z30:$AF30="T+")*6+($Z30:$AF30="D+")*12+($Z30:$AF30="N+")*12+($Z30:$AF30="Dm+")*12+($Z30:$AF30="Dt+")*12+($Z30:$AF30="Tm-")*6+($Z30:$AF30="Mt-")*6)</f>
        <v/>
      </c>
      <c r="BA30" s="118">
        <f>AZ30-MAX(0,IFERROR(INDEX(CADASTRO!$I$4:$I$80,MATCH($A30,CADASTRO!$A$4:$A$80,0)),$B30)-CONFIG!$B$50*(COUNTIF($Z30:$AF30,"AB")+COUNTIF($Z30:$AF30,"FE")+COUNTIF($Z30:$AF30,"LM")))</f>
        <v/>
      </c>
      <c r="BB30" s="117">
        <f>SUMPRODUCT(($AG30:$AM30="M")*6+($AG30:$AM30="T")*6+($AG30:$AM30="D")*12+($AG30:$AM30="N")*12+($AG30:$AM30="NT")*6+($AG30:$AM30="C")*10+($AG30:$AM30="A")*8+($AG30:$AM30="J")*5+($AG30:$AM30="CEP")*4+($AG30:$AM30="CP")*6+($AG30:$AM30="CRO")*6+($AG30:$AM30="M+")*6+($AG30:$AM30="T+")*6+($AG30:$AM30="D+")*12+($AG30:$AM30="N+")*12+($AG30:$AM30="Dm+")*12+($AG30:$AM30="Dt+")*12+($AG30:$AM30="Tm-")*6+($AG30:$AM30="Mt-")*6)</f>
        <v/>
      </c>
      <c r="BC30" s="118">
        <f>BB30-MAX(0,IFERROR(INDEX(CADASTRO!$I$4:$I$80,MATCH($A30,CADASTRO!$A$4:$A$80,0)),$B30)-CONFIG!$B$50*(COUNTIF($AG30:$AM30,"AB")+COUNTIF($AG30:$AM30,"FE")+COUNTIF($AG30:$AM30,"LM")))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36">
        <f>IFERROR(INDEX(ABR!AI$8:AI$73,MATCH($A31,ABR!$A$8:$A$73,0))&amp;"","")</f>
        <v/>
      </c>
      <c r="F31" s="136">
        <f>IFERROR(INDEX(ABR!AJ$8:AJ$73,MATCH($A31,ABR!$A$8:$A$73,0))&amp;"","")</f>
        <v/>
      </c>
      <c r="G31" s="136">
        <f>IFERROR(INDEX(ABR!AK$8:AK$73,MATCH($A31,ABR!$A$8:$A$73,0))&amp;"","")</f>
        <v/>
      </c>
      <c r="H31" s="136">
        <f>IFERROR(INDEX(ABR!AL$8:AL$73,MATCH($A31,ABR!$A$8:$A$73,0))&amp;"","")</f>
        <v/>
      </c>
      <c r="I31" s="124" t="inlineStr">
        <is>
          <t>D</t>
        </is>
      </c>
      <c r="J31" s="114" t="n"/>
      <c r="K31" s="114" t="n"/>
      <c r="L31" s="124" t="inlineStr">
        <is>
          <t>D</t>
        </is>
      </c>
      <c r="M31" s="114" t="n"/>
      <c r="N31" s="126" t="inlineStr">
        <is>
          <t>T</t>
        </is>
      </c>
      <c r="O31" s="114" t="n"/>
      <c r="P31" s="114" t="n"/>
      <c r="Q31" s="124" t="inlineStr">
        <is>
          <t>D</t>
        </is>
      </c>
      <c r="R31" s="115" t="inlineStr">
        <is>
          <t>M</t>
        </is>
      </c>
      <c r="S31" s="115" t="inlineStr">
        <is>
          <t>M</t>
        </is>
      </c>
      <c r="T31" s="125" t="inlineStr">
        <is>
          <t>N</t>
        </is>
      </c>
      <c r="U31" s="126" t="inlineStr">
        <is>
          <t>T</t>
        </is>
      </c>
      <c r="V31" s="114" t="n"/>
      <c r="W31" s="124" t="inlineStr">
        <is>
          <t>D</t>
        </is>
      </c>
      <c r="X31" s="114" t="n"/>
      <c r="Y31" s="114" t="n"/>
      <c r="Z31" s="115" t="inlineStr">
        <is>
          <t>M</t>
        </is>
      </c>
      <c r="AA31" s="126" t="inlineStr">
        <is>
          <t>T</t>
        </is>
      </c>
      <c r="AB31" s="125" t="inlineStr">
        <is>
          <t>N</t>
        </is>
      </c>
      <c r="AC31" s="114" t="n"/>
      <c r="AD31" s="114" t="n"/>
      <c r="AE31" s="125" t="inlineStr">
        <is>
          <t>N</t>
        </is>
      </c>
      <c r="AF31" s="114" t="n"/>
      <c r="AG31" s="126" t="inlineStr">
        <is>
          <t>T</t>
        </is>
      </c>
      <c r="AH31" s="125" t="inlineStr">
        <is>
          <t>N</t>
        </is>
      </c>
      <c r="AI31" s="126" t="inlineStr">
        <is>
          <t>T</t>
        </is>
      </c>
      <c r="AJ31" s="114" t="n"/>
      <c r="AK31" s="114" t="n"/>
      <c r="AL31" s="124" t="inlineStr">
        <is>
          <t>D</t>
        </is>
      </c>
      <c r="AM31" s="114" t="n"/>
      <c r="AN31" s="100" t="n"/>
      <c r="AO31" s="100" t="n"/>
      <c r="AP31" s="100" t="n"/>
      <c r="AQ31" s="100" t="n"/>
      <c r="AR31" s="100" t="n"/>
      <c r="AS31" s="100" t="n"/>
      <c r="AT31" s="117">
        <f>SUMPRODUCT(($E31:$K31="M")*6+($E31:$K31="T")*6+($E31:$K31="D")*12+($E31:$K31="N")*12+($E31:$K31="NT")*6+($E31:$K31="C")*10+($E31:$K31="A")*8+($E31:$K31="J")*5+($E31:$K31="CEP")*4+($E31:$K31="CP")*6+($E31:$K31="CRO")*6+($E31:$K31="M+")*6+($E31:$K31="T+")*6+($E31:$K31="D+")*12+($E31:$K31="N+")*12+($E31:$K31="Dm+")*12+($E31:$K31="Dt+")*12+($E31:$K31="Tm-")*6+($E31:$K31="Mt-")*6)</f>
        <v/>
      </c>
      <c r="AU31" s="118">
        <f>AT31-MAX(0,IFERROR(INDEX(CADASTRO!$I$4:$I$80,MATCH($A31,CADASTRO!$A$4:$A$80,0)),$B31)-CONFIG!$B$50*(COUNTIF($E31:$K31,"AB")+COUNTIF($E31:$K31,"FE")+COUNTIF($E31:$K31,"LM")))</f>
        <v/>
      </c>
      <c r="AV31" s="117">
        <f>SUMPRODUCT(($L31:$R31="M")*6+($L31:$R31="T")*6+($L31:$R31="D")*12+($L31:$R31="N")*12+($L31:$R31="NT")*6+($L31:$R31="C")*10+($L31:$R31="A")*8+($L31:$R31="J")*5+($L31:$R31="CEP")*4+($L31:$R31="CP")*6+($L31:$R31="CRO")*6+($L31:$R31="M+")*6+($L31:$R31="T+")*6+($L31:$R31="D+")*12+($L31:$R31="N+")*12+($L31:$R31="Dm+")*12+($L31:$R31="Dt+")*12+($L31:$R31="Tm-")*6+($L31:$R31="Mt-")*6)</f>
        <v/>
      </c>
      <c r="AW31" s="118">
        <f>AV31-MAX(0,IFERROR(INDEX(CADASTRO!$I$4:$I$80,MATCH($A31,CADASTRO!$A$4:$A$80,0)),$B31)-CONFIG!$B$50*(COUNTIF($L31:$R31,"AB")+COUNTIF($L31:$R31,"FE")+COUNTIF($L31:$R31,"LM")))</f>
        <v/>
      </c>
      <c r="AX31" s="117">
        <f>SUMPRODUCT(($S31:$Y31="M")*6+($S31:$Y31="T")*6+($S31:$Y31="D")*12+($S31:$Y31="N")*12+($S31:$Y31="NT")*6+($S31:$Y31="C")*10+($S31:$Y31="A")*8+($S31:$Y31="J")*5+($S31:$Y31="CEP")*4+($S31:$Y31="CP")*6+($S31:$Y31="CRO")*6+($S31:$Y31="M+")*6+($S31:$Y31="T+")*6+($S31:$Y31="D+")*12+($S31:$Y31="N+")*12+($S31:$Y31="Dm+")*12+($S31:$Y31="Dt+")*12+($S31:$Y31="Tm-")*6+($S31:$Y31="Mt-")*6)</f>
        <v/>
      </c>
      <c r="AY31" s="118">
        <f>AX31-MAX(0,IFERROR(INDEX(CADASTRO!$I$4:$I$80,MATCH($A31,CADASTRO!$A$4:$A$80,0)),$B31)-CONFIG!$B$50*(COUNTIF($S31:$Y31,"AB")+COUNTIF($S31:$Y31,"FE")+COUNTIF($S31:$Y31,"LM")))</f>
        <v/>
      </c>
      <c r="AZ31" s="117">
        <f>SUMPRODUCT(($Z31:$AF31="M")*6+($Z31:$AF31="T")*6+($Z31:$AF31="D")*12+($Z31:$AF31="N")*12+($Z31:$AF31="NT")*6+($Z31:$AF31="C")*10+($Z31:$AF31="A")*8+($Z31:$AF31="J")*5+($Z31:$AF31="CEP")*4+($Z31:$AF31="CP")*6+($Z31:$AF31="CRO")*6+($Z31:$AF31="M+")*6+($Z31:$AF31="T+")*6+($Z31:$AF31="D+")*12+($Z31:$AF31="N+")*12+($Z31:$AF31="Dm+")*12+($Z31:$AF31="Dt+")*12+($Z31:$AF31="Tm-")*6+($Z31:$AF31="Mt-")*6)</f>
        <v/>
      </c>
      <c r="BA31" s="118">
        <f>AZ31-MAX(0,IFERROR(INDEX(CADASTRO!$I$4:$I$80,MATCH($A31,CADASTRO!$A$4:$A$80,0)),$B31)-CONFIG!$B$50*(COUNTIF($Z31:$AF31,"AB")+COUNTIF($Z31:$AF31,"FE")+COUNTIF($Z31:$AF31,"LM")))</f>
        <v/>
      </c>
      <c r="BB31" s="117">
        <f>SUMPRODUCT(($AG31:$AM31="M")*6+($AG31:$AM31="T")*6+($AG31:$AM31="D")*12+($AG31:$AM31="N")*12+($AG31:$AM31="NT")*6+($AG31:$AM31="C")*10+($AG31:$AM31="A")*8+($AG31:$AM31="J")*5+($AG31:$AM31="CEP")*4+($AG31:$AM31="CP")*6+($AG31:$AM31="CRO")*6+($AG31:$AM31="M+")*6+($AG31:$AM31="T+")*6+($AG31:$AM31="D+")*12+($AG31:$AM31="N+")*12+($AG31:$AM31="Dm+")*12+($AG31:$AM31="Dt+")*12+($AG31:$AM31="Tm-")*6+($AG31:$AM31="Mt-")*6)</f>
        <v/>
      </c>
      <c r="BC31" s="118">
        <f>BB31-MAX(0,IFERROR(INDEX(CADASTRO!$I$4:$I$80,MATCH($A31,CADASTRO!$A$4:$A$80,0)),$B31)-CONFIG!$B$50*(COUNTIF($AG31:$AM31,"AB")+COUNTIF($AG31:$AM31,"FE")+COUNTIF($AG31:$AM31,"LM")))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36">
        <f>IFERROR(INDEX(ABR!AI$8:AI$73,MATCH($A32,ABR!$A$8:$A$73,0))&amp;"","")</f>
        <v/>
      </c>
      <c r="F32" s="136">
        <f>IFERROR(INDEX(ABR!AJ$8:AJ$73,MATCH($A32,ABR!$A$8:$A$73,0))&amp;"","")</f>
        <v/>
      </c>
      <c r="G32" s="136">
        <f>IFERROR(INDEX(ABR!AK$8:AK$73,MATCH($A32,ABR!$A$8:$A$73,0))&amp;"","")</f>
        <v/>
      </c>
      <c r="H32" s="136">
        <f>IFERROR(INDEX(ABR!AL$8:AL$73,MATCH($A32,ABR!$A$8:$A$73,0))&amp;"","")</f>
        <v/>
      </c>
      <c r="I32" s="124" t="inlineStr">
        <is>
          <t>D</t>
        </is>
      </c>
      <c r="J32" s="115" t="inlineStr">
        <is>
          <t>M</t>
        </is>
      </c>
      <c r="K32" s="115" t="inlineStr">
        <is>
          <t>M</t>
        </is>
      </c>
      <c r="L32" s="124" t="inlineStr">
        <is>
          <t>D</t>
        </is>
      </c>
      <c r="M32" s="114" t="n"/>
      <c r="N32" s="114" t="n"/>
      <c r="O32" s="114" t="n"/>
      <c r="P32" s="115" t="inlineStr">
        <is>
          <t>M</t>
        </is>
      </c>
      <c r="Q32" s="114" t="n"/>
      <c r="R32" s="125" t="inlineStr">
        <is>
          <t>N</t>
        </is>
      </c>
      <c r="S32" s="125" t="inlineStr">
        <is>
          <t>N</t>
        </is>
      </c>
      <c r="T32" s="114" t="n"/>
      <c r="U32" s="114" t="n"/>
      <c r="V32" s="115" t="inlineStr">
        <is>
          <t>M</t>
        </is>
      </c>
      <c r="W32" s="124" t="inlineStr">
        <is>
          <t>D</t>
        </is>
      </c>
      <c r="X32" s="114" t="n"/>
      <c r="Y32" s="114" t="n"/>
      <c r="Z32" s="124" t="inlineStr">
        <is>
          <t>D</t>
        </is>
      </c>
      <c r="AA32" s="114" t="n"/>
      <c r="AB32" s="114" t="n"/>
      <c r="AC32" s="126" t="inlineStr">
        <is>
          <t>T</t>
        </is>
      </c>
      <c r="AD32" s="114" t="n"/>
      <c r="AE32" s="115" t="inlineStr">
        <is>
          <t>M</t>
        </is>
      </c>
      <c r="AF32" s="115" t="inlineStr">
        <is>
          <t>M</t>
        </is>
      </c>
      <c r="AG32" s="125" t="inlineStr">
        <is>
          <t>N</t>
        </is>
      </c>
      <c r="AH32" s="114" t="n"/>
      <c r="AI32" s="114" t="n"/>
      <c r="AJ32" s="126" t="inlineStr">
        <is>
          <t>T</t>
        </is>
      </c>
      <c r="AK32" s="124" t="inlineStr">
        <is>
          <t>D</t>
        </is>
      </c>
      <c r="AL32" s="114" t="n"/>
      <c r="AM32" s="114" t="n"/>
      <c r="AN32" s="100" t="n"/>
      <c r="AO32" s="100" t="n"/>
      <c r="AP32" s="100" t="n"/>
      <c r="AQ32" s="100" t="n"/>
      <c r="AR32" s="100" t="n"/>
      <c r="AS32" s="100" t="n"/>
      <c r="AT32" s="117">
        <f>SUMPRODUCT(($E32:$K32="M")*6+($E32:$K32="T")*6+($E32:$K32="D")*12+($E32:$K32="N")*12+($E32:$K32="NT")*6+($E32:$K32="C")*10+($E32:$K32="A")*8+($E32:$K32="J")*5+($E32:$K32="CEP")*4+($E32:$K32="CP")*6+($E32:$K32="CRO")*6+($E32:$K32="M+")*6+($E32:$K32="T+")*6+($E32:$K32="D+")*12+($E32:$K32="N+")*12+($E32:$K32="Dm+")*12+($E32:$K32="Dt+")*12+($E32:$K32="Tm-")*6+($E32:$K32="Mt-")*6)</f>
        <v/>
      </c>
      <c r="AU32" s="118">
        <f>AT32-MAX(0,IFERROR(INDEX(CADASTRO!$I$4:$I$80,MATCH($A32,CADASTRO!$A$4:$A$80,0)),$B32)-CONFIG!$B$50*(COUNTIF($E32:$K32,"AB")+COUNTIF($E32:$K32,"FE")+COUNTIF($E32:$K32,"LM")))</f>
        <v/>
      </c>
      <c r="AV32" s="117">
        <f>SUMPRODUCT(($L32:$R32="M")*6+($L32:$R32="T")*6+($L32:$R32="D")*12+($L32:$R32="N")*12+($L32:$R32="NT")*6+($L32:$R32="C")*10+($L32:$R32="A")*8+($L32:$R32="J")*5+($L32:$R32="CEP")*4+($L32:$R32="CP")*6+($L32:$R32="CRO")*6+($L32:$R32="M+")*6+($L32:$R32="T+")*6+($L32:$R32="D+")*12+($L32:$R32="N+")*12+($L32:$R32="Dm+")*12+($L32:$R32="Dt+")*12+($L32:$R32="Tm-")*6+($L32:$R32="Mt-")*6)</f>
        <v/>
      </c>
      <c r="AW32" s="118">
        <f>AV32-MAX(0,IFERROR(INDEX(CADASTRO!$I$4:$I$80,MATCH($A32,CADASTRO!$A$4:$A$80,0)),$B32)-CONFIG!$B$50*(COUNTIF($L32:$R32,"AB")+COUNTIF($L32:$R32,"FE")+COUNTIF($L32:$R32,"LM")))</f>
        <v/>
      </c>
      <c r="AX32" s="117">
        <f>SUMPRODUCT(($S32:$Y32="M")*6+($S32:$Y32="T")*6+($S32:$Y32="D")*12+($S32:$Y32="N")*12+($S32:$Y32="NT")*6+($S32:$Y32="C")*10+($S32:$Y32="A")*8+($S32:$Y32="J")*5+($S32:$Y32="CEP")*4+($S32:$Y32="CP")*6+($S32:$Y32="CRO")*6+($S32:$Y32="M+")*6+($S32:$Y32="T+")*6+($S32:$Y32="D+")*12+($S32:$Y32="N+")*12+($S32:$Y32="Dm+")*12+($S32:$Y32="Dt+")*12+($S32:$Y32="Tm-")*6+($S32:$Y32="Mt-")*6)</f>
        <v/>
      </c>
      <c r="AY32" s="118">
        <f>AX32-MAX(0,IFERROR(INDEX(CADASTRO!$I$4:$I$80,MATCH($A32,CADASTRO!$A$4:$A$80,0)),$B32)-CONFIG!$B$50*(COUNTIF($S32:$Y32,"AB")+COUNTIF($S32:$Y32,"FE")+COUNTIF($S32:$Y32,"LM")))</f>
        <v/>
      </c>
      <c r="AZ32" s="117">
        <f>SUMPRODUCT(($Z32:$AF32="M")*6+($Z32:$AF32="T")*6+($Z32:$AF32="D")*12+($Z32:$AF32="N")*12+($Z32:$AF32="NT")*6+($Z32:$AF32="C")*10+($Z32:$AF32="A")*8+($Z32:$AF32="J")*5+($Z32:$AF32="CEP")*4+($Z32:$AF32="CP")*6+($Z32:$AF32="CRO")*6+($Z32:$AF32="M+")*6+($Z32:$AF32="T+")*6+($Z32:$AF32="D+")*12+($Z32:$AF32="N+")*12+($Z32:$AF32="Dm+")*12+($Z32:$AF32="Dt+")*12+($Z32:$AF32="Tm-")*6+($Z32:$AF32="Mt-")*6)</f>
        <v/>
      </c>
      <c r="BA32" s="118">
        <f>AZ32-MAX(0,IFERROR(INDEX(CADASTRO!$I$4:$I$80,MATCH($A32,CADASTRO!$A$4:$A$80,0)),$B32)-CONFIG!$B$50*(COUNTIF($Z32:$AF32,"AB")+COUNTIF($Z32:$AF32,"FE")+COUNTIF($Z32:$AF32,"LM")))</f>
        <v/>
      </c>
      <c r="BB32" s="117">
        <f>SUMPRODUCT(($AG32:$AM32="M")*6+($AG32:$AM32="T")*6+($AG32:$AM32="D")*12+($AG32:$AM32="N")*12+($AG32:$AM32="NT")*6+($AG32:$AM32="C")*10+($AG32:$AM32="A")*8+($AG32:$AM32="J")*5+($AG32:$AM32="CEP")*4+($AG32:$AM32="CP")*6+($AG32:$AM32="CRO")*6+($AG32:$AM32="M+")*6+($AG32:$AM32="T+")*6+($AG32:$AM32="D+")*12+($AG32:$AM32="N+")*12+($AG32:$AM32="Dm+")*12+($AG32:$AM32="Dt+")*12+($AG32:$AM32="Tm-")*6+($AG32:$AM32="Mt-")*6)</f>
        <v/>
      </c>
      <c r="BC32" s="118">
        <f>BB32-MAX(0,IFERROR(INDEX(CADASTRO!$I$4:$I$80,MATCH($A32,CADASTRO!$A$4:$A$80,0)),$B32)-CONFIG!$B$50*(COUNTIF($AG32:$AM32,"AB")+COUNTIF($AG32:$AM32,"FE")+COUNTIF($AG32:$AM32,"LM")))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36">
        <f>IFERROR(INDEX(ABR!AI$8:AI$73,MATCH($A33,ABR!$A$8:$A$73,0))&amp;"","")</f>
        <v/>
      </c>
      <c r="F33" s="136">
        <f>IFERROR(INDEX(ABR!AJ$8:AJ$73,MATCH($A33,ABR!$A$8:$A$73,0))&amp;"","")</f>
        <v/>
      </c>
      <c r="G33" s="136">
        <f>IFERROR(INDEX(ABR!AK$8:AK$73,MATCH($A33,ABR!$A$8:$A$73,0))&amp;"","")</f>
        <v/>
      </c>
      <c r="H33" s="136">
        <f>IFERROR(INDEX(ABR!AL$8:AL$73,MATCH($A33,ABR!$A$8:$A$73,0))&amp;"","")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14" t="n"/>
      <c r="AN33" s="100" t="n"/>
      <c r="AO33" s="100" t="n"/>
      <c r="AP33" s="100" t="n"/>
      <c r="AQ33" s="100" t="n"/>
      <c r="AR33" s="100" t="n"/>
      <c r="AS33" s="100" t="n"/>
      <c r="AT33" s="117">
        <f>SUMPRODUCT(($E33:$K33="M")*6+($E33:$K33="T")*6+($E33:$K33="D")*12+($E33:$K33="N")*12+($E33:$K33="NT")*6+($E33:$K33="C")*10+($E33:$K33="A")*8+($E33:$K33="J")*5+($E33:$K33="CEP")*4+($E33:$K33="CP")*6+($E33:$K33="CRO")*6+($E33:$K33="M+")*6+($E33:$K33="T+")*6+($E33:$K33="D+")*12+($E33:$K33="N+")*12+($E33:$K33="Dm+")*12+($E33:$K33="Dt+")*12+($E33:$K33="Tm-")*6+($E33:$K33="Mt-")*6)</f>
        <v/>
      </c>
      <c r="AU33" s="118">
        <f>AT33-MAX(0,IFERROR(INDEX(CADASTRO!$I$4:$I$80,MATCH($A33,CADASTRO!$A$4:$A$80,0)),$B33)-CONFIG!$B$50*(COUNTIF($E33:$K33,"AB")+COUNTIF($E33:$K33,"FE")+COUNTIF($E33:$K33,"LM")))</f>
        <v/>
      </c>
      <c r="AV33" s="117">
        <f>SUMPRODUCT(($L33:$R33="M")*6+($L33:$R33="T")*6+($L33:$R33="D")*12+($L33:$R33="N")*12+($L33:$R33="NT")*6+($L33:$R33="C")*10+($L33:$R33="A")*8+($L33:$R33="J")*5+($L33:$R33="CEP")*4+($L33:$R33="CP")*6+($L33:$R33="CRO")*6+($L33:$R33="M+")*6+($L33:$R33="T+")*6+($L33:$R33="D+")*12+($L33:$R33="N+")*12+($L33:$R33="Dm+")*12+($L33:$R33="Dt+")*12+($L33:$R33="Tm-")*6+($L33:$R33="Mt-")*6)</f>
        <v/>
      </c>
      <c r="AW33" s="118">
        <f>AV33-MAX(0,IFERROR(INDEX(CADASTRO!$I$4:$I$80,MATCH($A33,CADASTRO!$A$4:$A$80,0)),$B33)-CONFIG!$B$50*(COUNTIF($L33:$R33,"AB")+COUNTIF($L33:$R33,"FE")+COUNTIF($L33:$R33,"LM")))</f>
        <v/>
      </c>
      <c r="AX33" s="117">
        <f>SUMPRODUCT(($S33:$Y33="M")*6+($S33:$Y33="T")*6+($S33:$Y33="D")*12+($S33:$Y33="N")*12+($S33:$Y33="NT")*6+($S33:$Y33="C")*10+($S33:$Y33="A")*8+($S33:$Y33="J")*5+($S33:$Y33="CEP")*4+($S33:$Y33="CP")*6+($S33:$Y33="CRO")*6+($S33:$Y33="M+")*6+($S33:$Y33="T+")*6+($S33:$Y33="D+")*12+($S33:$Y33="N+")*12+($S33:$Y33="Dm+")*12+($S33:$Y33="Dt+")*12+($S33:$Y33="Tm-")*6+($S33:$Y33="Mt-")*6)</f>
        <v/>
      </c>
      <c r="AY33" s="118">
        <f>AX33-MAX(0,IFERROR(INDEX(CADASTRO!$I$4:$I$80,MATCH($A33,CADASTRO!$A$4:$A$80,0)),$B33)-CONFIG!$B$50*(COUNTIF($S33:$Y33,"AB")+COUNTIF($S33:$Y33,"FE")+COUNTIF($S33:$Y33,"LM")))</f>
        <v/>
      </c>
      <c r="AZ33" s="117">
        <f>SUMPRODUCT(($Z33:$AF33="M")*6+($Z33:$AF33="T")*6+($Z33:$AF33="D")*12+($Z33:$AF33="N")*12+($Z33:$AF33="NT")*6+($Z33:$AF33="C")*10+($Z33:$AF33="A")*8+($Z33:$AF33="J")*5+($Z33:$AF33="CEP")*4+($Z33:$AF33="CP")*6+($Z33:$AF33="CRO")*6+($Z33:$AF33="M+")*6+($Z33:$AF33="T+")*6+($Z33:$AF33="D+")*12+($Z33:$AF33="N+")*12+($Z33:$AF33="Dm+")*12+($Z33:$AF33="Dt+")*12+($Z33:$AF33="Tm-")*6+($Z33:$AF33="Mt-")*6)</f>
        <v/>
      </c>
      <c r="BA33" s="118">
        <f>AZ33-MAX(0,IFERROR(INDEX(CADASTRO!$I$4:$I$80,MATCH($A33,CADASTRO!$A$4:$A$80,0)),$B33)-CONFIG!$B$50*(COUNTIF($Z33:$AF33,"AB")+COUNTIF($Z33:$AF33,"FE")+COUNTIF($Z33:$AF33,"LM")))</f>
        <v/>
      </c>
      <c r="BB33" s="117">
        <f>SUMPRODUCT(($AG33:$AM33="M")*6+($AG33:$AM33="T")*6+($AG33:$AM33="D")*12+($AG33:$AM33="N")*12+($AG33:$AM33="NT")*6+($AG33:$AM33="C")*10+($AG33:$AM33="A")*8+($AG33:$AM33="J")*5+($AG33:$AM33="CEP")*4+($AG33:$AM33="CP")*6+($AG33:$AM33="CRO")*6+($AG33:$AM33="M+")*6+($AG33:$AM33="T+")*6+($AG33:$AM33="D+")*12+($AG33:$AM33="N+")*12+($AG33:$AM33="Dm+")*12+($AG33:$AM33="Dt+")*12+($AG33:$AM33="Tm-")*6+($AG33:$AM33="Mt-")*6)</f>
        <v/>
      </c>
      <c r="BC33" s="118">
        <f>BB33-MAX(0,IFERROR(INDEX(CADASTRO!$I$4:$I$80,MATCH($A33,CADASTRO!$A$4:$A$80,0)),$B33)-CONFIG!$B$50*(COUNTIF($AG33:$AM33,"AB")+COUNTIF($AG33:$AM33,"FE")+COUNTIF($AG33:$AM33,"LM")))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36">
        <f>IFERROR(INDEX(ABR!AI$8:AI$73,MATCH($A34,ABR!$A$8:$A$73,0))&amp;"","")</f>
        <v/>
      </c>
      <c r="F34" s="136">
        <f>IFERROR(INDEX(ABR!AJ$8:AJ$73,MATCH($A34,ABR!$A$8:$A$73,0))&amp;"","")</f>
        <v/>
      </c>
      <c r="G34" s="136">
        <f>IFERROR(INDEX(ABR!AK$8:AK$73,MATCH($A34,ABR!$A$8:$A$73,0))&amp;"","")</f>
        <v/>
      </c>
      <c r="H34" s="136">
        <f>IFERROR(INDEX(ABR!AL$8:AL$73,MATCH($A34,ABR!$A$8:$A$73,0))&amp;"","")</f>
        <v/>
      </c>
      <c r="I34" s="115" t="inlineStr">
        <is>
          <t>M</t>
        </is>
      </c>
      <c r="J34" s="114" t="n"/>
      <c r="K34" s="114" t="n"/>
      <c r="L34" s="114" t="n"/>
      <c r="M34" s="124" t="inlineStr">
        <is>
          <t>D</t>
        </is>
      </c>
      <c r="N34" s="114" t="n"/>
      <c r="O34" s="115" t="inlineStr">
        <is>
          <t>M</t>
        </is>
      </c>
      <c r="P34" s="125" t="inlineStr">
        <is>
          <t>N</t>
        </is>
      </c>
      <c r="Q34" s="114" t="n"/>
      <c r="R34" s="114" t="n"/>
      <c r="S34" s="114" t="n"/>
      <c r="T34" s="124" t="inlineStr">
        <is>
          <t>D</t>
        </is>
      </c>
      <c r="U34" s="124" t="inlineStr">
        <is>
          <t>D</t>
        </is>
      </c>
      <c r="V34" s="114" t="n"/>
      <c r="W34" s="115" t="inlineStr">
        <is>
          <t>M</t>
        </is>
      </c>
      <c r="X34" s="114" t="n"/>
      <c r="Y34" s="114" t="n"/>
      <c r="Z34" s="114" t="n"/>
      <c r="AA34" s="114" t="n"/>
      <c r="AB34" s="124" t="inlineStr">
        <is>
          <t>D</t>
        </is>
      </c>
      <c r="AC34" s="114" t="n"/>
      <c r="AD34" s="114" t="n"/>
      <c r="AE34" s="124" t="inlineStr">
        <is>
          <t>D</t>
        </is>
      </c>
      <c r="AF34" s="115" t="inlineStr">
        <is>
          <t>M</t>
        </is>
      </c>
      <c r="AG34" s="114" t="n"/>
      <c r="AH34" s="124" t="inlineStr">
        <is>
          <t>D</t>
        </is>
      </c>
      <c r="AI34" s="115" t="inlineStr">
        <is>
          <t>M</t>
        </is>
      </c>
      <c r="AJ34" s="114" t="n"/>
      <c r="AK34" s="114" t="n"/>
      <c r="AL34" s="124" t="inlineStr">
        <is>
          <t>D</t>
        </is>
      </c>
      <c r="AM34" s="114" t="n"/>
      <c r="AN34" s="100" t="n"/>
      <c r="AO34" s="100" t="n"/>
      <c r="AP34" s="100" t="n"/>
      <c r="AQ34" s="100" t="n"/>
      <c r="AR34" s="100" t="n"/>
      <c r="AS34" s="100" t="n"/>
      <c r="AT34" s="117">
        <f>SUMPRODUCT(($E34:$K34="M")*6+($E34:$K34="T")*6+($E34:$K34="D")*12+($E34:$K34="N")*12+($E34:$K34="NT")*6+($E34:$K34="C")*10+($E34:$K34="A")*8+($E34:$K34="J")*5+($E34:$K34="CEP")*4+($E34:$K34="CP")*6+($E34:$K34="CRO")*6+($E34:$K34="M+")*6+($E34:$K34="T+")*6+($E34:$K34="D+")*12+($E34:$K34="N+")*12+($E34:$K34="Dm+")*12+($E34:$K34="Dt+")*12+($E34:$K34="Tm-")*6+($E34:$K34="Mt-")*6)</f>
        <v/>
      </c>
      <c r="AU34" s="118">
        <f>AT34-MAX(0,IFERROR(INDEX(CADASTRO!$I$4:$I$80,MATCH($A34,CADASTRO!$A$4:$A$80,0)),$B34)-CONFIG!$B$50*(COUNTIF($E34:$K34,"AB")+COUNTIF($E34:$K34,"FE")+COUNTIF($E34:$K34,"LM")))</f>
        <v/>
      </c>
      <c r="AV34" s="117">
        <f>SUMPRODUCT(($L34:$R34="M")*6+($L34:$R34="T")*6+($L34:$R34="D")*12+($L34:$R34="N")*12+($L34:$R34="NT")*6+($L34:$R34="C")*10+($L34:$R34="A")*8+($L34:$R34="J")*5+($L34:$R34="CEP")*4+($L34:$R34="CP")*6+($L34:$R34="CRO")*6+($L34:$R34="M+")*6+($L34:$R34="T+")*6+($L34:$R34="D+")*12+($L34:$R34="N+")*12+($L34:$R34="Dm+")*12+($L34:$R34="Dt+")*12+($L34:$R34="Tm-")*6+($L34:$R34="Mt-")*6)</f>
        <v/>
      </c>
      <c r="AW34" s="118">
        <f>AV34-MAX(0,IFERROR(INDEX(CADASTRO!$I$4:$I$80,MATCH($A34,CADASTRO!$A$4:$A$80,0)),$B34)-CONFIG!$B$50*(COUNTIF($L34:$R34,"AB")+COUNTIF($L34:$R34,"FE")+COUNTIF($L34:$R34,"LM")))</f>
        <v/>
      </c>
      <c r="AX34" s="117">
        <f>SUMPRODUCT(($S34:$Y34="M")*6+($S34:$Y34="T")*6+($S34:$Y34="D")*12+($S34:$Y34="N")*12+($S34:$Y34="NT")*6+($S34:$Y34="C")*10+($S34:$Y34="A")*8+($S34:$Y34="J")*5+($S34:$Y34="CEP")*4+($S34:$Y34="CP")*6+($S34:$Y34="CRO")*6+($S34:$Y34="M+")*6+($S34:$Y34="T+")*6+($S34:$Y34="D+")*12+($S34:$Y34="N+")*12+($S34:$Y34="Dm+")*12+($S34:$Y34="Dt+")*12+($S34:$Y34="Tm-")*6+($S34:$Y34="Mt-")*6)</f>
        <v/>
      </c>
      <c r="AY34" s="118">
        <f>AX34-MAX(0,IFERROR(INDEX(CADASTRO!$I$4:$I$80,MATCH($A34,CADASTRO!$A$4:$A$80,0)),$B34)-CONFIG!$B$50*(COUNTIF($S34:$Y34,"AB")+COUNTIF($S34:$Y34,"FE")+COUNTIF($S34:$Y34,"LM")))</f>
        <v/>
      </c>
      <c r="AZ34" s="117">
        <f>SUMPRODUCT(($Z34:$AF34="M")*6+($Z34:$AF34="T")*6+($Z34:$AF34="D")*12+($Z34:$AF34="N")*12+($Z34:$AF34="NT")*6+($Z34:$AF34="C")*10+($Z34:$AF34="A")*8+($Z34:$AF34="J")*5+($Z34:$AF34="CEP")*4+($Z34:$AF34="CP")*6+($Z34:$AF34="CRO")*6+($Z34:$AF34="M+")*6+($Z34:$AF34="T+")*6+($Z34:$AF34="D+")*12+($Z34:$AF34="N+")*12+($Z34:$AF34="Dm+")*12+($Z34:$AF34="Dt+")*12+($Z34:$AF34="Tm-")*6+($Z34:$AF34="Mt-")*6)</f>
        <v/>
      </c>
      <c r="BA34" s="118">
        <f>AZ34-MAX(0,IFERROR(INDEX(CADASTRO!$I$4:$I$80,MATCH($A34,CADASTRO!$A$4:$A$80,0)),$B34)-CONFIG!$B$50*(COUNTIF($Z34:$AF34,"AB")+COUNTIF($Z34:$AF34,"FE")+COUNTIF($Z34:$AF34,"LM")))</f>
        <v/>
      </c>
      <c r="BB34" s="117">
        <f>SUMPRODUCT(($AG34:$AM34="M")*6+($AG34:$AM34="T")*6+($AG34:$AM34="D")*12+($AG34:$AM34="N")*12+($AG34:$AM34="NT")*6+($AG34:$AM34="C")*10+($AG34:$AM34="A")*8+($AG34:$AM34="J")*5+($AG34:$AM34="CEP")*4+($AG34:$AM34="CP")*6+($AG34:$AM34="CRO")*6+($AG34:$AM34="M+")*6+($AG34:$AM34="T+")*6+($AG34:$AM34="D+")*12+($AG34:$AM34="N+")*12+($AG34:$AM34="Dm+")*12+($AG34:$AM34="Dt+")*12+($AG34:$AM34="Tm-")*6+($AG34:$AM34="Mt-")*6)</f>
        <v/>
      </c>
      <c r="BC34" s="118">
        <f>BB34-MAX(0,IFERROR(INDEX(CADASTRO!$I$4:$I$80,MATCH($A34,CADASTRO!$A$4:$A$80,0)),$B34)-CONFIG!$B$50*(COUNTIF($AG34:$AM34,"AB")+COUNTIF($AG34:$AM34,"FE")+COUNTIF($AG34:$AM34,"LM")))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36">
        <f>IFERROR(INDEX(ABR!AI$8:AI$73,MATCH($A35,ABR!$A$8:$A$73,0))&amp;"","")</f>
        <v/>
      </c>
      <c r="F35" s="136">
        <f>IFERROR(INDEX(ABR!AJ$8:AJ$73,MATCH($A35,ABR!$A$8:$A$73,0))&amp;"","")</f>
        <v/>
      </c>
      <c r="G35" s="136">
        <f>IFERROR(INDEX(ABR!AK$8:AK$73,MATCH($A35,ABR!$A$8:$A$73,0))&amp;"","")</f>
        <v/>
      </c>
      <c r="H35" s="136">
        <f>IFERROR(INDEX(ABR!AL$8:AL$73,MATCH($A35,ABR!$A$8:$A$73,0))&amp;"","")</f>
        <v/>
      </c>
      <c r="I35" s="126" t="inlineStr">
        <is>
          <t>T</t>
        </is>
      </c>
      <c r="J35" s="114" t="n"/>
      <c r="K35" s="114" t="n"/>
      <c r="L35" s="125" t="inlineStr">
        <is>
          <t>N</t>
        </is>
      </c>
      <c r="M35" s="114" t="n"/>
      <c r="N35" s="114" t="n"/>
      <c r="O35" s="114" t="n"/>
      <c r="P35" s="114" t="n"/>
      <c r="Q35" s="126" t="inlineStr">
        <is>
          <t>T</t>
        </is>
      </c>
      <c r="R35" s="124" t="inlineStr">
        <is>
          <t>D</t>
        </is>
      </c>
      <c r="S35" s="125" t="inlineStr">
        <is>
          <t>N</t>
        </is>
      </c>
      <c r="T35" s="114" t="n"/>
      <c r="U35" s="126" t="inlineStr">
        <is>
          <t>T</t>
        </is>
      </c>
      <c r="V35" s="114" t="n"/>
      <c r="W35" s="114" t="n"/>
      <c r="X35" s="114" t="n"/>
      <c r="Y35" s="124" t="inlineStr">
        <is>
          <t>D</t>
        </is>
      </c>
      <c r="Z35" s="114" t="n"/>
      <c r="AA35" s="125" t="inlineStr">
        <is>
          <t>N</t>
        </is>
      </c>
      <c r="AB35" s="125" t="inlineStr">
        <is>
          <t>N</t>
        </is>
      </c>
      <c r="AC35" s="114" t="n"/>
      <c r="AD35" s="114" t="n"/>
      <c r="AE35" s="126" t="inlineStr">
        <is>
          <t>T</t>
        </is>
      </c>
      <c r="AF35" s="114" t="n"/>
      <c r="AG35" s="115" t="inlineStr">
        <is>
          <t>M</t>
        </is>
      </c>
      <c r="AH35" s="124" t="inlineStr">
        <is>
          <t>D</t>
        </is>
      </c>
      <c r="AI35" s="114" t="n"/>
      <c r="AJ35" s="126" t="inlineStr">
        <is>
          <t>T</t>
        </is>
      </c>
      <c r="AK35" s="114" t="n"/>
      <c r="AL35" s="114" t="n"/>
      <c r="AM35" s="114" t="n"/>
      <c r="AN35" s="100" t="n"/>
      <c r="AO35" s="100" t="n"/>
      <c r="AP35" s="100" t="n"/>
      <c r="AQ35" s="100" t="n"/>
      <c r="AR35" s="100" t="n"/>
      <c r="AS35" s="100" t="n"/>
      <c r="AT35" s="117">
        <f>SUMPRODUCT(($E35:$K35="M")*6+($E35:$K35="T")*6+($E35:$K35="D")*12+($E35:$K35="N")*12+($E35:$K35="NT")*6+($E35:$K35="C")*10+($E35:$K35="A")*8+($E35:$K35="J")*5+($E35:$K35="CEP")*4+($E35:$K35="CP")*6+($E35:$K35="CRO")*6+($E35:$K35="M+")*6+($E35:$K35="T+")*6+($E35:$K35="D+")*12+($E35:$K35="N+")*12+($E35:$K35="Dm+")*12+($E35:$K35="Dt+")*12+($E35:$K35="Tm-")*6+($E35:$K35="Mt-")*6)</f>
        <v/>
      </c>
      <c r="AU35" s="118">
        <f>AT35-MAX(0,IFERROR(INDEX(CADASTRO!$I$4:$I$80,MATCH($A35,CADASTRO!$A$4:$A$80,0)),$B35)-CONFIG!$B$50*(COUNTIF($E35:$K35,"AB")+COUNTIF($E35:$K35,"FE")+COUNTIF($E35:$K35,"LM")))</f>
        <v/>
      </c>
      <c r="AV35" s="117">
        <f>SUMPRODUCT(($L35:$R35="M")*6+($L35:$R35="T")*6+($L35:$R35="D")*12+($L35:$R35="N")*12+($L35:$R35="NT")*6+($L35:$R35="C")*10+($L35:$R35="A")*8+($L35:$R35="J")*5+($L35:$R35="CEP")*4+($L35:$R35="CP")*6+($L35:$R35="CRO")*6+($L35:$R35="M+")*6+($L35:$R35="T+")*6+($L35:$R35="D+")*12+($L35:$R35="N+")*12+($L35:$R35="Dm+")*12+($L35:$R35="Dt+")*12+($L35:$R35="Tm-")*6+($L35:$R35="Mt-")*6)</f>
        <v/>
      </c>
      <c r="AW35" s="118">
        <f>AV35-MAX(0,IFERROR(INDEX(CADASTRO!$I$4:$I$80,MATCH($A35,CADASTRO!$A$4:$A$80,0)),$B35)-CONFIG!$B$50*(COUNTIF($L35:$R35,"AB")+COUNTIF($L35:$R35,"FE")+COUNTIF($L35:$R35,"LM")))</f>
        <v/>
      </c>
      <c r="AX35" s="117">
        <f>SUMPRODUCT(($S35:$Y35="M")*6+($S35:$Y35="T")*6+($S35:$Y35="D")*12+($S35:$Y35="N")*12+($S35:$Y35="NT")*6+($S35:$Y35="C")*10+($S35:$Y35="A")*8+($S35:$Y35="J")*5+($S35:$Y35="CEP")*4+($S35:$Y35="CP")*6+($S35:$Y35="CRO")*6+($S35:$Y35="M+")*6+($S35:$Y35="T+")*6+($S35:$Y35="D+")*12+($S35:$Y35="N+")*12+($S35:$Y35="Dm+")*12+($S35:$Y35="Dt+")*12+($S35:$Y35="Tm-")*6+($S35:$Y35="Mt-")*6)</f>
        <v/>
      </c>
      <c r="AY35" s="118">
        <f>AX35-MAX(0,IFERROR(INDEX(CADASTRO!$I$4:$I$80,MATCH($A35,CADASTRO!$A$4:$A$80,0)),$B35)-CONFIG!$B$50*(COUNTIF($S35:$Y35,"AB")+COUNTIF($S35:$Y35,"FE")+COUNTIF($S35:$Y35,"LM")))</f>
        <v/>
      </c>
      <c r="AZ35" s="117">
        <f>SUMPRODUCT(($Z35:$AF35="M")*6+($Z35:$AF35="T")*6+($Z35:$AF35="D")*12+($Z35:$AF35="N")*12+($Z35:$AF35="NT")*6+($Z35:$AF35="C")*10+($Z35:$AF35="A")*8+($Z35:$AF35="J")*5+($Z35:$AF35="CEP")*4+($Z35:$AF35="CP")*6+($Z35:$AF35="CRO")*6+($Z35:$AF35="M+")*6+($Z35:$AF35="T+")*6+($Z35:$AF35="D+")*12+($Z35:$AF35="N+")*12+($Z35:$AF35="Dm+")*12+($Z35:$AF35="Dt+")*12+($Z35:$AF35="Tm-")*6+($Z35:$AF35="Mt-")*6)</f>
        <v/>
      </c>
      <c r="BA35" s="118">
        <f>AZ35-MAX(0,IFERROR(INDEX(CADASTRO!$I$4:$I$80,MATCH($A35,CADASTRO!$A$4:$A$80,0)),$B35)-CONFIG!$B$50*(COUNTIF($Z35:$AF35,"AB")+COUNTIF($Z35:$AF35,"FE")+COUNTIF($Z35:$AF35,"LM")))</f>
        <v/>
      </c>
      <c r="BB35" s="117">
        <f>SUMPRODUCT(($AG35:$AM35="M")*6+($AG35:$AM35="T")*6+($AG35:$AM35="D")*12+($AG35:$AM35="N")*12+($AG35:$AM35="NT")*6+($AG35:$AM35="C")*10+($AG35:$AM35="A")*8+($AG35:$AM35="J")*5+($AG35:$AM35="CEP")*4+($AG35:$AM35="CP")*6+($AG35:$AM35="CRO")*6+($AG35:$AM35="M+")*6+($AG35:$AM35="T+")*6+($AG35:$AM35="D+")*12+($AG35:$AM35="N+")*12+($AG35:$AM35="Dm+")*12+($AG35:$AM35="Dt+")*12+($AG35:$AM35="Tm-")*6+($AG35:$AM35="Mt-")*6)</f>
        <v/>
      </c>
      <c r="BC35" s="118">
        <f>BB35-MAX(0,IFERROR(INDEX(CADASTRO!$I$4:$I$80,MATCH($A35,CADASTRO!$A$4:$A$80,0)),$B35)-CONFIG!$B$50*(COUNTIF($AG35:$AM35,"AB")+COUNTIF($AG35:$AM35,"FE")+COUNTIF($AG35:$AM35,"LM")))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36">
        <f>IFERROR(INDEX(ABR!AI$8:AI$73,MATCH($A36,ABR!$A$8:$A$73,0))&amp;"","")</f>
        <v/>
      </c>
      <c r="F36" s="136">
        <f>IFERROR(INDEX(ABR!AJ$8:AJ$73,MATCH($A36,ABR!$A$8:$A$73,0))&amp;"","")</f>
        <v/>
      </c>
      <c r="G36" s="136">
        <f>IFERROR(INDEX(ABR!AK$8:AK$73,MATCH($A36,ABR!$A$8:$A$73,0))&amp;"","")</f>
        <v/>
      </c>
      <c r="H36" s="136">
        <f>IFERROR(INDEX(ABR!AL$8:AL$73,MATCH($A36,ABR!$A$8:$A$73,0))&amp;"","")</f>
        <v/>
      </c>
      <c r="I36" s="125" t="inlineStr">
        <is>
          <t>N</t>
        </is>
      </c>
      <c r="J36" s="114" t="n"/>
      <c r="K36" s="124" t="inlineStr">
        <is>
          <t>D</t>
        </is>
      </c>
      <c r="L36" s="114" t="n"/>
      <c r="M36" s="125" t="inlineStr">
        <is>
          <t>N</t>
        </is>
      </c>
      <c r="N36" s="114" t="n"/>
      <c r="O36" s="126" t="inlineStr">
        <is>
          <t>T</t>
        </is>
      </c>
      <c r="P36" s="124" t="inlineStr">
        <is>
          <t>D</t>
        </is>
      </c>
      <c r="Q36" s="114" t="n"/>
      <c r="R36" s="114" t="n"/>
      <c r="S36" s="114" t="n"/>
      <c r="T36" s="125" t="inlineStr">
        <is>
          <t>N</t>
        </is>
      </c>
      <c r="U36" s="114" t="n"/>
      <c r="V36" s="126" t="inlineStr">
        <is>
          <t>T</t>
        </is>
      </c>
      <c r="W36" s="114" t="n"/>
      <c r="X36" s="124" t="inlineStr">
        <is>
          <t>D</t>
        </is>
      </c>
      <c r="Y36" s="114" t="n"/>
      <c r="Z36" s="125" t="inlineStr">
        <is>
          <t>N</t>
        </is>
      </c>
      <c r="AA36" s="114" t="n"/>
      <c r="AB36" s="114" t="n"/>
      <c r="AC36" s="114" t="n"/>
      <c r="AD36" s="126" t="inlineStr">
        <is>
          <t>T</t>
        </is>
      </c>
      <c r="AE36" s="114" t="n"/>
      <c r="AF36" s="125" t="inlineStr">
        <is>
          <t>N</t>
        </is>
      </c>
      <c r="AG36" s="114" t="n"/>
      <c r="AH36" s="125" t="inlineStr">
        <is>
          <t>N</t>
        </is>
      </c>
      <c r="AI36" s="114" t="n"/>
      <c r="AJ36" s="115" t="inlineStr">
        <is>
          <t>M</t>
        </is>
      </c>
      <c r="AK36" s="125" t="inlineStr">
        <is>
          <t>N</t>
        </is>
      </c>
      <c r="AL36" s="114" t="n"/>
      <c r="AM36" s="114" t="n"/>
      <c r="AN36" s="100" t="n"/>
      <c r="AO36" s="100" t="n"/>
      <c r="AP36" s="100" t="n"/>
      <c r="AQ36" s="100" t="n"/>
      <c r="AR36" s="100" t="n"/>
      <c r="AS36" s="100" t="n"/>
      <c r="AT36" s="117">
        <f>SUMPRODUCT(($E36:$K36="M")*6+($E36:$K36="T")*6+($E36:$K36="D")*12+($E36:$K36="N")*12+($E36:$K36="NT")*6+($E36:$K36="C")*10+($E36:$K36="A")*8+($E36:$K36="J")*5+($E36:$K36="CEP")*4+($E36:$K36="CP")*6+($E36:$K36="CRO")*6+($E36:$K36="M+")*6+($E36:$K36="T+")*6+($E36:$K36="D+")*12+($E36:$K36="N+")*12+($E36:$K36="Dm+")*12+($E36:$K36="Dt+")*12+($E36:$K36="Tm-")*6+($E36:$K36="Mt-")*6)</f>
        <v/>
      </c>
      <c r="AU36" s="118">
        <f>AT36-MAX(0,IFERROR(INDEX(CADASTRO!$I$4:$I$80,MATCH($A36,CADASTRO!$A$4:$A$80,0)),$B36)-CONFIG!$B$50*(COUNTIF($E36:$K36,"AB")+COUNTIF($E36:$K36,"FE")+COUNTIF($E36:$K36,"LM")))</f>
        <v/>
      </c>
      <c r="AV36" s="117">
        <f>SUMPRODUCT(($L36:$R36="M")*6+($L36:$R36="T")*6+($L36:$R36="D")*12+($L36:$R36="N")*12+($L36:$R36="NT")*6+($L36:$R36="C")*10+($L36:$R36="A")*8+($L36:$R36="J")*5+($L36:$R36="CEP")*4+($L36:$R36="CP")*6+($L36:$R36="CRO")*6+($L36:$R36="M+")*6+($L36:$R36="T+")*6+($L36:$R36="D+")*12+($L36:$R36="N+")*12+($L36:$R36="Dm+")*12+($L36:$R36="Dt+")*12+($L36:$R36="Tm-")*6+($L36:$R36="Mt-")*6)</f>
        <v/>
      </c>
      <c r="AW36" s="118">
        <f>AV36-MAX(0,IFERROR(INDEX(CADASTRO!$I$4:$I$80,MATCH($A36,CADASTRO!$A$4:$A$80,0)),$B36)-CONFIG!$B$50*(COUNTIF($L36:$R36,"AB")+COUNTIF($L36:$R36,"FE")+COUNTIF($L36:$R36,"LM")))</f>
        <v/>
      </c>
      <c r="AX36" s="117">
        <f>SUMPRODUCT(($S36:$Y36="M")*6+($S36:$Y36="T")*6+($S36:$Y36="D")*12+($S36:$Y36="N")*12+($S36:$Y36="NT")*6+($S36:$Y36="C")*10+($S36:$Y36="A")*8+($S36:$Y36="J")*5+($S36:$Y36="CEP")*4+($S36:$Y36="CP")*6+($S36:$Y36="CRO")*6+($S36:$Y36="M+")*6+($S36:$Y36="T+")*6+($S36:$Y36="D+")*12+($S36:$Y36="N+")*12+($S36:$Y36="Dm+")*12+($S36:$Y36="Dt+")*12+($S36:$Y36="Tm-")*6+($S36:$Y36="Mt-")*6)</f>
        <v/>
      </c>
      <c r="AY36" s="118">
        <f>AX36-MAX(0,IFERROR(INDEX(CADASTRO!$I$4:$I$80,MATCH($A36,CADASTRO!$A$4:$A$80,0)),$B36)-CONFIG!$B$50*(COUNTIF($S36:$Y36,"AB")+COUNTIF($S36:$Y36,"FE")+COUNTIF($S36:$Y36,"LM")))</f>
        <v/>
      </c>
      <c r="AZ36" s="117">
        <f>SUMPRODUCT(($Z36:$AF36="M")*6+($Z36:$AF36="T")*6+($Z36:$AF36="D")*12+($Z36:$AF36="N")*12+($Z36:$AF36="NT")*6+($Z36:$AF36="C")*10+($Z36:$AF36="A")*8+($Z36:$AF36="J")*5+($Z36:$AF36="CEP")*4+($Z36:$AF36="CP")*6+($Z36:$AF36="CRO")*6+($Z36:$AF36="M+")*6+($Z36:$AF36="T+")*6+($Z36:$AF36="D+")*12+($Z36:$AF36="N+")*12+($Z36:$AF36="Dm+")*12+($Z36:$AF36="Dt+")*12+($Z36:$AF36="Tm-")*6+($Z36:$AF36="Mt-")*6)</f>
        <v/>
      </c>
      <c r="BA36" s="118">
        <f>AZ36-MAX(0,IFERROR(INDEX(CADASTRO!$I$4:$I$80,MATCH($A36,CADASTRO!$A$4:$A$80,0)),$B36)-CONFIG!$B$50*(COUNTIF($Z36:$AF36,"AB")+COUNTIF($Z36:$AF36,"FE")+COUNTIF($Z36:$AF36,"LM")))</f>
        <v/>
      </c>
      <c r="BB36" s="117">
        <f>SUMPRODUCT(($AG36:$AM36="M")*6+($AG36:$AM36="T")*6+($AG36:$AM36="D")*12+($AG36:$AM36="N")*12+($AG36:$AM36="NT")*6+($AG36:$AM36="C")*10+($AG36:$AM36="A")*8+($AG36:$AM36="J")*5+($AG36:$AM36="CEP")*4+($AG36:$AM36="CP")*6+($AG36:$AM36="CRO")*6+($AG36:$AM36="M+")*6+($AG36:$AM36="T+")*6+($AG36:$AM36="D+")*12+($AG36:$AM36="N+")*12+($AG36:$AM36="Dm+")*12+($AG36:$AM36="Dt+")*12+($AG36:$AM36="Tm-")*6+($AG36:$AM36="Mt-")*6)</f>
        <v/>
      </c>
      <c r="BC36" s="118">
        <f>BB36-MAX(0,IFERROR(INDEX(CADASTRO!$I$4:$I$80,MATCH($A36,CADASTRO!$A$4:$A$80,0)),$B36)-CONFIG!$B$50*(COUNTIF($AG36:$AM36,"AB")+COUNTIF($AG36:$AM36,"FE")+COUNTIF($AG36:$AM36,"LM")))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36">
        <f>IFERROR(INDEX(ABR!AI$8:AI$73,MATCH($A37,ABR!$A$8:$A$73,0))&amp;"","")</f>
        <v/>
      </c>
      <c r="F37" s="136">
        <f>IFERROR(INDEX(ABR!AJ$8:AJ$73,MATCH($A37,ABR!$A$8:$A$73,0))&amp;"","")</f>
        <v/>
      </c>
      <c r="G37" s="136">
        <f>IFERROR(INDEX(ABR!AK$8:AK$73,MATCH($A37,ABR!$A$8:$A$73,0))&amp;"","")</f>
        <v/>
      </c>
      <c r="H37" s="136">
        <f>IFERROR(INDEX(ABR!AL$8:AL$73,MATCH($A37,ABR!$A$8:$A$73,0))&amp;"","")</f>
        <v/>
      </c>
      <c r="I37" s="114" t="n"/>
      <c r="J37" s="114" t="n"/>
      <c r="K37" s="114" t="n"/>
      <c r="L37" s="114" t="n"/>
      <c r="M37" s="114" t="n"/>
      <c r="N37" s="125" t="inlineStr">
        <is>
          <t>N</t>
        </is>
      </c>
      <c r="O37" s="114" t="n"/>
      <c r="P37" s="115" t="inlineStr">
        <is>
          <t>M</t>
        </is>
      </c>
      <c r="Q37" s="125" t="inlineStr">
        <is>
          <t>N</t>
        </is>
      </c>
      <c r="R37" s="114" t="n"/>
      <c r="S37" s="115" t="inlineStr">
        <is>
          <t>M</t>
        </is>
      </c>
      <c r="T37" s="114" t="n"/>
      <c r="U37" s="114" t="n"/>
      <c r="V37" s="114" t="n"/>
      <c r="W37" s="125" t="inlineStr">
        <is>
          <t>N</t>
        </is>
      </c>
      <c r="X37" s="114" t="n"/>
      <c r="Y37" s="125" t="inlineStr">
        <is>
          <t>N</t>
        </is>
      </c>
      <c r="Z37" s="114" t="n"/>
      <c r="AA37" s="115" t="inlineStr">
        <is>
          <t>M</t>
        </is>
      </c>
      <c r="AB37" s="115" t="inlineStr">
        <is>
          <t>M</t>
        </is>
      </c>
      <c r="AC37" s="114" t="n"/>
      <c r="AD37" s="115" t="inlineStr">
        <is>
          <t>M</t>
        </is>
      </c>
      <c r="AE37" s="114" t="n"/>
      <c r="AF37" s="125" t="inlineStr">
        <is>
          <t>N</t>
        </is>
      </c>
      <c r="AG37" s="115" t="inlineStr">
        <is>
          <t>M</t>
        </is>
      </c>
      <c r="AH37" s="125" t="inlineStr">
        <is>
          <t>N</t>
        </is>
      </c>
      <c r="AI37" s="114" t="n"/>
      <c r="AJ37" s="125" t="inlineStr">
        <is>
          <t>N</t>
        </is>
      </c>
      <c r="AK37" s="114" t="n"/>
      <c r="AL37" s="114" t="n"/>
      <c r="AM37" s="114" t="n"/>
      <c r="AN37" s="100" t="n"/>
      <c r="AO37" s="100" t="n"/>
      <c r="AP37" s="100" t="n"/>
      <c r="AQ37" s="100" t="n"/>
      <c r="AR37" s="100" t="n"/>
      <c r="AS37" s="100" t="n"/>
      <c r="AT37" s="117">
        <f>SUMPRODUCT(($E37:$K37="M")*6+($E37:$K37="T")*6+($E37:$K37="D")*12+($E37:$K37="N")*12+($E37:$K37="NT")*6+($E37:$K37="C")*10+($E37:$K37="A")*8+($E37:$K37="J")*5+($E37:$K37="CEP")*4+($E37:$K37="CP")*6+($E37:$K37="CRO")*6+($E37:$K37="M+")*6+($E37:$K37="T+")*6+($E37:$K37="D+")*12+($E37:$K37="N+")*12+($E37:$K37="Dm+")*12+($E37:$K37="Dt+")*12+($E37:$K37="Tm-")*6+($E37:$K37="Mt-")*6)</f>
        <v/>
      </c>
      <c r="AU37" s="118">
        <f>AT37-MAX(0,IFERROR(INDEX(CADASTRO!$I$4:$I$80,MATCH($A37,CADASTRO!$A$4:$A$80,0)),$B37)-CONFIG!$B$50*(COUNTIF($E37:$K37,"AB")+COUNTIF($E37:$K37,"FE")+COUNTIF($E37:$K37,"LM")))</f>
        <v/>
      </c>
      <c r="AV37" s="117">
        <f>SUMPRODUCT(($L37:$R37="M")*6+($L37:$R37="T")*6+($L37:$R37="D")*12+($L37:$R37="N")*12+($L37:$R37="NT")*6+($L37:$R37="C")*10+($L37:$R37="A")*8+($L37:$R37="J")*5+($L37:$R37="CEP")*4+($L37:$R37="CP")*6+($L37:$R37="CRO")*6+($L37:$R37="M+")*6+($L37:$R37="T+")*6+($L37:$R37="D+")*12+($L37:$R37="N+")*12+($L37:$R37="Dm+")*12+($L37:$R37="Dt+")*12+($L37:$R37="Tm-")*6+($L37:$R37="Mt-")*6)</f>
        <v/>
      </c>
      <c r="AW37" s="118">
        <f>AV37-MAX(0,IFERROR(INDEX(CADASTRO!$I$4:$I$80,MATCH($A37,CADASTRO!$A$4:$A$80,0)),$B37)-CONFIG!$B$50*(COUNTIF($L37:$R37,"AB")+COUNTIF($L37:$R37,"FE")+COUNTIF($L37:$R37,"LM")))</f>
        <v/>
      </c>
      <c r="AX37" s="117">
        <f>SUMPRODUCT(($S37:$Y37="M")*6+($S37:$Y37="T")*6+($S37:$Y37="D")*12+($S37:$Y37="N")*12+($S37:$Y37="NT")*6+($S37:$Y37="C")*10+($S37:$Y37="A")*8+($S37:$Y37="J")*5+($S37:$Y37="CEP")*4+($S37:$Y37="CP")*6+($S37:$Y37="CRO")*6+($S37:$Y37="M+")*6+($S37:$Y37="T+")*6+($S37:$Y37="D+")*12+($S37:$Y37="N+")*12+($S37:$Y37="Dm+")*12+($S37:$Y37="Dt+")*12+($S37:$Y37="Tm-")*6+($S37:$Y37="Mt-")*6)</f>
        <v/>
      </c>
      <c r="AY37" s="118">
        <f>AX37-MAX(0,IFERROR(INDEX(CADASTRO!$I$4:$I$80,MATCH($A37,CADASTRO!$A$4:$A$80,0)),$B37)-CONFIG!$B$50*(COUNTIF($S37:$Y37,"AB")+COUNTIF($S37:$Y37,"FE")+COUNTIF($S37:$Y37,"LM")))</f>
        <v/>
      </c>
      <c r="AZ37" s="117">
        <f>SUMPRODUCT(($Z37:$AF37="M")*6+($Z37:$AF37="T")*6+($Z37:$AF37="D")*12+($Z37:$AF37="N")*12+($Z37:$AF37="NT")*6+($Z37:$AF37="C")*10+($Z37:$AF37="A")*8+($Z37:$AF37="J")*5+($Z37:$AF37="CEP")*4+($Z37:$AF37="CP")*6+($Z37:$AF37="CRO")*6+($Z37:$AF37="M+")*6+($Z37:$AF37="T+")*6+($Z37:$AF37="D+")*12+($Z37:$AF37="N+")*12+($Z37:$AF37="Dm+")*12+($Z37:$AF37="Dt+")*12+($Z37:$AF37="Tm-")*6+($Z37:$AF37="Mt-")*6)</f>
        <v/>
      </c>
      <c r="BA37" s="118">
        <f>AZ37-MAX(0,IFERROR(INDEX(CADASTRO!$I$4:$I$80,MATCH($A37,CADASTRO!$A$4:$A$80,0)),$B37)-CONFIG!$B$50*(COUNTIF($Z37:$AF37,"AB")+COUNTIF($Z37:$AF37,"FE")+COUNTIF($Z37:$AF37,"LM")))</f>
        <v/>
      </c>
      <c r="BB37" s="117">
        <f>SUMPRODUCT(($AG37:$AM37="M")*6+($AG37:$AM37="T")*6+($AG37:$AM37="D")*12+($AG37:$AM37="N")*12+($AG37:$AM37="NT")*6+($AG37:$AM37="C")*10+($AG37:$AM37="A")*8+($AG37:$AM37="J")*5+($AG37:$AM37="CEP")*4+($AG37:$AM37="CP")*6+($AG37:$AM37="CRO")*6+($AG37:$AM37="M+")*6+($AG37:$AM37="T+")*6+($AG37:$AM37="D+")*12+($AG37:$AM37="N+")*12+($AG37:$AM37="Dm+")*12+($AG37:$AM37="Dt+")*12+($AG37:$AM37="Tm-")*6+($AG37:$AM37="Mt-")*6)</f>
        <v/>
      </c>
      <c r="BC37" s="118">
        <f>BB37-MAX(0,IFERROR(INDEX(CADASTRO!$I$4:$I$80,MATCH($A37,CADASTRO!$A$4:$A$80,0)),$B37)-CONFIG!$B$50*(COUNTIF($AG37:$AM37,"AB")+COUNTIF($AG37:$AM37,"FE")+COUNTIF($AG37:$AM37,"LM")))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36">
        <f>IFERROR(INDEX(ABR!AI$8:AI$73,MATCH($A38,ABR!$A$8:$A$73,0))&amp;"","")</f>
        <v/>
      </c>
      <c r="F38" s="136">
        <f>IFERROR(INDEX(ABR!AJ$8:AJ$73,MATCH($A38,ABR!$A$8:$A$73,0))&amp;"","")</f>
        <v/>
      </c>
      <c r="G38" s="136">
        <f>IFERROR(INDEX(ABR!AK$8:AK$73,MATCH($A38,ABR!$A$8:$A$73,0))&amp;"","")</f>
        <v/>
      </c>
      <c r="H38" s="136">
        <f>IFERROR(INDEX(ABR!AL$8:AL$73,MATCH($A38,ABR!$A$8:$A$73,0))&amp;"","")</f>
        <v/>
      </c>
      <c r="I38" s="114" t="n"/>
      <c r="J38" s="114" t="n"/>
      <c r="K38" s="114" t="n"/>
      <c r="L38" s="114" t="n"/>
      <c r="M38" s="114" t="n"/>
      <c r="N38" s="114" t="n"/>
      <c r="O38" s="115" t="inlineStr">
        <is>
          <t>M</t>
        </is>
      </c>
      <c r="P38" s="114" t="n"/>
      <c r="Q38" s="125" t="inlineStr">
        <is>
          <t>N</t>
        </is>
      </c>
      <c r="R38" s="114" t="n"/>
      <c r="S38" s="114" t="n"/>
      <c r="T38" s="126" t="inlineStr">
        <is>
          <t>T</t>
        </is>
      </c>
      <c r="U38" s="114" t="n"/>
      <c r="V38" s="114" t="n"/>
      <c r="W38" s="125" t="inlineStr">
        <is>
          <t>N</t>
        </is>
      </c>
      <c r="X38" s="114" t="n"/>
      <c r="Y38" s="114" t="n"/>
      <c r="Z38" s="115" t="inlineStr">
        <is>
          <t>M</t>
        </is>
      </c>
      <c r="AA38" s="114" t="n"/>
      <c r="AB38" s="114" t="n"/>
      <c r="AC38" s="125" t="inlineStr">
        <is>
          <t>N</t>
        </is>
      </c>
      <c r="AD38" s="114" t="n"/>
      <c r="AE38" s="114" t="n"/>
      <c r="AF38" s="114" t="n"/>
      <c r="AG38" s="126" t="inlineStr">
        <is>
          <t>T</t>
        </is>
      </c>
      <c r="AH38" s="114" t="n"/>
      <c r="AI38" s="114" t="n"/>
      <c r="AJ38" s="114" t="n"/>
      <c r="AK38" s="114" t="n"/>
      <c r="AL38" s="114" t="n"/>
      <c r="AM38" s="114" t="n"/>
      <c r="AN38" s="100" t="n"/>
      <c r="AO38" s="100" t="n"/>
      <c r="AP38" s="100" t="n"/>
      <c r="AQ38" s="100" t="n"/>
      <c r="AR38" s="100" t="n"/>
      <c r="AS38" s="100" t="n"/>
      <c r="AT38" s="117">
        <f>SUMPRODUCT(($E38:$K38="M")*6+($E38:$K38="T")*6+($E38:$K38="D")*12+($E38:$K38="N")*12+($E38:$K38="NT")*6+($E38:$K38="C")*10+($E38:$K38="A")*8+($E38:$K38="J")*5+($E38:$K38="CEP")*4+($E38:$K38="CP")*6+($E38:$K38="CRO")*6+($E38:$K38="M+")*6+($E38:$K38="T+")*6+($E38:$K38="D+")*12+($E38:$K38="N+")*12+($E38:$K38="Dm+")*12+($E38:$K38="Dt+")*12+($E38:$K38="Tm-")*6+($E38:$K38="Mt-")*6)</f>
        <v/>
      </c>
      <c r="AU38" s="118">
        <f>AT38-MAX(0,IFERROR(INDEX(CADASTRO!$I$4:$I$80,MATCH($A38,CADASTRO!$A$4:$A$80,0)),$B38)-CONFIG!$B$50*(COUNTIF($E38:$K38,"AB")+COUNTIF($E38:$K38,"FE")+COUNTIF($E38:$K38,"LM")))</f>
        <v/>
      </c>
      <c r="AV38" s="117">
        <f>SUMPRODUCT(($L38:$R38="M")*6+($L38:$R38="T")*6+($L38:$R38="D")*12+($L38:$R38="N")*12+($L38:$R38="NT")*6+($L38:$R38="C")*10+($L38:$R38="A")*8+($L38:$R38="J")*5+($L38:$R38="CEP")*4+($L38:$R38="CP")*6+($L38:$R38="CRO")*6+($L38:$R38="M+")*6+($L38:$R38="T+")*6+($L38:$R38="D+")*12+($L38:$R38="N+")*12+($L38:$R38="Dm+")*12+($L38:$R38="Dt+")*12+($L38:$R38="Tm-")*6+($L38:$R38="Mt-")*6)</f>
        <v/>
      </c>
      <c r="AW38" s="118">
        <f>AV38-MAX(0,IFERROR(INDEX(CADASTRO!$I$4:$I$80,MATCH($A38,CADASTRO!$A$4:$A$80,0)),$B38)-CONFIG!$B$50*(COUNTIF($L38:$R38,"AB")+COUNTIF($L38:$R38,"FE")+COUNTIF($L38:$R38,"LM")))</f>
        <v/>
      </c>
      <c r="AX38" s="117">
        <f>SUMPRODUCT(($S38:$Y38="M")*6+($S38:$Y38="T")*6+($S38:$Y38="D")*12+($S38:$Y38="N")*12+($S38:$Y38="NT")*6+($S38:$Y38="C")*10+($S38:$Y38="A")*8+($S38:$Y38="J")*5+($S38:$Y38="CEP")*4+($S38:$Y38="CP")*6+($S38:$Y38="CRO")*6+($S38:$Y38="M+")*6+($S38:$Y38="T+")*6+($S38:$Y38="D+")*12+($S38:$Y38="N+")*12+($S38:$Y38="Dm+")*12+($S38:$Y38="Dt+")*12+($S38:$Y38="Tm-")*6+($S38:$Y38="Mt-")*6)</f>
        <v/>
      </c>
      <c r="AY38" s="118">
        <f>AX38-MAX(0,IFERROR(INDEX(CADASTRO!$I$4:$I$80,MATCH($A38,CADASTRO!$A$4:$A$80,0)),$B38)-CONFIG!$B$50*(COUNTIF($S38:$Y38,"AB")+COUNTIF($S38:$Y38,"FE")+COUNTIF($S38:$Y38,"LM")))</f>
        <v/>
      </c>
      <c r="AZ38" s="117">
        <f>SUMPRODUCT(($Z38:$AF38="M")*6+($Z38:$AF38="T")*6+($Z38:$AF38="D")*12+($Z38:$AF38="N")*12+($Z38:$AF38="NT")*6+($Z38:$AF38="C")*10+($Z38:$AF38="A")*8+($Z38:$AF38="J")*5+($Z38:$AF38="CEP")*4+($Z38:$AF38="CP")*6+($Z38:$AF38="CRO")*6+($Z38:$AF38="M+")*6+($Z38:$AF38="T+")*6+($Z38:$AF38="D+")*12+($Z38:$AF38="N+")*12+($Z38:$AF38="Dm+")*12+($Z38:$AF38="Dt+")*12+($Z38:$AF38="Tm-")*6+($Z38:$AF38="Mt-")*6)</f>
        <v/>
      </c>
      <c r="BA38" s="118">
        <f>AZ38-MAX(0,IFERROR(INDEX(CADASTRO!$I$4:$I$80,MATCH($A38,CADASTRO!$A$4:$A$80,0)),$B38)-CONFIG!$B$50*(COUNTIF($Z38:$AF38,"AB")+COUNTIF($Z38:$AF38,"FE")+COUNTIF($Z38:$AF38,"LM")))</f>
        <v/>
      </c>
      <c r="BB38" s="117">
        <f>SUMPRODUCT(($AG38:$AM38="M")*6+($AG38:$AM38="T")*6+($AG38:$AM38="D")*12+($AG38:$AM38="N")*12+($AG38:$AM38="NT")*6+($AG38:$AM38="C")*10+($AG38:$AM38="A")*8+($AG38:$AM38="J")*5+($AG38:$AM38="CEP")*4+($AG38:$AM38="CP")*6+($AG38:$AM38="CRO")*6+($AG38:$AM38="M+")*6+($AG38:$AM38="T+")*6+($AG38:$AM38="D+")*12+($AG38:$AM38="N+")*12+($AG38:$AM38="Dm+")*12+($AG38:$AM38="Dt+")*12+($AG38:$AM38="Tm-")*6+($AG38:$AM38="Mt-")*6)</f>
        <v/>
      </c>
      <c r="BC38" s="118">
        <f>BB38-MAX(0,IFERROR(INDEX(CADASTRO!$I$4:$I$80,MATCH($A38,CADASTRO!$A$4:$A$80,0)),$B38)-CONFIG!$B$50*(COUNTIF($AG38:$AM38,"AB")+COUNTIF($AG38:$AM38,"FE")+COUNTIF($AG38:$AM38,"LM")))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36">
        <f>IFERROR(INDEX(ABR!AI$8:AI$73,MATCH($A39,ABR!$A$8:$A$73,0))&amp;"","")</f>
        <v/>
      </c>
      <c r="F39" s="136">
        <f>IFERROR(INDEX(ABR!AJ$8:AJ$73,MATCH($A39,ABR!$A$8:$A$73,0))&amp;"","")</f>
        <v/>
      </c>
      <c r="G39" s="136">
        <f>IFERROR(INDEX(ABR!AK$8:AK$73,MATCH($A39,ABR!$A$8:$A$73,0))&amp;"","")</f>
        <v/>
      </c>
      <c r="H39" s="136">
        <f>IFERROR(INDEX(ABR!AL$8:AL$73,MATCH($A39,ABR!$A$8:$A$73,0))&amp;"","")</f>
        <v/>
      </c>
      <c r="I39" s="114" t="n"/>
      <c r="J39" s="125" t="inlineStr">
        <is>
          <t>N</t>
        </is>
      </c>
      <c r="K39" s="114" t="n"/>
      <c r="L39" s="126" t="inlineStr">
        <is>
          <t>T</t>
        </is>
      </c>
      <c r="M39" s="115" t="inlineStr">
        <is>
          <t>M</t>
        </is>
      </c>
      <c r="N39" s="126" t="inlineStr">
        <is>
          <t>T</t>
        </is>
      </c>
      <c r="O39" s="114" t="n"/>
      <c r="P39" s="115" t="inlineStr">
        <is>
          <t>M</t>
        </is>
      </c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5" t="inlineStr">
        <is>
          <t>M</t>
        </is>
      </c>
      <c r="AL39" s="125" t="inlineStr">
        <is>
          <t>N</t>
        </is>
      </c>
      <c r="AM39" s="114" t="n"/>
      <c r="AN39" s="100" t="n"/>
      <c r="AO39" s="100" t="n"/>
      <c r="AP39" s="100" t="n"/>
      <c r="AQ39" s="100" t="n"/>
      <c r="AR39" s="100" t="n"/>
      <c r="AS39" s="100" t="n"/>
      <c r="AT39" s="117">
        <f>SUMPRODUCT(($E39:$K39="M")*6+($E39:$K39="T")*6+($E39:$K39="D")*12+($E39:$K39="N")*12+($E39:$K39="NT")*6+($E39:$K39="C")*10+($E39:$K39="A")*8+($E39:$K39="J")*5+($E39:$K39="CEP")*4+($E39:$K39="CP")*6+($E39:$K39="CRO")*6+($E39:$K39="M+")*6+($E39:$K39="T+")*6+($E39:$K39="D+")*12+($E39:$K39="N+")*12+($E39:$K39="Dm+")*12+($E39:$K39="Dt+")*12+($E39:$K39="Tm-")*6+($E39:$K39="Mt-")*6)</f>
        <v/>
      </c>
      <c r="AU39" s="118">
        <f>AT39-MAX(0,IFERROR(INDEX(CADASTRO!$I$4:$I$80,MATCH($A39,CADASTRO!$A$4:$A$80,0)),$B39)-CONFIG!$B$50*(COUNTIF($E39:$K39,"AB")+COUNTIF($E39:$K39,"FE")+COUNTIF($E39:$K39,"LM")))</f>
        <v/>
      </c>
      <c r="AV39" s="117">
        <f>SUMPRODUCT(($L39:$R39="M")*6+($L39:$R39="T")*6+($L39:$R39="D")*12+($L39:$R39="N")*12+($L39:$R39="NT")*6+($L39:$R39="C")*10+($L39:$R39="A")*8+($L39:$R39="J")*5+($L39:$R39="CEP")*4+($L39:$R39="CP")*6+($L39:$R39="CRO")*6+($L39:$R39="M+")*6+($L39:$R39="T+")*6+($L39:$R39="D+")*12+($L39:$R39="N+")*12+($L39:$R39="Dm+")*12+($L39:$R39="Dt+")*12+($L39:$R39="Tm-")*6+($L39:$R39="Mt-")*6)</f>
        <v/>
      </c>
      <c r="AW39" s="118">
        <f>AV39-MAX(0,IFERROR(INDEX(CADASTRO!$I$4:$I$80,MATCH($A39,CADASTRO!$A$4:$A$80,0)),$B39)-CONFIG!$B$50*(COUNTIF($L39:$R39,"AB")+COUNTIF($L39:$R39,"FE")+COUNTIF($L39:$R39,"LM")))</f>
        <v/>
      </c>
      <c r="AX39" s="117">
        <f>SUMPRODUCT(($S39:$Y39="M")*6+($S39:$Y39="T")*6+($S39:$Y39="D")*12+($S39:$Y39="N")*12+($S39:$Y39="NT")*6+($S39:$Y39="C")*10+($S39:$Y39="A")*8+($S39:$Y39="J")*5+($S39:$Y39="CEP")*4+($S39:$Y39="CP")*6+($S39:$Y39="CRO")*6+($S39:$Y39="M+")*6+($S39:$Y39="T+")*6+($S39:$Y39="D+")*12+($S39:$Y39="N+")*12+($S39:$Y39="Dm+")*12+($S39:$Y39="Dt+")*12+($S39:$Y39="Tm-")*6+($S39:$Y39="Mt-")*6)</f>
        <v/>
      </c>
      <c r="AY39" s="118">
        <f>AX39-MAX(0,IFERROR(INDEX(CADASTRO!$I$4:$I$80,MATCH($A39,CADASTRO!$A$4:$A$80,0)),$B39)-CONFIG!$B$50*(COUNTIF($S39:$Y39,"AB")+COUNTIF($S39:$Y39,"FE")+COUNTIF($S39:$Y39,"LM")))</f>
        <v/>
      </c>
      <c r="AZ39" s="117">
        <f>SUMPRODUCT(($Z39:$AF39="M")*6+($Z39:$AF39="T")*6+($Z39:$AF39="D")*12+($Z39:$AF39="N")*12+($Z39:$AF39="NT")*6+($Z39:$AF39="C")*10+($Z39:$AF39="A")*8+($Z39:$AF39="J")*5+($Z39:$AF39="CEP")*4+($Z39:$AF39="CP")*6+($Z39:$AF39="CRO")*6+($Z39:$AF39="M+")*6+($Z39:$AF39="T+")*6+($Z39:$AF39="D+")*12+($Z39:$AF39="N+")*12+($Z39:$AF39="Dm+")*12+($Z39:$AF39="Dt+")*12+($Z39:$AF39="Tm-")*6+($Z39:$AF39="Mt-")*6)</f>
        <v/>
      </c>
      <c r="BA39" s="118">
        <f>AZ39-MAX(0,IFERROR(INDEX(CADASTRO!$I$4:$I$80,MATCH($A39,CADASTRO!$A$4:$A$80,0)),$B39)-CONFIG!$B$50*(COUNTIF($Z39:$AF39,"AB")+COUNTIF($Z39:$AF39,"FE")+COUNTIF($Z39:$AF39,"LM")))</f>
        <v/>
      </c>
      <c r="BB39" s="117">
        <f>SUMPRODUCT(($AG39:$AM39="M")*6+($AG39:$AM39="T")*6+($AG39:$AM39="D")*12+($AG39:$AM39="N")*12+($AG39:$AM39="NT")*6+($AG39:$AM39="C")*10+($AG39:$AM39="A")*8+($AG39:$AM39="J")*5+($AG39:$AM39="CEP")*4+($AG39:$AM39="CP")*6+($AG39:$AM39="CRO")*6+($AG39:$AM39="M+")*6+($AG39:$AM39="T+")*6+($AG39:$AM39="D+")*12+($AG39:$AM39="N+")*12+($AG39:$AM39="Dm+")*12+($AG39:$AM39="Dt+")*12+($AG39:$AM39="Tm-")*6+($AG39:$AM39="Mt-")*6)</f>
        <v/>
      </c>
      <c r="BC39" s="118">
        <f>BB39-MAX(0,IFERROR(INDEX(CADASTRO!$I$4:$I$80,MATCH($A39,CADASTRO!$A$4:$A$80,0)),$B39)-CONFIG!$B$50*(COUNTIF($AG39:$AM39,"AB")+COUNTIF($AG39:$AM39,"FE")+COUNTIF($AG39:$AM39,"LM")))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36">
        <f>IFERROR(INDEX(ABR!AI$8:AI$73,MATCH($A40,ABR!$A$8:$A$73,0))&amp;"","")</f>
        <v/>
      </c>
      <c r="F40" s="136">
        <f>IFERROR(INDEX(ABR!AJ$8:AJ$73,MATCH($A40,ABR!$A$8:$A$73,0))&amp;"","")</f>
        <v/>
      </c>
      <c r="G40" s="136">
        <f>IFERROR(INDEX(ABR!AK$8:AK$73,MATCH($A40,ABR!$A$8:$A$73,0))&amp;"","")</f>
        <v/>
      </c>
      <c r="H40" s="136">
        <f>IFERROR(INDEX(ABR!AL$8:AL$73,MATCH($A40,ABR!$A$8:$A$73,0))&amp;"","")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14" t="n"/>
      <c r="AN40" s="100" t="n"/>
      <c r="AO40" s="100" t="n"/>
      <c r="AP40" s="100" t="n"/>
      <c r="AQ40" s="100" t="n"/>
      <c r="AR40" s="100" t="n"/>
      <c r="AS40" s="100" t="n"/>
      <c r="AT40" s="117">
        <f>SUMPRODUCT(($E40:$K40="M")*6+($E40:$K40="T")*6+($E40:$K40="D")*12+($E40:$K40="N")*12+($E40:$K40="NT")*6+($E40:$K40="C")*10+($E40:$K40="A")*8+($E40:$K40="J")*5+($E40:$K40="CEP")*4+($E40:$K40="CP")*6+($E40:$K40="CRO")*6+($E40:$K40="M+")*6+($E40:$K40="T+")*6+($E40:$K40="D+")*12+($E40:$K40="N+")*12+($E40:$K40="Dm+")*12+($E40:$K40="Dt+")*12+($E40:$K40="Tm-")*6+($E40:$K40="Mt-")*6)</f>
        <v/>
      </c>
      <c r="AU40" s="118">
        <f>AT40-MAX(0,IFERROR(INDEX(CADASTRO!$I$4:$I$80,MATCH($A40,CADASTRO!$A$4:$A$80,0)),$B40)-CONFIG!$B$50*(COUNTIF($E40:$K40,"AB")+COUNTIF($E40:$K40,"FE")+COUNTIF($E40:$K40,"LM")))</f>
        <v/>
      </c>
      <c r="AV40" s="117">
        <f>SUMPRODUCT(($L40:$R40="M")*6+($L40:$R40="T")*6+($L40:$R40="D")*12+($L40:$R40="N")*12+($L40:$R40="NT")*6+($L40:$R40="C")*10+($L40:$R40="A")*8+($L40:$R40="J")*5+($L40:$R40="CEP")*4+($L40:$R40="CP")*6+($L40:$R40="CRO")*6+($L40:$R40="M+")*6+($L40:$R40="T+")*6+($L40:$R40="D+")*12+($L40:$R40="N+")*12+($L40:$R40="Dm+")*12+($L40:$R40="Dt+")*12+($L40:$R40="Tm-")*6+($L40:$R40="Mt-")*6)</f>
        <v/>
      </c>
      <c r="AW40" s="118">
        <f>AV40-MAX(0,IFERROR(INDEX(CADASTRO!$I$4:$I$80,MATCH($A40,CADASTRO!$A$4:$A$80,0)),$B40)-CONFIG!$B$50*(COUNTIF($L40:$R40,"AB")+COUNTIF($L40:$R40,"FE")+COUNTIF($L40:$R40,"LM")))</f>
        <v/>
      </c>
      <c r="AX40" s="117">
        <f>SUMPRODUCT(($S40:$Y40="M")*6+($S40:$Y40="T")*6+($S40:$Y40="D")*12+($S40:$Y40="N")*12+($S40:$Y40="NT")*6+($S40:$Y40="C")*10+($S40:$Y40="A")*8+($S40:$Y40="J")*5+($S40:$Y40="CEP")*4+($S40:$Y40="CP")*6+($S40:$Y40="CRO")*6+($S40:$Y40="M+")*6+($S40:$Y40="T+")*6+($S40:$Y40="D+")*12+($S40:$Y40="N+")*12+($S40:$Y40="Dm+")*12+($S40:$Y40="Dt+")*12+($S40:$Y40="Tm-")*6+($S40:$Y40="Mt-")*6)</f>
        <v/>
      </c>
      <c r="AY40" s="118">
        <f>AX40-MAX(0,IFERROR(INDEX(CADASTRO!$I$4:$I$80,MATCH($A40,CADASTRO!$A$4:$A$80,0)),$B40)-CONFIG!$B$50*(COUNTIF($S40:$Y40,"AB")+COUNTIF($S40:$Y40,"FE")+COUNTIF($S40:$Y40,"LM")))</f>
        <v/>
      </c>
      <c r="AZ40" s="117">
        <f>SUMPRODUCT(($Z40:$AF40="M")*6+($Z40:$AF40="T")*6+($Z40:$AF40="D")*12+($Z40:$AF40="N")*12+($Z40:$AF40="NT")*6+($Z40:$AF40="C")*10+($Z40:$AF40="A")*8+($Z40:$AF40="J")*5+($Z40:$AF40="CEP")*4+($Z40:$AF40="CP")*6+($Z40:$AF40="CRO")*6+($Z40:$AF40="M+")*6+($Z40:$AF40="T+")*6+($Z40:$AF40="D+")*12+($Z40:$AF40="N+")*12+($Z40:$AF40="Dm+")*12+($Z40:$AF40="Dt+")*12+($Z40:$AF40="Tm-")*6+($Z40:$AF40="Mt-")*6)</f>
        <v/>
      </c>
      <c r="BA40" s="118">
        <f>AZ40-MAX(0,IFERROR(INDEX(CADASTRO!$I$4:$I$80,MATCH($A40,CADASTRO!$A$4:$A$80,0)),$B40)-CONFIG!$B$50*(COUNTIF($Z40:$AF40,"AB")+COUNTIF($Z40:$AF40,"FE")+COUNTIF($Z40:$AF40,"LM")))</f>
        <v/>
      </c>
      <c r="BB40" s="117">
        <f>SUMPRODUCT(($AG40:$AM40="M")*6+($AG40:$AM40="T")*6+($AG40:$AM40="D")*12+($AG40:$AM40="N")*12+($AG40:$AM40="NT")*6+($AG40:$AM40="C")*10+($AG40:$AM40="A")*8+($AG40:$AM40="J")*5+($AG40:$AM40="CEP")*4+($AG40:$AM40="CP")*6+($AG40:$AM40="CRO")*6+($AG40:$AM40="M+")*6+($AG40:$AM40="T+")*6+($AG40:$AM40="D+")*12+($AG40:$AM40="N+")*12+($AG40:$AM40="Dm+")*12+($AG40:$AM40="Dt+")*12+($AG40:$AM40="Tm-")*6+($AG40:$AM40="Mt-")*6)</f>
        <v/>
      </c>
      <c r="BC40" s="118">
        <f>BB40-MAX(0,IFERROR(INDEX(CADASTRO!$I$4:$I$80,MATCH($A40,CADASTRO!$A$4:$A$80,0)),$B40)-CONFIG!$B$50*(COUNTIF($AG40:$AM40,"AB")+COUNTIF($AG40:$AM40,"FE")+COUNTIF($AG40:$AM40,"LM")))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36">
        <f>IFERROR(INDEX(ABR!AI$8:AI$73,MATCH($A41,ABR!$A$8:$A$73,0))&amp;"","")</f>
        <v/>
      </c>
      <c r="F41" s="136">
        <f>IFERROR(INDEX(ABR!AJ$8:AJ$73,MATCH($A41,ABR!$A$8:$A$73,0))&amp;"","")</f>
        <v/>
      </c>
      <c r="G41" s="136">
        <f>IFERROR(INDEX(ABR!AK$8:AK$73,MATCH($A41,ABR!$A$8:$A$73,0))&amp;"","")</f>
        <v/>
      </c>
      <c r="H41" s="136">
        <f>IFERROR(INDEX(ABR!AL$8:AL$73,MATCH($A41,ABR!$A$8:$A$73,0))&amp;"","")</f>
        <v/>
      </c>
      <c r="I41" s="114" t="n"/>
      <c r="J41" s="114" t="n"/>
      <c r="K41" s="114" t="n"/>
      <c r="L41" s="114" t="n"/>
      <c r="M41" s="114" t="n"/>
      <c r="N41" s="114" t="n"/>
      <c r="O41" s="114" t="n"/>
      <c r="P41" s="124" t="inlineStr">
        <is>
          <t>D</t>
        </is>
      </c>
      <c r="Q41" s="124" t="inlineStr">
        <is>
          <t>D</t>
        </is>
      </c>
      <c r="R41" s="114" t="n"/>
      <c r="S41" s="124" t="inlineStr">
        <is>
          <t>D</t>
        </is>
      </c>
      <c r="T41" s="114" t="n"/>
      <c r="U41" s="114" t="n"/>
      <c r="V41" s="114" t="n"/>
      <c r="W41" s="124" t="inlineStr">
        <is>
          <t>D</t>
        </is>
      </c>
      <c r="X41" s="114" t="n"/>
      <c r="Y41" s="114" t="n"/>
      <c r="Z41" s="114" t="n"/>
      <c r="AA41" s="114" t="n"/>
      <c r="AB41" s="114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114" t="n"/>
      <c r="AL41" s="114" t="n"/>
      <c r="AM41" s="114" t="n"/>
      <c r="AN41" s="100" t="n"/>
      <c r="AO41" s="100" t="n"/>
      <c r="AP41" s="100" t="n"/>
      <c r="AQ41" s="100" t="n"/>
      <c r="AR41" s="100" t="n"/>
      <c r="AS41" s="100" t="n"/>
      <c r="AT41" s="117">
        <f>SUMPRODUCT(($E41:$K41="M")*6+($E41:$K41="T")*6+($E41:$K41="D")*12+($E41:$K41="N")*12+($E41:$K41="NT")*6+($E41:$K41="C")*10+($E41:$K41="A")*8+($E41:$K41="J")*5+($E41:$K41="CEP")*4+($E41:$K41="CP")*6+($E41:$K41="CRO")*6+($E41:$K41="M+")*6+($E41:$K41="T+")*6+($E41:$K41="D+")*12+($E41:$K41="N+")*12+($E41:$K41="Dm+")*12+($E41:$K41="Dt+")*12+($E41:$K41="Tm-")*6+($E41:$K41="Mt-")*6)</f>
        <v/>
      </c>
      <c r="AU41" s="118">
        <f>AT41-MAX(0,IFERROR(INDEX(CADASTRO!$I$4:$I$80,MATCH($A41,CADASTRO!$A$4:$A$80,0)),$B41)-CONFIG!$B$50*(COUNTIF($E41:$K41,"AB")+COUNTIF($E41:$K41,"FE")+COUNTIF($E41:$K41,"LM")))</f>
        <v/>
      </c>
      <c r="AV41" s="117">
        <f>SUMPRODUCT(($L41:$R41="M")*6+($L41:$R41="T")*6+($L41:$R41="D")*12+($L41:$R41="N")*12+($L41:$R41="NT")*6+($L41:$R41="C")*10+($L41:$R41="A")*8+($L41:$R41="J")*5+($L41:$R41="CEP")*4+($L41:$R41="CP")*6+($L41:$R41="CRO")*6+($L41:$R41="M+")*6+($L41:$R41="T+")*6+($L41:$R41="D+")*12+($L41:$R41="N+")*12+($L41:$R41="Dm+")*12+($L41:$R41="Dt+")*12+($L41:$R41="Tm-")*6+($L41:$R41="Mt-")*6)</f>
        <v/>
      </c>
      <c r="AW41" s="118">
        <f>AV41-MAX(0,IFERROR(INDEX(CADASTRO!$I$4:$I$80,MATCH($A41,CADASTRO!$A$4:$A$80,0)),$B41)-CONFIG!$B$50*(COUNTIF($L41:$R41,"AB")+COUNTIF($L41:$R41,"FE")+COUNTIF($L41:$R41,"LM")))</f>
        <v/>
      </c>
      <c r="AX41" s="117">
        <f>SUMPRODUCT(($S41:$Y41="M")*6+($S41:$Y41="T")*6+($S41:$Y41="D")*12+($S41:$Y41="N")*12+($S41:$Y41="NT")*6+($S41:$Y41="C")*10+($S41:$Y41="A")*8+($S41:$Y41="J")*5+($S41:$Y41="CEP")*4+($S41:$Y41="CP")*6+($S41:$Y41="CRO")*6+($S41:$Y41="M+")*6+($S41:$Y41="T+")*6+($S41:$Y41="D+")*12+($S41:$Y41="N+")*12+($S41:$Y41="Dm+")*12+($S41:$Y41="Dt+")*12+($S41:$Y41="Tm-")*6+($S41:$Y41="Mt-")*6)</f>
        <v/>
      </c>
      <c r="AY41" s="118">
        <f>AX41-MAX(0,IFERROR(INDEX(CADASTRO!$I$4:$I$80,MATCH($A41,CADASTRO!$A$4:$A$80,0)),$B41)-CONFIG!$B$50*(COUNTIF($S41:$Y41,"AB")+COUNTIF($S41:$Y41,"FE")+COUNTIF($S41:$Y41,"LM")))</f>
        <v/>
      </c>
      <c r="AZ41" s="117">
        <f>SUMPRODUCT(($Z41:$AF41="M")*6+($Z41:$AF41="T")*6+($Z41:$AF41="D")*12+($Z41:$AF41="N")*12+($Z41:$AF41="NT")*6+($Z41:$AF41="C")*10+($Z41:$AF41="A")*8+($Z41:$AF41="J")*5+($Z41:$AF41="CEP")*4+($Z41:$AF41="CP")*6+($Z41:$AF41="CRO")*6+($Z41:$AF41="M+")*6+($Z41:$AF41="T+")*6+($Z41:$AF41="D+")*12+($Z41:$AF41="N+")*12+($Z41:$AF41="Dm+")*12+($Z41:$AF41="Dt+")*12+($Z41:$AF41="Tm-")*6+($Z41:$AF41="Mt-")*6)</f>
        <v/>
      </c>
      <c r="BA41" s="118">
        <f>AZ41-MAX(0,IFERROR(INDEX(CADASTRO!$I$4:$I$80,MATCH($A41,CADASTRO!$A$4:$A$80,0)),$B41)-CONFIG!$B$50*(COUNTIF($Z41:$AF41,"AB")+COUNTIF($Z41:$AF41,"FE")+COUNTIF($Z41:$AF41,"LM")))</f>
        <v/>
      </c>
      <c r="BB41" s="117">
        <f>SUMPRODUCT(($AG41:$AM41="M")*6+($AG41:$AM41="T")*6+($AG41:$AM41="D")*12+($AG41:$AM41="N")*12+($AG41:$AM41="NT")*6+($AG41:$AM41="C")*10+($AG41:$AM41="A")*8+($AG41:$AM41="J")*5+($AG41:$AM41="CEP")*4+($AG41:$AM41="CP")*6+($AG41:$AM41="CRO")*6+($AG41:$AM41="M+")*6+($AG41:$AM41="T+")*6+($AG41:$AM41="D+")*12+($AG41:$AM41="N+")*12+($AG41:$AM41="Dm+")*12+($AG41:$AM41="Dt+")*12+($AG41:$AM41="Tm-")*6+($AG41:$AM41="Mt-")*6)</f>
        <v/>
      </c>
      <c r="BC41" s="118">
        <f>BB41-MAX(0,IFERROR(INDEX(CADASTRO!$I$4:$I$80,MATCH($A41,CADASTRO!$A$4:$A$80,0)),$B41)-CONFIG!$B$50*(COUNTIF($AG41:$AM41,"AB")+COUNTIF($AG41:$AM41,"FE")+COUNTIF($AG41:$AM41,"LM")))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36">
        <f>IFERROR(INDEX(ABR!AI$8:AI$73,MATCH($A42,ABR!$A$8:$A$73,0))&amp;"","")</f>
        <v/>
      </c>
      <c r="F42" s="136">
        <f>IFERROR(INDEX(ABR!AJ$8:AJ$73,MATCH($A42,ABR!$A$8:$A$73,0))&amp;"","")</f>
        <v/>
      </c>
      <c r="G42" s="136">
        <f>IFERROR(INDEX(ABR!AK$8:AK$73,MATCH($A42,ABR!$A$8:$A$73,0))&amp;"","")</f>
        <v/>
      </c>
      <c r="H42" s="136">
        <f>IFERROR(INDEX(ABR!AL$8:AL$73,MATCH($A42,ABR!$A$8:$A$73,0))&amp;"","")</f>
        <v/>
      </c>
      <c r="I42" s="125" t="inlineStr">
        <is>
          <t>N</t>
        </is>
      </c>
      <c r="J42" s="114" t="n"/>
      <c r="K42" s="114" t="n"/>
      <c r="L42" s="125" t="inlineStr">
        <is>
          <t>N</t>
        </is>
      </c>
      <c r="M42" s="114" t="n"/>
      <c r="N42" s="114" t="n"/>
      <c r="O42" s="114" t="n"/>
      <c r="P42" s="126" t="inlineStr">
        <is>
          <t>T</t>
        </is>
      </c>
      <c r="Q42" s="114" t="n"/>
      <c r="R42" s="115" t="inlineStr">
        <is>
          <t>M</t>
        </is>
      </c>
      <c r="S42" s="126" t="inlineStr">
        <is>
          <t>T</t>
        </is>
      </c>
      <c r="T42" s="114" t="n"/>
      <c r="U42" s="114" t="n"/>
      <c r="V42" s="114" t="n"/>
      <c r="W42" s="114" t="n"/>
      <c r="X42" s="126" t="inlineStr">
        <is>
          <t>T</t>
        </is>
      </c>
      <c r="Y42" s="125" t="inlineStr">
        <is>
          <t>N</t>
        </is>
      </c>
      <c r="Z42" s="114" t="n"/>
      <c r="AA42" s="114" t="n"/>
      <c r="AB42" s="125" t="inlineStr">
        <is>
          <t>N</t>
        </is>
      </c>
      <c r="AC42" s="114" t="n"/>
      <c r="AD42" s="126" t="inlineStr">
        <is>
          <t>T</t>
        </is>
      </c>
      <c r="AE42" s="126" t="inlineStr">
        <is>
          <t>T</t>
        </is>
      </c>
      <c r="AF42" s="114" t="n"/>
      <c r="AG42" s="114" t="n"/>
      <c r="AH42" s="125" t="inlineStr">
        <is>
          <t>N</t>
        </is>
      </c>
      <c r="AI42" s="114" t="n"/>
      <c r="AJ42" s="114" t="n"/>
      <c r="AK42" s="124" t="inlineStr">
        <is>
          <t>D</t>
        </is>
      </c>
      <c r="AL42" s="114" t="n"/>
      <c r="AM42" s="114" t="n"/>
      <c r="AN42" s="100" t="n"/>
      <c r="AO42" s="100" t="n"/>
      <c r="AP42" s="100" t="n"/>
      <c r="AQ42" s="100" t="n"/>
      <c r="AR42" s="100" t="n"/>
      <c r="AS42" s="100" t="n"/>
      <c r="AT42" s="117">
        <f>SUMPRODUCT(($E42:$K42="M")*6+($E42:$K42="T")*6+($E42:$K42="D")*12+($E42:$K42="N")*12+($E42:$K42="NT")*6+($E42:$K42="C")*10+($E42:$K42="A")*8+($E42:$K42="J")*5+($E42:$K42="CEP")*4+($E42:$K42="CP")*6+($E42:$K42="CRO")*6+($E42:$K42="M+")*6+($E42:$K42="T+")*6+($E42:$K42="D+")*12+($E42:$K42="N+")*12+($E42:$K42="Dm+")*12+($E42:$K42="Dt+")*12+($E42:$K42="Tm-")*6+($E42:$K42="Mt-")*6)</f>
        <v/>
      </c>
      <c r="AU42" s="118">
        <f>AT42-MAX(0,IFERROR(INDEX(CADASTRO!$I$4:$I$80,MATCH($A42,CADASTRO!$A$4:$A$80,0)),$B42)-CONFIG!$B$50*(COUNTIF($E42:$K42,"AB")+COUNTIF($E42:$K42,"FE")+COUNTIF($E42:$K42,"LM")))</f>
        <v/>
      </c>
      <c r="AV42" s="117">
        <f>SUMPRODUCT(($L42:$R42="M")*6+($L42:$R42="T")*6+($L42:$R42="D")*12+($L42:$R42="N")*12+($L42:$R42="NT")*6+($L42:$R42="C")*10+($L42:$R42="A")*8+($L42:$R42="J")*5+($L42:$R42="CEP")*4+($L42:$R42="CP")*6+($L42:$R42="CRO")*6+($L42:$R42="M+")*6+($L42:$R42="T+")*6+($L42:$R42="D+")*12+($L42:$R42="N+")*12+($L42:$R42="Dm+")*12+($L42:$R42="Dt+")*12+($L42:$R42="Tm-")*6+($L42:$R42="Mt-")*6)</f>
        <v/>
      </c>
      <c r="AW42" s="118">
        <f>AV42-MAX(0,IFERROR(INDEX(CADASTRO!$I$4:$I$80,MATCH($A42,CADASTRO!$A$4:$A$80,0)),$B42)-CONFIG!$B$50*(COUNTIF($L42:$R42,"AB")+COUNTIF($L42:$R42,"FE")+COUNTIF($L42:$R42,"LM")))</f>
        <v/>
      </c>
      <c r="AX42" s="117">
        <f>SUMPRODUCT(($S42:$Y42="M")*6+($S42:$Y42="T")*6+($S42:$Y42="D")*12+($S42:$Y42="N")*12+($S42:$Y42="NT")*6+($S42:$Y42="C")*10+($S42:$Y42="A")*8+($S42:$Y42="J")*5+($S42:$Y42="CEP")*4+($S42:$Y42="CP")*6+($S42:$Y42="CRO")*6+($S42:$Y42="M+")*6+($S42:$Y42="T+")*6+($S42:$Y42="D+")*12+($S42:$Y42="N+")*12+($S42:$Y42="Dm+")*12+($S42:$Y42="Dt+")*12+($S42:$Y42="Tm-")*6+($S42:$Y42="Mt-")*6)</f>
        <v/>
      </c>
      <c r="AY42" s="118">
        <f>AX42-MAX(0,IFERROR(INDEX(CADASTRO!$I$4:$I$80,MATCH($A42,CADASTRO!$A$4:$A$80,0)),$B42)-CONFIG!$B$50*(COUNTIF($S42:$Y42,"AB")+COUNTIF($S42:$Y42,"FE")+COUNTIF($S42:$Y42,"LM")))</f>
        <v/>
      </c>
      <c r="AZ42" s="117">
        <f>SUMPRODUCT(($Z42:$AF42="M")*6+($Z42:$AF42="T")*6+($Z42:$AF42="D")*12+($Z42:$AF42="N")*12+($Z42:$AF42="NT")*6+($Z42:$AF42="C")*10+($Z42:$AF42="A")*8+($Z42:$AF42="J")*5+($Z42:$AF42="CEP")*4+($Z42:$AF42="CP")*6+($Z42:$AF42="CRO")*6+($Z42:$AF42="M+")*6+($Z42:$AF42="T+")*6+($Z42:$AF42="D+")*12+($Z42:$AF42="N+")*12+($Z42:$AF42="Dm+")*12+($Z42:$AF42="Dt+")*12+($Z42:$AF42="Tm-")*6+($Z42:$AF42="Mt-")*6)</f>
        <v/>
      </c>
      <c r="BA42" s="118">
        <f>AZ42-MAX(0,IFERROR(INDEX(CADASTRO!$I$4:$I$80,MATCH($A42,CADASTRO!$A$4:$A$80,0)),$B42)-CONFIG!$B$50*(COUNTIF($Z42:$AF42,"AB")+COUNTIF($Z42:$AF42,"FE")+COUNTIF($Z42:$AF42,"LM")))</f>
        <v/>
      </c>
      <c r="BB42" s="117">
        <f>SUMPRODUCT(($AG42:$AM42="M")*6+($AG42:$AM42="T")*6+($AG42:$AM42="D")*12+($AG42:$AM42="N")*12+($AG42:$AM42="NT")*6+($AG42:$AM42="C")*10+($AG42:$AM42="A")*8+($AG42:$AM42="J")*5+($AG42:$AM42="CEP")*4+($AG42:$AM42="CP")*6+($AG42:$AM42="CRO")*6+($AG42:$AM42="M+")*6+($AG42:$AM42="T+")*6+($AG42:$AM42="D+")*12+($AG42:$AM42="N+")*12+($AG42:$AM42="Dm+")*12+($AG42:$AM42="Dt+")*12+($AG42:$AM42="Tm-")*6+($AG42:$AM42="Mt-")*6)</f>
        <v/>
      </c>
      <c r="BC42" s="118">
        <f>BB42-MAX(0,IFERROR(INDEX(CADASTRO!$I$4:$I$80,MATCH($A42,CADASTRO!$A$4:$A$80,0)),$B42)-CONFIG!$B$50*(COUNTIF($AG42:$AM42,"AB")+COUNTIF($AG42:$AM42,"FE")+COUNTIF($AG42:$AM42,"LM")))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36">
        <f>IFERROR(INDEX(ABR!AI$8:AI$73,MATCH($A43,ABR!$A$8:$A$73,0))&amp;"","")</f>
        <v/>
      </c>
      <c r="F43" s="136">
        <f>IFERROR(INDEX(ABR!AJ$8:AJ$73,MATCH($A43,ABR!$A$8:$A$73,0))&amp;"","")</f>
        <v/>
      </c>
      <c r="G43" s="136">
        <f>IFERROR(INDEX(ABR!AK$8:AK$73,MATCH($A43,ABR!$A$8:$A$73,0))&amp;"","")</f>
        <v/>
      </c>
      <c r="H43" s="136">
        <f>IFERROR(INDEX(ABR!AL$8:AL$73,MATCH($A43,ABR!$A$8:$A$73,0))&amp;"","")</f>
        <v/>
      </c>
      <c r="I43" s="114" t="n"/>
      <c r="J43" s="114" t="n"/>
      <c r="K43" s="125" t="inlineStr">
        <is>
          <t>N</t>
        </is>
      </c>
      <c r="L43" s="125" t="inlineStr">
        <is>
          <t>N</t>
        </is>
      </c>
      <c r="M43" s="114" t="n"/>
      <c r="N43" s="114" t="n"/>
      <c r="O43" s="125" t="inlineStr">
        <is>
          <t>N</t>
        </is>
      </c>
      <c r="P43" s="114" t="n"/>
      <c r="Q43" s="114" t="n"/>
      <c r="R43" s="114" t="n"/>
      <c r="S43" s="125" t="inlineStr">
        <is>
          <t>N</t>
        </is>
      </c>
      <c r="T43" s="114" t="n"/>
      <c r="U43" s="114" t="n"/>
      <c r="V43" s="125" t="inlineStr">
        <is>
          <t>N</t>
        </is>
      </c>
      <c r="W43" s="114" t="n"/>
      <c r="X43" s="114" t="n"/>
      <c r="Y43" s="114" t="n"/>
      <c r="Z43" s="114" t="n"/>
      <c r="AA43" s="125" t="inlineStr">
        <is>
          <t>N</t>
        </is>
      </c>
      <c r="AB43" s="114" t="n"/>
      <c r="AC43" s="114" t="n"/>
      <c r="AD43" s="125" t="inlineStr">
        <is>
          <t>N</t>
        </is>
      </c>
      <c r="AE43" s="114" t="n"/>
      <c r="AF43" s="114" t="n"/>
      <c r="AG43" s="114" t="n"/>
      <c r="AH43" s="114" t="n"/>
      <c r="AI43" s="114" t="n"/>
      <c r="AJ43" s="125" t="inlineStr">
        <is>
          <t>N</t>
        </is>
      </c>
      <c r="AK43" s="114" t="n"/>
      <c r="AL43" s="125" t="inlineStr">
        <is>
          <t>N</t>
        </is>
      </c>
      <c r="AM43" s="114" t="n"/>
      <c r="AN43" s="100" t="n"/>
      <c r="AO43" s="100" t="n"/>
      <c r="AP43" s="100" t="n"/>
      <c r="AQ43" s="100" t="n"/>
      <c r="AR43" s="100" t="n"/>
      <c r="AS43" s="100" t="n"/>
      <c r="AT43" s="117">
        <f>SUMPRODUCT(($E43:$K43="M")*6+($E43:$K43="T")*6+($E43:$K43="D")*12+($E43:$K43="N")*12+($E43:$K43="NT")*6+($E43:$K43="C")*10+($E43:$K43="A")*8+($E43:$K43="J")*5+($E43:$K43="CEP")*4+($E43:$K43="CP")*6+($E43:$K43="CRO")*6+($E43:$K43="M+")*6+($E43:$K43="T+")*6+($E43:$K43="D+")*12+($E43:$K43="N+")*12+($E43:$K43="Dm+")*12+($E43:$K43="Dt+")*12+($E43:$K43="Tm-")*6+($E43:$K43="Mt-")*6)</f>
        <v/>
      </c>
      <c r="AU43" s="118">
        <f>AT43-MAX(0,IFERROR(INDEX(CADASTRO!$I$4:$I$80,MATCH($A43,CADASTRO!$A$4:$A$80,0)),$B43)-CONFIG!$B$50*(COUNTIF($E43:$K43,"AB")+COUNTIF($E43:$K43,"FE")+COUNTIF($E43:$K43,"LM")))</f>
        <v/>
      </c>
      <c r="AV43" s="117">
        <f>SUMPRODUCT(($L43:$R43="M")*6+($L43:$R43="T")*6+($L43:$R43="D")*12+($L43:$R43="N")*12+($L43:$R43="NT")*6+($L43:$R43="C")*10+($L43:$R43="A")*8+($L43:$R43="J")*5+($L43:$R43="CEP")*4+($L43:$R43="CP")*6+($L43:$R43="CRO")*6+($L43:$R43="M+")*6+($L43:$R43="T+")*6+($L43:$R43="D+")*12+($L43:$R43="N+")*12+($L43:$R43="Dm+")*12+($L43:$R43="Dt+")*12+($L43:$R43="Tm-")*6+($L43:$R43="Mt-")*6)</f>
        <v/>
      </c>
      <c r="AW43" s="118">
        <f>AV43-MAX(0,IFERROR(INDEX(CADASTRO!$I$4:$I$80,MATCH($A43,CADASTRO!$A$4:$A$80,0)),$B43)-CONFIG!$B$50*(COUNTIF($L43:$R43,"AB")+COUNTIF($L43:$R43,"FE")+COUNTIF($L43:$R43,"LM")))</f>
        <v/>
      </c>
      <c r="AX43" s="117">
        <f>SUMPRODUCT(($S43:$Y43="M")*6+($S43:$Y43="T")*6+($S43:$Y43="D")*12+($S43:$Y43="N")*12+($S43:$Y43="NT")*6+($S43:$Y43="C")*10+($S43:$Y43="A")*8+($S43:$Y43="J")*5+($S43:$Y43="CEP")*4+($S43:$Y43="CP")*6+($S43:$Y43="CRO")*6+($S43:$Y43="M+")*6+($S43:$Y43="T+")*6+($S43:$Y43="D+")*12+($S43:$Y43="N+")*12+($S43:$Y43="Dm+")*12+($S43:$Y43="Dt+")*12+($S43:$Y43="Tm-")*6+($S43:$Y43="Mt-")*6)</f>
        <v/>
      </c>
      <c r="AY43" s="118">
        <f>AX43-MAX(0,IFERROR(INDEX(CADASTRO!$I$4:$I$80,MATCH($A43,CADASTRO!$A$4:$A$80,0)),$B43)-CONFIG!$B$50*(COUNTIF($S43:$Y43,"AB")+COUNTIF($S43:$Y43,"FE")+COUNTIF($S43:$Y43,"LM")))</f>
        <v/>
      </c>
      <c r="AZ43" s="117">
        <f>SUMPRODUCT(($Z43:$AF43="M")*6+($Z43:$AF43="T")*6+($Z43:$AF43="D")*12+($Z43:$AF43="N")*12+($Z43:$AF43="NT")*6+($Z43:$AF43="C")*10+($Z43:$AF43="A")*8+($Z43:$AF43="J")*5+($Z43:$AF43="CEP")*4+($Z43:$AF43="CP")*6+($Z43:$AF43="CRO")*6+($Z43:$AF43="M+")*6+($Z43:$AF43="T+")*6+($Z43:$AF43="D+")*12+($Z43:$AF43="N+")*12+($Z43:$AF43="Dm+")*12+($Z43:$AF43="Dt+")*12+($Z43:$AF43="Tm-")*6+($Z43:$AF43="Mt-")*6)</f>
        <v/>
      </c>
      <c r="BA43" s="118">
        <f>AZ43-MAX(0,IFERROR(INDEX(CADASTRO!$I$4:$I$80,MATCH($A43,CADASTRO!$A$4:$A$80,0)),$B43)-CONFIG!$B$50*(COUNTIF($Z43:$AF43,"AB")+COUNTIF($Z43:$AF43,"FE")+COUNTIF($Z43:$AF43,"LM")))</f>
        <v/>
      </c>
      <c r="BB43" s="117">
        <f>SUMPRODUCT(($AG43:$AM43="M")*6+($AG43:$AM43="T")*6+($AG43:$AM43="D")*12+($AG43:$AM43="N")*12+($AG43:$AM43="NT")*6+($AG43:$AM43="C")*10+($AG43:$AM43="A")*8+($AG43:$AM43="J")*5+($AG43:$AM43="CEP")*4+($AG43:$AM43="CP")*6+($AG43:$AM43="CRO")*6+($AG43:$AM43="M+")*6+($AG43:$AM43="T+")*6+($AG43:$AM43="D+")*12+($AG43:$AM43="N+")*12+($AG43:$AM43="Dm+")*12+($AG43:$AM43="Dt+")*12+($AG43:$AM43="Tm-")*6+($AG43:$AM43="Mt-")*6)</f>
        <v/>
      </c>
      <c r="BC43" s="118">
        <f>BB43-MAX(0,IFERROR(INDEX(CADASTRO!$I$4:$I$80,MATCH($A43,CADASTRO!$A$4:$A$80,0)),$B43)-CONFIG!$B$50*(COUNTIF($AG43:$AM43,"AB")+COUNTIF($AG43:$AM43,"FE")+COUNTIF($AG43:$AM43,"LM")))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36">
        <f>IFERROR(INDEX(ABR!AI$8:AI$73,MATCH($A44,ABR!$A$8:$A$73,0))&amp;"","")</f>
        <v/>
      </c>
      <c r="F44" s="136">
        <f>IFERROR(INDEX(ABR!AJ$8:AJ$73,MATCH($A44,ABR!$A$8:$A$73,0))&amp;"","")</f>
        <v/>
      </c>
      <c r="G44" s="136">
        <f>IFERROR(INDEX(ABR!AK$8:AK$73,MATCH($A44,ABR!$A$8:$A$73,0))&amp;"","")</f>
        <v/>
      </c>
      <c r="H44" s="136">
        <f>IFERROR(INDEX(ABR!AL$8:AL$73,MATCH($A44,ABR!$A$8:$A$73,0))&amp;"","")</f>
        <v/>
      </c>
      <c r="I44" s="114" t="n"/>
      <c r="J44" s="114" t="n"/>
      <c r="K44" s="114" t="n"/>
      <c r="L44" s="114" t="n"/>
      <c r="M44" s="114" t="n"/>
      <c r="N44" s="114" t="n"/>
      <c r="O44" s="114" t="n"/>
      <c r="P44" s="125" t="inlineStr">
        <is>
          <t>N</t>
        </is>
      </c>
      <c r="Q44" s="114" t="n"/>
      <c r="R44" s="124" t="inlineStr">
        <is>
          <t>D</t>
        </is>
      </c>
      <c r="S44" s="114" t="n"/>
      <c r="T44" s="124" t="inlineStr">
        <is>
          <t>D</t>
        </is>
      </c>
      <c r="U44" s="114" t="n"/>
      <c r="V44" s="114" t="n"/>
      <c r="W44" s="124" t="inlineStr">
        <is>
          <t>D</t>
        </is>
      </c>
      <c r="X44" s="114" t="n"/>
      <c r="Y44" s="114" t="n"/>
      <c r="Z44" s="114" t="n"/>
      <c r="AA44" s="124" t="inlineStr">
        <is>
          <t>D</t>
        </is>
      </c>
      <c r="AB44" s="114" t="n"/>
      <c r="AC44" s="124" t="inlineStr">
        <is>
          <t>D</t>
        </is>
      </c>
      <c r="AD44" s="114" t="n"/>
      <c r="AE44" s="114" t="n"/>
      <c r="AF44" s="114" t="n"/>
      <c r="AG44" s="114" t="n"/>
      <c r="AH44" s="114" t="n"/>
      <c r="AI44" s="126" t="inlineStr">
        <is>
          <t>T</t>
        </is>
      </c>
      <c r="AJ44" s="114" t="n"/>
      <c r="AK44" s="126" t="inlineStr">
        <is>
          <t>T</t>
        </is>
      </c>
      <c r="AL44" s="124" t="inlineStr">
        <is>
          <t>D</t>
        </is>
      </c>
      <c r="AM44" s="114" t="n"/>
      <c r="AN44" s="100" t="n"/>
      <c r="AO44" s="100" t="n"/>
      <c r="AP44" s="100" t="n"/>
      <c r="AQ44" s="100" t="n"/>
      <c r="AR44" s="100" t="n"/>
      <c r="AS44" s="100" t="n"/>
      <c r="AT44" s="117">
        <f>SUMPRODUCT(($E44:$K44="M")*6+($E44:$K44="T")*6+($E44:$K44="D")*12+($E44:$K44="N")*12+($E44:$K44="NT")*6+($E44:$K44="C")*10+($E44:$K44="A")*8+($E44:$K44="J")*5+($E44:$K44="CEP")*4+($E44:$K44="CP")*6+($E44:$K44="CRO")*6+($E44:$K44="M+")*6+($E44:$K44="T+")*6+($E44:$K44="D+")*12+($E44:$K44="N+")*12+($E44:$K44="Dm+")*12+($E44:$K44="Dt+")*12+($E44:$K44="Tm-")*6+($E44:$K44="Mt-")*6)</f>
        <v/>
      </c>
      <c r="AU44" s="118">
        <f>AT44-MAX(0,IFERROR(INDEX(CADASTRO!$I$4:$I$80,MATCH($A44,CADASTRO!$A$4:$A$80,0)),$B44)-CONFIG!$B$50*(COUNTIF($E44:$K44,"AB")+COUNTIF($E44:$K44,"FE")+COUNTIF($E44:$K44,"LM")))</f>
        <v/>
      </c>
      <c r="AV44" s="117">
        <f>SUMPRODUCT(($L44:$R44="M")*6+($L44:$R44="T")*6+($L44:$R44="D")*12+($L44:$R44="N")*12+($L44:$R44="NT")*6+($L44:$R44="C")*10+($L44:$R44="A")*8+($L44:$R44="J")*5+($L44:$R44="CEP")*4+($L44:$R44="CP")*6+($L44:$R44="CRO")*6+($L44:$R44="M+")*6+($L44:$R44="T+")*6+($L44:$R44="D+")*12+($L44:$R44="N+")*12+($L44:$R44="Dm+")*12+($L44:$R44="Dt+")*12+($L44:$R44="Tm-")*6+($L44:$R44="Mt-")*6)</f>
        <v/>
      </c>
      <c r="AW44" s="118">
        <f>AV44-MAX(0,IFERROR(INDEX(CADASTRO!$I$4:$I$80,MATCH($A44,CADASTRO!$A$4:$A$80,0)),$B44)-CONFIG!$B$50*(COUNTIF($L44:$R44,"AB")+COUNTIF($L44:$R44,"FE")+COUNTIF($L44:$R44,"LM")))</f>
        <v/>
      </c>
      <c r="AX44" s="117">
        <f>SUMPRODUCT(($S44:$Y44="M")*6+($S44:$Y44="T")*6+($S44:$Y44="D")*12+($S44:$Y44="N")*12+($S44:$Y44="NT")*6+($S44:$Y44="C")*10+($S44:$Y44="A")*8+($S44:$Y44="J")*5+($S44:$Y44="CEP")*4+($S44:$Y44="CP")*6+($S44:$Y44="CRO")*6+($S44:$Y44="M+")*6+($S44:$Y44="T+")*6+($S44:$Y44="D+")*12+($S44:$Y44="N+")*12+($S44:$Y44="Dm+")*12+($S44:$Y44="Dt+")*12+($S44:$Y44="Tm-")*6+($S44:$Y44="Mt-")*6)</f>
        <v/>
      </c>
      <c r="AY44" s="118">
        <f>AX44-MAX(0,IFERROR(INDEX(CADASTRO!$I$4:$I$80,MATCH($A44,CADASTRO!$A$4:$A$80,0)),$B44)-CONFIG!$B$50*(COUNTIF($S44:$Y44,"AB")+COUNTIF($S44:$Y44,"FE")+COUNTIF($S44:$Y44,"LM")))</f>
        <v/>
      </c>
      <c r="AZ44" s="117">
        <f>SUMPRODUCT(($Z44:$AF44="M")*6+($Z44:$AF44="T")*6+($Z44:$AF44="D")*12+($Z44:$AF44="N")*12+($Z44:$AF44="NT")*6+($Z44:$AF44="C")*10+($Z44:$AF44="A")*8+($Z44:$AF44="J")*5+($Z44:$AF44="CEP")*4+($Z44:$AF44="CP")*6+($Z44:$AF44="CRO")*6+($Z44:$AF44="M+")*6+($Z44:$AF44="T+")*6+($Z44:$AF44="D+")*12+($Z44:$AF44="N+")*12+($Z44:$AF44="Dm+")*12+($Z44:$AF44="Dt+")*12+($Z44:$AF44="Tm-")*6+($Z44:$AF44="Mt-")*6)</f>
        <v/>
      </c>
      <c r="BA44" s="118">
        <f>AZ44-MAX(0,IFERROR(INDEX(CADASTRO!$I$4:$I$80,MATCH($A44,CADASTRO!$A$4:$A$80,0)),$B44)-CONFIG!$B$50*(COUNTIF($Z44:$AF44,"AB")+COUNTIF($Z44:$AF44,"FE")+COUNTIF($Z44:$AF44,"LM")))</f>
        <v/>
      </c>
      <c r="BB44" s="117">
        <f>SUMPRODUCT(($AG44:$AM44="M")*6+($AG44:$AM44="T")*6+($AG44:$AM44="D")*12+($AG44:$AM44="N")*12+($AG44:$AM44="NT")*6+($AG44:$AM44="C")*10+($AG44:$AM44="A")*8+($AG44:$AM44="J")*5+($AG44:$AM44="CEP")*4+($AG44:$AM44="CP")*6+($AG44:$AM44="CRO")*6+($AG44:$AM44="M+")*6+($AG44:$AM44="T+")*6+($AG44:$AM44="D+")*12+($AG44:$AM44="N+")*12+($AG44:$AM44="Dm+")*12+($AG44:$AM44="Dt+")*12+($AG44:$AM44="Tm-")*6+($AG44:$AM44="Mt-")*6)</f>
        <v/>
      </c>
      <c r="BC44" s="118">
        <f>BB44-MAX(0,IFERROR(INDEX(CADASTRO!$I$4:$I$80,MATCH($A44,CADASTRO!$A$4:$A$80,0)),$B44)-CONFIG!$B$50*(COUNTIF($AG44:$AM44,"AB")+COUNTIF($AG44:$AM44,"FE")+COUNTIF($AG44:$AM44,"LM")))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36">
        <f>IFERROR(INDEX(ABR!AI$8:AI$73,MATCH($A45,ABR!$A$8:$A$73,0))&amp;"","")</f>
        <v/>
      </c>
      <c r="F45" s="136">
        <f>IFERROR(INDEX(ABR!AJ$8:AJ$73,MATCH($A45,ABR!$A$8:$A$73,0))&amp;"","")</f>
        <v/>
      </c>
      <c r="G45" s="136">
        <f>IFERROR(INDEX(ABR!AK$8:AK$73,MATCH($A45,ABR!$A$8:$A$73,0))&amp;"","")</f>
        <v/>
      </c>
      <c r="H45" s="136">
        <f>IFERROR(INDEX(ABR!AL$8:AL$73,MATCH($A45,ABR!$A$8:$A$73,0))&amp;"","")</f>
        <v/>
      </c>
      <c r="I45" s="114" t="n"/>
      <c r="J45" s="114" t="n"/>
      <c r="K45" s="115" t="inlineStr">
        <is>
          <t>M</t>
        </is>
      </c>
      <c r="L45" s="115" t="inlineStr">
        <is>
          <t>M</t>
        </is>
      </c>
      <c r="M45" s="115" t="inlineStr">
        <is>
          <t>M</t>
        </is>
      </c>
      <c r="N45" s="114" t="n"/>
      <c r="O45" s="115" t="inlineStr">
        <is>
          <t>M</t>
        </is>
      </c>
      <c r="P45" s="115" t="inlineStr">
        <is>
          <t>M</t>
        </is>
      </c>
      <c r="Q45" s="114" t="n"/>
      <c r="R45" s="114" t="n"/>
      <c r="S45" s="115" t="inlineStr">
        <is>
          <t>M</t>
        </is>
      </c>
      <c r="T45" s="114" t="n"/>
      <c r="U45" s="114" t="n"/>
      <c r="V45" s="115" t="inlineStr">
        <is>
          <t>M</t>
        </is>
      </c>
      <c r="W45" s="114" t="n"/>
      <c r="X45" s="125" t="inlineStr">
        <is>
          <t>N</t>
        </is>
      </c>
      <c r="Y45" s="114" t="n"/>
      <c r="Z45" s="114" t="n"/>
      <c r="AA45" s="114" t="n"/>
      <c r="AB45" s="114" t="n"/>
      <c r="AC45" s="115" t="inlineStr">
        <is>
          <t>M</t>
        </is>
      </c>
      <c r="AD45" s="115" t="inlineStr">
        <is>
          <t>M</t>
        </is>
      </c>
      <c r="AE45" s="114" t="n"/>
      <c r="AF45" s="124" t="inlineStr">
        <is>
          <t>D</t>
        </is>
      </c>
      <c r="AG45" s="115" t="inlineStr">
        <is>
          <t>M</t>
        </is>
      </c>
      <c r="AH45" s="115" t="inlineStr">
        <is>
          <t>M</t>
        </is>
      </c>
      <c r="AI45" s="114" t="n"/>
      <c r="AJ45" s="115" t="inlineStr">
        <is>
          <t>M</t>
        </is>
      </c>
      <c r="AK45" s="115" t="inlineStr">
        <is>
          <t>M</t>
        </is>
      </c>
      <c r="AL45" s="114" t="n"/>
      <c r="AM45" s="114" t="n"/>
      <c r="AN45" s="100" t="n"/>
      <c r="AO45" s="100" t="n"/>
      <c r="AP45" s="100" t="n"/>
      <c r="AQ45" s="100" t="n"/>
      <c r="AR45" s="100" t="n"/>
      <c r="AS45" s="100" t="n"/>
      <c r="AT45" s="117">
        <f>SUMPRODUCT(($E45:$K45="M")*6+($E45:$K45="T")*6+($E45:$K45="D")*12+($E45:$K45="N")*12+($E45:$K45="NT")*6+($E45:$K45="C")*10+($E45:$K45="A")*8+($E45:$K45="J")*5+($E45:$K45="CEP")*4+($E45:$K45="CP")*6+($E45:$K45="CRO")*6+($E45:$K45="M+")*6+($E45:$K45="T+")*6+($E45:$K45="D+")*12+($E45:$K45="N+")*12+($E45:$K45="Dm+")*12+($E45:$K45="Dt+")*12+($E45:$K45="Tm-")*6+($E45:$K45="Mt-")*6)</f>
        <v/>
      </c>
      <c r="AU45" s="118">
        <f>AT45-MAX(0,IFERROR(INDEX(CADASTRO!$I$4:$I$80,MATCH($A45,CADASTRO!$A$4:$A$80,0)),$B45)-CONFIG!$B$50*(COUNTIF($E45:$K45,"AB")+COUNTIF($E45:$K45,"FE")+COUNTIF($E45:$K45,"LM")))</f>
        <v/>
      </c>
      <c r="AV45" s="117">
        <f>SUMPRODUCT(($L45:$R45="M")*6+($L45:$R45="T")*6+($L45:$R45="D")*12+($L45:$R45="N")*12+($L45:$R45="NT")*6+($L45:$R45="C")*10+($L45:$R45="A")*8+($L45:$R45="J")*5+($L45:$R45="CEP")*4+($L45:$R45="CP")*6+($L45:$R45="CRO")*6+($L45:$R45="M+")*6+($L45:$R45="T+")*6+($L45:$R45="D+")*12+($L45:$R45="N+")*12+($L45:$R45="Dm+")*12+($L45:$R45="Dt+")*12+($L45:$R45="Tm-")*6+($L45:$R45="Mt-")*6)</f>
        <v/>
      </c>
      <c r="AW45" s="118">
        <f>AV45-MAX(0,IFERROR(INDEX(CADASTRO!$I$4:$I$80,MATCH($A45,CADASTRO!$A$4:$A$80,0)),$B45)-CONFIG!$B$50*(COUNTIF($L45:$R45,"AB")+COUNTIF($L45:$R45,"FE")+COUNTIF($L45:$R45,"LM")))</f>
        <v/>
      </c>
      <c r="AX45" s="117">
        <f>SUMPRODUCT(($S45:$Y45="M")*6+($S45:$Y45="T")*6+($S45:$Y45="D")*12+($S45:$Y45="N")*12+($S45:$Y45="NT")*6+($S45:$Y45="C")*10+($S45:$Y45="A")*8+($S45:$Y45="J")*5+($S45:$Y45="CEP")*4+($S45:$Y45="CP")*6+($S45:$Y45="CRO")*6+($S45:$Y45="M+")*6+($S45:$Y45="T+")*6+($S45:$Y45="D+")*12+($S45:$Y45="N+")*12+($S45:$Y45="Dm+")*12+($S45:$Y45="Dt+")*12+($S45:$Y45="Tm-")*6+($S45:$Y45="Mt-")*6)</f>
        <v/>
      </c>
      <c r="AY45" s="118">
        <f>AX45-MAX(0,IFERROR(INDEX(CADASTRO!$I$4:$I$80,MATCH($A45,CADASTRO!$A$4:$A$80,0)),$B45)-CONFIG!$B$50*(COUNTIF($S45:$Y45,"AB")+COUNTIF($S45:$Y45,"FE")+COUNTIF($S45:$Y45,"LM")))</f>
        <v/>
      </c>
      <c r="AZ45" s="117">
        <f>SUMPRODUCT(($Z45:$AF45="M")*6+($Z45:$AF45="T")*6+($Z45:$AF45="D")*12+($Z45:$AF45="N")*12+($Z45:$AF45="NT")*6+($Z45:$AF45="C")*10+($Z45:$AF45="A")*8+($Z45:$AF45="J")*5+($Z45:$AF45="CEP")*4+($Z45:$AF45="CP")*6+($Z45:$AF45="CRO")*6+($Z45:$AF45="M+")*6+($Z45:$AF45="T+")*6+($Z45:$AF45="D+")*12+($Z45:$AF45="N+")*12+($Z45:$AF45="Dm+")*12+($Z45:$AF45="Dt+")*12+($Z45:$AF45="Tm-")*6+($Z45:$AF45="Mt-")*6)</f>
        <v/>
      </c>
      <c r="BA45" s="118">
        <f>AZ45-MAX(0,IFERROR(INDEX(CADASTRO!$I$4:$I$80,MATCH($A45,CADASTRO!$A$4:$A$80,0)),$B45)-CONFIG!$B$50*(COUNTIF($Z45:$AF45,"AB")+COUNTIF($Z45:$AF45,"FE")+COUNTIF($Z45:$AF45,"LM")))</f>
        <v/>
      </c>
      <c r="BB45" s="117">
        <f>SUMPRODUCT(($AG45:$AM45="M")*6+($AG45:$AM45="T")*6+($AG45:$AM45="D")*12+($AG45:$AM45="N")*12+($AG45:$AM45="NT")*6+($AG45:$AM45="C")*10+($AG45:$AM45="A")*8+($AG45:$AM45="J")*5+($AG45:$AM45="CEP")*4+($AG45:$AM45="CP")*6+($AG45:$AM45="CRO")*6+($AG45:$AM45="M+")*6+($AG45:$AM45="T+")*6+($AG45:$AM45="D+")*12+($AG45:$AM45="N+")*12+($AG45:$AM45="Dm+")*12+($AG45:$AM45="Dt+")*12+($AG45:$AM45="Tm-")*6+($AG45:$AM45="Mt-")*6)</f>
        <v/>
      </c>
      <c r="BC45" s="118">
        <f>BB45-MAX(0,IFERROR(INDEX(CADASTRO!$I$4:$I$80,MATCH($A45,CADASTRO!$A$4:$A$80,0)),$B45)-CONFIG!$B$50*(COUNTIF($AG45:$AM45,"AB")+COUNTIF($AG45:$AM45,"FE")+COUNTIF($AG45:$AM45,"LM")))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36">
        <f>IFERROR(INDEX(ABR!AI$8:AI$73,MATCH($A46,ABR!$A$8:$A$73,0))&amp;"","")</f>
        <v/>
      </c>
      <c r="F46" s="136">
        <f>IFERROR(INDEX(ABR!AJ$8:AJ$73,MATCH($A46,ABR!$A$8:$A$73,0))&amp;"","")</f>
        <v/>
      </c>
      <c r="G46" s="136">
        <f>IFERROR(INDEX(ABR!AK$8:AK$73,MATCH($A46,ABR!$A$8:$A$73,0))&amp;"","")</f>
        <v/>
      </c>
      <c r="H46" s="136">
        <f>IFERROR(INDEX(ABR!AL$8:AL$73,MATCH($A46,ABR!$A$8:$A$73,0))&amp;"","")</f>
        <v/>
      </c>
      <c r="I46" s="114" t="n"/>
      <c r="J46" s="114" t="n"/>
      <c r="K46" s="125" t="inlineStr">
        <is>
          <t>N</t>
        </is>
      </c>
      <c r="L46" s="114" t="n"/>
      <c r="M46" s="114" t="n"/>
      <c r="N46" s="124" t="inlineStr">
        <is>
          <t>D</t>
        </is>
      </c>
      <c r="O46" s="114" t="n"/>
      <c r="P46" s="125" t="inlineStr">
        <is>
          <t>N</t>
        </is>
      </c>
      <c r="Q46" s="114" t="n"/>
      <c r="R46" s="114" t="n"/>
      <c r="S46" s="114" t="n"/>
      <c r="T46" s="114" t="n"/>
      <c r="U46" s="124" t="inlineStr">
        <is>
          <t>D</t>
        </is>
      </c>
      <c r="V46" s="114" t="n"/>
      <c r="W46" s="114" t="n"/>
      <c r="X46" s="114" t="n"/>
      <c r="Y46" s="125" t="inlineStr">
        <is>
          <t>N</t>
        </is>
      </c>
      <c r="Z46" s="114" t="n"/>
      <c r="AA46" s="114" t="n"/>
      <c r="AB46" s="124" t="inlineStr">
        <is>
          <t>D</t>
        </is>
      </c>
      <c r="AC46" s="114" t="n"/>
      <c r="AD46" s="125" t="inlineStr">
        <is>
          <t>N</t>
        </is>
      </c>
      <c r="AE46" s="114" t="n"/>
      <c r="AF46" s="114" t="n"/>
      <c r="AG46" s="114" t="n"/>
      <c r="AH46" s="114" t="n"/>
      <c r="AI46" s="124" t="inlineStr">
        <is>
          <t>D</t>
        </is>
      </c>
      <c r="AJ46" s="114" t="n"/>
      <c r="AK46" s="125" t="inlineStr">
        <is>
          <t>N</t>
        </is>
      </c>
      <c r="AL46" s="114" t="n"/>
      <c r="AM46" s="114" t="n"/>
      <c r="AN46" s="100" t="n"/>
      <c r="AO46" s="100" t="n"/>
      <c r="AP46" s="100" t="n"/>
      <c r="AQ46" s="100" t="n"/>
      <c r="AR46" s="100" t="n"/>
      <c r="AS46" s="100" t="n"/>
      <c r="AT46" s="117">
        <f>SUMPRODUCT(($E46:$K46="M")*6+($E46:$K46="T")*6+($E46:$K46="D")*12+($E46:$K46="N")*12+($E46:$K46="NT")*6+($E46:$K46="C")*10+($E46:$K46="A")*8+($E46:$K46="J")*5+($E46:$K46="CEP")*4+($E46:$K46="CP")*6+($E46:$K46="CRO")*6+($E46:$K46="M+")*6+($E46:$K46="T+")*6+($E46:$K46="D+")*12+($E46:$K46="N+")*12+($E46:$K46="Dm+")*12+($E46:$K46="Dt+")*12+($E46:$K46="Tm-")*6+($E46:$K46="Mt-")*6)</f>
        <v/>
      </c>
      <c r="AU46" s="118">
        <f>AT46-MAX(0,IFERROR(INDEX(CADASTRO!$I$4:$I$80,MATCH($A46,CADASTRO!$A$4:$A$80,0)),$B46)-CONFIG!$B$50*(COUNTIF($E46:$K46,"AB")+COUNTIF($E46:$K46,"FE")+COUNTIF($E46:$K46,"LM")))</f>
        <v/>
      </c>
      <c r="AV46" s="117">
        <f>SUMPRODUCT(($L46:$R46="M")*6+($L46:$R46="T")*6+($L46:$R46="D")*12+($L46:$R46="N")*12+($L46:$R46="NT")*6+($L46:$R46="C")*10+($L46:$R46="A")*8+($L46:$R46="J")*5+($L46:$R46="CEP")*4+($L46:$R46="CP")*6+($L46:$R46="CRO")*6+($L46:$R46="M+")*6+($L46:$R46="T+")*6+($L46:$R46="D+")*12+($L46:$R46="N+")*12+($L46:$R46="Dm+")*12+($L46:$R46="Dt+")*12+($L46:$R46="Tm-")*6+($L46:$R46="Mt-")*6)</f>
        <v/>
      </c>
      <c r="AW46" s="118">
        <f>AV46-MAX(0,IFERROR(INDEX(CADASTRO!$I$4:$I$80,MATCH($A46,CADASTRO!$A$4:$A$80,0)),$B46)-CONFIG!$B$50*(COUNTIF($L46:$R46,"AB")+COUNTIF($L46:$R46,"FE")+COUNTIF($L46:$R46,"LM")))</f>
        <v/>
      </c>
      <c r="AX46" s="117">
        <f>SUMPRODUCT(($S46:$Y46="M")*6+($S46:$Y46="T")*6+($S46:$Y46="D")*12+($S46:$Y46="N")*12+($S46:$Y46="NT")*6+($S46:$Y46="C")*10+($S46:$Y46="A")*8+($S46:$Y46="J")*5+($S46:$Y46="CEP")*4+($S46:$Y46="CP")*6+($S46:$Y46="CRO")*6+($S46:$Y46="M+")*6+($S46:$Y46="T+")*6+($S46:$Y46="D+")*12+($S46:$Y46="N+")*12+($S46:$Y46="Dm+")*12+($S46:$Y46="Dt+")*12+($S46:$Y46="Tm-")*6+($S46:$Y46="Mt-")*6)</f>
        <v/>
      </c>
      <c r="AY46" s="118">
        <f>AX46-MAX(0,IFERROR(INDEX(CADASTRO!$I$4:$I$80,MATCH($A46,CADASTRO!$A$4:$A$80,0)),$B46)-CONFIG!$B$50*(COUNTIF($S46:$Y46,"AB")+COUNTIF($S46:$Y46,"FE")+COUNTIF($S46:$Y46,"LM")))</f>
        <v/>
      </c>
      <c r="AZ46" s="117">
        <f>SUMPRODUCT(($Z46:$AF46="M")*6+($Z46:$AF46="T")*6+($Z46:$AF46="D")*12+($Z46:$AF46="N")*12+($Z46:$AF46="NT")*6+($Z46:$AF46="C")*10+($Z46:$AF46="A")*8+($Z46:$AF46="J")*5+($Z46:$AF46="CEP")*4+($Z46:$AF46="CP")*6+($Z46:$AF46="CRO")*6+($Z46:$AF46="M+")*6+($Z46:$AF46="T+")*6+($Z46:$AF46="D+")*12+($Z46:$AF46="N+")*12+($Z46:$AF46="Dm+")*12+($Z46:$AF46="Dt+")*12+($Z46:$AF46="Tm-")*6+($Z46:$AF46="Mt-")*6)</f>
        <v/>
      </c>
      <c r="BA46" s="118">
        <f>AZ46-MAX(0,IFERROR(INDEX(CADASTRO!$I$4:$I$80,MATCH($A46,CADASTRO!$A$4:$A$80,0)),$B46)-CONFIG!$B$50*(COUNTIF($Z46:$AF46,"AB")+COUNTIF($Z46:$AF46,"FE")+COUNTIF($Z46:$AF46,"LM")))</f>
        <v/>
      </c>
      <c r="BB46" s="117">
        <f>SUMPRODUCT(($AG46:$AM46="M")*6+($AG46:$AM46="T")*6+($AG46:$AM46="D")*12+($AG46:$AM46="N")*12+($AG46:$AM46="NT")*6+($AG46:$AM46="C")*10+($AG46:$AM46="A")*8+($AG46:$AM46="J")*5+($AG46:$AM46="CEP")*4+($AG46:$AM46="CP")*6+($AG46:$AM46="CRO")*6+($AG46:$AM46="M+")*6+($AG46:$AM46="T+")*6+($AG46:$AM46="D+")*12+($AG46:$AM46="N+")*12+($AG46:$AM46="Dm+")*12+($AG46:$AM46="Dt+")*12+($AG46:$AM46="Tm-")*6+($AG46:$AM46="Mt-")*6)</f>
        <v/>
      </c>
      <c r="BC46" s="118">
        <f>BB46-MAX(0,IFERROR(INDEX(CADASTRO!$I$4:$I$80,MATCH($A46,CADASTRO!$A$4:$A$80,0)),$B46)-CONFIG!$B$50*(COUNTIF($AG46:$AM46,"AB")+COUNTIF($AG46:$AM46,"FE")+COUNTIF($AG46:$AM46,"LM")))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36">
        <f>IFERROR(INDEX(ABR!AI$8:AI$73,MATCH($A47,ABR!$A$8:$A$73,0))&amp;"","")</f>
        <v/>
      </c>
      <c r="F47" s="136">
        <f>IFERROR(INDEX(ABR!AJ$8:AJ$73,MATCH($A47,ABR!$A$8:$A$73,0))&amp;"","")</f>
        <v/>
      </c>
      <c r="G47" s="136">
        <f>IFERROR(INDEX(ABR!AK$8:AK$73,MATCH($A47,ABR!$A$8:$A$73,0))&amp;"","")</f>
        <v/>
      </c>
      <c r="H47" s="136">
        <f>IFERROR(INDEX(ABR!AL$8:AL$73,MATCH($A47,ABR!$A$8:$A$73,0))&amp;"","")</f>
        <v/>
      </c>
      <c r="I47" s="114" t="n"/>
      <c r="J47" s="124" t="inlineStr">
        <is>
          <t>D</t>
        </is>
      </c>
      <c r="K47" s="114" t="n"/>
      <c r="L47" s="124" t="inlineStr">
        <is>
          <t>D</t>
        </is>
      </c>
      <c r="M47" s="125" t="inlineStr">
        <is>
          <t>N</t>
        </is>
      </c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24" t="inlineStr">
        <is>
          <t>D</t>
        </is>
      </c>
      <c r="Y47" s="124" t="inlineStr">
        <is>
          <t>D</t>
        </is>
      </c>
      <c r="Z47" s="114" t="n"/>
      <c r="AA47" s="125" t="inlineStr">
        <is>
          <t>N</t>
        </is>
      </c>
      <c r="AB47" s="114" t="n"/>
      <c r="AC47" s="114" t="n"/>
      <c r="AD47" s="125" t="inlineStr">
        <is>
          <t>N</t>
        </is>
      </c>
      <c r="AE47" s="114" t="n"/>
      <c r="AF47" s="114" t="n"/>
      <c r="AG47" s="114" t="n"/>
      <c r="AH47" s="125" t="inlineStr">
        <is>
          <t>N</t>
        </is>
      </c>
      <c r="AI47" s="114" t="n"/>
      <c r="AJ47" s="124" t="inlineStr">
        <is>
          <t>D</t>
        </is>
      </c>
      <c r="AK47" s="114" t="n"/>
      <c r="AL47" s="114" t="n"/>
      <c r="AM47" s="114" t="n"/>
      <c r="AN47" s="100" t="n"/>
      <c r="AO47" s="100" t="n"/>
      <c r="AP47" s="100" t="n"/>
      <c r="AQ47" s="100" t="n"/>
      <c r="AR47" s="100" t="n"/>
      <c r="AS47" s="100" t="n"/>
      <c r="AT47" s="117">
        <f>SUMPRODUCT(($E47:$K47="M")*6+($E47:$K47="T")*6+($E47:$K47="D")*12+($E47:$K47="N")*12+($E47:$K47="NT")*6+($E47:$K47="C")*10+($E47:$K47="A")*8+($E47:$K47="J")*5+($E47:$K47="CEP")*4+($E47:$K47="CP")*6+($E47:$K47="CRO")*6+($E47:$K47="M+")*6+($E47:$K47="T+")*6+($E47:$K47="D+")*12+($E47:$K47="N+")*12+($E47:$K47="Dm+")*12+($E47:$K47="Dt+")*12+($E47:$K47="Tm-")*6+($E47:$K47="Mt-")*6)</f>
        <v/>
      </c>
      <c r="AU47" s="118">
        <f>AT47-MAX(0,IFERROR(INDEX(CADASTRO!$I$4:$I$80,MATCH($A47,CADASTRO!$A$4:$A$80,0)),$B47)-CONFIG!$B$50*(COUNTIF($E47:$K47,"AB")+COUNTIF($E47:$K47,"FE")+COUNTIF($E47:$K47,"LM")))</f>
        <v/>
      </c>
      <c r="AV47" s="117">
        <f>SUMPRODUCT(($L47:$R47="M")*6+($L47:$R47="T")*6+($L47:$R47="D")*12+($L47:$R47="N")*12+($L47:$R47="NT")*6+($L47:$R47="C")*10+($L47:$R47="A")*8+($L47:$R47="J")*5+($L47:$R47="CEP")*4+($L47:$R47="CP")*6+($L47:$R47="CRO")*6+($L47:$R47="M+")*6+($L47:$R47="T+")*6+($L47:$R47="D+")*12+($L47:$R47="N+")*12+($L47:$R47="Dm+")*12+($L47:$R47="Dt+")*12+($L47:$R47="Tm-")*6+($L47:$R47="Mt-")*6)</f>
        <v/>
      </c>
      <c r="AW47" s="118">
        <f>AV47-MAX(0,IFERROR(INDEX(CADASTRO!$I$4:$I$80,MATCH($A47,CADASTRO!$A$4:$A$80,0)),$B47)-CONFIG!$B$50*(COUNTIF($L47:$R47,"AB")+COUNTIF($L47:$R47,"FE")+COUNTIF($L47:$R47,"LM")))</f>
        <v/>
      </c>
      <c r="AX47" s="117">
        <f>SUMPRODUCT(($S47:$Y47="M")*6+($S47:$Y47="T")*6+($S47:$Y47="D")*12+($S47:$Y47="N")*12+($S47:$Y47="NT")*6+($S47:$Y47="C")*10+($S47:$Y47="A")*8+($S47:$Y47="J")*5+($S47:$Y47="CEP")*4+($S47:$Y47="CP")*6+($S47:$Y47="CRO")*6+($S47:$Y47="M+")*6+($S47:$Y47="T+")*6+($S47:$Y47="D+")*12+($S47:$Y47="N+")*12+($S47:$Y47="Dm+")*12+($S47:$Y47="Dt+")*12+($S47:$Y47="Tm-")*6+($S47:$Y47="Mt-")*6)</f>
        <v/>
      </c>
      <c r="AY47" s="118">
        <f>AX47-MAX(0,IFERROR(INDEX(CADASTRO!$I$4:$I$80,MATCH($A47,CADASTRO!$A$4:$A$80,0)),$B47)-CONFIG!$B$50*(COUNTIF($S47:$Y47,"AB")+COUNTIF($S47:$Y47,"FE")+COUNTIF($S47:$Y47,"LM")))</f>
        <v/>
      </c>
      <c r="AZ47" s="117">
        <f>SUMPRODUCT(($Z47:$AF47="M")*6+($Z47:$AF47="T")*6+($Z47:$AF47="D")*12+($Z47:$AF47="N")*12+($Z47:$AF47="NT")*6+($Z47:$AF47="C")*10+($Z47:$AF47="A")*8+($Z47:$AF47="J")*5+($Z47:$AF47="CEP")*4+($Z47:$AF47="CP")*6+($Z47:$AF47="CRO")*6+($Z47:$AF47="M+")*6+($Z47:$AF47="T+")*6+($Z47:$AF47="D+")*12+($Z47:$AF47="N+")*12+($Z47:$AF47="Dm+")*12+($Z47:$AF47="Dt+")*12+($Z47:$AF47="Tm-")*6+($Z47:$AF47="Mt-")*6)</f>
        <v/>
      </c>
      <c r="BA47" s="118">
        <f>AZ47-MAX(0,IFERROR(INDEX(CADASTRO!$I$4:$I$80,MATCH($A47,CADASTRO!$A$4:$A$80,0)),$B47)-CONFIG!$B$50*(COUNTIF($Z47:$AF47,"AB")+COUNTIF($Z47:$AF47,"FE")+COUNTIF($Z47:$AF47,"LM")))</f>
        <v/>
      </c>
      <c r="BB47" s="117">
        <f>SUMPRODUCT(($AG47:$AM47="M")*6+($AG47:$AM47="T")*6+($AG47:$AM47="D")*12+($AG47:$AM47="N")*12+($AG47:$AM47="NT")*6+($AG47:$AM47="C")*10+($AG47:$AM47="A")*8+($AG47:$AM47="J")*5+($AG47:$AM47="CEP")*4+($AG47:$AM47="CP")*6+($AG47:$AM47="CRO")*6+($AG47:$AM47="M+")*6+($AG47:$AM47="T+")*6+($AG47:$AM47="D+")*12+($AG47:$AM47="N+")*12+($AG47:$AM47="Dm+")*12+($AG47:$AM47="Dt+")*12+($AG47:$AM47="Tm-")*6+($AG47:$AM47="Mt-")*6)</f>
        <v/>
      </c>
      <c r="BC47" s="118">
        <f>BB47-MAX(0,IFERROR(INDEX(CADASTRO!$I$4:$I$80,MATCH($A47,CADASTRO!$A$4:$A$80,0)),$B47)-CONFIG!$B$50*(COUNTIF($AG47:$AM47,"AB")+COUNTIF($AG47:$AM47,"FE")+COUNTIF($AG47:$AM47,"LM")))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36">
        <f>IFERROR(INDEX(ABR!AI$8:AI$73,MATCH($A48,ABR!$A$8:$A$73,0))&amp;"","")</f>
        <v/>
      </c>
      <c r="F48" s="136">
        <f>IFERROR(INDEX(ABR!AJ$8:AJ$73,MATCH($A48,ABR!$A$8:$A$73,0))&amp;"","")</f>
        <v/>
      </c>
      <c r="G48" s="136">
        <f>IFERROR(INDEX(ABR!AK$8:AK$73,MATCH($A48,ABR!$A$8:$A$73,0))&amp;"","")</f>
        <v/>
      </c>
      <c r="H48" s="136">
        <f>IFERROR(INDEX(ABR!AL$8:AL$73,MATCH($A48,ABR!$A$8:$A$73,0))&amp;"","")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14" t="n"/>
      <c r="AN48" s="100" t="n"/>
      <c r="AO48" s="100" t="n"/>
      <c r="AP48" s="100" t="n"/>
      <c r="AQ48" s="100" t="n"/>
      <c r="AR48" s="100" t="n"/>
      <c r="AS48" s="100" t="n"/>
      <c r="AT48" s="117">
        <f>SUMPRODUCT(($E48:$K48="M")*6+($E48:$K48="T")*6+($E48:$K48="D")*12+($E48:$K48="N")*12+($E48:$K48="NT")*6+($E48:$K48="C")*10+($E48:$K48="A")*8+($E48:$K48="J")*5+($E48:$K48="CEP")*4+($E48:$K48="CP")*6+($E48:$K48="CRO")*6+($E48:$K48="M+")*6+($E48:$K48="T+")*6+($E48:$K48="D+")*12+($E48:$K48="N+")*12+($E48:$K48="Dm+")*12+($E48:$K48="Dt+")*12+($E48:$K48="Tm-")*6+($E48:$K48="Mt-")*6)</f>
        <v/>
      </c>
      <c r="AU48" s="118">
        <f>AT48-MAX(0,IFERROR(INDEX(CADASTRO!$I$4:$I$80,MATCH($A48,CADASTRO!$A$4:$A$80,0)),$B48)-CONFIG!$B$50*(COUNTIF($E48:$K48,"AB")+COUNTIF($E48:$K48,"FE")+COUNTIF($E48:$K48,"LM")))</f>
        <v/>
      </c>
      <c r="AV48" s="117">
        <f>SUMPRODUCT(($L48:$R48="M")*6+($L48:$R48="T")*6+($L48:$R48="D")*12+($L48:$R48="N")*12+($L48:$R48="NT")*6+($L48:$R48="C")*10+($L48:$R48="A")*8+($L48:$R48="J")*5+($L48:$R48="CEP")*4+($L48:$R48="CP")*6+($L48:$R48="CRO")*6+($L48:$R48="M+")*6+($L48:$R48="T+")*6+($L48:$R48="D+")*12+($L48:$R48="N+")*12+($L48:$R48="Dm+")*12+($L48:$R48="Dt+")*12+($L48:$R48="Tm-")*6+($L48:$R48="Mt-")*6)</f>
        <v/>
      </c>
      <c r="AW48" s="118">
        <f>AV48-MAX(0,IFERROR(INDEX(CADASTRO!$I$4:$I$80,MATCH($A48,CADASTRO!$A$4:$A$80,0)),$B48)-CONFIG!$B$50*(COUNTIF($L48:$R48,"AB")+COUNTIF($L48:$R48,"FE")+COUNTIF($L48:$R48,"LM")))</f>
        <v/>
      </c>
      <c r="AX48" s="117">
        <f>SUMPRODUCT(($S48:$Y48="M")*6+($S48:$Y48="T")*6+($S48:$Y48="D")*12+($S48:$Y48="N")*12+($S48:$Y48="NT")*6+($S48:$Y48="C")*10+($S48:$Y48="A")*8+($S48:$Y48="J")*5+($S48:$Y48="CEP")*4+($S48:$Y48="CP")*6+($S48:$Y48="CRO")*6+($S48:$Y48="M+")*6+($S48:$Y48="T+")*6+($S48:$Y48="D+")*12+($S48:$Y48="N+")*12+($S48:$Y48="Dm+")*12+($S48:$Y48="Dt+")*12+($S48:$Y48="Tm-")*6+($S48:$Y48="Mt-")*6)</f>
        <v/>
      </c>
      <c r="AY48" s="118">
        <f>AX48-MAX(0,IFERROR(INDEX(CADASTRO!$I$4:$I$80,MATCH($A48,CADASTRO!$A$4:$A$80,0)),$B48)-CONFIG!$B$50*(COUNTIF($S48:$Y48,"AB")+COUNTIF($S48:$Y48,"FE")+COUNTIF($S48:$Y48,"LM")))</f>
        <v/>
      </c>
      <c r="AZ48" s="117">
        <f>SUMPRODUCT(($Z48:$AF48="M")*6+($Z48:$AF48="T")*6+($Z48:$AF48="D")*12+($Z48:$AF48="N")*12+($Z48:$AF48="NT")*6+($Z48:$AF48="C")*10+($Z48:$AF48="A")*8+($Z48:$AF48="J")*5+($Z48:$AF48="CEP")*4+($Z48:$AF48="CP")*6+($Z48:$AF48="CRO")*6+($Z48:$AF48="M+")*6+($Z48:$AF48="T+")*6+($Z48:$AF48="D+")*12+($Z48:$AF48="N+")*12+($Z48:$AF48="Dm+")*12+($Z48:$AF48="Dt+")*12+($Z48:$AF48="Tm-")*6+($Z48:$AF48="Mt-")*6)</f>
        <v/>
      </c>
      <c r="BA48" s="118">
        <f>AZ48-MAX(0,IFERROR(INDEX(CADASTRO!$I$4:$I$80,MATCH($A48,CADASTRO!$A$4:$A$80,0)),$B48)-CONFIG!$B$50*(COUNTIF($Z48:$AF48,"AB")+COUNTIF($Z48:$AF48,"FE")+COUNTIF($Z48:$AF48,"LM")))</f>
        <v/>
      </c>
      <c r="BB48" s="117">
        <f>SUMPRODUCT(($AG48:$AM48="M")*6+($AG48:$AM48="T")*6+($AG48:$AM48="D")*12+($AG48:$AM48="N")*12+($AG48:$AM48="NT")*6+($AG48:$AM48="C")*10+($AG48:$AM48="A")*8+($AG48:$AM48="J")*5+($AG48:$AM48="CEP")*4+($AG48:$AM48="CP")*6+($AG48:$AM48="CRO")*6+($AG48:$AM48="M+")*6+($AG48:$AM48="T+")*6+($AG48:$AM48="D+")*12+($AG48:$AM48="N+")*12+($AG48:$AM48="Dm+")*12+($AG48:$AM48="Dt+")*12+($AG48:$AM48="Tm-")*6+($AG48:$AM48="Mt-")*6)</f>
        <v/>
      </c>
      <c r="BC48" s="118">
        <f>BB48-MAX(0,IFERROR(INDEX(CADASTRO!$I$4:$I$80,MATCH($A48,CADASTRO!$A$4:$A$80,0)),$B48)-CONFIG!$B$50*(COUNTIF($AG48:$AM48,"AB")+COUNTIF($AG48:$AM48,"FE")+COUNTIF($AG48:$AM48,"LM")))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36">
        <f>IFERROR(INDEX(ABR!AI$8:AI$73,MATCH($A49,ABR!$A$8:$A$73,0))&amp;"","")</f>
        <v/>
      </c>
      <c r="F49" s="136">
        <f>IFERROR(INDEX(ABR!AJ$8:AJ$73,MATCH($A49,ABR!$A$8:$A$73,0))&amp;"","")</f>
        <v/>
      </c>
      <c r="G49" s="136">
        <f>IFERROR(INDEX(ABR!AK$8:AK$73,MATCH($A49,ABR!$A$8:$A$73,0))&amp;"","")</f>
        <v/>
      </c>
      <c r="H49" s="136">
        <f>IFERROR(INDEX(ABR!AL$8:AL$73,MATCH($A49,ABR!$A$8:$A$73,0))&amp;"","")</f>
        <v/>
      </c>
      <c r="I49" s="114" t="n"/>
      <c r="J49" s="114" t="n"/>
      <c r="K49" s="114" t="n"/>
      <c r="L49" s="114" t="n"/>
      <c r="M49" s="114" t="n"/>
      <c r="N49" s="124" t="inlineStr">
        <is>
          <t>D</t>
        </is>
      </c>
      <c r="O49" s="114" t="n"/>
      <c r="P49" s="114" t="n"/>
      <c r="Q49" s="126" t="inlineStr">
        <is>
          <t>T</t>
        </is>
      </c>
      <c r="R49" s="114" t="n"/>
      <c r="S49" s="114" t="n"/>
      <c r="T49" s="114" t="n"/>
      <c r="U49" s="124" t="inlineStr">
        <is>
          <t>D</t>
        </is>
      </c>
      <c r="V49" s="114" t="n"/>
      <c r="W49" s="114" t="n"/>
      <c r="X49" s="114" t="n"/>
      <c r="Y49" s="124" t="inlineStr">
        <is>
          <t>D</t>
        </is>
      </c>
      <c r="Z49" s="124" t="inlineStr">
        <is>
          <t>D</t>
        </is>
      </c>
      <c r="AA49" s="114" t="n"/>
      <c r="AB49" s="124" t="inlineStr">
        <is>
          <t>D</t>
        </is>
      </c>
      <c r="AC49" s="114" t="n"/>
      <c r="AD49" s="114" t="n"/>
      <c r="AE49" s="114" t="n"/>
      <c r="AF49" s="114" t="n"/>
      <c r="AG49" s="114" t="n"/>
      <c r="AH49" s="114" t="n"/>
      <c r="AI49" s="114" t="n"/>
      <c r="AJ49" s="114" t="n"/>
      <c r="AK49" s="114" t="n"/>
      <c r="AL49" s="114" t="n"/>
      <c r="AM49" s="114" t="n"/>
      <c r="AN49" s="100" t="n"/>
      <c r="AO49" s="100" t="n"/>
      <c r="AP49" s="100" t="n"/>
      <c r="AQ49" s="100" t="n"/>
      <c r="AR49" s="100" t="n"/>
      <c r="AS49" s="100" t="n"/>
      <c r="AT49" s="117">
        <f>SUMPRODUCT(($E49:$K49="M")*6+($E49:$K49="T")*6+($E49:$K49="D")*12+($E49:$K49="N")*12+($E49:$K49="NT")*6+($E49:$K49="C")*10+($E49:$K49="A")*8+($E49:$K49="J")*5+($E49:$K49="CEP")*4+($E49:$K49="CP")*6+($E49:$K49="CRO")*6+($E49:$K49="M+")*6+($E49:$K49="T+")*6+($E49:$K49="D+")*12+($E49:$K49="N+")*12+($E49:$K49="Dm+")*12+($E49:$K49="Dt+")*12+($E49:$K49="Tm-")*6+($E49:$K49="Mt-")*6)</f>
        <v/>
      </c>
      <c r="AU49" s="118">
        <f>AT49-MAX(0,IFERROR(INDEX(CADASTRO!$I$4:$I$80,MATCH($A49,CADASTRO!$A$4:$A$80,0)),$B49)-CONFIG!$B$50*(COUNTIF($E49:$K49,"AB")+COUNTIF($E49:$K49,"FE")+COUNTIF($E49:$K49,"LM")))</f>
        <v/>
      </c>
      <c r="AV49" s="117">
        <f>SUMPRODUCT(($L49:$R49="M")*6+($L49:$R49="T")*6+($L49:$R49="D")*12+($L49:$R49="N")*12+($L49:$R49="NT")*6+($L49:$R49="C")*10+($L49:$R49="A")*8+($L49:$R49="J")*5+($L49:$R49="CEP")*4+($L49:$R49="CP")*6+($L49:$R49="CRO")*6+($L49:$R49="M+")*6+($L49:$R49="T+")*6+($L49:$R49="D+")*12+($L49:$R49="N+")*12+($L49:$R49="Dm+")*12+($L49:$R49="Dt+")*12+($L49:$R49="Tm-")*6+($L49:$R49="Mt-")*6)</f>
        <v/>
      </c>
      <c r="AW49" s="118">
        <f>AV49-MAX(0,IFERROR(INDEX(CADASTRO!$I$4:$I$80,MATCH($A49,CADASTRO!$A$4:$A$80,0)),$B49)-CONFIG!$B$50*(COUNTIF($L49:$R49,"AB")+COUNTIF($L49:$R49,"FE")+COUNTIF($L49:$R49,"LM")))</f>
        <v/>
      </c>
      <c r="AX49" s="117">
        <f>SUMPRODUCT(($S49:$Y49="M")*6+($S49:$Y49="T")*6+($S49:$Y49="D")*12+($S49:$Y49="N")*12+($S49:$Y49="NT")*6+($S49:$Y49="C")*10+($S49:$Y49="A")*8+($S49:$Y49="J")*5+($S49:$Y49="CEP")*4+($S49:$Y49="CP")*6+($S49:$Y49="CRO")*6+($S49:$Y49="M+")*6+($S49:$Y49="T+")*6+($S49:$Y49="D+")*12+($S49:$Y49="N+")*12+($S49:$Y49="Dm+")*12+($S49:$Y49="Dt+")*12+($S49:$Y49="Tm-")*6+($S49:$Y49="Mt-")*6)</f>
        <v/>
      </c>
      <c r="AY49" s="118">
        <f>AX49-MAX(0,IFERROR(INDEX(CADASTRO!$I$4:$I$80,MATCH($A49,CADASTRO!$A$4:$A$80,0)),$B49)-CONFIG!$B$50*(COUNTIF($S49:$Y49,"AB")+COUNTIF($S49:$Y49,"FE")+COUNTIF($S49:$Y49,"LM")))</f>
        <v/>
      </c>
      <c r="AZ49" s="117">
        <f>SUMPRODUCT(($Z49:$AF49="M")*6+($Z49:$AF49="T")*6+($Z49:$AF49="D")*12+($Z49:$AF49="N")*12+($Z49:$AF49="NT")*6+($Z49:$AF49="C")*10+($Z49:$AF49="A")*8+($Z49:$AF49="J")*5+($Z49:$AF49="CEP")*4+($Z49:$AF49="CP")*6+($Z49:$AF49="CRO")*6+($Z49:$AF49="M+")*6+($Z49:$AF49="T+")*6+($Z49:$AF49="D+")*12+($Z49:$AF49="N+")*12+($Z49:$AF49="Dm+")*12+($Z49:$AF49="Dt+")*12+($Z49:$AF49="Tm-")*6+($Z49:$AF49="Mt-")*6)</f>
        <v/>
      </c>
      <c r="BA49" s="118">
        <f>AZ49-MAX(0,IFERROR(INDEX(CADASTRO!$I$4:$I$80,MATCH($A49,CADASTRO!$A$4:$A$80,0)),$B49)-CONFIG!$B$50*(COUNTIF($Z49:$AF49,"AB")+COUNTIF($Z49:$AF49,"FE")+COUNTIF($Z49:$AF49,"LM")))</f>
        <v/>
      </c>
      <c r="BB49" s="117">
        <f>SUMPRODUCT(($AG49:$AM49="M")*6+($AG49:$AM49="T")*6+($AG49:$AM49="D")*12+($AG49:$AM49="N")*12+($AG49:$AM49="NT")*6+($AG49:$AM49="C")*10+($AG49:$AM49="A")*8+($AG49:$AM49="J")*5+($AG49:$AM49="CEP")*4+($AG49:$AM49="CP")*6+($AG49:$AM49="CRO")*6+($AG49:$AM49="M+")*6+($AG49:$AM49="T+")*6+($AG49:$AM49="D+")*12+($AG49:$AM49="N+")*12+($AG49:$AM49="Dm+")*12+($AG49:$AM49="Dt+")*12+($AG49:$AM49="Tm-")*6+($AG49:$AM49="Mt-")*6)</f>
        <v/>
      </c>
      <c r="BC49" s="118">
        <f>BB49-MAX(0,IFERROR(INDEX(CADASTRO!$I$4:$I$80,MATCH($A49,CADASTRO!$A$4:$A$80,0)),$B49)-CONFIG!$B$50*(COUNTIF($AG49:$AM49,"AB")+COUNTIF($AG49:$AM49,"FE")+COUNTIF($AG49:$AM49,"LM")))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36">
        <f>IFERROR(INDEX(ABR!AI$8:AI$73,MATCH($A50,ABR!$A$8:$A$73,0))&amp;"","")</f>
        <v/>
      </c>
      <c r="F50" s="136">
        <f>IFERROR(INDEX(ABR!AJ$8:AJ$73,MATCH($A50,ABR!$A$8:$A$73,0))&amp;"","")</f>
        <v/>
      </c>
      <c r="G50" s="136">
        <f>IFERROR(INDEX(ABR!AK$8:AK$73,MATCH($A50,ABR!$A$8:$A$73,0))&amp;"","")</f>
        <v/>
      </c>
      <c r="H50" s="136">
        <f>IFERROR(INDEX(ABR!AL$8:AL$73,MATCH($A50,ABR!$A$8:$A$73,0))&amp;"","")</f>
        <v/>
      </c>
      <c r="I50" s="114" t="n"/>
      <c r="J50" s="124" t="inlineStr">
        <is>
          <t>D</t>
        </is>
      </c>
      <c r="K50" s="114" t="n"/>
      <c r="L50" s="114" t="n"/>
      <c r="M50" s="114" t="n"/>
      <c r="N50" s="114" t="n"/>
      <c r="O50" s="114" t="n"/>
      <c r="P50" s="125" t="inlineStr">
        <is>
          <t>N</t>
        </is>
      </c>
      <c r="Q50" s="114" t="n"/>
      <c r="R50" s="125" t="inlineStr">
        <is>
          <t>N</t>
        </is>
      </c>
      <c r="S50" s="114" t="n"/>
      <c r="T50" s="115" t="inlineStr">
        <is>
          <t>M</t>
        </is>
      </c>
      <c r="U50" s="114" t="n"/>
      <c r="V50" s="126" t="inlineStr">
        <is>
          <t>T</t>
        </is>
      </c>
      <c r="W50" s="126" t="inlineStr">
        <is>
          <t>T</t>
        </is>
      </c>
      <c r="X50" s="114" t="n"/>
      <c r="Y50" s="115" t="inlineStr">
        <is>
          <t>M</t>
        </is>
      </c>
      <c r="Z50" s="114" t="n"/>
      <c r="AA50" s="124" t="inlineStr">
        <is>
          <t>D</t>
        </is>
      </c>
      <c r="AB50" s="114" t="n"/>
      <c r="AC50" s="126" t="inlineStr">
        <is>
          <t>T</t>
        </is>
      </c>
      <c r="AD50" s="126" t="inlineStr">
        <is>
          <t>T</t>
        </is>
      </c>
      <c r="AE50" s="114" t="n"/>
      <c r="AF50" s="114" t="n"/>
      <c r="AG50" s="126" t="inlineStr">
        <is>
          <t>T</t>
        </is>
      </c>
      <c r="AH50" s="124" t="inlineStr">
        <is>
          <t>D</t>
        </is>
      </c>
      <c r="AI50" s="114" t="n"/>
      <c r="AJ50" s="126" t="inlineStr">
        <is>
          <t>T</t>
        </is>
      </c>
      <c r="AK50" s="114" t="n"/>
      <c r="AL50" s="114" t="n"/>
      <c r="AM50" s="114" t="n"/>
      <c r="AN50" s="100" t="n"/>
      <c r="AO50" s="100" t="n"/>
      <c r="AP50" s="100" t="n"/>
      <c r="AQ50" s="100" t="n"/>
      <c r="AR50" s="100" t="n"/>
      <c r="AS50" s="100" t="n"/>
      <c r="AT50" s="117">
        <f>SUMPRODUCT(($E50:$K50="M")*6+($E50:$K50="T")*6+($E50:$K50="D")*12+($E50:$K50="N")*12+($E50:$K50="NT")*6+($E50:$K50="C")*10+($E50:$K50="A")*8+($E50:$K50="J")*5+($E50:$K50="CEP")*4+($E50:$K50="CP")*6+($E50:$K50="CRO")*6+($E50:$K50="M+")*6+($E50:$K50="T+")*6+($E50:$K50="D+")*12+($E50:$K50="N+")*12+($E50:$K50="Dm+")*12+($E50:$K50="Dt+")*12+($E50:$K50="Tm-")*6+($E50:$K50="Mt-")*6)</f>
        <v/>
      </c>
      <c r="AU50" s="118">
        <f>AT50-MAX(0,IFERROR(INDEX(CADASTRO!$I$4:$I$80,MATCH($A50,CADASTRO!$A$4:$A$80,0)),$B50)-CONFIG!$B$50*(COUNTIF($E50:$K50,"AB")+COUNTIF($E50:$K50,"FE")+COUNTIF($E50:$K50,"LM")))</f>
        <v/>
      </c>
      <c r="AV50" s="117">
        <f>SUMPRODUCT(($L50:$R50="M")*6+($L50:$R50="T")*6+($L50:$R50="D")*12+($L50:$R50="N")*12+($L50:$R50="NT")*6+($L50:$R50="C")*10+($L50:$R50="A")*8+($L50:$R50="J")*5+($L50:$R50="CEP")*4+($L50:$R50="CP")*6+($L50:$R50="CRO")*6+($L50:$R50="M+")*6+($L50:$R50="T+")*6+($L50:$R50="D+")*12+($L50:$R50="N+")*12+($L50:$R50="Dm+")*12+($L50:$R50="Dt+")*12+($L50:$R50="Tm-")*6+($L50:$R50="Mt-")*6)</f>
        <v/>
      </c>
      <c r="AW50" s="118">
        <f>AV50-MAX(0,IFERROR(INDEX(CADASTRO!$I$4:$I$80,MATCH($A50,CADASTRO!$A$4:$A$80,0)),$B50)-CONFIG!$B$50*(COUNTIF($L50:$R50,"AB")+COUNTIF($L50:$R50,"FE")+COUNTIF($L50:$R50,"LM")))</f>
        <v/>
      </c>
      <c r="AX50" s="117">
        <f>SUMPRODUCT(($S50:$Y50="M")*6+($S50:$Y50="T")*6+($S50:$Y50="D")*12+($S50:$Y50="N")*12+($S50:$Y50="NT")*6+($S50:$Y50="C")*10+($S50:$Y50="A")*8+($S50:$Y50="J")*5+($S50:$Y50="CEP")*4+($S50:$Y50="CP")*6+($S50:$Y50="CRO")*6+($S50:$Y50="M+")*6+($S50:$Y50="T+")*6+($S50:$Y50="D+")*12+($S50:$Y50="N+")*12+($S50:$Y50="Dm+")*12+($S50:$Y50="Dt+")*12+($S50:$Y50="Tm-")*6+($S50:$Y50="Mt-")*6)</f>
        <v/>
      </c>
      <c r="AY50" s="118">
        <f>AX50-MAX(0,IFERROR(INDEX(CADASTRO!$I$4:$I$80,MATCH($A50,CADASTRO!$A$4:$A$80,0)),$B50)-CONFIG!$B$50*(COUNTIF($S50:$Y50,"AB")+COUNTIF($S50:$Y50,"FE")+COUNTIF($S50:$Y50,"LM")))</f>
        <v/>
      </c>
      <c r="AZ50" s="117">
        <f>SUMPRODUCT(($Z50:$AF50="M")*6+($Z50:$AF50="T")*6+($Z50:$AF50="D")*12+($Z50:$AF50="N")*12+($Z50:$AF50="NT")*6+($Z50:$AF50="C")*10+($Z50:$AF50="A")*8+($Z50:$AF50="J")*5+($Z50:$AF50="CEP")*4+($Z50:$AF50="CP")*6+($Z50:$AF50="CRO")*6+($Z50:$AF50="M+")*6+($Z50:$AF50="T+")*6+($Z50:$AF50="D+")*12+($Z50:$AF50="N+")*12+($Z50:$AF50="Dm+")*12+($Z50:$AF50="Dt+")*12+($Z50:$AF50="Tm-")*6+($Z50:$AF50="Mt-")*6)</f>
        <v/>
      </c>
      <c r="BA50" s="118">
        <f>AZ50-MAX(0,IFERROR(INDEX(CADASTRO!$I$4:$I$80,MATCH($A50,CADASTRO!$A$4:$A$80,0)),$B50)-CONFIG!$B$50*(COUNTIF($Z50:$AF50,"AB")+COUNTIF($Z50:$AF50,"FE")+COUNTIF($Z50:$AF50,"LM")))</f>
        <v/>
      </c>
      <c r="BB50" s="117">
        <f>SUMPRODUCT(($AG50:$AM50="M")*6+($AG50:$AM50="T")*6+($AG50:$AM50="D")*12+($AG50:$AM50="N")*12+($AG50:$AM50="NT")*6+($AG50:$AM50="C")*10+($AG50:$AM50="A")*8+($AG50:$AM50="J")*5+($AG50:$AM50="CEP")*4+($AG50:$AM50="CP")*6+($AG50:$AM50="CRO")*6+($AG50:$AM50="M+")*6+($AG50:$AM50="T+")*6+($AG50:$AM50="D+")*12+($AG50:$AM50="N+")*12+($AG50:$AM50="Dm+")*12+($AG50:$AM50="Dt+")*12+($AG50:$AM50="Tm-")*6+($AG50:$AM50="Mt-")*6)</f>
        <v/>
      </c>
      <c r="BC50" s="118">
        <f>BB50-MAX(0,IFERROR(INDEX(CADASTRO!$I$4:$I$80,MATCH($A50,CADASTRO!$A$4:$A$80,0)),$B50)-CONFIG!$B$50*(COUNTIF($AG50:$AM50,"AB")+COUNTIF($AG50:$AM50,"FE")+COUNTIF($AG50:$AM50,"LM")))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36">
        <f>IFERROR(INDEX(ABR!AI$8:AI$73,MATCH($A51,ABR!$A$8:$A$73,0))&amp;"","")</f>
        <v/>
      </c>
      <c r="F51" s="136">
        <f>IFERROR(INDEX(ABR!AJ$8:AJ$73,MATCH($A51,ABR!$A$8:$A$73,0))&amp;"","")</f>
        <v/>
      </c>
      <c r="G51" s="136">
        <f>IFERROR(INDEX(ABR!AK$8:AK$73,MATCH($A51,ABR!$A$8:$A$73,0))&amp;"","")</f>
        <v/>
      </c>
      <c r="H51" s="136">
        <f>IFERROR(INDEX(ABR!AL$8:AL$73,MATCH($A51,ABR!$A$8:$A$73,0))&amp;"","")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14" t="n"/>
      <c r="AN51" s="100" t="n"/>
      <c r="AO51" s="100" t="n"/>
      <c r="AP51" s="100" t="n"/>
      <c r="AQ51" s="100" t="n"/>
      <c r="AR51" s="100" t="n"/>
      <c r="AS51" s="100" t="n"/>
      <c r="AT51" s="117">
        <f>SUMPRODUCT(($E51:$K51="M")*6+($E51:$K51="T")*6+($E51:$K51="D")*12+($E51:$K51="N")*12+($E51:$K51="NT")*6+($E51:$K51="C")*10+($E51:$K51="A")*8+($E51:$K51="J")*5+($E51:$K51="CEP")*4+($E51:$K51="CP")*6+($E51:$K51="CRO")*6+($E51:$K51="M+")*6+($E51:$K51="T+")*6+($E51:$K51="D+")*12+($E51:$K51="N+")*12+($E51:$K51="Dm+")*12+($E51:$K51="Dt+")*12+($E51:$K51="Tm-")*6+($E51:$K51="Mt-")*6)</f>
        <v/>
      </c>
      <c r="AU51" s="118">
        <f>AT51-MAX(0,IFERROR(INDEX(CADASTRO!$I$4:$I$80,MATCH($A51,CADASTRO!$A$4:$A$80,0)),$B51)-CONFIG!$B$50*(COUNTIF($E51:$K51,"AB")+COUNTIF($E51:$K51,"FE")+COUNTIF($E51:$K51,"LM")))</f>
        <v/>
      </c>
      <c r="AV51" s="117">
        <f>SUMPRODUCT(($L51:$R51="M")*6+($L51:$R51="T")*6+($L51:$R51="D")*12+($L51:$R51="N")*12+($L51:$R51="NT")*6+($L51:$R51="C")*10+($L51:$R51="A")*8+($L51:$R51="J")*5+($L51:$R51="CEP")*4+($L51:$R51="CP")*6+($L51:$R51="CRO")*6+($L51:$R51="M+")*6+($L51:$R51="T+")*6+($L51:$R51="D+")*12+($L51:$R51="N+")*12+($L51:$R51="Dm+")*12+($L51:$R51="Dt+")*12+($L51:$R51="Tm-")*6+($L51:$R51="Mt-")*6)</f>
        <v/>
      </c>
      <c r="AW51" s="118">
        <f>AV51-MAX(0,IFERROR(INDEX(CADASTRO!$I$4:$I$80,MATCH($A51,CADASTRO!$A$4:$A$80,0)),$B51)-CONFIG!$B$50*(COUNTIF($L51:$R51,"AB")+COUNTIF($L51:$R51,"FE")+COUNTIF($L51:$R51,"LM")))</f>
        <v/>
      </c>
      <c r="AX51" s="117">
        <f>SUMPRODUCT(($S51:$Y51="M")*6+($S51:$Y51="T")*6+($S51:$Y51="D")*12+($S51:$Y51="N")*12+($S51:$Y51="NT")*6+($S51:$Y51="C")*10+($S51:$Y51="A")*8+($S51:$Y51="J")*5+($S51:$Y51="CEP")*4+($S51:$Y51="CP")*6+($S51:$Y51="CRO")*6+($S51:$Y51="M+")*6+($S51:$Y51="T+")*6+($S51:$Y51="D+")*12+($S51:$Y51="N+")*12+($S51:$Y51="Dm+")*12+($S51:$Y51="Dt+")*12+($S51:$Y51="Tm-")*6+($S51:$Y51="Mt-")*6)</f>
        <v/>
      </c>
      <c r="AY51" s="118">
        <f>AX51-MAX(0,IFERROR(INDEX(CADASTRO!$I$4:$I$80,MATCH($A51,CADASTRO!$A$4:$A$80,0)),$B51)-CONFIG!$B$50*(COUNTIF($S51:$Y51,"AB")+COUNTIF($S51:$Y51,"FE")+COUNTIF($S51:$Y51,"LM")))</f>
        <v/>
      </c>
      <c r="AZ51" s="117">
        <f>SUMPRODUCT(($Z51:$AF51="M")*6+($Z51:$AF51="T")*6+($Z51:$AF51="D")*12+($Z51:$AF51="N")*12+($Z51:$AF51="NT")*6+($Z51:$AF51="C")*10+($Z51:$AF51="A")*8+($Z51:$AF51="J")*5+($Z51:$AF51="CEP")*4+($Z51:$AF51="CP")*6+($Z51:$AF51="CRO")*6+($Z51:$AF51="M+")*6+($Z51:$AF51="T+")*6+($Z51:$AF51="D+")*12+($Z51:$AF51="N+")*12+($Z51:$AF51="Dm+")*12+($Z51:$AF51="Dt+")*12+($Z51:$AF51="Tm-")*6+($Z51:$AF51="Mt-")*6)</f>
        <v/>
      </c>
      <c r="BA51" s="118">
        <f>AZ51-MAX(0,IFERROR(INDEX(CADASTRO!$I$4:$I$80,MATCH($A51,CADASTRO!$A$4:$A$80,0)),$B51)-CONFIG!$B$50*(COUNTIF($Z51:$AF51,"AB")+COUNTIF($Z51:$AF51,"FE")+COUNTIF($Z51:$AF51,"LM")))</f>
        <v/>
      </c>
      <c r="BB51" s="117">
        <f>SUMPRODUCT(($AG51:$AM51="M")*6+($AG51:$AM51="T")*6+($AG51:$AM51="D")*12+($AG51:$AM51="N")*12+($AG51:$AM51="NT")*6+($AG51:$AM51="C")*10+($AG51:$AM51="A")*8+($AG51:$AM51="J")*5+($AG51:$AM51="CEP")*4+($AG51:$AM51="CP")*6+($AG51:$AM51="CRO")*6+($AG51:$AM51="M+")*6+($AG51:$AM51="T+")*6+($AG51:$AM51="D+")*12+($AG51:$AM51="N+")*12+($AG51:$AM51="Dm+")*12+($AG51:$AM51="Dt+")*12+($AG51:$AM51="Tm-")*6+($AG51:$AM51="Mt-")*6)</f>
        <v/>
      </c>
      <c r="BC51" s="118">
        <f>BB51-MAX(0,IFERROR(INDEX(CADASTRO!$I$4:$I$80,MATCH($A51,CADASTRO!$A$4:$A$80,0)),$B51)-CONFIG!$B$50*(COUNTIF($AG51:$AM51,"AB")+COUNTIF($AG51:$AM51,"FE")+COUNTIF($AG51:$AM51,"LM")))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36">
        <f>IFERROR(INDEX(ABR!AI$8:AI$73,MATCH($A52,ABR!$A$8:$A$73,0))&amp;"","")</f>
        <v/>
      </c>
      <c r="F52" s="136">
        <f>IFERROR(INDEX(ABR!AJ$8:AJ$73,MATCH($A52,ABR!$A$8:$A$73,0))&amp;"","")</f>
        <v/>
      </c>
      <c r="G52" s="136">
        <f>IFERROR(INDEX(ABR!AK$8:AK$73,MATCH($A52,ABR!$A$8:$A$73,0))&amp;"","")</f>
        <v/>
      </c>
      <c r="H52" s="136">
        <f>IFERROR(INDEX(ABR!AL$8:AL$73,MATCH($A52,ABR!$A$8:$A$73,0))&amp;"","")</f>
        <v/>
      </c>
      <c r="I52" s="125" t="inlineStr">
        <is>
          <t>N</t>
        </is>
      </c>
      <c r="J52" s="114" t="n"/>
      <c r="K52" s="114" t="n"/>
      <c r="L52" s="125" t="inlineStr">
        <is>
          <t>N</t>
        </is>
      </c>
      <c r="M52" s="114" t="n"/>
      <c r="N52" s="114" t="n"/>
      <c r="O52" s="114" t="n"/>
      <c r="P52" s="114" t="n"/>
      <c r="Q52" s="125" t="inlineStr">
        <is>
          <t>N</t>
        </is>
      </c>
      <c r="R52" s="114" t="n"/>
      <c r="S52" s="125" t="inlineStr">
        <is>
          <t>N</t>
        </is>
      </c>
      <c r="T52" s="114" t="n"/>
      <c r="U52" s="114" t="n"/>
      <c r="V52" s="114" t="n"/>
      <c r="W52" s="114" t="n"/>
      <c r="X52" s="125" t="inlineStr">
        <is>
          <t>N</t>
        </is>
      </c>
      <c r="Y52" s="114" t="n"/>
      <c r="Z52" s="125" t="inlineStr">
        <is>
          <t>N</t>
        </is>
      </c>
      <c r="AA52" s="114" t="n"/>
      <c r="AB52" s="114" t="n"/>
      <c r="AC52" s="114" t="n"/>
      <c r="AD52" s="125" t="inlineStr">
        <is>
          <t>N</t>
        </is>
      </c>
      <c r="AE52" s="114" t="n"/>
      <c r="AF52" s="114" t="n"/>
      <c r="AG52" s="125" t="inlineStr">
        <is>
          <t>N</t>
        </is>
      </c>
      <c r="AH52" s="114" t="n"/>
      <c r="AI52" s="114" t="n"/>
      <c r="AJ52" s="114" t="n"/>
      <c r="AK52" s="125" t="inlineStr">
        <is>
          <t>N</t>
        </is>
      </c>
      <c r="AL52" s="114" t="n"/>
      <c r="AM52" s="114" t="n"/>
      <c r="AN52" s="100" t="n"/>
      <c r="AO52" s="100" t="n"/>
      <c r="AP52" s="100" t="n"/>
      <c r="AQ52" s="100" t="n"/>
      <c r="AR52" s="100" t="n"/>
      <c r="AS52" s="100" t="n"/>
      <c r="AT52" s="117">
        <f>SUMPRODUCT(($E52:$K52="M")*6+($E52:$K52="T")*6+($E52:$K52="D")*12+($E52:$K52="N")*12+($E52:$K52="NT")*6+($E52:$K52="C")*10+($E52:$K52="A")*8+($E52:$K52="J")*5+($E52:$K52="CEP")*4+($E52:$K52="CP")*6+($E52:$K52="CRO")*6+($E52:$K52="M+")*6+($E52:$K52="T+")*6+($E52:$K52="D+")*12+($E52:$K52="N+")*12+($E52:$K52="Dm+")*12+($E52:$K52="Dt+")*12+($E52:$K52="Tm-")*6+($E52:$K52="Mt-")*6)</f>
        <v/>
      </c>
      <c r="AU52" s="118">
        <f>AT52-MAX(0,IFERROR(INDEX(CADASTRO!$I$4:$I$80,MATCH($A52,CADASTRO!$A$4:$A$80,0)),$B52)-CONFIG!$B$50*(COUNTIF($E52:$K52,"AB")+COUNTIF($E52:$K52,"FE")+COUNTIF($E52:$K52,"LM")))</f>
        <v/>
      </c>
      <c r="AV52" s="117">
        <f>SUMPRODUCT(($L52:$R52="M")*6+($L52:$R52="T")*6+($L52:$R52="D")*12+($L52:$R52="N")*12+($L52:$R52="NT")*6+($L52:$R52="C")*10+($L52:$R52="A")*8+($L52:$R52="J")*5+($L52:$R52="CEP")*4+($L52:$R52="CP")*6+($L52:$R52="CRO")*6+($L52:$R52="M+")*6+($L52:$R52="T+")*6+($L52:$R52="D+")*12+($L52:$R52="N+")*12+($L52:$R52="Dm+")*12+($L52:$R52="Dt+")*12+($L52:$R52="Tm-")*6+($L52:$R52="Mt-")*6)</f>
        <v/>
      </c>
      <c r="AW52" s="118">
        <f>AV52-MAX(0,IFERROR(INDEX(CADASTRO!$I$4:$I$80,MATCH($A52,CADASTRO!$A$4:$A$80,0)),$B52)-CONFIG!$B$50*(COUNTIF($L52:$R52,"AB")+COUNTIF($L52:$R52,"FE")+COUNTIF($L52:$R52,"LM")))</f>
        <v/>
      </c>
      <c r="AX52" s="117">
        <f>SUMPRODUCT(($S52:$Y52="M")*6+($S52:$Y52="T")*6+($S52:$Y52="D")*12+($S52:$Y52="N")*12+($S52:$Y52="NT")*6+($S52:$Y52="C")*10+($S52:$Y52="A")*8+($S52:$Y52="J")*5+($S52:$Y52="CEP")*4+($S52:$Y52="CP")*6+($S52:$Y52="CRO")*6+($S52:$Y52="M+")*6+($S52:$Y52="T+")*6+($S52:$Y52="D+")*12+($S52:$Y52="N+")*12+($S52:$Y52="Dm+")*12+($S52:$Y52="Dt+")*12+($S52:$Y52="Tm-")*6+($S52:$Y52="Mt-")*6)</f>
        <v/>
      </c>
      <c r="AY52" s="118">
        <f>AX52-MAX(0,IFERROR(INDEX(CADASTRO!$I$4:$I$80,MATCH($A52,CADASTRO!$A$4:$A$80,0)),$B52)-CONFIG!$B$50*(COUNTIF($S52:$Y52,"AB")+COUNTIF($S52:$Y52,"FE")+COUNTIF($S52:$Y52,"LM")))</f>
        <v/>
      </c>
      <c r="AZ52" s="117">
        <f>SUMPRODUCT(($Z52:$AF52="M")*6+($Z52:$AF52="T")*6+($Z52:$AF52="D")*12+($Z52:$AF52="N")*12+($Z52:$AF52="NT")*6+($Z52:$AF52="C")*10+($Z52:$AF52="A")*8+($Z52:$AF52="J")*5+($Z52:$AF52="CEP")*4+($Z52:$AF52="CP")*6+($Z52:$AF52="CRO")*6+($Z52:$AF52="M+")*6+($Z52:$AF52="T+")*6+($Z52:$AF52="D+")*12+($Z52:$AF52="N+")*12+($Z52:$AF52="Dm+")*12+($Z52:$AF52="Dt+")*12+($Z52:$AF52="Tm-")*6+($Z52:$AF52="Mt-")*6)</f>
        <v/>
      </c>
      <c r="BA52" s="118">
        <f>AZ52-MAX(0,IFERROR(INDEX(CADASTRO!$I$4:$I$80,MATCH($A52,CADASTRO!$A$4:$A$80,0)),$B52)-CONFIG!$B$50*(COUNTIF($Z52:$AF52,"AB")+COUNTIF($Z52:$AF52,"FE")+COUNTIF($Z52:$AF52,"LM")))</f>
        <v/>
      </c>
      <c r="BB52" s="117">
        <f>SUMPRODUCT(($AG52:$AM52="M")*6+($AG52:$AM52="T")*6+($AG52:$AM52="D")*12+($AG52:$AM52="N")*12+($AG52:$AM52="NT")*6+($AG52:$AM52="C")*10+($AG52:$AM52="A")*8+($AG52:$AM52="J")*5+($AG52:$AM52="CEP")*4+($AG52:$AM52="CP")*6+($AG52:$AM52="CRO")*6+($AG52:$AM52="M+")*6+($AG52:$AM52="T+")*6+($AG52:$AM52="D+")*12+($AG52:$AM52="N+")*12+($AG52:$AM52="Dm+")*12+($AG52:$AM52="Dt+")*12+($AG52:$AM52="Tm-")*6+($AG52:$AM52="Mt-")*6)</f>
        <v/>
      </c>
      <c r="BC52" s="118">
        <f>BB52-MAX(0,IFERROR(INDEX(CADASTRO!$I$4:$I$80,MATCH($A52,CADASTRO!$A$4:$A$80,0)),$B52)-CONFIG!$B$50*(COUNTIF($AG52:$AM52,"AB")+COUNTIF($AG52:$AM52,"FE")+COUNTIF($AG52:$AM52,"LM")))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36">
        <f>IFERROR(INDEX(ABR!AI$8:AI$73,MATCH($A53,ABR!$A$8:$A$73,0))&amp;"","")</f>
        <v/>
      </c>
      <c r="F53" s="136">
        <f>IFERROR(INDEX(ABR!AJ$8:AJ$73,MATCH($A53,ABR!$A$8:$A$73,0))&amp;"","")</f>
        <v/>
      </c>
      <c r="G53" s="136">
        <f>IFERROR(INDEX(ABR!AK$8:AK$73,MATCH($A53,ABR!$A$8:$A$73,0))&amp;"","")</f>
        <v/>
      </c>
      <c r="H53" s="136">
        <f>IFERROR(INDEX(ABR!AL$8:AL$73,MATCH($A53,ABR!$A$8:$A$73,0))&amp;"","")</f>
        <v/>
      </c>
      <c r="I53" s="114" t="n"/>
      <c r="J53" s="114" t="n"/>
      <c r="K53" s="124" t="inlineStr">
        <is>
          <t>D</t>
        </is>
      </c>
      <c r="L53" s="114" t="n"/>
      <c r="M53" s="125" t="inlineStr">
        <is>
          <t>N</t>
        </is>
      </c>
      <c r="N53" s="114" t="n"/>
      <c r="O53" s="114" t="n"/>
      <c r="P53" s="114" t="n"/>
      <c r="Q53" s="115" t="inlineStr">
        <is>
          <t>M</t>
        </is>
      </c>
      <c r="R53" s="114" t="n"/>
      <c r="S53" s="125" t="inlineStr">
        <is>
          <t>N</t>
        </is>
      </c>
      <c r="T53" s="114" t="n"/>
      <c r="U53" s="114" t="n"/>
      <c r="V53" s="114" t="n"/>
      <c r="W53" s="125" t="inlineStr">
        <is>
          <t>N</t>
        </is>
      </c>
      <c r="X53" s="114" t="n"/>
      <c r="Y53" s="114" t="n"/>
      <c r="Z53" s="125" t="inlineStr">
        <is>
          <t>N</t>
        </is>
      </c>
      <c r="AA53" s="125" t="inlineStr">
        <is>
          <t>N</t>
        </is>
      </c>
      <c r="AB53" s="114" t="n"/>
      <c r="AC53" s="114" t="n"/>
      <c r="AD53" s="114" t="n"/>
      <c r="AE53" s="114" t="n"/>
      <c r="AF53" s="114" t="n"/>
      <c r="AG53" s="125" t="inlineStr">
        <is>
          <t>N</t>
        </is>
      </c>
      <c r="AH53" s="114" t="n"/>
      <c r="AI53" s="114" t="n"/>
      <c r="AJ53" s="114" t="n"/>
      <c r="AK53" s="114" t="n"/>
      <c r="AL53" s="125" t="inlineStr">
        <is>
          <t>N</t>
        </is>
      </c>
      <c r="AM53" s="114" t="n"/>
      <c r="AN53" s="100" t="n"/>
      <c r="AO53" s="100" t="n"/>
      <c r="AP53" s="100" t="n"/>
      <c r="AQ53" s="100" t="n"/>
      <c r="AR53" s="100" t="n"/>
      <c r="AS53" s="100" t="n"/>
      <c r="AT53" s="117">
        <f>SUMPRODUCT(($E53:$K53="M")*6+($E53:$K53="T")*6+($E53:$K53="D")*12+($E53:$K53="N")*12+($E53:$K53="NT")*6+($E53:$K53="C")*10+($E53:$K53="A")*8+($E53:$K53="J")*5+($E53:$K53="CEP")*4+($E53:$K53="CP")*6+($E53:$K53="CRO")*6+($E53:$K53="M+")*6+($E53:$K53="T+")*6+($E53:$K53="D+")*12+($E53:$K53="N+")*12+($E53:$K53="Dm+")*12+($E53:$K53="Dt+")*12+($E53:$K53="Tm-")*6+($E53:$K53="Mt-")*6)</f>
        <v/>
      </c>
      <c r="AU53" s="118">
        <f>AT53-MAX(0,IFERROR(INDEX(CADASTRO!$I$4:$I$80,MATCH($A53,CADASTRO!$A$4:$A$80,0)),$B53)-CONFIG!$B$50*(COUNTIF($E53:$K53,"AB")+COUNTIF($E53:$K53,"FE")+COUNTIF($E53:$K53,"LM")))</f>
        <v/>
      </c>
      <c r="AV53" s="117">
        <f>SUMPRODUCT(($L53:$R53="M")*6+($L53:$R53="T")*6+($L53:$R53="D")*12+($L53:$R53="N")*12+($L53:$R53="NT")*6+($L53:$R53="C")*10+($L53:$R53="A")*8+($L53:$R53="J")*5+($L53:$R53="CEP")*4+($L53:$R53="CP")*6+($L53:$R53="CRO")*6+($L53:$R53="M+")*6+($L53:$R53="T+")*6+($L53:$R53="D+")*12+($L53:$R53="N+")*12+($L53:$R53="Dm+")*12+($L53:$R53="Dt+")*12+($L53:$R53="Tm-")*6+($L53:$R53="Mt-")*6)</f>
        <v/>
      </c>
      <c r="AW53" s="118">
        <f>AV53-MAX(0,IFERROR(INDEX(CADASTRO!$I$4:$I$80,MATCH($A53,CADASTRO!$A$4:$A$80,0)),$B53)-CONFIG!$B$50*(COUNTIF($L53:$R53,"AB")+COUNTIF($L53:$R53,"FE")+COUNTIF($L53:$R53,"LM")))</f>
        <v/>
      </c>
      <c r="AX53" s="117">
        <f>SUMPRODUCT(($S53:$Y53="M")*6+($S53:$Y53="T")*6+($S53:$Y53="D")*12+($S53:$Y53="N")*12+($S53:$Y53="NT")*6+($S53:$Y53="C")*10+($S53:$Y53="A")*8+($S53:$Y53="J")*5+($S53:$Y53="CEP")*4+($S53:$Y53="CP")*6+($S53:$Y53="CRO")*6+($S53:$Y53="M+")*6+($S53:$Y53="T+")*6+($S53:$Y53="D+")*12+($S53:$Y53="N+")*12+($S53:$Y53="Dm+")*12+($S53:$Y53="Dt+")*12+($S53:$Y53="Tm-")*6+($S53:$Y53="Mt-")*6)</f>
        <v/>
      </c>
      <c r="AY53" s="118">
        <f>AX53-MAX(0,IFERROR(INDEX(CADASTRO!$I$4:$I$80,MATCH($A53,CADASTRO!$A$4:$A$80,0)),$B53)-CONFIG!$B$50*(COUNTIF($S53:$Y53,"AB")+COUNTIF($S53:$Y53,"FE")+COUNTIF($S53:$Y53,"LM")))</f>
        <v/>
      </c>
      <c r="AZ53" s="117">
        <f>SUMPRODUCT(($Z53:$AF53="M")*6+($Z53:$AF53="T")*6+($Z53:$AF53="D")*12+($Z53:$AF53="N")*12+($Z53:$AF53="NT")*6+($Z53:$AF53="C")*10+($Z53:$AF53="A")*8+($Z53:$AF53="J")*5+($Z53:$AF53="CEP")*4+($Z53:$AF53="CP")*6+($Z53:$AF53="CRO")*6+($Z53:$AF53="M+")*6+($Z53:$AF53="T+")*6+($Z53:$AF53="D+")*12+($Z53:$AF53="N+")*12+($Z53:$AF53="Dm+")*12+($Z53:$AF53="Dt+")*12+($Z53:$AF53="Tm-")*6+($Z53:$AF53="Mt-")*6)</f>
        <v/>
      </c>
      <c r="BA53" s="118">
        <f>AZ53-MAX(0,IFERROR(INDEX(CADASTRO!$I$4:$I$80,MATCH($A53,CADASTRO!$A$4:$A$80,0)),$B53)-CONFIG!$B$50*(COUNTIF($Z53:$AF53,"AB")+COUNTIF($Z53:$AF53,"FE")+COUNTIF($Z53:$AF53,"LM")))</f>
        <v/>
      </c>
      <c r="BB53" s="117">
        <f>SUMPRODUCT(($AG53:$AM53="M")*6+($AG53:$AM53="T")*6+($AG53:$AM53="D")*12+($AG53:$AM53="N")*12+($AG53:$AM53="NT")*6+($AG53:$AM53="C")*10+($AG53:$AM53="A")*8+($AG53:$AM53="J")*5+($AG53:$AM53="CEP")*4+($AG53:$AM53="CP")*6+($AG53:$AM53="CRO")*6+($AG53:$AM53="M+")*6+($AG53:$AM53="T+")*6+($AG53:$AM53="D+")*12+($AG53:$AM53="N+")*12+($AG53:$AM53="Dm+")*12+($AG53:$AM53="Dt+")*12+($AG53:$AM53="Tm-")*6+($AG53:$AM53="Mt-")*6)</f>
        <v/>
      </c>
      <c r="BC53" s="118">
        <f>BB53-MAX(0,IFERROR(INDEX(CADASTRO!$I$4:$I$80,MATCH($A53,CADASTRO!$A$4:$A$80,0)),$B53)-CONFIG!$B$50*(COUNTIF($AG53:$AM53,"AB")+COUNTIF($AG53:$AM53,"FE")+COUNTIF($AG53:$AM53,"LM")))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36">
        <f>IFERROR(INDEX(ABR!AI$8:AI$73,MATCH($A54,ABR!$A$8:$A$73,0))&amp;"","")</f>
        <v/>
      </c>
      <c r="F54" s="136">
        <f>IFERROR(INDEX(ABR!AJ$8:AJ$73,MATCH($A54,ABR!$A$8:$A$73,0))&amp;"","")</f>
        <v/>
      </c>
      <c r="G54" s="136">
        <f>IFERROR(INDEX(ABR!AK$8:AK$73,MATCH($A54,ABR!$A$8:$A$73,0))&amp;"","")</f>
        <v/>
      </c>
      <c r="H54" s="136">
        <f>IFERROR(INDEX(ABR!AL$8:AL$73,MATCH($A54,ABR!$A$8:$A$73,0))&amp;"","")</f>
        <v/>
      </c>
      <c r="I54" s="114" t="n"/>
      <c r="J54" s="125" t="inlineStr">
        <is>
          <t>N</t>
        </is>
      </c>
      <c r="K54" s="114" t="n"/>
      <c r="L54" s="114" t="n"/>
      <c r="M54" s="114" t="n"/>
      <c r="N54" s="114" t="n"/>
      <c r="O54" s="125" t="inlineStr">
        <is>
          <t>N</t>
        </is>
      </c>
      <c r="P54" s="114" t="n"/>
      <c r="Q54" s="125" t="inlineStr">
        <is>
          <t>N</t>
        </is>
      </c>
      <c r="R54" s="114" t="n"/>
      <c r="S54" s="114" t="n"/>
      <c r="T54" s="114" t="n"/>
      <c r="U54" s="114" t="n"/>
      <c r="V54" s="125" t="inlineStr">
        <is>
          <t>N</t>
        </is>
      </c>
      <c r="W54" s="114" t="n"/>
      <c r="X54" s="125" t="inlineStr">
        <is>
          <t>N</t>
        </is>
      </c>
      <c r="Y54" s="114" t="n"/>
      <c r="Z54" s="114" t="n"/>
      <c r="AA54" s="114" t="n"/>
      <c r="AB54" s="114" t="n"/>
      <c r="AC54" s="125" t="inlineStr">
        <is>
          <t>N</t>
        </is>
      </c>
      <c r="AD54" s="114" t="n"/>
      <c r="AE54" s="125" t="inlineStr">
        <is>
          <t>N</t>
        </is>
      </c>
      <c r="AF54" s="114" t="n"/>
      <c r="AG54" s="114" t="n"/>
      <c r="AH54" s="114" t="n"/>
      <c r="AI54" s="114" t="n"/>
      <c r="AJ54" s="125" t="inlineStr">
        <is>
          <t>N</t>
        </is>
      </c>
      <c r="AK54" s="114" t="n"/>
      <c r="AL54" s="114" t="n"/>
      <c r="AM54" s="125" t="inlineStr">
        <is>
          <t>N</t>
        </is>
      </c>
      <c r="AN54" s="100" t="n"/>
      <c r="AO54" s="100" t="n"/>
      <c r="AP54" s="100" t="n"/>
      <c r="AQ54" s="100" t="n"/>
      <c r="AR54" s="100" t="n"/>
      <c r="AS54" s="100" t="n"/>
      <c r="AT54" s="117">
        <f>SUMPRODUCT(($E54:$K54="M")*6+($E54:$K54="T")*6+($E54:$K54="D")*12+($E54:$K54="N")*12+($E54:$K54="NT")*6+($E54:$K54="C")*10+($E54:$K54="A")*8+($E54:$K54="J")*5+($E54:$K54="CEP")*4+($E54:$K54="CP")*6+($E54:$K54="CRO")*6+($E54:$K54="M+")*6+($E54:$K54="T+")*6+($E54:$K54="D+")*12+($E54:$K54="N+")*12+($E54:$K54="Dm+")*12+($E54:$K54="Dt+")*12+($E54:$K54="Tm-")*6+($E54:$K54="Mt-")*6)</f>
        <v/>
      </c>
      <c r="AU54" s="118">
        <f>AT54-MAX(0,IFERROR(INDEX(CADASTRO!$I$4:$I$80,MATCH($A54,CADASTRO!$A$4:$A$80,0)),$B54)-CONFIG!$B$50*(COUNTIF($E54:$K54,"AB")+COUNTIF($E54:$K54,"FE")+COUNTIF($E54:$K54,"LM")))</f>
        <v/>
      </c>
      <c r="AV54" s="117">
        <f>SUMPRODUCT(($L54:$R54="M")*6+($L54:$R54="T")*6+($L54:$R54="D")*12+($L54:$R54="N")*12+($L54:$R54="NT")*6+($L54:$R54="C")*10+($L54:$R54="A")*8+($L54:$R54="J")*5+($L54:$R54="CEP")*4+($L54:$R54="CP")*6+($L54:$R54="CRO")*6+($L54:$R54="M+")*6+($L54:$R54="T+")*6+($L54:$R54="D+")*12+($L54:$R54="N+")*12+($L54:$R54="Dm+")*12+($L54:$R54="Dt+")*12+($L54:$R54="Tm-")*6+($L54:$R54="Mt-")*6)</f>
        <v/>
      </c>
      <c r="AW54" s="118">
        <f>AV54-MAX(0,IFERROR(INDEX(CADASTRO!$I$4:$I$80,MATCH($A54,CADASTRO!$A$4:$A$80,0)),$B54)-CONFIG!$B$50*(COUNTIF($L54:$R54,"AB")+COUNTIF($L54:$R54,"FE")+COUNTIF($L54:$R54,"LM")))</f>
        <v/>
      </c>
      <c r="AX54" s="117">
        <f>SUMPRODUCT(($S54:$Y54="M")*6+($S54:$Y54="T")*6+($S54:$Y54="D")*12+($S54:$Y54="N")*12+($S54:$Y54="NT")*6+($S54:$Y54="C")*10+($S54:$Y54="A")*8+($S54:$Y54="J")*5+($S54:$Y54="CEP")*4+($S54:$Y54="CP")*6+($S54:$Y54="CRO")*6+($S54:$Y54="M+")*6+($S54:$Y54="T+")*6+($S54:$Y54="D+")*12+($S54:$Y54="N+")*12+($S54:$Y54="Dm+")*12+($S54:$Y54="Dt+")*12+($S54:$Y54="Tm-")*6+($S54:$Y54="Mt-")*6)</f>
        <v/>
      </c>
      <c r="AY54" s="118">
        <f>AX54-MAX(0,IFERROR(INDEX(CADASTRO!$I$4:$I$80,MATCH($A54,CADASTRO!$A$4:$A$80,0)),$B54)-CONFIG!$B$50*(COUNTIF($S54:$Y54,"AB")+COUNTIF($S54:$Y54,"FE")+COUNTIF($S54:$Y54,"LM")))</f>
        <v/>
      </c>
      <c r="AZ54" s="117">
        <f>SUMPRODUCT(($Z54:$AF54="M")*6+($Z54:$AF54="T")*6+($Z54:$AF54="D")*12+($Z54:$AF54="N")*12+($Z54:$AF54="NT")*6+($Z54:$AF54="C")*10+($Z54:$AF54="A")*8+($Z54:$AF54="J")*5+($Z54:$AF54="CEP")*4+($Z54:$AF54="CP")*6+($Z54:$AF54="CRO")*6+($Z54:$AF54="M+")*6+($Z54:$AF54="T+")*6+($Z54:$AF54="D+")*12+($Z54:$AF54="N+")*12+($Z54:$AF54="Dm+")*12+($Z54:$AF54="Dt+")*12+($Z54:$AF54="Tm-")*6+($Z54:$AF54="Mt-")*6)</f>
        <v/>
      </c>
      <c r="BA54" s="118">
        <f>AZ54-MAX(0,IFERROR(INDEX(CADASTRO!$I$4:$I$80,MATCH($A54,CADASTRO!$A$4:$A$80,0)),$B54)-CONFIG!$B$50*(COUNTIF($Z54:$AF54,"AB")+COUNTIF($Z54:$AF54,"FE")+COUNTIF($Z54:$AF54,"LM")))</f>
        <v/>
      </c>
      <c r="BB54" s="117">
        <f>SUMPRODUCT(($AG54:$AM54="M")*6+($AG54:$AM54="T")*6+($AG54:$AM54="D")*12+($AG54:$AM54="N")*12+($AG54:$AM54="NT")*6+($AG54:$AM54="C")*10+($AG54:$AM54="A")*8+($AG54:$AM54="J")*5+($AG54:$AM54="CEP")*4+($AG54:$AM54="CP")*6+($AG54:$AM54="CRO")*6+($AG54:$AM54="M+")*6+($AG54:$AM54="T+")*6+($AG54:$AM54="D+")*12+($AG54:$AM54="N+")*12+($AG54:$AM54="Dm+")*12+($AG54:$AM54="Dt+")*12+($AG54:$AM54="Tm-")*6+($AG54:$AM54="Mt-")*6)</f>
        <v/>
      </c>
      <c r="BC54" s="118">
        <f>BB54-MAX(0,IFERROR(INDEX(CADASTRO!$I$4:$I$80,MATCH($A54,CADASTRO!$A$4:$A$80,0)),$B54)-CONFIG!$B$50*(COUNTIF($AG54:$AM54,"AB")+COUNTIF($AG54:$AM54,"FE")+COUNTIF($AG54:$AM54,"LM")))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36">
        <f>IFERROR(INDEX(ABR!AI$8:AI$73,MATCH($A55,ABR!$A$8:$A$73,0))&amp;"","")</f>
        <v/>
      </c>
      <c r="F55" s="136">
        <f>IFERROR(INDEX(ABR!AJ$8:AJ$73,MATCH($A55,ABR!$A$8:$A$73,0))&amp;"","")</f>
        <v/>
      </c>
      <c r="G55" s="136">
        <f>IFERROR(INDEX(ABR!AK$8:AK$73,MATCH($A55,ABR!$A$8:$A$73,0))&amp;"","")</f>
        <v/>
      </c>
      <c r="H55" s="136">
        <f>IFERROR(INDEX(ABR!AL$8:AL$73,MATCH($A55,ABR!$A$8:$A$73,0))&amp;"","")</f>
        <v/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5" t="inlineStr">
        <is>
          <t>M</t>
        </is>
      </c>
      <c r="AD55" s="114" t="n"/>
      <c r="AE55" s="115" t="inlineStr">
        <is>
          <t>M</t>
        </is>
      </c>
      <c r="AF55" s="115" t="inlineStr">
        <is>
          <t>M</t>
        </is>
      </c>
      <c r="AG55" s="115" t="inlineStr">
        <is>
          <t>M</t>
        </is>
      </c>
      <c r="AH55" s="114" t="n"/>
      <c r="AI55" s="115" t="inlineStr">
        <is>
          <t>M</t>
        </is>
      </c>
      <c r="AJ55" s="115" t="inlineStr">
        <is>
          <t>M</t>
        </is>
      </c>
      <c r="AK55" s="115" t="inlineStr">
        <is>
          <t>M</t>
        </is>
      </c>
      <c r="AL55" s="114" t="n"/>
      <c r="AM55" s="114" t="n"/>
      <c r="AN55" s="100" t="n"/>
      <c r="AO55" s="100" t="n"/>
      <c r="AP55" s="100" t="n"/>
      <c r="AQ55" s="100" t="n"/>
      <c r="AR55" s="100" t="n"/>
      <c r="AS55" s="100" t="n"/>
      <c r="AT55" s="117">
        <f>SUMPRODUCT(($E55:$K55="M")*6+($E55:$K55="T")*6+($E55:$K55="D")*12+($E55:$K55="N")*12+($E55:$K55="NT")*6+($E55:$K55="C")*10+($E55:$K55="A")*8+($E55:$K55="J")*5+($E55:$K55="CEP")*4+($E55:$K55="CP")*6+($E55:$K55="CRO")*6+($E55:$K55="M+")*6+($E55:$K55="T+")*6+($E55:$K55="D+")*12+($E55:$K55="N+")*12+($E55:$K55="Dm+")*12+($E55:$K55="Dt+")*12+($E55:$K55="Tm-")*6+($E55:$K55="Mt-")*6)</f>
        <v/>
      </c>
      <c r="AU55" s="118">
        <f>AT55-MAX(0,IFERROR(INDEX(CADASTRO!$I$4:$I$80,MATCH($A55,CADASTRO!$A$4:$A$80,0)),$B55)-CONFIG!$B$50*(COUNTIF($E55:$K55,"AB")+COUNTIF($E55:$K55,"FE")+COUNTIF($E55:$K55,"LM")))</f>
        <v/>
      </c>
      <c r="AV55" s="117">
        <f>SUMPRODUCT(($L55:$R55="M")*6+($L55:$R55="T")*6+($L55:$R55="D")*12+($L55:$R55="N")*12+($L55:$R55="NT")*6+($L55:$R55="C")*10+($L55:$R55="A")*8+($L55:$R55="J")*5+($L55:$R55="CEP")*4+($L55:$R55="CP")*6+($L55:$R55="CRO")*6+($L55:$R55="M+")*6+($L55:$R55="T+")*6+($L55:$R55="D+")*12+($L55:$R55="N+")*12+($L55:$R55="Dm+")*12+($L55:$R55="Dt+")*12+($L55:$R55="Tm-")*6+($L55:$R55="Mt-")*6)</f>
        <v/>
      </c>
      <c r="AW55" s="118">
        <f>AV55-MAX(0,IFERROR(INDEX(CADASTRO!$I$4:$I$80,MATCH($A55,CADASTRO!$A$4:$A$80,0)),$B55)-CONFIG!$B$50*(COUNTIF($L55:$R55,"AB")+COUNTIF($L55:$R55,"FE")+COUNTIF($L55:$R55,"LM")))</f>
        <v/>
      </c>
      <c r="AX55" s="117">
        <f>SUMPRODUCT(($S55:$Y55="M")*6+($S55:$Y55="T")*6+($S55:$Y55="D")*12+($S55:$Y55="N")*12+($S55:$Y55="NT")*6+($S55:$Y55="C")*10+($S55:$Y55="A")*8+($S55:$Y55="J")*5+($S55:$Y55="CEP")*4+($S55:$Y55="CP")*6+($S55:$Y55="CRO")*6+($S55:$Y55="M+")*6+($S55:$Y55="T+")*6+($S55:$Y55="D+")*12+($S55:$Y55="N+")*12+($S55:$Y55="Dm+")*12+($S55:$Y55="Dt+")*12+($S55:$Y55="Tm-")*6+($S55:$Y55="Mt-")*6)</f>
        <v/>
      </c>
      <c r="AY55" s="118">
        <f>AX55-MAX(0,IFERROR(INDEX(CADASTRO!$I$4:$I$80,MATCH($A55,CADASTRO!$A$4:$A$80,0)),$B55)-CONFIG!$B$50*(COUNTIF($S55:$Y55,"AB")+COUNTIF($S55:$Y55,"FE")+COUNTIF($S55:$Y55,"LM")))</f>
        <v/>
      </c>
      <c r="AZ55" s="117">
        <f>SUMPRODUCT(($Z55:$AF55="M")*6+($Z55:$AF55="T")*6+($Z55:$AF55="D")*12+($Z55:$AF55="N")*12+($Z55:$AF55="NT")*6+($Z55:$AF55="C")*10+($Z55:$AF55="A")*8+($Z55:$AF55="J")*5+($Z55:$AF55="CEP")*4+($Z55:$AF55="CP")*6+($Z55:$AF55="CRO")*6+($Z55:$AF55="M+")*6+($Z55:$AF55="T+")*6+($Z55:$AF55="D+")*12+($Z55:$AF55="N+")*12+($Z55:$AF55="Dm+")*12+($Z55:$AF55="Dt+")*12+($Z55:$AF55="Tm-")*6+($Z55:$AF55="Mt-")*6)</f>
        <v/>
      </c>
      <c r="BA55" s="118">
        <f>AZ55-MAX(0,IFERROR(INDEX(CADASTRO!$I$4:$I$80,MATCH($A55,CADASTRO!$A$4:$A$80,0)),$B55)-CONFIG!$B$50*(COUNTIF($Z55:$AF55,"AB")+COUNTIF($Z55:$AF55,"FE")+COUNTIF($Z55:$AF55,"LM")))</f>
        <v/>
      </c>
      <c r="BB55" s="117">
        <f>SUMPRODUCT(($AG55:$AM55="M")*6+($AG55:$AM55="T")*6+($AG55:$AM55="D")*12+($AG55:$AM55="N")*12+($AG55:$AM55="NT")*6+($AG55:$AM55="C")*10+($AG55:$AM55="A")*8+($AG55:$AM55="J")*5+($AG55:$AM55="CEP")*4+($AG55:$AM55="CP")*6+($AG55:$AM55="CRO")*6+($AG55:$AM55="M+")*6+($AG55:$AM55="T+")*6+($AG55:$AM55="D+")*12+($AG55:$AM55="N+")*12+($AG55:$AM55="Dm+")*12+($AG55:$AM55="Dt+")*12+($AG55:$AM55="Tm-")*6+($AG55:$AM55="Mt-")*6)</f>
        <v/>
      </c>
      <c r="BC55" s="118">
        <f>BB55-MAX(0,IFERROR(INDEX(CADASTRO!$I$4:$I$80,MATCH($A55,CADASTRO!$A$4:$A$80,0)),$B55)-CONFIG!$B$50*(COUNTIF($AG55:$AM55,"AB")+COUNTIF($AG55:$AM55,"FE")+COUNTIF($AG55:$AM55,"LM")))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36">
        <f>IFERROR(INDEX(ABR!AI$8:AI$73,MATCH($A56,ABR!$A$8:$A$73,0))&amp;"","")</f>
        <v/>
      </c>
      <c r="F56" s="136">
        <f>IFERROR(INDEX(ABR!AJ$8:AJ$73,MATCH($A56,ABR!$A$8:$A$73,0))&amp;"","")</f>
        <v/>
      </c>
      <c r="G56" s="136">
        <f>IFERROR(INDEX(ABR!AK$8:AK$73,MATCH($A56,ABR!$A$8:$A$73,0))&amp;"","")</f>
        <v/>
      </c>
      <c r="H56" s="136">
        <f>IFERROR(INDEX(ABR!AL$8:AL$73,MATCH($A56,ABR!$A$8:$A$73,0))&amp;"","")</f>
        <v/>
      </c>
      <c r="I56" s="114" t="n"/>
      <c r="J56" s="114" t="n"/>
      <c r="K56" s="126" t="inlineStr">
        <is>
          <t>T</t>
        </is>
      </c>
      <c r="L56" s="114" t="n"/>
      <c r="M56" s="124" t="inlineStr">
        <is>
          <t>D</t>
        </is>
      </c>
      <c r="N56" s="114" t="n"/>
      <c r="O56" s="124" t="inlineStr">
        <is>
          <t>D</t>
        </is>
      </c>
      <c r="P56" s="114" t="n"/>
      <c r="Q56" s="114" t="n"/>
      <c r="R56" s="114" t="n"/>
      <c r="S56" s="114" t="n"/>
      <c r="T56" s="124" t="inlineStr">
        <is>
          <t>D</t>
        </is>
      </c>
      <c r="U56" s="114" t="n"/>
      <c r="V56" s="124" t="inlineStr">
        <is>
          <t>D</t>
        </is>
      </c>
      <c r="W56" s="114" t="n"/>
      <c r="X56" s="114" t="n"/>
      <c r="Y56" s="114" t="n"/>
      <c r="Z56" s="114" t="n"/>
      <c r="AA56" s="126" t="inlineStr">
        <is>
          <t>T</t>
        </is>
      </c>
      <c r="AB56" s="114" t="n"/>
      <c r="AC56" s="124" t="inlineStr">
        <is>
          <t>D</t>
        </is>
      </c>
      <c r="AD56" s="114" t="n"/>
      <c r="AE56" s="115" t="inlineStr">
        <is>
          <t>M</t>
        </is>
      </c>
      <c r="AF56" s="114" t="n"/>
      <c r="AG56" s="114" t="n"/>
      <c r="AH56" s="124" t="inlineStr">
        <is>
          <t>D</t>
        </is>
      </c>
      <c r="AI56" s="114" t="n"/>
      <c r="AJ56" s="124" t="inlineStr">
        <is>
          <t>D</t>
        </is>
      </c>
      <c r="AK56" s="114" t="n"/>
      <c r="AL56" s="114" t="n"/>
      <c r="AM56" s="114" t="n"/>
      <c r="AN56" s="100" t="n"/>
      <c r="AO56" s="100" t="n"/>
      <c r="AP56" s="100" t="n"/>
      <c r="AQ56" s="100" t="n"/>
      <c r="AR56" s="100" t="n"/>
      <c r="AS56" s="100" t="n"/>
      <c r="AT56" s="117">
        <f>SUMPRODUCT(($E56:$K56="M")*6+($E56:$K56="T")*6+($E56:$K56="D")*12+($E56:$K56="N")*12+($E56:$K56="NT")*6+($E56:$K56="C")*10+($E56:$K56="A")*8+($E56:$K56="J")*5+($E56:$K56="CEP")*4+($E56:$K56="CP")*6+($E56:$K56="CRO")*6+($E56:$K56="M+")*6+($E56:$K56="T+")*6+($E56:$K56="D+")*12+($E56:$K56="N+")*12+($E56:$K56="Dm+")*12+($E56:$K56="Dt+")*12+($E56:$K56="Tm-")*6+($E56:$K56="Mt-")*6)</f>
        <v/>
      </c>
      <c r="AU56" s="118">
        <f>AT56-MAX(0,IFERROR(INDEX(CADASTRO!$I$4:$I$80,MATCH($A56,CADASTRO!$A$4:$A$80,0)),$B56)-CONFIG!$B$50*(COUNTIF($E56:$K56,"AB")+COUNTIF($E56:$K56,"FE")+COUNTIF($E56:$K56,"LM")))</f>
        <v/>
      </c>
      <c r="AV56" s="117">
        <f>SUMPRODUCT(($L56:$R56="M")*6+($L56:$R56="T")*6+($L56:$R56="D")*12+($L56:$R56="N")*12+($L56:$R56="NT")*6+($L56:$R56="C")*10+($L56:$R56="A")*8+($L56:$R56="J")*5+($L56:$R56="CEP")*4+($L56:$R56="CP")*6+($L56:$R56="CRO")*6+($L56:$R56="M+")*6+($L56:$R56="T+")*6+($L56:$R56="D+")*12+($L56:$R56="N+")*12+($L56:$R56="Dm+")*12+($L56:$R56="Dt+")*12+($L56:$R56="Tm-")*6+($L56:$R56="Mt-")*6)</f>
        <v/>
      </c>
      <c r="AW56" s="118">
        <f>AV56-MAX(0,IFERROR(INDEX(CADASTRO!$I$4:$I$80,MATCH($A56,CADASTRO!$A$4:$A$80,0)),$B56)-CONFIG!$B$50*(COUNTIF($L56:$R56,"AB")+COUNTIF($L56:$R56,"FE")+COUNTIF($L56:$R56,"LM")))</f>
        <v/>
      </c>
      <c r="AX56" s="117">
        <f>SUMPRODUCT(($S56:$Y56="M")*6+($S56:$Y56="T")*6+($S56:$Y56="D")*12+($S56:$Y56="N")*12+($S56:$Y56="NT")*6+($S56:$Y56="C")*10+($S56:$Y56="A")*8+($S56:$Y56="J")*5+($S56:$Y56="CEP")*4+($S56:$Y56="CP")*6+($S56:$Y56="CRO")*6+($S56:$Y56="M+")*6+($S56:$Y56="T+")*6+($S56:$Y56="D+")*12+($S56:$Y56="N+")*12+($S56:$Y56="Dm+")*12+($S56:$Y56="Dt+")*12+($S56:$Y56="Tm-")*6+($S56:$Y56="Mt-")*6)</f>
        <v/>
      </c>
      <c r="AY56" s="118">
        <f>AX56-MAX(0,IFERROR(INDEX(CADASTRO!$I$4:$I$80,MATCH($A56,CADASTRO!$A$4:$A$80,0)),$B56)-CONFIG!$B$50*(COUNTIF($S56:$Y56,"AB")+COUNTIF($S56:$Y56,"FE")+COUNTIF($S56:$Y56,"LM")))</f>
        <v/>
      </c>
      <c r="AZ56" s="117">
        <f>SUMPRODUCT(($Z56:$AF56="M")*6+($Z56:$AF56="T")*6+($Z56:$AF56="D")*12+($Z56:$AF56="N")*12+($Z56:$AF56="NT")*6+($Z56:$AF56="C")*10+($Z56:$AF56="A")*8+($Z56:$AF56="J")*5+($Z56:$AF56="CEP")*4+($Z56:$AF56="CP")*6+($Z56:$AF56="CRO")*6+($Z56:$AF56="M+")*6+($Z56:$AF56="T+")*6+($Z56:$AF56="D+")*12+($Z56:$AF56="N+")*12+($Z56:$AF56="Dm+")*12+($Z56:$AF56="Dt+")*12+($Z56:$AF56="Tm-")*6+($Z56:$AF56="Mt-")*6)</f>
        <v/>
      </c>
      <c r="BA56" s="118">
        <f>AZ56-MAX(0,IFERROR(INDEX(CADASTRO!$I$4:$I$80,MATCH($A56,CADASTRO!$A$4:$A$80,0)),$B56)-CONFIG!$B$50*(COUNTIF($Z56:$AF56,"AB")+COUNTIF($Z56:$AF56,"FE")+COUNTIF($Z56:$AF56,"LM")))</f>
        <v/>
      </c>
      <c r="BB56" s="117">
        <f>SUMPRODUCT(($AG56:$AM56="M")*6+($AG56:$AM56="T")*6+($AG56:$AM56="D")*12+($AG56:$AM56="N")*12+($AG56:$AM56="NT")*6+($AG56:$AM56="C")*10+($AG56:$AM56="A")*8+($AG56:$AM56="J")*5+($AG56:$AM56="CEP")*4+($AG56:$AM56="CP")*6+($AG56:$AM56="CRO")*6+($AG56:$AM56="M+")*6+($AG56:$AM56="T+")*6+($AG56:$AM56="D+")*12+($AG56:$AM56="N+")*12+($AG56:$AM56="Dm+")*12+($AG56:$AM56="Dt+")*12+($AG56:$AM56="Tm-")*6+($AG56:$AM56="Mt-")*6)</f>
        <v/>
      </c>
      <c r="BC56" s="118">
        <f>BB56-MAX(0,IFERROR(INDEX(CADASTRO!$I$4:$I$80,MATCH($A56,CADASTRO!$A$4:$A$80,0)),$B56)-CONFIG!$B$50*(COUNTIF($AG56:$AM56,"AB")+COUNTIF($AG56:$AM56,"FE")+COUNTIF($AG56:$AM56,"LM")))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36">
        <f>IFERROR(INDEX(ABR!AI$8:AI$73,MATCH($A57,ABR!$A$8:$A$73,0))&amp;"","")</f>
        <v/>
      </c>
      <c r="F57" s="136">
        <f>IFERROR(INDEX(ABR!AJ$8:AJ$73,MATCH($A57,ABR!$A$8:$A$73,0))&amp;"","")</f>
        <v/>
      </c>
      <c r="G57" s="136">
        <f>IFERROR(INDEX(ABR!AK$8:AK$73,MATCH($A57,ABR!$A$8:$A$73,0))&amp;"","")</f>
        <v/>
      </c>
      <c r="H57" s="136">
        <f>IFERROR(INDEX(ABR!AL$8:AL$73,MATCH($A57,ABR!$A$8:$A$73,0))&amp;"","")</f>
        <v/>
      </c>
      <c r="I57" s="114" t="n"/>
      <c r="J57" s="124" t="inlineStr">
        <is>
          <t>D</t>
        </is>
      </c>
      <c r="K57" s="124" t="inlineStr">
        <is>
          <t>D</t>
        </is>
      </c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26" t="inlineStr">
        <is>
          <t>T</t>
        </is>
      </c>
      <c r="AB57" s="114" t="n"/>
      <c r="AC57" s="125" t="inlineStr">
        <is>
          <t>N</t>
        </is>
      </c>
      <c r="AD57" s="114" t="n"/>
      <c r="AE57" s="114" t="n"/>
      <c r="AF57" s="114" t="n"/>
      <c r="AG57" s="114" t="n"/>
      <c r="AH57" s="114" t="n"/>
      <c r="AI57" s="125" t="inlineStr">
        <is>
          <t>N</t>
        </is>
      </c>
      <c r="AJ57" s="114" t="n"/>
      <c r="AK57" s="114" t="n"/>
      <c r="AL57" s="114" t="n"/>
      <c r="AM57" s="125" t="inlineStr">
        <is>
          <t>N</t>
        </is>
      </c>
      <c r="AN57" s="100" t="n"/>
      <c r="AO57" s="100" t="n"/>
      <c r="AP57" s="100" t="n"/>
      <c r="AQ57" s="100" t="n"/>
      <c r="AR57" s="100" t="n"/>
      <c r="AS57" s="100" t="n"/>
      <c r="AT57" s="117">
        <f>SUMPRODUCT(($E57:$K57="M")*6+($E57:$K57="T")*6+($E57:$K57="D")*12+($E57:$K57="N")*12+($E57:$K57="NT")*6+($E57:$K57="C")*10+($E57:$K57="A")*8+($E57:$K57="J")*5+($E57:$K57="CEP")*4+($E57:$K57="CP")*6+($E57:$K57="CRO")*6+($E57:$K57="M+")*6+($E57:$K57="T+")*6+($E57:$K57="D+")*12+($E57:$K57="N+")*12+($E57:$K57="Dm+")*12+($E57:$K57="Dt+")*12+($E57:$K57="Tm-")*6+($E57:$K57="Mt-")*6)</f>
        <v/>
      </c>
      <c r="AU57" s="118">
        <f>AT57-MAX(0,IFERROR(INDEX(CADASTRO!$I$4:$I$80,MATCH($A57,CADASTRO!$A$4:$A$80,0)),$B57)-CONFIG!$B$50*(COUNTIF($E57:$K57,"AB")+COUNTIF($E57:$K57,"FE")+COUNTIF($E57:$K57,"LM")))</f>
        <v/>
      </c>
      <c r="AV57" s="117">
        <f>SUMPRODUCT(($L57:$R57="M")*6+($L57:$R57="T")*6+($L57:$R57="D")*12+($L57:$R57="N")*12+($L57:$R57="NT")*6+($L57:$R57="C")*10+($L57:$R57="A")*8+($L57:$R57="J")*5+($L57:$R57="CEP")*4+($L57:$R57="CP")*6+($L57:$R57="CRO")*6+($L57:$R57="M+")*6+($L57:$R57="T+")*6+($L57:$R57="D+")*12+($L57:$R57="N+")*12+($L57:$R57="Dm+")*12+($L57:$R57="Dt+")*12+($L57:$R57="Tm-")*6+($L57:$R57="Mt-")*6)</f>
        <v/>
      </c>
      <c r="AW57" s="118">
        <f>AV57-MAX(0,IFERROR(INDEX(CADASTRO!$I$4:$I$80,MATCH($A57,CADASTRO!$A$4:$A$80,0)),$B57)-CONFIG!$B$50*(COUNTIF($L57:$R57,"AB")+COUNTIF($L57:$R57,"FE")+COUNTIF($L57:$R57,"LM")))</f>
        <v/>
      </c>
      <c r="AX57" s="117">
        <f>SUMPRODUCT(($S57:$Y57="M")*6+($S57:$Y57="T")*6+($S57:$Y57="D")*12+($S57:$Y57="N")*12+($S57:$Y57="NT")*6+($S57:$Y57="C")*10+($S57:$Y57="A")*8+($S57:$Y57="J")*5+($S57:$Y57="CEP")*4+($S57:$Y57="CP")*6+($S57:$Y57="CRO")*6+($S57:$Y57="M+")*6+($S57:$Y57="T+")*6+($S57:$Y57="D+")*12+($S57:$Y57="N+")*12+($S57:$Y57="Dm+")*12+($S57:$Y57="Dt+")*12+($S57:$Y57="Tm-")*6+($S57:$Y57="Mt-")*6)</f>
        <v/>
      </c>
      <c r="AY57" s="118">
        <f>AX57-MAX(0,IFERROR(INDEX(CADASTRO!$I$4:$I$80,MATCH($A57,CADASTRO!$A$4:$A$80,0)),$B57)-CONFIG!$B$50*(COUNTIF($S57:$Y57,"AB")+COUNTIF($S57:$Y57,"FE")+COUNTIF($S57:$Y57,"LM")))</f>
        <v/>
      </c>
      <c r="AZ57" s="117">
        <f>SUMPRODUCT(($Z57:$AF57="M")*6+($Z57:$AF57="T")*6+($Z57:$AF57="D")*12+($Z57:$AF57="N")*12+($Z57:$AF57="NT")*6+($Z57:$AF57="C")*10+($Z57:$AF57="A")*8+($Z57:$AF57="J")*5+($Z57:$AF57="CEP")*4+($Z57:$AF57="CP")*6+($Z57:$AF57="CRO")*6+($Z57:$AF57="M+")*6+($Z57:$AF57="T+")*6+($Z57:$AF57="D+")*12+($Z57:$AF57="N+")*12+($Z57:$AF57="Dm+")*12+($Z57:$AF57="Dt+")*12+($Z57:$AF57="Tm-")*6+($Z57:$AF57="Mt-")*6)</f>
        <v/>
      </c>
      <c r="BA57" s="118">
        <f>AZ57-MAX(0,IFERROR(INDEX(CADASTRO!$I$4:$I$80,MATCH($A57,CADASTRO!$A$4:$A$80,0)),$B57)-CONFIG!$B$50*(COUNTIF($Z57:$AF57,"AB")+COUNTIF($Z57:$AF57,"FE")+COUNTIF($Z57:$AF57,"LM")))</f>
        <v/>
      </c>
      <c r="BB57" s="117">
        <f>SUMPRODUCT(($AG57:$AM57="M")*6+($AG57:$AM57="T")*6+($AG57:$AM57="D")*12+($AG57:$AM57="N")*12+($AG57:$AM57="NT")*6+($AG57:$AM57="C")*10+($AG57:$AM57="A")*8+($AG57:$AM57="J")*5+($AG57:$AM57="CEP")*4+($AG57:$AM57="CP")*6+($AG57:$AM57="CRO")*6+($AG57:$AM57="M+")*6+($AG57:$AM57="T+")*6+($AG57:$AM57="D+")*12+($AG57:$AM57="N+")*12+($AG57:$AM57="Dm+")*12+($AG57:$AM57="Dt+")*12+($AG57:$AM57="Tm-")*6+($AG57:$AM57="Mt-")*6)</f>
        <v/>
      </c>
      <c r="BC57" s="118">
        <f>BB57-MAX(0,IFERROR(INDEX(CADASTRO!$I$4:$I$80,MATCH($A57,CADASTRO!$A$4:$A$80,0)),$B57)-CONFIG!$B$50*(COUNTIF($AG57:$AM57,"AB")+COUNTIF($AG57:$AM57,"FE")+COUNTIF($AG57:$AM57,"LM")))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36">
        <f>IFERROR(INDEX(ABR!AI$8:AI$73,MATCH($A58,ABR!$A$8:$A$73,0))&amp;"","")</f>
        <v/>
      </c>
      <c r="F58" s="136">
        <f>IFERROR(INDEX(ABR!AJ$8:AJ$73,MATCH($A58,ABR!$A$8:$A$73,0))&amp;"","")</f>
        <v/>
      </c>
      <c r="G58" s="136">
        <f>IFERROR(INDEX(ABR!AK$8:AK$73,MATCH($A58,ABR!$A$8:$A$73,0))&amp;"","")</f>
        <v/>
      </c>
      <c r="H58" s="136">
        <f>IFERROR(INDEX(ABR!AL$8:AL$73,MATCH($A58,ABR!$A$8:$A$73,0))&amp;"","")</f>
        <v/>
      </c>
      <c r="I58" s="124" t="inlineStr">
        <is>
          <t>D</t>
        </is>
      </c>
      <c r="J58" s="114" t="n"/>
      <c r="K58" s="114" t="n"/>
      <c r="L58" s="124" t="inlineStr">
        <is>
          <t>D</t>
        </is>
      </c>
      <c r="M58" s="114" t="n"/>
      <c r="N58" s="125" t="inlineStr">
        <is>
          <t>N</t>
        </is>
      </c>
      <c r="O58" s="114" t="n"/>
      <c r="P58" s="114" t="n"/>
      <c r="Q58" s="114" t="n"/>
      <c r="R58" s="114" t="n"/>
      <c r="S58" s="114" t="n"/>
      <c r="T58" s="114" t="n"/>
      <c r="U58" s="125" t="inlineStr">
        <is>
          <t>N</t>
        </is>
      </c>
      <c r="V58" s="114" t="n"/>
      <c r="W58" s="114" t="n"/>
      <c r="X58" s="114" t="n"/>
      <c r="Y58" s="124" t="inlineStr">
        <is>
          <t>D</t>
        </is>
      </c>
      <c r="Z58" s="114" t="n"/>
      <c r="AA58" s="114" t="n"/>
      <c r="AB58" s="125" t="inlineStr">
        <is>
          <t>N</t>
        </is>
      </c>
      <c r="AC58" s="114" t="n"/>
      <c r="AD58" s="114" t="n"/>
      <c r="AE58" s="124" t="inlineStr">
        <is>
          <t>D</t>
        </is>
      </c>
      <c r="AF58" s="114" t="n"/>
      <c r="AG58" s="124" t="inlineStr">
        <is>
          <t>D</t>
        </is>
      </c>
      <c r="AH58" s="114" t="n"/>
      <c r="AI58" s="125" t="inlineStr">
        <is>
          <t>N</t>
        </is>
      </c>
      <c r="AJ58" s="114" t="n"/>
      <c r="AK58" s="114" t="n"/>
      <c r="AL58" s="114" t="n"/>
      <c r="AM58" s="114" t="n"/>
      <c r="AN58" s="100" t="n"/>
      <c r="AO58" s="100" t="n"/>
      <c r="AP58" s="100" t="n"/>
      <c r="AQ58" s="100" t="n"/>
      <c r="AR58" s="100" t="n"/>
      <c r="AS58" s="100" t="n"/>
      <c r="AT58" s="117">
        <f>SUMPRODUCT(($E58:$K58="M")*6+($E58:$K58="T")*6+($E58:$K58="D")*12+($E58:$K58="N")*12+($E58:$K58="NT")*6+($E58:$K58="C")*10+($E58:$K58="A")*8+($E58:$K58="J")*5+($E58:$K58="CEP")*4+($E58:$K58="CP")*6+($E58:$K58="CRO")*6+($E58:$K58="M+")*6+($E58:$K58="T+")*6+($E58:$K58="D+")*12+($E58:$K58="N+")*12+($E58:$K58="Dm+")*12+($E58:$K58="Dt+")*12+($E58:$K58="Tm-")*6+($E58:$K58="Mt-")*6)</f>
        <v/>
      </c>
      <c r="AU58" s="118">
        <f>AT58-MAX(0,IFERROR(INDEX(CADASTRO!$I$4:$I$80,MATCH($A58,CADASTRO!$A$4:$A$80,0)),$B58)-CONFIG!$B$50*(COUNTIF($E58:$K58,"AB")+COUNTIF($E58:$K58,"FE")+COUNTIF($E58:$K58,"LM")))</f>
        <v/>
      </c>
      <c r="AV58" s="117">
        <f>SUMPRODUCT(($L58:$R58="M")*6+($L58:$R58="T")*6+($L58:$R58="D")*12+($L58:$R58="N")*12+($L58:$R58="NT")*6+($L58:$R58="C")*10+($L58:$R58="A")*8+($L58:$R58="J")*5+($L58:$R58="CEP")*4+($L58:$R58="CP")*6+($L58:$R58="CRO")*6+($L58:$R58="M+")*6+($L58:$R58="T+")*6+($L58:$R58="D+")*12+($L58:$R58="N+")*12+($L58:$R58="Dm+")*12+($L58:$R58="Dt+")*12+($L58:$R58="Tm-")*6+($L58:$R58="Mt-")*6)</f>
        <v/>
      </c>
      <c r="AW58" s="118">
        <f>AV58-MAX(0,IFERROR(INDEX(CADASTRO!$I$4:$I$80,MATCH($A58,CADASTRO!$A$4:$A$80,0)),$B58)-CONFIG!$B$50*(COUNTIF($L58:$R58,"AB")+COUNTIF($L58:$R58,"FE")+COUNTIF($L58:$R58,"LM")))</f>
        <v/>
      </c>
      <c r="AX58" s="117">
        <f>SUMPRODUCT(($S58:$Y58="M")*6+($S58:$Y58="T")*6+($S58:$Y58="D")*12+($S58:$Y58="N")*12+($S58:$Y58="NT")*6+($S58:$Y58="C")*10+($S58:$Y58="A")*8+($S58:$Y58="J")*5+($S58:$Y58="CEP")*4+($S58:$Y58="CP")*6+($S58:$Y58="CRO")*6+($S58:$Y58="M+")*6+($S58:$Y58="T+")*6+($S58:$Y58="D+")*12+($S58:$Y58="N+")*12+($S58:$Y58="Dm+")*12+($S58:$Y58="Dt+")*12+($S58:$Y58="Tm-")*6+($S58:$Y58="Mt-")*6)</f>
        <v/>
      </c>
      <c r="AY58" s="118">
        <f>AX58-MAX(0,IFERROR(INDEX(CADASTRO!$I$4:$I$80,MATCH($A58,CADASTRO!$A$4:$A$80,0)),$B58)-CONFIG!$B$50*(COUNTIF($S58:$Y58,"AB")+COUNTIF($S58:$Y58,"FE")+COUNTIF($S58:$Y58,"LM")))</f>
        <v/>
      </c>
      <c r="AZ58" s="117">
        <f>SUMPRODUCT(($Z58:$AF58="M")*6+($Z58:$AF58="T")*6+($Z58:$AF58="D")*12+($Z58:$AF58="N")*12+($Z58:$AF58="NT")*6+($Z58:$AF58="C")*10+($Z58:$AF58="A")*8+($Z58:$AF58="J")*5+($Z58:$AF58="CEP")*4+($Z58:$AF58="CP")*6+($Z58:$AF58="CRO")*6+($Z58:$AF58="M+")*6+($Z58:$AF58="T+")*6+($Z58:$AF58="D+")*12+($Z58:$AF58="N+")*12+($Z58:$AF58="Dm+")*12+($Z58:$AF58="Dt+")*12+($Z58:$AF58="Tm-")*6+($Z58:$AF58="Mt-")*6)</f>
        <v/>
      </c>
      <c r="BA58" s="118">
        <f>AZ58-MAX(0,IFERROR(INDEX(CADASTRO!$I$4:$I$80,MATCH($A58,CADASTRO!$A$4:$A$80,0)),$B58)-CONFIG!$B$50*(COUNTIF($Z58:$AF58,"AB")+COUNTIF($Z58:$AF58,"FE")+COUNTIF($Z58:$AF58,"LM")))</f>
        <v/>
      </c>
      <c r="BB58" s="117">
        <f>SUMPRODUCT(($AG58:$AM58="M")*6+($AG58:$AM58="T")*6+($AG58:$AM58="D")*12+($AG58:$AM58="N")*12+($AG58:$AM58="NT")*6+($AG58:$AM58="C")*10+($AG58:$AM58="A")*8+($AG58:$AM58="J")*5+($AG58:$AM58="CEP")*4+($AG58:$AM58="CP")*6+($AG58:$AM58="CRO")*6+($AG58:$AM58="M+")*6+($AG58:$AM58="T+")*6+($AG58:$AM58="D+")*12+($AG58:$AM58="N+")*12+($AG58:$AM58="Dm+")*12+($AG58:$AM58="Dt+")*12+($AG58:$AM58="Tm-")*6+($AG58:$AM58="Mt-")*6)</f>
        <v/>
      </c>
      <c r="BC58" s="118">
        <f>BB58-MAX(0,IFERROR(INDEX(CADASTRO!$I$4:$I$80,MATCH($A58,CADASTRO!$A$4:$A$80,0)),$B58)-CONFIG!$B$50*(COUNTIF($AG58:$AM58,"AB")+COUNTIF($AG58:$AM58,"FE")+COUNTIF($AG58:$AM58,"LM")))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36">
        <f>IFERROR(INDEX(ABR!AI$8:AI$73,MATCH($A59,ABR!$A$8:$A$73,0))&amp;"","")</f>
        <v/>
      </c>
      <c r="F59" s="136">
        <f>IFERROR(INDEX(ABR!AJ$8:AJ$73,MATCH($A59,ABR!$A$8:$A$73,0))&amp;"","")</f>
        <v/>
      </c>
      <c r="G59" s="136">
        <f>IFERROR(INDEX(ABR!AK$8:AK$73,MATCH($A59,ABR!$A$8:$A$73,0))&amp;"","")</f>
        <v/>
      </c>
      <c r="H59" s="136">
        <f>IFERROR(INDEX(ABR!AL$8:AL$73,MATCH($A59,ABR!$A$8:$A$73,0))&amp;"","")</f>
        <v/>
      </c>
      <c r="I59" s="114" t="n"/>
      <c r="J59" s="114" t="n"/>
      <c r="K59" s="114" t="n"/>
      <c r="L59" s="114" t="n"/>
      <c r="M59" s="114" t="n"/>
      <c r="N59" s="125" t="inlineStr">
        <is>
          <t>N</t>
        </is>
      </c>
      <c r="O59" s="114" t="n"/>
      <c r="P59" s="114" t="n"/>
      <c r="Q59" s="114" t="n"/>
      <c r="R59" s="124" t="inlineStr">
        <is>
          <t>D</t>
        </is>
      </c>
      <c r="S59" s="126" t="inlineStr">
        <is>
          <t>T</t>
        </is>
      </c>
      <c r="T59" s="114" t="n"/>
      <c r="U59" s="114" t="n"/>
      <c r="V59" s="114" t="n"/>
      <c r="W59" s="126" t="inlineStr">
        <is>
          <t>T</t>
        </is>
      </c>
      <c r="X59" s="125" t="inlineStr">
        <is>
          <t>N</t>
        </is>
      </c>
      <c r="Y59" s="114" t="n"/>
      <c r="Z59" s="126" t="inlineStr">
        <is>
          <t>T</t>
        </is>
      </c>
      <c r="AA59" s="114" t="n"/>
      <c r="AB59" s="114" t="n"/>
      <c r="AC59" s="114" t="n"/>
      <c r="AD59" s="125" t="inlineStr">
        <is>
          <t>N</t>
        </is>
      </c>
      <c r="AE59" s="114" t="n"/>
      <c r="AF59" s="126" t="inlineStr">
        <is>
          <t>T</t>
        </is>
      </c>
      <c r="AG59" s="126" t="inlineStr">
        <is>
          <t>T</t>
        </is>
      </c>
      <c r="AH59" s="115" t="inlineStr">
        <is>
          <t>M</t>
        </is>
      </c>
      <c r="AI59" s="126" t="inlineStr">
        <is>
          <t>T</t>
        </is>
      </c>
      <c r="AJ59" s="114" t="n"/>
      <c r="AK59" s="126" t="inlineStr">
        <is>
          <t>T</t>
        </is>
      </c>
      <c r="AL59" s="114" t="n"/>
      <c r="AM59" s="114" t="n"/>
      <c r="AN59" s="100" t="n"/>
      <c r="AO59" s="100" t="n"/>
      <c r="AP59" s="100" t="n"/>
      <c r="AQ59" s="100" t="n"/>
      <c r="AR59" s="100" t="n"/>
      <c r="AS59" s="100" t="n"/>
      <c r="AT59" s="117">
        <f>SUMPRODUCT(($E59:$K59="M")*6+($E59:$K59="T")*6+($E59:$K59="D")*12+($E59:$K59="N")*12+($E59:$K59="NT")*6+($E59:$K59="C")*10+($E59:$K59="A")*8+($E59:$K59="J")*5+($E59:$K59="CEP")*4+($E59:$K59="CP")*6+($E59:$K59="CRO")*6+($E59:$K59="M+")*6+($E59:$K59="T+")*6+($E59:$K59="D+")*12+($E59:$K59="N+")*12+($E59:$K59="Dm+")*12+($E59:$K59="Dt+")*12+($E59:$K59="Tm-")*6+($E59:$K59="Mt-")*6)</f>
        <v/>
      </c>
      <c r="AU59" s="118">
        <f>AT59-MAX(0,IFERROR(INDEX(CADASTRO!$I$4:$I$80,MATCH($A59,CADASTRO!$A$4:$A$80,0)),$B59)-CONFIG!$B$50*(COUNTIF($E59:$K59,"AB")+COUNTIF($E59:$K59,"FE")+COUNTIF($E59:$K59,"LM")))</f>
        <v/>
      </c>
      <c r="AV59" s="117">
        <f>SUMPRODUCT(($L59:$R59="M")*6+($L59:$R59="T")*6+($L59:$R59="D")*12+($L59:$R59="N")*12+($L59:$R59="NT")*6+($L59:$R59="C")*10+($L59:$R59="A")*8+($L59:$R59="J")*5+($L59:$R59="CEP")*4+($L59:$R59="CP")*6+($L59:$R59="CRO")*6+($L59:$R59="M+")*6+($L59:$R59="T+")*6+($L59:$R59="D+")*12+($L59:$R59="N+")*12+($L59:$R59="Dm+")*12+($L59:$R59="Dt+")*12+($L59:$R59="Tm-")*6+($L59:$R59="Mt-")*6)</f>
        <v/>
      </c>
      <c r="AW59" s="118">
        <f>AV59-MAX(0,IFERROR(INDEX(CADASTRO!$I$4:$I$80,MATCH($A59,CADASTRO!$A$4:$A$80,0)),$B59)-CONFIG!$B$50*(COUNTIF($L59:$R59,"AB")+COUNTIF($L59:$R59,"FE")+COUNTIF($L59:$R59,"LM")))</f>
        <v/>
      </c>
      <c r="AX59" s="117">
        <f>SUMPRODUCT(($S59:$Y59="M")*6+($S59:$Y59="T")*6+($S59:$Y59="D")*12+($S59:$Y59="N")*12+($S59:$Y59="NT")*6+($S59:$Y59="C")*10+($S59:$Y59="A")*8+($S59:$Y59="J")*5+($S59:$Y59="CEP")*4+($S59:$Y59="CP")*6+($S59:$Y59="CRO")*6+($S59:$Y59="M+")*6+($S59:$Y59="T+")*6+($S59:$Y59="D+")*12+($S59:$Y59="N+")*12+($S59:$Y59="Dm+")*12+($S59:$Y59="Dt+")*12+($S59:$Y59="Tm-")*6+($S59:$Y59="Mt-")*6)</f>
        <v/>
      </c>
      <c r="AY59" s="118">
        <f>AX59-MAX(0,IFERROR(INDEX(CADASTRO!$I$4:$I$80,MATCH($A59,CADASTRO!$A$4:$A$80,0)),$B59)-CONFIG!$B$50*(COUNTIF($S59:$Y59,"AB")+COUNTIF($S59:$Y59,"FE")+COUNTIF($S59:$Y59,"LM")))</f>
        <v/>
      </c>
      <c r="AZ59" s="117">
        <f>SUMPRODUCT(($Z59:$AF59="M")*6+($Z59:$AF59="T")*6+($Z59:$AF59="D")*12+($Z59:$AF59="N")*12+($Z59:$AF59="NT")*6+($Z59:$AF59="C")*10+($Z59:$AF59="A")*8+($Z59:$AF59="J")*5+($Z59:$AF59="CEP")*4+($Z59:$AF59="CP")*6+($Z59:$AF59="CRO")*6+($Z59:$AF59="M+")*6+($Z59:$AF59="T+")*6+($Z59:$AF59="D+")*12+($Z59:$AF59="N+")*12+($Z59:$AF59="Dm+")*12+($Z59:$AF59="Dt+")*12+($Z59:$AF59="Tm-")*6+($Z59:$AF59="Mt-")*6)</f>
        <v/>
      </c>
      <c r="BA59" s="118">
        <f>AZ59-MAX(0,IFERROR(INDEX(CADASTRO!$I$4:$I$80,MATCH($A59,CADASTRO!$A$4:$A$80,0)),$B59)-CONFIG!$B$50*(COUNTIF($Z59:$AF59,"AB")+COUNTIF($Z59:$AF59,"FE")+COUNTIF($Z59:$AF59,"LM")))</f>
        <v/>
      </c>
      <c r="BB59" s="117">
        <f>SUMPRODUCT(($AG59:$AM59="M")*6+($AG59:$AM59="T")*6+($AG59:$AM59="D")*12+($AG59:$AM59="N")*12+($AG59:$AM59="NT")*6+($AG59:$AM59="C")*10+($AG59:$AM59="A")*8+($AG59:$AM59="J")*5+($AG59:$AM59="CEP")*4+($AG59:$AM59="CP")*6+($AG59:$AM59="CRO")*6+($AG59:$AM59="M+")*6+($AG59:$AM59="T+")*6+($AG59:$AM59="D+")*12+($AG59:$AM59="N+")*12+($AG59:$AM59="Dm+")*12+($AG59:$AM59="Dt+")*12+($AG59:$AM59="Tm-")*6+($AG59:$AM59="Mt-")*6)</f>
        <v/>
      </c>
      <c r="BC59" s="118">
        <f>BB59-MAX(0,IFERROR(INDEX(CADASTRO!$I$4:$I$80,MATCH($A59,CADASTRO!$A$4:$A$80,0)),$B59)-CONFIG!$B$50*(COUNTIF($AG59:$AM59,"AB")+COUNTIF($AG59:$AM59,"FE")+COUNTIF($AG59:$AM59,"LM")))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36">
        <f>IFERROR(INDEX(ABR!AI$8:AI$73,MATCH($A60,ABR!$A$8:$A$73,0))&amp;"","")</f>
        <v/>
      </c>
      <c r="F60" s="136">
        <f>IFERROR(INDEX(ABR!AJ$8:AJ$73,MATCH($A60,ABR!$A$8:$A$73,0))&amp;"","")</f>
        <v/>
      </c>
      <c r="G60" s="136">
        <f>IFERROR(INDEX(ABR!AK$8:AK$73,MATCH($A60,ABR!$A$8:$A$73,0))&amp;"","")</f>
        <v/>
      </c>
      <c r="H60" s="136">
        <f>IFERROR(INDEX(ABR!AL$8:AL$73,MATCH($A60,ABR!$A$8:$A$73,0))&amp;"","")</f>
        <v/>
      </c>
      <c r="I60" s="124" t="inlineStr">
        <is>
          <t>D</t>
        </is>
      </c>
      <c r="J60" s="114" t="n"/>
      <c r="K60" s="124" t="inlineStr">
        <is>
          <t>D</t>
        </is>
      </c>
      <c r="L60" s="114" t="n"/>
      <c r="M60" s="126" t="inlineStr">
        <is>
          <t>T</t>
        </is>
      </c>
      <c r="N60" s="114" t="n"/>
      <c r="O60" s="126" t="inlineStr">
        <is>
          <t>T</t>
        </is>
      </c>
      <c r="P60" s="114" t="n"/>
      <c r="Q60" s="114" t="n"/>
      <c r="R60" s="124" t="inlineStr">
        <is>
          <t>D</t>
        </is>
      </c>
      <c r="S60" s="114" t="n"/>
      <c r="T60" s="114" t="n"/>
      <c r="U60" s="114" t="n"/>
      <c r="V60" s="114" t="n"/>
      <c r="W60" s="125" t="inlineStr">
        <is>
          <t>N</t>
        </is>
      </c>
      <c r="X60" s="114" t="n"/>
      <c r="Y60" s="125" t="inlineStr">
        <is>
          <t>N</t>
        </is>
      </c>
      <c r="Z60" s="114" t="n"/>
      <c r="AA60" s="126" t="inlineStr">
        <is>
          <t>T</t>
        </is>
      </c>
      <c r="AB60" s="114" t="n"/>
      <c r="AC60" s="126" t="inlineStr">
        <is>
          <t>T</t>
        </is>
      </c>
      <c r="AD60" s="114" t="n"/>
      <c r="AE60" s="114" t="n"/>
      <c r="AF60" s="124" t="inlineStr">
        <is>
          <t>D</t>
        </is>
      </c>
      <c r="AG60" s="114" t="n"/>
      <c r="AH60" s="114" t="n"/>
      <c r="AI60" s="114" t="n"/>
      <c r="AJ60" s="114" t="n"/>
      <c r="AK60" s="125" t="inlineStr">
        <is>
          <t>N</t>
        </is>
      </c>
      <c r="AL60" s="114" t="n"/>
      <c r="AM60" s="124" t="inlineStr">
        <is>
          <t>D</t>
        </is>
      </c>
      <c r="AN60" s="100" t="n"/>
      <c r="AO60" s="100" t="n"/>
      <c r="AP60" s="100" t="n"/>
      <c r="AQ60" s="100" t="n"/>
      <c r="AR60" s="100" t="n"/>
      <c r="AS60" s="100" t="n"/>
      <c r="AT60" s="117">
        <f>SUMPRODUCT(($E60:$K60="M")*6+($E60:$K60="T")*6+($E60:$K60="D")*12+($E60:$K60="N")*12+($E60:$K60="NT")*6+($E60:$K60="C")*10+($E60:$K60="A")*8+($E60:$K60="J")*5+($E60:$K60="CEP")*4+($E60:$K60="CP")*6+($E60:$K60="CRO")*6+($E60:$K60="M+")*6+($E60:$K60="T+")*6+($E60:$K60="D+")*12+($E60:$K60="N+")*12+($E60:$K60="Dm+")*12+($E60:$K60="Dt+")*12+($E60:$K60="Tm-")*6+($E60:$K60="Mt-")*6)</f>
        <v/>
      </c>
      <c r="AU60" s="118">
        <f>AT60-MAX(0,IFERROR(INDEX(CADASTRO!$I$4:$I$80,MATCH($A60,CADASTRO!$A$4:$A$80,0)),$B60)-CONFIG!$B$50*(COUNTIF($E60:$K60,"AB")+COUNTIF($E60:$K60,"FE")+COUNTIF($E60:$K60,"LM")))</f>
        <v/>
      </c>
      <c r="AV60" s="117">
        <f>SUMPRODUCT(($L60:$R60="M")*6+($L60:$R60="T")*6+($L60:$R60="D")*12+($L60:$R60="N")*12+($L60:$R60="NT")*6+($L60:$R60="C")*10+($L60:$R60="A")*8+($L60:$R60="J")*5+($L60:$R60="CEP")*4+($L60:$R60="CP")*6+($L60:$R60="CRO")*6+($L60:$R60="M+")*6+($L60:$R60="T+")*6+($L60:$R60="D+")*12+($L60:$R60="N+")*12+($L60:$R60="Dm+")*12+($L60:$R60="Dt+")*12+($L60:$R60="Tm-")*6+($L60:$R60="Mt-")*6)</f>
        <v/>
      </c>
      <c r="AW60" s="118">
        <f>AV60-MAX(0,IFERROR(INDEX(CADASTRO!$I$4:$I$80,MATCH($A60,CADASTRO!$A$4:$A$80,0)),$B60)-CONFIG!$B$50*(COUNTIF($L60:$R60,"AB")+COUNTIF($L60:$R60,"FE")+COUNTIF($L60:$R60,"LM")))</f>
        <v/>
      </c>
      <c r="AX60" s="117">
        <f>SUMPRODUCT(($S60:$Y60="M")*6+($S60:$Y60="T")*6+($S60:$Y60="D")*12+($S60:$Y60="N")*12+($S60:$Y60="NT")*6+($S60:$Y60="C")*10+($S60:$Y60="A")*8+($S60:$Y60="J")*5+($S60:$Y60="CEP")*4+($S60:$Y60="CP")*6+($S60:$Y60="CRO")*6+($S60:$Y60="M+")*6+($S60:$Y60="T+")*6+($S60:$Y60="D+")*12+($S60:$Y60="N+")*12+($S60:$Y60="Dm+")*12+($S60:$Y60="Dt+")*12+($S60:$Y60="Tm-")*6+($S60:$Y60="Mt-")*6)</f>
        <v/>
      </c>
      <c r="AY60" s="118">
        <f>AX60-MAX(0,IFERROR(INDEX(CADASTRO!$I$4:$I$80,MATCH($A60,CADASTRO!$A$4:$A$80,0)),$B60)-CONFIG!$B$50*(COUNTIF($S60:$Y60,"AB")+COUNTIF($S60:$Y60,"FE")+COUNTIF($S60:$Y60,"LM")))</f>
        <v/>
      </c>
      <c r="AZ60" s="117">
        <f>SUMPRODUCT(($Z60:$AF60="M")*6+($Z60:$AF60="T")*6+($Z60:$AF60="D")*12+($Z60:$AF60="N")*12+($Z60:$AF60="NT")*6+($Z60:$AF60="C")*10+($Z60:$AF60="A")*8+($Z60:$AF60="J")*5+($Z60:$AF60="CEP")*4+($Z60:$AF60="CP")*6+($Z60:$AF60="CRO")*6+($Z60:$AF60="M+")*6+($Z60:$AF60="T+")*6+($Z60:$AF60="D+")*12+($Z60:$AF60="N+")*12+($Z60:$AF60="Dm+")*12+($Z60:$AF60="Dt+")*12+($Z60:$AF60="Tm-")*6+($Z60:$AF60="Mt-")*6)</f>
        <v/>
      </c>
      <c r="BA60" s="118">
        <f>AZ60-MAX(0,IFERROR(INDEX(CADASTRO!$I$4:$I$80,MATCH($A60,CADASTRO!$A$4:$A$80,0)),$B60)-CONFIG!$B$50*(COUNTIF($Z60:$AF60,"AB")+COUNTIF($Z60:$AF60,"FE")+COUNTIF($Z60:$AF60,"LM")))</f>
        <v/>
      </c>
      <c r="BB60" s="117">
        <f>SUMPRODUCT(($AG60:$AM60="M")*6+($AG60:$AM60="T")*6+($AG60:$AM60="D")*12+($AG60:$AM60="N")*12+($AG60:$AM60="NT")*6+($AG60:$AM60="C")*10+($AG60:$AM60="A")*8+($AG60:$AM60="J")*5+($AG60:$AM60="CEP")*4+($AG60:$AM60="CP")*6+($AG60:$AM60="CRO")*6+($AG60:$AM60="M+")*6+($AG60:$AM60="T+")*6+($AG60:$AM60="D+")*12+($AG60:$AM60="N+")*12+($AG60:$AM60="Dm+")*12+($AG60:$AM60="Dt+")*12+($AG60:$AM60="Tm-")*6+($AG60:$AM60="Mt-")*6)</f>
        <v/>
      </c>
      <c r="BC60" s="118">
        <f>BB60-MAX(0,IFERROR(INDEX(CADASTRO!$I$4:$I$80,MATCH($A60,CADASTRO!$A$4:$A$80,0)),$B60)-CONFIG!$B$50*(COUNTIF($AG60:$AM60,"AB")+COUNTIF($AG60:$AM60,"FE")+COUNTIF($AG60:$AM60,"LM")))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36">
        <f>IFERROR(INDEX(ABR!AI$8:AI$73,MATCH($A61,ABR!$A$8:$A$73,0))&amp;"","")</f>
        <v/>
      </c>
      <c r="F61" s="136">
        <f>IFERROR(INDEX(ABR!AJ$8:AJ$73,MATCH($A61,ABR!$A$8:$A$73,0))&amp;"","")</f>
        <v/>
      </c>
      <c r="G61" s="136">
        <f>IFERROR(INDEX(ABR!AK$8:AK$73,MATCH($A61,ABR!$A$8:$A$73,0))&amp;"","")</f>
        <v/>
      </c>
      <c r="H61" s="136">
        <f>IFERROR(INDEX(ABR!AL$8:AL$73,MATCH($A61,ABR!$A$8:$A$73,0))&amp;"","")</f>
        <v/>
      </c>
      <c r="I61" s="124" t="inlineStr">
        <is>
          <t>D</t>
        </is>
      </c>
      <c r="J61" s="114" t="n"/>
      <c r="K61" s="114" t="n"/>
      <c r="L61" s="114" t="n"/>
      <c r="M61" s="114" t="n"/>
      <c r="N61" s="114" t="n"/>
      <c r="O61" s="126" t="inlineStr">
        <is>
          <t>T</t>
        </is>
      </c>
      <c r="P61" s="125" t="inlineStr">
        <is>
          <t>N</t>
        </is>
      </c>
      <c r="Q61" s="114" t="n"/>
      <c r="R61" s="126" t="inlineStr">
        <is>
          <t>T</t>
        </is>
      </c>
      <c r="S61" s="124" t="inlineStr">
        <is>
          <t>D</t>
        </is>
      </c>
      <c r="T61" s="114" t="n"/>
      <c r="U61" s="114" t="n"/>
      <c r="V61" s="124" t="inlineStr">
        <is>
          <t>D</t>
        </is>
      </c>
      <c r="W61" s="114" t="n"/>
      <c r="X61" s="114" t="n"/>
      <c r="Y61" s="114" t="n"/>
      <c r="Z61" s="124" t="inlineStr">
        <is>
          <t>D</t>
        </is>
      </c>
      <c r="AA61" s="114" t="n"/>
      <c r="AB61" s="114" t="n"/>
      <c r="AC61" s="125" t="inlineStr">
        <is>
          <t>N</t>
        </is>
      </c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24" t="inlineStr">
        <is>
          <t>D</t>
        </is>
      </c>
      <c r="AM61" s="125" t="inlineStr">
        <is>
          <t>N</t>
        </is>
      </c>
      <c r="AN61" s="100" t="n"/>
      <c r="AO61" s="100" t="n"/>
      <c r="AP61" s="100" t="n"/>
      <c r="AQ61" s="100" t="n"/>
      <c r="AR61" s="100" t="n"/>
      <c r="AS61" s="100" t="n"/>
      <c r="AT61" s="117">
        <f>SUMPRODUCT(($E61:$K61="M")*6+($E61:$K61="T")*6+($E61:$K61="D")*12+($E61:$K61="N")*12+($E61:$K61="NT")*6+($E61:$K61="C")*10+($E61:$K61="A")*8+($E61:$K61="J")*5+($E61:$K61="CEP")*4+($E61:$K61="CP")*6+($E61:$K61="CRO")*6+($E61:$K61="M+")*6+($E61:$K61="T+")*6+($E61:$K61="D+")*12+($E61:$K61="N+")*12+($E61:$K61="Dm+")*12+($E61:$K61="Dt+")*12+($E61:$K61="Tm-")*6+($E61:$K61="Mt-")*6)</f>
        <v/>
      </c>
      <c r="AU61" s="118">
        <f>AT61-MAX(0,IFERROR(INDEX(CADASTRO!$I$4:$I$80,MATCH($A61,CADASTRO!$A$4:$A$80,0)),$B61)-CONFIG!$B$50*(COUNTIF($E61:$K61,"AB")+COUNTIF($E61:$K61,"FE")+COUNTIF($E61:$K61,"LM")))</f>
        <v/>
      </c>
      <c r="AV61" s="117">
        <f>SUMPRODUCT(($L61:$R61="M")*6+($L61:$R61="T")*6+($L61:$R61="D")*12+($L61:$R61="N")*12+($L61:$R61="NT")*6+($L61:$R61="C")*10+($L61:$R61="A")*8+($L61:$R61="J")*5+($L61:$R61="CEP")*4+($L61:$R61="CP")*6+($L61:$R61="CRO")*6+($L61:$R61="M+")*6+($L61:$R61="T+")*6+($L61:$R61="D+")*12+($L61:$R61="N+")*12+($L61:$R61="Dm+")*12+($L61:$R61="Dt+")*12+($L61:$R61="Tm-")*6+($L61:$R61="Mt-")*6)</f>
        <v/>
      </c>
      <c r="AW61" s="118">
        <f>AV61-MAX(0,IFERROR(INDEX(CADASTRO!$I$4:$I$80,MATCH($A61,CADASTRO!$A$4:$A$80,0)),$B61)-CONFIG!$B$50*(COUNTIF($L61:$R61,"AB")+COUNTIF($L61:$R61,"FE")+COUNTIF($L61:$R61,"LM")))</f>
        <v/>
      </c>
      <c r="AX61" s="117">
        <f>SUMPRODUCT(($S61:$Y61="M")*6+($S61:$Y61="T")*6+($S61:$Y61="D")*12+($S61:$Y61="N")*12+($S61:$Y61="NT")*6+($S61:$Y61="C")*10+($S61:$Y61="A")*8+($S61:$Y61="J")*5+($S61:$Y61="CEP")*4+($S61:$Y61="CP")*6+($S61:$Y61="CRO")*6+($S61:$Y61="M+")*6+($S61:$Y61="T+")*6+($S61:$Y61="D+")*12+($S61:$Y61="N+")*12+($S61:$Y61="Dm+")*12+($S61:$Y61="Dt+")*12+($S61:$Y61="Tm-")*6+($S61:$Y61="Mt-")*6)</f>
        <v/>
      </c>
      <c r="AY61" s="118">
        <f>AX61-MAX(0,IFERROR(INDEX(CADASTRO!$I$4:$I$80,MATCH($A61,CADASTRO!$A$4:$A$80,0)),$B61)-CONFIG!$B$50*(COUNTIF($S61:$Y61,"AB")+COUNTIF($S61:$Y61,"FE")+COUNTIF($S61:$Y61,"LM")))</f>
        <v/>
      </c>
      <c r="AZ61" s="117">
        <f>SUMPRODUCT(($Z61:$AF61="M")*6+($Z61:$AF61="T")*6+($Z61:$AF61="D")*12+($Z61:$AF61="N")*12+($Z61:$AF61="NT")*6+($Z61:$AF61="C")*10+($Z61:$AF61="A")*8+($Z61:$AF61="J")*5+($Z61:$AF61="CEP")*4+($Z61:$AF61="CP")*6+($Z61:$AF61="CRO")*6+($Z61:$AF61="M+")*6+($Z61:$AF61="T+")*6+($Z61:$AF61="D+")*12+($Z61:$AF61="N+")*12+($Z61:$AF61="Dm+")*12+($Z61:$AF61="Dt+")*12+($Z61:$AF61="Tm-")*6+($Z61:$AF61="Mt-")*6)</f>
        <v/>
      </c>
      <c r="BA61" s="118">
        <f>AZ61-MAX(0,IFERROR(INDEX(CADASTRO!$I$4:$I$80,MATCH($A61,CADASTRO!$A$4:$A$80,0)),$B61)-CONFIG!$B$50*(COUNTIF($Z61:$AF61,"AB")+COUNTIF($Z61:$AF61,"FE")+COUNTIF($Z61:$AF61,"LM")))</f>
        <v/>
      </c>
      <c r="BB61" s="117">
        <f>SUMPRODUCT(($AG61:$AM61="M")*6+($AG61:$AM61="T")*6+($AG61:$AM61="D")*12+($AG61:$AM61="N")*12+($AG61:$AM61="NT")*6+($AG61:$AM61="C")*10+($AG61:$AM61="A")*8+($AG61:$AM61="J")*5+($AG61:$AM61="CEP")*4+($AG61:$AM61="CP")*6+($AG61:$AM61="CRO")*6+($AG61:$AM61="M+")*6+($AG61:$AM61="T+")*6+($AG61:$AM61="D+")*12+($AG61:$AM61="N+")*12+($AG61:$AM61="Dm+")*12+($AG61:$AM61="Dt+")*12+($AG61:$AM61="Tm-")*6+($AG61:$AM61="Mt-")*6)</f>
        <v/>
      </c>
      <c r="BC61" s="118">
        <f>BB61-MAX(0,IFERROR(INDEX(CADASTRO!$I$4:$I$80,MATCH($A61,CADASTRO!$A$4:$A$80,0)),$B61)-CONFIG!$B$50*(COUNTIF($AG61:$AM61,"AB")+COUNTIF($AG61:$AM61,"FE")+COUNTIF($AG61:$AM61,"LM")))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36">
        <f>IFERROR(INDEX(ABR!AI$8:AI$73,MATCH($A62,ABR!$A$8:$A$73,0))&amp;"","")</f>
        <v/>
      </c>
      <c r="F62" s="136">
        <f>IFERROR(INDEX(ABR!AJ$8:AJ$73,MATCH($A62,ABR!$A$8:$A$73,0))&amp;"","")</f>
        <v/>
      </c>
      <c r="G62" s="136">
        <f>IFERROR(INDEX(ABR!AK$8:AK$73,MATCH($A62,ABR!$A$8:$A$73,0))&amp;"","")</f>
        <v/>
      </c>
      <c r="H62" s="136">
        <f>IFERROR(INDEX(ABR!AL$8:AL$73,MATCH($A62,ABR!$A$8:$A$73,0))&amp;"","")</f>
        <v/>
      </c>
      <c r="I62" s="125" t="inlineStr">
        <is>
          <t>N</t>
        </is>
      </c>
      <c r="J62" s="114" t="n"/>
      <c r="K62" s="114" t="n"/>
      <c r="L62" s="114" t="n"/>
      <c r="M62" s="125" t="inlineStr">
        <is>
          <t>N</t>
        </is>
      </c>
      <c r="N62" s="114" t="n"/>
      <c r="O62" s="114" t="n"/>
      <c r="P62" s="114" t="n"/>
      <c r="Q62" s="114" t="n"/>
      <c r="R62" s="124" t="inlineStr">
        <is>
          <t>D</t>
        </is>
      </c>
      <c r="S62" s="114" t="n"/>
      <c r="T62" s="125" t="inlineStr">
        <is>
          <t>N</t>
        </is>
      </c>
      <c r="U62" s="114" t="n"/>
      <c r="V62" s="124" t="inlineStr">
        <is>
          <t>D</t>
        </is>
      </c>
      <c r="W62" s="114" t="n"/>
      <c r="X62" s="114" t="n"/>
      <c r="Y62" s="114" t="n"/>
      <c r="Z62" s="125" t="inlineStr">
        <is>
          <t>N</t>
        </is>
      </c>
      <c r="AA62" s="114" t="n"/>
      <c r="AB62" s="114" t="n"/>
      <c r="AC62" s="114" t="n"/>
      <c r="AD62" s="114" t="n"/>
      <c r="AE62" s="114" t="n"/>
      <c r="AF62" s="124" t="inlineStr">
        <is>
          <t>D</t>
        </is>
      </c>
      <c r="AG62" s="114" t="n"/>
      <c r="AH62" s="125" t="inlineStr">
        <is>
          <t>N</t>
        </is>
      </c>
      <c r="AI62" s="114" t="n"/>
      <c r="AJ62" s="114" t="n"/>
      <c r="AK62" s="114" t="n"/>
      <c r="AL62" s="125" t="inlineStr">
        <is>
          <t>N</t>
        </is>
      </c>
      <c r="AM62" s="114" t="n"/>
      <c r="AN62" s="100" t="n"/>
      <c r="AO62" s="100" t="n"/>
      <c r="AP62" s="100" t="n"/>
      <c r="AQ62" s="100" t="n"/>
      <c r="AR62" s="100" t="n"/>
      <c r="AS62" s="100" t="n"/>
      <c r="AT62" s="117">
        <f>SUMPRODUCT(($E62:$K62="M")*6+($E62:$K62="T")*6+($E62:$K62="D")*12+($E62:$K62="N")*12+($E62:$K62="NT")*6+($E62:$K62="C")*10+($E62:$K62="A")*8+($E62:$K62="J")*5+($E62:$K62="CEP")*4+($E62:$K62="CP")*6+($E62:$K62="CRO")*6+($E62:$K62="M+")*6+($E62:$K62="T+")*6+($E62:$K62="D+")*12+($E62:$K62="N+")*12+($E62:$K62="Dm+")*12+($E62:$K62="Dt+")*12+($E62:$K62="Tm-")*6+($E62:$K62="Mt-")*6)</f>
        <v/>
      </c>
      <c r="AU62" s="118">
        <f>AT62-MAX(0,IFERROR(INDEX(CADASTRO!$I$4:$I$80,MATCH($A62,CADASTRO!$A$4:$A$80,0)),$B62)-CONFIG!$B$50*(COUNTIF($E62:$K62,"AB")+COUNTIF($E62:$K62,"FE")+COUNTIF($E62:$K62,"LM")))</f>
        <v/>
      </c>
      <c r="AV62" s="117">
        <f>SUMPRODUCT(($L62:$R62="M")*6+($L62:$R62="T")*6+($L62:$R62="D")*12+($L62:$R62="N")*12+($L62:$R62="NT")*6+($L62:$R62="C")*10+($L62:$R62="A")*8+($L62:$R62="J")*5+($L62:$R62="CEP")*4+($L62:$R62="CP")*6+($L62:$R62="CRO")*6+($L62:$R62="M+")*6+($L62:$R62="T+")*6+($L62:$R62="D+")*12+($L62:$R62="N+")*12+($L62:$R62="Dm+")*12+($L62:$R62="Dt+")*12+($L62:$R62="Tm-")*6+($L62:$R62="Mt-")*6)</f>
        <v/>
      </c>
      <c r="AW62" s="118">
        <f>AV62-MAX(0,IFERROR(INDEX(CADASTRO!$I$4:$I$80,MATCH($A62,CADASTRO!$A$4:$A$80,0)),$B62)-CONFIG!$B$50*(COUNTIF($L62:$R62,"AB")+COUNTIF($L62:$R62,"FE")+COUNTIF($L62:$R62,"LM")))</f>
        <v/>
      </c>
      <c r="AX62" s="117">
        <f>SUMPRODUCT(($S62:$Y62="M")*6+($S62:$Y62="T")*6+($S62:$Y62="D")*12+($S62:$Y62="N")*12+($S62:$Y62="NT")*6+($S62:$Y62="C")*10+($S62:$Y62="A")*8+($S62:$Y62="J")*5+($S62:$Y62="CEP")*4+($S62:$Y62="CP")*6+($S62:$Y62="CRO")*6+($S62:$Y62="M+")*6+($S62:$Y62="T+")*6+($S62:$Y62="D+")*12+($S62:$Y62="N+")*12+($S62:$Y62="Dm+")*12+($S62:$Y62="Dt+")*12+($S62:$Y62="Tm-")*6+($S62:$Y62="Mt-")*6)</f>
        <v/>
      </c>
      <c r="AY62" s="118">
        <f>AX62-MAX(0,IFERROR(INDEX(CADASTRO!$I$4:$I$80,MATCH($A62,CADASTRO!$A$4:$A$80,0)),$B62)-CONFIG!$B$50*(COUNTIF($S62:$Y62,"AB")+COUNTIF($S62:$Y62,"FE")+COUNTIF($S62:$Y62,"LM")))</f>
        <v/>
      </c>
      <c r="AZ62" s="117">
        <f>SUMPRODUCT(($Z62:$AF62="M")*6+($Z62:$AF62="T")*6+($Z62:$AF62="D")*12+($Z62:$AF62="N")*12+($Z62:$AF62="NT")*6+($Z62:$AF62="C")*10+($Z62:$AF62="A")*8+($Z62:$AF62="J")*5+($Z62:$AF62="CEP")*4+($Z62:$AF62="CP")*6+($Z62:$AF62="CRO")*6+($Z62:$AF62="M+")*6+($Z62:$AF62="T+")*6+($Z62:$AF62="D+")*12+($Z62:$AF62="N+")*12+($Z62:$AF62="Dm+")*12+($Z62:$AF62="Dt+")*12+($Z62:$AF62="Tm-")*6+($Z62:$AF62="Mt-")*6)</f>
        <v/>
      </c>
      <c r="BA62" s="118">
        <f>AZ62-MAX(0,IFERROR(INDEX(CADASTRO!$I$4:$I$80,MATCH($A62,CADASTRO!$A$4:$A$80,0)),$B62)-CONFIG!$B$50*(COUNTIF($Z62:$AF62,"AB")+COUNTIF($Z62:$AF62,"FE")+COUNTIF($Z62:$AF62,"LM")))</f>
        <v/>
      </c>
      <c r="BB62" s="117">
        <f>SUMPRODUCT(($AG62:$AM62="M")*6+($AG62:$AM62="T")*6+($AG62:$AM62="D")*12+($AG62:$AM62="N")*12+($AG62:$AM62="NT")*6+($AG62:$AM62="C")*10+($AG62:$AM62="A")*8+($AG62:$AM62="J")*5+($AG62:$AM62="CEP")*4+($AG62:$AM62="CP")*6+($AG62:$AM62="CRO")*6+($AG62:$AM62="M+")*6+($AG62:$AM62="T+")*6+($AG62:$AM62="D+")*12+($AG62:$AM62="N+")*12+($AG62:$AM62="Dm+")*12+($AG62:$AM62="Dt+")*12+($AG62:$AM62="Tm-")*6+($AG62:$AM62="Mt-")*6)</f>
        <v/>
      </c>
      <c r="BC62" s="118">
        <f>BB62-MAX(0,IFERROR(INDEX(CADASTRO!$I$4:$I$80,MATCH($A62,CADASTRO!$A$4:$A$80,0)),$B62)-CONFIG!$B$50*(COUNTIF($AG62:$AM62,"AB")+COUNTIF($AG62:$AM62,"FE")+COUNTIF($AG62:$AM62,"LM")))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36">
        <f>IFERROR(INDEX(ABR!AI$8:AI$73,MATCH($A63,ABR!$A$8:$A$73,0))&amp;"","")</f>
        <v/>
      </c>
      <c r="F63" s="136">
        <f>IFERROR(INDEX(ABR!AJ$8:AJ$73,MATCH($A63,ABR!$A$8:$A$73,0))&amp;"","")</f>
        <v/>
      </c>
      <c r="G63" s="136">
        <f>IFERROR(INDEX(ABR!AK$8:AK$73,MATCH($A63,ABR!$A$8:$A$73,0))&amp;"","")</f>
        <v/>
      </c>
      <c r="H63" s="136">
        <f>IFERROR(INDEX(ABR!AL$8:AL$73,MATCH($A63,ABR!$A$8:$A$73,0))&amp;"","")</f>
        <v/>
      </c>
      <c r="I63" s="114" t="n"/>
      <c r="J63" s="114" t="n"/>
      <c r="K63" s="124" t="inlineStr">
        <is>
          <t>D</t>
        </is>
      </c>
      <c r="L63" s="114" t="n"/>
      <c r="M63" s="114" t="n"/>
      <c r="N63" s="114" t="n"/>
      <c r="O63" s="124" t="inlineStr">
        <is>
          <t>D</t>
        </is>
      </c>
      <c r="P63" s="125" t="inlineStr">
        <is>
          <t>N</t>
        </is>
      </c>
      <c r="Q63" s="114" t="n"/>
      <c r="R63" s="114" t="n"/>
      <c r="S63" s="114" t="n"/>
      <c r="T63" s="114" t="n"/>
      <c r="U63" s="114" t="n"/>
      <c r="V63" s="124" t="inlineStr">
        <is>
          <t>D</t>
        </is>
      </c>
      <c r="W63" s="124" t="inlineStr">
        <is>
          <t>D</t>
        </is>
      </c>
      <c r="X63" s="114" t="n"/>
      <c r="Y63" s="114" t="n"/>
      <c r="Z63" s="114" t="n"/>
      <c r="AA63" s="114" t="n"/>
      <c r="AB63" s="114" t="n"/>
      <c r="AC63" s="114" t="n"/>
      <c r="AD63" s="114" t="n"/>
      <c r="AE63" s="114" t="n"/>
      <c r="AF63" s="114" t="n"/>
      <c r="AG63" s="114" t="n"/>
      <c r="AH63" s="114" t="n"/>
      <c r="AI63" s="114" t="n"/>
      <c r="AJ63" s="114" t="n"/>
      <c r="AK63" s="114" t="n"/>
      <c r="AL63" s="114" t="n"/>
      <c r="AM63" s="114" t="n"/>
      <c r="AN63" s="100" t="n"/>
      <c r="AO63" s="100" t="n"/>
      <c r="AP63" s="100" t="n"/>
      <c r="AQ63" s="100" t="n"/>
      <c r="AR63" s="100" t="n"/>
      <c r="AS63" s="100" t="n"/>
      <c r="AT63" s="117">
        <f>SUMPRODUCT(($E63:$K63="M")*6+($E63:$K63="T")*6+($E63:$K63="D")*12+($E63:$K63="N")*12+($E63:$K63="NT")*6+($E63:$K63="C")*10+($E63:$K63="A")*8+($E63:$K63="J")*5+($E63:$K63="CEP")*4+($E63:$K63="CP")*6+($E63:$K63="CRO")*6+($E63:$K63="M+")*6+($E63:$K63="T+")*6+($E63:$K63="D+")*12+($E63:$K63="N+")*12+($E63:$K63="Dm+")*12+($E63:$K63="Dt+")*12+($E63:$K63="Tm-")*6+($E63:$K63="Mt-")*6)</f>
        <v/>
      </c>
      <c r="AU63" s="118">
        <f>AT63-MAX(0,IFERROR(INDEX(CADASTRO!$I$4:$I$80,MATCH($A63,CADASTRO!$A$4:$A$80,0)),$B63)-CONFIG!$B$50*(COUNTIF($E63:$K63,"AB")+COUNTIF($E63:$K63,"FE")+COUNTIF($E63:$K63,"LM")))</f>
        <v/>
      </c>
      <c r="AV63" s="117">
        <f>SUMPRODUCT(($L63:$R63="M")*6+($L63:$R63="T")*6+($L63:$R63="D")*12+($L63:$R63="N")*12+($L63:$R63="NT")*6+($L63:$R63="C")*10+($L63:$R63="A")*8+($L63:$R63="J")*5+($L63:$R63="CEP")*4+($L63:$R63="CP")*6+($L63:$R63="CRO")*6+($L63:$R63="M+")*6+($L63:$R63="T+")*6+($L63:$R63="D+")*12+($L63:$R63="N+")*12+($L63:$R63="Dm+")*12+($L63:$R63="Dt+")*12+($L63:$R63="Tm-")*6+($L63:$R63="Mt-")*6)</f>
        <v/>
      </c>
      <c r="AW63" s="118">
        <f>AV63-MAX(0,IFERROR(INDEX(CADASTRO!$I$4:$I$80,MATCH($A63,CADASTRO!$A$4:$A$80,0)),$B63)-CONFIG!$B$50*(COUNTIF($L63:$R63,"AB")+COUNTIF($L63:$R63,"FE")+COUNTIF($L63:$R63,"LM")))</f>
        <v/>
      </c>
      <c r="AX63" s="117">
        <f>SUMPRODUCT(($S63:$Y63="M")*6+($S63:$Y63="T")*6+($S63:$Y63="D")*12+($S63:$Y63="N")*12+($S63:$Y63="NT")*6+($S63:$Y63="C")*10+($S63:$Y63="A")*8+($S63:$Y63="J")*5+($S63:$Y63="CEP")*4+($S63:$Y63="CP")*6+($S63:$Y63="CRO")*6+($S63:$Y63="M+")*6+($S63:$Y63="T+")*6+($S63:$Y63="D+")*12+($S63:$Y63="N+")*12+($S63:$Y63="Dm+")*12+($S63:$Y63="Dt+")*12+($S63:$Y63="Tm-")*6+($S63:$Y63="Mt-")*6)</f>
        <v/>
      </c>
      <c r="AY63" s="118">
        <f>AX63-MAX(0,IFERROR(INDEX(CADASTRO!$I$4:$I$80,MATCH($A63,CADASTRO!$A$4:$A$80,0)),$B63)-CONFIG!$B$50*(COUNTIF($S63:$Y63,"AB")+COUNTIF($S63:$Y63,"FE")+COUNTIF($S63:$Y63,"LM")))</f>
        <v/>
      </c>
      <c r="AZ63" s="117">
        <f>SUMPRODUCT(($Z63:$AF63="M")*6+($Z63:$AF63="T")*6+($Z63:$AF63="D")*12+($Z63:$AF63="N")*12+($Z63:$AF63="NT")*6+($Z63:$AF63="C")*10+($Z63:$AF63="A")*8+($Z63:$AF63="J")*5+($Z63:$AF63="CEP")*4+($Z63:$AF63="CP")*6+($Z63:$AF63="CRO")*6+($Z63:$AF63="M+")*6+($Z63:$AF63="T+")*6+($Z63:$AF63="D+")*12+($Z63:$AF63="N+")*12+($Z63:$AF63="Dm+")*12+($Z63:$AF63="Dt+")*12+($Z63:$AF63="Tm-")*6+($Z63:$AF63="Mt-")*6)</f>
        <v/>
      </c>
      <c r="BA63" s="118">
        <f>AZ63-MAX(0,IFERROR(INDEX(CADASTRO!$I$4:$I$80,MATCH($A63,CADASTRO!$A$4:$A$80,0)),$B63)-CONFIG!$B$50*(COUNTIF($Z63:$AF63,"AB")+COUNTIF($Z63:$AF63,"FE")+COUNTIF($Z63:$AF63,"LM")))</f>
        <v/>
      </c>
      <c r="BB63" s="117">
        <f>SUMPRODUCT(($AG63:$AM63="M")*6+($AG63:$AM63="T")*6+($AG63:$AM63="D")*12+($AG63:$AM63="N")*12+($AG63:$AM63="NT")*6+($AG63:$AM63="C")*10+($AG63:$AM63="A")*8+($AG63:$AM63="J")*5+($AG63:$AM63="CEP")*4+($AG63:$AM63="CP")*6+($AG63:$AM63="CRO")*6+($AG63:$AM63="M+")*6+($AG63:$AM63="T+")*6+($AG63:$AM63="D+")*12+($AG63:$AM63="N+")*12+($AG63:$AM63="Dm+")*12+($AG63:$AM63="Dt+")*12+($AG63:$AM63="Tm-")*6+($AG63:$AM63="Mt-")*6)</f>
        <v/>
      </c>
      <c r="BC63" s="118">
        <f>BB63-MAX(0,IFERROR(INDEX(CADASTRO!$I$4:$I$80,MATCH($A63,CADASTRO!$A$4:$A$80,0)),$B63)-CONFIG!$B$50*(COUNTIF($AG63:$AM63,"AB")+COUNTIF($AG63:$AM63,"FE")+COUNTIF($AG63:$AM63,"LM")))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36">
        <f>IFERROR(INDEX(ABR!AI$8:AI$73,MATCH($A64,ABR!$A$8:$A$73,0))&amp;"","")</f>
        <v/>
      </c>
      <c r="F64" s="136">
        <f>IFERROR(INDEX(ABR!AJ$8:AJ$73,MATCH($A64,ABR!$A$8:$A$73,0))&amp;"","")</f>
        <v/>
      </c>
      <c r="G64" s="136">
        <f>IFERROR(INDEX(ABR!AK$8:AK$73,MATCH($A64,ABR!$A$8:$A$73,0))&amp;"","")</f>
        <v/>
      </c>
      <c r="H64" s="136">
        <f>IFERROR(INDEX(ABR!AL$8:AL$73,MATCH($A64,ABR!$A$8:$A$73,0))&amp;"","")</f>
        <v/>
      </c>
      <c r="I64" s="114" t="n"/>
      <c r="J64" s="114" t="n"/>
      <c r="K64" s="114" t="n"/>
      <c r="L64" s="125" t="inlineStr">
        <is>
          <t>N</t>
        </is>
      </c>
      <c r="M64" s="114" t="n"/>
      <c r="N64" s="114" t="n"/>
      <c r="O64" s="125" t="inlineStr">
        <is>
          <t>N</t>
        </is>
      </c>
      <c r="P64" s="114" t="n"/>
      <c r="Q64" s="114" t="n"/>
      <c r="R64" s="114" t="n"/>
      <c r="S64" s="125" t="inlineStr">
        <is>
          <t>N</t>
        </is>
      </c>
      <c r="T64" s="114" t="n"/>
      <c r="U64" s="125" t="inlineStr">
        <is>
          <t>N</t>
        </is>
      </c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14" t="n"/>
      <c r="AE64" s="125" t="inlineStr">
        <is>
          <t>N</t>
        </is>
      </c>
      <c r="AF64" s="125" t="inlineStr">
        <is>
          <t>N</t>
        </is>
      </c>
      <c r="AG64" s="114" t="n"/>
      <c r="AH64" s="114" t="n"/>
      <c r="AI64" s="125" t="inlineStr">
        <is>
          <t>N</t>
        </is>
      </c>
      <c r="AJ64" s="114" t="n"/>
      <c r="AK64" s="125" t="inlineStr">
        <is>
          <t>N</t>
        </is>
      </c>
      <c r="AL64" s="114" t="n"/>
      <c r="AM64" s="114" t="n"/>
      <c r="AN64" s="100" t="n"/>
      <c r="AO64" s="100" t="n"/>
      <c r="AP64" s="100" t="n"/>
      <c r="AQ64" s="100" t="n"/>
      <c r="AR64" s="100" t="n"/>
      <c r="AS64" s="100" t="n"/>
      <c r="AT64" s="117">
        <f>SUMPRODUCT(($E64:$K64="M")*6+($E64:$K64="T")*6+($E64:$K64="D")*12+($E64:$K64="N")*12+($E64:$K64="NT")*6+($E64:$K64="C")*10+($E64:$K64="A")*8+($E64:$K64="J")*5+($E64:$K64="CEP")*4+($E64:$K64="CP")*6+($E64:$K64="CRO")*6+($E64:$K64="M+")*6+($E64:$K64="T+")*6+($E64:$K64="D+")*12+($E64:$K64="N+")*12+($E64:$K64="Dm+")*12+($E64:$K64="Dt+")*12+($E64:$K64="Tm-")*6+($E64:$K64="Mt-")*6)</f>
        <v/>
      </c>
      <c r="AU64" s="118">
        <f>AT64-MAX(0,IFERROR(INDEX(CADASTRO!$I$4:$I$80,MATCH($A64,CADASTRO!$A$4:$A$80,0)),$B64)-CONFIG!$B$50*(COUNTIF($E64:$K64,"AB")+COUNTIF($E64:$K64,"FE")+COUNTIF($E64:$K64,"LM")))</f>
        <v/>
      </c>
      <c r="AV64" s="117">
        <f>SUMPRODUCT(($L64:$R64="M")*6+($L64:$R64="T")*6+($L64:$R64="D")*12+($L64:$R64="N")*12+($L64:$R64="NT")*6+($L64:$R64="C")*10+($L64:$R64="A")*8+($L64:$R64="J")*5+($L64:$R64="CEP")*4+($L64:$R64="CP")*6+($L64:$R64="CRO")*6+($L64:$R64="M+")*6+($L64:$R64="T+")*6+($L64:$R64="D+")*12+($L64:$R64="N+")*12+($L64:$R64="Dm+")*12+($L64:$R64="Dt+")*12+($L64:$R64="Tm-")*6+($L64:$R64="Mt-")*6)</f>
        <v/>
      </c>
      <c r="AW64" s="118">
        <f>AV64-MAX(0,IFERROR(INDEX(CADASTRO!$I$4:$I$80,MATCH($A64,CADASTRO!$A$4:$A$80,0)),$B64)-CONFIG!$B$50*(COUNTIF($L64:$R64,"AB")+COUNTIF($L64:$R64,"FE")+COUNTIF($L64:$R64,"LM")))</f>
        <v/>
      </c>
      <c r="AX64" s="117">
        <f>SUMPRODUCT(($S64:$Y64="M")*6+($S64:$Y64="T")*6+($S64:$Y64="D")*12+($S64:$Y64="N")*12+($S64:$Y64="NT")*6+($S64:$Y64="C")*10+($S64:$Y64="A")*8+($S64:$Y64="J")*5+($S64:$Y64="CEP")*4+($S64:$Y64="CP")*6+($S64:$Y64="CRO")*6+($S64:$Y64="M+")*6+($S64:$Y64="T+")*6+($S64:$Y64="D+")*12+($S64:$Y64="N+")*12+($S64:$Y64="Dm+")*12+($S64:$Y64="Dt+")*12+($S64:$Y64="Tm-")*6+($S64:$Y64="Mt-")*6)</f>
        <v/>
      </c>
      <c r="AY64" s="118">
        <f>AX64-MAX(0,IFERROR(INDEX(CADASTRO!$I$4:$I$80,MATCH($A64,CADASTRO!$A$4:$A$80,0)),$B64)-CONFIG!$B$50*(COUNTIF($S64:$Y64,"AB")+COUNTIF($S64:$Y64,"FE")+COUNTIF($S64:$Y64,"LM")))</f>
        <v/>
      </c>
      <c r="AZ64" s="117">
        <f>SUMPRODUCT(($Z64:$AF64="M")*6+($Z64:$AF64="T")*6+($Z64:$AF64="D")*12+($Z64:$AF64="N")*12+($Z64:$AF64="NT")*6+($Z64:$AF64="C")*10+($Z64:$AF64="A")*8+($Z64:$AF64="J")*5+($Z64:$AF64="CEP")*4+($Z64:$AF64="CP")*6+($Z64:$AF64="CRO")*6+($Z64:$AF64="M+")*6+($Z64:$AF64="T+")*6+($Z64:$AF64="D+")*12+($Z64:$AF64="N+")*12+($Z64:$AF64="Dm+")*12+($Z64:$AF64="Dt+")*12+($Z64:$AF64="Tm-")*6+($Z64:$AF64="Mt-")*6)</f>
        <v/>
      </c>
      <c r="BA64" s="118">
        <f>AZ64-MAX(0,IFERROR(INDEX(CADASTRO!$I$4:$I$80,MATCH($A64,CADASTRO!$A$4:$A$80,0)),$B64)-CONFIG!$B$50*(COUNTIF($Z64:$AF64,"AB")+COUNTIF($Z64:$AF64,"FE")+COUNTIF($Z64:$AF64,"LM")))</f>
        <v/>
      </c>
      <c r="BB64" s="117">
        <f>SUMPRODUCT(($AG64:$AM64="M")*6+($AG64:$AM64="T")*6+($AG64:$AM64="D")*12+($AG64:$AM64="N")*12+($AG64:$AM64="NT")*6+($AG64:$AM64="C")*10+($AG64:$AM64="A")*8+($AG64:$AM64="J")*5+($AG64:$AM64="CEP")*4+($AG64:$AM64="CP")*6+($AG64:$AM64="CRO")*6+($AG64:$AM64="M+")*6+($AG64:$AM64="T+")*6+($AG64:$AM64="D+")*12+($AG64:$AM64="N+")*12+($AG64:$AM64="Dm+")*12+($AG64:$AM64="Dt+")*12+($AG64:$AM64="Tm-")*6+($AG64:$AM64="Mt-")*6)</f>
        <v/>
      </c>
      <c r="BC64" s="118">
        <f>BB64-MAX(0,IFERROR(INDEX(CADASTRO!$I$4:$I$80,MATCH($A64,CADASTRO!$A$4:$A$80,0)),$B64)-CONFIG!$B$50*(COUNTIF($AG64:$AM64,"AB")+COUNTIF($AG64:$AM64,"FE")+COUNTIF($AG64:$AM64,"LM")))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36">
        <f>IFERROR(INDEX(ABR!AI$8:AI$73,MATCH($A65,ABR!$A$8:$A$73,0))&amp;"","")</f>
        <v/>
      </c>
      <c r="F65" s="136">
        <f>IFERROR(INDEX(ABR!AJ$8:AJ$73,MATCH($A65,ABR!$A$8:$A$73,0))&amp;"","")</f>
        <v/>
      </c>
      <c r="G65" s="136">
        <f>IFERROR(INDEX(ABR!AK$8:AK$73,MATCH($A65,ABR!$A$8:$A$73,0))&amp;"","")</f>
        <v/>
      </c>
      <c r="H65" s="136">
        <f>IFERROR(INDEX(ABR!AL$8:AL$73,MATCH($A65,ABR!$A$8:$A$73,0))&amp;"","")</f>
        <v/>
      </c>
      <c r="I65" s="125" t="inlineStr">
        <is>
          <t>N</t>
        </is>
      </c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  <c r="AB65" s="126" t="inlineStr">
        <is>
          <t>T</t>
        </is>
      </c>
      <c r="AC65" s="114" t="n"/>
      <c r="AD65" s="124" t="inlineStr">
        <is>
          <t>D</t>
        </is>
      </c>
      <c r="AE65" s="114" t="n"/>
      <c r="AF65" s="114" t="n"/>
      <c r="AG65" s="114" t="n"/>
      <c r="AH65" s="114" t="n"/>
      <c r="AI65" s="125" t="inlineStr">
        <is>
          <t>N</t>
        </is>
      </c>
      <c r="AJ65" s="114" t="n"/>
      <c r="AK65" s="114" t="n"/>
      <c r="AL65" s="124" t="inlineStr">
        <is>
          <t>D</t>
        </is>
      </c>
      <c r="AM65" s="114" t="n"/>
      <c r="AN65" s="100" t="n"/>
      <c r="AO65" s="100" t="n"/>
      <c r="AP65" s="100" t="n"/>
      <c r="AQ65" s="100" t="n"/>
      <c r="AR65" s="100" t="n"/>
      <c r="AS65" s="100" t="n"/>
      <c r="AT65" s="117">
        <f>SUMPRODUCT(($E65:$K65="M")*6+($E65:$K65="T")*6+($E65:$K65="D")*12+($E65:$K65="N")*12+($E65:$K65="NT")*6+($E65:$K65="C")*10+($E65:$K65="A")*8+($E65:$K65="J")*5+($E65:$K65="CEP")*4+($E65:$K65="CP")*6+($E65:$K65="CRO")*6+($E65:$K65="M+")*6+($E65:$K65="T+")*6+($E65:$K65="D+")*12+($E65:$K65="N+")*12+($E65:$K65="Dm+")*12+($E65:$K65="Dt+")*12+($E65:$K65="Tm-")*6+($E65:$K65="Mt-")*6)</f>
        <v/>
      </c>
      <c r="AU65" s="118">
        <f>AT65-MAX(0,IFERROR(INDEX(CADASTRO!$I$4:$I$80,MATCH($A65,CADASTRO!$A$4:$A$80,0)),$B65)-CONFIG!$B$50*(COUNTIF($E65:$K65,"AB")+COUNTIF($E65:$K65,"FE")+COUNTIF($E65:$K65,"LM")))</f>
        <v/>
      </c>
      <c r="AV65" s="117">
        <f>SUMPRODUCT(($L65:$R65="M")*6+($L65:$R65="T")*6+($L65:$R65="D")*12+($L65:$R65="N")*12+($L65:$R65="NT")*6+($L65:$R65="C")*10+($L65:$R65="A")*8+($L65:$R65="J")*5+($L65:$R65="CEP")*4+($L65:$R65="CP")*6+($L65:$R65="CRO")*6+($L65:$R65="M+")*6+($L65:$R65="T+")*6+($L65:$R65="D+")*12+($L65:$R65="N+")*12+($L65:$R65="Dm+")*12+($L65:$R65="Dt+")*12+($L65:$R65="Tm-")*6+($L65:$R65="Mt-")*6)</f>
        <v/>
      </c>
      <c r="AW65" s="118">
        <f>AV65-MAX(0,IFERROR(INDEX(CADASTRO!$I$4:$I$80,MATCH($A65,CADASTRO!$A$4:$A$80,0)),$B65)-CONFIG!$B$50*(COUNTIF($L65:$R65,"AB")+COUNTIF($L65:$R65,"FE")+COUNTIF($L65:$R65,"LM")))</f>
        <v/>
      </c>
      <c r="AX65" s="117">
        <f>SUMPRODUCT(($S65:$Y65="M")*6+($S65:$Y65="T")*6+($S65:$Y65="D")*12+($S65:$Y65="N")*12+($S65:$Y65="NT")*6+($S65:$Y65="C")*10+($S65:$Y65="A")*8+($S65:$Y65="J")*5+($S65:$Y65="CEP")*4+($S65:$Y65="CP")*6+($S65:$Y65="CRO")*6+($S65:$Y65="M+")*6+($S65:$Y65="T+")*6+($S65:$Y65="D+")*12+($S65:$Y65="N+")*12+($S65:$Y65="Dm+")*12+($S65:$Y65="Dt+")*12+($S65:$Y65="Tm-")*6+($S65:$Y65="Mt-")*6)</f>
        <v/>
      </c>
      <c r="AY65" s="118">
        <f>AX65-MAX(0,IFERROR(INDEX(CADASTRO!$I$4:$I$80,MATCH($A65,CADASTRO!$A$4:$A$80,0)),$B65)-CONFIG!$B$50*(COUNTIF($S65:$Y65,"AB")+COUNTIF($S65:$Y65,"FE")+COUNTIF($S65:$Y65,"LM")))</f>
        <v/>
      </c>
      <c r="AZ65" s="117">
        <f>SUMPRODUCT(($Z65:$AF65="M")*6+($Z65:$AF65="T")*6+($Z65:$AF65="D")*12+($Z65:$AF65="N")*12+($Z65:$AF65="NT")*6+($Z65:$AF65="C")*10+($Z65:$AF65="A")*8+($Z65:$AF65="J")*5+($Z65:$AF65="CEP")*4+($Z65:$AF65="CP")*6+($Z65:$AF65="CRO")*6+($Z65:$AF65="M+")*6+($Z65:$AF65="T+")*6+($Z65:$AF65="D+")*12+($Z65:$AF65="N+")*12+($Z65:$AF65="Dm+")*12+($Z65:$AF65="Dt+")*12+($Z65:$AF65="Tm-")*6+($Z65:$AF65="Mt-")*6)</f>
        <v/>
      </c>
      <c r="BA65" s="118">
        <f>AZ65-MAX(0,IFERROR(INDEX(CADASTRO!$I$4:$I$80,MATCH($A65,CADASTRO!$A$4:$A$80,0)),$B65)-CONFIG!$B$50*(COUNTIF($Z65:$AF65,"AB")+COUNTIF($Z65:$AF65,"FE")+COUNTIF($Z65:$AF65,"LM")))</f>
        <v/>
      </c>
      <c r="BB65" s="117">
        <f>SUMPRODUCT(($AG65:$AM65="M")*6+($AG65:$AM65="T")*6+($AG65:$AM65="D")*12+($AG65:$AM65="N")*12+($AG65:$AM65="NT")*6+($AG65:$AM65="C")*10+($AG65:$AM65="A")*8+($AG65:$AM65="J")*5+($AG65:$AM65="CEP")*4+($AG65:$AM65="CP")*6+($AG65:$AM65="CRO")*6+($AG65:$AM65="M+")*6+($AG65:$AM65="T+")*6+($AG65:$AM65="D+")*12+($AG65:$AM65="N+")*12+($AG65:$AM65="Dm+")*12+($AG65:$AM65="Dt+")*12+($AG65:$AM65="Tm-")*6+($AG65:$AM65="Mt-")*6)</f>
        <v/>
      </c>
      <c r="BC65" s="118">
        <f>BB65-MAX(0,IFERROR(INDEX(CADASTRO!$I$4:$I$80,MATCH($A65,CADASTRO!$A$4:$A$80,0)),$B65)-CONFIG!$B$50*(COUNTIF($AG65:$AM65,"AB")+COUNTIF($AG65:$AM65,"FE")+COUNTIF($AG65:$AM65,"LM")))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36">
        <f>IFERROR(INDEX(ABR!AI$8:AI$73,MATCH($A66,ABR!$A$8:$A$73,0))&amp;"","")</f>
        <v/>
      </c>
      <c r="F66" s="136">
        <f>IFERROR(INDEX(ABR!AJ$8:AJ$73,MATCH($A66,ABR!$A$8:$A$73,0))&amp;"","")</f>
        <v/>
      </c>
      <c r="G66" s="136">
        <f>IFERROR(INDEX(ABR!AK$8:AK$73,MATCH($A66,ABR!$A$8:$A$73,0))&amp;"","")</f>
        <v/>
      </c>
      <c r="H66" s="136">
        <f>IFERROR(INDEX(ABR!AL$8:AL$73,MATCH($A66,ABR!$A$8:$A$73,0))&amp;"","")</f>
        <v/>
      </c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24" t="inlineStr">
        <is>
          <t>D</t>
        </is>
      </c>
      <c r="U66" s="125" t="inlineStr">
        <is>
          <t>N</t>
        </is>
      </c>
      <c r="V66" s="126" t="inlineStr">
        <is>
          <t>T</t>
        </is>
      </c>
      <c r="W66" s="114" t="n"/>
      <c r="X66" s="114" t="n"/>
      <c r="Y66" s="114" t="n"/>
      <c r="Z66" s="114" t="n"/>
      <c r="AA66" s="114" t="n"/>
      <c r="AB66" s="114" t="n"/>
      <c r="AC66" s="125" t="inlineStr">
        <is>
          <t>N</t>
        </is>
      </c>
      <c r="AD66" s="125" t="inlineStr">
        <is>
          <t>N</t>
        </is>
      </c>
      <c r="AE66" s="114" t="n"/>
      <c r="AF66" s="124" t="inlineStr">
        <is>
          <t>D</t>
        </is>
      </c>
      <c r="AG66" s="125" t="inlineStr">
        <is>
          <t>N</t>
        </is>
      </c>
      <c r="AH66" s="114" t="n"/>
      <c r="AI66" s="114" t="n"/>
      <c r="AJ66" s="125" t="inlineStr">
        <is>
          <t>N</t>
        </is>
      </c>
      <c r="AK66" s="114" t="n"/>
      <c r="AL66" s="114" t="n"/>
      <c r="AM66" s="125" t="inlineStr">
        <is>
          <t>N</t>
        </is>
      </c>
      <c r="AN66" s="100" t="n"/>
      <c r="AO66" s="100" t="n"/>
      <c r="AP66" s="100" t="n"/>
      <c r="AQ66" s="100" t="n"/>
      <c r="AR66" s="100" t="n"/>
      <c r="AS66" s="100" t="n"/>
      <c r="AT66" s="117">
        <f>SUMPRODUCT(($E66:$K66="M")*6+($E66:$K66="T")*6+($E66:$K66="D")*12+($E66:$K66="N")*12+($E66:$K66="NT")*6+($E66:$K66="C")*10+($E66:$K66="A")*8+($E66:$K66="J")*5+($E66:$K66="CEP")*4+($E66:$K66="CP")*6+($E66:$K66="CRO")*6+($E66:$K66="M+")*6+($E66:$K66="T+")*6+($E66:$K66="D+")*12+($E66:$K66="N+")*12+($E66:$K66="Dm+")*12+($E66:$K66="Dt+")*12+($E66:$K66="Tm-")*6+($E66:$K66="Mt-")*6)</f>
        <v/>
      </c>
      <c r="AU66" s="118">
        <f>AT66-MAX(0,IFERROR(INDEX(CADASTRO!$I$4:$I$80,MATCH($A66,CADASTRO!$A$4:$A$80,0)),$B66)-CONFIG!$B$50*(COUNTIF($E66:$K66,"AB")+COUNTIF($E66:$K66,"FE")+COUNTIF($E66:$K66,"LM")))</f>
        <v/>
      </c>
      <c r="AV66" s="117">
        <f>SUMPRODUCT(($L66:$R66="M")*6+($L66:$R66="T")*6+($L66:$R66="D")*12+($L66:$R66="N")*12+($L66:$R66="NT")*6+($L66:$R66="C")*10+($L66:$R66="A")*8+($L66:$R66="J")*5+($L66:$R66="CEP")*4+($L66:$R66="CP")*6+($L66:$R66="CRO")*6+($L66:$R66="M+")*6+($L66:$R66="T+")*6+($L66:$R66="D+")*12+($L66:$R66="N+")*12+($L66:$R66="Dm+")*12+($L66:$R66="Dt+")*12+($L66:$R66="Tm-")*6+($L66:$R66="Mt-")*6)</f>
        <v/>
      </c>
      <c r="AW66" s="118">
        <f>AV66-MAX(0,IFERROR(INDEX(CADASTRO!$I$4:$I$80,MATCH($A66,CADASTRO!$A$4:$A$80,0)),$B66)-CONFIG!$B$50*(COUNTIF($L66:$R66,"AB")+COUNTIF($L66:$R66,"FE")+COUNTIF($L66:$R66,"LM")))</f>
        <v/>
      </c>
      <c r="AX66" s="117">
        <f>SUMPRODUCT(($S66:$Y66="M")*6+($S66:$Y66="T")*6+($S66:$Y66="D")*12+($S66:$Y66="N")*12+($S66:$Y66="NT")*6+($S66:$Y66="C")*10+($S66:$Y66="A")*8+($S66:$Y66="J")*5+($S66:$Y66="CEP")*4+($S66:$Y66="CP")*6+($S66:$Y66="CRO")*6+($S66:$Y66="M+")*6+($S66:$Y66="T+")*6+($S66:$Y66="D+")*12+($S66:$Y66="N+")*12+($S66:$Y66="Dm+")*12+($S66:$Y66="Dt+")*12+($S66:$Y66="Tm-")*6+($S66:$Y66="Mt-")*6)</f>
        <v/>
      </c>
      <c r="AY66" s="118">
        <f>AX66-MAX(0,IFERROR(INDEX(CADASTRO!$I$4:$I$80,MATCH($A66,CADASTRO!$A$4:$A$80,0)),$B66)-CONFIG!$B$50*(COUNTIF($S66:$Y66,"AB")+COUNTIF($S66:$Y66,"FE")+COUNTIF($S66:$Y66,"LM")))</f>
        <v/>
      </c>
      <c r="AZ66" s="117">
        <f>SUMPRODUCT(($Z66:$AF66="M")*6+($Z66:$AF66="T")*6+($Z66:$AF66="D")*12+($Z66:$AF66="N")*12+($Z66:$AF66="NT")*6+($Z66:$AF66="C")*10+($Z66:$AF66="A")*8+($Z66:$AF66="J")*5+($Z66:$AF66="CEP")*4+($Z66:$AF66="CP")*6+($Z66:$AF66="CRO")*6+($Z66:$AF66="M+")*6+($Z66:$AF66="T+")*6+($Z66:$AF66="D+")*12+($Z66:$AF66="N+")*12+($Z66:$AF66="Dm+")*12+($Z66:$AF66="Dt+")*12+($Z66:$AF66="Tm-")*6+($Z66:$AF66="Mt-")*6)</f>
        <v/>
      </c>
      <c r="BA66" s="118">
        <f>AZ66-MAX(0,IFERROR(INDEX(CADASTRO!$I$4:$I$80,MATCH($A66,CADASTRO!$A$4:$A$80,0)),$B66)-CONFIG!$B$50*(COUNTIF($Z66:$AF66,"AB")+COUNTIF($Z66:$AF66,"FE")+COUNTIF($Z66:$AF66,"LM")))</f>
        <v/>
      </c>
      <c r="BB66" s="117">
        <f>SUMPRODUCT(($AG66:$AM66="M")*6+($AG66:$AM66="T")*6+($AG66:$AM66="D")*12+($AG66:$AM66="N")*12+($AG66:$AM66="NT")*6+($AG66:$AM66="C")*10+($AG66:$AM66="A")*8+($AG66:$AM66="J")*5+($AG66:$AM66="CEP")*4+($AG66:$AM66="CP")*6+($AG66:$AM66="CRO")*6+($AG66:$AM66="M+")*6+($AG66:$AM66="T+")*6+($AG66:$AM66="D+")*12+($AG66:$AM66="N+")*12+($AG66:$AM66="Dm+")*12+($AG66:$AM66="Dt+")*12+($AG66:$AM66="Tm-")*6+($AG66:$AM66="Mt-")*6)</f>
        <v/>
      </c>
      <c r="BC66" s="118">
        <f>BB66-MAX(0,IFERROR(INDEX(CADASTRO!$I$4:$I$80,MATCH($A66,CADASTRO!$A$4:$A$80,0)),$B66)-CONFIG!$B$50*(COUNTIF($AG66:$AM66,"AB")+COUNTIF($AG66:$AM66,"FE")+COUNTIF($AG66:$AM66,"LM")))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36">
        <f>IFERROR(INDEX(ABR!AI$8:AI$73,MATCH($A67,ABR!$A$8:$A$73,0))&amp;"","")</f>
        <v/>
      </c>
      <c r="F67" s="136">
        <f>IFERROR(INDEX(ABR!AJ$8:AJ$73,MATCH($A67,ABR!$A$8:$A$73,0))&amp;"","")</f>
        <v/>
      </c>
      <c r="G67" s="136">
        <f>IFERROR(INDEX(ABR!AK$8:AK$73,MATCH($A67,ABR!$A$8:$A$73,0))&amp;"","")</f>
        <v/>
      </c>
      <c r="H67" s="136">
        <f>IFERROR(INDEX(ABR!AL$8:AL$73,MATCH($A67,ABR!$A$8:$A$73,0))&amp;"","")</f>
        <v/>
      </c>
      <c r="I67" s="114" t="n"/>
      <c r="J67" s="115" t="inlineStr">
        <is>
          <t>M</t>
        </is>
      </c>
      <c r="K67" s="114" t="n"/>
      <c r="L67" s="125" t="inlineStr">
        <is>
          <t>N</t>
        </is>
      </c>
      <c r="M67" s="114" t="n"/>
      <c r="N67" s="131" t="inlineStr">
        <is>
          <t>CP</t>
        </is>
      </c>
      <c r="O67" s="131" t="inlineStr">
        <is>
          <t>CP</t>
        </is>
      </c>
      <c r="P67" s="115" t="inlineStr">
        <is>
          <t>M</t>
        </is>
      </c>
      <c r="Q67" s="114" t="n"/>
      <c r="R67" s="114" t="n"/>
      <c r="S67" s="114" t="n"/>
      <c r="T67" s="131" t="inlineStr">
        <is>
          <t>CP</t>
        </is>
      </c>
      <c r="U67" s="131" t="inlineStr">
        <is>
          <t>CP</t>
        </is>
      </c>
      <c r="V67" s="114" t="n"/>
      <c r="W67" s="114" t="n"/>
      <c r="X67" s="114" t="n"/>
      <c r="Y67" s="125" t="inlineStr">
        <is>
          <t>N</t>
        </is>
      </c>
      <c r="Z67" s="114" t="n"/>
      <c r="AA67" s="131" t="inlineStr">
        <is>
          <t>CP</t>
        </is>
      </c>
      <c r="AB67" s="131" t="inlineStr">
        <is>
          <t>CP</t>
        </is>
      </c>
      <c r="AC67" s="115" t="inlineStr">
        <is>
          <t>M</t>
        </is>
      </c>
      <c r="AD67" s="114" t="n"/>
      <c r="AE67" s="125" t="inlineStr">
        <is>
          <t>N</t>
        </is>
      </c>
      <c r="AF67" s="114" t="n"/>
      <c r="AG67" s="115" t="inlineStr">
        <is>
          <t>M</t>
        </is>
      </c>
      <c r="AH67" s="131" t="inlineStr">
        <is>
          <t>CP</t>
        </is>
      </c>
      <c r="AI67" s="131" t="inlineStr">
        <is>
          <t>CP</t>
        </is>
      </c>
      <c r="AJ67" s="114" t="n"/>
      <c r="AK67" s="114" t="n"/>
      <c r="AL67" s="114" t="n"/>
      <c r="AM67" s="125" t="inlineStr">
        <is>
          <t>N</t>
        </is>
      </c>
      <c r="AN67" s="100" t="n"/>
      <c r="AO67" s="100" t="n"/>
      <c r="AP67" s="100" t="n"/>
      <c r="AQ67" s="100" t="n"/>
      <c r="AR67" s="100" t="n"/>
      <c r="AS67" s="100" t="n"/>
      <c r="AT67" s="117">
        <f>SUMPRODUCT(($E67:$K67="M")*6+($E67:$K67="T")*6+($E67:$K67="D")*12+($E67:$K67="N")*12+($E67:$K67="NT")*6+($E67:$K67="C")*10+($E67:$K67="A")*8+($E67:$K67="J")*5+($E67:$K67="CEP")*4+($E67:$K67="CP")*6+($E67:$K67="CRO")*6+($E67:$K67="M+")*6+($E67:$K67="T+")*6+($E67:$K67="D+")*12+($E67:$K67="N+")*12+($E67:$K67="Dm+")*12+($E67:$K67="Dt+")*12+($E67:$K67="Tm-")*6+($E67:$K67="Mt-")*6)</f>
        <v/>
      </c>
      <c r="AU67" s="118">
        <f>AT67-MAX(0,IFERROR(INDEX(CADASTRO!$I$4:$I$80,MATCH($A67,CADASTRO!$A$4:$A$80,0)),$B67)-CONFIG!$B$50*(COUNTIF($E67:$K67,"AB")+COUNTIF($E67:$K67,"FE")+COUNTIF($E67:$K67,"LM")))</f>
        <v/>
      </c>
      <c r="AV67" s="117">
        <f>SUMPRODUCT(($L67:$R67="M")*6+($L67:$R67="T")*6+($L67:$R67="D")*12+($L67:$R67="N")*12+($L67:$R67="NT")*6+($L67:$R67="C")*10+($L67:$R67="A")*8+($L67:$R67="J")*5+($L67:$R67="CEP")*4+($L67:$R67="CP")*6+($L67:$R67="CRO")*6+($L67:$R67="M+")*6+($L67:$R67="T+")*6+($L67:$R67="D+")*12+($L67:$R67="N+")*12+($L67:$R67="Dm+")*12+($L67:$R67="Dt+")*12+($L67:$R67="Tm-")*6+($L67:$R67="Mt-")*6)</f>
        <v/>
      </c>
      <c r="AW67" s="118">
        <f>AV67-MAX(0,IFERROR(INDEX(CADASTRO!$I$4:$I$80,MATCH($A67,CADASTRO!$A$4:$A$80,0)),$B67)-CONFIG!$B$50*(COUNTIF($L67:$R67,"AB")+COUNTIF($L67:$R67,"FE")+COUNTIF($L67:$R67,"LM")))</f>
        <v/>
      </c>
      <c r="AX67" s="117">
        <f>SUMPRODUCT(($S67:$Y67="M")*6+($S67:$Y67="T")*6+($S67:$Y67="D")*12+($S67:$Y67="N")*12+($S67:$Y67="NT")*6+($S67:$Y67="C")*10+($S67:$Y67="A")*8+($S67:$Y67="J")*5+($S67:$Y67="CEP")*4+($S67:$Y67="CP")*6+($S67:$Y67="CRO")*6+($S67:$Y67="M+")*6+($S67:$Y67="T+")*6+($S67:$Y67="D+")*12+($S67:$Y67="N+")*12+($S67:$Y67="Dm+")*12+($S67:$Y67="Dt+")*12+($S67:$Y67="Tm-")*6+($S67:$Y67="Mt-")*6)</f>
        <v/>
      </c>
      <c r="AY67" s="118">
        <f>AX67-MAX(0,IFERROR(INDEX(CADASTRO!$I$4:$I$80,MATCH($A67,CADASTRO!$A$4:$A$80,0)),$B67)-CONFIG!$B$50*(COUNTIF($S67:$Y67,"AB")+COUNTIF($S67:$Y67,"FE")+COUNTIF($S67:$Y67,"LM")))</f>
        <v/>
      </c>
      <c r="AZ67" s="117">
        <f>SUMPRODUCT(($Z67:$AF67="M")*6+($Z67:$AF67="T")*6+($Z67:$AF67="D")*12+($Z67:$AF67="N")*12+($Z67:$AF67="NT")*6+($Z67:$AF67="C")*10+($Z67:$AF67="A")*8+($Z67:$AF67="J")*5+($Z67:$AF67="CEP")*4+($Z67:$AF67="CP")*6+($Z67:$AF67="CRO")*6+($Z67:$AF67="M+")*6+($Z67:$AF67="T+")*6+($Z67:$AF67="D+")*12+($Z67:$AF67="N+")*12+($Z67:$AF67="Dm+")*12+($Z67:$AF67="Dt+")*12+($Z67:$AF67="Tm-")*6+($Z67:$AF67="Mt-")*6)</f>
        <v/>
      </c>
      <c r="BA67" s="118">
        <f>AZ67-MAX(0,IFERROR(INDEX(CADASTRO!$I$4:$I$80,MATCH($A67,CADASTRO!$A$4:$A$80,0)),$B67)-CONFIG!$B$50*(COUNTIF($Z67:$AF67,"AB")+COUNTIF($Z67:$AF67,"FE")+COUNTIF($Z67:$AF67,"LM")))</f>
        <v/>
      </c>
      <c r="BB67" s="117">
        <f>SUMPRODUCT(($AG67:$AM67="M")*6+($AG67:$AM67="T")*6+($AG67:$AM67="D")*12+($AG67:$AM67="N")*12+($AG67:$AM67="NT")*6+($AG67:$AM67="C")*10+($AG67:$AM67="A")*8+($AG67:$AM67="J")*5+($AG67:$AM67="CEP")*4+($AG67:$AM67="CP")*6+($AG67:$AM67="CRO")*6+($AG67:$AM67="M+")*6+($AG67:$AM67="T+")*6+($AG67:$AM67="D+")*12+($AG67:$AM67="N+")*12+($AG67:$AM67="Dm+")*12+($AG67:$AM67="Dt+")*12+($AG67:$AM67="Tm-")*6+($AG67:$AM67="Mt-")*6)</f>
        <v/>
      </c>
      <c r="BC67" s="118">
        <f>BB67-MAX(0,IFERROR(INDEX(CADASTRO!$I$4:$I$80,MATCH($A67,CADASTRO!$A$4:$A$80,0)),$B67)-CONFIG!$B$50*(COUNTIF($AG67:$AM67,"AB")+COUNTIF($AG67:$AM67,"FE")+COUNTIF($AG67:$AM67,"LM")))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36">
        <f>IFERROR(INDEX(ABR!AI$8:AI$73,MATCH($A68,ABR!$A$8:$A$73,0))&amp;"","")</f>
        <v/>
      </c>
      <c r="F68" s="136">
        <f>IFERROR(INDEX(ABR!AJ$8:AJ$73,MATCH($A68,ABR!$A$8:$A$73,0))&amp;"","")</f>
        <v/>
      </c>
      <c r="G68" s="136">
        <f>IFERROR(INDEX(ABR!AK$8:AK$73,MATCH($A68,ABR!$A$8:$A$73,0))&amp;"","")</f>
        <v/>
      </c>
      <c r="H68" s="136">
        <f>IFERROR(INDEX(ABR!AL$8:AL$73,MATCH($A68,ABR!$A$8:$A$73,0))&amp;"","")</f>
        <v/>
      </c>
      <c r="I68" s="114" t="n"/>
      <c r="J68" s="124" t="inlineStr">
        <is>
          <t>D</t>
        </is>
      </c>
      <c r="K68" s="114" t="n"/>
      <c r="L68" s="114" t="n"/>
      <c r="M68" s="114" t="n"/>
      <c r="N68" s="124" t="inlineStr">
        <is>
          <t>D</t>
        </is>
      </c>
      <c r="O68" s="114" t="n"/>
      <c r="P68" s="114" t="n"/>
      <c r="Q68" s="125" t="inlineStr">
        <is>
          <t>N</t>
        </is>
      </c>
      <c r="R68" s="114" t="n"/>
      <c r="S68" s="114" t="n"/>
      <c r="T68" s="114" t="n"/>
      <c r="U68" s="124" t="inlineStr">
        <is>
          <t>D</t>
        </is>
      </c>
      <c r="V68" s="114" t="n"/>
      <c r="W68" s="124" t="inlineStr">
        <is>
          <t>D</t>
        </is>
      </c>
      <c r="X68" s="114" t="n"/>
      <c r="Y68" s="114" t="n"/>
      <c r="Z68" s="114" t="n"/>
      <c r="AA68" s="114" t="n"/>
      <c r="AB68" s="124" t="inlineStr">
        <is>
          <t>D</t>
        </is>
      </c>
      <c r="AC68" s="114" t="n"/>
      <c r="AD68" s="124" t="inlineStr">
        <is>
          <t>D</t>
        </is>
      </c>
      <c r="AE68" s="114" t="n"/>
      <c r="AF68" s="114" t="n"/>
      <c r="AG68" s="114" t="n"/>
      <c r="AH68" s="114" t="n"/>
      <c r="AI68" s="124" t="inlineStr">
        <is>
          <t>D</t>
        </is>
      </c>
      <c r="AJ68" s="114" t="n"/>
      <c r="AK68" s="124" t="inlineStr">
        <is>
          <t>D</t>
        </is>
      </c>
      <c r="AL68" s="114" t="n"/>
      <c r="AM68" s="114" t="n"/>
      <c r="AN68" s="100" t="n"/>
      <c r="AO68" s="100" t="n"/>
      <c r="AP68" s="100" t="n"/>
      <c r="AQ68" s="100" t="n"/>
      <c r="AR68" s="100" t="n"/>
      <c r="AS68" s="100" t="n"/>
      <c r="AT68" s="117">
        <f>SUMPRODUCT(($E68:$K68="M")*6+($E68:$K68="T")*6+($E68:$K68="D")*12+($E68:$K68="N")*12+($E68:$K68="NT")*6+($E68:$K68="C")*10+($E68:$K68="A")*8+($E68:$K68="J")*5+($E68:$K68="CEP")*4+($E68:$K68="CP")*6+($E68:$K68="CRO")*6+($E68:$K68="M+")*6+($E68:$K68="T+")*6+($E68:$K68="D+")*12+($E68:$K68="N+")*12+($E68:$K68="Dm+")*12+($E68:$K68="Dt+")*12+($E68:$K68="Tm-")*6+($E68:$K68="Mt-")*6)</f>
        <v/>
      </c>
      <c r="AU68" s="118">
        <f>AT68-MAX(0,IFERROR(INDEX(CADASTRO!$I$4:$I$80,MATCH($A68,CADASTRO!$A$4:$A$80,0)),$B68)-CONFIG!$B$50*(COUNTIF($E68:$K68,"AB")+COUNTIF($E68:$K68,"FE")+COUNTIF($E68:$K68,"LM")))</f>
        <v/>
      </c>
      <c r="AV68" s="117">
        <f>SUMPRODUCT(($L68:$R68="M")*6+($L68:$R68="T")*6+($L68:$R68="D")*12+($L68:$R68="N")*12+($L68:$R68="NT")*6+($L68:$R68="C")*10+($L68:$R68="A")*8+($L68:$R68="J")*5+($L68:$R68="CEP")*4+($L68:$R68="CP")*6+($L68:$R68="CRO")*6+($L68:$R68="M+")*6+($L68:$R68="T+")*6+($L68:$R68="D+")*12+($L68:$R68="N+")*12+($L68:$R68="Dm+")*12+($L68:$R68="Dt+")*12+($L68:$R68="Tm-")*6+($L68:$R68="Mt-")*6)</f>
        <v/>
      </c>
      <c r="AW68" s="118">
        <f>AV68-MAX(0,IFERROR(INDEX(CADASTRO!$I$4:$I$80,MATCH($A68,CADASTRO!$A$4:$A$80,0)),$B68)-CONFIG!$B$50*(COUNTIF($L68:$R68,"AB")+COUNTIF($L68:$R68,"FE")+COUNTIF($L68:$R68,"LM")))</f>
        <v/>
      </c>
      <c r="AX68" s="117">
        <f>SUMPRODUCT(($S68:$Y68="M")*6+($S68:$Y68="T")*6+($S68:$Y68="D")*12+($S68:$Y68="N")*12+($S68:$Y68="NT")*6+($S68:$Y68="C")*10+($S68:$Y68="A")*8+($S68:$Y68="J")*5+($S68:$Y68="CEP")*4+($S68:$Y68="CP")*6+($S68:$Y68="CRO")*6+($S68:$Y68="M+")*6+($S68:$Y68="T+")*6+($S68:$Y68="D+")*12+($S68:$Y68="N+")*12+($S68:$Y68="Dm+")*12+($S68:$Y68="Dt+")*12+($S68:$Y68="Tm-")*6+($S68:$Y68="Mt-")*6)</f>
        <v/>
      </c>
      <c r="AY68" s="118">
        <f>AX68-MAX(0,IFERROR(INDEX(CADASTRO!$I$4:$I$80,MATCH($A68,CADASTRO!$A$4:$A$80,0)),$B68)-CONFIG!$B$50*(COUNTIF($S68:$Y68,"AB")+COUNTIF($S68:$Y68,"FE")+COUNTIF($S68:$Y68,"LM")))</f>
        <v/>
      </c>
      <c r="AZ68" s="117">
        <f>SUMPRODUCT(($Z68:$AF68="M")*6+($Z68:$AF68="T")*6+($Z68:$AF68="D")*12+($Z68:$AF68="N")*12+($Z68:$AF68="NT")*6+($Z68:$AF68="C")*10+($Z68:$AF68="A")*8+($Z68:$AF68="J")*5+($Z68:$AF68="CEP")*4+($Z68:$AF68="CP")*6+($Z68:$AF68="CRO")*6+($Z68:$AF68="M+")*6+($Z68:$AF68="T+")*6+($Z68:$AF68="D+")*12+($Z68:$AF68="N+")*12+($Z68:$AF68="Dm+")*12+($Z68:$AF68="Dt+")*12+($Z68:$AF68="Tm-")*6+($Z68:$AF68="Mt-")*6)</f>
        <v/>
      </c>
      <c r="BA68" s="118">
        <f>AZ68-MAX(0,IFERROR(INDEX(CADASTRO!$I$4:$I$80,MATCH($A68,CADASTRO!$A$4:$A$80,0)),$B68)-CONFIG!$B$50*(COUNTIF($Z68:$AF68,"AB")+COUNTIF($Z68:$AF68,"FE")+COUNTIF($Z68:$AF68,"LM")))</f>
        <v/>
      </c>
      <c r="BB68" s="117">
        <f>SUMPRODUCT(($AG68:$AM68="M")*6+($AG68:$AM68="T")*6+($AG68:$AM68="D")*12+($AG68:$AM68="N")*12+($AG68:$AM68="NT")*6+($AG68:$AM68="C")*10+($AG68:$AM68="A")*8+($AG68:$AM68="J")*5+($AG68:$AM68="CEP")*4+($AG68:$AM68="CP")*6+($AG68:$AM68="CRO")*6+($AG68:$AM68="M+")*6+($AG68:$AM68="T+")*6+($AG68:$AM68="D+")*12+($AG68:$AM68="N+")*12+($AG68:$AM68="Dm+")*12+($AG68:$AM68="Dt+")*12+($AG68:$AM68="Tm-")*6+($AG68:$AM68="Mt-")*6)</f>
        <v/>
      </c>
      <c r="BC68" s="118">
        <f>BB68-MAX(0,IFERROR(INDEX(CADASTRO!$I$4:$I$80,MATCH($A68,CADASTRO!$A$4:$A$80,0)),$B68)-CONFIG!$B$50*(COUNTIF($AG68:$AM68,"AB")+COUNTIF($AG68:$AM68,"FE")+COUNTIF($AG68:$AM68,"LM")))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36">
        <f>IFERROR(INDEX(ABR!AI$8:AI$73,MATCH($A69,ABR!$A$8:$A$73,0))&amp;"","")</f>
        <v/>
      </c>
      <c r="F69" s="136">
        <f>IFERROR(INDEX(ABR!AJ$8:AJ$73,MATCH($A69,ABR!$A$8:$A$73,0))&amp;"","")</f>
        <v/>
      </c>
      <c r="G69" s="136">
        <f>IFERROR(INDEX(ABR!AK$8:AK$73,MATCH($A69,ABR!$A$8:$A$73,0))&amp;"","")</f>
        <v/>
      </c>
      <c r="H69" s="136">
        <f>IFERROR(INDEX(ABR!AL$8:AL$73,MATCH($A69,ABR!$A$8:$A$73,0))&amp;"","")</f>
        <v/>
      </c>
      <c r="I69" s="114" t="n"/>
      <c r="J69" s="114" t="n"/>
      <c r="K69" s="114" t="n"/>
      <c r="L69" s="114" t="n"/>
      <c r="M69" s="114" t="n"/>
      <c r="N69" s="124" t="inlineStr">
        <is>
          <t>D</t>
        </is>
      </c>
      <c r="O69" s="114" t="n"/>
      <c r="P69" s="125" t="inlineStr">
        <is>
          <t>N</t>
        </is>
      </c>
      <c r="Q69" s="114" t="n"/>
      <c r="R69" s="114" t="n"/>
      <c r="S69" s="114" t="n"/>
      <c r="T69" s="114" t="n"/>
      <c r="U69" s="124" t="inlineStr">
        <is>
          <t>D</t>
        </is>
      </c>
      <c r="V69" s="114" t="n"/>
      <c r="W69" s="114" t="n"/>
      <c r="X69" s="124" t="inlineStr">
        <is>
          <t>D</t>
        </is>
      </c>
      <c r="Y69" s="114" t="n"/>
      <c r="Z69" s="126" t="inlineStr">
        <is>
          <t>T</t>
        </is>
      </c>
      <c r="AA69" s="114" t="n"/>
      <c r="AB69" s="114" t="n"/>
      <c r="AC69" s="126" t="inlineStr">
        <is>
          <t>T</t>
        </is>
      </c>
      <c r="AD69" s="114" t="n"/>
      <c r="AE69" s="124" t="inlineStr">
        <is>
          <t>D</t>
        </is>
      </c>
      <c r="AF69" s="114" t="n"/>
      <c r="AG69" s="124" t="inlineStr">
        <is>
          <t>D</t>
        </is>
      </c>
      <c r="AH69" s="114" t="n"/>
      <c r="AI69" s="124" t="inlineStr">
        <is>
          <t>D</t>
        </is>
      </c>
      <c r="AJ69" s="114" t="n"/>
      <c r="AK69" s="114" t="n"/>
      <c r="AL69" s="114" t="n"/>
      <c r="AM69" s="114" t="n"/>
      <c r="AN69" s="100" t="n"/>
      <c r="AO69" s="100" t="n"/>
      <c r="AP69" s="100" t="n"/>
      <c r="AQ69" s="100" t="n"/>
      <c r="AR69" s="100" t="n"/>
      <c r="AS69" s="100" t="n"/>
      <c r="AT69" s="117">
        <f>SUMPRODUCT(($E69:$K69="M")*6+($E69:$K69="T")*6+($E69:$K69="D")*12+($E69:$K69="N")*12+($E69:$K69="NT")*6+($E69:$K69="C")*10+($E69:$K69="A")*8+($E69:$K69="J")*5+($E69:$K69="CEP")*4+($E69:$K69="CP")*6+($E69:$K69="CRO")*6+($E69:$K69="M+")*6+($E69:$K69="T+")*6+($E69:$K69="D+")*12+($E69:$K69="N+")*12+($E69:$K69="Dm+")*12+($E69:$K69="Dt+")*12+($E69:$K69="Tm-")*6+($E69:$K69="Mt-")*6)</f>
        <v/>
      </c>
      <c r="AU69" s="118">
        <f>AT69-MAX(0,IFERROR(INDEX(CADASTRO!$I$4:$I$80,MATCH($A69,CADASTRO!$A$4:$A$80,0)),$B69)-CONFIG!$B$50*(COUNTIF($E69:$K69,"AB")+COUNTIF($E69:$K69,"FE")+COUNTIF($E69:$K69,"LM")))</f>
        <v/>
      </c>
      <c r="AV69" s="117">
        <f>SUMPRODUCT(($L69:$R69="M")*6+($L69:$R69="T")*6+($L69:$R69="D")*12+($L69:$R69="N")*12+($L69:$R69="NT")*6+($L69:$R69="C")*10+($L69:$R69="A")*8+($L69:$R69="J")*5+($L69:$R69="CEP")*4+($L69:$R69="CP")*6+($L69:$R69="CRO")*6+($L69:$R69="M+")*6+($L69:$R69="T+")*6+($L69:$R69="D+")*12+($L69:$R69="N+")*12+($L69:$R69="Dm+")*12+($L69:$R69="Dt+")*12+($L69:$R69="Tm-")*6+($L69:$R69="Mt-")*6)</f>
        <v/>
      </c>
      <c r="AW69" s="118">
        <f>AV69-MAX(0,IFERROR(INDEX(CADASTRO!$I$4:$I$80,MATCH($A69,CADASTRO!$A$4:$A$80,0)),$B69)-CONFIG!$B$50*(COUNTIF($L69:$R69,"AB")+COUNTIF($L69:$R69,"FE")+COUNTIF($L69:$R69,"LM")))</f>
        <v/>
      </c>
      <c r="AX69" s="117">
        <f>SUMPRODUCT(($S69:$Y69="M")*6+($S69:$Y69="T")*6+($S69:$Y69="D")*12+($S69:$Y69="N")*12+($S69:$Y69="NT")*6+($S69:$Y69="C")*10+($S69:$Y69="A")*8+($S69:$Y69="J")*5+($S69:$Y69="CEP")*4+($S69:$Y69="CP")*6+($S69:$Y69="CRO")*6+($S69:$Y69="M+")*6+($S69:$Y69="T+")*6+($S69:$Y69="D+")*12+($S69:$Y69="N+")*12+($S69:$Y69="Dm+")*12+($S69:$Y69="Dt+")*12+($S69:$Y69="Tm-")*6+($S69:$Y69="Mt-")*6)</f>
        <v/>
      </c>
      <c r="AY69" s="118">
        <f>AX69-MAX(0,IFERROR(INDEX(CADASTRO!$I$4:$I$80,MATCH($A69,CADASTRO!$A$4:$A$80,0)),$B69)-CONFIG!$B$50*(COUNTIF($S69:$Y69,"AB")+COUNTIF($S69:$Y69,"FE")+COUNTIF($S69:$Y69,"LM")))</f>
        <v/>
      </c>
      <c r="AZ69" s="117">
        <f>SUMPRODUCT(($Z69:$AF69="M")*6+($Z69:$AF69="T")*6+($Z69:$AF69="D")*12+($Z69:$AF69="N")*12+($Z69:$AF69="NT")*6+($Z69:$AF69="C")*10+($Z69:$AF69="A")*8+($Z69:$AF69="J")*5+($Z69:$AF69="CEP")*4+($Z69:$AF69="CP")*6+($Z69:$AF69="CRO")*6+($Z69:$AF69="M+")*6+($Z69:$AF69="T+")*6+($Z69:$AF69="D+")*12+($Z69:$AF69="N+")*12+($Z69:$AF69="Dm+")*12+($Z69:$AF69="Dt+")*12+($Z69:$AF69="Tm-")*6+($Z69:$AF69="Mt-")*6)</f>
        <v/>
      </c>
      <c r="BA69" s="118">
        <f>AZ69-MAX(0,IFERROR(INDEX(CADASTRO!$I$4:$I$80,MATCH($A69,CADASTRO!$A$4:$A$80,0)),$B69)-CONFIG!$B$50*(COUNTIF($Z69:$AF69,"AB")+COUNTIF($Z69:$AF69,"FE")+COUNTIF($Z69:$AF69,"LM")))</f>
        <v/>
      </c>
      <c r="BB69" s="117">
        <f>SUMPRODUCT(($AG69:$AM69="M")*6+($AG69:$AM69="T")*6+($AG69:$AM69="D")*12+($AG69:$AM69="N")*12+($AG69:$AM69="NT")*6+($AG69:$AM69="C")*10+($AG69:$AM69="A")*8+($AG69:$AM69="J")*5+($AG69:$AM69="CEP")*4+($AG69:$AM69="CP")*6+($AG69:$AM69="CRO")*6+($AG69:$AM69="M+")*6+($AG69:$AM69="T+")*6+($AG69:$AM69="D+")*12+($AG69:$AM69="N+")*12+($AG69:$AM69="Dm+")*12+($AG69:$AM69="Dt+")*12+($AG69:$AM69="Tm-")*6+($AG69:$AM69="Mt-")*6)</f>
        <v/>
      </c>
      <c r="BC69" s="118">
        <f>BB69-MAX(0,IFERROR(INDEX(CADASTRO!$I$4:$I$80,MATCH($A69,CADASTRO!$A$4:$A$80,0)),$B69)-CONFIG!$B$50*(COUNTIF($AG69:$AM69,"AB")+COUNTIF($AG69:$AM69,"FE")+COUNTIF($AG69:$AM69,"LM")))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36">
        <f>IFERROR(INDEX(ABR!AI$8:AI$73,MATCH($A70,ABR!$A$8:$A$73,0))&amp;"","")</f>
        <v/>
      </c>
      <c r="F70" s="136">
        <f>IFERROR(INDEX(ABR!AJ$8:AJ$73,MATCH($A70,ABR!$A$8:$A$73,0))&amp;"","")</f>
        <v/>
      </c>
      <c r="G70" s="136">
        <f>IFERROR(INDEX(ABR!AK$8:AK$73,MATCH($A70,ABR!$A$8:$A$73,0))&amp;"","")</f>
        <v/>
      </c>
      <c r="H70" s="136">
        <f>IFERROR(INDEX(ABR!AL$8:AL$73,MATCH($A70,ABR!$A$8:$A$73,0))&amp;"","")</f>
        <v/>
      </c>
      <c r="I70" s="114" t="n"/>
      <c r="J70" s="114" t="n"/>
      <c r="K70" s="125" t="inlineStr">
        <is>
          <t>N</t>
        </is>
      </c>
      <c r="L70" s="114" t="n"/>
      <c r="M70" s="126" t="inlineStr">
        <is>
          <t>T</t>
        </is>
      </c>
      <c r="N70" s="114" t="n"/>
      <c r="O70" s="125" t="inlineStr">
        <is>
          <t>N</t>
        </is>
      </c>
      <c r="P70" s="114" t="n"/>
      <c r="Q70" s="114" t="n"/>
      <c r="R70" s="126" t="inlineStr">
        <is>
          <t>T</t>
        </is>
      </c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  <c r="AB70" s="114" t="n"/>
      <c r="AC70" s="114" t="n"/>
      <c r="AD70" s="114" t="n"/>
      <c r="AE70" s="114" t="n"/>
      <c r="AF70" s="114" t="n"/>
      <c r="AG70" s="114" t="n"/>
      <c r="AH70" s="126" t="inlineStr">
        <is>
          <t>T</t>
        </is>
      </c>
      <c r="AI70" s="114" t="n"/>
      <c r="AJ70" s="114" t="n"/>
      <c r="AK70" s="125" t="inlineStr">
        <is>
          <t>N</t>
        </is>
      </c>
      <c r="AL70" s="114" t="n"/>
      <c r="AM70" s="114" t="n"/>
      <c r="AN70" s="100" t="n"/>
      <c r="AO70" s="100" t="n"/>
      <c r="AP70" s="100" t="n"/>
      <c r="AQ70" s="100" t="n"/>
      <c r="AR70" s="100" t="n"/>
      <c r="AS70" s="100" t="n"/>
      <c r="AT70" s="117">
        <f>SUMPRODUCT(($E70:$K70="M")*6+($E70:$K70="T")*6+($E70:$K70="D")*12+($E70:$K70="N")*12+($E70:$K70="NT")*6+($E70:$K70="C")*10+($E70:$K70="A")*8+($E70:$K70="J")*5+($E70:$K70="CEP")*4+($E70:$K70="CP")*6+($E70:$K70="CRO")*6+($E70:$K70="M+")*6+($E70:$K70="T+")*6+($E70:$K70="D+")*12+($E70:$K70="N+")*12+($E70:$K70="Dm+")*12+($E70:$K70="Dt+")*12+($E70:$K70="Tm-")*6+($E70:$K70="Mt-")*6)</f>
        <v/>
      </c>
      <c r="AU70" s="118">
        <f>AT70-MAX(0,IFERROR(INDEX(CADASTRO!$I$4:$I$80,MATCH($A70,CADASTRO!$A$4:$A$80,0)),$B70)-CONFIG!$B$50*(COUNTIF($E70:$K70,"AB")+COUNTIF($E70:$K70,"FE")+COUNTIF($E70:$K70,"LM")))</f>
        <v/>
      </c>
      <c r="AV70" s="117">
        <f>SUMPRODUCT(($L70:$R70="M")*6+($L70:$R70="T")*6+($L70:$R70="D")*12+($L70:$R70="N")*12+($L70:$R70="NT")*6+($L70:$R70="C")*10+($L70:$R70="A")*8+($L70:$R70="J")*5+($L70:$R70="CEP")*4+($L70:$R70="CP")*6+($L70:$R70="CRO")*6+($L70:$R70="M+")*6+($L70:$R70="T+")*6+($L70:$R70="D+")*12+($L70:$R70="N+")*12+($L70:$R70="Dm+")*12+($L70:$R70="Dt+")*12+($L70:$R70="Tm-")*6+($L70:$R70="Mt-")*6)</f>
        <v/>
      </c>
      <c r="AW70" s="118">
        <f>AV70-MAX(0,IFERROR(INDEX(CADASTRO!$I$4:$I$80,MATCH($A70,CADASTRO!$A$4:$A$80,0)),$B70)-CONFIG!$B$50*(COUNTIF($L70:$R70,"AB")+COUNTIF($L70:$R70,"FE")+COUNTIF($L70:$R70,"LM")))</f>
        <v/>
      </c>
      <c r="AX70" s="117">
        <f>SUMPRODUCT(($S70:$Y70="M")*6+($S70:$Y70="T")*6+($S70:$Y70="D")*12+($S70:$Y70="N")*12+($S70:$Y70="NT")*6+($S70:$Y70="C")*10+($S70:$Y70="A")*8+($S70:$Y70="J")*5+($S70:$Y70="CEP")*4+($S70:$Y70="CP")*6+($S70:$Y70="CRO")*6+($S70:$Y70="M+")*6+($S70:$Y70="T+")*6+($S70:$Y70="D+")*12+($S70:$Y70="N+")*12+($S70:$Y70="Dm+")*12+($S70:$Y70="Dt+")*12+($S70:$Y70="Tm-")*6+($S70:$Y70="Mt-")*6)</f>
        <v/>
      </c>
      <c r="AY70" s="118">
        <f>AX70-MAX(0,IFERROR(INDEX(CADASTRO!$I$4:$I$80,MATCH($A70,CADASTRO!$A$4:$A$80,0)),$B70)-CONFIG!$B$50*(COUNTIF($S70:$Y70,"AB")+COUNTIF($S70:$Y70,"FE")+COUNTIF($S70:$Y70,"LM")))</f>
        <v/>
      </c>
      <c r="AZ70" s="117">
        <f>SUMPRODUCT(($Z70:$AF70="M")*6+($Z70:$AF70="T")*6+($Z70:$AF70="D")*12+($Z70:$AF70="N")*12+($Z70:$AF70="NT")*6+($Z70:$AF70="C")*10+($Z70:$AF70="A")*8+($Z70:$AF70="J")*5+($Z70:$AF70="CEP")*4+($Z70:$AF70="CP")*6+($Z70:$AF70="CRO")*6+($Z70:$AF70="M+")*6+($Z70:$AF70="T+")*6+($Z70:$AF70="D+")*12+($Z70:$AF70="N+")*12+($Z70:$AF70="Dm+")*12+($Z70:$AF70="Dt+")*12+($Z70:$AF70="Tm-")*6+($Z70:$AF70="Mt-")*6)</f>
        <v/>
      </c>
      <c r="BA70" s="118">
        <f>AZ70-MAX(0,IFERROR(INDEX(CADASTRO!$I$4:$I$80,MATCH($A70,CADASTRO!$A$4:$A$80,0)),$B70)-CONFIG!$B$50*(COUNTIF($Z70:$AF70,"AB")+COUNTIF($Z70:$AF70,"FE")+COUNTIF($Z70:$AF70,"LM")))</f>
        <v/>
      </c>
      <c r="BB70" s="117">
        <f>SUMPRODUCT(($AG70:$AM70="M")*6+($AG70:$AM70="T")*6+($AG70:$AM70="D")*12+($AG70:$AM70="N")*12+($AG70:$AM70="NT")*6+($AG70:$AM70="C")*10+($AG70:$AM70="A")*8+($AG70:$AM70="J")*5+($AG70:$AM70="CEP")*4+($AG70:$AM70="CP")*6+($AG70:$AM70="CRO")*6+($AG70:$AM70="M+")*6+($AG70:$AM70="T+")*6+($AG70:$AM70="D+")*12+($AG70:$AM70="N+")*12+($AG70:$AM70="Dm+")*12+($AG70:$AM70="Dt+")*12+($AG70:$AM70="Tm-")*6+($AG70:$AM70="Mt-")*6)</f>
        <v/>
      </c>
      <c r="BC70" s="118">
        <f>BB70-MAX(0,IFERROR(INDEX(CADASTRO!$I$4:$I$80,MATCH($A70,CADASTRO!$A$4:$A$80,0)),$B70)-CONFIG!$B$50*(COUNTIF($AG70:$AM70,"AB")+COUNTIF($AG70:$AM70,"FE")+COUNTIF($AG70:$AM70,"LM")))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36">
        <f>IFERROR(INDEX(ABR!AI$8:AI$73,MATCH($A71,ABR!$A$8:$A$73,0))&amp;"","")</f>
        <v/>
      </c>
      <c r="F71" s="136">
        <f>IFERROR(INDEX(ABR!AJ$8:AJ$73,MATCH($A71,ABR!$A$8:$A$73,0))&amp;"","")</f>
        <v/>
      </c>
      <c r="G71" s="136">
        <f>IFERROR(INDEX(ABR!AK$8:AK$73,MATCH($A71,ABR!$A$8:$A$73,0))&amp;"","")</f>
        <v/>
      </c>
      <c r="H71" s="136">
        <f>IFERROR(INDEX(ABR!AL$8:AL$73,MATCH($A71,ABR!$A$8:$A$73,0))&amp;"","")</f>
        <v/>
      </c>
      <c r="I71" s="114" t="n"/>
      <c r="J71" s="114" t="n"/>
      <c r="K71" s="114" t="n"/>
      <c r="L71" s="114" t="n"/>
      <c r="M71" s="114" t="n"/>
      <c r="N71" s="124" t="inlineStr">
        <is>
          <t>D</t>
        </is>
      </c>
      <c r="O71" s="114" t="n"/>
      <c r="P71" s="114" t="n"/>
      <c r="Q71" s="114" t="n"/>
      <c r="R71" s="124" t="inlineStr">
        <is>
          <t>D</t>
        </is>
      </c>
      <c r="S71" s="126" t="inlineStr">
        <is>
          <t>T</t>
        </is>
      </c>
      <c r="T71" s="124" t="inlineStr">
        <is>
          <t>D</t>
        </is>
      </c>
      <c r="U71" s="126" t="inlineStr">
        <is>
          <t>T</t>
        </is>
      </c>
      <c r="V71" s="114" t="n"/>
      <c r="W71" s="114" t="n"/>
      <c r="X71" s="114" t="n"/>
      <c r="Y71" s="114" t="n"/>
      <c r="Z71" s="114" t="n"/>
      <c r="AA71" s="125" t="inlineStr">
        <is>
          <t>N</t>
        </is>
      </c>
      <c r="AB71" s="114" t="n"/>
      <c r="AC71" s="114" t="n"/>
      <c r="AD71" s="124" t="inlineStr">
        <is>
          <t>D</t>
        </is>
      </c>
      <c r="AE71" s="114" t="n"/>
      <c r="AF71" s="114" t="n"/>
      <c r="AG71" s="114" t="n"/>
      <c r="AH71" s="114" t="n"/>
      <c r="AI71" s="114" t="n"/>
      <c r="AJ71" s="114" t="n"/>
      <c r="AK71" s="114" t="n"/>
      <c r="AL71" s="124" t="inlineStr">
        <is>
          <t>D</t>
        </is>
      </c>
      <c r="AM71" s="124" t="inlineStr">
        <is>
          <t>D</t>
        </is>
      </c>
      <c r="AN71" s="100" t="n"/>
      <c r="AO71" s="100" t="n"/>
      <c r="AP71" s="100" t="n"/>
      <c r="AQ71" s="100" t="n"/>
      <c r="AR71" s="100" t="n"/>
      <c r="AS71" s="100" t="n"/>
      <c r="AT71" s="117">
        <f>SUMPRODUCT(($E71:$K71="M")*6+($E71:$K71="T")*6+($E71:$K71="D")*12+($E71:$K71="N")*12+($E71:$K71="NT")*6+($E71:$K71="C")*10+($E71:$K71="A")*8+($E71:$K71="J")*5+($E71:$K71="CEP")*4+($E71:$K71="CP")*6+($E71:$K71="CRO")*6+($E71:$K71="M+")*6+($E71:$K71="T+")*6+($E71:$K71="D+")*12+($E71:$K71="N+")*12+($E71:$K71="Dm+")*12+($E71:$K71="Dt+")*12+($E71:$K71="Tm-")*6+($E71:$K71="Mt-")*6)</f>
        <v/>
      </c>
      <c r="AU71" s="118">
        <f>AT71-MAX(0,IFERROR(INDEX(CADASTRO!$I$4:$I$80,MATCH($A71,CADASTRO!$A$4:$A$80,0)),$B71)-CONFIG!$B$50*(COUNTIF($E71:$K71,"AB")+COUNTIF($E71:$K71,"FE")+COUNTIF($E71:$K71,"LM")))</f>
        <v/>
      </c>
      <c r="AV71" s="117">
        <f>SUMPRODUCT(($L71:$R71="M")*6+($L71:$R71="T")*6+($L71:$R71="D")*12+($L71:$R71="N")*12+($L71:$R71="NT")*6+($L71:$R71="C")*10+($L71:$R71="A")*8+($L71:$R71="J")*5+($L71:$R71="CEP")*4+($L71:$R71="CP")*6+($L71:$R71="CRO")*6+($L71:$R71="M+")*6+($L71:$R71="T+")*6+($L71:$R71="D+")*12+($L71:$R71="N+")*12+($L71:$R71="Dm+")*12+($L71:$R71="Dt+")*12+($L71:$R71="Tm-")*6+($L71:$R71="Mt-")*6)</f>
        <v/>
      </c>
      <c r="AW71" s="118">
        <f>AV71-MAX(0,IFERROR(INDEX(CADASTRO!$I$4:$I$80,MATCH($A71,CADASTRO!$A$4:$A$80,0)),$B71)-CONFIG!$B$50*(COUNTIF($L71:$R71,"AB")+COUNTIF($L71:$R71,"FE")+COUNTIF($L71:$R71,"LM")))</f>
        <v/>
      </c>
      <c r="AX71" s="117">
        <f>SUMPRODUCT(($S71:$Y71="M")*6+($S71:$Y71="T")*6+($S71:$Y71="D")*12+($S71:$Y71="N")*12+($S71:$Y71="NT")*6+($S71:$Y71="C")*10+($S71:$Y71="A")*8+($S71:$Y71="J")*5+($S71:$Y71="CEP")*4+($S71:$Y71="CP")*6+($S71:$Y71="CRO")*6+($S71:$Y71="M+")*6+($S71:$Y71="T+")*6+($S71:$Y71="D+")*12+($S71:$Y71="N+")*12+($S71:$Y71="Dm+")*12+($S71:$Y71="Dt+")*12+($S71:$Y71="Tm-")*6+($S71:$Y71="Mt-")*6)</f>
        <v/>
      </c>
      <c r="AY71" s="118">
        <f>AX71-MAX(0,IFERROR(INDEX(CADASTRO!$I$4:$I$80,MATCH($A71,CADASTRO!$A$4:$A$80,0)),$B71)-CONFIG!$B$50*(COUNTIF($S71:$Y71,"AB")+COUNTIF($S71:$Y71,"FE")+COUNTIF($S71:$Y71,"LM")))</f>
        <v/>
      </c>
      <c r="AZ71" s="117">
        <f>SUMPRODUCT(($Z71:$AF71="M")*6+($Z71:$AF71="T")*6+($Z71:$AF71="D")*12+($Z71:$AF71="N")*12+($Z71:$AF71="NT")*6+($Z71:$AF71="C")*10+($Z71:$AF71="A")*8+($Z71:$AF71="J")*5+($Z71:$AF71="CEP")*4+($Z71:$AF71="CP")*6+($Z71:$AF71="CRO")*6+($Z71:$AF71="M+")*6+($Z71:$AF71="T+")*6+($Z71:$AF71="D+")*12+($Z71:$AF71="N+")*12+($Z71:$AF71="Dm+")*12+($Z71:$AF71="Dt+")*12+($Z71:$AF71="Tm-")*6+($Z71:$AF71="Mt-")*6)</f>
        <v/>
      </c>
      <c r="BA71" s="118">
        <f>AZ71-MAX(0,IFERROR(INDEX(CADASTRO!$I$4:$I$80,MATCH($A71,CADASTRO!$A$4:$A$80,0)),$B71)-CONFIG!$B$50*(COUNTIF($Z71:$AF71,"AB")+COUNTIF($Z71:$AF71,"FE")+COUNTIF($Z71:$AF71,"LM")))</f>
        <v/>
      </c>
      <c r="BB71" s="117">
        <f>SUMPRODUCT(($AG71:$AM71="M")*6+($AG71:$AM71="T")*6+($AG71:$AM71="D")*12+($AG71:$AM71="N")*12+($AG71:$AM71="NT")*6+($AG71:$AM71="C")*10+($AG71:$AM71="A")*8+($AG71:$AM71="J")*5+($AG71:$AM71="CEP")*4+($AG71:$AM71="CP")*6+($AG71:$AM71="CRO")*6+($AG71:$AM71="M+")*6+($AG71:$AM71="T+")*6+($AG71:$AM71="D+")*12+($AG71:$AM71="N+")*12+($AG71:$AM71="Dm+")*12+($AG71:$AM71="Dt+")*12+($AG71:$AM71="Tm-")*6+($AG71:$AM71="Mt-")*6)</f>
        <v/>
      </c>
      <c r="BC71" s="118">
        <f>BB71-MAX(0,IFERROR(INDEX(CADASTRO!$I$4:$I$80,MATCH($A71,CADASTRO!$A$4:$A$80,0)),$B71)-CONFIG!$B$50*(COUNTIF($AG71:$AM71,"AB")+COUNTIF($AG71:$AM71,"FE")+COUNTIF($AG71:$AM71,"LM")))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36">
        <f>IFERROR(INDEX(ABR!AI$8:AI$73,MATCH($A72,ABR!$A$8:$A$73,0))&amp;"","")</f>
        <v/>
      </c>
      <c r="F72" s="136">
        <f>IFERROR(INDEX(ABR!AJ$8:AJ$73,MATCH($A72,ABR!$A$8:$A$73,0))&amp;"","")</f>
        <v/>
      </c>
      <c r="G72" s="136">
        <f>IFERROR(INDEX(ABR!AK$8:AK$73,MATCH($A72,ABR!$A$8:$A$73,0))&amp;"","")</f>
        <v/>
      </c>
      <c r="H72" s="136">
        <f>IFERROR(INDEX(ABR!AL$8:AL$73,MATCH($A72,ABR!$A$8:$A$73,0))&amp;"","")</f>
        <v/>
      </c>
      <c r="I72" s="126" t="inlineStr">
        <is>
          <t>T</t>
        </is>
      </c>
      <c r="J72" s="126" t="inlineStr">
        <is>
          <t>T</t>
        </is>
      </c>
      <c r="K72" s="114" t="n"/>
      <c r="L72" s="124" t="inlineStr">
        <is>
          <t>D</t>
        </is>
      </c>
      <c r="M72" s="126" t="inlineStr">
        <is>
          <t>T</t>
        </is>
      </c>
      <c r="N72" s="114" t="n"/>
      <c r="O72" s="114" t="n"/>
      <c r="P72" s="126" t="inlineStr">
        <is>
          <t>T</t>
        </is>
      </c>
      <c r="Q72" s="114" t="n"/>
      <c r="R72" s="114" t="n"/>
      <c r="S72" s="124" t="inlineStr">
        <is>
          <t>D</t>
        </is>
      </c>
      <c r="T72" s="126" t="inlineStr">
        <is>
          <t>T</t>
        </is>
      </c>
      <c r="U72" s="124" t="inlineStr">
        <is>
          <t>D</t>
        </is>
      </c>
      <c r="V72" s="114" t="n"/>
      <c r="W72" s="114" t="n"/>
      <c r="X72" s="114" t="n"/>
      <c r="Y72" s="114" t="n"/>
      <c r="Z72" s="115" t="inlineStr">
        <is>
          <t>M</t>
        </is>
      </c>
      <c r="AA72" s="126" t="inlineStr">
        <is>
          <t>T</t>
        </is>
      </c>
      <c r="AB72" s="114" t="n"/>
      <c r="AC72" s="114" t="n"/>
      <c r="AD72" s="124" t="inlineStr">
        <is>
          <t>D</t>
        </is>
      </c>
      <c r="AE72" s="126" t="inlineStr">
        <is>
          <t>T</t>
        </is>
      </c>
      <c r="AF72" s="114" t="n"/>
      <c r="AG72" s="114" t="n"/>
      <c r="AH72" s="126" t="inlineStr">
        <is>
          <t>T</t>
        </is>
      </c>
      <c r="AI72" s="126" t="inlineStr">
        <is>
          <t>T</t>
        </is>
      </c>
      <c r="AJ72" s="114" t="n"/>
      <c r="AK72" s="114" t="n"/>
      <c r="AL72" s="124" t="inlineStr">
        <is>
          <t>D</t>
        </is>
      </c>
      <c r="AM72" s="126" t="inlineStr">
        <is>
          <t>T</t>
        </is>
      </c>
      <c r="AN72" s="100" t="n"/>
      <c r="AO72" s="100" t="n"/>
      <c r="AP72" s="100" t="n"/>
      <c r="AQ72" s="100" t="n"/>
      <c r="AR72" s="100" t="n"/>
      <c r="AS72" s="100" t="n"/>
      <c r="AT72" s="117">
        <f>SUMPRODUCT(($E72:$K72="M")*6+($E72:$K72="T")*6+($E72:$K72="D")*12+($E72:$K72="N")*12+($E72:$K72="NT")*6+($E72:$K72="C")*10+($E72:$K72="A")*8+($E72:$K72="J")*5+($E72:$K72="CEP")*4+($E72:$K72="CP")*6+($E72:$K72="CRO")*6+($E72:$K72="M+")*6+($E72:$K72="T+")*6+($E72:$K72="D+")*12+($E72:$K72="N+")*12+($E72:$K72="Dm+")*12+($E72:$K72="Dt+")*12+($E72:$K72="Tm-")*6+($E72:$K72="Mt-")*6)</f>
        <v/>
      </c>
      <c r="AU72" s="118">
        <f>AT72-MAX(0,IFERROR(INDEX(CADASTRO!$I$4:$I$80,MATCH($A72,CADASTRO!$A$4:$A$80,0)),$B72)-CONFIG!$B$50*(COUNTIF($E72:$K72,"AB")+COUNTIF($E72:$K72,"FE")+COUNTIF($E72:$K72,"LM")))</f>
        <v/>
      </c>
      <c r="AV72" s="117">
        <f>SUMPRODUCT(($L72:$R72="M")*6+($L72:$R72="T")*6+($L72:$R72="D")*12+($L72:$R72="N")*12+($L72:$R72="NT")*6+($L72:$R72="C")*10+($L72:$R72="A")*8+($L72:$R72="J")*5+($L72:$R72="CEP")*4+($L72:$R72="CP")*6+($L72:$R72="CRO")*6+($L72:$R72="M+")*6+($L72:$R72="T+")*6+($L72:$R72="D+")*12+($L72:$R72="N+")*12+($L72:$R72="Dm+")*12+($L72:$R72="Dt+")*12+($L72:$R72="Tm-")*6+($L72:$R72="Mt-")*6)</f>
        <v/>
      </c>
      <c r="AW72" s="118">
        <f>AV72-MAX(0,IFERROR(INDEX(CADASTRO!$I$4:$I$80,MATCH($A72,CADASTRO!$A$4:$A$80,0)),$B72)-CONFIG!$B$50*(COUNTIF($L72:$R72,"AB")+COUNTIF($L72:$R72,"FE")+COUNTIF($L72:$R72,"LM")))</f>
        <v/>
      </c>
      <c r="AX72" s="117">
        <f>SUMPRODUCT(($S72:$Y72="M")*6+($S72:$Y72="T")*6+($S72:$Y72="D")*12+($S72:$Y72="N")*12+($S72:$Y72="NT")*6+($S72:$Y72="C")*10+($S72:$Y72="A")*8+($S72:$Y72="J")*5+($S72:$Y72="CEP")*4+($S72:$Y72="CP")*6+($S72:$Y72="CRO")*6+($S72:$Y72="M+")*6+($S72:$Y72="T+")*6+($S72:$Y72="D+")*12+($S72:$Y72="N+")*12+($S72:$Y72="Dm+")*12+($S72:$Y72="Dt+")*12+($S72:$Y72="Tm-")*6+($S72:$Y72="Mt-")*6)</f>
        <v/>
      </c>
      <c r="AY72" s="118">
        <f>AX72-MAX(0,IFERROR(INDEX(CADASTRO!$I$4:$I$80,MATCH($A72,CADASTRO!$A$4:$A$80,0)),$B72)-CONFIG!$B$50*(COUNTIF($S72:$Y72,"AB")+COUNTIF($S72:$Y72,"FE")+COUNTIF($S72:$Y72,"LM")))</f>
        <v/>
      </c>
      <c r="AZ72" s="117">
        <f>SUMPRODUCT(($Z72:$AF72="M")*6+($Z72:$AF72="T")*6+($Z72:$AF72="D")*12+($Z72:$AF72="N")*12+($Z72:$AF72="NT")*6+($Z72:$AF72="C")*10+($Z72:$AF72="A")*8+($Z72:$AF72="J")*5+($Z72:$AF72="CEP")*4+($Z72:$AF72="CP")*6+($Z72:$AF72="CRO")*6+($Z72:$AF72="M+")*6+($Z72:$AF72="T+")*6+($Z72:$AF72="D+")*12+($Z72:$AF72="N+")*12+($Z72:$AF72="Dm+")*12+($Z72:$AF72="Dt+")*12+($Z72:$AF72="Tm-")*6+($Z72:$AF72="Mt-")*6)</f>
        <v/>
      </c>
      <c r="BA72" s="118">
        <f>AZ72-MAX(0,IFERROR(INDEX(CADASTRO!$I$4:$I$80,MATCH($A72,CADASTRO!$A$4:$A$80,0)),$B72)-CONFIG!$B$50*(COUNTIF($Z72:$AF72,"AB")+COUNTIF($Z72:$AF72,"FE")+COUNTIF($Z72:$AF72,"LM")))</f>
        <v/>
      </c>
      <c r="BB72" s="117">
        <f>SUMPRODUCT(($AG72:$AM72="M")*6+($AG72:$AM72="T")*6+($AG72:$AM72="D")*12+($AG72:$AM72="N")*12+($AG72:$AM72="NT")*6+($AG72:$AM72="C")*10+($AG72:$AM72="A")*8+($AG72:$AM72="J")*5+($AG72:$AM72="CEP")*4+($AG72:$AM72="CP")*6+($AG72:$AM72="CRO")*6+($AG72:$AM72="M+")*6+($AG72:$AM72="T+")*6+($AG72:$AM72="D+")*12+($AG72:$AM72="N+")*12+($AG72:$AM72="Dm+")*12+($AG72:$AM72="Dt+")*12+($AG72:$AM72="Tm-")*6+($AG72:$AM72="Mt-")*6)</f>
        <v/>
      </c>
      <c r="BC72" s="118">
        <f>BB72-MAX(0,IFERROR(INDEX(CADASTRO!$I$4:$I$80,MATCH($A72,CADASTRO!$A$4:$A$80,0)),$B72)-CONFIG!$B$50*(COUNTIF($AG72:$AM72,"AB")+COUNTIF($AG72:$AM72,"FE")+COUNTIF($AG72:$AM72,"LM")))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36">
        <f>IFERROR(INDEX(ABR!AI$8:AI$73,MATCH($A73,ABR!$A$8:$A$73,0))&amp;"","")</f>
        <v/>
      </c>
      <c r="F73" s="136">
        <f>IFERROR(INDEX(ABR!AJ$8:AJ$73,MATCH($A73,ABR!$A$8:$A$73,0))&amp;"","")</f>
        <v/>
      </c>
      <c r="G73" s="136">
        <f>IFERROR(INDEX(ABR!AK$8:AK$73,MATCH($A73,ABR!$A$8:$A$73,0))&amp;"","")</f>
        <v/>
      </c>
      <c r="H73" s="136">
        <f>IFERROR(INDEX(ABR!AL$8:AL$73,MATCH($A73,ABR!$A$8:$A$73,0))&amp;"","")</f>
        <v/>
      </c>
      <c r="I73" s="124" t="inlineStr">
        <is>
          <t>D</t>
        </is>
      </c>
      <c r="J73" s="114" t="n"/>
      <c r="K73" s="114" t="n"/>
      <c r="L73" s="114" t="n"/>
      <c r="M73" s="114" t="n"/>
      <c r="N73" s="114" t="n"/>
      <c r="O73" s="125" t="inlineStr">
        <is>
          <t>N</t>
        </is>
      </c>
      <c r="P73" s="126" t="inlineStr">
        <is>
          <t>T</t>
        </is>
      </c>
      <c r="Q73" s="124" t="inlineStr">
        <is>
          <t>D</t>
        </is>
      </c>
      <c r="R73" s="114" t="n"/>
      <c r="S73" s="114" t="n"/>
      <c r="T73" s="114" t="n"/>
      <c r="U73" s="114" t="n"/>
      <c r="V73" s="126" t="inlineStr">
        <is>
          <t>T</t>
        </is>
      </c>
      <c r="W73" s="125" t="inlineStr">
        <is>
          <t>N</t>
        </is>
      </c>
      <c r="X73" s="125" t="inlineStr">
        <is>
          <t>N</t>
        </is>
      </c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25" t="inlineStr">
        <is>
          <t>N</t>
        </is>
      </c>
      <c r="AI73" s="114" t="n"/>
      <c r="AJ73" s="114" t="n"/>
      <c r="AK73" s="124" t="inlineStr">
        <is>
          <t>D</t>
        </is>
      </c>
      <c r="AL73" s="114" t="n"/>
      <c r="AM73" s="114" t="n"/>
      <c r="AN73" s="100" t="n"/>
      <c r="AO73" s="100" t="n"/>
      <c r="AP73" s="100" t="n"/>
      <c r="AQ73" s="100" t="n"/>
      <c r="AR73" s="100" t="n"/>
      <c r="AS73" s="100" t="n"/>
      <c r="AT73" s="117">
        <f>SUMPRODUCT(($E73:$K73="M")*6+($E73:$K73="T")*6+($E73:$K73="D")*12+($E73:$K73="N")*12+($E73:$K73="NT")*6+($E73:$K73="C")*10+($E73:$K73="A")*8+($E73:$K73="J")*5+($E73:$K73="CEP")*4+($E73:$K73="CP")*6+($E73:$K73="CRO")*6+($E73:$K73="M+")*6+($E73:$K73="T+")*6+($E73:$K73="D+")*12+($E73:$K73="N+")*12+($E73:$K73="Dm+")*12+($E73:$K73="Dt+")*12+($E73:$K73="Tm-")*6+($E73:$K73="Mt-")*6)</f>
        <v/>
      </c>
      <c r="AU73" s="118">
        <f>AT73-MAX(0,IFERROR(INDEX(CADASTRO!$I$4:$I$80,MATCH($A73,CADASTRO!$A$4:$A$80,0)),$B73)-CONFIG!$B$50*(COUNTIF($E73:$K73,"AB")+COUNTIF($E73:$K73,"FE")+COUNTIF($E73:$K73,"LM")))</f>
        <v/>
      </c>
      <c r="AV73" s="117">
        <f>SUMPRODUCT(($L73:$R73="M")*6+($L73:$R73="T")*6+($L73:$R73="D")*12+($L73:$R73="N")*12+($L73:$R73="NT")*6+($L73:$R73="C")*10+($L73:$R73="A")*8+($L73:$R73="J")*5+($L73:$R73="CEP")*4+($L73:$R73="CP")*6+($L73:$R73="CRO")*6+($L73:$R73="M+")*6+($L73:$R73="T+")*6+($L73:$R73="D+")*12+($L73:$R73="N+")*12+($L73:$R73="Dm+")*12+($L73:$R73="Dt+")*12+($L73:$R73="Tm-")*6+($L73:$R73="Mt-")*6)</f>
        <v/>
      </c>
      <c r="AW73" s="118">
        <f>AV73-MAX(0,IFERROR(INDEX(CADASTRO!$I$4:$I$80,MATCH($A73,CADASTRO!$A$4:$A$80,0)),$B73)-CONFIG!$B$50*(COUNTIF($L73:$R73,"AB")+COUNTIF($L73:$R73,"FE")+COUNTIF($L73:$R73,"LM")))</f>
        <v/>
      </c>
      <c r="AX73" s="117">
        <f>SUMPRODUCT(($S73:$Y73="M")*6+($S73:$Y73="T")*6+($S73:$Y73="D")*12+($S73:$Y73="N")*12+($S73:$Y73="NT")*6+($S73:$Y73="C")*10+($S73:$Y73="A")*8+($S73:$Y73="J")*5+($S73:$Y73="CEP")*4+($S73:$Y73="CP")*6+($S73:$Y73="CRO")*6+($S73:$Y73="M+")*6+($S73:$Y73="T+")*6+($S73:$Y73="D+")*12+($S73:$Y73="N+")*12+($S73:$Y73="Dm+")*12+($S73:$Y73="Dt+")*12+($S73:$Y73="Tm-")*6+($S73:$Y73="Mt-")*6)</f>
        <v/>
      </c>
      <c r="AY73" s="118">
        <f>AX73-MAX(0,IFERROR(INDEX(CADASTRO!$I$4:$I$80,MATCH($A73,CADASTRO!$A$4:$A$80,0)),$B73)-CONFIG!$B$50*(COUNTIF($S73:$Y73,"AB")+COUNTIF($S73:$Y73,"FE")+COUNTIF($S73:$Y73,"LM")))</f>
        <v/>
      </c>
      <c r="AZ73" s="117">
        <f>SUMPRODUCT(($Z73:$AF73="M")*6+($Z73:$AF73="T")*6+($Z73:$AF73="D")*12+($Z73:$AF73="N")*12+($Z73:$AF73="NT")*6+($Z73:$AF73="C")*10+($Z73:$AF73="A")*8+($Z73:$AF73="J")*5+($Z73:$AF73="CEP")*4+($Z73:$AF73="CP")*6+($Z73:$AF73="CRO")*6+($Z73:$AF73="M+")*6+($Z73:$AF73="T+")*6+($Z73:$AF73="D+")*12+($Z73:$AF73="N+")*12+($Z73:$AF73="Dm+")*12+($Z73:$AF73="Dt+")*12+($Z73:$AF73="Tm-")*6+($Z73:$AF73="Mt-")*6)</f>
        <v/>
      </c>
      <c r="BA73" s="118">
        <f>AZ73-MAX(0,IFERROR(INDEX(CADASTRO!$I$4:$I$80,MATCH($A73,CADASTRO!$A$4:$A$80,0)),$B73)-CONFIG!$B$50*(COUNTIF($Z73:$AF73,"AB")+COUNTIF($Z73:$AF73,"FE")+COUNTIF($Z73:$AF73,"LM")))</f>
        <v/>
      </c>
      <c r="BB73" s="117">
        <f>SUMPRODUCT(($AG73:$AM73="M")*6+($AG73:$AM73="T")*6+($AG73:$AM73="D")*12+($AG73:$AM73="N")*12+($AG73:$AM73="NT")*6+($AG73:$AM73="C")*10+($AG73:$AM73="A")*8+($AG73:$AM73="J")*5+($AG73:$AM73="CEP")*4+($AG73:$AM73="CP")*6+($AG73:$AM73="CRO")*6+($AG73:$AM73="M+")*6+($AG73:$AM73="T+")*6+($AG73:$AM73="D+")*12+($AG73:$AM73="N+")*12+($AG73:$AM73="Dm+")*12+($AG73:$AM73="Dt+")*12+($AG73:$AM73="Tm-")*6+($AG73:$AM73="Mt-")*6)</f>
        <v/>
      </c>
      <c r="BC73" s="118">
        <f>BB73-MAX(0,IFERROR(INDEX(CADASTRO!$I$4:$I$80,MATCH($A73,CADASTRO!$A$4:$A$80,0)),$B73)-CONFIG!$B$50*(COUNTIF($AG73:$AM73,"AB")+COUNTIF($AG73:$AM73,"FE")+COUNTIF($AG73:$AM73,"LM")))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133">
        <f>COUNTIF(E8:E73,"M")+COUNTIF(E8:E73,"D")+COUNTIF(E8:E73,"C")+COUNTIF(E8:E73,"J")+COUNTIF(E8:E73,"CEP")+COUNTIF(E8:E73,"M+")+COUNTIF(E8:E73,"D+")+COUNTIF(E8:E73,"Dm+")+COUNTIF(E8:E73,"Dt+")+COUNTIF(E8:E73,"Mt-")</f>
        <v/>
      </c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133">
        <f>COUNTIF(E8:E73,"T")+COUNTIF(E8:E73,"D")+COUNTIF(E8:E73,"C")+COUNTIF(E8:E73,"T+")+COUNTIF(E8:E73,"D+")+COUNTIF(E8:E73,"Dm+")+COUNTIF(E8:E73,"Dt+")+COUNTIF(E8:E73,"Tm-")</f>
        <v/>
      </c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133">
        <f>COUNTIF(E8:E73,"N")+COUNTIF(E8:E73,"NT")+COUNTIF(E8:E73,"N+")</f>
        <v/>
      </c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135">
        <f>MAX(0,CONFIG!$B$9-E75)</f>
        <v/>
      </c>
      <c r="F78" s="135">
        <f>MAX(0,CONFIG!$B$9-F75)</f>
        <v/>
      </c>
      <c r="G78" s="135">
        <f>MAX(0,CONFIG!$B$9-G75)</f>
        <v/>
      </c>
      <c r="H78" s="135">
        <f>MAX(0,CONFIG!$B$9-H75)</f>
        <v/>
      </c>
      <c r="I78" s="135">
        <f>MAX(0,CONFIG!$B$9-I75)</f>
        <v/>
      </c>
      <c r="J78" s="135">
        <f>MAX(0,CONFIG!$B$10-J75)</f>
        <v/>
      </c>
      <c r="K78" s="135">
        <f>MAX(0,CONFIG!$B$11-K75)</f>
        <v/>
      </c>
      <c r="L78" s="135">
        <f>MAX(0,CONFIG!$B$9-L75)</f>
        <v/>
      </c>
      <c r="M78" s="135">
        <f>MAX(0,CONFIG!$B$9-M75)</f>
        <v/>
      </c>
      <c r="N78" s="135">
        <f>MAX(0,CONFIG!$B$9-N75)</f>
        <v/>
      </c>
      <c r="O78" s="135">
        <f>MAX(0,CONFIG!$B$9-O75)</f>
        <v/>
      </c>
      <c r="P78" s="135">
        <f>MAX(0,CONFIG!$B$9-P75)</f>
        <v/>
      </c>
      <c r="Q78" s="135">
        <f>MAX(0,CONFIG!$B$10-Q75)</f>
        <v/>
      </c>
      <c r="R78" s="135">
        <f>MAX(0,CONFIG!$B$11-R75)</f>
        <v/>
      </c>
      <c r="S78" s="135">
        <f>MAX(0,CONFIG!$B$9-S75)</f>
        <v/>
      </c>
      <c r="T78" s="135">
        <f>MAX(0,CONFIG!$B$9-T75)</f>
        <v/>
      </c>
      <c r="U78" s="135">
        <f>MAX(0,CONFIG!$B$9-U75)</f>
        <v/>
      </c>
      <c r="V78" s="135">
        <f>MAX(0,CONFIG!$B$9-V75)</f>
        <v/>
      </c>
      <c r="W78" s="135">
        <f>MAX(0,CONFIG!$B$9-W75)</f>
        <v/>
      </c>
      <c r="X78" s="135">
        <f>MAX(0,CONFIG!$B$10-X75)</f>
        <v/>
      </c>
      <c r="Y78" s="135">
        <f>MAX(0,CONFIG!$B$11-Y75)</f>
        <v/>
      </c>
      <c r="Z78" s="135">
        <f>MAX(0,CONFIG!$B$9-Z75)</f>
        <v/>
      </c>
      <c r="AA78" s="135">
        <f>MAX(0,CONFIG!$B$9-AA75)</f>
        <v/>
      </c>
      <c r="AB78" s="135">
        <f>MAX(0,CONFIG!$B$9-AB75)</f>
        <v/>
      </c>
      <c r="AC78" s="135">
        <f>MAX(0,CONFIG!$B$9-AC75)</f>
        <v/>
      </c>
      <c r="AD78" s="135">
        <f>MAX(0,CONFIG!$B$9-AD75)</f>
        <v/>
      </c>
      <c r="AE78" s="135">
        <f>MAX(0,CONFIG!$B$10-AE75)</f>
        <v/>
      </c>
      <c r="AF78" s="135">
        <f>MAX(0,CONFIG!$B$11-AF75)</f>
        <v/>
      </c>
      <c r="AG78" s="135">
        <f>MAX(0,CONFIG!$B$9-AG75)</f>
        <v/>
      </c>
      <c r="AH78" s="135">
        <f>MAX(0,CONFIG!$B$9-AH75)</f>
        <v/>
      </c>
      <c r="AI78" s="135">
        <f>MAX(0,CONFIG!$B$9-AI75)</f>
        <v/>
      </c>
      <c r="AJ78" s="135">
        <f>MAX(0,CONFIG!$B$9-AJ75)</f>
        <v/>
      </c>
      <c r="AK78" s="135">
        <f>MAX(0,CONFIG!$B$9-AK75)</f>
        <v/>
      </c>
      <c r="AL78" s="135">
        <f>MAX(0,CONFIG!$B$10-AL75)</f>
        <v/>
      </c>
      <c r="AM78" s="135">
        <f>MAX(0,CONFIG!$B$11-AM75)</f>
        <v/>
      </c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135">
        <f>MAX(0,CONFIG!$C$9-E76)</f>
        <v/>
      </c>
      <c r="F79" s="135">
        <f>MAX(0,CONFIG!$C$9-F76)</f>
        <v/>
      </c>
      <c r="G79" s="135">
        <f>MAX(0,CONFIG!$C$9-G76)</f>
        <v/>
      </c>
      <c r="H79" s="135">
        <f>MAX(0,CONFIG!$C$9-H76)</f>
        <v/>
      </c>
      <c r="I79" s="135">
        <f>MAX(0,CONFIG!$C$9-I76)</f>
        <v/>
      </c>
      <c r="J79" s="135">
        <f>MAX(0,CONFIG!$C$10-J76)</f>
        <v/>
      </c>
      <c r="K79" s="135">
        <f>MAX(0,CONFIG!$C$11-K76)</f>
        <v/>
      </c>
      <c r="L79" s="135">
        <f>MAX(0,CONFIG!$C$9-L76)</f>
        <v/>
      </c>
      <c r="M79" s="135">
        <f>MAX(0,CONFIG!$C$9-M76)</f>
        <v/>
      </c>
      <c r="N79" s="135">
        <f>MAX(0,CONFIG!$C$9-N76)</f>
        <v/>
      </c>
      <c r="O79" s="135">
        <f>MAX(0,CONFIG!$C$9-O76)</f>
        <v/>
      </c>
      <c r="P79" s="135">
        <f>MAX(0,CONFIG!$C$9-P76)</f>
        <v/>
      </c>
      <c r="Q79" s="135">
        <f>MAX(0,CONFIG!$C$10-Q76)</f>
        <v/>
      </c>
      <c r="R79" s="135">
        <f>MAX(0,CONFIG!$C$11-R76)</f>
        <v/>
      </c>
      <c r="S79" s="135">
        <f>MAX(0,CONFIG!$C$9-S76)</f>
        <v/>
      </c>
      <c r="T79" s="135">
        <f>MAX(0,CONFIG!$C$9-T76)</f>
        <v/>
      </c>
      <c r="U79" s="135">
        <f>MAX(0,CONFIG!$C$9-U76)</f>
        <v/>
      </c>
      <c r="V79" s="135">
        <f>MAX(0,CONFIG!$C$9-V76)</f>
        <v/>
      </c>
      <c r="W79" s="135">
        <f>MAX(0,CONFIG!$C$9-W76)</f>
        <v/>
      </c>
      <c r="X79" s="135">
        <f>MAX(0,CONFIG!$C$10-X76)</f>
        <v/>
      </c>
      <c r="Y79" s="135">
        <f>MAX(0,CONFIG!$C$11-Y76)</f>
        <v/>
      </c>
      <c r="Z79" s="135">
        <f>MAX(0,CONFIG!$C$9-Z76)</f>
        <v/>
      </c>
      <c r="AA79" s="135">
        <f>MAX(0,CONFIG!$C$9-AA76)</f>
        <v/>
      </c>
      <c r="AB79" s="135">
        <f>MAX(0,CONFIG!$C$9-AB76)</f>
        <v/>
      </c>
      <c r="AC79" s="135">
        <f>MAX(0,CONFIG!$C$9-AC76)</f>
        <v/>
      </c>
      <c r="AD79" s="135">
        <f>MAX(0,CONFIG!$C$9-AD76)</f>
        <v/>
      </c>
      <c r="AE79" s="135">
        <f>MAX(0,CONFIG!$C$10-AE76)</f>
        <v/>
      </c>
      <c r="AF79" s="135">
        <f>MAX(0,CONFIG!$C$11-AF76)</f>
        <v/>
      </c>
      <c r="AG79" s="135">
        <f>MAX(0,CONFIG!$C$9-AG76)</f>
        <v/>
      </c>
      <c r="AH79" s="135">
        <f>MAX(0,CONFIG!$C$9-AH76)</f>
        <v/>
      </c>
      <c r="AI79" s="135">
        <f>MAX(0,CONFIG!$C$9-AI76)</f>
        <v/>
      </c>
      <c r="AJ79" s="135">
        <f>MAX(0,CONFIG!$C$9-AJ76)</f>
        <v/>
      </c>
      <c r="AK79" s="135">
        <f>MAX(0,CONFIG!$C$9-AK76)</f>
        <v/>
      </c>
      <c r="AL79" s="135">
        <f>MAX(0,CONFIG!$C$10-AL76)</f>
        <v/>
      </c>
      <c r="AM79" s="135">
        <f>MAX(0,CONFIG!$C$11-AM76)</f>
        <v/>
      </c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135">
        <f>MAX(0,CONFIG!$D$9-E77)</f>
        <v/>
      </c>
      <c r="F80" s="135">
        <f>MAX(0,CONFIG!$D$9-F77)</f>
        <v/>
      </c>
      <c r="G80" s="135">
        <f>MAX(0,CONFIG!$D$9-G77)</f>
        <v/>
      </c>
      <c r="H80" s="135">
        <f>MAX(0,CONFIG!$D$9-H77)</f>
        <v/>
      </c>
      <c r="I80" s="135">
        <f>MAX(0,CONFIG!$D$9-I77)</f>
        <v/>
      </c>
      <c r="J80" s="135">
        <f>MAX(0,CONFIG!$D$10-J77)</f>
        <v/>
      </c>
      <c r="K80" s="135">
        <f>MAX(0,CONFIG!$D$11-K77)</f>
        <v/>
      </c>
      <c r="L80" s="135">
        <f>MAX(0,CONFIG!$D$9-L77)</f>
        <v/>
      </c>
      <c r="M80" s="135">
        <f>MAX(0,CONFIG!$D$9-M77)</f>
        <v/>
      </c>
      <c r="N80" s="135">
        <f>MAX(0,CONFIG!$D$9-N77)</f>
        <v/>
      </c>
      <c r="O80" s="135">
        <f>MAX(0,CONFIG!$D$9-O77)</f>
        <v/>
      </c>
      <c r="P80" s="135">
        <f>MAX(0,CONFIG!$D$9-P77)</f>
        <v/>
      </c>
      <c r="Q80" s="135">
        <f>MAX(0,CONFIG!$D$10-Q77)</f>
        <v/>
      </c>
      <c r="R80" s="135">
        <f>MAX(0,CONFIG!$D$11-R77)</f>
        <v/>
      </c>
      <c r="S80" s="135">
        <f>MAX(0,CONFIG!$D$9-S77)</f>
        <v/>
      </c>
      <c r="T80" s="135">
        <f>MAX(0,CONFIG!$D$9-T77)</f>
        <v/>
      </c>
      <c r="U80" s="135">
        <f>MAX(0,CONFIG!$D$9-U77)</f>
        <v/>
      </c>
      <c r="V80" s="135">
        <f>MAX(0,CONFIG!$D$9-V77)</f>
        <v/>
      </c>
      <c r="W80" s="135">
        <f>MAX(0,CONFIG!$D$9-W77)</f>
        <v/>
      </c>
      <c r="X80" s="135">
        <f>MAX(0,CONFIG!$D$10-X77)</f>
        <v/>
      </c>
      <c r="Y80" s="135">
        <f>MAX(0,CONFIG!$D$11-Y77)</f>
        <v/>
      </c>
      <c r="Z80" s="135">
        <f>MAX(0,CONFIG!$D$9-Z77)</f>
        <v/>
      </c>
      <c r="AA80" s="135">
        <f>MAX(0,CONFIG!$D$9-AA77)</f>
        <v/>
      </c>
      <c r="AB80" s="135">
        <f>MAX(0,CONFIG!$D$9-AB77)</f>
        <v/>
      </c>
      <c r="AC80" s="135">
        <f>MAX(0,CONFIG!$D$9-AC77)</f>
        <v/>
      </c>
      <c r="AD80" s="135">
        <f>MAX(0,CONFIG!$D$9-AD77)</f>
        <v/>
      </c>
      <c r="AE80" s="135">
        <f>MAX(0,CONFIG!$D$10-AE77)</f>
        <v/>
      </c>
      <c r="AF80" s="135">
        <f>MAX(0,CONFIG!$D$11-AF77)</f>
        <v/>
      </c>
      <c r="AG80" s="135">
        <f>MAX(0,CONFIG!$D$9-AG77)</f>
        <v/>
      </c>
      <c r="AH80" s="135">
        <f>MAX(0,CONFIG!$D$9-AH77)</f>
        <v/>
      </c>
      <c r="AI80" s="135">
        <f>MAX(0,CONFIG!$D$9-AI77)</f>
        <v/>
      </c>
      <c r="AJ80" s="135">
        <f>MAX(0,CONFIG!$D$9-AJ77)</f>
        <v/>
      </c>
      <c r="AK80" s="135">
        <f>MAX(0,CONFIG!$D$9-AK77)</f>
        <v/>
      </c>
      <c r="AL80" s="135">
        <f>MAX(0,CONFIG!$D$10-AL77)</f>
        <v/>
      </c>
      <c r="AM80" s="135">
        <f>MAX(0,CONFIG!$D$11-AM77)</f>
        <v/>
      </c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5.3" customWidth="1" min="43" max="43"/>
    <col width="5.3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Junho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0" t="n"/>
      <c r="G2" s="100" t="n"/>
      <c r="H2" s="100" t="n"/>
      <c r="I2" s="103" t="n">
        <v>1</v>
      </c>
      <c r="J2" s="103" t="n">
        <v>2</v>
      </c>
      <c r="K2" s="103" t="n">
        <v>3</v>
      </c>
      <c r="L2" s="102" t="n">
        <v>4</v>
      </c>
      <c r="M2" s="103" t="n">
        <v>5</v>
      </c>
      <c r="N2" s="104" t="n">
        <v>6</v>
      </c>
      <c r="O2" s="104" t="n">
        <v>7</v>
      </c>
      <c r="P2" s="103" t="n">
        <v>8</v>
      </c>
      <c r="Q2" s="103" t="n">
        <v>9</v>
      </c>
      <c r="R2" s="103" t="n">
        <v>10</v>
      </c>
      <c r="S2" s="103" t="n">
        <v>11</v>
      </c>
      <c r="T2" s="103" t="n">
        <v>12</v>
      </c>
      <c r="U2" s="104" t="n">
        <v>13</v>
      </c>
      <c r="V2" s="104" t="n">
        <v>14</v>
      </c>
      <c r="W2" s="103" t="n">
        <v>15</v>
      </c>
      <c r="X2" s="103" t="n">
        <v>16</v>
      </c>
      <c r="Y2" s="103" t="n">
        <v>17</v>
      </c>
      <c r="Z2" s="103" t="n">
        <v>18</v>
      </c>
      <c r="AA2" s="103" t="n">
        <v>19</v>
      </c>
      <c r="AB2" s="104" t="n">
        <v>20</v>
      </c>
      <c r="AC2" s="104" t="n">
        <v>21</v>
      </c>
      <c r="AD2" s="103" t="n">
        <v>22</v>
      </c>
      <c r="AE2" s="103" t="n">
        <v>23</v>
      </c>
      <c r="AF2" s="103" t="n">
        <v>24</v>
      </c>
      <c r="AG2" s="103" t="n">
        <v>25</v>
      </c>
      <c r="AH2" s="103" t="n">
        <v>26</v>
      </c>
      <c r="AI2" s="104" t="n">
        <v>27</v>
      </c>
      <c r="AJ2" s="104" t="n">
        <v>28</v>
      </c>
      <c r="AK2" s="103" t="n">
        <v>29</v>
      </c>
      <c r="AL2" s="103" t="n">
        <v>30</v>
      </c>
      <c r="AM2" s="100" t="n"/>
      <c r="AN2" s="101" t="inlineStr">
        <is>
          <t>01/07</t>
        </is>
      </c>
      <c r="AO2" s="101" t="inlineStr">
        <is>
          <t>02/07</t>
        </is>
      </c>
      <c r="AP2" s="101" t="inlineStr">
        <is>
          <t>03/07</t>
        </is>
      </c>
      <c r="AQ2" s="105" t="inlineStr">
        <is>
          <t>04/07</t>
        </is>
      </c>
      <c r="AR2" s="105" t="inlineStr">
        <is>
          <t>05/07</t>
        </is>
      </c>
      <c r="AS2" s="100" t="n"/>
      <c r="AT2" s="106" t="inlineStr">
        <is>
          <t>01/06–07/06</t>
        </is>
      </c>
      <c r="AU2" s="39" t="n"/>
      <c r="AV2" s="106" t="inlineStr">
        <is>
          <t>08/06–14/06</t>
        </is>
      </c>
      <c r="AW2" s="39" t="n"/>
      <c r="AX2" s="106" t="inlineStr">
        <is>
          <t>15/06–21/06</t>
        </is>
      </c>
      <c r="AY2" s="39" t="n"/>
      <c r="AZ2" s="106" t="inlineStr">
        <is>
          <t>22/06–28/06</t>
        </is>
      </c>
      <c r="BA2" s="39" t="n"/>
      <c r="BB2" s="106" t="inlineStr">
        <is>
          <t>29/06–05/07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0" t="n"/>
      <c r="G3" s="100" t="n"/>
      <c r="H3" s="100" t="n"/>
      <c r="I3" s="107" t="inlineStr">
        <is>
          <t>seg</t>
        </is>
      </c>
      <c r="J3" s="107" t="inlineStr">
        <is>
          <t>ter</t>
        </is>
      </c>
      <c r="K3" s="107" t="inlineStr">
        <is>
          <t>qua</t>
        </is>
      </c>
      <c r="L3" s="108" t="inlineStr">
        <is>
          <t>corp</t>
        </is>
      </c>
      <c r="M3" s="107" t="inlineStr">
        <is>
          <t>sex</t>
        </is>
      </c>
      <c r="N3" s="109" t="inlineStr">
        <is>
          <t>sáb</t>
        </is>
      </c>
      <c r="O3" s="109" t="inlineStr">
        <is>
          <t>dom</t>
        </is>
      </c>
      <c r="P3" s="107" t="inlineStr">
        <is>
          <t>seg</t>
        </is>
      </c>
      <c r="Q3" s="107" t="inlineStr">
        <is>
          <t>ter</t>
        </is>
      </c>
      <c r="R3" s="107" t="inlineStr">
        <is>
          <t>qua</t>
        </is>
      </c>
      <c r="S3" s="107" t="inlineStr">
        <is>
          <t>qui</t>
        </is>
      </c>
      <c r="T3" s="107" t="inlineStr">
        <is>
          <t>sex</t>
        </is>
      </c>
      <c r="U3" s="109" t="inlineStr">
        <is>
          <t>sáb</t>
        </is>
      </c>
      <c r="V3" s="109" t="inlineStr">
        <is>
          <t>dom</t>
        </is>
      </c>
      <c r="W3" s="107" t="inlineStr">
        <is>
          <t>seg</t>
        </is>
      </c>
      <c r="X3" s="107" t="inlineStr">
        <is>
          <t>ter</t>
        </is>
      </c>
      <c r="Y3" s="107" t="inlineStr">
        <is>
          <t>qua</t>
        </is>
      </c>
      <c r="Z3" s="107" t="inlineStr">
        <is>
          <t>qui</t>
        </is>
      </c>
      <c r="AA3" s="107" t="inlineStr">
        <is>
          <t>sex</t>
        </is>
      </c>
      <c r="AB3" s="109" t="inlineStr">
        <is>
          <t>sáb</t>
        </is>
      </c>
      <c r="AC3" s="109" t="inlineStr">
        <is>
          <t>dom</t>
        </is>
      </c>
      <c r="AD3" s="107" t="inlineStr">
        <is>
          <t>seg</t>
        </is>
      </c>
      <c r="AE3" s="107" t="inlineStr">
        <is>
          <t>ter</t>
        </is>
      </c>
      <c r="AF3" s="107" t="inlineStr">
        <is>
          <t>qua</t>
        </is>
      </c>
      <c r="AG3" s="107" t="inlineStr">
        <is>
          <t>qui</t>
        </is>
      </c>
      <c r="AH3" s="107" t="inlineStr">
        <is>
          <t>sex</t>
        </is>
      </c>
      <c r="AI3" s="109" t="inlineStr">
        <is>
          <t>sáb</t>
        </is>
      </c>
      <c r="AJ3" s="109" t="inlineStr">
        <is>
          <t>dom</t>
        </is>
      </c>
      <c r="AK3" s="107" t="inlineStr">
        <is>
          <t>seg</t>
        </is>
      </c>
      <c r="AL3" s="107" t="inlineStr">
        <is>
          <t>ter</t>
        </is>
      </c>
      <c r="AM3" s="100" t="n"/>
      <c r="AN3" s="107" t="inlineStr">
        <is>
          <t>qua</t>
        </is>
      </c>
      <c r="AO3" s="107" t="inlineStr">
        <is>
          <t>qui</t>
        </is>
      </c>
      <c r="AP3" s="107" t="inlineStr">
        <is>
          <t>sex</t>
        </is>
      </c>
      <c r="AQ3" s="109" t="inlineStr">
        <is>
          <t>sáb</t>
        </is>
      </c>
      <c r="AR3" s="109" t="inlineStr">
        <is>
          <t>dom</t>
        </is>
      </c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1</v>
      </c>
      <c r="O4" s="39" t="n">
        <v>1</v>
      </c>
      <c r="P4" s="39" t="n">
        <v>0</v>
      </c>
      <c r="Q4" s="39" t="n">
        <v>0</v>
      </c>
      <c r="R4" s="39" t="n">
        <v>0</v>
      </c>
      <c r="S4" s="39" t="n">
        <v>0</v>
      </c>
      <c r="T4" s="39" t="n">
        <v>0</v>
      </c>
      <c r="U4" s="39" t="n">
        <v>1</v>
      </c>
      <c r="V4" s="39" t="n">
        <v>1</v>
      </c>
      <c r="W4" s="39" t="n">
        <v>0</v>
      </c>
      <c r="X4" s="39" t="n">
        <v>0</v>
      </c>
      <c r="Y4" s="39" t="n">
        <v>0</v>
      </c>
      <c r="Z4" s="39" t="n">
        <v>0</v>
      </c>
      <c r="AA4" s="39" t="n">
        <v>0</v>
      </c>
      <c r="AB4" s="39" t="n">
        <v>1</v>
      </c>
      <c r="AC4" s="39" t="n">
        <v>1</v>
      </c>
      <c r="AD4" s="39" t="n">
        <v>0</v>
      </c>
      <c r="AE4" s="39" t="n">
        <v>0</v>
      </c>
      <c r="AF4" s="39" t="n">
        <v>0</v>
      </c>
      <c r="AG4" s="39" t="n">
        <v>0</v>
      </c>
      <c r="AH4" s="39" t="n">
        <v>0</v>
      </c>
      <c r="AI4" s="39" t="n">
        <v>1</v>
      </c>
      <c r="AJ4" s="39" t="n">
        <v>1</v>
      </c>
      <c r="AK4" s="39" t="n">
        <v>0</v>
      </c>
      <c r="AL4" s="39" t="n">
        <v>0</v>
      </c>
      <c r="AM4" s="39" t="n"/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1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1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1</v>
      </c>
      <c r="AB5" s="39" t="n">
        <v>0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1</v>
      </c>
      <c r="AI5" s="39" t="n">
        <v>0</v>
      </c>
      <c r="AJ5" s="39" t="n">
        <v>0</v>
      </c>
      <c r="AK5" s="39" t="n">
        <v>0</v>
      </c>
      <c r="AL5" s="39" t="n">
        <v>0</v>
      </c>
      <c r="AM5" s="39" t="n"/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1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/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00" t="n"/>
      <c r="H8" s="100" t="n"/>
      <c r="I8" s="115" t="inlineStr">
        <is>
          <t>M</t>
        </is>
      </c>
      <c r="J8" s="115" t="inlineStr">
        <is>
          <t>M</t>
        </is>
      </c>
      <c r="K8" s="115" t="inlineStr">
        <is>
          <t>M</t>
        </is>
      </c>
      <c r="L8" s="115" t="inlineStr">
        <is>
          <t>M</t>
        </is>
      </c>
      <c r="M8" s="115" t="inlineStr">
        <is>
          <t>M</t>
        </is>
      </c>
      <c r="N8" s="114" t="n"/>
      <c r="O8" s="114" t="n"/>
      <c r="P8" s="115" t="inlineStr">
        <is>
          <t>M</t>
        </is>
      </c>
      <c r="Q8" s="115" t="inlineStr">
        <is>
          <t>M</t>
        </is>
      </c>
      <c r="R8" s="115" t="inlineStr">
        <is>
          <t>M</t>
        </is>
      </c>
      <c r="S8" s="115" t="inlineStr">
        <is>
          <t>M</t>
        </is>
      </c>
      <c r="T8" s="115" t="inlineStr">
        <is>
          <t>M</t>
        </is>
      </c>
      <c r="U8" s="114" t="n"/>
      <c r="V8" s="114" t="n"/>
      <c r="W8" s="115" t="inlineStr">
        <is>
          <t>M</t>
        </is>
      </c>
      <c r="X8" s="115" t="inlineStr">
        <is>
          <t>M</t>
        </is>
      </c>
      <c r="Y8" s="115" t="inlineStr">
        <is>
          <t>M</t>
        </is>
      </c>
      <c r="Z8" s="115" t="inlineStr">
        <is>
          <t>M</t>
        </is>
      </c>
      <c r="AA8" s="115" t="inlineStr">
        <is>
          <t>M</t>
        </is>
      </c>
      <c r="AB8" s="114" t="n"/>
      <c r="AC8" s="114" t="n"/>
      <c r="AD8" s="115" t="inlineStr">
        <is>
          <t>M</t>
        </is>
      </c>
      <c r="AE8" s="115" t="inlineStr">
        <is>
          <t>M</t>
        </is>
      </c>
      <c r="AF8" s="115" t="inlineStr">
        <is>
          <t>M</t>
        </is>
      </c>
      <c r="AG8" s="115" t="inlineStr">
        <is>
          <t>M</t>
        </is>
      </c>
      <c r="AH8" s="115" t="inlineStr">
        <is>
          <t>M</t>
        </is>
      </c>
      <c r="AI8" s="114" t="n"/>
      <c r="AJ8" s="114" t="n"/>
      <c r="AK8" s="115" t="inlineStr">
        <is>
          <t>M</t>
        </is>
      </c>
      <c r="AL8" s="115" t="inlineStr">
        <is>
          <t>M</t>
        </is>
      </c>
      <c r="AM8" s="100" t="n"/>
      <c r="AN8" s="136">
        <f>IFERROR(INDEX(JUL!I$8:I$73,MATCH($A8,JUL!$A$8:$A$73,0))&amp;"","")</f>
        <v/>
      </c>
      <c r="AO8" s="136">
        <f>IFERROR(INDEX(JUL!J$8:J$73,MATCH($A8,JUL!$A$8:$A$73,0))&amp;"","")</f>
        <v/>
      </c>
      <c r="AP8" s="136">
        <f>IFERROR(INDEX(JUL!K$8:K$73,MATCH($A8,JUL!$A$8:$A$73,0))&amp;"","")</f>
        <v/>
      </c>
      <c r="AQ8" s="116">
        <f>IFERROR(INDEX(JUL!L$8:L$73,MATCH($A8,JUL!$A$8:$A$73,0))&amp;"","")</f>
        <v/>
      </c>
      <c r="AR8" s="116">
        <f>IFERROR(INDEX(JUL!M$8:M$73,MATCH($A8,JUL!$A$8:$A$73,0))&amp;"","")</f>
        <v/>
      </c>
      <c r="AS8" s="100" t="n"/>
      <c r="AT8" s="117">
        <f>SUMPRODUCT(($I8:$O8="M")*6+($I8:$O8="T")*6+($I8:$O8="D")*12+($I8:$O8="N")*12+($I8:$O8="NT")*6+($I8:$O8="C")*10+($I8:$O8="A")*8+($I8:$O8="J")*5+($I8:$O8="CEP")*4+($I8:$O8="CP")*6+($I8:$O8="CRO")*6+($I8:$O8="M+")*6+($I8:$O8="T+")*6+($I8:$O8="D+")*12+($I8:$O8="N+")*12+($I8:$O8="Dm+")*12+($I8:$O8="Dt+")*12+($I8:$O8="Tm-")*6+($I8:$O8="Mt-")*6)</f>
        <v/>
      </c>
      <c r="AU8" s="118">
        <f>AT8-MAX(0,IFERROR(INDEX(CADASTRO!$I$4:$I$80,MATCH($A8,CADASTRO!$A$4:$A$80,0)),$B8)-CONFIG!$B$50*(COUNTIF($I8:$O8,"AB")+COUNTIF($I8:$O8,"FE")+COUNTIF($I8:$O8,"LM")))</f>
        <v/>
      </c>
      <c r="AV8" s="117">
        <f>SUMPRODUCT(($P8:$V8="M")*6+($P8:$V8="T")*6+($P8:$V8="D")*12+($P8:$V8="N")*12+($P8:$V8="NT")*6+($P8:$V8="C")*10+($P8:$V8="A")*8+($P8:$V8="J")*5+($P8:$V8="CEP")*4+($P8:$V8="CP")*6+($P8:$V8="CRO")*6+($P8:$V8="M+")*6+($P8:$V8="T+")*6+($P8:$V8="D+")*12+($P8:$V8="N+")*12+($P8:$V8="Dm+")*12+($P8:$V8="Dt+")*12+($P8:$V8="Tm-")*6+($P8:$V8="Mt-")*6)</f>
        <v/>
      </c>
      <c r="AW8" s="118">
        <f>AV8-MAX(0,IFERROR(INDEX(CADASTRO!$I$4:$I$80,MATCH($A8,CADASTRO!$A$4:$A$80,0)),$B8)-CONFIG!$B$50*(COUNTIF($P8:$V8,"AB")+COUNTIF($P8:$V8,"FE")+COUNTIF($P8:$V8,"LM")))</f>
        <v/>
      </c>
      <c r="AX8" s="117">
        <f>SUMPRODUCT(($W8:$AC8="M")*6+($W8:$AC8="T")*6+($W8:$AC8="D")*12+($W8:$AC8="N")*12+($W8:$AC8="NT")*6+($W8:$AC8="C")*10+($W8:$AC8="A")*8+($W8:$AC8="J")*5+($W8:$AC8="CEP")*4+($W8:$AC8="CP")*6+($W8:$AC8="CRO")*6+($W8:$AC8="M+")*6+($W8:$AC8="T+")*6+($W8:$AC8="D+")*12+($W8:$AC8="N+")*12+($W8:$AC8="Dm+")*12+($W8:$AC8="Dt+")*12+($W8:$AC8="Tm-")*6+($W8:$AC8="Mt-")*6)</f>
        <v/>
      </c>
      <c r="AY8" s="118">
        <f>AX8-MAX(0,IFERROR(INDEX(CADASTRO!$I$4:$I$80,MATCH($A8,CADASTRO!$A$4:$A$80,0)),$B8)-CONFIG!$B$50*(COUNTIF($W8:$AC8,"AB")+COUNTIF($W8:$AC8,"FE")+COUNTIF($W8:$AC8,"LM")))</f>
        <v/>
      </c>
      <c r="AZ8" s="117">
        <f>SUMPRODUCT(($AD8:$AJ8="M")*6+($AD8:$AJ8="T")*6+($AD8:$AJ8="D")*12+($AD8:$AJ8="N")*12+($AD8:$AJ8="NT")*6+($AD8:$AJ8="C")*10+($AD8:$AJ8="A")*8+($AD8:$AJ8="J")*5+($AD8:$AJ8="CEP")*4+($AD8:$AJ8="CP")*6+($AD8:$AJ8="CRO")*6+($AD8:$AJ8="M+")*6+($AD8:$AJ8="T+")*6+($AD8:$AJ8="D+")*12+($AD8:$AJ8="N+")*12+($AD8:$AJ8="Dm+")*12+($AD8:$AJ8="Dt+")*12+($AD8:$AJ8="Tm-")*6+($AD8:$AJ8="Mt-")*6)</f>
        <v/>
      </c>
      <c r="BA8" s="118">
        <f>AZ8-MAX(0,IFERROR(INDEX(CADASTRO!$I$4:$I$80,MATCH($A8,CADASTRO!$A$4:$A$80,0)),$B8)-CONFIG!$B$50*(COUNTIF($AD8:$AJ8,"AB")+COUNTIF($AD8:$AJ8,"FE")+COUNTIF($AD8:$AJ8,"LM")))</f>
        <v/>
      </c>
      <c r="BB8" s="117">
        <f>SUMPRODUCT(($AK8:$AL8="M")*6+($AK8:$AL8="T")*6+($AK8:$AL8="D")*12+($AK8:$AL8="N")*12+($AK8:$AL8="NT")*6+($AK8:$AL8="C")*10+($AK8:$AL8="A")*8+($AK8:$AL8="J")*5+($AK8:$AL8="CEP")*4+($AK8:$AL8="CP")*6+($AK8:$AL8="CRO")*6+($AK8:$AL8="M+")*6+($AK8:$AL8="T+")*6+($AK8:$AL8="D+")*12+($AK8:$AL8="N+")*12+($AK8:$AL8="Dm+")*12+($AK8:$AL8="Dt+")*12+($AK8:$AL8="Tm-")*6+($AK8:$AL8="Mt-")*6)+SUMPRODUCT(($AN8:$AR8="M")*6+($AN8:$AR8="T")*6+($AN8:$AR8="D")*12+($AN8:$AR8="N")*12+($AN8:$AR8="NT")*6+($AN8:$AR8="C")*10+($AN8:$AR8="A")*8+($AN8:$AR8="J")*5+($AN8:$AR8="CEP")*4+($AN8:$AR8="CP")*6+($AN8:$AR8="CRO")*6+($AN8:$AR8="M+")*6+($AN8:$AR8="T+")*6+($AN8:$AR8="D+")*12+($AN8:$AR8="N+")*12+($AN8:$AR8="Dm+")*12+($AN8:$AR8="Dt+")*12+($AN8:$AR8="Tm-")*6+($AN8:$AR8="Mt-")*6)</f>
        <v/>
      </c>
      <c r="BC8" s="118">
        <f>BB8-MAX(0,IFERROR(INDEX(CADASTRO!$I$4:$I$80,MATCH($A8,CADASTRO!$A$4:$A$80,0)),$B8)-CONFIG!$B$50*(COUNTIF($AK8:$AL8,"AB")+COUNTIF($AK8:$AL8,"FE")+COUNTIF($AK8:$AL8,"LM")+COUNTIF($AN8:$AR8,"AB")+COUNTIF($AN8:$AR8,"FE")+COUNTIF($AN8:$AR8,"LM")))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ROUND(B8*4.29,0)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00" t="n"/>
      <c r="H9" s="100" t="n"/>
      <c r="I9" s="115" t="inlineStr">
        <is>
          <t>M</t>
        </is>
      </c>
      <c r="J9" s="115" t="inlineStr">
        <is>
          <t>M</t>
        </is>
      </c>
      <c r="K9" s="115" t="inlineStr">
        <is>
          <t>M</t>
        </is>
      </c>
      <c r="L9" s="115" t="inlineStr">
        <is>
          <t>M</t>
        </is>
      </c>
      <c r="M9" s="115" t="inlineStr">
        <is>
          <t>M</t>
        </is>
      </c>
      <c r="N9" s="114" t="n"/>
      <c r="O9" s="114" t="n"/>
      <c r="P9" s="115" t="inlineStr">
        <is>
          <t>M</t>
        </is>
      </c>
      <c r="Q9" s="115" t="inlineStr">
        <is>
          <t>M</t>
        </is>
      </c>
      <c r="R9" s="115" t="inlineStr">
        <is>
          <t>M</t>
        </is>
      </c>
      <c r="S9" s="115" t="inlineStr">
        <is>
          <t>M</t>
        </is>
      </c>
      <c r="T9" s="115" t="inlineStr">
        <is>
          <t>M</t>
        </is>
      </c>
      <c r="U9" s="114" t="n"/>
      <c r="V9" s="114" t="n"/>
      <c r="W9" s="115" t="inlineStr">
        <is>
          <t>M</t>
        </is>
      </c>
      <c r="X9" s="115" t="inlineStr">
        <is>
          <t>M</t>
        </is>
      </c>
      <c r="Y9" s="115" t="inlineStr">
        <is>
          <t>M</t>
        </is>
      </c>
      <c r="Z9" s="115" t="inlineStr">
        <is>
          <t>M</t>
        </is>
      </c>
      <c r="AA9" s="115" t="inlineStr">
        <is>
          <t>M</t>
        </is>
      </c>
      <c r="AB9" s="114" t="n"/>
      <c r="AC9" s="114" t="n"/>
      <c r="AD9" s="115" t="inlineStr">
        <is>
          <t>M</t>
        </is>
      </c>
      <c r="AE9" s="115" t="inlineStr">
        <is>
          <t>M</t>
        </is>
      </c>
      <c r="AF9" s="115" t="inlineStr">
        <is>
          <t>M</t>
        </is>
      </c>
      <c r="AG9" s="115" t="inlineStr">
        <is>
          <t>M</t>
        </is>
      </c>
      <c r="AH9" s="115" t="inlineStr">
        <is>
          <t>M</t>
        </is>
      </c>
      <c r="AI9" s="114" t="n"/>
      <c r="AJ9" s="114" t="n"/>
      <c r="AK9" s="115" t="inlineStr">
        <is>
          <t>M</t>
        </is>
      </c>
      <c r="AL9" s="115" t="inlineStr">
        <is>
          <t>M</t>
        </is>
      </c>
      <c r="AM9" s="100" t="n"/>
      <c r="AN9" s="136">
        <f>IFERROR(INDEX(JUL!I$8:I$73,MATCH($A9,JUL!$A$8:$A$73,0))&amp;"","")</f>
        <v/>
      </c>
      <c r="AO9" s="136">
        <f>IFERROR(INDEX(JUL!J$8:J$73,MATCH($A9,JUL!$A$8:$A$73,0))&amp;"","")</f>
        <v/>
      </c>
      <c r="AP9" s="136">
        <f>IFERROR(INDEX(JUL!K$8:K$73,MATCH($A9,JUL!$A$8:$A$73,0))&amp;"","")</f>
        <v/>
      </c>
      <c r="AQ9" s="116">
        <f>IFERROR(INDEX(JUL!L$8:L$73,MATCH($A9,JUL!$A$8:$A$73,0))&amp;"","")</f>
        <v/>
      </c>
      <c r="AR9" s="116">
        <f>IFERROR(INDEX(JUL!M$8:M$73,MATCH($A9,JUL!$A$8:$A$73,0))&amp;"","")</f>
        <v/>
      </c>
      <c r="AS9" s="100" t="n"/>
      <c r="AT9" s="117">
        <f>SUMPRODUCT(($I9:$O9="M")*6+($I9:$O9="T")*6+($I9:$O9="D")*12+($I9:$O9="N")*12+($I9:$O9="NT")*6+($I9:$O9="C")*10+($I9:$O9="A")*8+($I9:$O9="J")*5+($I9:$O9="CEP")*4+($I9:$O9="CP")*6+($I9:$O9="CRO")*6+($I9:$O9="M+")*6+($I9:$O9="T+")*6+($I9:$O9="D+")*12+($I9:$O9="N+")*12+($I9:$O9="Dm+")*12+($I9:$O9="Dt+")*12+($I9:$O9="Tm-")*6+($I9:$O9="Mt-")*6)</f>
        <v/>
      </c>
      <c r="AU9" s="118">
        <f>AT9-MAX(0,IFERROR(INDEX(CADASTRO!$I$4:$I$80,MATCH($A9,CADASTRO!$A$4:$A$80,0)),$B9)-CONFIG!$B$50*(COUNTIF($I9:$O9,"AB")+COUNTIF($I9:$O9,"FE")+COUNTIF($I9:$O9,"LM")))</f>
        <v/>
      </c>
      <c r="AV9" s="117">
        <f>SUMPRODUCT(($P9:$V9="M")*6+($P9:$V9="T")*6+($P9:$V9="D")*12+($P9:$V9="N")*12+($P9:$V9="NT")*6+($P9:$V9="C")*10+($P9:$V9="A")*8+($P9:$V9="J")*5+($P9:$V9="CEP")*4+($P9:$V9="CP")*6+($P9:$V9="CRO")*6+($P9:$V9="M+")*6+($P9:$V9="T+")*6+($P9:$V9="D+")*12+($P9:$V9="N+")*12+($P9:$V9="Dm+")*12+($P9:$V9="Dt+")*12+($P9:$V9="Tm-")*6+($P9:$V9="Mt-")*6)</f>
        <v/>
      </c>
      <c r="AW9" s="118">
        <f>AV9-MAX(0,IFERROR(INDEX(CADASTRO!$I$4:$I$80,MATCH($A9,CADASTRO!$A$4:$A$80,0)),$B9)-CONFIG!$B$50*(COUNTIF($P9:$V9,"AB")+COUNTIF($P9:$V9,"FE")+COUNTIF($P9:$V9,"LM")))</f>
        <v/>
      </c>
      <c r="AX9" s="117">
        <f>SUMPRODUCT(($W9:$AC9="M")*6+($W9:$AC9="T")*6+($W9:$AC9="D")*12+($W9:$AC9="N")*12+($W9:$AC9="NT")*6+($W9:$AC9="C")*10+($W9:$AC9="A")*8+($W9:$AC9="J")*5+($W9:$AC9="CEP")*4+($W9:$AC9="CP")*6+($W9:$AC9="CRO")*6+($W9:$AC9="M+")*6+($W9:$AC9="T+")*6+($W9:$AC9="D+")*12+($W9:$AC9="N+")*12+($W9:$AC9="Dm+")*12+($W9:$AC9="Dt+")*12+($W9:$AC9="Tm-")*6+($W9:$AC9="Mt-")*6)</f>
        <v/>
      </c>
      <c r="AY9" s="118">
        <f>AX9-MAX(0,IFERROR(INDEX(CADASTRO!$I$4:$I$80,MATCH($A9,CADASTRO!$A$4:$A$80,0)),$B9)-CONFIG!$B$50*(COUNTIF($W9:$AC9,"AB")+COUNTIF($W9:$AC9,"FE")+COUNTIF($W9:$AC9,"LM")))</f>
        <v/>
      </c>
      <c r="AZ9" s="117">
        <f>SUMPRODUCT(($AD9:$AJ9="M")*6+($AD9:$AJ9="T")*6+($AD9:$AJ9="D")*12+($AD9:$AJ9="N")*12+($AD9:$AJ9="NT")*6+($AD9:$AJ9="C")*10+($AD9:$AJ9="A")*8+($AD9:$AJ9="J")*5+($AD9:$AJ9="CEP")*4+($AD9:$AJ9="CP")*6+($AD9:$AJ9="CRO")*6+($AD9:$AJ9="M+")*6+($AD9:$AJ9="T+")*6+($AD9:$AJ9="D+")*12+($AD9:$AJ9="N+")*12+($AD9:$AJ9="Dm+")*12+($AD9:$AJ9="Dt+")*12+($AD9:$AJ9="Tm-")*6+($AD9:$AJ9="Mt-")*6)</f>
        <v/>
      </c>
      <c r="BA9" s="118">
        <f>AZ9-MAX(0,IFERROR(INDEX(CADASTRO!$I$4:$I$80,MATCH($A9,CADASTRO!$A$4:$A$80,0)),$B9)-CONFIG!$B$50*(COUNTIF($AD9:$AJ9,"AB")+COUNTIF($AD9:$AJ9,"FE")+COUNTIF($AD9:$AJ9,"LM")))</f>
        <v/>
      </c>
      <c r="BB9" s="117">
        <f>SUMPRODUCT(($AK9:$AL9="M")*6+($AK9:$AL9="T")*6+($AK9:$AL9="D")*12+($AK9:$AL9="N")*12+($AK9:$AL9="NT")*6+($AK9:$AL9="C")*10+($AK9:$AL9="A")*8+($AK9:$AL9="J")*5+($AK9:$AL9="CEP")*4+($AK9:$AL9="CP")*6+($AK9:$AL9="CRO")*6+($AK9:$AL9="M+")*6+($AK9:$AL9="T+")*6+($AK9:$AL9="D+")*12+($AK9:$AL9="N+")*12+($AK9:$AL9="Dm+")*12+($AK9:$AL9="Dt+")*12+($AK9:$AL9="Tm-")*6+($AK9:$AL9="Mt-")*6)+SUMPRODUCT(($AN9:$AR9="M")*6+($AN9:$AR9="T")*6+($AN9:$AR9="D")*12+($AN9:$AR9="N")*12+($AN9:$AR9="NT")*6+($AN9:$AR9="C")*10+($AN9:$AR9="A")*8+($AN9:$AR9="J")*5+($AN9:$AR9="CEP")*4+($AN9:$AR9="CP")*6+($AN9:$AR9="CRO")*6+($AN9:$AR9="M+")*6+($AN9:$AR9="T+")*6+($AN9:$AR9="D+")*12+($AN9:$AR9="N+")*12+($AN9:$AR9="Dm+")*12+($AN9:$AR9="Dt+")*12+($AN9:$AR9="Tm-")*6+($AN9:$AR9="Mt-")*6)</f>
        <v/>
      </c>
      <c r="BC9" s="118">
        <f>BB9-MAX(0,IFERROR(INDEX(CADASTRO!$I$4:$I$80,MATCH($A9,CADASTRO!$A$4:$A$80,0)),$B9)-CONFIG!$B$50*(COUNTIF($AK9:$AL9,"AB")+COUNTIF($AK9:$AL9,"FE")+COUNTIF($AK9:$AL9,"LM")+COUNTIF($AN9:$AR9,"AB")+COUNTIF($AN9:$AR9,"FE")+COUNTIF($AN9:$AR9,"LM")))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ROUND(B9*4.29,0)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00" t="n"/>
      <c r="H10" s="100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00" t="n"/>
      <c r="AN10" s="136">
        <f>IFERROR(INDEX(JUL!I$8:I$73,MATCH($A10,JUL!$A$8:$A$73,0))&amp;"","")</f>
        <v/>
      </c>
      <c r="AO10" s="136">
        <f>IFERROR(INDEX(JUL!J$8:J$73,MATCH($A10,JUL!$A$8:$A$73,0))&amp;"","")</f>
        <v/>
      </c>
      <c r="AP10" s="136">
        <f>IFERROR(INDEX(JUL!K$8:K$73,MATCH($A10,JUL!$A$8:$A$73,0))&amp;"","")</f>
        <v/>
      </c>
      <c r="AQ10" s="116">
        <f>IFERROR(INDEX(JUL!L$8:L$73,MATCH($A10,JUL!$A$8:$A$73,0))&amp;"","")</f>
        <v/>
      </c>
      <c r="AR10" s="116">
        <f>IFERROR(INDEX(JUL!M$8:M$73,MATCH($A10,JUL!$A$8:$A$73,0))&amp;"","")</f>
        <v/>
      </c>
      <c r="AS10" s="100" t="n"/>
      <c r="AT10" s="117">
        <f>SUMPRODUCT(($I10:$O10="M")*6+($I10:$O10="T")*6+($I10:$O10="D")*12+($I10:$O10="N")*12+($I10:$O10="NT")*6+($I10:$O10="C")*10+($I10:$O10="A")*8+($I10:$O10="J")*5+($I10:$O10="CEP")*4+($I10:$O10="CP")*6+($I10:$O10="CRO")*6+($I10:$O10="M+")*6+($I10:$O10="T+")*6+($I10:$O10="D+")*12+($I10:$O10="N+")*12+($I10:$O10="Dm+")*12+($I10:$O10="Dt+")*12+($I10:$O10="Tm-")*6+($I10:$O10="Mt-")*6)</f>
        <v/>
      </c>
      <c r="AU10" s="118">
        <f>AT10-MAX(0,IFERROR(INDEX(CADASTRO!$I$4:$I$80,MATCH($A10,CADASTRO!$A$4:$A$80,0)),$B10)-CONFIG!$B$50*(COUNTIF($I10:$O10,"AB")+COUNTIF($I10:$O10,"FE")+COUNTIF($I10:$O10,"LM")))</f>
        <v/>
      </c>
      <c r="AV10" s="117">
        <f>SUMPRODUCT(($P10:$V10="M")*6+($P10:$V10="T")*6+($P10:$V10="D")*12+($P10:$V10="N")*12+($P10:$V10="NT")*6+($P10:$V10="C")*10+($P10:$V10="A")*8+($P10:$V10="J")*5+($P10:$V10="CEP")*4+($P10:$V10="CP")*6+($P10:$V10="CRO")*6+($P10:$V10="M+")*6+($P10:$V10="T+")*6+($P10:$V10="D+")*12+($P10:$V10="N+")*12+($P10:$V10="Dm+")*12+($P10:$V10="Dt+")*12+($P10:$V10="Tm-")*6+($P10:$V10="Mt-")*6)</f>
        <v/>
      </c>
      <c r="AW10" s="118">
        <f>AV10-MAX(0,IFERROR(INDEX(CADASTRO!$I$4:$I$80,MATCH($A10,CADASTRO!$A$4:$A$80,0)),$B10)-CONFIG!$B$50*(COUNTIF($P10:$V10,"AB")+COUNTIF($P10:$V10,"FE")+COUNTIF($P10:$V10,"LM")))</f>
        <v/>
      </c>
      <c r="AX10" s="117">
        <f>SUMPRODUCT(($W10:$AC10="M")*6+($W10:$AC10="T")*6+($W10:$AC10="D")*12+($W10:$AC10="N")*12+($W10:$AC10="NT")*6+($W10:$AC10="C")*10+($W10:$AC10="A")*8+($W10:$AC10="J")*5+($W10:$AC10="CEP")*4+($W10:$AC10="CP")*6+($W10:$AC10="CRO")*6+($W10:$AC10="M+")*6+($W10:$AC10="T+")*6+($W10:$AC10="D+")*12+($W10:$AC10="N+")*12+($W10:$AC10="Dm+")*12+($W10:$AC10="Dt+")*12+($W10:$AC10="Tm-")*6+($W10:$AC10="Mt-")*6)</f>
        <v/>
      </c>
      <c r="AY10" s="118">
        <f>AX10-MAX(0,IFERROR(INDEX(CADASTRO!$I$4:$I$80,MATCH($A10,CADASTRO!$A$4:$A$80,0)),$B10)-CONFIG!$B$50*(COUNTIF($W10:$AC10,"AB")+COUNTIF($W10:$AC10,"FE")+COUNTIF($W10:$AC10,"LM")))</f>
        <v/>
      </c>
      <c r="AZ10" s="117">
        <f>SUMPRODUCT(($AD10:$AJ10="M")*6+($AD10:$AJ10="T")*6+($AD10:$AJ10="D")*12+($AD10:$AJ10="N")*12+($AD10:$AJ10="NT")*6+($AD10:$AJ10="C")*10+($AD10:$AJ10="A")*8+($AD10:$AJ10="J")*5+($AD10:$AJ10="CEP")*4+($AD10:$AJ10="CP")*6+($AD10:$AJ10="CRO")*6+($AD10:$AJ10="M+")*6+($AD10:$AJ10="T+")*6+($AD10:$AJ10="D+")*12+($AD10:$AJ10="N+")*12+($AD10:$AJ10="Dm+")*12+($AD10:$AJ10="Dt+")*12+($AD10:$AJ10="Tm-")*6+($AD10:$AJ10="Mt-")*6)</f>
        <v/>
      </c>
      <c r="BA10" s="118">
        <f>AZ10-MAX(0,IFERROR(INDEX(CADASTRO!$I$4:$I$80,MATCH($A10,CADASTRO!$A$4:$A$80,0)),$B10)-CONFIG!$B$50*(COUNTIF($AD10:$AJ10,"AB")+COUNTIF($AD10:$AJ10,"FE")+COUNTIF($AD10:$AJ10,"LM")))</f>
        <v/>
      </c>
      <c r="BB10" s="117">
        <f>SUMPRODUCT(($AK10:$AL10="M")*6+($AK10:$AL10="T")*6+($AK10:$AL10="D")*12+($AK10:$AL10="N")*12+($AK10:$AL10="NT")*6+($AK10:$AL10="C")*10+($AK10:$AL10="A")*8+($AK10:$AL10="J")*5+($AK10:$AL10="CEP")*4+($AK10:$AL10="CP")*6+($AK10:$AL10="CRO")*6+($AK10:$AL10="M+")*6+($AK10:$AL10="T+")*6+($AK10:$AL10="D+")*12+($AK10:$AL10="N+")*12+($AK10:$AL10="Dm+")*12+($AK10:$AL10="Dt+")*12+($AK10:$AL10="Tm-")*6+($AK10:$AL10="Mt-")*6)+SUMPRODUCT(($AN10:$AR10="M")*6+($AN10:$AR10="T")*6+($AN10:$AR10="D")*12+($AN10:$AR10="N")*12+($AN10:$AR10="NT")*6+($AN10:$AR10="C")*10+($AN10:$AR10="A")*8+($AN10:$AR10="J")*5+($AN10:$AR10="CEP")*4+($AN10:$AR10="CP")*6+($AN10:$AR10="CRO")*6+($AN10:$AR10="M+")*6+($AN10:$AR10="T+")*6+($AN10:$AR10="D+")*12+($AN10:$AR10="N+")*12+($AN10:$AR10="Dm+")*12+($AN10:$AR10="Dt+")*12+($AN10:$AR10="Tm-")*6+($AN10:$AR10="Mt-")*6)</f>
        <v/>
      </c>
      <c r="BC10" s="118">
        <f>BB10-MAX(0,IFERROR(INDEX(CADASTRO!$I$4:$I$80,MATCH($A10,CADASTRO!$A$4:$A$80,0)),$B10)-CONFIG!$B$50*(COUNTIF($AK10:$AL10,"AB")+COUNTIF($AK10:$AL10,"FE")+COUNTIF($AK10:$AL10,"LM")+COUNTIF($AN10:$AR10,"AB")+COUNTIF($AN10:$AR10,"FE")+COUNTIF($AN10:$AR10,"LM")))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ROUND(B10*4.29,0)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00" t="n"/>
      <c r="H11" s="100" t="n"/>
      <c r="I11" s="115" t="inlineStr">
        <is>
          <t>M</t>
        </is>
      </c>
      <c r="J11" s="115" t="inlineStr">
        <is>
          <t>M</t>
        </is>
      </c>
      <c r="K11" s="115" t="inlineStr">
        <is>
          <t>M</t>
        </is>
      </c>
      <c r="L11" s="115" t="inlineStr">
        <is>
          <t>M</t>
        </is>
      </c>
      <c r="M11" s="115" t="inlineStr">
        <is>
          <t>M</t>
        </is>
      </c>
      <c r="N11" s="125" t="inlineStr">
        <is>
          <t>N</t>
        </is>
      </c>
      <c r="O11" s="114" t="n"/>
      <c r="P11" s="115" t="inlineStr">
        <is>
          <t>M</t>
        </is>
      </c>
      <c r="Q11" s="115" t="inlineStr">
        <is>
          <t>M</t>
        </is>
      </c>
      <c r="R11" s="115" t="inlineStr">
        <is>
          <t>M</t>
        </is>
      </c>
      <c r="S11" s="115" t="inlineStr">
        <is>
          <t>M</t>
        </is>
      </c>
      <c r="T11" s="115" t="inlineStr">
        <is>
          <t>M</t>
        </is>
      </c>
      <c r="U11" s="125" t="inlineStr">
        <is>
          <t>N</t>
        </is>
      </c>
      <c r="V11" s="114" t="n"/>
      <c r="W11" s="115" t="inlineStr">
        <is>
          <t>M</t>
        </is>
      </c>
      <c r="X11" s="125" t="inlineStr">
        <is>
          <t>N</t>
        </is>
      </c>
      <c r="Y11" s="114" t="n"/>
      <c r="Z11" s="115" t="inlineStr">
        <is>
          <t>M</t>
        </is>
      </c>
      <c r="AA11" s="114" t="n"/>
      <c r="AB11" s="114" t="n"/>
      <c r="AC11" s="114" t="n"/>
      <c r="AD11" s="115" t="inlineStr">
        <is>
          <t>M</t>
        </is>
      </c>
      <c r="AE11" s="115" t="inlineStr">
        <is>
          <t>M</t>
        </is>
      </c>
      <c r="AF11" s="115" t="inlineStr">
        <is>
          <t>M</t>
        </is>
      </c>
      <c r="AG11" s="115" t="inlineStr">
        <is>
          <t>M</t>
        </is>
      </c>
      <c r="AH11" s="115" t="inlineStr">
        <is>
          <t>M</t>
        </is>
      </c>
      <c r="AI11" s="125" t="inlineStr">
        <is>
          <t>N</t>
        </is>
      </c>
      <c r="AJ11" s="114" t="n"/>
      <c r="AK11" s="115" t="inlineStr">
        <is>
          <t>M</t>
        </is>
      </c>
      <c r="AL11" s="115" t="inlineStr">
        <is>
          <t>M</t>
        </is>
      </c>
      <c r="AM11" s="100" t="n"/>
      <c r="AN11" s="136">
        <f>IFERROR(INDEX(JUL!I$8:I$73,MATCH($A11,JUL!$A$8:$A$73,0))&amp;"","")</f>
        <v/>
      </c>
      <c r="AO11" s="136">
        <f>IFERROR(INDEX(JUL!J$8:J$73,MATCH($A11,JUL!$A$8:$A$73,0))&amp;"","")</f>
        <v/>
      </c>
      <c r="AP11" s="136">
        <f>IFERROR(INDEX(JUL!K$8:K$73,MATCH($A11,JUL!$A$8:$A$73,0))&amp;"","")</f>
        <v/>
      </c>
      <c r="AQ11" s="116">
        <f>IFERROR(INDEX(JUL!L$8:L$73,MATCH($A11,JUL!$A$8:$A$73,0))&amp;"","")</f>
        <v/>
      </c>
      <c r="AR11" s="116">
        <f>IFERROR(INDEX(JUL!M$8:M$73,MATCH($A11,JUL!$A$8:$A$73,0))&amp;"","")</f>
        <v/>
      </c>
      <c r="AS11" s="100" t="n"/>
      <c r="AT11" s="117">
        <f>SUMPRODUCT(($I11:$O11="M")*6+($I11:$O11="T")*6+($I11:$O11="D")*12+($I11:$O11="N")*12+($I11:$O11="NT")*6+($I11:$O11="C")*10+($I11:$O11="A")*8+($I11:$O11="J")*5+($I11:$O11="CEP")*4+($I11:$O11="CP")*6+($I11:$O11="CRO")*6+($I11:$O11="M+")*6+($I11:$O11="T+")*6+($I11:$O11="D+")*12+($I11:$O11="N+")*12+($I11:$O11="Dm+")*12+($I11:$O11="Dt+")*12+($I11:$O11="Tm-")*6+($I11:$O11="Mt-")*6)</f>
        <v/>
      </c>
      <c r="AU11" s="118">
        <f>AT11-MAX(0,IFERROR(INDEX(CADASTRO!$I$4:$I$80,MATCH($A11,CADASTRO!$A$4:$A$80,0)),$B11)-CONFIG!$B$50*(COUNTIF($I11:$O11,"AB")+COUNTIF($I11:$O11,"FE")+COUNTIF($I11:$O11,"LM")))</f>
        <v/>
      </c>
      <c r="AV11" s="117">
        <f>SUMPRODUCT(($P11:$V11="M")*6+($P11:$V11="T")*6+($P11:$V11="D")*12+($P11:$V11="N")*12+($P11:$V11="NT")*6+($P11:$V11="C")*10+($P11:$V11="A")*8+($P11:$V11="J")*5+($P11:$V11="CEP")*4+($P11:$V11="CP")*6+($P11:$V11="CRO")*6+($P11:$V11="M+")*6+($P11:$V11="T+")*6+($P11:$V11="D+")*12+($P11:$V11="N+")*12+($P11:$V11="Dm+")*12+($P11:$V11="Dt+")*12+($P11:$V11="Tm-")*6+($P11:$V11="Mt-")*6)</f>
        <v/>
      </c>
      <c r="AW11" s="118">
        <f>AV11-MAX(0,IFERROR(INDEX(CADASTRO!$I$4:$I$80,MATCH($A11,CADASTRO!$A$4:$A$80,0)),$B11)-CONFIG!$B$50*(COUNTIF($P11:$V11,"AB")+COUNTIF($P11:$V11,"FE")+COUNTIF($P11:$V11,"LM")))</f>
        <v/>
      </c>
      <c r="AX11" s="117">
        <f>SUMPRODUCT(($W11:$AC11="M")*6+($W11:$AC11="T")*6+($W11:$AC11="D")*12+($W11:$AC11="N")*12+($W11:$AC11="NT")*6+($W11:$AC11="C")*10+($W11:$AC11="A")*8+($W11:$AC11="J")*5+($W11:$AC11="CEP")*4+($W11:$AC11="CP")*6+($W11:$AC11="CRO")*6+($W11:$AC11="M+")*6+($W11:$AC11="T+")*6+($W11:$AC11="D+")*12+($W11:$AC11="N+")*12+($W11:$AC11="Dm+")*12+($W11:$AC11="Dt+")*12+($W11:$AC11="Tm-")*6+($W11:$AC11="Mt-")*6)</f>
        <v/>
      </c>
      <c r="AY11" s="118">
        <f>AX11-MAX(0,IFERROR(INDEX(CADASTRO!$I$4:$I$80,MATCH($A11,CADASTRO!$A$4:$A$80,0)),$B11)-CONFIG!$B$50*(COUNTIF($W11:$AC11,"AB")+COUNTIF($W11:$AC11,"FE")+COUNTIF($W11:$AC11,"LM")))</f>
        <v/>
      </c>
      <c r="AZ11" s="117">
        <f>SUMPRODUCT(($AD11:$AJ11="M")*6+($AD11:$AJ11="T")*6+($AD11:$AJ11="D")*12+($AD11:$AJ11="N")*12+($AD11:$AJ11="NT")*6+($AD11:$AJ11="C")*10+($AD11:$AJ11="A")*8+($AD11:$AJ11="J")*5+($AD11:$AJ11="CEP")*4+($AD11:$AJ11="CP")*6+($AD11:$AJ11="CRO")*6+($AD11:$AJ11="M+")*6+($AD11:$AJ11="T+")*6+($AD11:$AJ11="D+")*12+($AD11:$AJ11="N+")*12+($AD11:$AJ11="Dm+")*12+($AD11:$AJ11="Dt+")*12+($AD11:$AJ11="Tm-")*6+($AD11:$AJ11="Mt-")*6)</f>
        <v/>
      </c>
      <c r="BA11" s="118">
        <f>AZ11-MAX(0,IFERROR(INDEX(CADASTRO!$I$4:$I$80,MATCH($A11,CADASTRO!$A$4:$A$80,0)),$B11)-CONFIG!$B$50*(COUNTIF($AD11:$AJ11,"AB")+COUNTIF($AD11:$AJ11,"FE")+COUNTIF($AD11:$AJ11,"LM")))</f>
        <v/>
      </c>
      <c r="BB11" s="117">
        <f>SUMPRODUCT(($AK11:$AL11="M")*6+($AK11:$AL11="T")*6+($AK11:$AL11="D")*12+($AK11:$AL11="N")*12+($AK11:$AL11="NT")*6+($AK11:$AL11="C")*10+($AK11:$AL11="A")*8+($AK11:$AL11="J")*5+($AK11:$AL11="CEP")*4+($AK11:$AL11="CP")*6+($AK11:$AL11="CRO")*6+($AK11:$AL11="M+")*6+($AK11:$AL11="T+")*6+($AK11:$AL11="D+")*12+($AK11:$AL11="N+")*12+($AK11:$AL11="Dm+")*12+($AK11:$AL11="Dt+")*12+($AK11:$AL11="Tm-")*6+($AK11:$AL11="Mt-")*6)+SUMPRODUCT(($AN11:$AR11="M")*6+($AN11:$AR11="T")*6+($AN11:$AR11="D")*12+($AN11:$AR11="N")*12+($AN11:$AR11="NT")*6+($AN11:$AR11="C")*10+($AN11:$AR11="A")*8+($AN11:$AR11="J")*5+($AN11:$AR11="CEP")*4+($AN11:$AR11="CP")*6+($AN11:$AR11="CRO")*6+($AN11:$AR11="M+")*6+($AN11:$AR11="T+")*6+($AN11:$AR11="D+")*12+($AN11:$AR11="N+")*12+($AN11:$AR11="Dm+")*12+($AN11:$AR11="Dt+")*12+($AN11:$AR11="Tm-")*6+($AN11:$AR11="Mt-")*6)</f>
        <v/>
      </c>
      <c r="BC11" s="118">
        <f>BB11-MAX(0,IFERROR(INDEX(CADASTRO!$I$4:$I$80,MATCH($A11,CADASTRO!$A$4:$A$80,0)),$B11)-CONFIG!$B$50*(COUNTIF($AK11:$AL11,"AB")+COUNTIF($AK11:$AL11,"FE")+COUNTIF($AK11:$AL11,"LM")+COUNTIF($AN11:$AR11,"AB")+COUNTIF($AN11:$AR11,"FE")+COUNTIF($AN11:$AR11,"LM")))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ROUND(B11*4.29,0)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00" t="n"/>
      <c r="H12" s="100" t="n"/>
      <c r="I12" s="124" t="inlineStr">
        <is>
          <t>D</t>
        </is>
      </c>
      <c r="J12" s="124" t="inlineStr">
        <is>
          <t>D</t>
        </is>
      </c>
      <c r="K12" s="124" t="inlineStr">
        <is>
          <t>D</t>
        </is>
      </c>
      <c r="L12" s="114" t="n"/>
      <c r="M12" s="114" t="n"/>
      <c r="N12" s="114" t="n"/>
      <c r="O12" s="114" t="n"/>
      <c r="P12" s="115" t="inlineStr">
        <is>
          <t>M</t>
        </is>
      </c>
      <c r="Q12" s="115" t="inlineStr">
        <is>
          <t>M</t>
        </is>
      </c>
      <c r="R12" s="115" t="inlineStr">
        <is>
          <t>M</t>
        </is>
      </c>
      <c r="S12" s="115" t="inlineStr">
        <is>
          <t>M</t>
        </is>
      </c>
      <c r="T12" s="115" t="inlineStr">
        <is>
          <t>M</t>
        </is>
      </c>
      <c r="U12" s="114" t="n"/>
      <c r="V12" s="124" t="inlineStr">
        <is>
          <t>D</t>
        </is>
      </c>
      <c r="W12" s="115" t="inlineStr">
        <is>
          <t>M</t>
        </is>
      </c>
      <c r="X12" s="115" t="inlineStr">
        <is>
          <t>M</t>
        </is>
      </c>
      <c r="Y12" s="115" t="inlineStr">
        <is>
          <t>M</t>
        </is>
      </c>
      <c r="Z12" s="124" t="inlineStr">
        <is>
          <t>D</t>
        </is>
      </c>
      <c r="AA12" s="127" t="inlineStr">
        <is>
          <t>Mt-</t>
        </is>
      </c>
      <c r="AB12" s="114" t="n"/>
      <c r="AC12" s="114" t="n"/>
      <c r="AD12" s="115" t="inlineStr">
        <is>
          <t>M</t>
        </is>
      </c>
      <c r="AE12" s="115" t="inlineStr">
        <is>
          <t>M</t>
        </is>
      </c>
      <c r="AF12" s="115" t="inlineStr">
        <is>
          <t>M</t>
        </is>
      </c>
      <c r="AG12" s="115" t="inlineStr">
        <is>
          <t>M</t>
        </is>
      </c>
      <c r="AH12" s="123" t="inlineStr">
        <is>
          <t>M+</t>
        </is>
      </c>
      <c r="AI12" s="114" t="n"/>
      <c r="AJ12" s="124" t="inlineStr">
        <is>
          <t>D</t>
        </is>
      </c>
      <c r="AK12" s="115" t="inlineStr">
        <is>
          <t>M</t>
        </is>
      </c>
      <c r="AL12" s="124" t="inlineStr">
        <is>
          <t>D</t>
        </is>
      </c>
      <c r="AM12" s="100" t="n"/>
      <c r="AN12" s="136">
        <f>IFERROR(INDEX(JUL!I$8:I$73,MATCH($A12,JUL!$A$8:$A$73,0))&amp;"","")</f>
        <v/>
      </c>
      <c r="AO12" s="136">
        <f>IFERROR(INDEX(JUL!J$8:J$73,MATCH($A12,JUL!$A$8:$A$73,0))&amp;"","")</f>
        <v/>
      </c>
      <c r="AP12" s="136">
        <f>IFERROR(INDEX(JUL!K$8:K$73,MATCH($A12,JUL!$A$8:$A$73,0))&amp;"","")</f>
        <v/>
      </c>
      <c r="AQ12" s="116">
        <f>IFERROR(INDEX(JUL!L$8:L$73,MATCH($A12,JUL!$A$8:$A$73,0))&amp;"","")</f>
        <v/>
      </c>
      <c r="AR12" s="116">
        <f>IFERROR(INDEX(JUL!M$8:M$73,MATCH($A12,JUL!$A$8:$A$73,0))&amp;"","")</f>
        <v/>
      </c>
      <c r="AS12" s="100" t="n"/>
      <c r="AT12" s="117">
        <f>SUMPRODUCT(($I12:$O12="M")*6+($I12:$O12="T")*6+($I12:$O12="D")*12+($I12:$O12="N")*12+($I12:$O12="NT")*6+($I12:$O12="C")*10+($I12:$O12="A")*8+($I12:$O12="J")*5+($I12:$O12="CEP")*4+($I12:$O12="CP")*6+($I12:$O12="CRO")*6+($I12:$O12="M+")*6+($I12:$O12="T+")*6+($I12:$O12="D+")*12+($I12:$O12="N+")*12+($I12:$O12="Dm+")*12+($I12:$O12="Dt+")*12+($I12:$O12="Tm-")*6+($I12:$O12="Mt-")*6)</f>
        <v/>
      </c>
      <c r="AU12" s="118">
        <f>AT12-MAX(0,IFERROR(INDEX(CADASTRO!$I$4:$I$80,MATCH($A12,CADASTRO!$A$4:$A$80,0)),$B12)-CONFIG!$B$50*(COUNTIF($I12:$O12,"AB")+COUNTIF($I12:$O12,"FE")+COUNTIF($I12:$O12,"LM")))</f>
        <v/>
      </c>
      <c r="AV12" s="117">
        <f>SUMPRODUCT(($P12:$V12="M")*6+($P12:$V12="T")*6+($P12:$V12="D")*12+($P12:$V12="N")*12+($P12:$V12="NT")*6+($P12:$V12="C")*10+($P12:$V12="A")*8+($P12:$V12="J")*5+($P12:$V12="CEP")*4+($P12:$V12="CP")*6+($P12:$V12="CRO")*6+($P12:$V12="M+")*6+($P12:$V12="T+")*6+($P12:$V12="D+")*12+($P12:$V12="N+")*12+($P12:$V12="Dm+")*12+($P12:$V12="Dt+")*12+($P12:$V12="Tm-")*6+($P12:$V12="Mt-")*6)</f>
        <v/>
      </c>
      <c r="AW12" s="118">
        <f>AV12-MAX(0,IFERROR(INDEX(CADASTRO!$I$4:$I$80,MATCH($A12,CADASTRO!$A$4:$A$80,0)),$B12)-CONFIG!$B$50*(COUNTIF($P12:$V12,"AB")+COUNTIF($P12:$V12,"FE")+COUNTIF($P12:$V12,"LM")))</f>
        <v/>
      </c>
      <c r="AX12" s="117">
        <f>SUMPRODUCT(($W12:$AC12="M")*6+($W12:$AC12="T")*6+($W12:$AC12="D")*12+($W12:$AC12="N")*12+($W12:$AC12="NT")*6+($W12:$AC12="C")*10+($W12:$AC12="A")*8+($W12:$AC12="J")*5+($W12:$AC12="CEP")*4+($W12:$AC12="CP")*6+($W12:$AC12="CRO")*6+($W12:$AC12="M+")*6+($W12:$AC12="T+")*6+($W12:$AC12="D+")*12+($W12:$AC12="N+")*12+($W12:$AC12="Dm+")*12+($W12:$AC12="Dt+")*12+($W12:$AC12="Tm-")*6+($W12:$AC12="Mt-")*6)</f>
        <v/>
      </c>
      <c r="AY12" s="118">
        <f>AX12-MAX(0,IFERROR(INDEX(CADASTRO!$I$4:$I$80,MATCH($A12,CADASTRO!$A$4:$A$80,0)),$B12)-CONFIG!$B$50*(COUNTIF($W12:$AC12,"AB")+COUNTIF($W12:$AC12,"FE")+COUNTIF($W12:$AC12,"LM")))</f>
        <v/>
      </c>
      <c r="AZ12" s="117">
        <f>SUMPRODUCT(($AD12:$AJ12="M")*6+($AD12:$AJ12="T")*6+($AD12:$AJ12="D")*12+($AD12:$AJ12="N")*12+($AD12:$AJ12="NT")*6+($AD12:$AJ12="C")*10+($AD12:$AJ12="A")*8+($AD12:$AJ12="J")*5+($AD12:$AJ12="CEP")*4+($AD12:$AJ12="CP")*6+($AD12:$AJ12="CRO")*6+($AD12:$AJ12="M+")*6+($AD12:$AJ12="T+")*6+($AD12:$AJ12="D+")*12+($AD12:$AJ12="N+")*12+($AD12:$AJ12="Dm+")*12+($AD12:$AJ12="Dt+")*12+($AD12:$AJ12="Tm-")*6+($AD12:$AJ12="Mt-")*6)</f>
        <v/>
      </c>
      <c r="BA12" s="118">
        <f>AZ12-MAX(0,IFERROR(INDEX(CADASTRO!$I$4:$I$80,MATCH($A12,CADASTRO!$A$4:$A$80,0)),$B12)-CONFIG!$B$50*(COUNTIF($AD12:$AJ12,"AB")+COUNTIF($AD12:$AJ12,"FE")+COUNTIF($AD12:$AJ12,"LM")))</f>
        <v/>
      </c>
      <c r="BB12" s="117">
        <f>SUMPRODUCT(($AK12:$AL12="M")*6+($AK12:$AL12="T")*6+($AK12:$AL12="D")*12+($AK12:$AL12="N")*12+($AK12:$AL12="NT")*6+($AK12:$AL12="C")*10+($AK12:$AL12="A")*8+($AK12:$AL12="J")*5+($AK12:$AL12="CEP")*4+($AK12:$AL12="CP")*6+($AK12:$AL12="CRO")*6+($AK12:$AL12="M+")*6+($AK12:$AL12="T+")*6+($AK12:$AL12="D+")*12+($AK12:$AL12="N+")*12+($AK12:$AL12="Dm+")*12+($AK12:$AL12="Dt+")*12+($AK12:$AL12="Tm-")*6+($AK12:$AL12="Mt-")*6)+SUMPRODUCT(($AN12:$AR12="M")*6+($AN12:$AR12="T")*6+($AN12:$AR12="D")*12+($AN12:$AR12="N")*12+($AN12:$AR12="NT")*6+($AN12:$AR12="C")*10+($AN12:$AR12="A")*8+($AN12:$AR12="J")*5+($AN12:$AR12="CEP")*4+($AN12:$AR12="CP")*6+($AN12:$AR12="CRO")*6+($AN12:$AR12="M+")*6+($AN12:$AR12="T+")*6+($AN12:$AR12="D+")*12+($AN12:$AR12="N+")*12+($AN12:$AR12="Dm+")*12+($AN12:$AR12="Dt+")*12+($AN12:$AR12="Tm-")*6+($AN12:$AR12="Mt-")*6)</f>
        <v/>
      </c>
      <c r="BC12" s="118">
        <f>BB12-MAX(0,IFERROR(INDEX(CADASTRO!$I$4:$I$80,MATCH($A12,CADASTRO!$A$4:$A$80,0)),$B12)-CONFIG!$B$50*(COUNTIF($AK12:$AL12,"AB")+COUNTIF($AK12:$AL12,"FE")+COUNTIF($AK12:$AL12,"LM")+COUNTIF($AN12:$AR12,"AB")+COUNTIF($AN12:$AR12,"FE")+COUNTIF($AN12:$AR12,"LM")))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ROUND(B12*4.29,0)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00" t="n"/>
      <c r="H13" s="100" t="n"/>
      <c r="I13" s="115" t="inlineStr">
        <is>
          <t>M</t>
        </is>
      </c>
      <c r="J13" s="115" t="inlineStr">
        <is>
          <t>M</t>
        </is>
      </c>
      <c r="K13" s="115" t="inlineStr">
        <is>
          <t>M</t>
        </is>
      </c>
      <c r="L13" s="115" t="inlineStr">
        <is>
          <t>M</t>
        </is>
      </c>
      <c r="M13" s="115" t="inlineStr">
        <is>
          <t>M</t>
        </is>
      </c>
      <c r="N13" s="125" t="inlineStr">
        <is>
          <t>N</t>
        </is>
      </c>
      <c r="O13" s="114" t="n"/>
      <c r="P13" s="115" t="inlineStr">
        <is>
          <t>M</t>
        </is>
      </c>
      <c r="Q13" s="115" t="inlineStr">
        <is>
          <t>M</t>
        </is>
      </c>
      <c r="R13" s="115" t="inlineStr">
        <is>
          <t>M</t>
        </is>
      </c>
      <c r="S13" s="115" t="inlineStr">
        <is>
          <t>M</t>
        </is>
      </c>
      <c r="T13" s="115" t="inlineStr">
        <is>
          <t>M</t>
        </is>
      </c>
      <c r="U13" s="114" t="n"/>
      <c r="V13" s="114" t="n"/>
      <c r="W13" s="115" t="inlineStr">
        <is>
          <t>M</t>
        </is>
      </c>
      <c r="X13" s="115" t="inlineStr">
        <is>
          <t>M</t>
        </is>
      </c>
      <c r="Y13" s="115" t="inlineStr">
        <is>
          <t>M</t>
        </is>
      </c>
      <c r="Z13" s="115" t="inlineStr">
        <is>
          <t>M</t>
        </is>
      </c>
      <c r="AA13" s="115" t="inlineStr">
        <is>
          <t>M</t>
        </is>
      </c>
      <c r="AB13" s="125" t="inlineStr">
        <is>
          <t>N</t>
        </is>
      </c>
      <c r="AC13" s="114" t="n"/>
      <c r="AD13" s="115" t="inlineStr">
        <is>
          <t>M</t>
        </is>
      </c>
      <c r="AE13" s="115" t="inlineStr">
        <is>
          <t>M</t>
        </is>
      </c>
      <c r="AF13" s="115" t="inlineStr">
        <is>
          <t>M</t>
        </is>
      </c>
      <c r="AG13" s="115" t="inlineStr">
        <is>
          <t>M</t>
        </is>
      </c>
      <c r="AH13" s="115" t="inlineStr">
        <is>
          <t>M</t>
        </is>
      </c>
      <c r="AI13" s="114" t="n"/>
      <c r="AJ13" s="114" t="n"/>
      <c r="AK13" s="115" t="inlineStr">
        <is>
          <t>M</t>
        </is>
      </c>
      <c r="AL13" s="115" t="inlineStr">
        <is>
          <t>M</t>
        </is>
      </c>
      <c r="AM13" s="100" t="n"/>
      <c r="AN13" s="136">
        <f>IFERROR(INDEX(JUL!I$8:I$73,MATCH($A13,JUL!$A$8:$A$73,0))&amp;"","")</f>
        <v/>
      </c>
      <c r="AO13" s="136">
        <f>IFERROR(INDEX(JUL!J$8:J$73,MATCH($A13,JUL!$A$8:$A$73,0))&amp;"","")</f>
        <v/>
      </c>
      <c r="AP13" s="136">
        <f>IFERROR(INDEX(JUL!K$8:K$73,MATCH($A13,JUL!$A$8:$A$73,0))&amp;"","")</f>
        <v/>
      </c>
      <c r="AQ13" s="116">
        <f>IFERROR(INDEX(JUL!L$8:L$73,MATCH($A13,JUL!$A$8:$A$73,0))&amp;"","")</f>
        <v/>
      </c>
      <c r="AR13" s="116">
        <f>IFERROR(INDEX(JUL!M$8:M$73,MATCH($A13,JUL!$A$8:$A$73,0))&amp;"","")</f>
        <v/>
      </c>
      <c r="AS13" s="100" t="n"/>
      <c r="AT13" s="117">
        <f>SUMPRODUCT(($I13:$O13="M")*6+($I13:$O13="T")*6+($I13:$O13="D")*12+($I13:$O13="N")*12+($I13:$O13="NT")*6+($I13:$O13="C")*10+($I13:$O13="A")*8+($I13:$O13="J")*5+($I13:$O13="CEP")*4+($I13:$O13="CP")*6+($I13:$O13="CRO")*6+($I13:$O13="M+")*6+($I13:$O13="T+")*6+($I13:$O13="D+")*12+($I13:$O13="N+")*12+($I13:$O13="Dm+")*12+($I13:$O13="Dt+")*12+($I13:$O13="Tm-")*6+($I13:$O13="Mt-")*6)</f>
        <v/>
      </c>
      <c r="AU13" s="118">
        <f>AT13-MAX(0,IFERROR(INDEX(CADASTRO!$I$4:$I$80,MATCH($A13,CADASTRO!$A$4:$A$80,0)),$B13)-CONFIG!$B$50*(COUNTIF($I13:$O13,"AB")+COUNTIF($I13:$O13,"FE")+COUNTIF($I13:$O13,"LM")))</f>
        <v/>
      </c>
      <c r="AV13" s="117">
        <f>SUMPRODUCT(($P13:$V13="M")*6+($P13:$V13="T")*6+($P13:$V13="D")*12+($P13:$V13="N")*12+($P13:$V13="NT")*6+($P13:$V13="C")*10+($P13:$V13="A")*8+($P13:$V13="J")*5+($P13:$V13="CEP")*4+($P13:$V13="CP")*6+($P13:$V13="CRO")*6+($P13:$V13="M+")*6+($P13:$V13="T+")*6+($P13:$V13="D+")*12+($P13:$V13="N+")*12+($P13:$V13="Dm+")*12+($P13:$V13="Dt+")*12+($P13:$V13="Tm-")*6+($P13:$V13="Mt-")*6)</f>
        <v/>
      </c>
      <c r="AW13" s="118">
        <f>AV13-MAX(0,IFERROR(INDEX(CADASTRO!$I$4:$I$80,MATCH($A13,CADASTRO!$A$4:$A$80,0)),$B13)-CONFIG!$B$50*(COUNTIF($P13:$V13,"AB")+COUNTIF($P13:$V13,"FE")+COUNTIF($P13:$V13,"LM")))</f>
        <v/>
      </c>
      <c r="AX13" s="117">
        <f>SUMPRODUCT(($W13:$AC13="M")*6+($W13:$AC13="T")*6+($W13:$AC13="D")*12+($W13:$AC13="N")*12+($W13:$AC13="NT")*6+($W13:$AC13="C")*10+($W13:$AC13="A")*8+($W13:$AC13="J")*5+($W13:$AC13="CEP")*4+($W13:$AC13="CP")*6+($W13:$AC13="CRO")*6+($W13:$AC13="M+")*6+($W13:$AC13="T+")*6+($W13:$AC13="D+")*12+($W13:$AC13="N+")*12+($W13:$AC13="Dm+")*12+($W13:$AC13="Dt+")*12+($W13:$AC13="Tm-")*6+($W13:$AC13="Mt-")*6)</f>
        <v/>
      </c>
      <c r="AY13" s="118">
        <f>AX13-MAX(0,IFERROR(INDEX(CADASTRO!$I$4:$I$80,MATCH($A13,CADASTRO!$A$4:$A$80,0)),$B13)-CONFIG!$B$50*(COUNTIF($W13:$AC13,"AB")+COUNTIF($W13:$AC13,"FE")+COUNTIF($W13:$AC13,"LM")))</f>
        <v/>
      </c>
      <c r="AZ13" s="117">
        <f>SUMPRODUCT(($AD13:$AJ13="M")*6+($AD13:$AJ13="T")*6+($AD13:$AJ13="D")*12+($AD13:$AJ13="N")*12+($AD13:$AJ13="NT")*6+($AD13:$AJ13="C")*10+($AD13:$AJ13="A")*8+($AD13:$AJ13="J")*5+($AD13:$AJ13="CEP")*4+($AD13:$AJ13="CP")*6+($AD13:$AJ13="CRO")*6+($AD13:$AJ13="M+")*6+($AD13:$AJ13="T+")*6+($AD13:$AJ13="D+")*12+($AD13:$AJ13="N+")*12+($AD13:$AJ13="Dm+")*12+($AD13:$AJ13="Dt+")*12+($AD13:$AJ13="Tm-")*6+($AD13:$AJ13="Mt-")*6)</f>
        <v/>
      </c>
      <c r="BA13" s="118">
        <f>AZ13-MAX(0,IFERROR(INDEX(CADASTRO!$I$4:$I$80,MATCH($A13,CADASTRO!$A$4:$A$80,0)),$B13)-CONFIG!$B$50*(COUNTIF($AD13:$AJ13,"AB")+COUNTIF($AD13:$AJ13,"FE")+COUNTIF($AD13:$AJ13,"LM")))</f>
        <v/>
      </c>
      <c r="BB13" s="117">
        <f>SUMPRODUCT(($AK13:$AL13="M")*6+($AK13:$AL13="T")*6+($AK13:$AL13="D")*12+($AK13:$AL13="N")*12+($AK13:$AL13="NT")*6+($AK13:$AL13="C")*10+($AK13:$AL13="A")*8+($AK13:$AL13="J")*5+($AK13:$AL13="CEP")*4+($AK13:$AL13="CP")*6+($AK13:$AL13="CRO")*6+($AK13:$AL13="M+")*6+($AK13:$AL13="T+")*6+($AK13:$AL13="D+")*12+($AK13:$AL13="N+")*12+($AK13:$AL13="Dm+")*12+($AK13:$AL13="Dt+")*12+($AK13:$AL13="Tm-")*6+($AK13:$AL13="Mt-")*6)+SUMPRODUCT(($AN13:$AR13="M")*6+($AN13:$AR13="T")*6+($AN13:$AR13="D")*12+($AN13:$AR13="N")*12+($AN13:$AR13="NT")*6+($AN13:$AR13="C")*10+($AN13:$AR13="A")*8+($AN13:$AR13="J")*5+($AN13:$AR13="CEP")*4+($AN13:$AR13="CP")*6+($AN13:$AR13="CRO")*6+($AN13:$AR13="M+")*6+($AN13:$AR13="T+")*6+($AN13:$AR13="D+")*12+($AN13:$AR13="N+")*12+($AN13:$AR13="Dm+")*12+($AN13:$AR13="Dt+")*12+($AN13:$AR13="Tm-")*6+($AN13:$AR13="Mt-")*6)</f>
        <v/>
      </c>
      <c r="BC13" s="118">
        <f>BB13-MAX(0,IFERROR(INDEX(CADASTRO!$I$4:$I$80,MATCH($A13,CADASTRO!$A$4:$A$80,0)),$B13)-CONFIG!$B$50*(COUNTIF($AK13:$AL13,"AB")+COUNTIF($AK13:$AL13,"FE")+COUNTIF($AK13:$AL13,"LM")+COUNTIF($AN13:$AR13,"AB")+COUNTIF($AN13:$AR13,"FE")+COUNTIF($AN13:$AR13,"LM")))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ROUND(B13*4.29,0)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00" t="n"/>
      <c r="H14" s="100" t="n"/>
      <c r="I14" s="115" t="inlineStr">
        <is>
          <t>M</t>
        </is>
      </c>
      <c r="J14" s="115" t="inlineStr">
        <is>
          <t>M</t>
        </is>
      </c>
      <c r="K14" s="115" t="inlineStr">
        <is>
          <t>M</t>
        </is>
      </c>
      <c r="L14" s="115" t="inlineStr">
        <is>
          <t>M</t>
        </is>
      </c>
      <c r="M14" s="114" t="n"/>
      <c r="N14" s="124" t="inlineStr">
        <is>
          <t>D</t>
        </is>
      </c>
      <c r="O14" s="114" t="n"/>
      <c r="P14" s="115" t="inlineStr">
        <is>
          <t>M</t>
        </is>
      </c>
      <c r="Q14" s="115" t="inlineStr">
        <is>
          <t>M</t>
        </is>
      </c>
      <c r="R14" s="115" t="inlineStr">
        <is>
          <t>M</t>
        </is>
      </c>
      <c r="S14" s="115" t="inlineStr">
        <is>
          <t>M</t>
        </is>
      </c>
      <c r="T14" s="123" t="inlineStr">
        <is>
          <t>M+</t>
        </is>
      </c>
      <c r="U14" s="124" t="inlineStr">
        <is>
          <t>D</t>
        </is>
      </c>
      <c r="V14" s="114" t="n"/>
      <c r="W14" s="126" t="inlineStr">
        <is>
          <t>T</t>
        </is>
      </c>
      <c r="X14" s="115" t="inlineStr">
        <is>
          <t>M</t>
        </is>
      </c>
      <c r="Y14" s="124" t="inlineStr">
        <is>
          <t>D</t>
        </is>
      </c>
      <c r="Z14" s="115" t="inlineStr">
        <is>
          <t>M</t>
        </is>
      </c>
      <c r="AA14" s="115" t="inlineStr">
        <is>
          <t>M</t>
        </is>
      </c>
      <c r="AB14" s="114" t="n"/>
      <c r="AC14" s="114" t="n"/>
      <c r="AD14" s="115" t="inlineStr">
        <is>
          <t>M</t>
        </is>
      </c>
      <c r="AE14" s="115" t="inlineStr">
        <is>
          <t>M</t>
        </is>
      </c>
      <c r="AF14" s="115" t="inlineStr">
        <is>
          <t>M</t>
        </is>
      </c>
      <c r="AG14" s="127" t="inlineStr">
        <is>
          <t>T-</t>
        </is>
      </c>
      <c r="AH14" s="124" t="inlineStr">
        <is>
          <t>D</t>
        </is>
      </c>
      <c r="AI14" s="114" t="n"/>
      <c r="AJ14" s="114" t="n"/>
      <c r="AK14" s="114" t="n"/>
      <c r="AL14" s="114" t="n"/>
      <c r="AM14" s="100" t="n"/>
      <c r="AN14" s="136">
        <f>IFERROR(INDEX(JUL!I$8:I$73,MATCH($A14,JUL!$A$8:$A$73,0))&amp;"","")</f>
        <v/>
      </c>
      <c r="AO14" s="136">
        <f>IFERROR(INDEX(JUL!J$8:J$73,MATCH($A14,JUL!$A$8:$A$73,0))&amp;"","")</f>
        <v/>
      </c>
      <c r="AP14" s="136">
        <f>IFERROR(INDEX(JUL!K$8:K$73,MATCH($A14,JUL!$A$8:$A$73,0))&amp;"","")</f>
        <v/>
      </c>
      <c r="AQ14" s="116">
        <f>IFERROR(INDEX(JUL!L$8:L$73,MATCH($A14,JUL!$A$8:$A$73,0))&amp;"","")</f>
        <v/>
      </c>
      <c r="AR14" s="116">
        <f>IFERROR(INDEX(JUL!M$8:M$73,MATCH($A14,JUL!$A$8:$A$73,0))&amp;"","")</f>
        <v/>
      </c>
      <c r="AS14" s="100" t="n"/>
      <c r="AT14" s="117">
        <f>SUMPRODUCT(($I14:$O14="M")*6+($I14:$O14="T")*6+($I14:$O14="D")*12+($I14:$O14="N")*12+($I14:$O14="NT")*6+($I14:$O14="C")*10+($I14:$O14="A")*8+($I14:$O14="J")*5+($I14:$O14="CEP")*4+($I14:$O14="CP")*6+($I14:$O14="CRO")*6+($I14:$O14="M+")*6+($I14:$O14="T+")*6+($I14:$O14="D+")*12+($I14:$O14="N+")*12+($I14:$O14="Dm+")*12+($I14:$O14="Dt+")*12+($I14:$O14="Tm-")*6+($I14:$O14="Mt-")*6)</f>
        <v/>
      </c>
      <c r="AU14" s="118">
        <f>AT14-MAX(0,IFERROR(INDEX(CADASTRO!$I$4:$I$80,MATCH($A14,CADASTRO!$A$4:$A$80,0)),$B14)-CONFIG!$B$50*(COUNTIF($I14:$O14,"AB")+COUNTIF($I14:$O14,"FE")+COUNTIF($I14:$O14,"LM")))</f>
        <v/>
      </c>
      <c r="AV14" s="117">
        <f>SUMPRODUCT(($P14:$V14="M")*6+($P14:$V14="T")*6+($P14:$V14="D")*12+($P14:$V14="N")*12+($P14:$V14="NT")*6+($P14:$V14="C")*10+($P14:$V14="A")*8+($P14:$V14="J")*5+($P14:$V14="CEP")*4+($P14:$V14="CP")*6+($P14:$V14="CRO")*6+($P14:$V14="M+")*6+($P14:$V14="T+")*6+($P14:$V14="D+")*12+($P14:$V14="N+")*12+($P14:$V14="Dm+")*12+($P14:$V14="Dt+")*12+($P14:$V14="Tm-")*6+($P14:$V14="Mt-")*6)</f>
        <v/>
      </c>
      <c r="AW14" s="118">
        <f>AV14-MAX(0,IFERROR(INDEX(CADASTRO!$I$4:$I$80,MATCH($A14,CADASTRO!$A$4:$A$80,0)),$B14)-CONFIG!$B$50*(COUNTIF($P14:$V14,"AB")+COUNTIF($P14:$V14,"FE")+COUNTIF($P14:$V14,"LM")))</f>
        <v/>
      </c>
      <c r="AX14" s="117">
        <f>SUMPRODUCT(($W14:$AC14="M")*6+($W14:$AC14="T")*6+($W14:$AC14="D")*12+($W14:$AC14="N")*12+($W14:$AC14="NT")*6+($W14:$AC14="C")*10+($W14:$AC14="A")*8+($W14:$AC14="J")*5+($W14:$AC14="CEP")*4+($W14:$AC14="CP")*6+($W14:$AC14="CRO")*6+($W14:$AC14="M+")*6+($W14:$AC14="T+")*6+($W14:$AC14="D+")*12+($W14:$AC14="N+")*12+($W14:$AC14="Dm+")*12+($W14:$AC14="Dt+")*12+($W14:$AC14="Tm-")*6+($W14:$AC14="Mt-")*6)</f>
        <v/>
      </c>
      <c r="AY14" s="118">
        <f>AX14-MAX(0,IFERROR(INDEX(CADASTRO!$I$4:$I$80,MATCH($A14,CADASTRO!$A$4:$A$80,0)),$B14)-CONFIG!$B$50*(COUNTIF($W14:$AC14,"AB")+COUNTIF($W14:$AC14,"FE")+COUNTIF($W14:$AC14,"LM")))</f>
        <v/>
      </c>
      <c r="AZ14" s="117">
        <f>SUMPRODUCT(($AD14:$AJ14="M")*6+($AD14:$AJ14="T")*6+($AD14:$AJ14="D")*12+($AD14:$AJ14="N")*12+($AD14:$AJ14="NT")*6+($AD14:$AJ14="C")*10+($AD14:$AJ14="A")*8+($AD14:$AJ14="J")*5+($AD14:$AJ14="CEP")*4+($AD14:$AJ14="CP")*6+($AD14:$AJ14="CRO")*6+($AD14:$AJ14="M+")*6+($AD14:$AJ14="T+")*6+($AD14:$AJ14="D+")*12+($AD14:$AJ14="N+")*12+($AD14:$AJ14="Dm+")*12+($AD14:$AJ14="Dt+")*12+($AD14:$AJ14="Tm-")*6+($AD14:$AJ14="Mt-")*6)</f>
        <v/>
      </c>
      <c r="BA14" s="118">
        <f>AZ14-MAX(0,IFERROR(INDEX(CADASTRO!$I$4:$I$80,MATCH($A14,CADASTRO!$A$4:$A$80,0)),$B14)-CONFIG!$B$50*(COUNTIF($AD14:$AJ14,"AB")+COUNTIF($AD14:$AJ14,"FE")+COUNTIF($AD14:$AJ14,"LM")))</f>
        <v/>
      </c>
      <c r="BB14" s="117">
        <f>SUMPRODUCT(($AK14:$AL14="M")*6+($AK14:$AL14="T")*6+($AK14:$AL14="D")*12+($AK14:$AL14="N")*12+($AK14:$AL14="NT")*6+($AK14:$AL14="C")*10+($AK14:$AL14="A")*8+($AK14:$AL14="J")*5+($AK14:$AL14="CEP")*4+($AK14:$AL14="CP")*6+($AK14:$AL14="CRO")*6+($AK14:$AL14="M+")*6+($AK14:$AL14="T+")*6+($AK14:$AL14="D+")*12+($AK14:$AL14="N+")*12+($AK14:$AL14="Dm+")*12+($AK14:$AL14="Dt+")*12+($AK14:$AL14="Tm-")*6+($AK14:$AL14="Mt-")*6)+SUMPRODUCT(($AN14:$AR14="M")*6+($AN14:$AR14="T")*6+($AN14:$AR14="D")*12+($AN14:$AR14="N")*12+($AN14:$AR14="NT")*6+($AN14:$AR14="C")*10+($AN14:$AR14="A")*8+($AN14:$AR14="J")*5+($AN14:$AR14="CEP")*4+($AN14:$AR14="CP")*6+($AN14:$AR14="CRO")*6+($AN14:$AR14="M+")*6+($AN14:$AR14="T+")*6+($AN14:$AR14="D+")*12+($AN14:$AR14="N+")*12+($AN14:$AR14="Dm+")*12+($AN14:$AR14="Dt+")*12+($AN14:$AR14="Tm-")*6+($AN14:$AR14="Mt-")*6)</f>
        <v/>
      </c>
      <c r="BC14" s="118">
        <f>BB14-MAX(0,IFERROR(INDEX(CADASTRO!$I$4:$I$80,MATCH($A14,CADASTRO!$A$4:$A$80,0)),$B14)-CONFIG!$B$50*(COUNTIF($AK14:$AL14,"AB")+COUNTIF($AK14:$AL14,"FE")+COUNTIF($AK14:$AL14,"LM")+COUNTIF($AN14:$AR14,"AB")+COUNTIF($AN14:$AR14,"FE")+COUNTIF($AN14:$AR14,"LM")))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ROUND(B14*4.29,0)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00" t="n"/>
      <c r="H15" s="100" t="n"/>
      <c r="I15" s="115" t="inlineStr">
        <is>
          <t>M</t>
        </is>
      </c>
      <c r="J15" s="115" t="inlineStr">
        <is>
          <t>M</t>
        </is>
      </c>
      <c r="K15" s="124" t="inlineStr">
        <is>
          <t>D</t>
        </is>
      </c>
      <c r="L15" s="115" t="inlineStr">
        <is>
          <t>M</t>
        </is>
      </c>
      <c r="M15" s="115" t="inlineStr">
        <is>
          <t>M</t>
        </is>
      </c>
      <c r="N15" s="114" t="n"/>
      <c r="O15" s="114" t="n"/>
      <c r="P15" s="115" t="inlineStr">
        <is>
          <t>M</t>
        </is>
      </c>
      <c r="Q15" s="115" t="inlineStr">
        <is>
          <t>M</t>
        </is>
      </c>
      <c r="R15" s="115" t="inlineStr">
        <is>
          <t>M</t>
        </is>
      </c>
      <c r="S15" s="115" t="inlineStr">
        <is>
          <t>M</t>
        </is>
      </c>
      <c r="T15" s="115" t="inlineStr">
        <is>
          <t>M</t>
        </is>
      </c>
      <c r="U15" s="125" t="inlineStr">
        <is>
          <t>N</t>
        </is>
      </c>
      <c r="V15" s="114" t="n"/>
      <c r="W15" s="115" t="inlineStr">
        <is>
          <t>M</t>
        </is>
      </c>
      <c r="X15" s="115" t="inlineStr">
        <is>
          <t>M</t>
        </is>
      </c>
      <c r="Y15" s="115" t="inlineStr">
        <is>
          <t>M</t>
        </is>
      </c>
      <c r="Z15" s="115" t="inlineStr">
        <is>
          <t>M</t>
        </is>
      </c>
      <c r="AA15" s="124" t="inlineStr">
        <is>
          <t>D</t>
        </is>
      </c>
      <c r="AB15" s="114" t="n"/>
      <c r="AC15" s="114" t="n"/>
      <c r="AD15" s="115" t="inlineStr">
        <is>
          <t>M</t>
        </is>
      </c>
      <c r="AE15" s="115" t="inlineStr">
        <is>
          <t>M</t>
        </is>
      </c>
      <c r="AF15" s="115" t="inlineStr">
        <is>
          <t>M</t>
        </is>
      </c>
      <c r="AG15" s="115" t="inlineStr">
        <is>
          <t>M</t>
        </is>
      </c>
      <c r="AH15" s="115" t="inlineStr">
        <is>
          <t>M</t>
        </is>
      </c>
      <c r="AI15" s="125" t="inlineStr">
        <is>
          <t>N</t>
        </is>
      </c>
      <c r="AJ15" s="114" t="n"/>
      <c r="AK15" s="115" t="inlineStr">
        <is>
          <t>M</t>
        </is>
      </c>
      <c r="AL15" s="115" t="inlineStr">
        <is>
          <t>M</t>
        </is>
      </c>
      <c r="AM15" s="100" t="n"/>
      <c r="AN15" s="136">
        <f>IFERROR(INDEX(JUL!I$8:I$73,MATCH($A15,JUL!$A$8:$A$73,0))&amp;"","")</f>
        <v/>
      </c>
      <c r="AO15" s="136">
        <f>IFERROR(INDEX(JUL!J$8:J$73,MATCH($A15,JUL!$A$8:$A$73,0))&amp;"","")</f>
        <v/>
      </c>
      <c r="AP15" s="136">
        <f>IFERROR(INDEX(JUL!K$8:K$73,MATCH($A15,JUL!$A$8:$A$73,0))&amp;"","")</f>
        <v/>
      </c>
      <c r="AQ15" s="116">
        <f>IFERROR(INDEX(JUL!L$8:L$73,MATCH($A15,JUL!$A$8:$A$73,0))&amp;"","")</f>
        <v/>
      </c>
      <c r="AR15" s="116">
        <f>IFERROR(INDEX(JUL!M$8:M$73,MATCH($A15,JUL!$A$8:$A$73,0))&amp;"","")</f>
        <v/>
      </c>
      <c r="AS15" s="100" t="n"/>
      <c r="AT15" s="117">
        <f>SUMPRODUCT(($I15:$O15="M")*6+($I15:$O15="T")*6+($I15:$O15="D")*12+($I15:$O15="N")*12+($I15:$O15="NT")*6+($I15:$O15="C")*10+($I15:$O15="A")*8+($I15:$O15="J")*5+($I15:$O15="CEP")*4+($I15:$O15="CP")*6+($I15:$O15="CRO")*6+($I15:$O15="M+")*6+($I15:$O15="T+")*6+($I15:$O15="D+")*12+($I15:$O15="N+")*12+($I15:$O15="Dm+")*12+($I15:$O15="Dt+")*12+($I15:$O15="Tm-")*6+($I15:$O15="Mt-")*6)</f>
        <v/>
      </c>
      <c r="AU15" s="118">
        <f>AT15-MAX(0,IFERROR(INDEX(CADASTRO!$I$4:$I$80,MATCH($A15,CADASTRO!$A$4:$A$80,0)),$B15)-CONFIG!$B$50*(COUNTIF($I15:$O15,"AB")+COUNTIF($I15:$O15,"FE")+COUNTIF($I15:$O15,"LM")))</f>
        <v/>
      </c>
      <c r="AV15" s="117">
        <f>SUMPRODUCT(($P15:$V15="M")*6+($P15:$V15="T")*6+($P15:$V15="D")*12+($P15:$V15="N")*12+($P15:$V15="NT")*6+($P15:$V15="C")*10+($P15:$V15="A")*8+($P15:$V15="J")*5+($P15:$V15="CEP")*4+($P15:$V15="CP")*6+($P15:$V15="CRO")*6+($P15:$V15="M+")*6+($P15:$V15="T+")*6+($P15:$V15="D+")*12+($P15:$V15="N+")*12+($P15:$V15="Dm+")*12+($P15:$V15="Dt+")*12+($P15:$V15="Tm-")*6+($P15:$V15="Mt-")*6)</f>
        <v/>
      </c>
      <c r="AW15" s="118">
        <f>AV15-MAX(0,IFERROR(INDEX(CADASTRO!$I$4:$I$80,MATCH($A15,CADASTRO!$A$4:$A$80,0)),$B15)-CONFIG!$B$50*(COUNTIF($P15:$V15,"AB")+COUNTIF($P15:$V15,"FE")+COUNTIF($P15:$V15,"LM")))</f>
        <v/>
      </c>
      <c r="AX15" s="117">
        <f>SUMPRODUCT(($W15:$AC15="M")*6+($W15:$AC15="T")*6+($W15:$AC15="D")*12+($W15:$AC15="N")*12+($W15:$AC15="NT")*6+($W15:$AC15="C")*10+($W15:$AC15="A")*8+($W15:$AC15="J")*5+($W15:$AC15="CEP")*4+($W15:$AC15="CP")*6+($W15:$AC15="CRO")*6+($W15:$AC15="M+")*6+($W15:$AC15="T+")*6+($W15:$AC15="D+")*12+($W15:$AC15="N+")*12+($W15:$AC15="Dm+")*12+($W15:$AC15="Dt+")*12+($W15:$AC15="Tm-")*6+($W15:$AC15="Mt-")*6)</f>
        <v/>
      </c>
      <c r="AY15" s="118">
        <f>AX15-MAX(0,IFERROR(INDEX(CADASTRO!$I$4:$I$80,MATCH($A15,CADASTRO!$A$4:$A$80,0)),$B15)-CONFIG!$B$50*(COUNTIF($W15:$AC15,"AB")+COUNTIF($W15:$AC15,"FE")+COUNTIF($W15:$AC15,"LM")))</f>
        <v/>
      </c>
      <c r="AZ15" s="117">
        <f>SUMPRODUCT(($AD15:$AJ15="M")*6+($AD15:$AJ15="T")*6+($AD15:$AJ15="D")*12+($AD15:$AJ15="N")*12+($AD15:$AJ15="NT")*6+($AD15:$AJ15="C")*10+($AD15:$AJ15="A")*8+($AD15:$AJ15="J")*5+($AD15:$AJ15="CEP")*4+($AD15:$AJ15="CP")*6+($AD15:$AJ15="CRO")*6+($AD15:$AJ15="M+")*6+($AD15:$AJ15="T+")*6+($AD15:$AJ15="D+")*12+($AD15:$AJ15="N+")*12+($AD15:$AJ15="Dm+")*12+($AD15:$AJ15="Dt+")*12+($AD15:$AJ15="Tm-")*6+($AD15:$AJ15="Mt-")*6)</f>
        <v/>
      </c>
      <c r="BA15" s="118">
        <f>AZ15-MAX(0,IFERROR(INDEX(CADASTRO!$I$4:$I$80,MATCH($A15,CADASTRO!$A$4:$A$80,0)),$B15)-CONFIG!$B$50*(COUNTIF($AD15:$AJ15,"AB")+COUNTIF($AD15:$AJ15,"FE")+COUNTIF($AD15:$AJ15,"LM")))</f>
        <v/>
      </c>
      <c r="BB15" s="117">
        <f>SUMPRODUCT(($AK15:$AL15="M")*6+($AK15:$AL15="T")*6+($AK15:$AL15="D")*12+($AK15:$AL15="N")*12+($AK15:$AL15="NT")*6+($AK15:$AL15="C")*10+($AK15:$AL15="A")*8+($AK15:$AL15="J")*5+($AK15:$AL15="CEP")*4+($AK15:$AL15="CP")*6+($AK15:$AL15="CRO")*6+($AK15:$AL15="M+")*6+($AK15:$AL15="T+")*6+($AK15:$AL15="D+")*12+($AK15:$AL15="N+")*12+($AK15:$AL15="Dm+")*12+($AK15:$AL15="Dt+")*12+($AK15:$AL15="Tm-")*6+($AK15:$AL15="Mt-")*6)+SUMPRODUCT(($AN15:$AR15="M")*6+($AN15:$AR15="T")*6+($AN15:$AR15="D")*12+($AN15:$AR15="N")*12+($AN15:$AR15="NT")*6+($AN15:$AR15="C")*10+($AN15:$AR15="A")*8+($AN15:$AR15="J")*5+($AN15:$AR15="CEP")*4+($AN15:$AR15="CP")*6+($AN15:$AR15="CRO")*6+($AN15:$AR15="M+")*6+($AN15:$AR15="T+")*6+($AN15:$AR15="D+")*12+($AN15:$AR15="N+")*12+($AN15:$AR15="Dm+")*12+($AN15:$AR15="Dt+")*12+($AN15:$AR15="Tm-")*6+($AN15:$AR15="Mt-")*6)</f>
        <v/>
      </c>
      <c r="BC15" s="118">
        <f>BB15-MAX(0,IFERROR(INDEX(CADASTRO!$I$4:$I$80,MATCH($A15,CADASTRO!$A$4:$A$80,0)),$B15)-CONFIG!$B$50*(COUNTIF($AK15:$AL15,"AB")+COUNTIF($AK15:$AL15,"FE")+COUNTIF($AK15:$AL15,"LM")+COUNTIF($AN15:$AR15,"AB")+COUNTIF($AN15:$AR15,"FE")+COUNTIF($AN15:$AR15,"LM")))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ROUND(B15*4.29,0)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00" t="n"/>
      <c r="H16" s="100" t="n"/>
      <c r="I16" s="126" t="inlineStr">
        <is>
          <t>T</t>
        </is>
      </c>
      <c r="J16" s="114" t="n"/>
      <c r="K16" s="114" t="n"/>
      <c r="L16" s="124" t="inlineStr">
        <is>
          <t>D</t>
        </is>
      </c>
      <c r="M16" s="124" t="inlineStr">
        <is>
          <t>D</t>
        </is>
      </c>
      <c r="N16" s="114" t="n"/>
      <c r="O16" s="114" t="n"/>
      <c r="P16" s="124" t="inlineStr">
        <is>
          <t>D</t>
        </is>
      </c>
      <c r="Q16" s="114" t="n"/>
      <c r="R16" s="114" t="n"/>
      <c r="S16" s="114" t="n"/>
      <c r="T16" s="124" t="inlineStr">
        <is>
          <t>D</t>
        </is>
      </c>
      <c r="U16" s="114" t="n"/>
      <c r="V16" s="126" t="inlineStr">
        <is>
          <t>T</t>
        </is>
      </c>
      <c r="W16" s="124" t="inlineStr">
        <is>
          <t>D</t>
        </is>
      </c>
      <c r="X16" s="114" t="n"/>
      <c r="Y16" s="114" t="n"/>
      <c r="Z16" s="114" t="n"/>
      <c r="AA16" s="124" t="inlineStr">
        <is>
          <t>D</t>
        </is>
      </c>
      <c r="AB16" s="114" t="n"/>
      <c r="AC16" s="115" t="inlineStr">
        <is>
          <t>M</t>
        </is>
      </c>
      <c r="AD16" s="114" t="n"/>
      <c r="AE16" s="114" t="n"/>
      <c r="AF16" s="114" t="n"/>
      <c r="AG16" s="114" t="n"/>
      <c r="AH16" s="124" t="inlineStr">
        <is>
          <t>D</t>
        </is>
      </c>
      <c r="AI16" s="126" t="inlineStr">
        <is>
          <t>T</t>
        </is>
      </c>
      <c r="AJ16" s="124" t="inlineStr">
        <is>
          <t>D</t>
        </is>
      </c>
      <c r="AK16" s="124" t="inlineStr">
        <is>
          <t>D</t>
        </is>
      </c>
      <c r="AL16" s="114" t="n"/>
      <c r="AM16" s="100" t="n"/>
      <c r="AN16" s="136">
        <f>IFERROR(INDEX(JUL!I$8:I$73,MATCH($A16,JUL!$A$8:$A$73,0))&amp;"","")</f>
        <v/>
      </c>
      <c r="AO16" s="136">
        <f>IFERROR(INDEX(JUL!J$8:J$73,MATCH($A16,JUL!$A$8:$A$73,0))&amp;"","")</f>
        <v/>
      </c>
      <c r="AP16" s="136">
        <f>IFERROR(INDEX(JUL!K$8:K$73,MATCH($A16,JUL!$A$8:$A$73,0))&amp;"","")</f>
        <v/>
      </c>
      <c r="AQ16" s="116">
        <f>IFERROR(INDEX(JUL!L$8:L$73,MATCH($A16,JUL!$A$8:$A$73,0))&amp;"","")</f>
        <v/>
      </c>
      <c r="AR16" s="116">
        <f>IFERROR(INDEX(JUL!M$8:M$73,MATCH($A16,JUL!$A$8:$A$73,0))&amp;"","")</f>
        <v/>
      </c>
      <c r="AS16" s="100" t="n"/>
      <c r="AT16" s="117">
        <f>SUMPRODUCT(($I16:$O16="M")*6+($I16:$O16="T")*6+($I16:$O16="D")*12+($I16:$O16="N")*12+($I16:$O16="NT")*6+($I16:$O16="C")*10+($I16:$O16="A")*8+($I16:$O16="J")*5+($I16:$O16="CEP")*4+($I16:$O16="CP")*6+($I16:$O16="CRO")*6+($I16:$O16="M+")*6+($I16:$O16="T+")*6+($I16:$O16="D+")*12+($I16:$O16="N+")*12+($I16:$O16="Dm+")*12+($I16:$O16="Dt+")*12+($I16:$O16="Tm-")*6+($I16:$O16="Mt-")*6)</f>
        <v/>
      </c>
      <c r="AU16" s="118">
        <f>AT16-MAX(0,IFERROR(INDEX(CADASTRO!$I$4:$I$80,MATCH($A16,CADASTRO!$A$4:$A$80,0)),$B16)-CONFIG!$B$50*(COUNTIF($I16:$O16,"AB")+COUNTIF($I16:$O16,"FE")+COUNTIF($I16:$O16,"LM")))</f>
        <v/>
      </c>
      <c r="AV16" s="117">
        <f>SUMPRODUCT(($P16:$V16="M")*6+($P16:$V16="T")*6+($P16:$V16="D")*12+($P16:$V16="N")*12+($P16:$V16="NT")*6+($P16:$V16="C")*10+($P16:$V16="A")*8+($P16:$V16="J")*5+($P16:$V16="CEP")*4+($P16:$V16="CP")*6+($P16:$V16="CRO")*6+($P16:$V16="M+")*6+($P16:$V16="T+")*6+($P16:$V16="D+")*12+($P16:$V16="N+")*12+($P16:$V16="Dm+")*12+($P16:$V16="Dt+")*12+($P16:$V16="Tm-")*6+($P16:$V16="Mt-")*6)</f>
        <v/>
      </c>
      <c r="AW16" s="118">
        <f>AV16-MAX(0,IFERROR(INDEX(CADASTRO!$I$4:$I$80,MATCH($A16,CADASTRO!$A$4:$A$80,0)),$B16)-CONFIG!$B$50*(COUNTIF($P16:$V16,"AB")+COUNTIF($P16:$V16,"FE")+COUNTIF($P16:$V16,"LM")))</f>
        <v/>
      </c>
      <c r="AX16" s="117">
        <f>SUMPRODUCT(($W16:$AC16="M")*6+($W16:$AC16="T")*6+($W16:$AC16="D")*12+($W16:$AC16="N")*12+($W16:$AC16="NT")*6+($W16:$AC16="C")*10+($W16:$AC16="A")*8+($W16:$AC16="J")*5+($W16:$AC16="CEP")*4+($W16:$AC16="CP")*6+($W16:$AC16="CRO")*6+($W16:$AC16="M+")*6+($W16:$AC16="T+")*6+($W16:$AC16="D+")*12+($W16:$AC16="N+")*12+($W16:$AC16="Dm+")*12+($W16:$AC16="Dt+")*12+($W16:$AC16="Tm-")*6+($W16:$AC16="Mt-")*6)</f>
        <v/>
      </c>
      <c r="AY16" s="118">
        <f>AX16-MAX(0,IFERROR(INDEX(CADASTRO!$I$4:$I$80,MATCH($A16,CADASTRO!$A$4:$A$80,0)),$B16)-CONFIG!$B$50*(COUNTIF($W16:$AC16,"AB")+COUNTIF($W16:$AC16,"FE")+COUNTIF($W16:$AC16,"LM")))</f>
        <v/>
      </c>
      <c r="AZ16" s="117">
        <f>SUMPRODUCT(($AD16:$AJ16="M")*6+($AD16:$AJ16="T")*6+($AD16:$AJ16="D")*12+($AD16:$AJ16="N")*12+($AD16:$AJ16="NT")*6+($AD16:$AJ16="C")*10+($AD16:$AJ16="A")*8+($AD16:$AJ16="J")*5+($AD16:$AJ16="CEP")*4+($AD16:$AJ16="CP")*6+($AD16:$AJ16="CRO")*6+($AD16:$AJ16="M+")*6+($AD16:$AJ16="T+")*6+($AD16:$AJ16="D+")*12+($AD16:$AJ16="N+")*12+($AD16:$AJ16="Dm+")*12+($AD16:$AJ16="Dt+")*12+($AD16:$AJ16="Tm-")*6+($AD16:$AJ16="Mt-")*6)</f>
        <v/>
      </c>
      <c r="BA16" s="118">
        <f>AZ16-MAX(0,IFERROR(INDEX(CADASTRO!$I$4:$I$80,MATCH($A16,CADASTRO!$A$4:$A$80,0)),$B16)-CONFIG!$B$50*(COUNTIF($AD16:$AJ16,"AB")+COUNTIF($AD16:$AJ16,"FE")+COUNTIF($AD16:$AJ16,"LM")))</f>
        <v/>
      </c>
      <c r="BB16" s="117">
        <f>SUMPRODUCT(($AK16:$AL16="M")*6+($AK16:$AL16="T")*6+($AK16:$AL16="D")*12+($AK16:$AL16="N")*12+($AK16:$AL16="NT")*6+($AK16:$AL16="C")*10+($AK16:$AL16="A")*8+($AK16:$AL16="J")*5+($AK16:$AL16="CEP")*4+($AK16:$AL16="CP")*6+($AK16:$AL16="CRO")*6+($AK16:$AL16="M+")*6+($AK16:$AL16="T+")*6+($AK16:$AL16="D+")*12+($AK16:$AL16="N+")*12+($AK16:$AL16="Dm+")*12+($AK16:$AL16="Dt+")*12+($AK16:$AL16="Tm-")*6+($AK16:$AL16="Mt-")*6)+SUMPRODUCT(($AN16:$AR16="M")*6+($AN16:$AR16="T")*6+($AN16:$AR16="D")*12+($AN16:$AR16="N")*12+($AN16:$AR16="NT")*6+($AN16:$AR16="C")*10+($AN16:$AR16="A")*8+($AN16:$AR16="J")*5+($AN16:$AR16="CEP")*4+($AN16:$AR16="CP")*6+($AN16:$AR16="CRO")*6+($AN16:$AR16="M+")*6+($AN16:$AR16="T+")*6+($AN16:$AR16="D+")*12+($AN16:$AR16="N+")*12+($AN16:$AR16="Dm+")*12+($AN16:$AR16="Dt+")*12+($AN16:$AR16="Tm-")*6+($AN16:$AR16="Mt-")*6)</f>
        <v/>
      </c>
      <c r="BC16" s="118">
        <f>BB16-MAX(0,IFERROR(INDEX(CADASTRO!$I$4:$I$80,MATCH($A16,CADASTRO!$A$4:$A$80,0)),$B16)-CONFIG!$B$50*(COUNTIF($AK16:$AL16,"AB")+COUNTIF($AK16:$AL16,"FE")+COUNTIF($AK16:$AL16,"LM")+COUNTIF($AN16:$AR16,"AB")+COUNTIF($AN16:$AR16,"FE")+COUNTIF($AN16:$AR16,"LM")))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ROUND(B16*4.29,0)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00" t="n"/>
      <c r="H17" s="100" t="n"/>
      <c r="I17" s="126" t="inlineStr">
        <is>
          <t>T</t>
        </is>
      </c>
      <c r="J17" s="125" t="inlineStr">
        <is>
          <t>N</t>
        </is>
      </c>
      <c r="K17" s="126" t="inlineStr">
        <is>
          <t>T</t>
        </is>
      </c>
      <c r="L17" s="127" t="inlineStr">
        <is>
          <t>T-</t>
        </is>
      </c>
      <c r="M17" s="129" t="inlineStr">
        <is>
          <t>CEP</t>
        </is>
      </c>
      <c r="N17" s="114" t="n"/>
      <c r="O17" s="114" t="n"/>
      <c r="P17" s="129" t="inlineStr">
        <is>
          <t>CEP</t>
        </is>
      </c>
      <c r="Q17" s="125" t="inlineStr">
        <is>
          <t>N</t>
        </is>
      </c>
      <c r="R17" s="114" t="n"/>
      <c r="S17" s="126" t="inlineStr">
        <is>
          <t>T</t>
        </is>
      </c>
      <c r="T17" s="123" t="inlineStr">
        <is>
          <t>T+</t>
        </is>
      </c>
      <c r="U17" s="125" t="inlineStr">
        <is>
          <t>N</t>
        </is>
      </c>
      <c r="V17" s="114" t="n"/>
      <c r="W17" s="114" t="n"/>
      <c r="X17" s="114" t="n"/>
      <c r="Y17" s="114" t="n"/>
      <c r="Z17" s="114" t="n"/>
      <c r="AA17" s="114" t="n"/>
      <c r="AB17" s="114" t="n"/>
      <c r="AC17" s="114" t="n"/>
      <c r="AD17" s="114" t="n"/>
      <c r="AE17" s="114" t="n"/>
      <c r="AF17" s="114" t="n"/>
      <c r="AG17" s="114" t="n"/>
      <c r="AH17" s="114" t="n"/>
      <c r="AI17" s="114" t="n"/>
      <c r="AJ17" s="114" t="n"/>
      <c r="AK17" s="114" t="n"/>
      <c r="AL17" s="125" t="inlineStr">
        <is>
          <t>N</t>
        </is>
      </c>
      <c r="AM17" s="100" t="n"/>
      <c r="AN17" s="136">
        <f>IFERROR(INDEX(JUL!I$8:I$73,MATCH($A17,JUL!$A$8:$A$73,0))&amp;"","")</f>
        <v/>
      </c>
      <c r="AO17" s="136">
        <f>IFERROR(INDEX(JUL!J$8:J$73,MATCH($A17,JUL!$A$8:$A$73,0))&amp;"","")</f>
        <v/>
      </c>
      <c r="AP17" s="136">
        <f>IFERROR(INDEX(JUL!K$8:K$73,MATCH($A17,JUL!$A$8:$A$73,0))&amp;"","")</f>
        <v/>
      </c>
      <c r="AQ17" s="116">
        <f>IFERROR(INDEX(JUL!L$8:L$73,MATCH($A17,JUL!$A$8:$A$73,0))&amp;"","")</f>
        <v/>
      </c>
      <c r="AR17" s="116">
        <f>IFERROR(INDEX(JUL!M$8:M$73,MATCH($A17,JUL!$A$8:$A$73,0))&amp;"","")</f>
        <v/>
      </c>
      <c r="AS17" s="100" t="n"/>
      <c r="AT17" s="117">
        <f>SUMPRODUCT(($I17:$O17="M")*6+($I17:$O17="T")*6+($I17:$O17="D")*12+($I17:$O17="N")*12+($I17:$O17="NT")*6+($I17:$O17="C")*10+($I17:$O17="A")*8+($I17:$O17="J")*5+($I17:$O17="CEP")*4+($I17:$O17="CP")*6+($I17:$O17="CRO")*6+($I17:$O17="M+")*6+($I17:$O17="T+")*6+($I17:$O17="D+")*12+($I17:$O17="N+")*12+($I17:$O17="Dm+")*12+($I17:$O17="Dt+")*12+($I17:$O17="Tm-")*6+($I17:$O17="Mt-")*6)</f>
        <v/>
      </c>
      <c r="AU17" s="118">
        <f>AT17-MAX(0,IFERROR(INDEX(CADASTRO!$I$4:$I$80,MATCH($A17,CADASTRO!$A$4:$A$80,0)),$B17)-CONFIG!$B$50*(COUNTIF($I17:$O17,"AB")+COUNTIF($I17:$O17,"FE")+COUNTIF($I17:$O17,"LM")))</f>
        <v/>
      </c>
      <c r="AV17" s="117">
        <f>SUMPRODUCT(($P17:$V17="M")*6+($P17:$V17="T")*6+($P17:$V17="D")*12+($P17:$V17="N")*12+($P17:$V17="NT")*6+($P17:$V17="C")*10+($P17:$V17="A")*8+($P17:$V17="J")*5+($P17:$V17="CEP")*4+($P17:$V17="CP")*6+($P17:$V17="CRO")*6+($P17:$V17="M+")*6+($P17:$V17="T+")*6+($P17:$V17="D+")*12+($P17:$V17="N+")*12+($P17:$V17="Dm+")*12+($P17:$V17="Dt+")*12+($P17:$V17="Tm-")*6+($P17:$V17="Mt-")*6)</f>
        <v/>
      </c>
      <c r="AW17" s="118">
        <f>AV17-MAX(0,IFERROR(INDEX(CADASTRO!$I$4:$I$80,MATCH($A17,CADASTRO!$A$4:$A$80,0)),$B17)-CONFIG!$B$50*(COUNTIF($P17:$V17,"AB")+COUNTIF($P17:$V17,"FE")+COUNTIF($P17:$V17,"LM")))</f>
        <v/>
      </c>
      <c r="AX17" s="117">
        <f>SUMPRODUCT(($W17:$AC17="M")*6+($W17:$AC17="T")*6+($W17:$AC17="D")*12+($W17:$AC17="N")*12+($W17:$AC17="NT")*6+($W17:$AC17="C")*10+($W17:$AC17="A")*8+($W17:$AC17="J")*5+($W17:$AC17="CEP")*4+($W17:$AC17="CP")*6+($W17:$AC17="CRO")*6+($W17:$AC17="M+")*6+($W17:$AC17="T+")*6+($W17:$AC17="D+")*12+($W17:$AC17="N+")*12+($W17:$AC17="Dm+")*12+($W17:$AC17="Dt+")*12+($W17:$AC17="Tm-")*6+($W17:$AC17="Mt-")*6)</f>
        <v/>
      </c>
      <c r="AY17" s="118">
        <f>AX17-MAX(0,IFERROR(INDEX(CADASTRO!$I$4:$I$80,MATCH($A17,CADASTRO!$A$4:$A$80,0)),$B17)-CONFIG!$B$50*(COUNTIF($W17:$AC17,"AB")+COUNTIF($W17:$AC17,"FE")+COUNTIF($W17:$AC17,"LM")))</f>
        <v/>
      </c>
      <c r="AZ17" s="117">
        <f>SUMPRODUCT(($AD17:$AJ17="M")*6+($AD17:$AJ17="T")*6+($AD17:$AJ17="D")*12+($AD17:$AJ17="N")*12+($AD17:$AJ17="NT")*6+($AD17:$AJ17="C")*10+($AD17:$AJ17="A")*8+($AD17:$AJ17="J")*5+($AD17:$AJ17="CEP")*4+($AD17:$AJ17="CP")*6+($AD17:$AJ17="CRO")*6+($AD17:$AJ17="M+")*6+($AD17:$AJ17="T+")*6+($AD17:$AJ17="D+")*12+($AD17:$AJ17="N+")*12+($AD17:$AJ17="Dm+")*12+($AD17:$AJ17="Dt+")*12+($AD17:$AJ17="Tm-")*6+($AD17:$AJ17="Mt-")*6)</f>
        <v/>
      </c>
      <c r="BA17" s="118">
        <f>AZ17-MAX(0,IFERROR(INDEX(CADASTRO!$I$4:$I$80,MATCH($A17,CADASTRO!$A$4:$A$80,0)),$B17)-CONFIG!$B$50*(COUNTIF($AD17:$AJ17,"AB")+COUNTIF($AD17:$AJ17,"FE")+COUNTIF($AD17:$AJ17,"LM")))</f>
        <v/>
      </c>
      <c r="BB17" s="117">
        <f>SUMPRODUCT(($AK17:$AL17="M")*6+($AK17:$AL17="T")*6+($AK17:$AL17="D")*12+($AK17:$AL17="N")*12+($AK17:$AL17="NT")*6+($AK17:$AL17="C")*10+($AK17:$AL17="A")*8+($AK17:$AL17="J")*5+($AK17:$AL17="CEP")*4+($AK17:$AL17="CP")*6+($AK17:$AL17="CRO")*6+($AK17:$AL17="M+")*6+($AK17:$AL17="T+")*6+($AK17:$AL17="D+")*12+($AK17:$AL17="N+")*12+($AK17:$AL17="Dm+")*12+($AK17:$AL17="Dt+")*12+($AK17:$AL17="Tm-")*6+($AK17:$AL17="Mt-")*6)+SUMPRODUCT(($AN17:$AR17="M")*6+($AN17:$AR17="T")*6+($AN17:$AR17="D")*12+($AN17:$AR17="N")*12+($AN17:$AR17="NT")*6+($AN17:$AR17="C")*10+($AN17:$AR17="A")*8+($AN17:$AR17="J")*5+($AN17:$AR17="CEP")*4+($AN17:$AR17="CP")*6+($AN17:$AR17="CRO")*6+($AN17:$AR17="M+")*6+($AN17:$AR17="T+")*6+($AN17:$AR17="D+")*12+($AN17:$AR17="N+")*12+($AN17:$AR17="Dm+")*12+($AN17:$AR17="Dt+")*12+($AN17:$AR17="Tm-")*6+($AN17:$AR17="Mt-")*6)</f>
        <v/>
      </c>
      <c r="BC17" s="118">
        <f>BB17-MAX(0,IFERROR(INDEX(CADASTRO!$I$4:$I$80,MATCH($A17,CADASTRO!$A$4:$A$80,0)),$B17)-CONFIG!$B$50*(COUNTIF($AK17:$AL17,"AB")+COUNTIF($AK17:$AL17,"FE")+COUNTIF($AK17:$AL17,"LM")+COUNTIF($AN17:$AR17,"AB")+COUNTIF($AN17:$AR17,"FE")+COUNTIF($AN17:$AR17,"LM")))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ROUND(B17*4.29,0)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00" t="n"/>
      <c r="H18" s="100" t="n"/>
      <c r="I18" s="114" t="n"/>
      <c r="J18" s="114" t="n"/>
      <c r="K18" s="124" t="inlineStr">
        <is>
          <t>D</t>
        </is>
      </c>
      <c r="L18" s="114" t="n"/>
      <c r="M18" s="114" t="n"/>
      <c r="N18" s="124" t="inlineStr">
        <is>
          <t>D</t>
        </is>
      </c>
      <c r="O18" s="125" t="inlineStr">
        <is>
          <t>N</t>
        </is>
      </c>
      <c r="P18" s="114" t="n"/>
      <c r="Q18" s="114" t="n"/>
      <c r="R18" s="124" t="inlineStr">
        <is>
          <t>D</t>
        </is>
      </c>
      <c r="S18" s="114" t="n"/>
      <c r="T18" s="124" t="inlineStr">
        <is>
          <t>D</t>
        </is>
      </c>
      <c r="U18" s="114" t="n"/>
      <c r="V18" s="124" t="inlineStr">
        <is>
          <t>D</t>
        </is>
      </c>
      <c r="W18" s="124" t="inlineStr">
        <is>
          <t>D</t>
        </is>
      </c>
      <c r="X18" s="124" t="inlineStr">
        <is>
          <t>D</t>
        </is>
      </c>
      <c r="Y18" s="124" t="inlineStr">
        <is>
          <t>D</t>
        </is>
      </c>
      <c r="Z18" s="114" t="n"/>
      <c r="AA18" s="114" t="n"/>
      <c r="AB18" s="114" t="n"/>
      <c r="AC18" s="114" t="n"/>
      <c r="AD18" s="124" t="inlineStr">
        <is>
          <t>D</t>
        </is>
      </c>
      <c r="AE18" s="124" t="inlineStr">
        <is>
          <t>D</t>
        </is>
      </c>
      <c r="AF18" s="124" t="inlineStr">
        <is>
          <t>D</t>
        </is>
      </c>
      <c r="AG18" s="114" t="n"/>
      <c r="AH18" s="114" t="n"/>
      <c r="AI18" s="114" t="n"/>
      <c r="AJ18" s="114" t="n"/>
      <c r="AK18" s="124" t="inlineStr">
        <is>
          <t>D</t>
        </is>
      </c>
      <c r="AL18" s="114" t="n"/>
      <c r="AM18" s="100" t="n"/>
      <c r="AN18" s="136">
        <f>IFERROR(INDEX(JUL!I$8:I$73,MATCH($A18,JUL!$A$8:$A$73,0))&amp;"","")</f>
        <v/>
      </c>
      <c r="AO18" s="136">
        <f>IFERROR(INDEX(JUL!J$8:J$73,MATCH($A18,JUL!$A$8:$A$73,0))&amp;"","")</f>
        <v/>
      </c>
      <c r="AP18" s="136">
        <f>IFERROR(INDEX(JUL!K$8:K$73,MATCH($A18,JUL!$A$8:$A$73,0))&amp;"","")</f>
        <v/>
      </c>
      <c r="AQ18" s="116">
        <f>IFERROR(INDEX(JUL!L$8:L$73,MATCH($A18,JUL!$A$8:$A$73,0))&amp;"","")</f>
        <v/>
      </c>
      <c r="AR18" s="116">
        <f>IFERROR(INDEX(JUL!M$8:M$73,MATCH($A18,JUL!$A$8:$A$73,0))&amp;"","")</f>
        <v/>
      </c>
      <c r="AS18" s="100" t="n"/>
      <c r="AT18" s="117">
        <f>SUMPRODUCT(($I18:$O18="M")*6+($I18:$O18="T")*6+($I18:$O18="D")*12+($I18:$O18="N")*12+($I18:$O18="NT")*6+($I18:$O18="C")*10+($I18:$O18="A")*8+($I18:$O18="J")*5+($I18:$O18="CEP")*4+($I18:$O18="CP")*6+($I18:$O18="CRO")*6+($I18:$O18="M+")*6+($I18:$O18="T+")*6+($I18:$O18="D+")*12+($I18:$O18="N+")*12+($I18:$O18="Dm+")*12+($I18:$O18="Dt+")*12+($I18:$O18="Tm-")*6+($I18:$O18="Mt-")*6)</f>
        <v/>
      </c>
      <c r="AU18" s="118">
        <f>AT18-MAX(0,IFERROR(INDEX(CADASTRO!$I$4:$I$80,MATCH($A18,CADASTRO!$A$4:$A$80,0)),$B18)-CONFIG!$B$50*(COUNTIF($I18:$O18,"AB")+COUNTIF($I18:$O18,"FE")+COUNTIF($I18:$O18,"LM")))</f>
        <v/>
      </c>
      <c r="AV18" s="117">
        <f>SUMPRODUCT(($P18:$V18="M")*6+($P18:$V18="T")*6+($P18:$V18="D")*12+($P18:$V18="N")*12+($P18:$V18="NT")*6+($P18:$V18="C")*10+($P18:$V18="A")*8+($P18:$V18="J")*5+($P18:$V18="CEP")*4+($P18:$V18="CP")*6+($P18:$V18="CRO")*6+($P18:$V18="M+")*6+($P18:$V18="T+")*6+($P18:$V18="D+")*12+($P18:$V18="N+")*12+($P18:$V18="Dm+")*12+($P18:$V18="Dt+")*12+($P18:$V18="Tm-")*6+($P18:$V18="Mt-")*6)</f>
        <v/>
      </c>
      <c r="AW18" s="118">
        <f>AV18-MAX(0,IFERROR(INDEX(CADASTRO!$I$4:$I$80,MATCH($A18,CADASTRO!$A$4:$A$80,0)),$B18)-CONFIG!$B$50*(COUNTIF($P18:$V18,"AB")+COUNTIF($P18:$V18,"FE")+COUNTIF($P18:$V18,"LM")))</f>
        <v/>
      </c>
      <c r="AX18" s="117">
        <f>SUMPRODUCT(($W18:$AC18="M")*6+($W18:$AC18="T")*6+($W18:$AC18="D")*12+($W18:$AC18="N")*12+($W18:$AC18="NT")*6+($W18:$AC18="C")*10+($W18:$AC18="A")*8+($W18:$AC18="J")*5+($W18:$AC18="CEP")*4+($W18:$AC18="CP")*6+($W18:$AC18="CRO")*6+($W18:$AC18="M+")*6+($W18:$AC18="T+")*6+($W18:$AC18="D+")*12+($W18:$AC18="N+")*12+($W18:$AC18="Dm+")*12+($W18:$AC18="Dt+")*12+($W18:$AC18="Tm-")*6+($W18:$AC18="Mt-")*6)</f>
        <v/>
      </c>
      <c r="AY18" s="118">
        <f>AX18-MAX(0,IFERROR(INDEX(CADASTRO!$I$4:$I$80,MATCH($A18,CADASTRO!$A$4:$A$80,0)),$B18)-CONFIG!$B$50*(COUNTIF($W18:$AC18,"AB")+COUNTIF($W18:$AC18,"FE")+COUNTIF($W18:$AC18,"LM")))</f>
        <v/>
      </c>
      <c r="AZ18" s="117">
        <f>SUMPRODUCT(($AD18:$AJ18="M")*6+($AD18:$AJ18="T")*6+($AD18:$AJ18="D")*12+($AD18:$AJ18="N")*12+($AD18:$AJ18="NT")*6+($AD18:$AJ18="C")*10+($AD18:$AJ18="A")*8+($AD18:$AJ18="J")*5+($AD18:$AJ18="CEP")*4+($AD18:$AJ18="CP")*6+($AD18:$AJ18="CRO")*6+($AD18:$AJ18="M+")*6+($AD18:$AJ18="T+")*6+($AD18:$AJ18="D+")*12+($AD18:$AJ18="N+")*12+($AD18:$AJ18="Dm+")*12+($AD18:$AJ18="Dt+")*12+($AD18:$AJ18="Tm-")*6+($AD18:$AJ18="Mt-")*6)</f>
        <v/>
      </c>
      <c r="BA18" s="118">
        <f>AZ18-MAX(0,IFERROR(INDEX(CADASTRO!$I$4:$I$80,MATCH($A18,CADASTRO!$A$4:$A$80,0)),$B18)-CONFIG!$B$50*(COUNTIF($AD18:$AJ18,"AB")+COUNTIF($AD18:$AJ18,"FE")+COUNTIF($AD18:$AJ18,"LM")))</f>
        <v/>
      </c>
      <c r="BB18" s="117">
        <f>SUMPRODUCT(($AK18:$AL18="M")*6+($AK18:$AL18="T")*6+($AK18:$AL18="D")*12+($AK18:$AL18="N")*12+($AK18:$AL18="NT")*6+($AK18:$AL18="C")*10+($AK18:$AL18="A")*8+($AK18:$AL18="J")*5+($AK18:$AL18="CEP")*4+($AK18:$AL18="CP")*6+($AK18:$AL18="CRO")*6+($AK18:$AL18="M+")*6+($AK18:$AL18="T+")*6+($AK18:$AL18="D+")*12+($AK18:$AL18="N+")*12+($AK18:$AL18="Dm+")*12+($AK18:$AL18="Dt+")*12+($AK18:$AL18="Tm-")*6+($AK18:$AL18="Mt-")*6)+SUMPRODUCT(($AN18:$AR18="M")*6+($AN18:$AR18="T")*6+($AN18:$AR18="D")*12+($AN18:$AR18="N")*12+($AN18:$AR18="NT")*6+($AN18:$AR18="C")*10+($AN18:$AR18="A")*8+($AN18:$AR18="J")*5+($AN18:$AR18="CEP")*4+($AN18:$AR18="CP")*6+($AN18:$AR18="CRO")*6+($AN18:$AR18="M+")*6+($AN18:$AR18="T+")*6+($AN18:$AR18="D+")*12+($AN18:$AR18="N+")*12+($AN18:$AR18="Dm+")*12+($AN18:$AR18="Dt+")*12+($AN18:$AR18="Tm-")*6+($AN18:$AR18="Mt-")*6)</f>
        <v/>
      </c>
      <c r="BC18" s="118">
        <f>BB18-MAX(0,IFERROR(INDEX(CADASTRO!$I$4:$I$80,MATCH($A18,CADASTRO!$A$4:$A$80,0)),$B18)-CONFIG!$B$50*(COUNTIF($AK18:$AL18,"AB")+COUNTIF($AK18:$AL18,"FE")+COUNTIF($AK18:$AL18,"LM")+COUNTIF($AN18:$AR18,"AB")+COUNTIF($AN18:$AR18,"FE")+COUNTIF($AN18:$AR18,"LM")))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ROUND(B18*4.29,0)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00" t="n"/>
      <c r="H19" s="100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25" t="inlineStr">
        <is>
          <t>N</t>
        </is>
      </c>
      <c r="Z19" s="114" t="n"/>
      <c r="AA19" s="114" t="n"/>
      <c r="AB19" s="114" t="n"/>
      <c r="AC19" s="125" t="inlineStr">
        <is>
          <t>N</t>
        </is>
      </c>
      <c r="AD19" s="114" t="n"/>
      <c r="AE19" s="114" t="n"/>
      <c r="AF19" s="125" t="inlineStr">
        <is>
          <t>N</t>
        </is>
      </c>
      <c r="AG19" s="125" t="inlineStr">
        <is>
          <t>N</t>
        </is>
      </c>
      <c r="AH19" s="114" t="n"/>
      <c r="AI19" s="114" t="n"/>
      <c r="AJ19" s="125" t="inlineStr">
        <is>
          <t>N</t>
        </is>
      </c>
      <c r="AK19" s="125" t="inlineStr">
        <is>
          <t>N</t>
        </is>
      </c>
      <c r="AL19" s="114" t="n"/>
      <c r="AM19" s="100" t="n"/>
      <c r="AN19" s="136">
        <f>IFERROR(INDEX(JUL!I$8:I$73,MATCH($A19,JUL!$A$8:$A$73,0))&amp;"","")</f>
        <v/>
      </c>
      <c r="AO19" s="136">
        <f>IFERROR(INDEX(JUL!J$8:J$73,MATCH($A19,JUL!$A$8:$A$73,0))&amp;"","")</f>
        <v/>
      </c>
      <c r="AP19" s="136">
        <f>IFERROR(INDEX(JUL!K$8:K$73,MATCH($A19,JUL!$A$8:$A$73,0))&amp;"","")</f>
        <v/>
      </c>
      <c r="AQ19" s="116">
        <f>IFERROR(INDEX(JUL!L$8:L$73,MATCH($A19,JUL!$A$8:$A$73,0))&amp;"","")</f>
        <v/>
      </c>
      <c r="AR19" s="116">
        <f>IFERROR(INDEX(JUL!M$8:M$73,MATCH($A19,JUL!$A$8:$A$73,0))&amp;"","")</f>
        <v/>
      </c>
      <c r="AS19" s="100" t="n"/>
      <c r="AT19" s="117">
        <f>SUMPRODUCT(($I19:$O19="M")*6+($I19:$O19="T")*6+($I19:$O19="D")*12+($I19:$O19="N")*12+($I19:$O19="NT")*6+($I19:$O19="C")*10+($I19:$O19="A")*8+($I19:$O19="J")*5+($I19:$O19="CEP")*4+($I19:$O19="CP")*6+($I19:$O19="CRO")*6+($I19:$O19="M+")*6+($I19:$O19="T+")*6+($I19:$O19="D+")*12+($I19:$O19="N+")*12+($I19:$O19="Dm+")*12+($I19:$O19="Dt+")*12+($I19:$O19="Tm-")*6+($I19:$O19="Mt-")*6)</f>
        <v/>
      </c>
      <c r="AU19" s="118">
        <f>AT19-MAX(0,IFERROR(INDEX(CADASTRO!$I$4:$I$80,MATCH($A19,CADASTRO!$A$4:$A$80,0)),$B19)-CONFIG!$B$50*(COUNTIF($I19:$O19,"AB")+COUNTIF($I19:$O19,"FE")+COUNTIF($I19:$O19,"LM")))</f>
        <v/>
      </c>
      <c r="AV19" s="117">
        <f>SUMPRODUCT(($P19:$V19="M")*6+($P19:$V19="T")*6+($P19:$V19="D")*12+($P19:$V19="N")*12+($P19:$V19="NT")*6+($P19:$V19="C")*10+($P19:$V19="A")*8+($P19:$V19="J")*5+($P19:$V19="CEP")*4+($P19:$V19="CP")*6+($P19:$V19="CRO")*6+($P19:$V19="M+")*6+($P19:$V19="T+")*6+($P19:$V19="D+")*12+($P19:$V19="N+")*12+($P19:$V19="Dm+")*12+($P19:$V19="Dt+")*12+($P19:$V19="Tm-")*6+($P19:$V19="Mt-")*6)</f>
        <v/>
      </c>
      <c r="AW19" s="118">
        <f>AV19-MAX(0,IFERROR(INDEX(CADASTRO!$I$4:$I$80,MATCH($A19,CADASTRO!$A$4:$A$80,0)),$B19)-CONFIG!$B$50*(COUNTIF($P19:$V19,"AB")+COUNTIF($P19:$V19,"FE")+COUNTIF($P19:$V19,"LM")))</f>
        <v/>
      </c>
      <c r="AX19" s="117">
        <f>SUMPRODUCT(($W19:$AC19="M")*6+($W19:$AC19="T")*6+($W19:$AC19="D")*12+($W19:$AC19="N")*12+($W19:$AC19="NT")*6+($W19:$AC19="C")*10+($W19:$AC19="A")*8+($W19:$AC19="J")*5+($W19:$AC19="CEP")*4+($W19:$AC19="CP")*6+($W19:$AC19="CRO")*6+($W19:$AC19="M+")*6+($W19:$AC19="T+")*6+($W19:$AC19="D+")*12+($W19:$AC19="N+")*12+($W19:$AC19="Dm+")*12+($W19:$AC19="Dt+")*12+($W19:$AC19="Tm-")*6+($W19:$AC19="Mt-")*6)</f>
        <v/>
      </c>
      <c r="AY19" s="118">
        <f>AX19-MAX(0,IFERROR(INDEX(CADASTRO!$I$4:$I$80,MATCH($A19,CADASTRO!$A$4:$A$80,0)),$B19)-CONFIG!$B$50*(COUNTIF($W19:$AC19,"AB")+COUNTIF($W19:$AC19,"FE")+COUNTIF($W19:$AC19,"LM")))</f>
        <v/>
      </c>
      <c r="AZ19" s="117">
        <f>SUMPRODUCT(($AD19:$AJ19="M")*6+($AD19:$AJ19="T")*6+($AD19:$AJ19="D")*12+($AD19:$AJ19="N")*12+($AD19:$AJ19="NT")*6+($AD19:$AJ19="C")*10+($AD19:$AJ19="A")*8+($AD19:$AJ19="J")*5+($AD19:$AJ19="CEP")*4+($AD19:$AJ19="CP")*6+($AD19:$AJ19="CRO")*6+($AD19:$AJ19="M+")*6+($AD19:$AJ19="T+")*6+($AD19:$AJ19="D+")*12+($AD19:$AJ19="N+")*12+($AD19:$AJ19="Dm+")*12+($AD19:$AJ19="Dt+")*12+($AD19:$AJ19="Tm-")*6+($AD19:$AJ19="Mt-")*6)</f>
        <v/>
      </c>
      <c r="BA19" s="118">
        <f>AZ19-MAX(0,IFERROR(INDEX(CADASTRO!$I$4:$I$80,MATCH($A19,CADASTRO!$A$4:$A$80,0)),$B19)-CONFIG!$B$50*(COUNTIF($AD19:$AJ19,"AB")+COUNTIF($AD19:$AJ19,"FE")+COUNTIF($AD19:$AJ19,"LM")))</f>
        <v/>
      </c>
      <c r="BB19" s="117">
        <f>SUMPRODUCT(($AK19:$AL19="M")*6+($AK19:$AL19="T")*6+($AK19:$AL19="D")*12+($AK19:$AL19="N")*12+($AK19:$AL19="NT")*6+($AK19:$AL19="C")*10+($AK19:$AL19="A")*8+($AK19:$AL19="J")*5+($AK19:$AL19="CEP")*4+($AK19:$AL19="CP")*6+($AK19:$AL19="CRO")*6+($AK19:$AL19="M+")*6+($AK19:$AL19="T+")*6+($AK19:$AL19="D+")*12+($AK19:$AL19="N+")*12+($AK19:$AL19="Dm+")*12+($AK19:$AL19="Dt+")*12+($AK19:$AL19="Tm-")*6+($AK19:$AL19="Mt-")*6)+SUMPRODUCT(($AN19:$AR19="M")*6+($AN19:$AR19="T")*6+($AN19:$AR19="D")*12+($AN19:$AR19="N")*12+($AN19:$AR19="NT")*6+($AN19:$AR19="C")*10+($AN19:$AR19="A")*8+($AN19:$AR19="J")*5+($AN19:$AR19="CEP")*4+($AN19:$AR19="CP")*6+($AN19:$AR19="CRO")*6+($AN19:$AR19="M+")*6+($AN19:$AR19="T+")*6+($AN19:$AR19="D+")*12+($AN19:$AR19="N+")*12+($AN19:$AR19="Dm+")*12+($AN19:$AR19="Dt+")*12+($AN19:$AR19="Tm-")*6+($AN19:$AR19="Mt-")*6)</f>
        <v/>
      </c>
      <c r="BC19" s="118">
        <f>BB19-MAX(0,IFERROR(INDEX(CADASTRO!$I$4:$I$80,MATCH($A19,CADASTRO!$A$4:$A$80,0)),$B19)-CONFIG!$B$50*(COUNTIF($AK19:$AL19,"AB")+COUNTIF($AK19:$AL19,"FE")+COUNTIF($AK19:$AL19,"LM")+COUNTIF($AN19:$AR19,"AB")+COUNTIF($AN19:$AR19,"FE")+COUNTIF($AN19:$AR19,"LM")))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ROUND(B19*4.29,0)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00" t="n"/>
      <c r="H20" s="100" t="n"/>
      <c r="I20" s="114" t="n"/>
      <c r="J20" s="125" t="inlineStr">
        <is>
          <t>N</t>
        </is>
      </c>
      <c r="K20" s="125" t="inlineStr">
        <is>
          <t>N</t>
        </is>
      </c>
      <c r="L20" s="125" t="inlineStr">
        <is>
          <t>N</t>
        </is>
      </c>
      <c r="M20" s="114" t="n"/>
      <c r="N20" s="114" t="n"/>
      <c r="O20" s="114" t="n"/>
      <c r="P20" s="114" t="n"/>
      <c r="Q20" s="125" t="inlineStr">
        <is>
          <t>N</t>
        </is>
      </c>
      <c r="R20" s="125" t="inlineStr">
        <is>
          <t>N</t>
        </is>
      </c>
      <c r="S20" s="114" t="n"/>
      <c r="T20" s="125" t="inlineStr">
        <is>
          <t>N</t>
        </is>
      </c>
      <c r="U20" s="114" t="n"/>
      <c r="V20" s="114" t="n"/>
      <c r="W20" s="114" t="n"/>
      <c r="X20" s="125" t="inlineStr">
        <is>
          <t>N</t>
        </is>
      </c>
      <c r="Y20" s="114" t="n"/>
      <c r="Z20" s="125" t="inlineStr">
        <is>
          <t>N</t>
        </is>
      </c>
      <c r="AA20" s="114" t="n"/>
      <c r="AB20" s="114" t="n"/>
      <c r="AC20" s="125" t="inlineStr">
        <is>
          <t>N</t>
        </is>
      </c>
      <c r="AD20" s="114" t="n"/>
      <c r="AE20" s="125" t="inlineStr">
        <is>
          <t>N</t>
        </is>
      </c>
      <c r="AF20" s="114" t="n"/>
      <c r="AG20" s="114" t="n"/>
      <c r="AH20" s="114" t="n"/>
      <c r="AI20" s="125" t="inlineStr">
        <is>
          <t>N</t>
        </is>
      </c>
      <c r="AJ20" s="125" t="inlineStr">
        <is>
          <t>N</t>
        </is>
      </c>
      <c r="AK20" s="114" t="n"/>
      <c r="AL20" s="125" t="inlineStr">
        <is>
          <t>N</t>
        </is>
      </c>
      <c r="AM20" s="100" t="n"/>
      <c r="AN20" s="136">
        <f>IFERROR(INDEX(JUL!I$8:I$73,MATCH($A20,JUL!$A$8:$A$73,0))&amp;"","")</f>
        <v/>
      </c>
      <c r="AO20" s="136">
        <f>IFERROR(INDEX(JUL!J$8:J$73,MATCH($A20,JUL!$A$8:$A$73,0))&amp;"","")</f>
        <v/>
      </c>
      <c r="AP20" s="136">
        <f>IFERROR(INDEX(JUL!K$8:K$73,MATCH($A20,JUL!$A$8:$A$73,0))&amp;"","")</f>
        <v/>
      </c>
      <c r="AQ20" s="116">
        <f>IFERROR(INDEX(JUL!L$8:L$73,MATCH($A20,JUL!$A$8:$A$73,0))&amp;"","")</f>
        <v/>
      </c>
      <c r="AR20" s="116">
        <f>IFERROR(INDEX(JUL!M$8:M$73,MATCH($A20,JUL!$A$8:$A$73,0))&amp;"","")</f>
        <v/>
      </c>
      <c r="AS20" s="100" t="n"/>
      <c r="AT20" s="117">
        <f>SUMPRODUCT(($I20:$O20="M")*6+($I20:$O20="T")*6+($I20:$O20="D")*12+($I20:$O20="N")*12+($I20:$O20="NT")*6+($I20:$O20="C")*10+($I20:$O20="A")*8+($I20:$O20="J")*5+($I20:$O20="CEP")*4+($I20:$O20="CP")*6+($I20:$O20="CRO")*6+($I20:$O20="M+")*6+($I20:$O20="T+")*6+($I20:$O20="D+")*12+($I20:$O20="N+")*12+($I20:$O20="Dm+")*12+($I20:$O20="Dt+")*12+($I20:$O20="Tm-")*6+($I20:$O20="Mt-")*6)</f>
        <v/>
      </c>
      <c r="AU20" s="118">
        <f>AT20-MAX(0,IFERROR(INDEX(CADASTRO!$I$4:$I$80,MATCH($A20,CADASTRO!$A$4:$A$80,0)),$B20)-CONFIG!$B$50*(COUNTIF($I20:$O20,"AB")+COUNTIF($I20:$O20,"FE")+COUNTIF($I20:$O20,"LM")))</f>
        <v/>
      </c>
      <c r="AV20" s="117">
        <f>SUMPRODUCT(($P20:$V20="M")*6+($P20:$V20="T")*6+($P20:$V20="D")*12+($P20:$V20="N")*12+($P20:$V20="NT")*6+($P20:$V20="C")*10+($P20:$V20="A")*8+($P20:$V20="J")*5+($P20:$V20="CEP")*4+($P20:$V20="CP")*6+($P20:$V20="CRO")*6+($P20:$V20="M+")*6+($P20:$V20="T+")*6+($P20:$V20="D+")*12+($P20:$V20="N+")*12+($P20:$V20="Dm+")*12+($P20:$V20="Dt+")*12+($P20:$V20="Tm-")*6+($P20:$V20="Mt-")*6)</f>
        <v/>
      </c>
      <c r="AW20" s="118">
        <f>AV20-MAX(0,IFERROR(INDEX(CADASTRO!$I$4:$I$80,MATCH($A20,CADASTRO!$A$4:$A$80,0)),$B20)-CONFIG!$B$50*(COUNTIF($P20:$V20,"AB")+COUNTIF($P20:$V20,"FE")+COUNTIF($P20:$V20,"LM")))</f>
        <v/>
      </c>
      <c r="AX20" s="117">
        <f>SUMPRODUCT(($W20:$AC20="M")*6+($W20:$AC20="T")*6+($W20:$AC20="D")*12+($W20:$AC20="N")*12+($W20:$AC20="NT")*6+($W20:$AC20="C")*10+($W20:$AC20="A")*8+($W20:$AC20="J")*5+($W20:$AC20="CEP")*4+($W20:$AC20="CP")*6+($W20:$AC20="CRO")*6+($W20:$AC20="M+")*6+($W20:$AC20="T+")*6+($W20:$AC20="D+")*12+($W20:$AC20="N+")*12+($W20:$AC20="Dm+")*12+($W20:$AC20="Dt+")*12+($W20:$AC20="Tm-")*6+($W20:$AC20="Mt-")*6)</f>
        <v/>
      </c>
      <c r="AY20" s="118">
        <f>AX20-MAX(0,IFERROR(INDEX(CADASTRO!$I$4:$I$80,MATCH($A20,CADASTRO!$A$4:$A$80,0)),$B20)-CONFIG!$B$50*(COUNTIF($W20:$AC20,"AB")+COUNTIF($W20:$AC20,"FE")+COUNTIF($W20:$AC20,"LM")))</f>
        <v/>
      </c>
      <c r="AZ20" s="117">
        <f>SUMPRODUCT(($AD20:$AJ20="M")*6+($AD20:$AJ20="T")*6+($AD20:$AJ20="D")*12+($AD20:$AJ20="N")*12+($AD20:$AJ20="NT")*6+($AD20:$AJ20="C")*10+($AD20:$AJ20="A")*8+($AD20:$AJ20="J")*5+($AD20:$AJ20="CEP")*4+($AD20:$AJ20="CP")*6+($AD20:$AJ20="CRO")*6+($AD20:$AJ20="M+")*6+($AD20:$AJ20="T+")*6+($AD20:$AJ20="D+")*12+($AD20:$AJ20="N+")*12+($AD20:$AJ20="Dm+")*12+($AD20:$AJ20="Dt+")*12+($AD20:$AJ20="Tm-")*6+($AD20:$AJ20="Mt-")*6)</f>
        <v/>
      </c>
      <c r="BA20" s="118">
        <f>AZ20-MAX(0,IFERROR(INDEX(CADASTRO!$I$4:$I$80,MATCH($A20,CADASTRO!$A$4:$A$80,0)),$B20)-CONFIG!$B$50*(COUNTIF($AD20:$AJ20,"AB")+COUNTIF($AD20:$AJ20,"FE")+COUNTIF($AD20:$AJ20,"LM")))</f>
        <v/>
      </c>
      <c r="BB20" s="117">
        <f>SUMPRODUCT(($AK20:$AL20="M")*6+($AK20:$AL20="T")*6+($AK20:$AL20="D")*12+($AK20:$AL20="N")*12+($AK20:$AL20="NT")*6+($AK20:$AL20="C")*10+($AK20:$AL20="A")*8+($AK20:$AL20="J")*5+($AK20:$AL20="CEP")*4+($AK20:$AL20="CP")*6+($AK20:$AL20="CRO")*6+($AK20:$AL20="M+")*6+($AK20:$AL20="T+")*6+($AK20:$AL20="D+")*12+($AK20:$AL20="N+")*12+($AK20:$AL20="Dm+")*12+($AK20:$AL20="Dt+")*12+($AK20:$AL20="Tm-")*6+($AK20:$AL20="Mt-")*6)+SUMPRODUCT(($AN20:$AR20="M")*6+($AN20:$AR20="T")*6+($AN20:$AR20="D")*12+($AN20:$AR20="N")*12+($AN20:$AR20="NT")*6+($AN20:$AR20="C")*10+($AN20:$AR20="A")*8+($AN20:$AR20="J")*5+($AN20:$AR20="CEP")*4+($AN20:$AR20="CP")*6+($AN20:$AR20="CRO")*6+($AN20:$AR20="M+")*6+($AN20:$AR20="T+")*6+($AN20:$AR20="D+")*12+($AN20:$AR20="N+")*12+($AN20:$AR20="Dm+")*12+($AN20:$AR20="Dt+")*12+($AN20:$AR20="Tm-")*6+($AN20:$AR20="Mt-")*6)</f>
        <v/>
      </c>
      <c r="BC20" s="118">
        <f>BB20-MAX(0,IFERROR(INDEX(CADASTRO!$I$4:$I$80,MATCH($A20,CADASTRO!$A$4:$A$80,0)),$B20)-CONFIG!$B$50*(COUNTIF($AK20:$AL20,"AB")+COUNTIF($AK20:$AL20,"FE")+COUNTIF($AK20:$AL20,"LM")+COUNTIF($AN20:$AR20,"AB")+COUNTIF($AN20:$AR20,"FE")+COUNTIF($AN20:$AR20,"LM")))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ROUND(B20*4.29,0)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00" t="n"/>
      <c r="H21" s="100" t="n"/>
      <c r="I21" s="126" t="inlineStr">
        <is>
          <t>T</t>
        </is>
      </c>
      <c r="J21" s="114" t="n"/>
      <c r="K21" s="114" t="n"/>
      <c r="L21" s="125" t="inlineStr">
        <is>
          <t>N</t>
        </is>
      </c>
      <c r="M21" s="114" t="n"/>
      <c r="N21" s="115" t="inlineStr">
        <is>
          <t>M</t>
        </is>
      </c>
      <c r="O21" s="125" t="inlineStr">
        <is>
          <t>N</t>
        </is>
      </c>
      <c r="P21" s="126" t="inlineStr">
        <is>
          <t>T</t>
        </is>
      </c>
      <c r="Q21" s="126" t="inlineStr">
        <is>
          <t>T</t>
        </is>
      </c>
      <c r="R21" s="114" t="n"/>
      <c r="S21" s="125" t="inlineStr">
        <is>
          <t>N</t>
        </is>
      </c>
      <c r="T21" s="125" t="inlineStr">
        <is>
          <t>N</t>
        </is>
      </c>
      <c r="U21" s="114" t="n"/>
      <c r="V21" s="114" t="n"/>
      <c r="W21" s="124" t="inlineStr">
        <is>
          <t>D</t>
        </is>
      </c>
      <c r="X21" s="114" t="n"/>
      <c r="Y21" s="114" t="n"/>
      <c r="Z21" s="125" t="inlineStr">
        <is>
          <t>N</t>
        </is>
      </c>
      <c r="AA21" s="114" t="n"/>
      <c r="AB21" s="124" t="inlineStr">
        <is>
          <t>D</t>
        </is>
      </c>
      <c r="AC21" s="114" t="n"/>
      <c r="AD21" s="126" t="inlineStr">
        <is>
          <t>T</t>
        </is>
      </c>
      <c r="AE21" s="126" t="inlineStr">
        <is>
          <t>T</t>
        </is>
      </c>
      <c r="AF21" s="115" t="inlineStr">
        <is>
          <t>M</t>
        </is>
      </c>
      <c r="AG21" s="125" t="inlineStr">
        <is>
          <t>N</t>
        </is>
      </c>
      <c r="AH21" s="114" t="n"/>
      <c r="AI21" s="115" t="inlineStr">
        <is>
          <t>M</t>
        </is>
      </c>
      <c r="AJ21" s="114" t="n"/>
      <c r="AK21" s="124" t="inlineStr">
        <is>
          <t>D</t>
        </is>
      </c>
      <c r="AL21" s="124" t="inlineStr">
        <is>
          <t>D</t>
        </is>
      </c>
      <c r="AM21" s="100" t="n"/>
      <c r="AN21" s="136">
        <f>IFERROR(INDEX(JUL!I$8:I$73,MATCH($A21,JUL!$A$8:$A$73,0))&amp;"","")</f>
        <v/>
      </c>
      <c r="AO21" s="136">
        <f>IFERROR(INDEX(JUL!J$8:J$73,MATCH($A21,JUL!$A$8:$A$73,0))&amp;"","")</f>
        <v/>
      </c>
      <c r="AP21" s="136">
        <f>IFERROR(INDEX(JUL!K$8:K$73,MATCH($A21,JUL!$A$8:$A$73,0))&amp;"","")</f>
        <v/>
      </c>
      <c r="AQ21" s="116">
        <f>IFERROR(INDEX(JUL!L$8:L$73,MATCH($A21,JUL!$A$8:$A$73,0))&amp;"","")</f>
        <v/>
      </c>
      <c r="AR21" s="116">
        <f>IFERROR(INDEX(JUL!M$8:M$73,MATCH($A21,JUL!$A$8:$A$73,0))&amp;"","")</f>
        <v/>
      </c>
      <c r="AS21" s="100" t="n"/>
      <c r="AT21" s="117">
        <f>SUMPRODUCT(($I21:$O21="M")*6+($I21:$O21="T")*6+($I21:$O21="D")*12+($I21:$O21="N")*12+($I21:$O21="NT")*6+($I21:$O21="C")*10+($I21:$O21="A")*8+($I21:$O21="J")*5+($I21:$O21="CEP")*4+($I21:$O21="CP")*6+($I21:$O21="CRO")*6+($I21:$O21="M+")*6+($I21:$O21="T+")*6+($I21:$O21="D+")*12+($I21:$O21="N+")*12+($I21:$O21="Dm+")*12+($I21:$O21="Dt+")*12+($I21:$O21="Tm-")*6+($I21:$O21="Mt-")*6)</f>
        <v/>
      </c>
      <c r="AU21" s="118">
        <f>AT21-MAX(0,IFERROR(INDEX(CADASTRO!$I$4:$I$80,MATCH($A21,CADASTRO!$A$4:$A$80,0)),$B21)-CONFIG!$B$50*(COUNTIF($I21:$O21,"AB")+COUNTIF($I21:$O21,"FE")+COUNTIF($I21:$O21,"LM")))</f>
        <v/>
      </c>
      <c r="AV21" s="117">
        <f>SUMPRODUCT(($P21:$V21="M")*6+($P21:$V21="T")*6+($P21:$V21="D")*12+($P21:$V21="N")*12+($P21:$V21="NT")*6+($P21:$V21="C")*10+($P21:$V21="A")*8+($P21:$V21="J")*5+($P21:$V21="CEP")*4+($P21:$V21="CP")*6+($P21:$V21="CRO")*6+($P21:$V21="M+")*6+($P21:$V21="T+")*6+($P21:$V21="D+")*12+($P21:$V21="N+")*12+($P21:$V21="Dm+")*12+($P21:$V21="Dt+")*12+($P21:$V21="Tm-")*6+($P21:$V21="Mt-")*6)</f>
        <v/>
      </c>
      <c r="AW21" s="118">
        <f>AV21-MAX(0,IFERROR(INDEX(CADASTRO!$I$4:$I$80,MATCH($A21,CADASTRO!$A$4:$A$80,0)),$B21)-CONFIG!$B$50*(COUNTIF($P21:$V21,"AB")+COUNTIF($P21:$V21,"FE")+COUNTIF($P21:$V21,"LM")))</f>
        <v/>
      </c>
      <c r="AX21" s="117">
        <f>SUMPRODUCT(($W21:$AC21="M")*6+($W21:$AC21="T")*6+($W21:$AC21="D")*12+($W21:$AC21="N")*12+($W21:$AC21="NT")*6+($W21:$AC21="C")*10+($W21:$AC21="A")*8+($W21:$AC21="J")*5+($W21:$AC21="CEP")*4+($W21:$AC21="CP")*6+($W21:$AC21="CRO")*6+($W21:$AC21="M+")*6+($W21:$AC21="T+")*6+($W21:$AC21="D+")*12+($W21:$AC21="N+")*12+($W21:$AC21="Dm+")*12+($W21:$AC21="Dt+")*12+($W21:$AC21="Tm-")*6+($W21:$AC21="Mt-")*6)</f>
        <v/>
      </c>
      <c r="AY21" s="118">
        <f>AX21-MAX(0,IFERROR(INDEX(CADASTRO!$I$4:$I$80,MATCH($A21,CADASTRO!$A$4:$A$80,0)),$B21)-CONFIG!$B$50*(COUNTIF($W21:$AC21,"AB")+COUNTIF($W21:$AC21,"FE")+COUNTIF($W21:$AC21,"LM")))</f>
        <v/>
      </c>
      <c r="AZ21" s="117">
        <f>SUMPRODUCT(($AD21:$AJ21="M")*6+($AD21:$AJ21="T")*6+($AD21:$AJ21="D")*12+($AD21:$AJ21="N")*12+($AD21:$AJ21="NT")*6+($AD21:$AJ21="C")*10+($AD21:$AJ21="A")*8+($AD21:$AJ21="J")*5+($AD21:$AJ21="CEP")*4+($AD21:$AJ21="CP")*6+($AD21:$AJ21="CRO")*6+($AD21:$AJ21="M+")*6+($AD21:$AJ21="T+")*6+($AD21:$AJ21="D+")*12+($AD21:$AJ21="N+")*12+($AD21:$AJ21="Dm+")*12+($AD21:$AJ21="Dt+")*12+($AD21:$AJ21="Tm-")*6+($AD21:$AJ21="Mt-")*6)</f>
        <v/>
      </c>
      <c r="BA21" s="118">
        <f>AZ21-MAX(0,IFERROR(INDEX(CADASTRO!$I$4:$I$80,MATCH($A21,CADASTRO!$A$4:$A$80,0)),$B21)-CONFIG!$B$50*(COUNTIF($AD21:$AJ21,"AB")+COUNTIF($AD21:$AJ21,"FE")+COUNTIF($AD21:$AJ21,"LM")))</f>
        <v/>
      </c>
      <c r="BB21" s="117">
        <f>SUMPRODUCT(($AK21:$AL21="M")*6+($AK21:$AL21="T")*6+($AK21:$AL21="D")*12+($AK21:$AL21="N")*12+($AK21:$AL21="NT")*6+($AK21:$AL21="C")*10+($AK21:$AL21="A")*8+($AK21:$AL21="J")*5+($AK21:$AL21="CEP")*4+($AK21:$AL21="CP")*6+($AK21:$AL21="CRO")*6+($AK21:$AL21="M+")*6+($AK21:$AL21="T+")*6+($AK21:$AL21="D+")*12+($AK21:$AL21="N+")*12+($AK21:$AL21="Dm+")*12+($AK21:$AL21="Dt+")*12+($AK21:$AL21="Tm-")*6+($AK21:$AL21="Mt-")*6)+SUMPRODUCT(($AN21:$AR21="M")*6+($AN21:$AR21="T")*6+($AN21:$AR21="D")*12+($AN21:$AR21="N")*12+($AN21:$AR21="NT")*6+($AN21:$AR21="C")*10+($AN21:$AR21="A")*8+($AN21:$AR21="J")*5+($AN21:$AR21="CEP")*4+($AN21:$AR21="CP")*6+($AN21:$AR21="CRO")*6+($AN21:$AR21="M+")*6+($AN21:$AR21="T+")*6+($AN21:$AR21="D+")*12+($AN21:$AR21="N+")*12+($AN21:$AR21="Dm+")*12+($AN21:$AR21="Dt+")*12+($AN21:$AR21="Tm-")*6+($AN21:$AR21="Mt-")*6)</f>
        <v/>
      </c>
      <c r="BC21" s="118">
        <f>BB21-MAX(0,IFERROR(INDEX(CADASTRO!$I$4:$I$80,MATCH($A21,CADASTRO!$A$4:$A$80,0)),$B21)-CONFIG!$B$50*(COUNTIF($AK21:$AL21,"AB")+COUNTIF($AK21:$AL21,"FE")+COUNTIF($AK21:$AL21,"LM")+COUNTIF($AN21:$AR21,"AB")+COUNTIF($AN21:$AR21,"FE")+COUNTIF($AN21:$AR21,"LM")))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ROUND(B21*4.29,0)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00" t="n"/>
      <c r="H22" s="100" t="n"/>
      <c r="I22" s="127" t="inlineStr">
        <is>
          <t>D-</t>
        </is>
      </c>
      <c r="J22" s="124" t="inlineStr">
        <is>
          <t>D</t>
        </is>
      </c>
      <c r="K22" s="124" t="inlineStr">
        <is>
          <t>D</t>
        </is>
      </c>
      <c r="L22" s="114" t="n"/>
      <c r="M22" s="114" t="n"/>
      <c r="N22" s="114" t="n"/>
      <c r="O22" s="114" t="n"/>
      <c r="P22" s="114" t="n"/>
      <c r="Q22" s="126" t="inlineStr">
        <is>
          <t>T</t>
        </is>
      </c>
      <c r="R22" s="114" t="n"/>
      <c r="S22" s="124" t="inlineStr">
        <is>
          <t>D</t>
        </is>
      </c>
      <c r="T22" s="114" t="n"/>
      <c r="U22" s="126" t="inlineStr">
        <is>
          <t>T</t>
        </is>
      </c>
      <c r="V22" s="125" t="inlineStr">
        <is>
          <t>N</t>
        </is>
      </c>
      <c r="W22" s="114" t="n"/>
      <c r="X22" s="124" t="inlineStr">
        <is>
          <t>D</t>
        </is>
      </c>
      <c r="Y22" s="115" t="inlineStr">
        <is>
          <t>M</t>
        </is>
      </c>
      <c r="Z22" s="124" t="inlineStr">
        <is>
          <t>D</t>
        </is>
      </c>
      <c r="AA22" s="115" t="inlineStr">
        <is>
          <t>M</t>
        </is>
      </c>
      <c r="AB22" s="114" t="n"/>
      <c r="AC22" s="114" t="n"/>
      <c r="AD22" s="114" t="n"/>
      <c r="AE22" s="124" t="inlineStr">
        <is>
          <t>D</t>
        </is>
      </c>
      <c r="AF22" s="123" t="inlineStr">
        <is>
          <t>N+</t>
        </is>
      </c>
      <c r="AG22" s="114" t="n"/>
      <c r="AH22" s="115" t="inlineStr">
        <is>
          <t>M</t>
        </is>
      </c>
      <c r="AI22" s="126" t="inlineStr">
        <is>
          <t>T</t>
        </is>
      </c>
      <c r="AJ22" s="124" t="inlineStr">
        <is>
          <t>D</t>
        </is>
      </c>
      <c r="AK22" s="114" t="n"/>
      <c r="AL22" s="124" t="inlineStr">
        <is>
          <t>D</t>
        </is>
      </c>
      <c r="AM22" s="100" t="n"/>
      <c r="AN22" s="136">
        <f>IFERROR(INDEX(JUL!I$8:I$73,MATCH($A22,JUL!$A$8:$A$73,0))&amp;"","")</f>
        <v/>
      </c>
      <c r="AO22" s="136">
        <f>IFERROR(INDEX(JUL!J$8:J$73,MATCH($A22,JUL!$A$8:$A$73,0))&amp;"","")</f>
        <v/>
      </c>
      <c r="AP22" s="136">
        <f>IFERROR(INDEX(JUL!K$8:K$73,MATCH($A22,JUL!$A$8:$A$73,0))&amp;"","")</f>
        <v/>
      </c>
      <c r="AQ22" s="116">
        <f>IFERROR(INDEX(JUL!L$8:L$73,MATCH($A22,JUL!$A$8:$A$73,0))&amp;"","")</f>
        <v/>
      </c>
      <c r="AR22" s="116">
        <f>IFERROR(INDEX(JUL!M$8:M$73,MATCH($A22,JUL!$A$8:$A$73,0))&amp;"","")</f>
        <v/>
      </c>
      <c r="AS22" s="100" t="n"/>
      <c r="AT22" s="117">
        <f>SUMPRODUCT(($I22:$O22="M")*6+($I22:$O22="T")*6+($I22:$O22="D")*12+($I22:$O22="N")*12+($I22:$O22="NT")*6+($I22:$O22="C")*10+($I22:$O22="A")*8+($I22:$O22="J")*5+($I22:$O22="CEP")*4+($I22:$O22="CP")*6+($I22:$O22="CRO")*6+($I22:$O22="M+")*6+($I22:$O22="T+")*6+($I22:$O22="D+")*12+($I22:$O22="N+")*12+($I22:$O22="Dm+")*12+($I22:$O22="Dt+")*12+($I22:$O22="Tm-")*6+($I22:$O22="Mt-")*6)</f>
        <v/>
      </c>
      <c r="AU22" s="118">
        <f>AT22-MAX(0,IFERROR(INDEX(CADASTRO!$I$4:$I$80,MATCH($A22,CADASTRO!$A$4:$A$80,0)),$B22)-CONFIG!$B$50*(COUNTIF($I22:$O22,"AB")+COUNTIF($I22:$O22,"FE")+COUNTIF($I22:$O22,"LM")))</f>
        <v/>
      </c>
      <c r="AV22" s="117">
        <f>SUMPRODUCT(($P22:$V22="M")*6+($P22:$V22="T")*6+($P22:$V22="D")*12+($P22:$V22="N")*12+($P22:$V22="NT")*6+($P22:$V22="C")*10+($P22:$V22="A")*8+($P22:$V22="J")*5+($P22:$V22="CEP")*4+($P22:$V22="CP")*6+($P22:$V22="CRO")*6+($P22:$V22="M+")*6+($P22:$V22="T+")*6+($P22:$V22="D+")*12+($P22:$V22="N+")*12+($P22:$V22="Dm+")*12+($P22:$V22="Dt+")*12+($P22:$V22="Tm-")*6+($P22:$V22="Mt-")*6)</f>
        <v/>
      </c>
      <c r="AW22" s="118">
        <f>AV22-MAX(0,IFERROR(INDEX(CADASTRO!$I$4:$I$80,MATCH($A22,CADASTRO!$A$4:$A$80,0)),$B22)-CONFIG!$B$50*(COUNTIF($P22:$V22,"AB")+COUNTIF($P22:$V22,"FE")+COUNTIF($P22:$V22,"LM")))</f>
        <v/>
      </c>
      <c r="AX22" s="117">
        <f>SUMPRODUCT(($W22:$AC22="M")*6+($W22:$AC22="T")*6+($W22:$AC22="D")*12+($W22:$AC22="N")*12+($W22:$AC22="NT")*6+($W22:$AC22="C")*10+($W22:$AC22="A")*8+($W22:$AC22="J")*5+($W22:$AC22="CEP")*4+($W22:$AC22="CP")*6+($W22:$AC22="CRO")*6+($W22:$AC22="M+")*6+($W22:$AC22="T+")*6+($W22:$AC22="D+")*12+($W22:$AC22="N+")*12+($W22:$AC22="Dm+")*12+($W22:$AC22="Dt+")*12+($W22:$AC22="Tm-")*6+($W22:$AC22="Mt-")*6)</f>
        <v/>
      </c>
      <c r="AY22" s="118">
        <f>AX22-MAX(0,IFERROR(INDEX(CADASTRO!$I$4:$I$80,MATCH($A22,CADASTRO!$A$4:$A$80,0)),$B22)-CONFIG!$B$50*(COUNTIF($W22:$AC22,"AB")+COUNTIF($W22:$AC22,"FE")+COUNTIF($W22:$AC22,"LM")))</f>
        <v/>
      </c>
      <c r="AZ22" s="117">
        <f>SUMPRODUCT(($AD22:$AJ22="M")*6+($AD22:$AJ22="T")*6+($AD22:$AJ22="D")*12+($AD22:$AJ22="N")*12+($AD22:$AJ22="NT")*6+($AD22:$AJ22="C")*10+($AD22:$AJ22="A")*8+($AD22:$AJ22="J")*5+($AD22:$AJ22="CEP")*4+($AD22:$AJ22="CP")*6+($AD22:$AJ22="CRO")*6+($AD22:$AJ22="M+")*6+($AD22:$AJ22="T+")*6+($AD22:$AJ22="D+")*12+($AD22:$AJ22="N+")*12+($AD22:$AJ22="Dm+")*12+($AD22:$AJ22="Dt+")*12+($AD22:$AJ22="Tm-")*6+($AD22:$AJ22="Mt-")*6)</f>
        <v/>
      </c>
      <c r="BA22" s="118">
        <f>AZ22-MAX(0,IFERROR(INDEX(CADASTRO!$I$4:$I$80,MATCH($A22,CADASTRO!$A$4:$A$80,0)),$B22)-CONFIG!$B$50*(COUNTIF($AD22:$AJ22,"AB")+COUNTIF($AD22:$AJ22,"FE")+COUNTIF($AD22:$AJ22,"LM")))</f>
        <v/>
      </c>
      <c r="BB22" s="117">
        <f>SUMPRODUCT(($AK22:$AL22="M")*6+($AK22:$AL22="T")*6+($AK22:$AL22="D")*12+($AK22:$AL22="N")*12+($AK22:$AL22="NT")*6+($AK22:$AL22="C")*10+($AK22:$AL22="A")*8+($AK22:$AL22="J")*5+($AK22:$AL22="CEP")*4+($AK22:$AL22="CP")*6+($AK22:$AL22="CRO")*6+($AK22:$AL22="M+")*6+($AK22:$AL22="T+")*6+($AK22:$AL22="D+")*12+($AK22:$AL22="N+")*12+($AK22:$AL22="Dm+")*12+($AK22:$AL22="Dt+")*12+($AK22:$AL22="Tm-")*6+($AK22:$AL22="Mt-")*6)+SUMPRODUCT(($AN22:$AR22="M")*6+($AN22:$AR22="T")*6+($AN22:$AR22="D")*12+($AN22:$AR22="N")*12+($AN22:$AR22="NT")*6+($AN22:$AR22="C")*10+($AN22:$AR22="A")*8+($AN22:$AR22="J")*5+($AN22:$AR22="CEP")*4+($AN22:$AR22="CP")*6+($AN22:$AR22="CRO")*6+($AN22:$AR22="M+")*6+($AN22:$AR22="T+")*6+($AN22:$AR22="D+")*12+($AN22:$AR22="N+")*12+($AN22:$AR22="Dm+")*12+($AN22:$AR22="Dt+")*12+($AN22:$AR22="Tm-")*6+($AN22:$AR22="Mt-")*6)</f>
        <v/>
      </c>
      <c r="BC22" s="118">
        <f>BB22-MAX(0,IFERROR(INDEX(CADASTRO!$I$4:$I$80,MATCH($A22,CADASTRO!$A$4:$A$80,0)),$B22)-CONFIG!$B$50*(COUNTIF($AK22:$AL22,"AB")+COUNTIF($AK22:$AL22,"FE")+COUNTIF($AK22:$AL22,"LM")+COUNTIF($AN22:$AR22,"AB")+COUNTIF($AN22:$AR22,"FE")+COUNTIF($AN22:$AR22,"LM")))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ROUND(B22*4.29,0)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00" t="n"/>
      <c r="H23" s="100" t="n"/>
      <c r="I23" s="114" t="n"/>
      <c r="J23" s="123" t="inlineStr">
        <is>
          <t>D+</t>
        </is>
      </c>
      <c r="K23" s="114" t="n"/>
      <c r="L23" s="124" t="inlineStr">
        <is>
          <t>D</t>
        </is>
      </c>
      <c r="M23" s="114" t="n"/>
      <c r="N23" s="124" t="inlineStr">
        <is>
          <t>D</t>
        </is>
      </c>
      <c r="O23" s="124" t="inlineStr">
        <is>
          <t>D</t>
        </is>
      </c>
      <c r="P23" s="127" t="inlineStr">
        <is>
          <t>D-</t>
        </is>
      </c>
      <c r="Q23" s="124" t="inlineStr">
        <is>
          <t>D</t>
        </is>
      </c>
      <c r="R23" s="114" t="n"/>
      <c r="S23" s="124" t="inlineStr">
        <is>
          <t>D</t>
        </is>
      </c>
      <c r="T23" s="114" t="n"/>
      <c r="U23" s="114" t="n"/>
      <c r="V23" s="114" t="n"/>
      <c r="W23" s="114" t="n"/>
      <c r="X23" s="124" t="inlineStr">
        <is>
          <t>D</t>
        </is>
      </c>
      <c r="Y23" s="114" t="n"/>
      <c r="Z23" s="124" t="inlineStr">
        <is>
          <t>D</t>
        </is>
      </c>
      <c r="AA23" s="114" t="n"/>
      <c r="AB23" s="124" t="inlineStr">
        <is>
          <t>D</t>
        </is>
      </c>
      <c r="AC23" s="114" t="n"/>
      <c r="AD23" s="124" t="inlineStr">
        <is>
          <t>D</t>
        </is>
      </c>
      <c r="AE23" s="124" t="inlineStr">
        <is>
          <t>D</t>
        </is>
      </c>
      <c r="AF23" s="114" t="n"/>
      <c r="AG23" s="124" t="inlineStr">
        <is>
          <t>D</t>
        </is>
      </c>
      <c r="AH23" s="114" t="n"/>
      <c r="AI23" s="114" t="n"/>
      <c r="AJ23" s="114" t="n"/>
      <c r="AK23" s="124" t="inlineStr">
        <is>
          <t>D</t>
        </is>
      </c>
      <c r="AL23" s="115" t="inlineStr">
        <is>
          <t>M</t>
        </is>
      </c>
      <c r="AM23" s="100" t="n"/>
      <c r="AN23" s="136">
        <f>IFERROR(INDEX(JUL!I$8:I$73,MATCH($A23,JUL!$A$8:$A$73,0))&amp;"","")</f>
        <v/>
      </c>
      <c r="AO23" s="136">
        <f>IFERROR(INDEX(JUL!J$8:J$73,MATCH($A23,JUL!$A$8:$A$73,0))&amp;"","")</f>
        <v/>
      </c>
      <c r="AP23" s="136">
        <f>IFERROR(INDEX(JUL!K$8:K$73,MATCH($A23,JUL!$A$8:$A$73,0))&amp;"","")</f>
        <v/>
      </c>
      <c r="AQ23" s="116">
        <f>IFERROR(INDEX(JUL!L$8:L$73,MATCH($A23,JUL!$A$8:$A$73,0))&amp;"","")</f>
        <v/>
      </c>
      <c r="AR23" s="116">
        <f>IFERROR(INDEX(JUL!M$8:M$73,MATCH($A23,JUL!$A$8:$A$73,0))&amp;"","")</f>
        <v/>
      </c>
      <c r="AS23" s="100" t="n"/>
      <c r="AT23" s="117">
        <f>SUMPRODUCT(($I23:$O23="M")*6+($I23:$O23="T")*6+($I23:$O23="D")*12+($I23:$O23="N")*12+($I23:$O23="NT")*6+($I23:$O23="C")*10+($I23:$O23="A")*8+($I23:$O23="J")*5+($I23:$O23="CEP")*4+($I23:$O23="CP")*6+($I23:$O23="CRO")*6+($I23:$O23="M+")*6+($I23:$O23="T+")*6+($I23:$O23="D+")*12+($I23:$O23="N+")*12+($I23:$O23="Dm+")*12+($I23:$O23="Dt+")*12+($I23:$O23="Tm-")*6+($I23:$O23="Mt-")*6)</f>
        <v/>
      </c>
      <c r="AU23" s="118">
        <f>AT23-MAX(0,IFERROR(INDEX(CADASTRO!$I$4:$I$80,MATCH($A23,CADASTRO!$A$4:$A$80,0)),$B23)-CONFIG!$B$50*(COUNTIF($I23:$O23,"AB")+COUNTIF($I23:$O23,"FE")+COUNTIF($I23:$O23,"LM")))</f>
        <v/>
      </c>
      <c r="AV23" s="117">
        <f>SUMPRODUCT(($P23:$V23="M")*6+($P23:$V23="T")*6+($P23:$V23="D")*12+($P23:$V23="N")*12+($P23:$V23="NT")*6+($P23:$V23="C")*10+($P23:$V23="A")*8+($P23:$V23="J")*5+($P23:$V23="CEP")*4+($P23:$V23="CP")*6+($P23:$V23="CRO")*6+($P23:$V23="M+")*6+($P23:$V23="T+")*6+($P23:$V23="D+")*12+($P23:$V23="N+")*12+($P23:$V23="Dm+")*12+($P23:$V23="Dt+")*12+($P23:$V23="Tm-")*6+($P23:$V23="Mt-")*6)</f>
        <v/>
      </c>
      <c r="AW23" s="118">
        <f>AV23-MAX(0,IFERROR(INDEX(CADASTRO!$I$4:$I$80,MATCH($A23,CADASTRO!$A$4:$A$80,0)),$B23)-CONFIG!$B$50*(COUNTIF($P23:$V23,"AB")+COUNTIF($P23:$V23,"FE")+COUNTIF($P23:$V23,"LM")))</f>
        <v/>
      </c>
      <c r="AX23" s="117">
        <f>SUMPRODUCT(($W23:$AC23="M")*6+($W23:$AC23="T")*6+($W23:$AC23="D")*12+($W23:$AC23="N")*12+($W23:$AC23="NT")*6+($W23:$AC23="C")*10+($W23:$AC23="A")*8+($W23:$AC23="J")*5+($W23:$AC23="CEP")*4+($W23:$AC23="CP")*6+($W23:$AC23="CRO")*6+($W23:$AC23="M+")*6+($W23:$AC23="T+")*6+($W23:$AC23="D+")*12+($W23:$AC23="N+")*12+($W23:$AC23="Dm+")*12+($W23:$AC23="Dt+")*12+($W23:$AC23="Tm-")*6+($W23:$AC23="Mt-")*6)</f>
        <v/>
      </c>
      <c r="AY23" s="118">
        <f>AX23-MAX(0,IFERROR(INDEX(CADASTRO!$I$4:$I$80,MATCH($A23,CADASTRO!$A$4:$A$80,0)),$B23)-CONFIG!$B$50*(COUNTIF($W23:$AC23,"AB")+COUNTIF($W23:$AC23,"FE")+COUNTIF($W23:$AC23,"LM")))</f>
        <v/>
      </c>
      <c r="AZ23" s="117">
        <f>SUMPRODUCT(($AD23:$AJ23="M")*6+($AD23:$AJ23="T")*6+($AD23:$AJ23="D")*12+($AD23:$AJ23="N")*12+($AD23:$AJ23="NT")*6+($AD23:$AJ23="C")*10+($AD23:$AJ23="A")*8+($AD23:$AJ23="J")*5+($AD23:$AJ23="CEP")*4+($AD23:$AJ23="CP")*6+($AD23:$AJ23="CRO")*6+($AD23:$AJ23="M+")*6+($AD23:$AJ23="T+")*6+($AD23:$AJ23="D+")*12+($AD23:$AJ23="N+")*12+($AD23:$AJ23="Dm+")*12+($AD23:$AJ23="Dt+")*12+($AD23:$AJ23="Tm-")*6+($AD23:$AJ23="Mt-")*6)</f>
        <v/>
      </c>
      <c r="BA23" s="118">
        <f>AZ23-MAX(0,IFERROR(INDEX(CADASTRO!$I$4:$I$80,MATCH($A23,CADASTRO!$A$4:$A$80,0)),$B23)-CONFIG!$B$50*(COUNTIF($AD23:$AJ23,"AB")+COUNTIF($AD23:$AJ23,"FE")+COUNTIF($AD23:$AJ23,"LM")))</f>
        <v/>
      </c>
      <c r="BB23" s="117">
        <f>SUMPRODUCT(($AK23:$AL23="M")*6+($AK23:$AL23="T")*6+($AK23:$AL23="D")*12+($AK23:$AL23="N")*12+($AK23:$AL23="NT")*6+($AK23:$AL23="C")*10+($AK23:$AL23="A")*8+($AK23:$AL23="J")*5+($AK23:$AL23="CEP")*4+($AK23:$AL23="CP")*6+($AK23:$AL23="CRO")*6+($AK23:$AL23="M+")*6+($AK23:$AL23="T+")*6+($AK23:$AL23="D+")*12+($AK23:$AL23="N+")*12+($AK23:$AL23="Dm+")*12+($AK23:$AL23="Dt+")*12+($AK23:$AL23="Tm-")*6+($AK23:$AL23="Mt-")*6)+SUMPRODUCT(($AN23:$AR23="M")*6+($AN23:$AR23="T")*6+($AN23:$AR23="D")*12+($AN23:$AR23="N")*12+($AN23:$AR23="NT")*6+($AN23:$AR23="C")*10+($AN23:$AR23="A")*8+($AN23:$AR23="J")*5+($AN23:$AR23="CEP")*4+($AN23:$AR23="CP")*6+($AN23:$AR23="CRO")*6+($AN23:$AR23="M+")*6+($AN23:$AR23="T+")*6+($AN23:$AR23="D+")*12+($AN23:$AR23="N+")*12+($AN23:$AR23="Dm+")*12+($AN23:$AR23="Dt+")*12+($AN23:$AR23="Tm-")*6+($AN23:$AR23="Mt-")*6)</f>
        <v/>
      </c>
      <c r="BC23" s="118">
        <f>BB23-MAX(0,IFERROR(INDEX(CADASTRO!$I$4:$I$80,MATCH($A23,CADASTRO!$A$4:$A$80,0)),$B23)-CONFIG!$B$50*(COUNTIF($AK23:$AL23,"AB")+COUNTIF($AK23:$AL23,"FE")+COUNTIF($AK23:$AL23,"LM")+COUNTIF($AN23:$AR23,"AB")+COUNTIF($AN23:$AR23,"FE")+COUNTIF($AN23:$AR23,"LM")))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ROUND(B23*4.29,0)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00" t="n"/>
      <c r="H24" s="100" t="n"/>
      <c r="I24" s="114" t="n"/>
      <c r="J24" s="124" t="inlineStr">
        <is>
          <t>D</t>
        </is>
      </c>
      <c r="K24" s="114" t="n"/>
      <c r="L24" s="114" t="n"/>
      <c r="M24" s="125" t="inlineStr">
        <is>
          <t>N</t>
        </is>
      </c>
      <c r="N24" s="114" t="n"/>
      <c r="O24" s="124" t="inlineStr">
        <is>
          <t>D</t>
        </is>
      </c>
      <c r="P24" s="114" t="n"/>
      <c r="Q24" s="124" t="inlineStr">
        <is>
          <t>D</t>
        </is>
      </c>
      <c r="R24" s="115" t="inlineStr">
        <is>
          <t>M</t>
        </is>
      </c>
      <c r="S24" s="124" t="inlineStr">
        <is>
          <t>D</t>
        </is>
      </c>
      <c r="T24" s="126" t="inlineStr">
        <is>
          <t>T</t>
        </is>
      </c>
      <c r="U24" s="114" t="n"/>
      <c r="V24" s="114" t="n"/>
      <c r="W24" s="114" t="n"/>
      <c r="X24" s="124" t="inlineStr">
        <is>
          <t>D</t>
        </is>
      </c>
      <c r="Y24" s="114" t="n"/>
      <c r="Z24" s="124" t="inlineStr">
        <is>
          <t>D</t>
        </is>
      </c>
      <c r="AA24" s="114" t="n"/>
      <c r="AB24" s="125" t="inlineStr">
        <is>
          <t>N</t>
        </is>
      </c>
      <c r="AC24" s="114" t="n"/>
      <c r="AD24" s="114" t="n"/>
      <c r="AE24" s="124" t="inlineStr">
        <is>
          <t>D</t>
        </is>
      </c>
      <c r="AF24" s="114" t="n"/>
      <c r="AG24" s="124" t="inlineStr">
        <is>
          <t>D</t>
        </is>
      </c>
      <c r="AH24" s="114" t="n"/>
      <c r="AI24" s="125" t="inlineStr">
        <is>
          <t>N</t>
        </is>
      </c>
      <c r="AJ24" s="114" t="n"/>
      <c r="AK24" s="124" t="inlineStr">
        <is>
          <t>D</t>
        </is>
      </c>
      <c r="AL24" s="114" t="n"/>
      <c r="AM24" s="100" t="n"/>
      <c r="AN24" s="136">
        <f>IFERROR(INDEX(JUL!I$8:I$73,MATCH($A24,JUL!$A$8:$A$73,0))&amp;"","")</f>
        <v/>
      </c>
      <c r="AO24" s="136">
        <f>IFERROR(INDEX(JUL!J$8:J$73,MATCH($A24,JUL!$A$8:$A$73,0))&amp;"","")</f>
        <v/>
      </c>
      <c r="AP24" s="136">
        <f>IFERROR(INDEX(JUL!K$8:K$73,MATCH($A24,JUL!$A$8:$A$73,0))&amp;"","")</f>
        <v/>
      </c>
      <c r="AQ24" s="116">
        <f>IFERROR(INDEX(JUL!L$8:L$73,MATCH($A24,JUL!$A$8:$A$73,0))&amp;"","")</f>
        <v/>
      </c>
      <c r="AR24" s="116">
        <f>IFERROR(INDEX(JUL!M$8:M$73,MATCH($A24,JUL!$A$8:$A$73,0))&amp;"","")</f>
        <v/>
      </c>
      <c r="AS24" s="100" t="n"/>
      <c r="AT24" s="117">
        <f>SUMPRODUCT(($I24:$O24="M")*6+($I24:$O24="T")*6+($I24:$O24="D")*12+($I24:$O24="N")*12+($I24:$O24="NT")*6+($I24:$O24="C")*10+($I24:$O24="A")*8+($I24:$O24="J")*5+($I24:$O24="CEP")*4+($I24:$O24="CP")*6+($I24:$O24="CRO")*6+($I24:$O24="M+")*6+($I24:$O24="T+")*6+($I24:$O24="D+")*12+($I24:$O24="N+")*12+($I24:$O24="Dm+")*12+($I24:$O24="Dt+")*12+($I24:$O24="Tm-")*6+($I24:$O24="Mt-")*6)</f>
        <v/>
      </c>
      <c r="AU24" s="118">
        <f>AT24-MAX(0,IFERROR(INDEX(CADASTRO!$I$4:$I$80,MATCH($A24,CADASTRO!$A$4:$A$80,0)),$B24)-CONFIG!$B$50*(COUNTIF($I24:$O24,"AB")+COUNTIF($I24:$O24,"FE")+COUNTIF($I24:$O24,"LM")))</f>
        <v/>
      </c>
      <c r="AV24" s="117">
        <f>SUMPRODUCT(($P24:$V24="M")*6+($P24:$V24="T")*6+($P24:$V24="D")*12+($P24:$V24="N")*12+($P24:$V24="NT")*6+($P24:$V24="C")*10+($P24:$V24="A")*8+($P24:$V24="J")*5+($P24:$V24="CEP")*4+($P24:$V24="CP")*6+($P24:$V24="CRO")*6+($P24:$V24="M+")*6+($P24:$V24="T+")*6+($P24:$V24="D+")*12+($P24:$V24="N+")*12+($P24:$V24="Dm+")*12+($P24:$V24="Dt+")*12+($P24:$V24="Tm-")*6+($P24:$V24="Mt-")*6)</f>
        <v/>
      </c>
      <c r="AW24" s="118">
        <f>AV24-MAX(0,IFERROR(INDEX(CADASTRO!$I$4:$I$80,MATCH($A24,CADASTRO!$A$4:$A$80,0)),$B24)-CONFIG!$B$50*(COUNTIF($P24:$V24,"AB")+COUNTIF($P24:$V24,"FE")+COUNTIF($P24:$V24,"LM")))</f>
        <v/>
      </c>
      <c r="AX24" s="117">
        <f>SUMPRODUCT(($W24:$AC24="M")*6+($W24:$AC24="T")*6+($W24:$AC24="D")*12+($W24:$AC24="N")*12+($W24:$AC24="NT")*6+($W24:$AC24="C")*10+($W24:$AC24="A")*8+($W24:$AC24="J")*5+($W24:$AC24="CEP")*4+($W24:$AC24="CP")*6+($W24:$AC24="CRO")*6+($W24:$AC24="M+")*6+($W24:$AC24="T+")*6+($W24:$AC24="D+")*12+($W24:$AC24="N+")*12+($W24:$AC24="Dm+")*12+($W24:$AC24="Dt+")*12+($W24:$AC24="Tm-")*6+($W24:$AC24="Mt-")*6)</f>
        <v/>
      </c>
      <c r="AY24" s="118">
        <f>AX24-MAX(0,IFERROR(INDEX(CADASTRO!$I$4:$I$80,MATCH($A24,CADASTRO!$A$4:$A$80,0)),$B24)-CONFIG!$B$50*(COUNTIF($W24:$AC24,"AB")+COUNTIF($W24:$AC24,"FE")+COUNTIF($W24:$AC24,"LM")))</f>
        <v/>
      </c>
      <c r="AZ24" s="117">
        <f>SUMPRODUCT(($AD24:$AJ24="M")*6+($AD24:$AJ24="T")*6+($AD24:$AJ24="D")*12+($AD24:$AJ24="N")*12+($AD24:$AJ24="NT")*6+($AD24:$AJ24="C")*10+($AD24:$AJ24="A")*8+($AD24:$AJ24="J")*5+($AD24:$AJ24="CEP")*4+($AD24:$AJ24="CP")*6+($AD24:$AJ24="CRO")*6+($AD24:$AJ24="M+")*6+($AD24:$AJ24="T+")*6+($AD24:$AJ24="D+")*12+($AD24:$AJ24="N+")*12+($AD24:$AJ24="Dm+")*12+($AD24:$AJ24="Dt+")*12+($AD24:$AJ24="Tm-")*6+($AD24:$AJ24="Mt-")*6)</f>
        <v/>
      </c>
      <c r="BA24" s="118">
        <f>AZ24-MAX(0,IFERROR(INDEX(CADASTRO!$I$4:$I$80,MATCH($A24,CADASTRO!$A$4:$A$80,0)),$B24)-CONFIG!$B$50*(COUNTIF($AD24:$AJ24,"AB")+COUNTIF($AD24:$AJ24,"FE")+COUNTIF($AD24:$AJ24,"LM")))</f>
        <v/>
      </c>
      <c r="BB24" s="117">
        <f>SUMPRODUCT(($AK24:$AL24="M")*6+($AK24:$AL24="T")*6+($AK24:$AL24="D")*12+($AK24:$AL24="N")*12+($AK24:$AL24="NT")*6+($AK24:$AL24="C")*10+($AK24:$AL24="A")*8+($AK24:$AL24="J")*5+($AK24:$AL24="CEP")*4+($AK24:$AL24="CP")*6+($AK24:$AL24="CRO")*6+($AK24:$AL24="M+")*6+($AK24:$AL24="T+")*6+($AK24:$AL24="D+")*12+($AK24:$AL24="N+")*12+($AK24:$AL24="Dm+")*12+($AK24:$AL24="Dt+")*12+($AK24:$AL24="Tm-")*6+($AK24:$AL24="Mt-")*6)+SUMPRODUCT(($AN24:$AR24="M")*6+($AN24:$AR24="T")*6+($AN24:$AR24="D")*12+($AN24:$AR24="N")*12+($AN24:$AR24="NT")*6+($AN24:$AR24="C")*10+($AN24:$AR24="A")*8+($AN24:$AR24="J")*5+($AN24:$AR24="CEP")*4+($AN24:$AR24="CP")*6+($AN24:$AR24="CRO")*6+($AN24:$AR24="M+")*6+($AN24:$AR24="T+")*6+($AN24:$AR24="D+")*12+($AN24:$AR24="N+")*12+($AN24:$AR24="Dm+")*12+($AN24:$AR24="Dt+")*12+($AN24:$AR24="Tm-")*6+($AN24:$AR24="Mt-")*6)</f>
        <v/>
      </c>
      <c r="BC24" s="118">
        <f>BB24-MAX(0,IFERROR(INDEX(CADASTRO!$I$4:$I$80,MATCH($A24,CADASTRO!$A$4:$A$80,0)),$B24)-CONFIG!$B$50*(COUNTIF($AK24:$AL24,"AB")+COUNTIF($AK24:$AL24,"FE")+COUNTIF($AK24:$AL24,"LM")+COUNTIF($AN24:$AR24,"AB")+COUNTIF($AN24:$AR24,"FE")+COUNTIF($AN24:$AR24,"LM")))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ROUND(B24*4.29,0)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00" t="n"/>
      <c r="H25" s="100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25" t="inlineStr">
        <is>
          <t>N</t>
        </is>
      </c>
      <c r="Y25" s="125" t="inlineStr">
        <is>
          <t>N</t>
        </is>
      </c>
      <c r="Z25" s="114" t="n"/>
      <c r="AA25" s="114" t="n"/>
      <c r="AB25" s="114" t="n"/>
      <c r="AC25" s="125" t="inlineStr">
        <is>
          <t>N</t>
        </is>
      </c>
      <c r="AD25" s="114" t="n"/>
      <c r="AE25" s="125" t="inlineStr">
        <is>
          <t>N</t>
        </is>
      </c>
      <c r="AF25" s="125" t="inlineStr">
        <is>
          <t>N</t>
        </is>
      </c>
      <c r="AG25" s="114" t="n"/>
      <c r="AH25" s="114" t="n"/>
      <c r="AI25" s="114" t="n"/>
      <c r="AJ25" s="125" t="inlineStr">
        <is>
          <t>N</t>
        </is>
      </c>
      <c r="AK25" s="125" t="inlineStr">
        <is>
          <t>N</t>
        </is>
      </c>
      <c r="AL25" s="114" t="n"/>
      <c r="AM25" s="100" t="n"/>
      <c r="AN25" s="136">
        <f>IFERROR(INDEX(JUL!I$8:I$73,MATCH($A25,JUL!$A$8:$A$73,0))&amp;"","")</f>
        <v/>
      </c>
      <c r="AO25" s="136">
        <f>IFERROR(INDEX(JUL!J$8:J$73,MATCH($A25,JUL!$A$8:$A$73,0))&amp;"","")</f>
        <v/>
      </c>
      <c r="AP25" s="136">
        <f>IFERROR(INDEX(JUL!K$8:K$73,MATCH($A25,JUL!$A$8:$A$73,0))&amp;"","")</f>
        <v/>
      </c>
      <c r="AQ25" s="116">
        <f>IFERROR(INDEX(JUL!L$8:L$73,MATCH($A25,JUL!$A$8:$A$73,0))&amp;"","")</f>
        <v/>
      </c>
      <c r="AR25" s="116">
        <f>IFERROR(INDEX(JUL!M$8:M$73,MATCH($A25,JUL!$A$8:$A$73,0))&amp;"","")</f>
        <v/>
      </c>
      <c r="AS25" s="100" t="n"/>
      <c r="AT25" s="117">
        <f>SUMPRODUCT(($I25:$O25="M")*6+($I25:$O25="T")*6+($I25:$O25="D")*12+($I25:$O25="N")*12+($I25:$O25="NT")*6+($I25:$O25="C")*10+($I25:$O25="A")*8+($I25:$O25="J")*5+($I25:$O25="CEP")*4+($I25:$O25="CP")*6+($I25:$O25="CRO")*6+($I25:$O25="M+")*6+($I25:$O25="T+")*6+($I25:$O25="D+")*12+($I25:$O25="N+")*12+($I25:$O25="Dm+")*12+($I25:$O25="Dt+")*12+($I25:$O25="Tm-")*6+($I25:$O25="Mt-")*6)</f>
        <v/>
      </c>
      <c r="AU25" s="118">
        <f>AT25-MAX(0,IFERROR(INDEX(CADASTRO!$I$4:$I$80,MATCH($A25,CADASTRO!$A$4:$A$80,0)),$B25)-CONFIG!$B$50*(COUNTIF($I25:$O25,"AB")+COUNTIF($I25:$O25,"FE")+COUNTIF($I25:$O25,"LM")))</f>
        <v/>
      </c>
      <c r="AV25" s="117">
        <f>SUMPRODUCT(($P25:$V25="M")*6+($P25:$V25="T")*6+($P25:$V25="D")*12+($P25:$V25="N")*12+($P25:$V25="NT")*6+($P25:$V25="C")*10+($P25:$V25="A")*8+($P25:$V25="J")*5+($P25:$V25="CEP")*4+($P25:$V25="CP")*6+($P25:$V25="CRO")*6+($P25:$V25="M+")*6+($P25:$V25="T+")*6+($P25:$V25="D+")*12+($P25:$V25="N+")*12+($P25:$V25="Dm+")*12+($P25:$V25="Dt+")*12+($P25:$V25="Tm-")*6+($P25:$V25="Mt-")*6)</f>
        <v/>
      </c>
      <c r="AW25" s="118">
        <f>AV25-MAX(0,IFERROR(INDEX(CADASTRO!$I$4:$I$80,MATCH($A25,CADASTRO!$A$4:$A$80,0)),$B25)-CONFIG!$B$50*(COUNTIF($P25:$V25,"AB")+COUNTIF($P25:$V25,"FE")+COUNTIF($P25:$V25,"LM")))</f>
        <v/>
      </c>
      <c r="AX25" s="117">
        <f>SUMPRODUCT(($W25:$AC25="M")*6+($W25:$AC25="T")*6+($W25:$AC25="D")*12+($W25:$AC25="N")*12+($W25:$AC25="NT")*6+($W25:$AC25="C")*10+($W25:$AC25="A")*8+($W25:$AC25="J")*5+($W25:$AC25="CEP")*4+($W25:$AC25="CP")*6+($W25:$AC25="CRO")*6+($W25:$AC25="M+")*6+($W25:$AC25="T+")*6+($W25:$AC25="D+")*12+($W25:$AC25="N+")*12+($W25:$AC25="Dm+")*12+($W25:$AC25="Dt+")*12+($W25:$AC25="Tm-")*6+($W25:$AC25="Mt-")*6)</f>
        <v/>
      </c>
      <c r="AY25" s="118">
        <f>AX25-MAX(0,IFERROR(INDEX(CADASTRO!$I$4:$I$80,MATCH($A25,CADASTRO!$A$4:$A$80,0)),$B25)-CONFIG!$B$50*(COUNTIF($W25:$AC25,"AB")+COUNTIF($W25:$AC25,"FE")+COUNTIF($W25:$AC25,"LM")))</f>
        <v/>
      </c>
      <c r="AZ25" s="117">
        <f>SUMPRODUCT(($AD25:$AJ25="M")*6+($AD25:$AJ25="T")*6+($AD25:$AJ25="D")*12+($AD25:$AJ25="N")*12+($AD25:$AJ25="NT")*6+($AD25:$AJ25="C")*10+($AD25:$AJ25="A")*8+($AD25:$AJ25="J")*5+($AD25:$AJ25="CEP")*4+($AD25:$AJ25="CP")*6+($AD25:$AJ25="CRO")*6+($AD25:$AJ25="M+")*6+($AD25:$AJ25="T+")*6+($AD25:$AJ25="D+")*12+($AD25:$AJ25="N+")*12+($AD25:$AJ25="Dm+")*12+($AD25:$AJ25="Dt+")*12+($AD25:$AJ25="Tm-")*6+($AD25:$AJ25="Mt-")*6)</f>
        <v/>
      </c>
      <c r="BA25" s="118">
        <f>AZ25-MAX(0,IFERROR(INDEX(CADASTRO!$I$4:$I$80,MATCH($A25,CADASTRO!$A$4:$A$80,0)),$B25)-CONFIG!$B$50*(COUNTIF($AD25:$AJ25,"AB")+COUNTIF($AD25:$AJ25,"FE")+COUNTIF($AD25:$AJ25,"LM")))</f>
        <v/>
      </c>
      <c r="BB25" s="117">
        <f>SUMPRODUCT(($AK25:$AL25="M")*6+($AK25:$AL25="T")*6+($AK25:$AL25="D")*12+($AK25:$AL25="N")*12+($AK25:$AL25="NT")*6+($AK25:$AL25="C")*10+($AK25:$AL25="A")*8+($AK25:$AL25="J")*5+($AK25:$AL25="CEP")*4+($AK25:$AL25="CP")*6+($AK25:$AL25="CRO")*6+($AK25:$AL25="M+")*6+($AK25:$AL25="T+")*6+($AK25:$AL25="D+")*12+($AK25:$AL25="N+")*12+($AK25:$AL25="Dm+")*12+($AK25:$AL25="Dt+")*12+($AK25:$AL25="Tm-")*6+($AK25:$AL25="Mt-")*6)+SUMPRODUCT(($AN25:$AR25="M")*6+($AN25:$AR25="T")*6+($AN25:$AR25="D")*12+($AN25:$AR25="N")*12+($AN25:$AR25="NT")*6+($AN25:$AR25="C")*10+($AN25:$AR25="A")*8+($AN25:$AR25="J")*5+($AN25:$AR25="CEP")*4+($AN25:$AR25="CP")*6+($AN25:$AR25="CRO")*6+($AN25:$AR25="M+")*6+($AN25:$AR25="T+")*6+($AN25:$AR25="D+")*12+($AN25:$AR25="N+")*12+($AN25:$AR25="Dm+")*12+($AN25:$AR25="Dt+")*12+($AN25:$AR25="Tm-")*6+($AN25:$AR25="Mt-")*6)</f>
        <v/>
      </c>
      <c r="BC25" s="118">
        <f>BB25-MAX(0,IFERROR(INDEX(CADASTRO!$I$4:$I$80,MATCH($A25,CADASTRO!$A$4:$A$80,0)),$B25)-CONFIG!$B$50*(COUNTIF($AK25:$AL25,"AB")+COUNTIF($AK25:$AL25,"FE")+COUNTIF($AK25:$AL25,"LM")+COUNTIF($AN25:$AR25,"AB")+COUNTIF($AN25:$AR25,"FE")+COUNTIF($AN25:$AR25,"LM")))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ROUND(B25*4.29,0)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00" t="n"/>
      <c r="H26" s="100" t="n"/>
      <c r="I26" s="114" t="n"/>
      <c r="J26" s="126" t="inlineStr">
        <is>
          <t>T</t>
        </is>
      </c>
      <c r="K26" s="114" t="n"/>
      <c r="L26" s="125" t="inlineStr">
        <is>
          <t>N</t>
        </is>
      </c>
      <c r="M26" s="114" t="n"/>
      <c r="N26" s="115" t="inlineStr">
        <is>
          <t>M</t>
        </is>
      </c>
      <c r="O26" s="125" t="inlineStr">
        <is>
          <t>N</t>
        </is>
      </c>
      <c r="P26" s="114" t="n"/>
      <c r="Q26" s="125" t="inlineStr">
        <is>
          <t>N</t>
        </is>
      </c>
      <c r="R26" s="114" t="n"/>
      <c r="S26" s="114" t="n"/>
      <c r="T26" s="124" t="inlineStr">
        <is>
          <t>D</t>
        </is>
      </c>
      <c r="U26" s="114" t="n"/>
      <c r="V26" s="125" t="inlineStr">
        <is>
          <t>N</t>
        </is>
      </c>
      <c r="W26" s="126" t="inlineStr">
        <is>
          <t>T</t>
        </is>
      </c>
      <c r="X26" s="124" t="inlineStr">
        <is>
          <t>D</t>
        </is>
      </c>
      <c r="Y26" s="114" t="n"/>
      <c r="Z26" s="125" t="inlineStr">
        <is>
          <t>N</t>
        </is>
      </c>
      <c r="AA26" s="126" t="inlineStr">
        <is>
          <t>T</t>
        </is>
      </c>
      <c r="AB26" s="114" t="n"/>
      <c r="AC26" s="114" t="n"/>
      <c r="AD26" s="114" t="n"/>
      <c r="AE26" s="125" t="inlineStr">
        <is>
          <t>N</t>
        </is>
      </c>
      <c r="AF26" s="114" t="n"/>
      <c r="AG26" s="124" t="inlineStr">
        <is>
          <t>D</t>
        </is>
      </c>
      <c r="AH26" s="125" t="inlineStr">
        <is>
          <t>N</t>
        </is>
      </c>
      <c r="AI26" s="114" t="n"/>
      <c r="AJ26" s="114" t="n"/>
      <c r="AK26" s="125" t="inlineStr">
        <is>
          <t>N</t>
        </is>
      </c>
      <c r="AL26" s="114" t="n"/>
      <c r="AM26" s="100" t="n"/>
      <c r="AN26" s="136">
        <f>IFERROR(INDEX(JUL!I$8:I$73,MATCH($A26,JUL!$A$8:$A$73,0))&amp;"","")</f>
        <v/>
      </c>
      <c r="AO26" s="136">
        <f>IFERROR(INDEX(JUL!J$8:J$73,MATCH($A26,JUL!$A$8:$A$73,0))&amp;"","")</f>
        <v/>
      </c>
      <c r="AP26" s="136">
        <f>IFERROR(INDEX(JUL!K$8:K$73,MATCH($A26,JUL!$A$8:$A$73,0))&amp;"","")</f>
        <v/>
      </c>
      <c r="AQ26" s="116">
        <f>IFERROR(INDEX(JUL!L$8:L$73,MATCH($A26,JUL!$A$8:$A$73,0))&amp;"","")</f>
        <v/>
      </c>
      <c r="AR26" s="116">
        <f>IFERROR(INDEX(JUL!M$8:M$73,MATCH($A26,JUL!$A$8:$A$73,0))&amp;"","")</f>
        <v/>
      </c>
      <c r="AS26" s="100" t="n"/>
      <c r="AT26" s="117">
        <f>SUMPRODUCT(($I26:$O26="M")*6+($I26:$O26="T")*6+($I26:$O26="D")*12+($I26:$O26="N")*12+($I26:$O26="NT")*6+($I26:$O26="C")*10+($I26:$O26="A")*8+($I26:$O26="J")*5+($I26:$O26="CEP")*4+($I26:$O26="CP")*6+($I26:$O26="CRO")*6+($I26:$O26="M+")*6+($I26:$O26="T+")*6+($I26:$O26="D+")*12+($I26:$O26="N+")*12+($I26:$O26="Dm+")*12+($I26:$O26="Dt+")*12+($I26:$O26="Tm-")*6+($I26:$O26="Mt-")*6)</f>
        <v/>
      </c>
      <c r="AU26" s="118">
        <f>AT26-MAX(0,IFERROR(INDEX(CADASTRO!$I$4:$I$80,MATCH($A26,CADASTRO!$A$4:$A$80,0)),$B26)-CONFIG!$B$50*(COUNTIF($I26:$O26,"AB")+COUNTIF($I26:$O26,"FE")+COUNTIF($I26:$O26,"LM")))</f>
        <v/>
      </c>
      <c r="AV26" s="117">
        <f>SUMPRODUCT(($P26:$V26="M")*6+($P26:$V26="T")*6+($P26:$V26="D")*12+($P26:$V26="N")*12+($P26:$V26="NT")*6+($P26:$V26="C")*10+($P26:$V26="A")*8+($P26:$V26="J")*5+($P26:$V26="CEP")*4+($P26:$V26="CP")*6+($P26:$V26="CRO")*6+($P26:$V26="M+")*6+($P26:$V26="T+")*6+($P26:$V26="D+")*12+($P26:$V26="N+")*12+($P26:$V26="Dm+")*12+($P26:$V26="Dt+")*12+($P26:$V26="Tm-")*6+($P26:$V26="Mt-")*6)</f>
        <v/>
      </c>
      <c r="AW26" s="118">
        <f>AV26-MAX(0,IFERROR(INDEX(CADASTRO!$I$4:$I$80,MATCH($A26,CADASTRO!$A$4:$A$80,0)),$B26)-CONFIG!$B$50*(COUNTIF($P26:$V26,"AB")+COUNTIF($P26:$V26,"FE")+COUNTIF($P26:$V26,"LM")))</f>
        <v/>
      </c>
      <c r="AX26" s="117">
        <f>SUMPRODUCT(($W26:$AC26="M")*6+($W26:$AC26="T")*6+($W26:$AC26="D")*12+($W26:$AC26="N")*12+($W26:$AC26="NT")*6+($W26:$AC26="C")*10+($W26:$AC26="A")*8+($W26:$AC26="J")*5+($W26:$AC26="CEP")*4+($W26:$AC26="CP")*6+($W26:$AC26="CRO")*6+($W26:$AC26="M+")*6+($W26:$AC26="T+")*6+($W26:$AC26="D+")*12+($W26:$AC26="N+")*12+($W26:$AC26="Dm+")*12+($W26:$AC26="Dt+")*12+($W26:$AC26="Tm-")*6+($W26:$AC26="Mt-")*6)</f>
        <v/>
      </c>
      <c r="AY26" s="118">
        <f>AX26-MAX(0,IFERROR(INDEX(CADASTRO!$I$4:$I$80,MATCH($A26,CADASTRO!$A$4:$A$80,0)),$B26)-CONFIG!$B$50*(COUNTIF($W26:$AC26,"AB")+COUNTIF($W26:$AC26,"FE")+COUNTIF($W26:$AC26,"LM")))</f>
        <v/>
      </c>
      <c r="AZ26" s="117">
        <f>SUMPRODUCT(($AD26:$AJ26="M")*6+($AD26:$AJ26="T")*6+($AD26:$AJ26="D")*12+($AD26:$AJ26="N")*12+($AD26:$AJ26="NT")*6+($AD26:$AJ26="C")*10+($AD26:$AJ26="A")*8+($AD26:$AJ26="J")*5+($AD26:$AJ26="CEP")*4+($AD26:$AJ26="CP")*6+($AD26:$AJ26="CRO")*6+($AD26:$AJ26="M+")*6+($AD26:$AJ26="T+")*6+($AD26:$AJ26="D+")*12+($AD26:$AJ26="N+")*12+($AD26:$AJ26="Dm+")*12+($AD26:$AJ26="Dt+")*12+($AD26:$AJ26="Tm-")*6+($AD26:$AJ26="Mt-")*6)</f>
        <v/>
      </c>
      <c r="BA26" s="118">
        <f>AZ26-MAX(0,IFERROR(INDEX(CADASTRO!$I$4:$I$80,MATCH($A26,CADASTRO!$A$4:$A$80,0)),$B26)-CONFIG!$B$50*(COUNTIF($AD26:$AJ26,"AB")+COUNTIF($AD26:$AJ26,"FE")+COUNTIF($AD26:$AJ26,"LM")))</f>
        <v/>
      </c>
      <c r="BB26" s="117">
        <f>SUMPRODUCT(($AK26:$AL26="M")*6+($AK26:$AL26="T")*6+($AK26:$AL26="D")*12+($AK26:$AL26="N")*12+($AK26:$AL26="NT")*6+($AK26:$AL26="C")*10+($AK26:$AL26="A")*8+($AK26:$AL26="J")*5+($AK26:$AL26="CEP")*4+($AK26:$AL26="CP")*6+($AK26:$AL26="CRO")*6+($AK26:$AL26="M+")*6+($AK26:$AL26="T+")*6+($AK26:$AL26="D+")*12+($AK26:$AL26="N+")*12+($AK26:$AL26="Dm+")*12+($AK26:$AL26="Dt+")*12+($AK26:$AL26="Tm-")*6+($AK26:$AL26="Mt-")*6)+SUMPRODUCT(($AN26:$AR26="M")*6+($AN26:$AR26="T")*6+($AN26:$AR26="D")*12+($AN26:$AR26="N")*12+($AN26:$AR26="NT")*6+($AN26:$AR26="C")*10+($AN26:$AR26="A")*8+($AN26:$AR26="J")*5+($AN26:$AR26="CEP")*4+($AN26:$AR26="CP")*6+($AN26:$AR26="CRO")*6+($AN26:$AR26="M+")*6+($AN26:$AR26="T+")*6+($AN26:$AR26="D+")*12+($AN26:$AR26="N+")*12+($AN26:$AR26="Dm+")*12+($AN26:$AR26="Dt+")*12+($AN26:$AR26="Tm-")*6+($AN26:$AR26="Mt-")*6)</f>
        <v/>
      </c>
      <c r="BC26" s="118">
        <f>BB26-MAX(0,IFERROR(INDEX(CADASTRO!$I$4:$I$80,MATCH($A26,CADASTRO!$A$4:$A$80,0)),$B26)-CONFIG!$B$50*(COUNTIF($AK26:$AL26,"AB")+COUNTIF($AK26:$AL26,"FE")+COUNTIF($AK26:$AL26,"LM")+COUNTIF($AN26:$AR26,"AB")+COUNTIF($AN26:$AR26,"FE")+COUNTIF($AN26:$AR26,"LM")))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ROUND(B26*4.29,0)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00" t="n"/>
      <c r="H27" s="100" t="n"/>
      <c r="I27" s="130" t="inlineStr">
        <is>
          <t>CRO</t>
        </is>
      </c>
      <c r="J27" s="114" t="n"/>
      <c r="K27" s="114" t="n"/>
      <c r="L27" s="125" t="inlineStr">
        <is>
          <t>N</t>
        </is>
      </c>
      <c r="M27" s="114" t="n"/>
      <c r="N27" s="125" t="inlineStr">
        <is>
          <t>N</t>
        </is>
      </c>
      <c r="O27" s="114" t="n"/>
      <c r="P27" s="130" t="inlineStr">
        <is>
          <t>CRO</t>
        </is>
      </c>
      <c r="Q27" s="125" t="inlineStr">
        <is>
          <t>N</t>
        </is>
      </c>
      <c r="R27" s="114" t="n"/>
      <c r="S27" s="125" t="inlineStr">
        <is>
          <t>N</t>
        </is>
      </c>
      <c r="T27" s="114" t="n"/>
      <c r="U27" s="114" t="n"/>
      <c r="V27" s="114" t="n"/>
      <c r="W27" s="114" t="n"/>
      <c r="X27" s="125" t="inlineStr">
        <is>
          <t>N</t>
        </is>
      </c>
      <c r="Y27" s="114" t="n"/>
      <c r="Z27" s="125" t="inlineStr">
        <is>
          <t>N</t>
        </is>
      </c>
      <c r="AA27" s="114" t="n"/>
      <c r="AB27" s="114" t="n"/>
      <c r="AC27" s="114" t="n"/>
      <c r="AD27" s="114" t="n"/>
      <c r="AE27" s="125" t="inlineStr">
        <is>
          <t>N</t>
        </is>
      </c>
      <c r="AF27" s="114" t="n"/>
      <c r="AG27" s="125" t="inlineStr">
        <is>
          <t>N</t>
        </is>
      </c>
      <c r="AH27" s="114" t="n"/>
      <c r="AI27" s="114" t="n"/>
      <c r="AJ27" s="125" t="inlineStr">
        <is>
          <t>N</t>
        </is>
      </c>
      <c r="AK27" s="114" t="n"/>
      <c r="AL27" s="128" t="inlineStr">
        <is>
          <t>NT</t>
        </is>
      </c>
      <c r="AM27" s="100" t="n"/>
      <c r="AN27" s="136">
        <f>IFERROR(INDEX(JUL!I$8:I$73,MATCH($A27,JUL!$A$8:$A$73,0))&amp;"","")</f>
        <v/>
      </c>
      <c r="AO27" s="136">
        <f>IFERROR(INDEX(JUL!J$8:J$73,MATCH($A27,JUL!$A$8:$A$73,0))&amp;"","")</f>
        <v/>
      </c>
      <c r="AP27" s="136">
        <f>IFERROR(INDEX(JUL!K$8:K$73,MATCH($A27,JUL!$A$8:$A$73,0))&amp;"","")</f>
        <v/>
      </c>
      <c r="AQ27" s="116">
        <f>IFERROR(INDEX(JUL!L$8:L$73,MATCH($A27,JUL!$A$8:$A$73,0))&amp;"","")</f>
        <v/>
      </c>
      <c r="AR27" s="116">
        <f>IFERROR(INDEX(JUL!M$8:M$73,MATCH($A27,JUL!$A$8:$A$73,0))&amp;"","")</f>
        <v/>
      </c>
      <c r="AS27" s="100" t="n"/>
      <c r="AT27" s="117">
        <f>SUMPRODUCT(($I27:$O27="M")*6+($I27:$O27="T")*6+($I27:$O27="D")*12+($I27:$O27="N")*12+($I27:$O27="NT")*6+($I27:$O27="C")*10+($I27:$O27="A")*8+($I27:$O27="J")*5+($I27:$O27="CEP")*4+($I27:$O27="CP")*6+($I27:$O27="CRO")*6+($I27:$O27="M+")*6+($I27:$O27="T+")*6+($I27:$O27="D+")*12+($I27:$O27="N+")*12+($I27:$O27="Dm+")*12+($I27:$O27="Dt+")*12+($I27:$O27="Tm-")*6+($I27:$O27="Mt-")*6)</f>
        <v/>
      </c>
      <c r="AU27" s="118">
        <f>AT27-MAX(0,IFERROR(INDEX(CADASTRO!$I$4:$I$80,MATCH($A27,CADASTRO!$A$4:$A$80,0)),$B27)-CONFIG!$B$50*(COUNTIF($I27:$O27,"AB")+COUNTIF($I27:$O27,"FE")+COUNTIF($I27:$O27,"LM")))</f>
        <v/>
      </c>
      <c r="AV27" s="117">
        <f>SUMPRODUCT(($P27:$V27="M")*6+($P27:$V27="T")*6+($P27:$V27="D")*12+($P27:$V27="N")*12+($P27:$V27="NT")*6+($P27:$V27="C")*10+($P27:$V27="A")*8+($P27:$V27="J")*5+($P27:$V27="CEP")*4+($P27:$V27="CP")*6+($P27:$V27="CRO")*6+($P27:$V27="M+")*6+($P27:$V27="T+")*6+($P27:$V27="D+")*12+($P27:$V27="N+")*12+($P27:$V27="Dm+")*12+($P27:$V27="Dt+")*12+($P27:$V27="Tm-")*6+($P27:$V27="Mt-")*6)</f>
        <v/>
      </c>
      <c r="AW27" s="118">
        <f>AV27-MAX(0,IFERROR(INDEX(CADASTRO!$I$4:$I$80,MATCH($A27,CADASTRO!$A$4:$A$80,0)),$B27)-CONFIG!$B$50*(COUNTIF($P27:$V27,"AB")+COUNTIF($P27:$V27,"FE")+COUNTIF($P27:$V27,"LM")))</f>
        <v/>
      </c>
      <c r="AX27" s="117">
        <f>SUMPRODUCT(($W27:$AC27="M")*6+($W27:$AC27="T")*6+($W27:$AC27="D")*12+($W27:$AC27="N")*12+($W27:$AC27="NT")*6+($W27:$AC27="C")*10+($W27:$AC27="A")*8+($W27:$AC27="J")*5+($W27:$AC27="CEP")*4+($W27:$AC27="CP")*6+($W27:$AC27="CRO")*6+($W27:$AC27="M+")*6+($W27:$AC27="T+")*6+($W27:$AC27="D+")*12+($W27:$AC27="N+")*12+($W27:$AC27="Dm+")*12+($W27:$AC27="Dt+")*12+($W27:$AC27="Tm-")*6+($W27:$AC27="Mt-")*6)</f>
        <v/>
      </c>
      <c r="AY27" s="118">
        <f>AX27-MAX(0,IFERROR(INDEX(CADASTRO!$I$4:$I$80,MATCH($A27,CADASTRO!$A$4:$A$80,0)),$B27)-CONFIG!$B$50*(COUNTIF($W27:$AC27,"AB")+COUNTIF($W27:$AC27,"FE")+COUNTIF($W27:$AC27,"LM")))</f>
        <v/>
      </c>
      <c r="AZ27" s="117">
        <f>SUMPRODUCT(($AD27:$AJ27="M")*6+($AD27:$AJ27="T")*6+($AD27:$AJ27="D")*12+($AD27:$AJ27="N")*12+($AD27:$AJ27="NT")*6+($AD27:$AJ27="C")*10+($AD27:$AJ27="A")*8+($AD27:$AJ27="J")*5+($AD27:$AJ27="CEP")*4+($AD27:$AJ27="CP")*6+($AD27:$AJ27="CRO")*6+($AD27:$AJ27="M+")*6+($AD27:$AJ27="T+")*6+($AD27:$AJ27="D+")*12+($AD27:$AJ27="N+")*12+($AD27:$AJ27="Dm+")*12+($AD27:$AJ27="Dt+")*12+($AD27:$AJ27="Tm-")*6+($AD27:$AJ27="Mt-")*6)</f>
        <v/>
      </c>
      <c r="BA27" s="118">
        <f>AZ27-MAX(0,IFERROR(INDEX(CADASTRO!$I$4:$I$80,MATCH($A27,CADASTRO!$A$4:$A$80,0)),$B27)-CONFIG!$B$50*(COUNTIF($AD27:$AJ27,"AB")+COUNTIF($AD27:$AJ27,"FE")+COUNTIF($AD27:$AJ27,"LM")))</f>
        <v/>
      </c>
      <c r="BB27" s="117">
        <f>SUMPRODUCT(($AK27:$AL27="M")*6+($AK27:$AL27="T")*6+($AK27:$AL27="D")*12+($AK27:$AL27="N")*12+($AK27:$AL27="NT")*6+($AK27:$AL27="C")*10+($AK27:$AL27="A")*8+($AK27:$AL27="J")*5+($AK27:$AL27="CEP")*4+($AK27:$AL27="CP")*6+($AK27:$AL27="CRO")*6+($AK27:$AL27="M+")*6+($AK27:$AL27="T+")*6+($AK27:$AL27="D+")*12+($AK27:$AL27="N+")*12+($AK27:$AL27="Dm+")*12+($AK27:$AL27="Dt+")*12+($AK27:$AL27="Tm-")*6+($AK27:$AL27="Mt-")*6)+SUMPRODUCT(($AN27:$AR27="M")*6+($AN27:$AR27="T")*6+($AN27:$AR27="D")*12+($AN27:$AR27="N")*12+($AN27:$AR27="NT")*6+($AN27:$AR27="C")*10+($AN27:$AR27="A")*8+($AN27:$AR27="J")*5+($AN27:$AR27="CEP")*4+($AN27:$AR27="CP")*6+($AN27:$AR27="CRO")*6+($AN27:$AR27="M+")*6+($AN27:$AR27="T+")*6+($AN27:$AR27="D+")*12+($AN27:$AR27="N+")*12+($AN27:$AR27="Dm+")*12+($AN27:$AR27="Dt+")*12+($AN27:$AR27="Tm-")*6+($AN27:$AR27="Mt-")*6)</f>
        <v/>
      </c>
      <c r="BC27" s="118">
        <f>BB27-MAX(0,IFERROR(INDEX(CADASTRO!$I$4:$I$80,MATCH($A27,CADASTRO!$A$4:$A$80,0)),$B27)-CONFIG!$B$50*(COUNTIF($AK27:$AL27,"AB")+COUNTIF($AK27:$AL27,"FE")+COUNTIF($AK27:$AL27,"LM")+COUNTIF($AN27:$AR27,"AB")+COUNTIF($AN27:$AR27,"FE")+COUNTIF($AN27:$AR27,"LM")))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ROUND(B27*4.29,0)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00" t="n"/>
      <c r="H28" s="100" t="n"/>
      <c r="I28" s="124" t="inlineStr">
        <is>
          <t>D</t>
        </is>
      </c>
      <c r="J28" s="114" t="n"/>
      <c r="K28" s="114" t="n"/>
      <c r="L28" s="114" t="n"/>
      <c r="M28" s="125" t="inlineStr">
        <is>
          <t>N</t>
        </is>
      </c>
      <c r="N28" s="114" t="n"/>
      <c r="O28" s="124" t="inlineStr">
        <is>
          <t>D</t>
        </is>
      </c>
      <c r="P28" s="114" t="n"/>
      <c r="Q28" s="126" t="inlineStr">
        <is>
          <t>T</t>
        </is>
      </c>
      <c r="R28" s="126" t="inlineStr">
        <is>
          <t>T</t>
        </is>
      </c>
      <c r="S28" s="125" t="inlineStr">
        <is>
          <t>N</t>
        </is>
      </c>
      <c r="T28" s="114" t="n"/>
      <c r="U28" s="115" t="inlineStr">
        <is>
          <t>M</t>
        </is>
      </c>
      <c r="V28" s="114" t="n"/>
      <c r="W28" s="114" t="n"/>
      <c r="X28" s="114" t="n"/>
      <c r="Y28" s="114" t="n"/>
      <c r="Z28" s="114" t="n"/>
      <c r="AA28" s="114" t="n"/>
      <c r="AB28" s="114" t="n"/>
      <c r="AC28" s="114" t="n"/>
      <c r="AD28" s="114" t="n"/>
      <c r="AE28" s="114" t="n"/>
      <c r="AF28" s="114" t="n"/>
      <c r="AG28" s="114" t="n"/>
      <c r="AH28" s="114" t="n"/>
      <c r="AI28" s="114" t="n"/>
      <c r="AJ28" s="114" t="n"/>
      <c r="AK28" s="114" t="n"/>
      <c r="AL28" s="114" t="n"/>
      <c r="AM28" s="100" t="n"/>
      <c r="AN28" s="136">
        <f>IFERROR(INDEX(JUL!I$8:I$73,MATCH($A28,JUL!$A$8:$A$73,0))&amp;"","")</f>
        <v/>
      </c>
      <c r="AO28" s="136">
        <f>IFERROR(INDEX(JUL!J$8:J$73,MATCH($A28,JUL!$A$8:$A$73,0))&amp;"","")</f>
        <v/>
      </c>
      <c r="AP28" s="136">
        <f>IFERROR(INDEX(JUL!K$8:K$73,MATCH($A28,JUL!$A$8:$A$73,0))&amp;"","")</f>
        <v/>
      </c>
      <c r="AQ28" s="116">
        <f>IFERROR(INDEX(JUL!L$8:L$73,MATCH($A28,JUL!$A$8:$A$73,0))&amp;"","")</f>
        <v/>
      </c>
      <c r="AR28" s="116">
        <f>IFERROR(INDEX(JUL!M$8:M$73,MATCH($A28,JUL!$A$8:$A$73,0))&amp;"","")</f>
        <v/>
      </c>
      <c r="AS28" s="100" t="n"/>
      <c r="AT28" s="117">
        <f>SUMPRODUCT(($I28:$O28="M")*6+($I28:$O28="T")*6+($I28:$O28="D")*12+($I28:$O28="N")*12+($I28:$O28="NT")*6+($I28:$O28="C")*10+($I28:$O28="A")*8+($I28:$O28="J")*5+($I28:$O28="CEP")*4+($I28:$O28="CP")*6+($I28:$O28="CRO")*6+($I28:$O28="M+")*6+($I28:$O28="T+")*6+($I28:$O28="D+")*12+($I28:$O28="N+")*12+($I28:$O28="Dm+")*12+($I28:$O28="Dt+")*12+($I28:$O28="Tm-")*6+($I28:$O28="Mt-")*6)</f>
        <v/>
      </c>
      <c r="AU28" s="118">
        <f>AT28-MAX(0,IFERROR(INDEX(CADASTRO!$I$4:$I$80,MATCH($A28,CADASTRO!$A$4:$A$80,0)),$B28)-CONFIG!$B$50*(COUNTIF($I28:$O28,"AB")+COUNTIF($I28:$O28,"FE")+COUNTIF($I28:$O28,"LM")))</f>
        <v/>
      </c>
      <c r="AV28" s="117">
        <f>SUMPRODUCT(($P28:$V28="M")*6+($P28:$V28="T")*6+($P28:$V28="D")*12+($P28:$V28="N")*12+($P28:$V28="NT")*6+($P28:$V28="C")*10+($P28:$V28="A")*8+($P28:$V28="J")*5+($P28:$V28="CEP")*4+($P28:$V28="CP")*6+($P28:$V28="CRO")*6+($P28:$V28="M+")*6+($P28:$V28="T+")*6+($P28:$V28="D+")*12+($P28:$V28="N+")*12+($P28:$V28="Dm+")*12+($P28:$V28="Dt+")*12+($P28:$V28="Tm-")*6+($P28:$V28="Mt-")*6)</f>
        <v/>
      </c>
      <c r="AW28" s="118">
        <f>AV28-MAX(0,IFERROR(INDEX(CADASTRO!$I$4:$I$80,MATCH($A28,CADASTRO!$A$4:$A$80,0)),$B28)-CONFIG!$B$50*(COUNTIF($P28:$V28,"AB")+COUNTIF($P28:$V28,"FE")+COUNTIF($P28:$V28,"LM")))</f>
        <v/>
      </c>
      <c r="AX28" s="117">
        <f>SUMPRODUCT(($W28:$AC28="M")*6+($W28:$AC28="T")*6+($W28:$AC28="D")*12+($W28:$AC28="N")*12+($W28:$AC28="NT")*6+($W28:$AC28="C")*10+($W28:$AC28="A")*8+($W28:$AC28="J")*5+($W28:$AC28="CEP")*4+($W28:$AC28="CP")*6+($W28:$AC28="CRO")*6+($W28:$AC28="M+")*6+($W28:$AC28="T+")*6+($W28:$AC28="D+")*12+($W28:$AC28="N+")*12+($W28:$AC28="Dm+")*12+($W28:$AC28="Dt+")*12+($W28:$AC28="Tm-")*6+($W28:$AC28="Mt-")*6)</f>
        <v/>
      </c>
      <c r="AY28" s="118">
        <f>AX28-MAX(0,IFERROR(INDEX(CADASTRO!$I$4:$I$80,MATCH($A28,CADASTRO!$A$4:$A$80,0)),$B28)-CONFIG!$B$50*(COUNTIF($W28:$AC28,"AB")+COUNTIF($W28:$AC28,"FE")+COUNTIF($W28:$AC28,"LM")))</f>
        <v/>
      </c>
      <c r="AZ28" s="117">
        <f>SUMPRODUCT(($AD28:$AJ28="M")*6+($AD28:$AJ28="T")*6+($AD28:$AJ28="D")*12+($AD28:$AJ28="N")*12+($AD28:$AJ28="NT")*6+($AD28:$AJ28="C")*10+($AD28:$AJ28="A")*8+($AD28:$AJ28="J")*5+($AD28:$AJ28="CEP")*4+($AD28:$AJ28="CP")*6+($AD28:$AJ28="CRO")*6+($AD28:$AJ28="M+")*6+($AD28:$AJ28="T+")*6+($AD28:$AJ28="D+")*12+($AD28:$AJ28="N+")*12+($AD28:$AJ28="Dm+")*12+($AD28:$AJ28="Dt+")*12+($AD28:$AJ28="Tm-")*6+($AD28:$AJ28="Mt-")*6)</f>
        <v/>
      </c>
      <c r="BA28" s="118">
        <f>AZ28-MAX(0,IFERROR(INDEX(CADASTRO!$I$4:$I$80,MATCH($A28,CADASTRO!$A$4:$A$80,0)),$B28)-CONFIG!$B$50*(COUNTIF($AD28:$AJ28,"AB")+COUNTIF($AD28:$AJ28,"FE")+COUNTIF($AD28:$AJ28,"LM")))</f>
        <v/>
      </c>
      <c r="BB28" s="117">
        <f>SUMPRODUCT(($AK28:$AL28="M")*6+($AK28:$AL28="T")*6+($AK28:$AL28="D")*12+($AK28:$AL28="N")*12+($AK28:$AL28="NT")*6+($AK28:$AL28="C")*10+($AK28:$AL28="A")*8+($AK28:$AL28="J")*5+($AK28:$AL28="CEP")*4+($AK28:$AL28="CP")*6+($AK28:$AL28="CRO")*6+($AK28:$AL28="M+")*6+($AK28:$AL28="T+")*6+($AK28:$AL28="D+")*12+($AK28:$AL28="N+")*12+($AK28:$AL28="Dm+")*12+($AK28:$AL28="Dt+")*12+($AK28:$AL28="Tm-")*6+($AK28:$AL28="Mt-")*6)+SUMPRODUCT(($AN28:$AR28="M")*6+($AN28:$AR28="T")*6+($AN28:$AR28="D")*12+($AN28:$AR28="N")*12+($AN28:$AR28="NT")*6+($AN28:$AR28="C")*10+($AN28:$AR28="A")*8+($AN28:$AR28="J")*5+($AN28:$AR28="CEP")*4+($AN28:$AR28="CP")*6+($AN28:$AR28="CRO")*6+($AN28:$AR28="M+")*6+($AN28:$AR28="T+")*6+($AN28:$AR28="D+")*12+($AN28:$AR28="N+")*12+($AN28:$AR28="Dm+")*12+($AN28:$AR28="Dt+")*12+($AN28:$AR28="Tm-")*6+($AN28:$AR28="Mt-")*6)</f>
        <v/>
      </c>
      <c r="BC28" s="118">
        <f>BB28-MAX(0,IFERROR(INDEX(CADASTRO!$I$4:$I$80,MATCH($A28,CADASTRO!$A$4:$A$80,0)),$B28)-CONFIG!$B$50*(COUNTIF($AK28:$AL28,"AB")+COUNTIF($AK28:$AL28,"FE")+COUNTIF($AK28:$AL28,"LM")+COUNTIF($AN28:$AR28,"AB")+COUNTIF($AN28:$AR28,"FE")+COUNTIF($AN28:$AR28,"LM")))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ROUND(B28*4.29,0)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00" t="n"/>
      <c r="H29" s="100" t="n"/>
      <c r="I29" s="125" t="inlineStr">
        <is>
          <t>N</t>
        </is>
      </c>
      <c r="J29" s="114" t="n"/>
      <c r="K29" s="115" t="inlineStr">
        <is>
          <t>M</t>
        </is>
      </c>
      <c r="L29" s="115" t="inlineStr">
        <is>
          <t>M</t>
        </is>
      </c>
      <c r="M29" s="114" t="n"/>
      <c r="N29" s="115" t="inlineStr">
        <is>
          <t>M</t>
        </is>
      </c>
      <c r="O29" s="114" t="n"/>
      <c r="P29" s="125" t="inlineStr">
        <is>
          <t>N</t>
        </is>
      </c>
      <c r="Q29" s="114" t="n"/>
      <c r="R29" s="115" t="inlineStr">
        <is>
          <t>M</t>
        </is>
      </c>
      <c r="S29" s="115" t="inlineStr">
        <is>
          <t>M</t>
        </is>
      </c>
      <c r="T29" s="114" t="n"/>
      <c r="U29" s="115" t="inlineStr">
        <is>
          <t>M</t>
        </is>
      </c>
      <c r="V29" s="114" t="n"/>
      <c r="W29" s="125" t="inlineStr">
        <is>
          <t>N</t>
        </is>
      </c>
      <c r="X29" s="114" t="n"/>
      <c r="Y29" s="115" t="inlineStr">
        <is>
          <t>M</t>
        </is>
      </c>
      <c r="Z29" s="115" t="inlineStr">
        <is>
          <t>M</t>
        </is>
      </c>
      <c r="AA29" s="114" t="n"/>
      <c r="AB29" s="115" t="inlineStr">
        <is>
          <t>M</t>
        </is>
      </c>
      <c r="AC29" s="114" t="n"/>
      <c r="AD29" s="125" t="inlineStr">
        <is>
          <t>N</t>
        </is>
      </c>
      <c r="AE29" s="114" t="n"/>
      <c r="AF29" s="115" t="inlineStr">
        <is>
          <t>M</t>
        </is>
      </c>
      <c r="AG29" s="115" t="inlineStr">
        <is>
          <t>M</t>
        </is>
      </c>
      <c r="AH29" s="114" t="n"/>
      <c r="AI29" s="115" t="inlineStr">
        <is>
          <t>M</t>
        </is>
      </c>
      <c r="AJ29" s="114" t="n"/>
      <c r="AK29" s="114" t="n"/>
      <c r="AL29" s="114" t="n"/>
      <c r="AM29" s="100" t="n"/>
      <c r="AN29" s="136">
        <f>IFERROR(INDEX(JUL!I$8:I$73,MATCH($A29,JUL!$A$8:$A$73,0))&amp;"","")</f>
        <v/>
      </c>
      <c r="AO29" s="136">
        <f>IFERROR(INDEX(JUL!J$8:J$73,MATCH($A29,JUL!$A$8:$A$73,0))&amp;"","")</f>
        <v/>
      </c>
      <c r="AP29" s="136">
        <f>IFERROR(INDEX(JUL!K$8:K$73,MATCH($A29,JUL!$A$8:$A$73,0))&amp;"","")</f>
        <v/>
      </c>
      <c r="AQ29" s="116">
        <f>IFERROR(INDEX(JUL!L$8:L$73,MATCH($A29,JUL!$A$8:$A$73,0))&amp;"","")</f>
        <v/>
      </c>
      <c r="AR29" s="116">
        <f>IFERROR(INDEX(JUL!M$8:M$73,MATCH($A29,JUL!$A$8:$A$73,0))&amp;"","")</f>
        <v/>
      </c>
      <c r="AS29" s="100" t="n"/>
      <c r="AT29" s="117">
        <f>SUMPRODUCT(($I29:$O29="M")*6+($I29:$O29="T")*6+($I29:$O29="D")*12+($I29:$O29="N")*12+($I29:$O29="NT")*6+($I29:$O29="C")*10+($I29:$O29="A")*8+($I29:$O29="J")*5+($I29:$O29="CEP")*4+($I29:$O29="CP")*6+($I29:$O29="CRO")*6+($I29:$O29="M+")*6+($I29:$O29="T+")*6+($I29:$O29="D+")*12+($I29:$O29="N+")*12+($I29:$O29="Dm+")*12+($I29:$O29="Dt+")*12+($I29:$O29="Tm-")*6+($I29:$O29="Mt-")*6)</f>
        <v/>
      </c>
      <c r="AU29" s="118">
        <f>AT29-MAX(0,IFERROR(INDEX(CADASTRO!$I$4:$I$80,MATCH($A29,CADASTRO!$A$4:$A$80,0)),$B29)-CONFIG!$B$50*(COUNTIF($I29:$O29,"AB")+COUNTIF($I29:$O29,"FE")+COUNTIF($I29:$O29,"LM")))</f>
        <v/>
      </c>
      <c r="AV29" s="117">
        <f>SUMPRODUCT(($P29:$V29="M")*6+($P29:$V29="T")*6+($P29:$V29="D")*12+($P29:$V29="N")*12+($P29:$V29="NT")*6+($P29:$V29="C")*10+($P29:$V29="A")*8+($P29:$V29="J")*5+($P29:$V29="CEP")*4+($P29:$V29="CP")*6+($P29:$V29="CRO")*6+($P29:$V29="M+")*6+($P29:$V29="T+")*6+($P29:$V29="D+")*12+($P29:$V29="N+")*12+($P29:$V29="Dm+")*12+($P29:$V29="Dt+")*12+($P29:$V29="Tm-")*6+($P29:$V29="Mt-")*6)</f>
        <v/>
      </c>
      <c r="AW29" s="118">
        <f>AV29-MAX(0,IFERROR(INDEX(CADASTRO!$I$4:$I$80,MATCH($A29,CADASTRO!$A$4:$A$80,0)),$B29)-CONFIG!$B$50*(COUNTIF($P29:$V29,"AB")+COUNTIF($P29:$V29,"FE")+COUNTIF($P29:$V29,"LM")))</f>
        <v/>
      </c>
      <c r="AX29" s="117">
        <f>SUMPRODUCT(($W29:$AC29="M")*6+($W29:$AC29="T")*6+($W29:$AC29="D")*12+($W29:$AC29="N")*12+($W29:$AC29="NT")*6+($W29:$AC29="C")*10+($W29:$AC29="A")*8+($W29:$AC29="J")*5+($W29:$AC29="CEP")*4+($W29:$AC29="CP")*6+($W29:$AC29="CRO")*6+($W29:$AC29="M+")*6+($W29:$AC29="T+")*6+($W29:$AC29="D+")*12+($W29:$AC29="N+")*12+($W29:$AC29="Dm+")*12+($W29:$AC29="Dt+")*12+($W29:$AC29="Tm-")*6+($W29:$AC29="Mt-")*6)</f>
        <v/>
      </c>
      <c r="AY29" s="118">
        <f>AX29-MAX(0,IFERROR(INDEX(CADASTRO!$I$4:$I$80,MATCH($A29,CADASTRO!$A$4:$A$80,0)),$B29)-CONFIG!$B$50*(COUNTIF($W29:$AC29,"AB")+COUNTIF($W29:$AC29,"FE")+COUNTIF($W29:$AC29,"LM")))</f>
        <v/>
      </c>
      <c r="AZ29" s="117">
        <f>SUMPRODUCT(($AD29:$AJ29="M")*6+($AD29:$AJ29="T")*6+($AD29:$AJ29="D")*12+($AD29:$AJ29="N")*12+($AD29:$AJ29="NT")*6+($AD29:$AJ29="C")*10+($AD29:$AJ29="A")*8+($AD29:$AJ29="J")*5+($AD29:$AJ29="CEP")*4+($AD29:$AJ29="CP")*6+($AD29:$AJ29="CRO")*6+($AD29:$AJ29="M+")*6+($AD29:$AJ29="T+")*6+($AD29:$AJ29="D+")*12+($AD29:$AJ29="N+")*12+($AD29:$AJ29="Dm+")*12+($AD29:$AJ29="Dt+")*12+($AD29:$AJ29="Tm-")*6+($AD29:$AJ29="Mt-")*6)</f>
        <v/>
      </c>
      <c r="BA29" s="118">
        <f>AZ29-MAX(0,IFERROR(INDEX(CADASTRO!$I$4:$I$80,MATCH($A29,CADASTRO!$A$4:$A$80,0)),$B29)-CONFIG!$B$50*(COUNTIF($AD29:$AJ29,"AB")+COUNTIF($AD29:$AJ29,"FE")+COUNTIF($AD29:$AJ29,"LM")))</f>
        <v/>
      </c>
      <c r="BB29" s="117">
        <f>SUMPRODUCT(($AK29:$AL29="M")*6+($AK29:$AL29="T")*6+($AK29:$AL29="D")*12+($AK29:$AL29="N")*12+($AK29:$AL29="NT")*6+($AK29:$AL29="C")*10+($AK29:$AL29="A")*8+($AK29:$AL29="J")*5+($AK29:$AL29="CEP")*4+($AK29:$AL29="CP")*6+($AK29:$AL29="CRO")*6+($AK29:$AL29="M+")*6+($AK29:$AL29="T+")*6+($AK29:$AL29="D+")*12+($AK29:$AL29="N+")*12+($AK29:$AL29="Dm+")*12+($AK29:$AL29="Dt+")*12+($AK29:$AL29="Tm-")*6+($AK29:$AL29="Mt-")*6)+SUMPRODUCT(($AN29:$AR29="M")*6+($AN29:$AR29="T")*6+($AN29:$AR29="D")*12+($AN29:$AR29="N")*12+($AN29:$AR29="NT")*6+($AN29:$AR29="C")*10+($AN29:$AR29="A")*8+($AN29:$AR29="J")*5+($AN29:$AR29="CEP")*4+($AN29:$AR29="CP")*6+($AN29:$AR29="CRO")*6+($AN29:$AR29="M+")*6+($AN29:$AR29="T+")*6+($AN29:$AR29="D+")*12+($AN29:$AR29="N+")*12+($AN29:$AR29="Dm+")*12+($AN29:$AR29="Dt+")*12+($AN29:$AR29="Tm-")*6+($AN29:$AR29="Mt-")*6)</f>
        <v/>
      </c>
      <c r="BC29" s="118">
        <f>BB29-MAX(0,IFERROR(INDEX(CADASTRO!$I$4:$I$80,MATCH($A29,CADASTRO!$A$4:$A$80,0)),$B29)-CONFIG!$B$50*(COUNTIF($AK29:$AL29,"AB")+COUNTIF($AK29:$AL29,"FE")+COUNTIF($AK29:$AL29,"LM")+COUNTIF($AN29:$AR29,"AB")+COUNTIF($AN29:$AR29,"FE")+COUNTIF($AN29:$AR29,"LM")))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ROUND(B29*4.29,0)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00" t="n"/>
      <c r="H30" s="100" t="n"/>
      <c r="I30" s="114" t="n"/>
      <c r="J30" s="126" t="inlineStr">
        <is>
          <t>T</t>
        </is>
      </c>
      <c r="K30" s="124" t="inlineStr">
        <is>
          <t>D</t>
        </is>
      </c>
      <c r="L30" s="126" t="inlineStr">
        <is>
          <t>T</t>
        </is>
      </c>
      <c r="M30" s="114" t="n"/>
      <c r="N30" s="114" t="n"/>
      <c r="O30" s="114" t="n"/>
      <c r="P30" s="114" t="n"/>
      <c r="Q30" s="114" t="n"/>
      <c r="R30" s="125" t="inlineStr">
        <is>
          <t>N</t>
        </is>
      </c>
      <c r="S30" s="114" t="n"/>
      <c r="T30" s="126" t="inlineStr">
        <is>
          <t>T</t>
        </is>
      </c>
      <c r="U30" s="114" t="n"/>
      <c r="V30" s="125" t="inlineStr">
        <is>
          <t>N</t>
        </is>
      </c>
      <c r="W30" s="114" t="n"/>
      <c r="X30" s="114" t="n"/>
      <c r="Y30" s="126" t="inlineStr">
        <is>
          <t>T</t>
        </is>
      </c>
      <c r="Z30" s="126" t="inlineStr">
        <is>
          <t>T</t>
        </is>
      </c>
      <c r="AA30" s="126" t="inlineStr">
        <is>
          <t>T</t>
        </is>
      </c>
      <c r="AB30" s="114" t="n"/>
      <c r="AC30" s="125" t="inlineStr">
        <is>
          <t>N</t>
        </is>
      </c>
      <c r="AD30" s="114" t="n"/>
      <c r="AE30" s="114" t="n"/>
      <c r="AF30" s="125" t="inlineStr">
        <is>
          <t>N</t>
        </is>
      </c>
      <c r="AG30" s="114" t="n"/>
      <c r="AH30" s="126" t="inlineStr">
        <is>
          <t>T</t>
        </is>
      </c>
      <c r="AI30" s="114" t="n"/>
      <c r="AJ30" s="125" t="inlineStr">
        <is>
          <t>N</t>
        </is>
      </c>
      <c r="AK30" s="114" t="n"/>
      <c r="AL30" s="114" t="n"/>
      <c r="AM30" s="100" t="n"/>
      <c r="AN30" s="136">
        <f>IFERROR(INDEX(JUL!I$8:I$73,MATCH($A30,JUL!$A$8:$A$73,0))&amp;"","")</f>
        <v/>
      </c>
      <c r="AO30" s="136">
        <f>IFERROR(INDEX(JUL!J$8:J$73,MATCH($A30,JUL!$A$8:$A$73,0))&amp;"","")</f>
        <v/>
      </c>
      <c r="AP30" s="136">
        <f>IFERROR(INDEX(JUL!K$8:K$73,MATCH($A30,JUL!$A$8:$A$73,0))&amp;"","")</f>
        <v/>
      </c>
      <c r="AQ30" s="116">
        <f>IFERROR(INDEX(JUL!L$8:L$73,MATCH($A30,JUL!$A$8:$A$73,0))&amp;"","")</f>
        <v/>
      </c>
      <c r="AR30" s="116">
        <f>IFERROR(INDEX(JUL!M$8:M$73,MATCH($A30,JUL!$A$8:$A$73,0))&amp;"","")</f>
        <v/>
      </c>
      <c r="AS30" s="100" t="n"/>
      <c r="AT30" s="117">
        <f>SUMPRODUCT(($I30:$O30="M")*6+($I30:$O30="T")*6+($I30:$O30="D")*12+($I30:$O30="N")*12+($I30:$O30="NT")*6+($I30:$O30="C")*10+($I30:$O30="A")*8+($I30:$O30="J")*5+($I30:$O30="CEP")*4+($I30:$O30="CP")*6+($I30:$O30="CRO")*6+($I30:$O30="M+")*6+($I30:$O30="T+")*6+($I30:$O30="D+")*12+($I30:$O30="N+")*12+($I30:$O30="Dm+")*12+($I30:$O30="Dt+")*12+($I30:$O30="Tm-")*6+($I30:$O30="Mt-")*6)</f>
        <v/>
      </c>
      <c r="AU30" s="118">
        <f>AT30-MAX(0,IFERROR(INDEX(CADASTRO!$I$4:$I$80,MATCH($A30,CADASTRO!$A$4:$A$80,0)),$B30)-CONFIG!$B$50*(COUNTIF($I30:$O30,"AB")+COUNTIF($I30:$O30,"FE")+COUNTIF($I30:$O30,"LM")))</f>
        <v/>
      </c>
      <c r="AV30" s="117">
        <f>SUMPRODUCT(($P30:$V30="M")*6+($P30:$V30="T")*6+($P30:$V30="D")*12+($P30:$V30="N")*12+($P30:$V30="NT")*6+($P30:$V30="C")*10+($P30:$V30="A")*8+($P30:$V30="J")*5+($P30:$V30="CEP")*4+($P30:$V30="CP")*6+($P30:$V30="CRO")*6+($P30:$V30="M+")*6+($P30:$V30="T+")*6+($P30:$V30="D+")*12+($P30:$V30="N+")*12+($P30:$V30="Dm+")*12+($P30:$V30="Dt+")*12+($P30:$V30="Tm-")*6+($P30:$V30="Mt-")*6)</f>
        <v/>
      </c>
      <c r="AW30" s="118">
        <f>AV30-MAX(0,IFERROR(INDEX(CADASTRO!$I$4:$I$80,MATCH($A30,CADASTRO!$A$4:$A$80,0)),$B30)-CONFIG!$B$50*(COUNTIF($P30:$V30,"AB")+COUNTIF($P30:$V30,"FE")+COUNTIF($P30:$V30,"LM")))</f>
        <v/>
      </c>
      <c r="AX30" s="117">
        <f>SUMPRODUCT(($W30:$AC30="M")*6+($W30:$AC30="T")*6+($W30:$AC30="D")*12+($W30:$AC30="N")*12+($W30:$AC30="NT")*6+($W30:$AC30="C")*10+($W30:$AC30="A")*8+($W30:$AC30="J")*5+($W30:$AC30="CEP")*4+($W30:$AC30="CP")*6+($W30:$AC30="CRO")*6+($W30:$AC30="M+")*6+($W30:$AC30="T+")*6+($W30:$AC30="D+")*12+($W30:$AC30="N+")*12+($W30:$AC30="Dm+")*12+($W30:$AC30="Dt+")*12+($W30:$AC30="Tm-")*6+($W30:$AC30="Mt-")*6)</f>
        <v/>
      </c>
      <c r="AY30" s="118">
        <f>AX30-MAX(0,IFERROR(INDEX(CADASTRO!$I$4:$I$80,MATCH($A30,CADASTRO!$A$4:$A$80,0)),$B30)-CONFIG!$B$50*(COUNTIF($W30:$AC30,"AB")+COUNTIF($W30:$AC30,"FE")+COUNTIF($W30:$AC30,"LM")))</f>
        <v/>
      </c>
      <c r="AZ30" s="117">
        <f>SUMPRODUCT(($AD30:$AJ30="M")*6+($AD30:$AJ30="T")*6+($AD30:$AJ30="D")*12+($AD30:$AJ30="N")*12+($AD30:$AJ30="NT")*6+($AD30:$AJ30="C")*10+($AD30:$AJ30="A")*8+($AD30:$AJ30="J")*5+($AD30:$AJ30="CEP")*4+($AD30:$AJ30="CP")*6+($AD30:$AJ30="CRO")*6+($AD30:$AJ30="M+")*6+($AD30:$AJ30="T+")*6+($AD30:$AJ30="D+")*12+($AD30:$AJ30="N+")*12+($AD30:$AJ30="Dm+")*12+($AD30:$AJ30="Dt+")*12+($AD30:$AJ30="Tm-")*6+($AD30:$AJ30="Mt-")*6)</f>
        <v/>
      </c>
      <c r="BA30" s="118">
        <f>AZ30-MAX(0,IFERROR(INDEX(CADASTRO!$I$4:$I$80,MATCH($A30,CADASTRO!$A$4:$A$80,0)),$B30)-CONFIG!$B$50*(COUNTIF($AD30:$AJ30,"AB")+COUNTIF($AD30:$AJ30,"FE")+COUNTIF($AD30:$AJ30,"LM")))</f>
        <v/>
      </c>
      <c r="BB30" s="117">
        <f>SUMPRODUCT(($AK30:$AL30="M")*6+($AK30:$AL30="T")*6+($AK30:$AL30="D")*12+($AK30:$AL30="N")*12+($AK30:$AL30="NT")*6+($AK30:$AL30="C")*10+($AK30:$AL30="A")*8+($AK30:$AL30="J")*5+($AK30:$AL30="CEP")*4+($AK30:$AL30="CP")*6+($AK30:$AL30="CRO")*6+($AK30:$AL30="M+")*6+($AK30:$AL30="T+")*6+($AK30:$AL30="D+")*12+($AK30:$AL30="N+")*12+($AK30:$AL30="Dm+")*12+($AK30:$AL30="Dt+")*12+($AK30:$AL30="Tm-")*6+($AK30:$AL30="Mt-")*6)+SUMPRODUCT(($AN30:$AR30="M")*6+($AN30:$AR30="T")*6+($AN30:$AR30="D")*12+($AN30:$AR30="N")*12+($AN30:$AR30="NT")*6+($AN30:$AR30="C")*10+($AN30:$AR30="A")*8+($AN30:$AR30="J")*5+($AN30:$AR30="CEP")*4+($AN30:$AR30="CP")*6+($AN30:$AR30="CRO")*6+($AN30:$AR30="M+")*6+($AN30:$AR30="T+")*6+($AN30:$AR30="D+")*12+($AN30:$AR30="N+")*12+($AN30:$AR30="Dm+")*12+($AN30:$AR30="Dt+")*12+($AN30:$AR30="Tm-")*6+($AN30:$AR30="Mt-")*6)</f>
        <v/>
      </c>
      <c r="BC30" s="118">
        <f>BB30-MAX(0,IFERROR(INDEX(CADASTRO!$I$4:$I$80,MATCH($A30,CADASTRO!$A$4:$A$80,0)),$B30)-CONFIG!$B$50*(COUNTIF($AK30:$AL30,"AB")+COUNTIF($AK30:$AL30,"FE")+COUNTIF($AK30:$AL30,"LM")+COUNTIF($AN30:$AR30,"AB")+COUNTIF($AN30:$AR30,"FE")+COUNTIF($AN30:$AR30,"LM")))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ROUND(B30*4.29,0)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00" t="n"/>
      <c r="H31" s="100" t="n"/>
      <c r="I31" s="124" t="inlineStr">
        <is>
          <t>D</t>
        </is>
      </c>
      <c r="J31" s="114" t="n"/>
      <c r="K31" s="114" t="n"/>
      <c r="L31" s="114" t="n"/>
      <c r="M31" s="114" t="n"/>
      <c r="N31" s="124" t="inlineStr">
        <is>
          <t>D</t>
        </is>
      </c>
      <c r="O31" s="124" t="inlineStr">
        <is>
          <t>D</t>
        </is>
      </c>
      <c r="P31" s="114" t="n"/>
      <c r="Q31" s="124" t="inlineStr">
        <is>
          <t>D</t>
        </is>
      </c>
      <c r="R31" s="124" t="inlineStr">
        <is>
          <t>D</t>
        </is>
      </c>
      <c r="S31" s="115" t="inlineStr">
        <is>
          <t>M</t>
        </is>
      </c>
      <c r="T31" s="114" t="n"/>
      <c r="U31" s="114" t="n"/>
      <c r="V31" s="114" t="n"/>
      <c r="W31" s="126" t="inlineStr">
        <is>
          <t>T</t>
        </is>
      </c>
      <c r="X31" s="126" t="inlineStr">
        <is>
          <t>T</t>
        </is>
      </c>
      <c r="Y31" s="115" t="inlineStr">
        <is>
          <t>M</t>
        </is>
      </c>
      <c r="Z31" s="114" t="n"/>
      <c r="AA31" s="115" t="inlineStr">
        <is>
          <t>M</t>
        </is>
      </c>
      <c r="AB31" s="114" t="n"/>
      <c r="AC31" s="125" t="inlineStr">
        <is>
          <t>N</t>
        </is>
      </c>
      <c r="AD31" s="126" t="inlineStr">
        <is>
          <t>T</t>
        </is>
      </c>
      <c r="AE31" s="115" t="inlineStr">
        <is>
          <t>M</t>
        </is>
      </c>
      <c r="AF31" s="126" t="inlineStr">
        <is>
          <t>T</t>
        </is>
      </c>
      <c r="AG31" s="115" t="inlineStr">
        <is>
          <t>M</t>
        </is>
      </c>
      <c r="AH31" s="125" t="inlineStr">
        <is>
          <t>N</t>
        </is>
      </c>
      <c r="AI31" s="114" t="n"/>
      <c r="AJ31" s="114" t="n"/>
      <c r="AK31" s="125" t="inlineStr">
        <is>
          <t>N</t>
        </is>
      </c>
      <c r="AL31" s="126" t="inlineStr">
        <is>
          <t>T</t>
        </is>
      </c>
      <c r="AM31" s="100" t="n"/>
      <c r="AN31" s="136">
        <f>IFERROR(INDEX(JUL!I$8:I$73,MATCH($A31,JUL!$A$8:$A$73,0))&amp;"","")</f>
        <v/>
      </c>
      <c r="AO31" s="136">
        <f>IFERROR(INDEX(JUL!J$8:J$73,MATCH($A31,JUL!$A$8:$A$73,0))&amp;"","")</f>
        <v/>
      </c>
      <c r="AP31" s="136">
        <f>IFERROR(INDEX(JUL!K$8:K$73,MATCH($A31,JUL!$A$8:$A$73,0))&amp;"","")</f>
        <v/>
      </c>
      <c r="AQ31" s="116">
        <f>IFERROR(INDEX(JUL!L$8:L$73,MATCH($A31,JUL!$A$8:$A$73,0))&amp;"","")</f>
        <v/>
      </c>
      <c r="AR31" s="116">
        <f>IFERROR(INDEX(JUL!M$8:M$73,MATCH($A31,JUL!$A$8:$A$73,0))&amp;"","")</f>
        <v/>
      </c>
      <c r="AS31" s="100" t="n"/>
      <c r="AT31" s="117">
        <f>SUMPRODUCT(($I31:$O31="M")*6+($I31:$O31="T")*6+($I31:$O31="D")*12+($I31:$O31="N")*12+($I31:$O31="NT")*6+($I31:$O31="C")*10+($I31:$O31="A")*8+($I31:$O31="J")*5+($I31:$O31="CEP")*4+($I31:$O31="CP")*6+($I31:$O31="CRO")*6+($I31:$O31="M+")*6+($I31:$O31="T+")*6+($I31:$O31="D+")*12+($I31:$O31="N+")*12+($I31:$O31="Dm+")*12+($I31:$O31="Dt+")*12+($I31:$O31="Tm-")*6+($I31:$O31="Mt-")*6)</f>
        <v/>
      </c>
      <c r="AU31" s="118">
        <f>AT31-MAX(0,IFERROR(INDEX(CADASTRO!$I$4:$I$80,MATCH($A31,CADASTRO!$A$4:$A$80,0)),$B31)-CONFIG!$B$50*(COUNTIF($I31:$O31,"AB")+COUNTIF($I31:$O31,"FE")+COUNTIF($I31:$O31,"LM")))</f>
        <v/>
      </c>
      <c r="AV31" s="117">
        <f>SUMPRODUCT(($P31:$V31="M")*6+($P31:$V31="T")*6+($P31:$V31="D")*12+($P31:$V31="N")*12+($P31:$V31="NT")*6+($P31:$V31="C")*10+($P31:$V31="A")*8+($P31:$V31="J")*5+($P31:$V31="CEP")*4+($P31:$V31="CP")*6+($P31:$V31="CRO")*6+($P31:$V31="M+")*6+($P31:$V31="T+")*6+($P31:$V31="D+")*12+($P31:$V31="N+")*12+($P31:$V31="Dm+")*12+($P31:$V31="Dt+")*12+($P31:$V31="Tm-")*6+($P31:$V31="Mt-")*6)</f>
        <v/>
      </c>
      <c r="AW31" s="118">
        <f>AV31-MAX(0,IFERROR(INDEX(CADASTRO!$I$4:$I$80,MATCH($A31,CADASTRO!$A$4:$A$80,0)),$B31)-CONFIG!$B$50*(COUNTIF($P31:$V31,"AB")+COUNTIF($P31:$V31,"FE")+COUNTIF($P31:$V31,"LM")))</f>
        <v/>
      </c>
      <c r="AX31" s="117">
        <f>SUMPRODUCT(($W31:$AC31="M")*6+($W31:$AC31="T")*6+($W31:$AC31="D")*12+($W31:$AC31="N")*12+($W31:$AC31="NT")*6+($W31:$AC31="C")*10+($W31:$AC31="A")*8+($W31:$AC31="J")*5+($W31:$AC31="CEP")*4+($W31:$AC31="CP")*6+($W31:$AC31="CRO")*6+($W31:$AC31="M+")*6+($W31:$AC31="T+")*6+($W31:$AC31="D+")*12+($W31:$AC31="N+")*12+($W31:$AC31="Dm+")*12+($W31:$AC31="Dt+")*12+($W31:$AC31="Tm-")*6+($W31:$AC31="Mt-")*6)</f>
        <v/>
      </c>
      <c r="AY31" s="118">
        <f>AX31-MAX(0,IFERROR(INDEX(CADASTRO!$I$4:$I$80,MATCH($A31,CADASTRO!$A$4:$A$80,0)),$B31)-CONFIG!$B$50*(COUNTIF($W31:$AC31,"AB")+COUNTIF($W31:$AC31,"FE")+COUNTIF($W31:$AC31,"LM")))</f>
        <v/>
      </c>
      <c r="AZ31" s="117">
        <f>SUMPRODUCT(($AD31:$AJ31="M")*6+($AD31:$AJ31="T")*6+($AD31:$AJ31="D")*12+($AD31:$AJ31="N")*12+($AD31:$AJ31="NT")*6+($AD31:$AJ31="C")*10+($AD31:$AJ31="A")*8+($AD31:$AJ31="J")*5+($AD31:$AJ31="CEP")*4+($AD31:$AJ31="CP")*6+($AD31:$AJ31="CRO")*6+($AD31:$AJ31="M+")*6+($AD31:$AJ31="T+")*6+($AD31:$AJ31="D+")*12+($AD31:$AJ31="N+")*12+($AD31:$AJ31="Dm+")*12+($AD31:$AJ31="Dt+")*12+($AD31:$AJ31="Tm-")*6+($AD31:$AJ31="Mt-")*6)</f>
        <v/>
      </c>
      <c r="BA31" s="118">
        <f>AZ31-MAX(0,IFERROR(INDEX(CADASTRO!$I$4:$I$80,MATCH($A31,CADASTRO!$A$4:$A$80,0)),$B31)-CONFIG!$B$50*(COUNTIF($AD31:$AJ31,"AB")+COUNTIF($AD31:$AJ31,"FE")+COUNTIF($AD31:$AJ31,"LM")))</f>
        <v/>
      </c>
      <c r="BB31" s="117">
        <f>SUMPRODUCT(($AK31:$AL31="M")*6+($AK31:$AL31="T")*6+($AK31:$AL31="D")*12+($AK31:$AL31="N")*12+($AK31:$AL31="NT")*6+($AK31:$AL31="C")*10+($AK31:$AL31="A")*8+($AK31:$AL31="J")*5+($AK31:$AL31="CEP")*4+($AK31:$AL31="CP")*6+($AK31:$AL31="CRO")*6+($AK31:$AL31="M+")*6+($AK31:$AL31="T+")*6+($AK31:$AL31="D+")*12+($AK31:$AL31="N+")*12+($AK31:$AL31="Dm+")*12+($AK31:$AL31="Dt+")*12+($AK31:$AL31="Tm-")*6+($AK31:$AL31="Mt-")*6)+SUMPRODUCT(($AN31:$AR31="M")*6+($AN31:$AR31="T")*6+($AN31:$AR31="D")*12+($AN31:$AR31="N")*12+($AN31:$AR31="NT")*6+($AN31:$AR31="C")*10+($AN31:$AR31="A")*8+($AN31:$AR31="J")*5+($AN31:$AR31="CEP")*4+($AN31:$AR31="CP")*6+($AN31:$AR31="CRO")*6+($AN31:$AR31="M+")*6+($AN31:$AR31="T+")*6+($AN31:$AR31="D+")*12+($AN31:$AR31="N+")*12+($AN31:$AR31="Dm+")*12+($AN31:$AR31="Dt+")*12+($AN31:$AR31="Tm-")*6+($AN31:$AR31="Mt-")*6)</f>
        <v/>
      </c>
      <c r="BC31" s="118">
        <f>BB31-MAX(0,IFERROR(INDEX(CADASTRO!$I$4:$I$80,MATCH($A31,CADASTRO!$A$4:$A$80,0)),$B31)-CONFIG!$B$50*(COUNTIF($AK31:$AL31,"AB")+COUNTIF($AK31:$AL31,"FE")+COUNTIF($AK31:$AL31,"LM")+COUNTIF($AN31:$AR31,"AB")+COUNTIF($AN31:$AR31,"FE")+COUNTIF($AN31:$AR31,"LM")))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ROUND(B31*4.29,0)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00" t="n"/>
      <c r="H32" s="100" t="n"/>
      <c r="I32" s="124" t="inlineStr">
        <is>
          <t>D</t>
        </is>
      </c>
      <c r="J32" s="126" t="inlineStr">
        <is>
          <t>T</t>
        </is>
      </c>
      <c r="K32" s="125" t="inlineStr">
        <is>
          <t>N</t>
        </is>
      </c>
      <c r="L32" s="114" t="n"/>
      <c r="M32" s="114" t="n"/>
      <c r="N32" s="114" t="n"/>
      <c r="O32" s="114" t="n"/>
      <c r="P32" s="125" t="inlineStr">
        <is>
          <t>N</t>
        </is>
      </c>
      <c r="Q32" s="126" t="inlineStr">
        <is>
          <t>T</t>
        </is>
      </c>
      <c r="R32" s="114" t="n"/>
      <c r="S32" s="114" t="n"/>
      <c r="T32" s="114" t="n"/>
      <c r="U32" s="114" t="n"/>
      <c r="V32" s="124" t="inlineStr">
        <is>
          <t>D</t>
        </is>
      </c>
      <c r="W32" s="125" t="inlineStr">
        <is>
          <t>N</t>
        </is>
      </c>
      <c r="X32" s="114" t="n"/>
      <c r="Y32" s="114" t="n"/>
      <c r="Z32" s="125" t="inlineStr">
        <is>
          <t>N</t>
        </is>
      </c>
      <c r="AA32" s="114" t="n"/>
      <c r="AB32" s="114" t="n"/>
      <c r="AC32" s="115" t="inlineStr">
        <is>
          <t>M</t>
        </is>
      </c>
      <c r="AD32" s="125" t="inlineStr">
        <is>
          <t>N</t>
        </is>
      </c>
      <c r="AE32" s="126" t="inlineStr">
        <is>
          <t>T</t>
        </is>
      </c>
      <c r="AF32" s="114" t="n"/>
      <c r="AG32" s="126" t="inlineStr">
        <is>
          <t>T</t>
        </is>
      </c>
      <c r="AH32" s="126" t="inlineStr">
        <is>
          <t>T</t>
        </is>
      </c>
      <c r="AI32" s="114" t="n"/>
      <c r="AJ32" s="114" t="n"/>
      <c r="AK32" s="124" t="inlineStr">
        <is>
          <t>D</t>
        </is>
      </c>
      <c r="AL32" s="114" t="n"/>
      <c r="AM32" s="100" t="n"/>
      <c r="AN32" s="136">
        <f>IFERROR(INDEX(JUL!I$8:I$73,MATCH($A32,JUL!$A$8:$A$73,0))&amp;"","")</f>
        <v/>
      </c>
      <c r="AO32" s="136">
        <f>IFERROR(INDEX(JUL!J$8:J$73,MATCH($A32,JUL!$A$8:$A$73,0))&amp;"","")</f>
        <v/>
      </c>
      <c r="AP32" s="136">
        <f>IFERROR(INDEX(JUL!K$8:K$73,MATCH($A32,JUL!$A$8:$A$73,0))&amp;"","")</f>
        <v/>
      </c>
      <c r="AQ32" s="116">
        <f>IFERROR(INDEX(JUL!L$8:L$73,MATCH($A32,JUL!$A$8:$A$73,0))&amp;"","")</f>
        <v/>
      </c>
      <c r="AR32" s="116">
        <f>IFERROR(INDEX(JUL!M$8:M$73,MATCH($A32,JUL!$A$8:$A$73,0))&amp;"","")</f>
        <v/>
      </c>
      <c r="AS32" s="100" t="n"/>
      <c r="AT32" s="117">
        <f>SUMPRODUCT(($I32:$O32="M")*6+($I32:$O32="T")*6+($I32:$O32="D")*12+($I32:$O32="N")*12+($I32:$O32="NT")*6+($I32:$O32="C")*10+($I32:$O32="A")*8+($I32:$O32="J")*5+($I32:$O32="CEP")*4+($I32:$O32="CP")*6+($I32:$O32="CRO")*6+($I32:$O32="M+")*6+($I32:$O32="T+")*6+($I32:$O32="D+")*12+($I32:$O32="N+")*12+($I32:$O32="Dm+")*12+($I32:$O32="Dt+")*12+($I32:$O32="Tm-")*6+($I32:$O32="Mt-")*6)</f>
        <v/>
      </c>
      <c r="AU32" s="118">
        <f>AT32-MAX(0,IFERROR(INDEX(CADASTRO!$I$4:$I$80,MATCH($A32,CADASTRO!$A$4:$A$80,0)),$B32)-CONFIG!$B$50*(COUNTIF($I32:$O32,"AB")+COUNTIF($I32:$O32,"FE")+COUNTIF($I32:$O32,"LM")))</f>
        <v/>
      </c>
      <c r="AV32" s="117">
        <f>SUMPRODUCT(($P32:$V32="M")*6+($P32:$V32="T")*6+($P32:$V32="D")*12+($P32:$V32="N")*12+($P32:$V32="NT")*6+($P32:$V32="C")*10+($P32:$V32="A")*8+($P32:$V32="J")*5+($P32:$V32="CEP")*4+($P32:$V32="CP")*6+($P32:$V32="CRO")*6+($P32:$V32="M+")*6+($P32:$V32="T+")*6+($P32:$V32="D+")*12+($P32:$V32="N+")*12+($P32:$V32="Dm+")*12+($P32:$V32="Dt+")*12+($P32:$V32="Tm-")*6+($P32:$V32="Mt-")*6)</f>
        <v/>
      </c>
      <c r="AW32" s="118">
        <f>AV32-MAX(0,IFERROR(INDEX(CADASTRO!$I$4:$I$80,MATCH($A32,CADASTRO!$A$4:$A$80,0)),$B32)-CONFIG!$B$50*(COUNTIF($P32:$V32,"AB")+COUNTIF($P32:$V32,"FE")+COUNTIF($P32:$V32,"LM")))</f>
        <v/>
      </c>
      <c r="AX32" s="117">
        <f>SUMPRODUCT(($W32:$AC32="M")*6+($W32:$AC32="T")*6+($W32:$AC32="D")*12+($W32:$AC32="N")*12+($W32:$AC32="NT")*6+($W32:$AC32="C")*10+($W32:$AC32="A")*8+($W32:$AC32="J")*5+($W32:$AC32="CEP")*4+($W32:$AC32="CP")*6+($W32:$AC32="CRO")*6+($W32:$AC32="M+")*6+($W32:$AC32="T+")*6+($W32:$AC32="D+")*12+($W32:$AC32="N+")*12+($W32:$AC32="Dm+")*12+($W32:$AC32="Dt+")*12+($W32:$AC32="Tm-")*6+($W32:$AC32="Mt-")*6)</f>
        <v/>
      </c>
      <c r="AY32" s="118">
        <f>AX32-MAX(0,IFERROR(INDEX(CADASTRO!$I$4:$I$80,MATCH($A32,CADASTRO!$A$4:$A$80,0)),$B32)-CONFIG!$B$50*(COUNTIF($W32:$AC32,"AB")+COUNTIF($W32:$AC32,"FE")+COUNTIF($W32:$AC32,"LM")))</f>
        <v/>
      </c>
      <c r="AZ32" s="117">
        <f>SUMPRODUCT(($AD32:$AJ32="M")*6+($AD32:$AJ32="T")*6+($AD32:$AJ32="D")*12+($AD32:$AJ32="N")*12+($AD32:$AJ32="NT")*6+($AD32:$AJ32="C")*10+($AD32:$AJ32="A")*8+($AD32:$AJ32="J")*5+($AD32:$AJ32="CEP")*4+($AD32:$AJ32="CP")*6+($AD32:$AJ32="CRO")*6+($AD32:$AJ32="M+")*6+($AD32:$AJ32="T+")*6+($AD32:$AJ32="D+")*12+($AD32:$AJ32="N+")*12+($AD32:$AJ32="Dm+")*12+($AD32:$AJ32="Dt+")*12+($AD32:$AJ32="Tm-")*6+($AD32:$AJ32="Mt-")*6)</f>
        <v/>
      </c>
      <c r="BA32" s="118">
        <f>AZ32-MAX(0,IFERROR(INDEX(CADASTRO!$I$4:$I$80,MATCH($A32,CADASTRO!$A$4:$A$80,0)),$B32)-CONFIG!$B$50*(COUNTIF($AD32:$AJ32,"AB")+COUNTIF($AD32:$AJ32,"FE")+COUNTIF($AD32:$AJ32,"LM")))</f>
        <v/>
      </c>
      <c r="BB32" s="117">
        <f>SUMPRODUCT(($AK32:$AL32="M")*6+($AK32:$AL32="T")*6+($AK32:$AL32="D")*12+($AK32:$AL32="N")*12+($AK32:$AL32="NT")*6+($AK32:$AL32="C")*10+($AK32:$AL32="A")*8+($AK32:$AL32="J")*5+($AK32:$AL32="CEP")*4+($AK32:$AL32="CP")*6+($AK32:$AL32="CRO")*6+($AK32:$AL32="M+")*6+($AK32:$AL32="T+")*6+($AK32:$AL32="D+")*12+($AK32:$AL32="N+")*12+($AK32:$AL32="Dm+")*12+($AK32:$AL32="Dt+")*12+($AK32:$AL32="Tm-")*6+($AK32:$AL32="Mt-")*6)+SUMPRODUCT(($AN32:$AR32="M")*6+($AN32:$AR32="T")*6+($AN32:$AR32="D")*12+($AN32:$AR32="N")*12+($AN32:$AR32="NT")*6+($AN32:$AR32="C")*10+($AN32:$AR32="A")*8+($AN32:$AR32="J")*5+($AN32:$AR32="CEP")*4+($AN32:$AR32="CP")*6+($AN32:$AR32="CRO")*6+($AN32:$AR32="M+")*6+($AN32:$AR32="T+")*6+($AN32:$AR32="D+")*12+($AN32:$AR32="N+")*12+($AN32:$AR32="Dm+")*12+($AN32:$AR32="Dt+")*12+($AN32:$AR32="Tm-")*6+($AN32:$AR32="Mt-")*6)</f>
        <v/>
      </c>
      <c r="BC32" s="118">
        <f>BB32-MAX(0,IFERROR(INDEX(CADASTRO!$I$4:$I$80,MATCH($A32,CADASTRO!$A$4:$A$80,0)),$B32)-CONFIG!$B$50*(COUNTIF($AK32:$AL32,"AB")+COUNTIF($AK32:$AL32,"FE")+COUNTIF($AK32:$AL32,"LM")+COUNTIF($AN32:$AR32,"AB")+COUNTIF($AN32:$AR32,"FE")+COUNTIF($AN32:$AR32,"LM")))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ROUND(B32*4.29,0)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00" t="n"/>
      <c r="H33" s="100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00" t="n"/>
      <c r="AN33" s="136">
        <f>IFERROR(INDEX(JUL!I$8:I$73,MATCH($A33,JUL!$A$8:$A$73,0))&amp;"","")</f>
        <v/>
      </c>
      <c r="AO33" s="136">
        <f>IFERROR(INDEX(JUL!J$8:J$73,MATCH($A33,JUL!$A$8:$A$73,0))&amp;"","")</f>
        <v/>
      </c>
      <c r="AP33" s="136">
        <f>IFERROR(INDEX(JUL!K$8:K$73,MATCH($A33,JUL!$A$8:$A$73,0))&amp;"","")</f>
        <v/>
      </c>
      <c r="AQ33" s="116">
        <f>IFERROR(INDEX(JUL!L$8:L$73,MATCH($A33,JUL!$A$8:$A$73,0))&amp;"","")</f>
        <v/>
      </c>
      <c r="AR33" s="116">
        <f>IFERROR(INDEX(JUL!M$8:M$73,MATCH($A33,JUL!$A$8:$A$73,0))&amp;"","")</f>
        <v/>
      </c>
      <c r="AS33" s="100" t="n"/>
      <c r="AT33" s="117">
        <f>SUMPRODUCT(($I33:$O33="M")*6+($I33:$O33="T")*6+($I33:$O33="D")*12+($I33:$O33="N")*12+($I33:$O33="NT")*6+($I33:$O33="C")*10+($I33:$O33="A")*8+($I33:$O33="J")*5+($I33:$O33="CEP")*4+($I33:$O33="CP")*6+($I33:$O33="CRO")*6+($I33:$O33="M+")*6+($I33:$O33="T+")*6+($I33:$O33="D+")*12+($I33:$O33="N+")*12+($I33:$O33="Dm+")*12+($I33:$O33="Dt+")*12+($I33:$O33="Tm-")*6+($I33:$O33="Mt-")*6)</f>
        <v/>
      </c>
      <c r="AU33" s="118">
        <f>AT33-MAX(0,IFERROR(INDEX(CADASTRO!$I$4:$I$80,MATCH($A33,CADASTRO!$A$4:$A$80,0)),$B33)-CONFIG!$B$50*(COUNTIF($I33:$O33,"AB")+COUNTIF($I33:$O33,"FE")+COUNTIF($I33:$O33,"LM")))</f>
        <v/>
      </c>
      <c r="AV33" s="117">
        <f>SUMPRODUCT(($P33:$V33="M")*6+($P33:$V33="T")*6+($P33:$V33="D")*12+($P33:$V33="N")*12+($P33:$V33="NT")*6+($P33:$V33="C")*10+($P33:$V33="A")*8+($P33:$V33="J")*5+($P33:$V33="CEP")*4+($P33:$V33="CP")*6+($P33:$V33="CRO")*6+($P33:$V33="M+")*6+($P33:$V33="T+")*6+($P33:$V33="D+")*12+($P33:$V33="N+")*12+($P33:$V33="Dm+")*12+($P33:$V33="Dt+")*12+($P33:$V33="Tm-")*6+($P33:$V33="Mt-")*6)</f>
        <v/>
      </c>
      <c r="AW33" s="118">
        <f>AV33-MAX(0,IFERROR(INDEX(CADASTRO!$I$4:$I$80,MATCH($A33,CADASTRO!$A$4:$A$80,0)),$B33)-CONFIG!$B$50*(COUNTIF($P33:$V33,"AB")+COUNTIF($P33:$V33,"FE")+COUNTIF($P33:$V33,"LM")))</f>
        <v/>
      </c>
      <c r="AX33" s="117">
        <f>SUMPRODUCT(($W33:$AC33="M")*6+($W33:$AC33="T")*6+($W33:$AC33="D")*12+($W33:$AC33="N")*12+($W33:$AC33="NT")*6+($W33:$AC33="C")*10+($W33:$AC33="A")*8+($W33:$AC33="J")*5+($W33:$AC33="CEP")*4+($W33:$AC33="CP")*6+($W33:$AC33="CRO")*6+($W33:$AC33="M+")*6+($W33:$AC33="T+")*6+($W33:$AC33="D+")*12+($W33:$AC33="N+")*12+($W33:$AC33="Dm+")*12+($W33:$AC33="Dt+")*12+($W33:$AC33="Tm-")*6+($W33:$AC33="Mt-")*6)</f>
        <v/>
      </c>
      <c r="AY33" s="118">
        <f>AX33-MAX(0,IFERROR(INDEX(CADASTRO!$I$4:$I$80,MATCH($A33,CADASTRO!$A$4:$A$80,0)),$B33)-CONFIG!$B$50*(COUNTIF($W33:$AC33,"AB")+COUNTIF($W33:$AC33,"FE")+COUNTIF($W33:$AC33,"LM")))</f>
        <v/>
      </c>
      <c r="AZ33" s="117">
        <f>SUMPRODUCT(($AD33:$AJ33="M")*6+($AD33:$AJ33="T")*6+($AD33:$AJ33="D")*12+($AD33:$AJ33="N")*12+($AD33:$AJ33="NT")*6+($AD33:$AJ33="C")*10+($AD33:$AJ33="A")*8+($AD33:$AJ33="J")*5+($AD33:$AJ33="CEP")*4+($AD33:$AJ33="CP")*6+($AD33:$AJ33="CRO")*6+($AD33:$AJ33="M+")*6+($AD33:$AJ33="T+")*6+($AD33:$AJ33="D+")*12+($AD33:$AJ33="N+")*12+($AD33:$AJ33="Dm+")*12+($AD33:$AJ33="Dt+")*12+($AD33:$AJ33="Tm-")*6+($AD33:$AJ33="Mt-")*6)</f>
        <v/>
      </c>
      <c r="BA33" s="118">
        <f>AZ33-MAX(0,IFERROR(INDEX(CADASTRO!$I$4:$I$80,MATCH($A33,CADASTRO!$A$4:$A$80,0)),$B33)-CONFIG!$B$50*(COUNTIF($AD33:$AJ33,"AB")+COUNTIF($AD33:$AJ33,"FE")+COUNTIF($AD33:$AJ33,"LM")))</f>
        <v/>
      </c>
      <c r="BB33" s="117">
        <f>SUMPRODUCT(($AK33:$AL33="M")*6+($AK33:$AL33="T")*6+($AK33:$AL33="D")*12+($AK33:$AL33="N")*12+($AK33:$AL33="NT")*6+($AK33:$AL33="C")*10+($AK33:$AL33="A")*8+($AK33:$AL33="J")*5+($AK33:$AL33="CEP")*4+($AK33:$AL33="CP")*6+($AK33:$AL33="CRO")*6+($AK33:$AL33="M+")*6+($AK33:$AL33="T+")*6+($AK33:$AL33="D+")*12+($AK33:$AL33="N+")*12+($AK33:$AL33="Dm+")*12+($AK33:$AL33="Dt+")*12+($AK33:$AL33="Tm-")*6+($AK33:$AL33="Mt-")*6)+SUMPRODUCT(($AN33:$AR33="M")*6+($AN33:$AR33="T")*6+($AN33:$AR33="D")*12+($AN33:$AR33="N")*12+($AN33:$AR33="NT")*6+($AN33:$AR33="C")*10+($AN33:$AR33="A")*8+($AN33:$AR33="J")*5+($AN33:$AR33="CEP")*4+($AN33:$AR33="CP")*6+($AN33:$AR33="CRO")*6+($AN33:$AR33="M+")*6+($AN33:$AR33="T+")*6+($AN33:$AR33="D+")*12+($AN33:$AR33="N+")*12+($AN33:$AR33="Dm+")*12+($AN33:$AR33="Dt+")*12+($AN33:$AR33="Tm-")*6+($AN33:$AR33="Mt-")*6)</f>
        <v/>
      </c>
      <c r="BC33" s="118">
        <f>BB33-MAX(0,IFERROR(INDEX(CADASTRO!$I$4:$I$80,MATCH($A33,CADASTRO!$A$4:$A$80,0)),$B33)-CONFIG!$B$50*(COUNTIF($AK33:$AL33,"AB")+COUNTIF($AK33:$AL33,"FE")+COUNTIF($AK33:$AL33,"LM")+COUNTIF($AN33:$AR33,"AB")+COUNTIF($AN33:$AR33,"FE")+COUNTIF($AN33:$AR33,"LM")))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ROUND(B33*4.29,0)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00" t="n"/>
      <c r="H34" s="100" t="n"/>
      <c r="I34" s="114" t="n"/>
      <c r="J34" s="124" t="inlineStr">
        <is>
          <t>D</t>
        </is>
      </c>
      <c r="K34" s="126" t="inlineStr">
        <is>
          <t>T</t>
        </is>
      </c>
      <c r="L34" s="124" t="inlineStr">
        <is>
          <t>D</t>
        </is>
      </c>
      <c r="M34" s="114" t="n"/>
      <c r="N34" s="114" t="n"/>
      <c r="O34" s="114" t="n"/>
      <c r="P34" s="114" t="n"/>
      <c r="Q34" s="124" t="inlineStr">
        <is>
          <t>D</t>
        </is>
      </c>
      <c r="R34" s="126" t="inlineStr">
        <is>
          <t>T</t>
        </is>
      </c>
      <c r="S34" s="126" t="inlineStr">
        <is>
          <t>T</t>
        </is>
      </c>
      <c r="T34" s="114" t="n"/>
      <c r="U34" s="114" t="n"/>
      <c r="V34" s="126" t="inlineStr">
        <is>
          <t>T</t>
        </is>
      </c>
      <c r="W34" s="114" t="n"/>
      <c r="X34" s="126" t="inlineStr">
        <is>
          <t>T</t>
        </is>
      </c>
      <c r="Y34" s="114" t="n"/>
      <c r="Z34" s="114" t="n"/>
      <c r="AA34" s="114" t="n"/>
      <c r="AB34" s="124" t="inlineStr">
        <is>
          <t>D</t>
        </is>
      </c>
      <c r="AC34" s="124" t="inlineStr">
        <is>
          <t>D</t>
        </is>
      </c>
      <c r="AD34" s="114" t="n"/>
      <c r="AE34" s="124" t="inlineStr">
        <is>
          <t>D</t>
        </is>
      </c>
      <c r="AF34" s="126" t="inlineStr">
        <is>
          <t>T</t>
        </is>
      </c>
      <c r="AG34" s="124" t="inlineStr">
        <is>
          <t>D</t>
        </is>
      </c>
      <c r="AH34" s="114" t="n"/>
      <c r="AI34" s="114" t="n"/>
      <c r="AJ34" s="114" t="n"/>
      <c r="AK34" s="114" t="n"/>
      <c r="AL34" s="124" t="inlineStr">
        <is>
          <t>D</t>
        </is>
      </c>
      <c r="AM34" s="100" t="n"/>
      <c r="AN34" s="136">
        <f>IFERROR(INDEX(JUL!I$8:I$73,MATCH($A34,JUL!$A$8:$A$73,0))&amp;"","")</f>
        <v/>
      </c>
      <c r="AO34" s="136">
        <f>IFERROR(INDEX(JUL!J$8:J$73,MATCH($A34,JUL!$A$8:$A$73,0))&amp;"","")</f>
        <v/>
      </c>
      <c r="AP34" s="136">
        <f>IFERROR(INDEX(JUL!K$8:K$73,MATCH($A34,JUL!$A$8:$A$73,0))&amp;"","")</f>
        <v/>
      </c>
      <c r="AQ34" s="116">
        <f>IFERROR(INDEX(JUL!L$8:L$73,MATCH($A34,JUL!$A$8:$A$73,0))&amp;"","")</f>
        <v/>
      </c>
      <c r="AR34" s="116">
        <f>IFERROR(INDEX(JUL!M$8:M$73,MATCH($A34,JUL!$A$8:$A$73,0))&amp;"","")</f>
        <v/>
      </c>
      <c r="AS34" s="100" t="n"/>
      <c r="AT34" s="117">
        <f>SUMPRODUCT(($I34:$O34="M")*6+($I34:$O34="T")*6+($I34:$O34="D")*12+($I34:$O34="N")*12+($I34:$O34="NT")*6+($I34:$O34="C")*10+($I34:$O34="A")*8+($I34:$O34="J")*5+($I34:$O34="CEP")*4+($I34:$O34="CP")*6+($I34:$O34="CRO")*6+($I34:$O34="M+")*6+($I34:$O34="T+")*6+($I34:$O34="D+")*12+($I34:$O34="N+")*12+($I34:$O34="Dm+")*12+($I34:$O34="Dt+")*12+($I34:$O34="Tm-")*6+($I34:$O34="Mt-")*6)</f>
        <v/>
      </c>
      <c r="AU34" s="118">
        <f>AT34-MAX(0,IFERROR(INDEX(CADASTRO!$I$4:$I$80,MATCH($A34,CADASTRO!$A$4:$A$80,0)),$B34)-CONFIG!$B$50*(COUNTIF($I34:$O34,"AB")+COUNTIF($I34:$O34,"FE")+COUNTIF($I34:$O34,"LM")))</f>
        <v/>
      </c>
      <c r="AV34" s="117">
        <f>SUMPRODUCT(($P34:$V34="M")*6+($P34:$V34="T")*6+($P34:$V34="D")*12+($P34:$V34="N")*12+($P34:$V34="NT")*6+($P34:$V34="C")*10+($P34:$V34="A")*8+($P34:$V34="J")*5+($P34:$V34="CEP")*4+($P34:$V34="CP")*6+($P34:$V34="CRO")*6+($P34:$V34="M+")*6+($P34:$V34="T+")*6+($P34:$V34="D+")*12+($P34:$V34="N+")*12+($P34:$V34="Dm+")*12+($P34:$V34="Dt+")*12+($P34:$V34="Tm-")*6+($P34:$V34="Mt-")*6)</f>
        <v/>
      </c>
      <c r="AW34" s="118">
        <f>AV34-MAX(0,IFERROR(INDEX(CADASTRO!$I$4:$I$80,MATCH($A34,CADASTRO!$A$4:$A$80,0)),$B34)-CONFIG!$B$50*(COUNTIF($P34:$V34,"AB")+COUNTIF($P34:$V34,"FE")+COUNTIF($P34:$V34,"LM")))</f>
        <v/>
      </c>
      <c r="AX34" s="117">
        <f>SUMPRODUCT(($W34:$AC34="M")*6+($W34:$AC34="T")*6+($W34:$AC34="D")*12+($W34:$AC34="N")*12+($W34:$AC34="NT")*6+($W34:$AC34="C")*10+($W34:$AC34="A")*8+($W34:$AC34="J")*5+($W34:$AC34="CEP")*4+($W34:$AC34="CP")*6+($W34:$AC34="CRO")*6+($W34:$AC34="M+")*6+($W34:$AC34="T+")*6+($W34:$AC34="D+")*12+($W34:$AC34="N+")*12+($W34:$AC34="Dm+")*12+($W34:$AC34="Dt+")*12+($W34:$AC34="Tm-")*6+($W34:$AC34="Mt-")*6)</f>
        <v/>
      </c>
      <c r="AY34" s="118">
        <f>AX34-MAX(0,IFERROR(INDEX(CADASTRO!$I$4:$I$80,MATCH($A34,CADASTRO!$A$4:$A$80,0)),$B34)-CONFIG!$B$50*(COUNTIF($W34:$AC34,"AB")+COUNTIF($W34:$AC34,"FE")+COUNTIF($W34:$AC34,"LM")))</f>
        <v/>
      </c>
      <c r="AZ34" s="117">
        <f>SUMPRODUCT(($AD34:$AJ34="M")*6+($AD34:$AJ34="T")*6+($AD34:$AJ34="D")*12+($AD34:$AJ34="N")*12+($AD34:$AJ34="NT")*6+($AD34:$AJ34="C")*10+($AD34:$AJ34="A")*8+($AD34:$AJ34="J")*5+($AD34:$AJ34="CEP")*4+($AD34:$AJ34="CP")*6+($AD34:$AJ34="CRO")*6+($AD34:$AJ34="M+")*6+($AD34:$AJ34="T+")*6+($AD34:$AJ34="D+")*12+($AD34:$AJ34="N+")*12+($AD34:$AJ34="Dm+")*12+($AD34:$AJ34="Dt+")*12+($AD34:$AJ34="Tm-")*6+($AD34:$AJ34="Mt-")*6)</f>
        <v/>
      </c>
      <c r="BA34" s="118">
        <f>AZ34-MAX(0,IFERROR(INDEX(CADASTRO!$I$4:$I$80,MATCH($A34,CADASTRO!$A$4:$A$80,0)),$B34)-CONFIG!$B$50*(COUNTIF($AD34:$AJ34,"AB")+COUNTIF($AD34:$AJ34,"FE")+COUNTIF($AD34:$AJ34,"LM")))</f>
        <v/>
      </c>
      <c r="BB34" s="117">
        <f>SUMPRODUCT(($AK34:$AL34="M")*6+($AK34:$AL34="T")*6+($AK34:$AL34="D")*12+($AK34:$AL34="N")*12+($AK34:$AL34="NT")*6+($AK34:$AL34="C")*10+($AK34:$AL34="A")*8+($AK34:$AL34="J")*5+($AK34:$AL34="CEP")*4+($AK34:$AL34="CP")*6+($AK34:$AL34="CRO")*6+($AK34:$AL34="M+")*6+($AK34:$AL34="T+")*6+($AK34:$AL34="D+")*12+($AK34:$AL34="N+")*12+($AK34:$AL34="Dm+")*12+($AK34:$AL34="Dt+")*12+($AK34:$AL34="Tm-")*6+($AK34:$AL34="Mt-")*6)+SUMPRODUCT(($AN34:$AR34="M")*6+($AN34:$AR34="T")*6+($AN34:$AR34="D")*12+($AN34:$AR34="N")*12+($AN34:$AR34="NT")*6+($AN34:$AR34="C")*10+($AN34:$AR34="A")*8+($AN34:$AR34="J")*5+($AN34:$AR34="CEP")*4+($AN34:$AR34="CP")*6+($AN34:$AR34="CRO")*6+($AN34:$AR34="M+")*6+($AN34:$AR34="T+")*6+($AN34:$AR34="D+")*12+($AN34:$AR34="N+")*12+($AN34:$AR34="Dm+")*12+($AN34:$AR34="Dt+")*12+($AN34:$AR34="Tm-")*6+($AN34:$AR34="Mt-")*6)</f>
        <v/>
      </c>
      <c r="BC34" s="118">
        <f>BB34-MAX(0,IFERROR(INDEX(CADASTRO!$I$4:$I$80,MATCH($A34,CADASTRO!$A$4:$A$80,0)),$B34)-CONFIG!$B$50*(COUNTIF($AK34:$AL34,"AB")+COUNTIF($AK34:$AL34,"FE")+COUNTIF($AK34:$AL34,"LM")+COUNTIF($AN34:$AR34,"AB")+COUNTIF($AN34:$AR34,"FE")+COUNTIF($AN34:$AR34,"LM")))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ROUND(B34*4.29,0)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00" t="n"/>
      <c r="H35" s="100" t="n"/>
      <c r="I35" s="125" t="inlineStr">
        <is>
          <t>N</t>
        </is>
      </c>
      <c r="J35" s="114" t="n"/>
      <c r="K35" s="125" t="inlineStr">
        <is>
          <t>N</t>
        </is>
      </c>
      <c r="L35" s="114" t="n"/>
      <c r="M35" s="115" t="inlineStr">
        <is>
          <t>M</t>
        </is>
      </c>
      <c r="N35" s="114" t="n"/>
      <c r="O35" s="114" t="n"/>
      <c r="P35" s="126" t="inlineStr">
        <is>
          <t>T</t>
        </is>
      </c>
      <c r="Q35" s="126" t="inlineStr">
        <is>
          <t>T</t>
        </is>
      </c>
      <c r="R35" s="114" t="n"/>
      <c r="S35" s="126" t="inlineStr">
        <is>
          <t>T</t>
        </is>
      </c>
      <c r="T35" s="114" t="n"/>
      <c r="U35" s="114" t="n"/>
      <c r="V35" s="125" t="inlineStr">
        <is>
          <t>N</t>
        </is>
      </c>
      <c r="W35" s="125" t="inlineStr">
        <is>
          <t>N</t>
        </is>
      </c>
      <c r="X35" s="114" t="n"/>
      <c r="Y35" s="114" t="n"/>
      <c r="Z35" s="126" t="inlineStr">
        <is>
          <t>T</t>
        </is>
      </c>
      <c r="AA35" s="125" t="inlineStr">
        <is>
          <t>N</t>
        </is>
      </c>
      <c r="AB35" s="114" t="n"/>
      <c r="AC35" s="114" t="n"/>
      <c r="AD35" s="114" t="n"/>
      <c r="AE35" s="114" t="n"/>
      <c r="AF35" s="114" t="n"/>
      <c r="AG35" s="125" t="inlineStr">
        <is>
          <t>N</t>
        </is>
      </c>
      <c r="AH35" s="114" t="n"/>
      <c r="AI35" s="126" t="inlineStr">
        <is>
          <t>T</t>
        </is>
      </c>
      <c r="AJ35" s="125" t="inlineStr">
        <is>
          <t>N</t>
        </is>
      </c>
      <c r="AK35" s="114" t="n"/>
      <c r="AL35" s="126" t="inlineStr">
        <is>
          <t>T</t>
        </is>
      </c>
      <c r="AM35" s="100" t="n"/>
      <c r="AN35" s="136">
        <f>IFERROR(INDEX(JUL!I$8:I$73,MATCH($A35,JUL!$A$8:$A$73,0))&amp;"","")</f>
        <v/>
      </c>
      <c r="AO35" s="136">
        <f>IFERROR(INDEX(JUL!J$8:J$73,MATCH($A35,JUL!$A$8:$A$73,0))&amp;"","")</f>
        <v/>
      </c>
      <c r="AP35" s="136">
        <f>IFERROR(INDEX(JUL!K$8:K$73,MATCH($A35,JUL!$A$8:$A$73,0))&amp;"","")</f>
        <v/>
      </c>
      <c r="AQ35" s="116">
        <f>IFERROR(INDEX(JUL!L$8:L$73,MATCH($A35,JUL!$A$8:$A$73,0))&amp;"","")</f>
        <v/>
      </c>
      <c r="AR35" s="116">
        <f>IFERROR(INDEX(JUL!M$8:M$73,MATCH($A35,JUL!$A$8:$A$73,0))&amp;"","")</f>
        <v/>
      </c>
      <c r="AS35" s="100" t="n"/>
      <c r="AT35" s="117">
        <f>SUMPRODUCT(($I35:$O35="M")*6+($I35:$O35="T")*6+($I35:$O35="D")*12+($I35:$O35="N")*12+($I35:$O35="NT")*6+($I35:$O35="C")*10+($I35:$O35="A")*8+($I35:$O35="J")*5+($I35:$O35="CEP")*4+($I35:$O35="CP")*6+($I35:$O35="CRO")*6+($I35:$O35="M+")*6+($I35:$O35="T+")*6+($I35:$O35="D+")*12+($I35:$O35="N+")*12+($I35:$O35="Dm+")*12+($I35:$O35="Dt+")*12+($I35:$O35="Tm-")*6+($I35:$O35="Mt-")*6)</f>
        <v/>
      </c>
      <c r="AU35" s="118">
        <f>AT35-MAX(0,IFERROR(INDEX(CADASTRO!$I$4:$I$80,MATCH($A35,CADASTRO!$A$4:$A$80,0)),$B35)-CONFIG!$B$50*(COUNTIF($I35:$O35,"AB")+COUNTIF($I35:$O35,"FE")+COUNTIF($I35:$O35,"LM")))</f>
        <v/>
      </c>
      <c r="AV35" s="117">
        <f>SUMPRODUCT(($P35:$V35="M")*6+($P35:$V35="T")*6+($P35:$V35="D")*12+($P35:$V35="N")*12+($P35:$V35="NT")*6+($P35:$V35="C")*10+($P35:$V35="A")*8+($P35:$V35="J")*5+($P35:$V35="CEP")*4+($P35:$V35="CP")*6+($P35:$V35="CRO")*6+($P35:$V35="M+")*6+($P35:$V35="T+")*6+($P35:$V35="D+")*12+($P35:$V35="N+")*12+($P35:$V35="Dm+")*12+($P35:$V35="Dt+")*12+($P35:$V35="Tm-")*6+($P35:$V35="Mt-")*6)</f>
        <v/>
      </c>
      <c r="AW35" s="118">
        <f>AV35-MAX(0,IFERROR(INDEX(CADASTRO!$I$4:$I$80,MATCH($A35,CADASTRO!$A$4:$A$80,0)),$B35)-CONFIG!$B$50*(COUNTIF($P35:$V35,"AB")+COUNTIF($P35:$V35,"FE")+COUNTIF($P35:$V35,"LM")))</f>
        <v/>
      </c>
      <c r="AX35" s="117">
        <f>SUMPRODUCT(($W35:$AC35="M")*6+($W35:$AC35="T")*6+($W35:$AC35="D")*12+($W35:$AC35="N")*12+($W35:$AC35="NT")*6+($W35:$AC35="C")*10+($W35:$AC35="A")*8+($W35:$AC35="J")*5+($W35:$AC35="CEP")*4+($W35:$AC35="CP")*6+($W35:$AC35="CRO")*6+($W35:$AC35="M+")*6+($W35:$AC35="T+")*6+($W35:$AC35="D+")*12+($W35:$AC35="N+")*12+($W35:$AC35="Dm+")*12+($W35:$AC35="Dt+")*12+($W35:$AC35="Tm-")*6+($W35:$AC35="Mt-")*6)</f>
        <v/>
      </c>
      <c r="AY35" s="118">
        <f>AX35-MAX(0,IFERROR(INDEX(CADASTRO!$I$4:$I$80,MATCH($A35,CADASTRO!$A$4:$A$80,0)),$B35)-CONFIG!$B$50*(COUNTIF($W35:$AC35,"AB")+COUNTIF($W35:$AC35,"FE")+COUNTIF($W35:$AC35,"LM")))</f>
        <v/>
      </c>
      <c r="AZ35" s="117">
        <f>SUMPRODUCT(($AD35:$AJ35="M")*6+($AD35:$AJ35="T")*6+($AD35:$AJ35="D")*12+($AD35:$AJ35="N")*12+($AD35:$AJ35="NT")*6+($AD35:$AJ35="C")*10+($AD35:$AJ35="A")*8+($AD35:$AJ35="J")*5+($AD35:$AJ35="CEP")*4+($AD35:$AJ35="CP")*6+($AD35:$AJ35="CRO")*6+($AD35:$AJ35="M+")*6+($AD35:$AJ35="T+")*6+($AD35:$AJ35="D+")*12+($AD35:$AJ35="N+")*12+($AD35:$AJ35="Dm+")*12+($AD35:$AJ35="Dt+")*12+($AD35:$AJ35="Tm-")*6+($AD35:$AJ35="Mt-")*6)</f>
        <v/>
      </c>
      <c r="BA35" s="118">
        <f>AZ35-MAX(0,IFERROR(INDEX(CADASTRO!$I$4:$I$80,MATCH($A35,CADASTRO!$A$4:$A$80,0)),$B35)-CONFIG!$B$50*(COUNTIF($AD35:$AJ35,"AB")+COUNTIF($AD35:$AJ35,"FE")+COUNTIF($AD35:$AJ35,"LM")))</f>
        <v/>
      </c>
      <c r="BB35" s="117">
        <f>SUMPRODUCT(($AK35:$AL35="M")*6+($AK35:$AL35="T")*6+($AK35:$AL35="D")*12+($AK35:$AL35="N")*12+($AK35:$AL35="NT")*6+($AK35:$AL35="C")*10+($AK35:$AL35="A")*8+($AK35:$AL35="J")*5+($AK35:$AL35="CEP")*4+($AK35:$AL35="CP")*6+($AK35:$AL35="CRO")*6+($AK35:$AL35="M+")*6+($AK35:$AL35="T+")*6+($AK35:$AL35="D+")*12+($AK35:$AL35="N+")*12+($AK35:$AL35="Dm+")*12+($AK35:$AL35="Dt+")*12+($AK35:$AL35="Tm-")*6+($AK35:$AL35="Mt-")*6)+SUMPRODUCT(($AN35:$AR35="M")*6+($AN35:$AR35="T")*6+($AN35:$AR35="D")*12+($AN35:$AR35="N")*12+($AN35:$AR35="NT")*6+($AN35:$AR35="C")*10+($AN35:$AR35="A")*8+($AN35:$AR35="J")*5+($AN35:$AR35="CEP")*4+($AN35:$AR35="CP")*6+($AN35:$AR35="CRO")*6+($AN35:$AR35="M+")*6+($AN35:$AR35="T+")*6+($AN35:$AR35="D+")*12+($AN35:$AR35="N+")*12+($AN35:$AR35="Dm+")*12+($AN35:$AR35="Dt+")*12+($AN35:$AR35="Tm-")*6+($AN35:$AR35="Mt-")*6)</f>
        <v/>
      </c>
      <c r="BC35" s="118">
        <f>BB35-MAX(0,IFERROR(INDEX(CADASTRO!$I$4:$I$80,MATCH($A35,CADASTRO!$A$4:$A$80,0)),$B35)-CONFIG!$B$50*(COUNTIF($AK35:$AL35,"AB")+COUNTIF($AK35:$AL35,"FE")+COUNTIF($AK35:$AL35,"LM")+COUNTIF($AN35:$AR35,"AB")+COUNTIF($AN35:$AR35,"FE")+COUNTIF($AN35:$AR35,"LM")))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ROUND(B35*4.29,0)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00" t="n"/>
      <c r="H36" s="100" t="n"/>
      <c r="I36" s="114" t="n"/>
      <c r="J36" s="125" t="inlineStr">
        <is>
          <t>N</t>
        </is>
      </c>
      <c r="K36" s="114" t="n"/>
      <c r="L36" s="114" t="n"/>
      <c r="M36" s="126" t="inlineStr">
        <is>
          <t>T</t>
        </is>
      </c>
      <c r="N36" s="114" t="n"/>
      <c r="O36" s="124" t="inlineStr">
        <is>
          <t>D</t>
        </is>
      </c>
      <c r="P36" s="114" t="n"/>
      <c r="Q36" s="114" t="n"/>
      <c r="R36" s="114" t="n"/>
      <c r="S36" s="126" t="inlineStr">
        <is>
          <t>T</t>
        </is>
      </c>
      <c r="T36" s="126" t="inlineStr">
        <is>
          <t>T</t>
        </is>
      </c>
      <c r="U36" s="124" t="inlineStr">
        <is>
          <t>D</t>
        </is>
      </c>
      <c r="V36" s="115" t="inlineStr">
        <is>
          <t>M</t>
        </is>
      </c>
      <c r="W36" s="114" t="n"/>
      <c r="X36" s="125" t="inlineStr">
        <is>
          <t>N</t>
        </is>
      </c>
      <c r="Y36" s="114" t="n"/>
      <c r="Z36" s="126" t="inlineStr">
        <is>
          <t>T</t>
        </is>
      </c>
      <c r="AA36" s="124" t="inlineStr">
        <is>
          <t>D</t>
        </is>
      </c>
      <c r="AB36" s="114" t="n"/>
      <c r="AC36" s="114" t="n"/>
      <c r="AD36" s="114" t="n"/>
      <c r="AE36" s="114" t="n"/>
      <c r="AF36" s="124" t="inlineStr">
        <is>
          <t>D</t>
        </is>
      </c>
      <c r="AG36" s="126" t="inlineStr">
        <is>
          <t>T</t>
        </is>
      </c>
      <c r="AH36" s="125" t="inlineStr">
        <is>
          <t>N</t>
        </is>
      </c>
      <c r="AI36" s="114" t="n"/>
      <c r="AJ36" s="114" t="n"/>
      <c r="AK36" s="114" t="n"/>
      <c r="AL36" s="125" t="inlineStr">
        <is>
          <t>N</t>
        </is>
      </c>
      <c r="AM36" s="100" t="n"/>
      <c r="AN36" s="136">
        <f>IFERROR(INDEX(JUL!I$8:I$73,MATCH($A36,JUL!$A$8:$A$73,0))&amp;"","")</f>
        <v/>
      </c>
      <c r="AO36" s="136">
        <f>IFERROR(INDEX(JUL!J$8:J$73,MATCH($A36,JUL!$A$8:$A$73,0))&amp;"","")</f>
        <v/>
      </c>
      <c r="AP36" s="136">
        <f>IFERROR(INDEX(JUL!K$8:K$73,MATCH($A36,JUL!$A$8:$A$73,0))&amp;"","")</f>
        <v/>
      </c>
      <c r="AQ36" s="116">
        <f>IFERROR(INDEX(JUL!L$8:L$73,MATCH($A36,JUL!$A$8:$A$73,0))&amp;"","")</f>
        <v/>
      </c>
      <c r="AR36" s="116">
        <f>IFERROR(INDEX(JUL!M$8:M$73,MATCH($A36,JUL!$A$8:$A$73,0))&amp;"","")</f>
        <v/>
      </c>
      <c r="AS36" s="100" t="n"/>
      <c r="AT36" s="117">
        <f>SUMPRODUCT(($I36:$O36="M")*6+($I36:$O36="T")*6+($I36:$O36="D")*12+($I36:$O36="N")*12+($I36:$O36="NT")*6+($I36:$O36="C")*10+($I36:$O36="A")*8+($I36:$O36="J")*5+($I36:$O36="CEP")*4+($I36:$O36="CP")*6+($I36:$O36="CRO")*6+($I36:$O36="M+")*6+($I36:$O36="T+")*6+($I36:$O36="D+")*12+($I36:$O36="N+")*12+($I36:$O36="Dm+")*12+($I36:$O36="Dt+")*12+($I36:$O36="Tm-")*6+($I36:$O36="Mt-")*6)</f>
        <v/>
      </c>
      <c r="AU36" s="118">
        <f>AT36-MAX(0,IFERROR(INDEX(CADASTRO!$I$4:$I$80,MATCH($A36,CADASTRO!$A$4:$A$80,0)),$B36)-CONFIG!$B$50*(COUNTIF($I36:$O36,"AB")+COUNTIF($I36:$O36,"FE")+COUNTIF($I36:$O36,"LM")))</f>
        <v/>
      </c>
      <c r="AV36" s="117">
        <f>SUMPRODUCT(($P36:$V36="M")*6+($P36:$V36="T")*6+($P36:$V36="D")*12+($P36:$V36="N")*12+($P36:$V36="NT")*6+($P36:$V36="C")*10+($P36:$V36="A")*8+($P36:$V36="J")*5+($P36:$V36="CEP")*4+($P36:$V36="CP")*6+($P36:$V36="CRO")*6+($P36:$V36="M+")*6+($P36:$V36="T+")*6+($P36:$V36="D+")*12+($P36:$V36="N+")*12+($P36:$V36="Dm+")*12+($P36:$V36="Dt+")*12+($P36:$V36="Tm-")*6+($P36:$V36="Mt-")*6)</f>
        <v/>
      </c>
      <c r="AW36" s="118">
        <f>AV36-MAX(0,IFERROR(INDEX(CADASTRO!$I$4:$I$80,MATCH($A36,CADASTRO!$A$4:$A$80,0)),$B36)-CONFIG!$B$50*(COUNTIF($P36:$V36,"AB")+COUNTIF($P36:$V36,"FE")+COUNTIF($P36:$V36,"LM")))</f>
        <v/>
      </c>
      <c r="AX36" s="117">
        <f>SUMPRODUCT(($W36:$AC36="M")*6+($W36:$AC36="T")*6+($W36:$AC36="D")*12+($W36:$AC36="N")*12+($W36:$AC36="NT")*6+($W36:$AC36="C")*10+($W36:$AC36="A")*8+($W36:$AC36="J")*5+($W36:$AC36="CEP")*4+($W36:$AC36="CP")*6+($W36:$AC36="CRO")*6+($W36:$AC36="M+")*6+($W36:$AC36="T+")*6+($W36:$AC36="D+")*12+($W36:$AC36="N+")*12+($W36:$AC36="Dm+")*12+($W36:$AC36="Dt+")*12+($W36:$AC36="Tm-")*6+($W36:$AC36="Mt-")*6)</f>
        <v/>
      </c>
      <c r="AY36" s="118">
        <f>AX36-MAX(0,IFERROR(INDEX(CADASTRO!$I$4:$I$80,MATCH($A36,CADASTRO!$A$4:$A$80,0)),$B36)-CONFIG!$B$50*(COUNTIF($W36:$AC36,"AB")+COUNTIF($W36:$AC36,"FE")+COUNTIF($W36:$AC36,"LM")))</f>
        <v/>
      </c>
      <c r="AZ36" s="117">
        <f>SUMPRODUCT(($AD36:$AJ36="M")*6+($AD36:$AJ36="T")*6+($AD36:$AJ36="D")*12+($AD36:$AJ36="N")*12+($AD36:$AJ36="NT")*6+($AD36:$AJ36="C")*10+($AD36:$AJ36="A")*8+($AD36:$AJ36="J")*5+($AD36:$AJ36="CEP")*4+($AD36:$AJ36="CP")*6+($AD36:$AJ36="CRO")*6+($AD36:$AJ36="M+")*6+($AD36:$AJ36="T+")*6+($AD36:$AJ36="D+")*12+($AD36:$AJ36="N+")*12+($AD36:$AJ36="Dm+")*12+($AD36:$AJ36="Dt+")*12+($AD36:$AJ36="Tm-")*6+($AD36:$AJ36="Mt-")*6)</f>
        <v/>
      </c>
      <c r="BA36" s="118">
        <f>AZ36-MAX(0,IFERROR(INDEX(CADASTRO!$I$4:$I$80,MATCH($A36,CADASTRO!$A$4:$A$80,0)),$B36)-CONFIG!$B$50*(COUNTIF($AD36:$AJ36,"AB")+COUNTIF($AD36:$AJ36,"FE")+COUNTIF($AD36:$AJ36,"LM")))</f>
        <v/>
      </c>
      <c r="BB36" s="117">
        <f>SUMPRODUCT(($AK36:$AL36="M")*6+($AK36:$AL36="T")*6+($AK36:$AL36="D")*12+($AK36:$AL36="N")*12+($AK36:$AL36="NT")*6+($AK36:$AL36="C")*10+($AK36:$AL36="A")*8+($AK36:$AL36="J")*5+($AK36:$AL36="CEP")*4+($AK36:$AL36="CP")*6+($AK36:$AL36="CRO")*6+($AK36:$AL36="M+")*6+($AK36:$AL36="T+")*6+($AK36:$AL36="D+")*12+($AK36:$AL36="N+")*12+($AK36:$AL36="Dm+")*12+($AK36:$AL36="Dt+")*12+($AK36:$AL36="Tm-")*6+($AK36:$AL36="Mt-")*6)+SUMPRODUCT(($AN36:$AR36="M")*6+($AN36:$AR36="T")*6+($AN36:$AR36="D")*12+($AN36:$AR36="N")*12+($AN36:$AR36="NT")*6+($AN36:$AR36="C")*10+($AN36:$AR36="A")*8+($AN36:$AR36="J")*5+($AN36:$AR36="CEP")*4+($AN36:$AR36="CP")*6+($AN36:$AR36="CRO")*6+($AN36:$AR36="M+")*6+($AN36:$AR36="T+")*6+($AN36:$AR36="D+")*12+($AN36:$AR36="N+")*12+($AN36:$AR36="Dm+")*12+($AN36:$AR36="Dt+")*12+($AN36:$AR36="Tm-")*6+($AN36:$AR36="Mt-")*6)</f>
        <v/>
      </c>
      <c r="BC36" s="118">
        <f>BB36-MAX(0,IFERROR(INDEX(CADASTRO!$I$4:$I$80,MATCH($A36,CADASTRO!$A$4:$A$80,0)),$B36)-CONFIG!$B$50*(COUNTIF($AK36:$AL36,"AB")+COUNTIF($AK36:$AL36,"FE")+COUNTIF($AK36:$AL36,"LM")+COUNTIF($AN36:$AR36,"AB")+COUNTIF($AN36:$AR36,"FE")+COUNTIF($AN36:$AR36,"LM")))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ROUND(B36*4.29,0)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00" t="n"/>
      <c r="H37" s="100" t="n"/>
      <c r="I37" s="115" t="inlineStr">
        <is>
          <t>M</t>
        </is>
      </c>
      <c r="J37" s="115" t="inlineStr">
        <is>
          <t>M</t>
        </is>
      </c>
      <c r="K37" s="114" t="n"/>
      <c r="L37" s="115" t="inlineStr">
        <is>
          <t>M</t>
        </is>
      </c>
      <c r="M37" s="125" t="inlineStr">
        <is>
          <t>N</t>
        </is>
      </c>
      <c r="N37" s="114" t="n"/>
      <c r="O37" s="114" t="n"/>
      <c r="P37" s="115" t="inlineStr">
        <is>
          <t>M</t>
        </is>
      </c>
      <c r="Q37" s="115" t="inlineStr">
        <is>
          <t>M</t>
        </is>
      </c>
      <c r="R37" s="114" t="n"/>
      <c r="S37" s="114" t="n"/>
      <c r="T37" s="115" t="inlineStr">
        <is>
          <t>M</t>
        </is>
      </c>
      <c r="U37" s="114" t="n"/>
      <c r="V37" s="125" t="inlineStr">
        <is>
          <t>N</t>
        </is>
      </c>
      <c r="W37" s="115" t="inlineStr">
        <is>
          <t>M</t>
        </is>
      </c>
      <c r="X37" s="115" t="inlineStr">
        <is>
          <t>M</t>
        </is>
      </c>
      <c r="Y37" s="125" t="inlineStr">
        <is>
          <t>N</t>
        </is>
      </c>
      <c r="Z37" s="114" t="n"/>
      <c r="AA37" s="115" t="inlineStr">
        <is>
          <t>M</t>
        </is>
      </c>
      <c r="AB37" s="114" t="n"/>
      <c r="AC37" s="114" t="n"/>
      <c r="AD37" s="115" t="inlineStr">
        <is>
          <t>M</t>
        </is>
      </c>
      <c r="AE37" s="115" t="inlineStr">
        <is>
          <t>M</t>
        </is>
      </c>
      <c r="AF37" s="114" t="n"/>
      <c r="AG37" s="114" t="n"/>
      <c r="AH37" s="114" t="n"/>
      <c r="AI37" s="115" t="inlineStr">
        <is>
          <t>M</t>
        </is>
      </c>
      <c r="AJ37" s="125" t="inlineStr">
        <is>
          <t>N</t>
        </is>
      </c>
      <c r="AK37" s="114" t="n"/>
      <c r="AL37" s="115" t="inlineStr">
        <is>
          <t>M</t>
        </is>
      </c>
      <c r="AM37" s="100" t="n"/>
      <c r="AN37" s="136">
        <f>IFERROR(INDEX(JUL!I$8:I$73,MATCH($A37,JUL!$A$8:$A$73,0))&amp;"","")</f>
        <v/>
      </c>
      <c r="AO37" s="136">
        <f>IFERROR(INDEX(JUL!J$8:J$73,MATCH($A37,JUL!$A$8:$A$73,0))&amp;"","")</f>
        <v/>
      </c>
      <c r="AP37" s="136">
        <f>IFERROR(INDEX(JUL!K$8:K$73,MATCH($A37,JUL!$A$8:$A$73,0))&amp;"","")</f>
        <v/>
      </c>
      <c r="AQ37" s="116">
        <f>IFERROR(INDEX(JUL!L$8:L$73,MATCH($A37,JUL!$A$8:$A$73,0))&amp;"","")</f>
        <v/>
      </c>
      <c r="AR37" s="116">
        <f>IFERROR(INDEX(JUL!M$8:M$73,MATCH($A37,JUL!$A$8:$A$73,0))&amp;"","")</f>
        <v/>
      </c>
      <c r="AS37" s="100" t="n"/>
      <c r="AT37" s="117">
        <f>SUMPRODUCT(($I37:$O37="M")*6+($I37:$O37="T")*6+($I37:$O37="D")*12+($I37:$O37="N")*12+($I37:$O37="NT")*6+($I37:$O37="C")*10+($I37:$O37="A")*8+($I37:$O37="J")*5+($I37:$O37="CEP")*4+($I37:$O37="CP")*6+($I37:$O37="CRO")*6+($I37:$O37="M+")*6+($I37:$O37="T+")*6+($I37:$O37="D+")*12+($I37:$O37="N+")*12+($I37:$O37="Dm+")*12+($I37:$O37="Dt+")*12+($I37:$O37="Tm-")*6+($I37:$O37="Mt-")*6)</f>
        <v/>
      </c>
      <c r="AU37" s="118">
        <f>AT37-MAX(0,IFERROR(INDEX(CADASTRO!$I$4:$I$80,MATCH($A37,CADASTRO!$A$4:$A$80,0)),$B37)-CONFIG!$B$50*(COUNTIF($I37:$O37,"AB")+COUNTIF($I37:$O37,"FE")+COUNTIF($I37:$O37,"LM")))</f>
        <v/>
      </c>
      <c r="AV37" s="117">
        <f>SUMPRODUCT(($P37:$V37="M")*6+($P37:$V37="T")*6+($P37:$V37="D")*12+($P37:$V37="N")*12+($P37:$V37="NT")*6+($P37:$V37="C")*10+($P37:$V37="A")*8+($P37:$V37="J")*5+($P37:$V37="CEP")*4+($P37:$V37="CP")*6+($P37:$V37="CRO")*6+($P37:$V37="M+")*6+($P37:$V37="T+")*6+($P37:$V37="D+")*12+($P37:$V37="N+")*12+($P37:$V37="Dm+")*12+($P37:$V37="Dt+")*12+($P37:$V37="Tm-")*6+($P37:$V37="Mt-")*6)</f>
        <v/>
      </c>
      <c r="AW37" s="118">
        <f>AV37-MAX(0,IFERROR(INDEX(CADASTRO!$I$4:$I$80,MATCH($A37,CADASTRO!$A$4:$A$80,0)),$B37)-CONFIG!$B$50*(COUNTIF($P37:$V37,"AB")+COUNTIF($P37:$V37,"FE")+COUNTIF($P37:$V37,"LM")))</f>
        <v/>
      </c>
      <c r="AX37" s="117">
        <f>SUMPRODUCT(($W37:$AC37="M")*6+($W37:$AC37="T")*6+($W37:$AC37="D")*12+($W37:$AC37="N")*12+($W37:$AC37="NT")*6+($W37:$AC37="C")*10+($W37:$AC37="A")*8+($W37:$AC37="J")*5+($W37:$AC37="CEP")*4+($W37:$AC37="CP")*6+($W37:$AC37="CRO")*6+($W37:$AC37="M+")*6+($W37:$AC37="T+")*6+($W37:$AC37="D+")*12+($W37:$AC37="N+")*12+($W37:$AC37="Dm+")*12+($W37:$AC37="Dt+")*12+($W37:$AC37="Tm-")*6+($W37:$AC37="Mt-")*6)</f>
        <v/>
      </c>
      <c r="AY37" s="118">
        <f>AX37-MAX(0,IFERROR(INDEX(CADASTRO!$I$4:$I$80,MATCH($A37,CADASTRO!$A$4:$A$80,0)),$B37)-CONFIG!$B$50*(COUNTIF($W37:$AC37,"AB")+COUNTIF($W37:$AC37,"FE")+COUNTIF($W37:$AC37,"LM")))</f>
        <v/>
      </c>
      <c r="AZ37" s="117">
        <f>SUMPRODUCT(($AD37:$AJ37="M")*6+($AD37:$AJ37="T")*6+($AD37:$AJ37="D")*12+($AD37:$AJ37="N")*12+($AD37:$AJ37="NT")*6+($AD37:$AJ37="C")*10+($AD37:$AJ37="A")*8+($AD37:$AJ37="J")*5+($AD37:$AJ37="CEP")*4+($AD37:$AJ37="CP")*6+($AD37:$AJ37="CRO")*6+($AD37:$AJ37="M+")*6+($AD37:$AJ37="T+")*6+($AD37:$AJ37="D+")*12+($AD37:$AJ37="N+")*12+($AD37:$AJ37="Dm+")*12+($AD37:$AJ37="Dt+")*12+($AD37:$AJ37="Tm-")*6+($AD37:$AJ37="Mt-")*6)</f>
        <v/>
      </c>
      <c r="BA37" s="118">
        <f>AZ37-MAX(0,IFERROR(INDEX(CADASTRO!$I$4:$I$80,MATCH($A37,CADASTRO!$A$4:$A$80,0)),$B37)-CONFIG!$B$50*(COUNTIF($AD37:$AJ37,"AB")+COUNTIF($AD37:$AJ37,"FE")+COUNTIF($AD37:$AJ37,"LM")))</f>
        <v/>
      </c>
      <c r="BB37" s="117">
        <f>SUMPRODUCT(($AK37:$AL37="M")*6+($AK37:$AL37="T")*6+($AK37:$AL37="D")*12+($AK37:$AL37="N")*12+($AK37:$AL37="NT")*6+($AK37:$AL37="C")*10+($AK37:$AL37="A")*8+($AK37:$AL37="J")*5+($AK37:$AL37="CEP")*4+($AK37:$AL37="CP")*6+($AK37:$AL37="CRO")*6+($AK37:$AL37="M+")*6+($AK37:$AL37="T+")*6+($AK37:$AL37="D+")*12+($AK37:$AL37="N+")*12+($AK37:$AL37="Dm+")*12+($AK37:$AL37="Dt+")*12+($AK37:$AL37="Tm-")*6+($AK37:$AL37="Mt-")*6)+SUMPRODUCT(($AN37:$AR37="M")*6+($AN37:$AR37="T")*6+($AN37:$AR37="D")*12+($AN37:$AR37="N")*12+($AN37:$AR37="NT")*6+($AN37:$AR37="C")*10+($AN37:$AR37="A")*8+($AN37:$AR37="J")*5+($AN37:$AR37="CEP")*4+($AN37:$AR37="CP")*6+($AN37:$AR37="CRO")*6+($AN37:$AR37="M+")*6+($AN37:$AR37="T+")*6+($AN37:$AR37="D+")*12+($AN37:$AR37="N+")*12+($AN37:$AR37="Dm+")*12+($AN37:$AR37="Dt+")*12+($AN37:$AR37="Tm-")*6+($AN37:$AR37="Mt-")*6)</f>
        <v/>
      </c>
      <c r="BC37" s="118">
        <f>BB37-MAX(0,IFERROR(INDEX(CADASTRO!$I$4:$I$80,MATCH($A37,CADASTRO!$A$4:$A$80,0)),$B37)-CONFIG!$B$50*(COUNTIF($AK37:$AL37,"AB")+COUNTIF($AK37:$AL37,"FE")+COUNTIF($AK37:$AL37,"LM")+COUNTIF($AN37:$AR37,"AB")+COUNTIF($AN37:$AR37,"FE")+COUNTIF($AN37:$AR37,"LM")))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ROUND(B37*4.29,0)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00" t="n"/>
      <c r="H38" s="100" t="n"/>
      <c r="I38" s="114" t="n"/>
      <c r="J38" s="114" t="n"/>
      <c r="K38" s="114" t="n"/>
      <c r="L38" s="114" t="n"/>
      <c r="M38" s="115" t="inlineStr">
        <is>
          <t>M</t>
        </is>
      </c>
      <c r="N38" s="126" t="inlineStr">
        <is>
          <t>T</t>
        </is>
      </c>
      <c r="O38" s="125" t="inlineStr">
        <is>
          <t>N</t>
        </is>
      </c>
      <c r="P38" s="125" t="inlineStr">
        <is>
          <t>N</t>
        </is>
      </c>
      <c r="Q38" s="114" t="n"/>
      <c r="R38" s="114" t="n"/>
      <c r="S38" s="125" t="inlineStr">
        <is>
          <t>N</t>
        </is>
      </c>
      <c r="T38" s="114" t="n"/>
      <c r="U38" s="114" t="n"/>
      <c r="V38" s="114" t="n"/>
      <c r="W38" s="126" t="inlineStr">
        <is>
          <t>T</t>
        </is>
      </c>
      <c r="X38" s="114" t="n"/>
      <c r="Y38" s="114" t="n"/>
      <c r="Z38" s="125" t="inlineStr">
        <is>
          <t>N</t>
        </is>
      </c>
      <c r="AA38" s="114" t="n"/>
      <c r="AB38" s="114" t="n"/>
      <c r="AC38" s="114" t="n"/>
      <c r="AD38" s="115" t="inlineStr">
        <is>
          <t>M</t>
        </is>
      </c>
      <c r="AE38" s="114" t="n"/>
      <c r="AF38" s="114" t="n"/>
      <c r="AG38" s="114" t="n"/>
      <c r="AH38" s="115" t="inlineStr">
        <is>
          <t>M</t>
        </is>
      </c>
      <c r="AI38" s="125" t="inlineStr">
        <is>
          <t>N</t>
        </is>
      </c>
      <c r="AJ38" s="114" t="n"/>
      <c r="AK38" s="114" t="n"/>
      <c r="AL38" s="114" t="n"/>
      <c r="AM38" s="100" t="n"/>
      <c r="AN38" s="136">
        <f>IFERROR(INDEX(JUL!I$8:I$73,MATCH($A38,JUL!$A$8:$A$73,0))&amp;"","")</f>
        <v/>
      </c>
      <c r="AO38" s="136">
        <f>IFERROR(INDEX(JUL!J$8:J$73,MATCH($A38,JUL!$A$8:$A$73,0))&amp;"","")</f>
        <v/>
      </c>
      <c r="AP38" s="136">
        <f>IFERROR(INDEX(JUL!K$8:K$73,MATCH($A38,JUL!$A$8:$A$73,0))&amp;"","")</f>
        <v/>
      </c>
      <c r="AQ38" s="116">
        <f>IFERROR(INDEX(JUL!L$8:L$73,MATCH($A38,JUL!$A$8:$A$73,0))&amp;"","")</f>
        <v/>
      </c>
      <c r="AR38" s="116">
        <f>IFERROR(INDEX(JUL!M$8:M$73,MATCH($A38,JUL!$A$8:$A$73,0))&amp;"","")</f>
        <v/>
      </c>
      <c r="AS38" s="100" t="n"/>
      <c r="AT38" s="117">
        <f>SUMPRODUCT(($I38:$O38="M")*6+($I38:$O38="T")*6+($I38:$O38="D")*12+($I38:$O38="N")*12+($I38:$O38="NT")*6+($I38:$O38="C")*10+($I38:$O38="A")*8+($I38:$O38="J")*5+($I38:$O38="CEP")*4+($I38:$O38="CP")*6+($I38:$O38="CRO")*6+($I38:$O38="M+")*6+($I38:$O38="T+")*6+($I38:$O38="D+")*12+($I38:$O38="N+")*12+($I38:$O38="Dm+")*12+($I38:$O38="Dt+")*12+($I38:$O38="Tm-")*6+($I38:$O38="Mt-")*6)</f>
        <v/>
      </c>
      <c r="AU38" s="118">
        <f>AT38-MAX(0,IFERROR(INDEX(CADASTRO!$I$4:$I$80,MATCH($A38,CADASTRO!$A$4:$A$80,0)),$B38)-CONFIG!$B$50*(COUNTIF($I38:$O38,"AB")+COUNTIF($I38:$O38,"FE")+COUNTIF($I38:$O38,"LM")))</f>
        <v/>
      </c>
      <c r="AV38" s="117">
        <f>SUMPRODUCT(($P38:$V38="M")*6+($P38:$V38="T")*6+($P38:$V38="D")*12+($P38:$V38="N")*12+($P38:$V38="NT")*6+($P38:$V38="C")*10+($P38:$V38="A")*8+($P38:$V38="J")*5+($P38:$V38="CEP")*4+($P38:$V38="CP")*6+($P38:$V38="CRO")*6+($P38:$V38="M+")*6+($P38:$V38="T+")*6+($P38:$V38="D+")*12+($P38:$V38="N+")*12+($P38:$V38="Dm+")*12+($P38:$V38="Dt+")*12+($P38:$V38="Tm-")*6+($P38:$V38="Mt-")*6)</f>
        <v/>
      </c>
      <c r="AW38" s="118">
        <f>AV38-MAX(0,IFERROR(INDEX(CADASTRO!$I$4:$I$80,MATCH($A38,CADASTRO!$A$4:$A$80,0)),$B38)-CONFIG!$B$50*(COUNTIF($P38:$V38,"AB")+COUNTIF($P38:$V38,"FE")+COUNTIF($P38:$V38,"LM")))</f>
        <v/>
      </c>
      <c r="AX38" s="117">
        <f>SUMPRODUCT(($W38:$AC38="M")*6+($W38:$AC38="T")*6+($W38:$AC38="D")*12+($W38:$AC38="N")*12+($W38:$AC38="NT")*6+($W38:$AC38="C")*10+($W38:$AC38="A")*8+($W38:$AC38="J")*5+($W38:$AC38="CEP")*4+($W38:$AC38="CP")*6+($W38:$AC38="CRO")*6+($W38:$AC38="M+")*6+($W38:$AC38="T+")*6+($W38:$AC38="D+")*12+($W38:$AC38="N+")*12+($W38:$AC38="Dm+")*12+($W38:$AC38="Dt+")*12+($W38:$AC38="Tm-")*6+($W38:$AC38="Mt-")*6)</f>
        <v/>
      </c>
      <c r="AY38" s="118">
        <f>AX38-MAX(0,IFERROR(INDEX(CADASTRO!$I$4:$I$80,MATCH($A38,CADASTRO!$A$4:$A$80,0)),$B38)-CONFIG!$B$50*(COUNTIF($W38:$AC38,"AB")+COUNTIF($W38:$AC38,"FE")+COUNTIF($W38:$AC38,"LM")))</f>
        <v/>
      </c>
      <c r="AZ38" s="117">
        <f>SUMPRODUCT(($AD38:$AJ38="M")*6+($AD38:$AJ38="T")*6+($AD38:$AJ38="D")*12+($AD38:$AJ38="N")*12+($AD38:$AJ38="NT")*6+($AD38:$AJ38="C")*10+($AD38:$AJ38="A")*8+($AD38:$AJ38="J")*5+($AD38:$AJ38="CEP")*4+($AD38:$AJ38="CP")*6+($AD38:$AJ38="CRO")*6+($AD38:$AJ38="M+")*6+($AD38:$AJ38="T+")*6+($AD38:$AJ38="D+")*12+($AD38:$AJ38="N+")*12+($AD38:$AJ38="Dm+")*12+($AD38:$AJ38="Dt+")*12+($AD38:$AJ38="Tm-")*6+($AD38:$AJ38="Mt-")*6)</f>
        <v/>
      </c>
      <c r="BA38" s="118">
        <f>AZ38-MAX(0,IFERROR(INDEX(CADASTRO!$I$4:$I$80,MATCH($A38,CADASTRO!$A$4:$A$80,0)),$B38)-CONFIG!$B$50*(COUNTIF($AD38:$AJ38,"AB")+COUNTIF($AD38:$AJ38,"FE")+COUNTIF($AD38:$AJ38,"LM")))</f>
        <v/>
      </c>
      <c r="BB38" s="117">
        <f>SUMPRODUCT(($AK38:$AL38="M")*6+($AK38:$AL38="T")*6+($AK38:$AL38="D")*12+($AK38:$AL38="N")*12+($AK38:$AL38="NT")*6+($AK38:$AL38="C")*10+($AK38:$AL38="A")*8+($AK38:$AL38="J")*5+($AK38:$AL38="CEP")*4+($AK38:$AL38="CP")*6+($AK38:$AL38="CRO")*6+($AK38:$AL38="M+")*6+($AK38:$AL38="T+")*6+($AK38:$AL38="D+")*12+($AK38:$AL38="N+")*12+($AK38:$AL38="Dm+")*12+($AK38:$AL38="Dt+")*12+($AK38:$AL38="Tm-")*6+($AK38:$AL38="Mt-")*6)+SUMPRODUCT(($AN38:$AR38="M")*6+($AN38:$AR38="T")*6+($AN38:$AR38="D")*12+($AN38:$AR38="N")*12+($AN38:$AR38="NT")*6+($AN38:$AR38="C")*10+($AN38:$AR38="A")*8+($AN38:$AR38="J")*5+($AN38:$AR38="CEP")*4+($AN38:$AR38="CP")*6+($AN38:$AR38="CRO")*6+($AN38:$AR38="M+")*6+($AN38:$AR38="T+")*6+($AN38:$AR38="D+")*12+($AN38:$AR38="N+")*12+($AN38:$AR38="Dm+")*12+($AN38:$AR38="Dt+")*12+($AN38:$AR38="Tm-")*6+($AN38:$AR38="Mt-")*6)</f>
        <v/>
      </c>
      <c r="BC38" s="118">
        <f>BB38-MAX(0,IFERROR(INDEX(CADASTRO!$I$4:$I$80,MATCH($A38,CADASTRO!$A$4:$A$80,0)),$B38)-CONFIG!$B$50*(COUNTIF($AK38:$AL38,"AB")+COUNTIF($AK38:$AL38,"FE")+COUNTIF($AK38:$AL38,"LM")+COUNTIF($AN38:$AR38,"AB")+COUNTIF($AN38:$AR38,"FE")+COUNTIF($AN38:$AR38,"LM")))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ROUND(B38*4.29,0)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00" t="n"/>
      <c r="H39" s="100" t="n"/>
      <c r="I39" s="126" t="inlineStr">
        <is>
          <t>T</t>
        </is>
      </c>
      <c r="J39" s="115" t="inlineStr">
        <is>
          <t>M</t>
        </is>
      </c>
      <c r="K39" s="124" t="inlineStr">
        <is>
          <t>D</t>
        </is>
      </c>
      <c r="L39" s="114" t="n"/>
      <c r="M39" s="114" t="n"/>
      <c r="N39" s="114" t="n"/>
      <c r="O39" s="114" t="n"/>
      <c r="P39" s="126" t="inlineStr">
        <is>
          <t>T</t>
        </is>
      </c>
      <c r="Q39" s="114" t="n"/>
      <c r="R39" s="126" t="inlineStr">
        <is>
          <t>T</t>
        </is>
      </c>
      <c r="S39" s="114" t="n"/>
      <c r="T39" s="114" t="n"/>
      <c r="U39" s="125" t="inlineStr">
        <is>
          <t>N</t>
        </is>
      </c>
      <c r="V39" s="114" t="n"/>
      <c r="W39" s="126" t="inlineStr">
        <is>
          <t>T</t>
        </is>
      </c>
      <c r="X39" s="114" t="n"/>
      <c r="Y39" s="126" t="inlineStr">
        <is>
          <t>T</t>
        </is>
      </c>
      <c r="Z39" s="114" t="n"/>
      <c r="AA39" s="125" t="inlineStr">
        <is>
          <t>N</t>
        </is>
      </c>
      <c r="AB39" s="114" t="n"/>
      <c r="AC39" s="114" t="n"/>
      <c r="AD39" s="126" t="inlineStr">
        <is>
          <t>T</t>
        </is>
      </c>
      <c r="AE39" s="114" t="n"/>
      <c r="AF39" s="125" t="inlineStr">
        <is>
          <t>N</t>
        </is>
      </c>
      <c r="AG39" s="114" t="n"/>
      <c r="AH39" s="115" t="inlineStr">
        <is>
          <t>M</t>
        </is>
      </c>
      <c r="AI39" s="114" t="n"/>
      <c r="AJ39" s="114" t="n"/>
      <c r="AK39" s="126" t="inlineStr">
        <is>
          <t>T</t>
        </is>
      </c>
      <c r="AL39" s="114" t="n"/>
      <c r="AM39" s="100" t="n"/>
      <c r="AN39" s="136">
        <f>IFERROR(INDEX(JUL!I$8:I$73,MATCH($A39,JUL!$A$8:$A$73,0))&amp;"","")</f>
        <v/>
      </c>
      <c r="AO39" s="136">
        <f>IFERROR(INDEX(JUL!J$8:J$73,MATCH($A39,JUL!$A$8:$A$73,0))&amp;"","")</f>
        <v/>
      </c>
      <c r="AP39" s="136">
        <f>IFERROR(INDEX(JUL!K$8:K$73,MATCH($A39,JUL!$A$8:$A$73,0))&amp;"","")</f>
        <v/>
      </c>
      <c r="AQ39" s="116">
        <f>IFERROR(INDEX(JUL!L$8:L$73,MATCH($A39,JUL!$A$8:$A$73,0))&amp;"","")</f>
        <v/>
      </c>
      <c r="AR39" s="116">
        <f>IFERROR(INDEX(JUL!M$8:M$73,MATCH($A39,JUL!$A$8:$A$73,0))&amp;"","")</f>
        <v/>
      </c>
      <c r="AS39" s="100" t="n"/>
      <c r="AT39" s="117">
        <f>SUMPRODUCT(($I39:$O39="M")*6+($I39:$O39="T")*6+($I39:$O39="D")*12+($I39:$O39="N")*12+($I39:$O39="NT")*6+($I39:$O39="C")*10+($I39:$O39="A")*8+($I39:$O39="J")*5+($I39:$O39="CEP")*4+($I39:$O39="CP")*6+($I39:$O39="CRO")*6+($I39:$O39="M+")*6+($I39:$O39="T+")*6+($I39:$O39="D+")*12+($I39:$O39="N+")*12+($I39:$O39="Dm+")*12+($I39:$O39="Dt+")*12+($I39:$O39="Tm-")*6+($I39:$O39="Mt-")*6)</f>
        <v/>
      </c>
      <c r="AU39" s="118">
        <f>AT39-MAX(0,IFERROR(INDEX(CADASTRO!$I$4:$I$80,MATCH($A39,CADASTRO!$A$4:$A$80,0)),$B39)-CONFIG!$B$50*(COUNTIF($I39:$O39,"AB")+COUNTIF($I39:$O39,"FE")+COUNTIF($I39:$O39,"LM")))</f>
        <v/>
      </c>
      <c r="AV39" s="117">
        <f>SUMPRODUCT(($P39:$V39="M")*6+($P39:$V39="T")*6+($P39:$V39="D")*12+($P39:$V39="N")*12+($P39:$V39="NT")*6+($P39:$V39="C")*10+($P39:$V39="A")*8+($P39:$V39="J")*5+($P39:$V39="CEP")*4+($P39:$V39="CP")*6+($P39:$V39="CRO")*6+($P39:$V39="M+")*6+($P39:$V39="T+")*6+($P39:$V39="D+")*12+($P39:$V39="N+")*12+($P39:$V39="Dm+")*12+($P39:$V39="Dt+")*12+($P39:$V39="Tm-")*6+($P39:$V39="Mt-")*6)</f>
        <v/>
      </c>
      <c r="AW39" s="118">
        <f>AV39-MAX(0,IFERROR(INDEX(CADASTRO!$I$4:$I$80,MATCH($A39,CADASTRO!$A$4:$A$80,0)),$B39)-CONFIG!$B$50*(COUNTIF($P39:$V39,"AB")+COUNTIF($P39:$V39,"FE")+COUNTIF($P39:$V39,"LM")))</f>
        <v/>
      </c>
      <c r="AX39" s="117">
        <f>SUMPRODUCT(($W39:$AC39="M")*6+($W39:$AC39="T")*6+($W39:$AC39="D")*12+($W39:$AC39="N")*12+($W39:$AC39="NT")*6+($W39:$AC39="C")*10+($W39:$AC39="A")*8+($W39:$AC39="J")*5+($W39:$AC39="CEP")*4+($W39:$AC39="CP")*6+($W39:$AC39="CRO")*6+($W39:$AC39="M+")*6+($W39:$AC39="T+")*6+($W39:$AC39="D+")*12+($W39:$AC39="N+")*12+($W39:$AC39="Dm+")*12+($W39:$AC39="Dt+")*12+($W39:$AC39="Tm-")*6+($W39:$AC39="Mt-")*6)</f>
        <v/>
      </c>
      <c r="AY39" s="118">
        <f>AX39-MAX(0,IFERROR(INDEX(CADASTRO!$I$4:$I$80,MATCH($A39,CADASTRO!$A$4:$A$80,0)),$B39)-CONFIG!$B$50*(COUNTIF($W39:$AC39,"AB")+COUNTIF($W39:$AC39,"FE")+COUNTIF($W39:$AC39,"LM")))</f>
        <v/>
      </c>
      <c r="AZ39" s="117">
        <f>SUMPRODUCT(($AD39:$AJ39="M")*6+($AD39:$AJ39="T")*6+($AD39:$AJ39="D")*12+($AD39:$AJ39="N")*12+($AD39:$AJ39="NT")*6+($AD39:$AJ39="C")*10+($AD39:$AJ39="A")*8+($AD39:$AJ39="J")*5+($AD39:$AJ39="CEP")*4+($AD39:$AJ39="CP")*6+($AD39:$AJ39="CRO")*6+($AD39:$AJ39="M+")*6+($AD39:$AJ39="T+")*6+($AD39:$AJ39="D+")*12+($AD39:$AJ39="N+")*12+($AD39:$AJ39="Dm+")*12+($AD39:$AJ39="Dt+")*12+($AD39:$AJ39="Tm-")*6+($AD39:$AJ39="Mt-")*6)</f>
        <v/>
      </c>
      <c r="BA39" s="118">
        <f>AZ39-MAX(0,IFERROR(INDEX(CADASTRO!$I$4:$I$80,MATCH($A39,CADASTRO!$A$4:$A$80,0)),$B39)-CONFIG!$B$50*(COUNTIF($AD39:$AJ39,"AB")+COUNTIF($AD39:$AJ39,"FE")+COUNTIF($AD39:$AJ39,"LM")))</f>
        <v/>
      </c>
      <c r="BB39" s="117">
        <f>SUMPRODUCT(($AK39:$AL39="M")*6+($AK39:$AL39="T")*6+($AK39:$AL39="D")*12+($AK39:$AL39="N")*12+($AK39:$AL39="NT")*6+($AK39:$AL39="C")*10+($AK39:$AL39="A")*8+($AK39:$AL39="J")*5+($AK39:$AL39="CEP")*4+($AK39:$AL39="CP")*6+($AK39:$AL39="CRO")*6+($AK39:$AL39="M+")*6+($AK39:$AL39="T+")*6+($AK39:$AL39="D+")*12+($AK39:$AL39="N+")*12+($AK39:$AL39="Dm+")*12+($AK39:$AL39="Dt+")*12+($AK39:$AL39="Tm-")*6+($AK39:$AL39="Mt-")*6)+SUMPRODUCT(($AN39:$AR39="M")*6+($AN39:$AR39="T")*6+($AN39:$AR39="D")*12+($AN39:$AR39="N")*12+($AN39:$AR39="NT")*6+($AN39:$AR39="C")*10+($AN39:$AR39="A")*8+($AN39:$AR39="J")*5+($AN39:$AR39="CEP")*4+($AN39:$AR39="CP")*6+($AN39:$AR39="CRO")*6+($AN39:$AR39="M+")*6+($AN39:$AR39="T+")*6+($AN39:$AR39="D+")*12+($AN39:$AR39="N+")*12+($AN39:$AR39="Dm+")*12+($AN39:$AR39="Dt+")*12+($AN39:$AR39="Tm-")*6+($AN39:$AR39="Mt-")*6)</f>
        <v/>
      </c>
      <c r="BC39" s="118">
        <f>BB39-MAX(0,IFERROR(INDEX(CADASTRO!$I$4:$I$80,MATCH($A39,CADASTRO!$A$4:$A$80,0)),$B39)-CONFIG!$B$50*(COUNTIF($AK39:$AL39,"AB")+COUNTIF($AK39:$AL39,"FE")+COUNTIF($AK39:$AL39,"LM")+COUNTIF($AN39:$AR39,"AB")+COUNTIF($AN39:$AR39,"FE")+COUNTIF($AN39:$AR39,"LM")))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ROUND(B39*4.29,0)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00" t="n"/>
      <c r="H40" s="100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00" t="n"/>
      <c r="AN40" s="136">
        <f>IFERROR(INDEX(JUL!I$8:I$73,MATCH($A40,JUL!$A$8:$A$73,0))&amp;"","")</f>
        <v/>
      </c>
      <c r="AO40" s="136">
        <f>IFERROR(INDEX(JUL!J$8:J$73,MATCH($A40,JUL!$A$8:$A$73,0))&amp;"","")</f>
        <v/>
      </c>
      <c r="AP40" s="136">
        <f>IFERROR(INDEX(JUL!K$8:K$73,MATCH($A40,JUL!$A$8:$A$73,0))&amp;"","")</f>
        <v/>
      </c>
      <c r="AQ40" s="116">
        <f>IFERROR(INDEX(JUL!L$8:L$73,MATCH($A40,JUL!$A$8:$A$73,0))&amp;"","")</f>
        <v/>
      </c>
      <c r="AR40" s="116">
        <f>IFERROR(INDEX(JUL!M$8:M$73,MATCH($A40,JUL!$A$8:$A$73,0))&amp;"","")</f>
        <v/>
      </c>
      <c r="AS40" s="100" t="n"/>
      <c r="AT40" s="117">
        <f>SUMPRODUCT(($I40:$O40="M")*6+($I40:$O40="T")*6+($I40:$O40="D")*12+($I40:$O40="N")*12+($I40:$O40="NT")*6+($I40:$O40="C")*10+($I40:$O40="A")*8+($I40:$O40="J")*5+($I40:$O40="CEP")*4+($I40:$O40="CP")*6+($I40:$O40="CRO")*6+($I40:$O40="M+")*6+($I40:$O40="T+")*6+($I40:$O40="D+")*12+($I40:$O40="N+")*12+($I40:$O40="Dm+")*12+($I40:$O40="Dt+")*12+($I40:$O40="Tm-")*6+($I40:$O40="Mt-")*6)</f>
        <v/>
      </c>
      <c r="AU40" s="118">
        <f>AT40-MAX(0,IFERROR(INDEX(CADASTRO!$I$4:$I$80,MATCH($A40,CADASTRO!$A$4:$A$80,0)),$B40)-CONFIG!$B$50*(COUNTIF($I40:$O40,"AB")+COUNTIF($I40:$O40,"FE")+COUNTIF($I40:$O40,"LM")))</f>
        <v/>
      </c>
      <c r="AV40" s="117">
        <f>SUMPRODUCT(($P40:$V40="M")*6+($P40:$V40="T")*6+($P40:$V40="D")*12+($P40:$V40="N")*12+($P40:$V40="NT")*6+($P40:$V40="C")*10+($P40:$V40="A")*8+($P40:$V40="J")*5+($P40:$V40="CEP")*4+($P40:$V40="CP")*6+($P40:$V40="CRO")*6+($P40:$V40="M+")*6+($P40:$V40="T+")*6+($P40:$V40="D+")*12+($P40:$V40="N+")*12+($P40:$V40="Dm+")*12+($P40:$V40="Dt+")*12+($P40:$V40="Tm-")*6+($P40:$V40="Mt-")*6)</f>
        <v/>
      </c>
      <c r="AW40" s="118">
        <f>AV40-MAX(0,IFERROR(INDEX(CADASTRO!$I$4:$I$80,MATCH($A40,CADASTRO!$A$4:$A$80,0)),$B40)-CONFIG!$B$50*(COUNTIF($P40:$V40,"AB")+COUNTIF($P40:$V40,"FE")+COUNTIF($P40:$V40,"LM")))</f>
        <v/>
      </c>
      <c r="AX40" s="117">
        <f>SUMPRODUCT(($W40:$AC40="M")*6+($W40:$AC40="T")*6+($W40:$AC40="D")*12+($W40:$AC40="N")*12+($W40:$AC40="NT")*6+($W40:$AC40="C")*10+($W40:$AC40="A")*8+($W40:$AC40="J")*5+($W40:$AC40="CEP")*4+($W40:$AC40="CP")*6+($W40:$AC40="CRO")*6+($W40:$AC40="M+")*6+($W40:$AC40="T+")*6+($W40:$AC40="D+")*12+($W40:$AC40="N+")*12+($W40:$AC40="Dm+")*12+($W40:$AC40="Dt+")*12+($W40:$AC40="Tm-")*6+($W40:$AC40="Mt-")*6)</f>
        <v/>
      </c>
      <c r="AY40" s="118">
        <f>AX40-MAX(0,IFERROR(INDEX(CADASTRO!$I$4:$I$80,MATCH($A40,CADASTRO!$A$4:$A$80,0)),$B40)-CONFIG!$B$50*(COUNTIF($W40:$AC40,"AB")+COUNTIF($W40:$AC40,"FE")+COUNTIF($W40:$AC40,"LM")))</f>
        <v/>
      </c>
      <c r="AZ40" s="117">
        <f>SUMPRODUCT(($AD40:$AJ40="M")*6+($AD40:$AJ40="T")*6+($AD40:$AJ40="D")*12+($AD40:$AJ40="N")*12+($AD40:$AJ40="NT")*6+($AD40:$AJ40="C")*10+($AD40:$AJ40="A")*8+($AD40:$AJ40="J")*5+($AD40:$AJ40="CEP")*4+($AD40:$AJ40="CP")*6+($AD40:$AJ40="CRO")*6+($AD40:$AJ40="M+")*6+($AD40:$AJ40="T+")*6+($AD40:$AJ40="D+")*12+($AD40:$AJ40="N+")*12+($AD40:$AJ40="Dm+")*12+($AD40:$AJ40="Dt+")*12+($AD40:$AJ40="Tm-")*6+($AD40:$AJ40="Mt-")*6)</f>
        <v/>
      </c>
      <c r="BA40" s="118">
        <f>AZ40-MAX(0,IFERROR(INDEX(CADASTRO!$I$4:$I$80,MATCH($A40,CADASTRO!$A$4:$A$80,0)),$B40)-CONFIG!$B$50*(COUNTIF($AD40:$AJ40,"AB")+COUNTIF($AD40:$AJ40,"FE")+COUNTIF($AD40:$AJ40,"LM")))</f>
        <v/>
      </c>
      <c r="BB40" s="117">
        <f>SUMPRODUCT(($AK40:$AL40="M")*6+($AK40:$AL40="T")*6+($AK40:$AL40="D")*12+($AK40:$AL40="N")*12+($AK40:$AL40="NT")*6+($AK40:$AL40="C")*10+($AK40:$AL40="A")*8+($AK40:$AL40="J")*5+($AK40:$AL40="CEP")*4+($AK40:$AL40="CP")*6+($AK40:$AL40="CRO")*6+($AK40:$AL40="M+")*6+($AK40:$AL40="T+")*6+($AK40:$AL40="D+")*12+($AK40:$AL40="N+")*12+($AK40:$AL40="Dm+")*12+($AK40:$AL40="Dt+")*12+($AK40:$AL40="Tm-")*6+($AK40:$AL40="Mt-")*6)+SUMPRODUCT(($AN40:$AR40="M")*6+($AN40:$AR40="T")*6+($AN40:$AR40="D")*12+($AN40:$AR40="N")*12+($AN40:$AR40="NT")*6+($AN40:$AR40="C")*10+($AN40:$AR40="A")*8+($AN40:$AR40="J")*5+($AN40:$AR40="CEP")*4+($AN40:$AR40="CP")*6+($AN40:$AR40="CRO")*6+($AN40:$AR40="M+")*6+($AN40:$AR40="T+")*6+($AN40:$AR40="D+")*12+($AN40:$AR40="N+")*12+($AN40:$AR40="Dm+")*12+($AN40:$AR40="Dt+")*12+($AN40:$AR40="Tm-")*6+($AN40:$AR40="Mt-")*6)</f>
        <v/>
      </c>
      <c r="BC40" s="118">
        <f>BB40-MAX(0,IFERROR(INDEX(CADASTRO!$I$4:$I$80,MATCH($A40,CADASTRO!$A$4:$A$80,0)),$B40)-CONFIG!$B$50*(COUNTIF($AK40:$AL40,"AB")+COUNTIF($AK40:$AL40,"FE")+COUNTIF($AK40:$AL40,"LM")+COUNTIF($AN40:$AR40,"AB")+COUNTIF($AN40:$AR40,"FE")+COUNTIF($AN40:$AR40,"LM")))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ROUND(B40*4.29,0)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00" t="n"/>
      <c r="H41" s="100" t="n"/>
      <c r="I41" s="114" t="n"/>
      <c r="J41" s="114" t="n"/>
      <c r="K41" s="114" t="n"/>
      <c r="L41" s="114" t="n"/>
      <c r="M41" s="114" t="n"/>
      <c r="N41" s="126" t="inlineStr">
        <is>
          <t>T</t>
        </is>
      </c>
      <c r="O41" s="124" t="inlineStr">
        <is>
          <t>D</t>
        </is>
      </c>
      <c r="P41" s="124" t="inlineStr">
        <is>
          <t>D</t>
        </is>
      </c>
      <c r="Q41" s="114" t="n"/>
      <c r="R41" s="114" t="n"/>
      <c r="S41" s="114" t="n"/>
      <c r="T41" s="125" t="inlineStr">
        <is>
          <t>N</t>
        </is>
      </c>
      <c r="U41" s="114" t="n"/>
      <c r="V41" s="114" t="n"/>
      <c r="W41" s="124" t="inlineStr">
        <is>
          <t>D</t>
        </is>
      </c>
      <c r="X41" s="114" t="n"/>
      <c r="Y41" s="114" t="n"/>
      <c r="Z41" s="114" t="n"/>
      <c r="AA41" s="124" t="inlineStr">
        <is>
          <t>D</t>
        </is>
      </c>
      <c r="AB41" s="114" t="n"/>
      <c r="AC41" s="114" t="n"/>
      <c r="AD41" s="124" t="inlineStr">
        <is>
          <t>D</t>
        </is>
      </c>
      <c r="AE41" s="114" t="n"/>
      <c r="AF41" s="125" t="inlineStr">
        <is>
          <t>N</t>
        </is>
      </c>
      <c r="AG41" s="114" t="n"/>
      <c r="AH41" s="114" t="n"/>
      <c r="AI41" s="114" t="n"/>
      <c r="AJ41" s="114" t="n"/>
      <c r="AK41" s="114" t="n"/>
      <c r="AL41" s="114" t="n"/>
      <c r="AM41" s="100" t="n"/>
      <c r="AN41" s="136">
        <f>IFERROR(INDEX(JUL!I$8:I$73,MATCH($A41,JUL!$A$8:$A$73,0))&amp;"","")</f>
        <v/>
      </c>
      <c r="AO41" s="136">
        <f>IFERROR(INDEX(JUL!J$8:J$73,MATCH($A41,JUL!$A$8:$A$73,0))&amp;"","")</f>
        <v/>
      </c>
      <c r="AP41" s="136">
        <f>IFERROR(INDEX(JUL!K$8:K$73,MATCH($A41,JUL!$A$8:$A$73,0))&amp;"","")</f>
        <v/>
      </c>
      <c r="AQ41" s="116">
        <f>IFERROR(INDEX(JUL!L$8:L$73,MATCH($A41,JUL!$A$8:$A$73,0))&amp;"","")</f>
        <v/>
      </c>
      <c r="AR41" s="116">
        <f>IFERROR(INDEX(JUL!M$8:M$73,MATCH($A41,JUL!$A$8:$A$73,0))&amp;"","")</f>
        <v/>
      </c>
      <c r="AS41" s="100" t="n"/>
      <c r="AT41" s="117">
        <f>SUMPRODUCT(($I41:$O41="M")*6+($I41:$O41="T")*6+($I41:$O41="D")*12+($I41:$O41="N")*12+($I41:$O41="NT")*6+($I41:$O41="C")*10+($I41:$O41="A")*8+($I41:$O41="J")*5+($I41:$O41="CEP")*4+($I41:$O41="CP")*6+($I41:$O41="CRO")*6+($I41:$O41="M+")*6+($I41:$O41="T+")*6+($I41:$O41="D+")*12+($I41:$O41="N+")*12+($I41:$O41="Dm+")*12+($I41:$O41="Dt+")*12+($I41:$O41="Tm-")*6+($I41:$O41="Mt-")*6)</f>
        <v/>
      </c>
      <c r="AU41" s="118">
        <f>AT41-MAX(0,IFERROR(INDEX(CADASTRO!$I$4:$I$80,MATCH($A41,CADASTRO!$A$4:$A$80,0)),$B41)-CONFIG!$B$50*(COUNTIF($I41:$O41,"AB")+COUNTIF($I41:$O41,"FE")+COUNTIF($I41:$O41,"LM")))</f>
        <v/>
      </c>
      <c r="AV41" s="117">
        <f>SUMPRODUCT(($P41:$V41="M")*6+($P41:$V41="T")*6+($P41:$V41="D")*12+($P41:$V41="N")*12+($P41:$V41="NT")*6+($P41:$V41="C")*10+($P41:$V41="A")*8+($P41:$V41="J")*5+($P41:$V41="CEP")*4+($P41:$V41="CP")*6+($P41:$V41="CRO")*6+($P41:$V41="M+")*6+($P41:$V41="T+")*6+($P41:$V41="D+")*12+($P41:$V41="N+")*12+($P41:$V41="Dm+")*12+($P41:$V41="Dt+")*12+($P41:$V41="Tm-")*6+($P41:$V41="Mt-")*6)</f>
        <v/>
      </c>
      <c r="AW41" s="118">
        <f>AV41-MAX(0,IFERROR(INDEX(CADASTRO!$I$4:$I$80,MATCH($A41,CADASTRO!$A$4:$A$80,0)),$B41)-CONFIG!$B$50*(COUNTIF($P41:$V41,"AB")+COUNTIF($P41:$V41,"FE")+COUNTIF($P41:$V41,"LM")))</f>
        <v/>
      </c>
      <c r="AX41" s="117">
        <f>SUMPRODUCT(($W41:$AC41="M")*6+($W41:$AC41="T")*6+($W41:$AC41="D")*12+($W41:$AC41="N")*12+($W41:$AC41="NT")*6+($W41:$AC41="C")*10+($W41:$AC41="A")*8+($W41:$AC41="J")*5+($W41:$AC41="CEP")*4+($W41:$AC41="CP")*6+($W41:$AC41="CRO")*6+($W41:$AC41="M+")*6+($W41:$AC41="T+")*6+($W41:$AC41="D+")*12+($W41:$AC41="N+")*12+($W41:$AC41="Dm+")*12+($W41:$AC41="Dt+")*12+($W41:$AC41="Tm-")*6+($W41:$AC41="Mt-")*6)</f>
        <v/>
      </c>
      <c r="AY41" s="118">
        <f>AX41-MAX(0,IFERROR(INDEX(CADASTRO!$I$4:$I$80,MATCH($A41,CADASTRO!$A$4:$A$80,0)),$B41)-CONFIG!$B$50*(COUNTIF($W41:$AC41,"AB")+COUNTIF($W41:$AC41,"FE")+COUNTIF($W41:$AC41,"LM")))</f>
        <v/>
      </c>
      <c r="AZ41" s="117">
        <f>SUMPRODUCT(($AD41:$AJ41="M")*6+($AD41:$AJ41="T")*6+($AD41:$AJ41="D")*12+($AD41:$AJ41="N")*12+($AD41:$AJ41="NT")*6+($AD41:$AJ41="C")*10+($AD41:$AJ41="A")*8+($AD41:$AJ41="J")*5+($AD41:$AJ41="CEP")*4+($AD41:$AJ41="CP")*6+($AD41:$AJ41="CRO")*6+($AD41:$AJ41="M+")*6+($AD41:$AJ41="T+")*6+($AD41:$AJ41="D+")*12+($AD41:$AJ41="N+")*12+($AD41:$AJ41="Dm+")*12+($AD41:$AJ41="Dt+")*12+($AD41:$AJ41="Tm-")*6+($AD41:$AJ41="Mt-")*6)</f>
        <v/>
      </c>
      <c r="BA41" s="118">
        <f>AZ41-MAX(0,IFERROR(INDEX(CADASTRO!$I$4:$I$80,MATCH($A41,CADASTRO!$A$4:$A$80,0)),$B41)-CONFIG!$B$50*(COUNTIF($AD41:$AJ41,"AB")+COUNTIF($AD41:$AJ41,"FE")+COUNTIF($AD41:$AJ41,"LM")))</f>
        <v/>
      </c>
      <c r="BB41" s="117">
        <f>SUMPRODUCT(($AK41:$AL41="M")*6+($AK41:$AL41="T")*6+($AK41:$AL41="D")*12+($AK41:$AL41="N")*12+($AK41:$AL41="NT")*6+($AK41:$AL41="C")*10+($AK41:$AL41="A")*8+($AK41:$AL41="J")*5+($AK41:$AL41="CEP")*4+($AK41:$AL41="CP")*6+($AK41:$AL41="CRO")*6+($AK41:$AL41="M+")*6+($AK41:$AL41="T+")*6+($AK41:$AL41="D+")*12+($AK41:$AL41="N+")*12+($AK41:$AL41="Dm+")*12+($AK41:$AL41="Dt+")*12+($AK41:$AL41="Tm-")*6+($AK41:$AL41="Mt-")*6)+SUMPRODUCT(($AN41:$AR41="M")*6+($AN41:$AR41="T")*6+($AN41:$AR41="D")*12+($AN41:$AR41="N")*12+($AN41:$AR41="NT")*6+($AN41:$AR41="C")*10+($AN41:$AR41="A")*8+($AN41:$AR41="J")*5+($AN41:$AR41="CEP")*4+($AN41:$AR41="CP")*6+($AN41:$AR41="CRO")*6+($AN41:$AR41="M+")*6+($AN41:$AR41="T+")*6+($AN41:$AR41="D+")*12+($AN41:$AR41="N+")*12+($AN41:$AR41="Dm+")*12+($AN41:$AR41="Dt+")*12+($AN41:$AR41="Tm-")*6+($AN41:$AR41="Mt-")*6)</f>
        <v/>
      </c>
      <c r="BC41" s="118">
        <f>BB41-MAX(0,IFERROR(INDEX(CADASTRO!$I$4:$I$80,MATCH($A41,CADASTRO!$A$4:$A$80,0)),$B41)-CONFIG!$B$50*(COUNTIF($AK41:$AL41,"AB")+COUNTIF($AK41:$AL41,"FE")+COUNTIF($AK41:$AL41,"LM")+COUNTIF($AN41:$AR41,"AB")+COUNTIF($AN41:$AR41,"FE")+COUNTIF($AN41:$AR41,"LM")))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ROUND(B41*4.29,0)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00" t="n"/>
      <c r="H42" s="100" t="n"/>
      <c r="I42" s="114" t="n"/>
      <c r="J42" s="125" t="inlineStr">
        <is>
          <t>N</t>
        </is>
      </c>
      <c r="K42" s="124" t="inlineStr">
        <is>
          <t>D</t>
        </is>
      </c>
      <c r="L42" s="114" t="n"/>
      <c r="M42" s="114" t="n"/>
      <c r="N42" s="114" t="n"/>
      <c r="O42" s="114" t="n"/>
      <c r="P42" s="124" t="inlineStr">
        <is>
          <t>D</t>
        </is>
      </c>
      <c r="Q42" s="125" t="inlineStr">
        <is>
          <t>N</t>
        </is>
      </c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  <c r="AB42" s="124" t="inlineStr">
        <is>
          <t>D</t>
        </is>
      </c>
      <c r="AC42" s="124" t="inlineStr">
        <is>
          <t>D</t>
        </is>
      </c>
      <c r="AD42" s="114" t="n"/>
      <c r="AE42" s="125" t="inlineStr">
        <is>
          <t>N</t>
        </is>
      </c>
      <c r="AF42" s="114" t="n"/>
      <c r="AG42" s="114" t="n"/>
      <c r="AH42" s="125" t="inlineStr">
        <is>
          <t>N</t>
        </is>
      </c>
      <c r="AI42" s="114" t="n"/>
      <c r="AJ42" s="114" t="n"/>
      <c r="AK42" s="114" t="n"/>
      <c r="AL42" s="124" t="inlineStr">
        <is>
          <t>D</t>
        </is>
      </c>
      <c r="AM42" s="100" t="n"/>
      <c r="AN42" s="136">
        <f>IFERROR(INDEX(JUL!I$8:I$73,MATCH($A42,JUL!$A$8:$A$73,0))&amp;"","")</f>
        <v/>
      </c>
      <c r="AO42" s="136">
        <f>IFERROR(INDEX(JUL!J$8:J$73,MATCH($A42,JUL!$A$8:$A$73,0))&amp;"","")</f>
        <v/>
      </c>
      <c r="AP42" s="136">
        <f>IFERROR(INDEX(JUL!K$8:K$73,MATCH($A42,JUL!$A$8:$A$73,0))&amp;"","")</f>
        <v/>
      </c>
      <c r="AQ42" s="116">
        <f>IFERROR(INDEX(JUL!L$8:L$73,MATCH($A42,JUL!$A$8:$A$73,0))&amp;"","")</f>
        <v/>
      </c>
      <c r="AR42" s="116">
        <f>IFERROR(INDEX(JUL!M$8:M$73,MATCH($A42,JUL!$A$8:$A$73,0))&amp;"","")</f>
        <v/>
      </c>
      <c r="AS42" s="100" t="n"/>
      <c r="AT42" s="117">
        <f>SUMPRODUCT(($I42:$O42="M")*6+($I42:$O42="T")*6+($I42:$O42="D")*12+($I42:$O42="N")*12+($I42:$O42="NT")*6+($I42:$O42="C")*10+($I42:$O42="A")*8+($I42:$O42="J")*5+($I42:$O42="CEP")*4+($I42:$O42="CP")*6+($I42:$O42="CRO")*6+($I42:$O42="M+")*6+($I42:$O42="T+")*6+($I42:$O42="D+")*12+($I42:$O42="N+")*12+($I42:$O42="Dm+")*12+($I42:$O42="Dt+")*12+($I42:$O42="Tm-")*6+($I42:$O42="Mt-")*6)</f>
        <v/>
      </c>
      <c r="AU42" s="118">
        <f>AT42-MAX(0,IFERROR(INDEX(CADASTRO!$I$4:$I$80,MATCH($A42,CADASTRO!$A$4:$A$80,0)),$B42)-CONFIG!$B$50*(COUNTIF($I42:$O42,"AB")+COUNTIF($I42:$O42,"FE")+COUNTIF($I42:$O42,"LM")))</f>
        <v/>
      </c>
      <c r="AV42" s="117">
        <f>SUMPRODUCT(($P42:$V42="M")*6+($P42:$V42="T")*6+($P42:$V42="D")*12+($P42:$V42="N")*12+($P42:$V42="NT")*6+($P42:$V42="C")*10+($P42:$V42="A")*8+($P42:$V42="J")*5+($P42:$V42="CEP")*4+($P42:$V42="CP")*6+($P42:$V42="CRO")*6+($P42:$V42="M+")*6+($P42:$V42="T+")*6+($P42:$V42="D+")*12+($P42:$V42="N+")*12+($P42:$V42="Dm+")*12+($P42:$V42="Dt+")*12+($P42:$V42="Tm-")*6+($P42:$V42="Mt-")*6)</f>
        <v/>
      </c>
      <c r="AW42" s="118">
        <f>AV42-MAX(0,IFERROR(INDEX(CADASTRO!$I$4:$I$80,MATCH($A42,CADASTRO!$A$4:$A$80,0)),$B42)-CONFIG!$B$50*(COUNTIF($P42:$V42,"AB")+COUNTIF($P42:$V42,"FE")+COUNTIF($P42:$V42,"LM")))</f>
        <v/>
      </c>
      <c r="AX42" s="117">
        <f>SUMPRODUCT(($W42:$AC42="M")*6+($W42:$AC42="T")*6+($W42:$AC42="D")*12+($W42:$AC42="N")*12+($W42:$AC42="NT")*6+($W42:$AC42="C")*10+($W42:$AC42="A")*8+($W42:$AC42="J")*5+($W42:$AC42="CEP")*4+($W42:$AC42="CP")*6+($W42:$AC42="CRO")*6+($W42:$AC42="M+")*6+($W42:$AC42="T+")*6+($W42:$AC42="D+")*12+($W42:$AC42="N+")*12+($W42:$AC42="Dm+")*12+($W42:$AC42="Dt+")*12+($W42:$AC42="Tm-")*6+($W42:$AC42="Mt-")*6)</f>
        <v/>
      </c>
      <c r="AY42" s="118">
        <f>AX42-MAX(0,IFERROR(INDEX(CADASTRO!$I$4:$I$80,MATCH($A42,CADASTRO!$A$4:$A$80,0)),$B42)-CONFIG!$B$50*(COUNTIF($W42:$AC42,"AB")+COUNTIF($W42:$AC42,"FE")+COUNTIF($W42:$AC42,"LM")))</f>
        <v/>
      </c>
      <c r="AZ42" s="117">
        <f>SUMPRODUCT(($AD42:$AJ42="M")*6+($AD42:$AJ42="T")*6+($AD42:$AJ42="D")*12+($AD42:$AJ42="N")*12+($AD42:$AJ42="NT")*6+($AD42:$AJ42="C")*10+($AD42:$AJ42="A")*8+($AD42:$AJ42="J")*5+($AD42:$AJ42="CEP")*4+($AD42:$AJ42="CP")*6+($AD42:$AJ42="CRO")*6+($AD42:$AJ42="M+")*6+($AD42:$AJ42="T+")*6+($AD42:$AJ42="D+")*12+($AD42:$AJ42="N+")*12+($AD42:$AJ42="Dm+")*12+($AD42:$AJ42="Dt+")*12+($AD42:$AJ42="Tm-")*6+($AD42:$AJ42="Mt-")*6)</f>
        <v/>
      </c>
      <c r="BA42" s="118">
        <f>AZ42-MAX(0,IFERROR(INDEX(CADASTRO!$I$4:$I$80,MATCH($A42,CADASTRO!$A$4:$A$80,0)),$B42)-CONFIG!$B$50*(COUNTIF($AD42:$AJ42,"AB")+COUNTIF($AD42:$AJ42,"FE")+COUNTIF($AD42:$AJ42,"LM")))</f>
        <v/>
      </c>
      <c r="BB42" s="117">
        <f>SUMPRODUCT(($AK42:$AL42="M")*6+($AK42:$AL42="T")*6+($AK42:$AL42="D")*12+($AK42:$AL42="N")*12+($AK42:$AL42="NT")*6+($AK42:$AL42="C")*10+($AK42:$AL42="A")*8+($AK42:$AL42="J")*5+($AK42:$AL42="CEP")*4+($AK42:$AL42="CP")*6+($AK42:$AL42="CRO")*6+($AK42:$AL42="M+")*6+($AK42:$AL42="T+")*6+($AK42:$AL42="D+")*12+($AK42:$AL42="N+")*12+($AK42:$AL42="Dm+")*12+($AK42:$AL42="Dt+")*12+($AK42:$AL42="Tm-")*6+($AK42:$AL42="Mt-")*6)+SUMPRODUCT(($AN42:$AR42="M")*6+($AN42:$AR42="T")*6+($AN42:$AR42="D")*12+($AN42:$AR42="N")*12+($AN42:$AR42="NT")*6+($AN42:$AR42="C")*10+($AN42:$AR42="A")*8+($AN42:$AR42="J")*5+($AN42:$AR42="CEP")*4+($AN42:$AR42="CP")*6+($AN42:$AR42="CRO")*6+($AN42:$AR42="M+")*6+($AN42:$AR42="T+")*6+($AN42:$AR42="D+")*12+($AN42:$AR42="N+")*12+($AN42:$AR42="Dm+")*12+($AN42:$AR42="Dt+")*12+($AN42:$AR42="Tm-")*6+($AN42:$AR42="Mt-")*6)</f>
        <v/>
      </c>
      <c r="BC42" s="118">
        <f>BB42-MAX(0,IFERROR(INDEX(CADASTRO!$I$4:$I$80,MATCH($A42,CADASTRO!$A$4:$A$80,0)),$B42)-CONFIG!$B$50*(COUNTIF($AK42:$AL42,"AB")+COUNTIF($AK42:$AL42,"FE")+COUNTIF($AK42:$AL42,"LM")+COUNTIF($AN42:$AR42,"AB")+COUNTIF($AN42:$AR42,"FE")+COUNTIF($AN42:$AR42,"LM")))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ROUND(B42*4.29,0)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00" t="n"/>
      <c r="H43" s="100" t="n"/>
      <c r="I43" s="125" t="inlineStr">
        <is>
          <t>N</t>
        </is>
      </c>
      <c r="J43" s="114" t="n"/>
      <c r="K43" s="125" t="inlineStr">
        <is>
          <t>N</t>
        </is>
      </c>
      <c r="L43" s="114" t="n"/>
      <c r="M43" s="114" t="n"/>
      <c r="N43" s="114" t="n"/>
      <c r="O43" s="114" t="n"/>
      <c r="P43" s="114" t="n"/>
      <c r="Q43" s="114" t="n"/>
      <c r="R43" s="114" t="n"/>
      <c r="S43" s="125" t="inlineStr">
        <is>
          <t>N</t>
        </is>
      </c>
      <c r="T43" s="114" t="n"/>
      <c r="U43" s="125" t="inlineStr">
        <is>
          <t>N</t>
        </is>
      </c>
      <c r="V43" s="114" t="n"/>
      <c r="W43" s="125" t="inlineStr">
        <is>
          <t>N</t>
        </is>
      </c>
      <c r="X43" s="114" t="n"/>
      <c r="Y43" s="114" t="n"/>
      <c r="Z43" s="125" t="inlineStr">
        <is>
          <t>N</t>
        </is>
      </c>
      <c r="AA43" s="114" t="n"/>
      <c r="AB43" s="114" t="n"/>
      <c r="AC43" s="114" t="n"/>
      <c r="AD43" s="125" t="inlineStr">
        <is>
          <t>N</t>
        </is>
      </c>
      <c r="AE43" s="114" t="n"/>
      <c r="AF43" s="114" t="n"/>
      <c r="AG43" s="125" t="inlineStr">
        <is>
          <t>N</t>
        </is>
      </c>
      <c r="AH43" s="114" t="n"/>
      <c r="AI43" s="114" t="n"/>
      <c r="AJ43" s="114" t="n"/>
      <c r="AK43" s="114" t="n"/>
      <c r="AL43" s="114" t="n"/>
      <c r="AM43" s="100" t="n"/>
      <c r="AN43" s="136">
        <f>IFERROR(INDEX(JUL!I$8:I$73,MATCH($A43,JUL!$A$8:$A$73,0))&amp;"","")</f>
        <v/>
      </c>
      <c r="AO43" s="136">
        <f>IFERROR(INDEX(JUL!J$8:J$73,MATCH($A43,JUL!$A$8:$A$73,0))&amp;"","")</f>
        <v/>
      </c>
      <c r="AP43" s="136">
        <f>IFERROR(INDEX(JUL!K$8:K$73,MATCH($A43,JUL!$A$8:$A$73,0))&amp;"","")</f>
        <v/>
      </c>
      <c r="AQ43" s="116">
        <f>IFERROR(INDEX(JUL!L$8:L$73,MATCH($A43,JUL!$A$8:$A$73,0))&amp;"","")</f>
        <v/>
      </c>
      <c r="AR43" s="116">
        <f>IFERROR(INDEX(JUL!M$8:M$73,MATCH($A43,JUL!$A$8:$A$73,0))&amp;"","")</f>
        <v/>
      </c>
      <c r="AS43" s="100" t="n"/>
      <c r="AT43" s="117">
        <f>SUMPRODUCT(($I43:$O43="M")*6+($I43:$O43="T")*6+($I43:$O43="D")*12+($I43:$O43="N")*12+($I43:$O43="NT")*6+($I43:$O43="C")*10+($I43:$O43="A")*8+($I43:$O43="J")*5+($I43:$O43="CEP")*4+($I43:$O43="CP")*6+($I43:$O43="CRO")*6+($I43:$O43="M+")*6+($I43:$O43="T+")*6+($I43:$O43="D+")*12+($I43:$O43="N+")*12+($I43:$O43="Dm+")*12+($I43:$O43="Dt+")*12+($I43:$O43="Tm-")*6+($I43:$O43="Mt-")*6)</f>
        <v/>
      </c>
      <c r="AU43" s="118">
        <f>AT43-MAX(0,IFERROR(INDEX(CADASTRO!$I$4:$I$80,MATCH($A43,CADASTRO!$A$4:$A$80,0)),$B43)-CONFIG!$B$50*(COUNTIF($I43:$O43,"AB")+COUNTIF($I43:$O43,"FE")+COUNTIF($I43:$O43,"LM")))</f>
        <v/>
      </c>
      <c r="AV43" s="117">
        <f>SUMPRODUCT(($P43:$V43="M")*6+($P43:$V43="T")*6+($P43:$V43="D")*12+($P43:$V43="N")*12+($P43:$V43="NT")*6+($P43:$V43="C")*10+($P43:$V43="A")*8+($P43:$V43="J")*5+($P43:$V43="CEP")*4+($P43:$V43="CP")*6+($P43:$V43="CRO")*6+($P43:$V43="M+")*6+($P43:$V43="T+")*6+($P43:$V43="D+")*12+($P43:$V43="N+")*12+($P43:$V43="Dm+")*12+($P43:$V43="Dt+")*12+($P43:$V43="Tm-")*6+($P43:$V43="Mt-")*6)</f>
        <v/>
      </c>
      <c r="AW43" s="118">
        <f>AV43-MAX(0,IFERROR(INDEX(CADASTRO!$I$4:$I$80,MATCH($A43,CADASTRO!$A$4:$A$80,0)),$B43)-CONFIG!$B$50*(COUNTIF($P43:$V43,"AB")+COUNTIF($P43:$V43,"FE")+COUNTIF($P43:$V43,"LM")))</f>
        <v/>
      </c>
      <c r="AX43" s="117">
        <f>SUMPRODUCT(($W43:$AC43="M")*6+($W43:$AC43="T")*6+($W43:$AC43="D")*12+($W43:$AC43="N")*12+($W43:$AC43="NT")*6+($W43:$AC43="C")*10+($W43:$AC43="A")*8+($W43:$AC43="J")*5+($W43:$AC43="CEP")*4+($W43:$AC43="CP")*6+($W43:$AC43="CRO")*6+($W43:$AC43="M+")*6+($W43:$AC43="T+")*6+($W43:$AC43="D+")*12+($W43:$AC43="N+")*12+($W43:$AC43="Dm+")*12+($W43:$AC43="Dt+")*12+($W43:$AC43="Tm-")*6+($W43:$AC43="Mt-")*6)</f>
        <v/>
      </c>
      <c r="AY43" s="118">
        <f>AX43-MAX(0,IFERROR(INDEX(CADASTRO!$I$4:$I$80,MATCH($A43,CADASTRO!$A$4:$A$80,0)),$B43)-CONFIG!$B$50*(COUNTIF($W43:$AC43,"AB")+COUNTIF($W43:$AC43,"FE")+COUNTIF($W43:$AC43,"LM")))</f>
        <v/>
      </c>
      <c r="AZ43" s="117">
        <f>SUMPRODUCT(($AD43:$AJ43="M")*6+($AD43:$AJ43="T")*6+($AD43:$AJ43="D")*12+($AD43:$AJ43="N")*12+($AD43:$AJ43="NT")*6+($AD43:$AJ43="C")*10+($AD43:$AJ43="A")*8+($AD43:$AJ43="J")*5+($AD43:$AJ43="CEP")*4+($AD43:$AJ43="CP")*6+($AD43:$AJ43="CRO")*6+($AD43:$AJ43="M+")*6+($AD43:$AJ43="T+")*6+($AD43:$AJ43="D+")*12+($AD43:$AJ43="N+")*12+($AD43:$AJ43="Dm+")*12+($AD43:$AJ43="Dt+")*12+($AD43:$AJ43="Tm-")*6+($AD43:$AJ43="Mt-")*6)</f>
        <v/>
      </c>
      <c r="BA43" s="118">
        <f>AZ43-MAX(0,IFERROR(INDEX(CADASTRO!$I$4:$I$80,MATCH($A43,CADASTRO!$A$4:$A$80,0)),$B43)-CONFIG!$B$50*(COUNTIF($AD43:$AJ43,"AB")+COUNTIF($AD43:$AJ43,"FE")+COUNTIF($AD43:$AJ43,"LM")))</f>
        <v/>
      </c>
      <c r="BB43" s="117">
        <f>SUMPRODUCT(($AK43:$AL43="M")*6+($AK43:$AL43="T")*6+($AK43:$AL43="D")*12+($AK43:$AL43="N")*12+($AK43:$AL43="NT")*6+($AK43:$AL43="C")*10+($AK43:$AL43="A")*8+($AK43:$AL43="J")*5+($AK43:$AL43="CEP")*4+($AK43:$AL43="CP")*6+($AK43:$AL43="CRO")*6+($AK43:$AL43="M+")*6+($AK43:$AL43="T+")*6+($AK43:$AL43="D+")*12+($AK43:$AL43="N+")*12+($AK43:$AL43="Dm+")*12+($AK43:$AL43="Dt+")*12+($AK43:$AL43="Tm-")*6+($AK43:$AL43="Mt-")*6)+SUMPRODUCT(($AN43:$AR43="M")*6+($AN43:$AR43="T")*6+($AN43:$AR43="D")*12+($AN43:$AR43="N")*12+($AN43:$AR43="NT")*6+($AN43:$AR43="C")*10+($AN43:$AR43="A")*8+($AN43:$AR43="J")*5+($AN43:$AR43="CEP")*4+($AN43:$AR43="CP")*6+($AN43:$AR43="CRO")*6+($AN43:$AR43="M+")*6+($AN43:$AR43="T+")*6+($AN43:$AR43="D+")*12+($AN43:$AR43="N+")*12+($AN43:$AR43="Dm+")*12+($AN43:$AR43="Dt+")*12+($AN43:$AR43="Tm-")*6+($AN43:$AR43="Mt-")*6)</f>
        <v/>
      </c>
      <c r="BC43" s="118">
        <f>BB43-MAX(0,IFERROR(INDEX(CADASTRO!$I$4:$I$80,MATCH($A43,CADASTRO!$A$4:$A$80,0)),$B43)-CONFIG!$B$50*(COUNTIF($AK43:$AL43,"AB")+COUNTIF($AK43:$AL43,"FE")+COUNTIF($AK43:$AL43,"LM")+COUNTIF($AN43:$AR43,"AB")+COUNTIF($AN43:$AR43,"FE")+COUNTIF($AN43:$AR43,"LM")))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ROUND(B43*4.29,0)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00" t="n"/>
      <c r="H44" s="100" t="n"/>
      <c r="I44" s="114" t="n"/>
      <c r="J44" s="114" t="n"/>
      <c r="K44" s="114" t="n"/>
      <c r="L44" s="114" t="n"/>
      <c r="M44" s="124" t="inlineStr">
        <is>
          <t>D</t>
        </is>
      </c>
      <c r="N44" s="124" t="inlineStr">
        <is>
          <t>D</t>
        </is>
      </c>
      <c r="O44" s="114" t="n"/>
      <c r="P44" s="114" t="n"/>
      <c r="Q44" s="124" t="inlineStr">
        <is>
          <t>D</t>
        </is>
      </c>
      <c r="R44" s="126" t="inlineStr">
        <is>
          <t>T</t>
        </is>
      </c>
      <c r="S44" s="114" t="n"/>
      <c r="T44" s="126" t="inlineStr">
        <is>
          <t>T</t>
        </is>
      </c>
      <c r="U44" s="114" t="n"/>
      <c r="V44" s="114" t="n"/>
      <c r="W44" s="114" t="n"/>
      <c r="X44" s="124" t="inlineStr">
        <is>
          <t>D</t>
        </is>
      </c>
      <c r="Y44" s="124" t="inlineStr">
        <is>
          <t>D</t>
        </is>
      </c>
      <c r="Z44" s="114" t="n"/>
      <c r="AA44" s="114" t="n"/>
      <c r="AB44" s="114" t="n"/>
      <c r="AC44" s="114" t="n"/>
      <c r="AD44" s="114" t="n"/>
      <c r="AE44" s="114" t="n"/>
      <c r="AF44" s="126" t="inlineStr">
        <is>
          <t>T</t>
        </is>
      </c>
      <c r="AG44" s="114" t="n"/>
      <c r="AH44" s="126" t="inlineStr">
        <is>
          <t>T</t>
        </is>
      </c>
      <c r="AI44" s="114" t="n"/>
      <c r="AJ44" s="124" t="inlineStr">
        <is>
          <t>D</t>
        </is>
      </c>
      <c r="AK44" s="114" t="n"/>
      <c r="AL44" s="124" t="inlineStr">
        <is>
          <t>D</t>
        </is>
      </c>
      <c r="AM44" s="100" t="n"/>
      <c r="AN44" s="136">
        <f>IFERROR(INDEX(JUL!I$8:I$73,MATCH($A44,JUL!$A$8:$A$73,0))&amp;"","")</f>
        <v/>
      </c>
      <c r="AO44" s="136">
        <f>IFERROR(INDEX(JUL!J$8:J$73,MATCH($A44,JUL!$A$8:$A$73,0))&amp;"","")</f>
        <v/>
      </c>
      <c r="AP44" s="136">
        <f>IFERROR(INDEX(JUL!K$8:K$73,MATCH($A44,JUL!$A$8:$A$73,0))&amp;"","")</f>
        <v/>
      </c>
      <c r="AQ44" s="116">
        <f>IFERROR(INDEX(JUL!L$8:L$73,MATCH($A44,JUL!$A$8:$A$73,0))&amp;"","")</f>
        <v/>
      </c>
      <c r="AR44" s="116">
        <f>IFERROR(INDEX(JUL!M$8:M$73,MATCH($A44,JUL!$A$8:$A$73,0))&amp;"","")</f>
        <v/>
      </c>
      <c r="AS44" s="100" t="n"/>
      <c r="AT44" s="117">
        <f>SUMPRODUCT(($I44:$O44="M")*6+($I44:$O44="T")*6+($I44:$O44="D")*12+($I44:$O44="N")*12+($I44:$O44="NT")*6+($I44:$O44="C")*10+($I44:$O44="A")*8+($I44:$O44="J")*5+($I44:$O44="CEP")*4+($I44:$O44="CP")*6+($I44:$O44="CRO")*6+($I44:$O44="M+")*6+($I44:$O44="T+")*6+($I44:$O44="D+")*12+($I44:$O44="N+")*12+($I44:$O44="Dm+")*12+($I44:$O44="Dt+")*12+($I44:$O44="Tm-")*6+($I44:$O44="Mt-")*6)</f>
        <v/>
      </c>
      <c r="AU44" s="118">
        <f>AT44-MAX(0,IFERROR(INDEX(CADASTRO!$I$4:$I$80,MATCH($A44,CADASTRO!$A$4:$A$80,0)),$B44)-CONFIG!$B$50*(COUNTIF($I44:$O44,"AB")+COUNTIF($I44:$O44,"FE")+COUNTIF($I44:$O44,"LM")))</f>
        <v/>
      </c>
      <c r="AV44" s="117">
        <f>SUMPRODUCT(($P44:$V44="M")*6+($P44:$V44="T")*6+($P44:$V44="D")*12+($P44:$V44="N")*12+($P44:$V44="NT")*6+($P44:$V44="C")*10+($P44:$V44="A")*8+($P44:$V44="J")*5+($P44:$V44="CEP")*4+($P44:$V44="CP")*6+($P44:$V44="CRO")*6+($P44:$V44="M+")*6+($P44:$V44="T+")*6+($P44:$V44="D+")*12+($P44:$V44="N+")*12+($P44:$V44="Dm+")*12+($P44:$V44="Dt+")*12+($P44:$V44="Tm-")*6+($P44:$V44="Mt-")*6)</f>
        <v/>
      </c>
      <c r="AW44" s="118">
        <f>AV44-MAX(0,IFERROR(INDEX(CADASTRO!$I$4:$I$80,MATCH($A44,CADASTRO!$A$4:$A$80,0)),$B44)-CONFIG!$B$50*(COUNTIF($P44:$V44,"AB")+COUNTIF($P44:$V44,"FE")+COUNTIF($P44:$V44,"LM")))</f>
        <v/>
      </c>
      <c r="AX44" s="117">
        <f>SUMPRODUCT(($W44:$AC44="M")*6+($W44:$AC44="T")*6+($W44:$AC44="D")*12+($W44:$AC44="N")*12+($W44:$AC44="NT")*6+($W44:$AC44="C")*10+($W44:$AC44="A")*8+($W44:$AC44="J")*5+($W44:$AC44="CEP")*4+($W44:$AC44="CP")*6+($W44:$AC44="CRO")*6+($W44:$AC44="M+")*6+($W44:$AC44="T+")*6+($W44:$AC44="D+")*12+($W44:$AC44="N+")*12+($W44:$AC44="Dm+")*12+($W44:$AC44="Dt+")*12+($W44:$AC44="Tm-")*6+($W44:$AC44="Mt-")*6)</f>
        <v/>
      </c>
      <c r="AY44" s="118">
        <f>AX44-MAX(0,IFERROR(INDEX(CADASTRO!$I$4:$I$80,MATCH($A44,CADASTRO!$A$4:$A$80,0)),$B44)-CONFIG!$B$50*(COUNTIF($W44:$AC44,"AB")+COUNTIF($W44:$AC44,"FE")+COUNTIF($W44:$AC44,"LM")))</f>
        <v/>
      </c>
      <c r="AZ44" s="117">
        <f>SUMPRODUCT(($AD44:$AJ44="M")*6+($AD44:$AJ44="T")*6+($AD44:$AJ44="D")*12+($AD44:$AJ44="N")*12+($AD44:$AJ44="NT")*6+($AD44:$AJ44="C")*10+($AD44:$AJ44="A")*8+($AD44:$AJ44="J")*5+($AD44:$AJ44="CEP")*4+($AD44:$AJ44="CP")*6+($AD44:$AJ44="CRO")*6+($AD44:$AJ44="M+")*6+($AD44:$AJ44="T+")*6+($AD44:$AJ44="D+")*12+($AD44:$AJ44="N+")*12+($AD44:$AJ44="Dm+")*12+($AD44:$AJ44="Dt+")*12+($AD44:$AJ44="Tm-")*6+($AD44:$AJ44="Mt-")*6)</f>
        <v/>
      </c>
      <c r="BA44" s="118">
        <f>AZ44-MAX(0,IFERROR(INDEX(CADASTRO!$I$4:$I$80,MATCH($A44,CADASTRO!$A$4:$A$80,0)),$B44)-CONFIG!$B$50*(COUNTIF($AD44:$AJ44,"AB")+COUNTIF($AD44:$AJ44,"FE")+COUNTIF($AD44:$AJ44,"LM")))</f>
        <v/>
      </c>
      <c r="BB44" s="117">
        <f>SUMPRODUCT(($AK44:$AL44="M")*6+($AK44:$AL44="T")*6+($AK44:$AL44="D")*12+($AK44:$AL44="N")*12+($AK44:$AL44="NT")*6+($AK44:$AL44="C")*10+($AK44:$AL44="A")*8+($AK44:$AL44="J")*5+($AK44:$AL44="CEP")*4+($AK44:$AL44="CP")*6+($AK44:$AL44="CRO")*6+($AK44:$AL44="M+")*6+($AK44:$AL44="T+")*6+($AK44:$AL44="D+")*12+($AK44:$AL44="N+")*12+($AK44:$AL44="Dm+")*12+($AK44:$AL44="Dt+")*12+($AK44:$AL44="Tm-")*6+($AK44:$AL44="Mt-")*6)+SUMPRODUCT(($AN44:$AR44="M")*6+($AN44:$AR44="T")*6+($AN44:$AR44="D")*12+($AN44:$AR44="N")*12+($AN44:$AR44="NT")*6+($AN44:$AR44="C")*10+($AN44:$AR44="A")*8+($AN44:$AR44="J")*5+($AN44:$AR44="CEP")*4+($AN44:$AR44="CP")*6+($AN44:$AR44="CRO")*6+($AN44:$AR44="M+")*6+($AN44:$AR44="T+")*6+($AN44:$AR44="D+")*12+($AN44:$AR44="N+")*12+($AN44:$AR44="Dm+")*12+($AN44:$AR44="Dt+")*12+($AN44:$AR44="Tm-")*6+($AN44:$AR44="Mt-")*6)</f>
        <v/>
      </c>
      <c r="BC44" s="118">
        <f>BB44-MAX(0,IFERROR(INDEX(CADASTRO!$I$4:$I$80,MATCH($A44,CADASTRO!$A$4:$A$80,0)),$B44)-CONFIG!$B$50*(COUNTIF($AK44:$AL44,"AB")+COUNTIF($AK44:$AL44,"FE")+COUNTIF($AK44:$AL44,"LM")+COUNTIF($AN44:$AR44,"AB")+COUNTIF($AN44:$AR44,"FE")+COUNTIF($AN44:$AR44,"LM")))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ROUND(B44*4.29,0)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00" t="n"/>
      <c r="H45" s="100" t="n"/>
      <c r="I45" s="115" t="inlineStr">
        <is>
          <t>M</t>
        </is>
      </c>
      <c r="J45" s="115" t="inlineStr">
        <is>
          <t>M</t>
        </is>
      </c>
      <c r="K45" s="115" t="inlineStr">
        <is>
          <t>M</t>
        </is>
      </c>
      <c r="L45" s="115" t="inlineStr">
        <is>
          <t>M</t>
        </is>
      </c>
      <c r="M45" s="114" t="n"/>
      <c r="N45" s="115" t="inlineStr">
        <is>
          <t>M</t>
        </is>
      </c>
      <c r="O45" s="124" t="inlineStr">
        <is>
          <t>D</t>
        </is>
      </c>
      <c r="P45" s="115" t="inlineStr">
        <is>
          <t>M</t>
        </is>
      </c>
      <c r="Q45" s="114" t="n"/>
      <c r="R45" s="115" t="inlineStr">
        <is>
          <t>M</t>
        </is>
      </c>
      <c r="S45" s="115" t="inlineStr">
        <is>
          <t>M</t>
        </is>
      </c>
      <c r="T45" s="114" t="n"/>
      <c r="U45" s="114" t="n"/>
      <c r="V45" s="115" t="inlineStr">
        <is>
          <t>M</t>
        </is>
      </c>
      <c r="W45" s="115" t="inlineStr">
        <is>
          <t>M</t>
        </is>
      </c>
      <c r="X45" s="115" t="inlineStr">
        <is>
          <t>M</t>
        </is>
      </c>
      <c r="Y45" s="114" t="n"/>
      <c r="Z45" s="115" t="inlineStr">
        <is>
          <t>M</t>
        </is>
      </c>
      <c r="AA45" s="115" t="inlineStr">
        <is>
          <t>M</t>
        </is>
      </c>
      <c r="AB45" s="114" t="n"/>
      <c r="AC45" s="114" t="n"/>
      <c r="AD45" s="115" t="inlineStr">
        <is>
          <t>M</t>
        </is>
      </c>
      <c r="AE45" s="115" t="inlineStr">
        <is>
          <t>M</t>
        </is>
      </c>
      <c r="AF45" s="114" t="n"/>
      <c r="AG45" s="115" t="inlineStr">
        <is>
          <t>M</t>
        </is>
      </c>
      <c r="AH45" s="115" t="inlineStr">
        <is>
          <t>M</t>
        </is>
      </c>
      <c r="AI45" s="114" t="n"/>
      <c r="AJ45" s="114" t="n"/>
      <c r="AK45" s="115" t="inlineStr">
        <is>
          <t>M</t>
        </is>
      </c>
      <c r="AL45" s="115" t="inlineStr">
        <is>
          <t>M</t>
        </is>
      </c>
      <c r="AM45" s="100" t="n"/>
      <c r="AN45" s="136">
        <f>IFERROR(INDEX(JUL!I$8:I$73,MATCH($A45,JUL!$A$8:$A$73,0))&amp;"","")</f>
        <v/>
      </c>
      <c r="AO45" s="136">
        <f>IFERROR(INDEX(JUL!J$8:J$73,MATCH($A45,JUL!$A$8:$A$73,0))&amp;"","")</f>
        <v/>
      </c>
      <c r="AP45" s="136">
        <f>IFERROR(INDEX(JUL!K$8:K$73,MATCH($A45,JUL!$A$8:$A$73,0))&amp;"","")</f>
        <v/>
      </c>
      <c r="AQ45" s="116">
        <f>IFERROR(INDEX(JUL!L$8:L$73,MATCH($A45,JUL!$A$8:$A$73,0))&amp;"","")</f>
        <v/>
      </c>
      <c r="AR45" s="116">
        <f>IFERROR(INDEX(JUL!M$8:M$73,MATCH($A45,JUL!$A$8:$A$73,0))&amp;"","")</f>
        <v/>
      </c>
      <c r="AS45" s="100" t="n"/>
      <c r="AT45" s="117">
        <f>SUMPRODUCT(($I45:$O45="M")*6+($I45:$O45="T")*6+($I45:$O45="D")*12+($I45:$O45="N")*12+($I45:$O45="NT")*6+($I45:$O45="C")*10+($I45:$O45="A")*8+($I45:$O45="J")*5+($I45:$O45="CEP")*4+($I45:$O45="CP")*6+($I45:$O45="CRO")*6+($I45:$O45="M+")*6+($I45:$O45="T+")*6+($I45:$O45="D+")*12+($I45:$O45="N+")*12+($I45:$O45="Dm+")*12+($I45:$O45="Dt+")*12+($I45:$O45="Tm-")*6+($I45:$O45="Mt-")*6)</f>
        <v/>
      </c>
      <c r="AU45" s="118">
        <f>AT45-MAX(0,IFERROR(INDEX(CADASTRO!$I$4:$I$80,MATCH($A45,CADASTRO!$A$4:$A$80,0)),$B45)-CONFIG!$B$50*(COUNTIF($I45:$O45,"AB")+COUNTIF($I45:$O45,"FE")+COUNTIF($I45:$O45,"LM")))</f>
        <v/>
      </c>
      <c r="AV45" s="117">
        <f>SUMPRODUCT(($P45:$V45="M")*6+($P45:$V45="T")*6+($P45:$V45="D")*12+($P45:$V45="N")*12+($P45:$V45="NT")*6+($P45:$V45="C")*10+($P45:$V45="A")*8+($P45:$V45="J")*5+($P45:$V45="CEP")*4+($P45:$V45="CP")*6+($P45:$V45="CRO")*6+($P45:$V45="M+")*6+($P45:$V45="T+")*6+($P45:$V45="D+")*12+($P45:$V45="N+")*12+($P45:$V45="Dm+")*12+($P45:$V45="Dt+")*12+($P45:$V45="Tm-")*6+($P45:$V45="Mt-")*6)</f>
        <v/>
      </c>
      <c r="AW45" s="118">
        <f>AV45-MAX(0,IFERROR(INDEX(CADASTRO!$I$4:$I$80,MATCH($A45,CADASTRO!$A$4:$A$80,0)),$B45)-CONFIG!$B$50*(COUNTIF($P45:$V45,"AB")+COUNTIF($P45:$V45,"FE")+COUNTIF($P45:$V45,"LM")))</f>
        <v/>
      </c>
      <c r="AX45" s="117">
        <f>SUMPRODUCT(($W45:$AC45="M")*6+($W45:$AC45="T")*6+($W45:$AC45="D")*12+($W45:$AC45="N")*12+($W45:$AC45="NT")*6+($W45:$AC45="C")*10+($W45:$AC45="A")*8+($W45:$AC45="J")*5+($W45:$AC45="CEP")*4+($W45:$AC45="CP")*6+($W45:$AC45="CRO")*6+($W45:$AC45="M+")*6+($W45:$AC45="T+")*6+($W45:$AC45="D+")*12+($W45:$AC45="N+")*12+($W45:$AC45="Dm+")*12+($W45:$AC45="Dt+")*12+($W45:$AC45="Tm-")*6+($W45:$AC45="Mt-")*6)</f>
        <v/>
      </c>
      <c r="AY45" s="118">
        <f>AX45-MAX(0,IFERROR(INDEX(CADASTRO!$I$4:$I$80,MATCH($A45,CADASTRO!$A$4:$A$80,0)),$B45)-CONFIG!$B$50*(COUNTIF($W45:$AC45,"AB")+COUNTIF($W45:$AC45,"FE")+COUNTIF($W45:$AC45,"LM")))</f>
        <v/>
      </c>
      <c r="AZ45" s="117">
        <f>SUMPRODUCT(($AD45:$AJ45="M")*6+($AD45:$AJ45="T")*6+($AD45:$AJ45="D")*12+($AD45:$AJ45="N")*12+($AD45:$AJ45="NT")*6+($AD45:$AJ45="C")*10+($AD45:$AJ45="A")*8+($AD45:$AJ45="J")*5+($AD45:$AJ45="CEP")*4+($AD45:$AJ45="CP")*6+($AD45:$AJ45="CRO")*6+($AD45:$AJ45="M+")*6+($AD45:$AJ45="T+")*6+($AD45:$AJ45="D+")*12+($AD45:$AJ45="N+")*12+($AD45:$AJ45="Dm+")*12+($AD45:$AJ45="Dt+")*12+($AD45:$AJ45="Tm-")*6+($AD45:$AJ45="Mt-")*6)</f>
        <v/>
      </c>
      <c r="BA45" s="118">
        <f>AZ45-MAX(0,IFERROR(INDEX(CADASTRO!$I$4:$I$80,MATCH($A45,CADASTRO!$A$4:$A$80,0)),$B45)-CONFIG!$B$50*(COUNTIF($AD45:$AJ45,"AB")+COUNTIF($AD45:$AJ45,"FE")+COUNTIF($AD45:$AJ45,"LM")))</f>
        <v/>
      </c>
      <c r="BB45" s="117">
        <f>SUMPRODUCT(($AK45:$AL45="M")*6+($AK45:$AL45="T")*6+($AK45:$AL45="D")*12+($AK45:$AL45="N")*12+($AK45:$AL45="NT")*6+($AK45:$AL45="C")*10+($AK45:$AL45="A")*8+($AK45:$AL45="J")*5+($AK45:$AL45="CEP")*4+($AK45:$AL45="CP")*6+($AK45:$AL45="CRO")*6+($AK45:$AL45="M+")*6+($AK45:$AL45="T+")*6+($AK45:$AL45="D+")*12+($AK45:$AL45="N+")*12+($AK45:$AL45="Dm+")*12+($AK45:$AL45="Dt+")*12+($AK45:$AL45="Tm-")*6+($AK45:$AL45="Mt-")*6)+SUMPRODUCT(($AN45:$AR45="M")*6+($AN45:$AR45="T")*6+($AN45:$AR45="D")*12+($AN45:$AR45="N")*12+($AN45:$AR45="NT")*6+($AN45:$AR45="C")*10+($AN45:$AR45="A")*8+($AN45:$AR45="J")*5+($AN45:$AR45="CEP")*4+($AN45:$AR45="CP")*6+($AN45:$AR45="CRO")*6+($AN45:$AR45="M+")*6+($AN45:$AR45="T+")*6+($AN45:$AR45="D+")*12+($AN45:$AR45="N+")*12+($AN45:$AR45="Dm+")*12+($AN45:$AR45="Dt+")*12+($AN45:$AR45="Tm-")*6+($AN45:$AR45="Mt-")*6)</f>
        <v/>
      </c>
      <c r="BC45" s="118">
        <f>BB45-MAX(0,IFERROR(INDEX(CADASTRO!$I$4:$I$80,MATCH($A45,CADASTRO!$A$4:$A$80,0)),$B45)-CONFIG!$B$50*(COUNTIF($AK45:$AL45,"AB")+COUNTIF($AK45:$AL45,"FE")+COUNTIF($AK45:$AL45,"LM")+COUNTIF($AN45:$AR45,"AB")+COUNTIF($AN45:$AR45,"FE")+COUNTIF($AN45:$AR45,"LM")))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ROUND(B45*4.29,0)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00" t="n"/>
      <c r="H46" s="100" t="n"/>
      <c r="I46" s="114" t="n"/>
      <c r="J46" s="114" t="n"/>
      <c r="K46" s="114" t="n"/>
      <c r="L46" s="114" t="n"/>
      <c r="M46" s="124" t="inlineStr">
        <is>
          <t>D</t>
        </is>
      </c>
      <c r="N46" s="125" t="inlineStr">
        <is>
          <t>N</t>
        </is>
      </c>
      <c r="O46" s="114" t="n"/>
      <c r="P46" s="114" t="n"/>
      <c r="Q46" s="114" t="n"/>
      <c r="R46" s="124" t="inlineStr">
        <is>
          <t>D</t>
        </is>
      </c>
      <c r="S46" s="114" t="n"/>
      <c r="T46" s="125" t="inlineStr">
        <is>
          <t>N</t>
        </is>
      </c>
      <c r="U46" s="114" t="n"/>
      <c r="V46" s="114" t="n"/>
      <c r="W46" s="114" t="n"/>
      <c r="X46" s="114" t="n"/>
      <c r="Y46" s="124" t="inlineStr">
        <is>
          <t>D</t>
        </is>
      </c>
      <c r="Z46" s="114" t="n"/>
      <c r="AA46" s="125" t="inlineStr">
        <is>
          <t>N</t>
        </is>
      </c>
      <c r="AB46" s="114" t="n"/>
      <c r="AC46" s="114" t="n"/>
      <c r="AD46" s="114" t="n"/>
      <c r="AE46" s="114" t="n"/>
      <c r="AF46" s="124" t="inlineStr">
        <is>
          <t>D</t>
        </is>
      </c>
      <c r="AG46" s="114" t="n"/>
      <c r="AH46" s="125" t="inlineStr">
        <is>
          <t>N</t>
        </is>
      </c>
      <c r="AI46" s="114" t="n"/>
      <c r="AJ46" s="114" t="n"/>
      <c r="AK46" s="114" t="n"/>
      <c r="AL46" s="114" t="n"/>
      <c r="AM46" s="100" t="n"/>
      <c r="AN46" s="136">
        <f>IFERROR(INDEX(JUL!I$8:I$73,MATCH($A46,JUL!$A$8:$A$73,0))&amp;"","")</f>
        <v/>
      </c>
      <c r="AO46" s="136">
        <f>IFERROR(INDEX(JUL!J$8:J$73,MATCH($A46,JUL!$A$8:$A$73,0))&amp;"","")</f>
        <v/>
      </c>
      <c r="AP46" s="136">
        <f>IFERROR(INDEX(JUL!K$8:K$73,MATCH($A46,JUL!$A$8:$A$73,0))&amp;"","")</f>
        <v/>
      </c>
      <c r="AQ46" s="116">
        <f>IFERROR(INDEX(JUL!L$8:L$73,MATCH($A46,JUL!$A$8:$A$73,0))&amp;"","")</f>
        <v/>
      </c>
      <c r="AR46" s="116">
        <f>IFERROR(INDEX(JUL!M$8:M$73,MATCH($A46,JUL!$A$8:$A$73,0))&amp;"","")</f>
        <v/>
      </c>
      <c r="AS46" s="100" t="n"/>
      <c r="AT46" s="117">
        <f>SUMPRODUCT(($I46:$O46="M")*6+($I46:$O46="T")*6+($I46:$O46="D")*12+($I46:$O46="N")*12+($I46:$O46="NT")*6+($I46:$O46="C")*10+($I46:$O46="A")*8+($I46:$O46="J")*5+($I46:$O46="CEP")*4+($I46:$O46="CP")*6+($I46:$O46="CRO")*6+($I46:$O46="M+")*6+($I46:$O46="T+")*6+($I46:$O46="D+")*12+($I46:$O46="N+")*12+($I46:$O46="Dm+")*12+($I46:$O46="Dt+")*12+($I46:$O46="Tm-")*6+($I46:$O46="Mt-")*6)</f>
        <v/>
      </c>
      <c r="AU46" s="118">
        <f>AT46-MAX(0,IFERROR(INDEX(CADASTRO!$I$4:$I$80,MATCH($A46,CADASTRO!$A$4:$A$80,0)),$B46)-CONFIG!$B$50*(COUNTIF($I46:$O46,"AB")+COUNTIF($I46:$O46,"FE")+COUNTIF($I46:$O46,"LM")))</f>
        <v/>
      </c>
      <c r="AV46" s="117">
        <f>SUMPRODUCT(($P46:$V46="M")*6+($P46:$V46="T")*6+($P46:$V46="D")*12+($P46:$V46="N")*12+($P46:$V46="NT")*6+($P46:$V46="C")*10+($P46:$V46="A")*8+($P46:$V46="J")*5+($P46:$V46="CEP")*4+($P46:$V46="CP")*6+($P46:$V46="CRO")*6+($P46:$V46="M+")*6+($P46:$V46="T+")*6+($P46:$V46="D+")*12+($P46:$V46="N+")*12+($P46:$V46="Dm+")*12+($P46:$V46="Dt+")*12+($P46:$V46="Tm-")*6+($P46:$V46="Mt-")*6)</f>
        <v/>
      </c>
      <c r="AW46" s="118">
        <f>AV46-MAX(0,IFERROR(INDEX(CADASTRO!$I$4:$I$80,MATCH($A46,CADASTRO!$A$4:$A$80,0)),$B46)-CONFIG!$B$50*(COUNTIF($P46:$V46,"AB")+COUNTIF($P46:$V46,"FE")+COUNTIF($P46:$V46,"LM")))</f>
        <v/>
      </c>
      <c r="AX46" s="117">
        <f>SUMPRODUCT(($W46:$AC46="M")*6+($W46:$AC46="T")*6+($W46:$AC46="D")*12+($W46:$AC46="N")*12+($W46:$AC46="NT")*6+($W46:$AC46="C")*10+($W46:$AC46="A")*8+($W46:$AC46="J")*5+($W46:$AC46="CEP")*4+($W46:$AC46="CP")*6+($W46:$AC46="CRO")*6+($W46:$AC46="M+")*6+($W46:$AC46="T+")*6+($W46:$AC46="D+")*12+($W46:$AC46="N+")*12+($W46:$AC46="Dm+")*12+($W46:$AC46="Dt+")*12+($W46:$AC46="Tm-")*6+($W46:$AC46="Mt-")*6)</f>
        <v/>
      </c>
      <c r="AY46" s="118">
        <f>AX46-MAX(0,IFERROR(INDEX(CADASTRO!$I$4:$I$80,MATCH($A46,CADASTRO!$A$4:$A$80,0)),$B46)-CONFIG!$B$50*(COUNTIF($W46:$AC46,"AB")+COUNTIF($W46:$AC46,"FE")+COUNTIF($W46:$AC46,"LM")))</f>
        <v/>
      </c>
      <c r="AZ46" s="117">
        <f>SUMPRODUCT(($AD46:$AJ46="M")*6+($AD46:$AJ46="T")*6+($AD46:$AJ46="D")*12+($AD46:$AJ46="N")*12+($AD46:$AJ46="NT")*6+($AD46:$AJ46="C")*10+($AD46:$AJ46="A")*8+($AD46:$AJ46="J")*5+($AD46:$AJ46="CEP")*4+($AD46:$AJ46="CP")*6+($AD46:$AJ46="CRO")*6+($AD46:$AJ46="M+")*6+($AD46:$AJ46="T+")*6+($AD46:$AJ46="D+")*12+($AD46:$AJ46="N+")*12+($AD46:$AJ46="Dm+")*12+($AD46:$AJ46="Dt+")*12+($AD46:$AJ46="Tm-")*6+($AD46:$AJ46="Mt-")*6)</f>
        <v/>
      </c>
      <c r="BA46" s="118">
        <f>AZ46-MAX(0,IFERROR(INDEX(CADASTRO!$I$4:$I$80,MATCH($A46,CADASTRO!$A$4:$A$80,0)),$B46)-CONFIG!$B$50*(COUNTIF($AD46:$AJ46,"AB")+COUNTIF($AD46:$AJ46,"FE")+COUNTIF($AD46:$AJ46,"LM")))</f>
        <v/>
      </c>
      <c r="BB46" s="117">
        <f>SUMPRODUCT(($AK46:$AL46="M")*6+($AK46:$AL46="T")*6+($AK46:$AL46="D")*12+($AK46:$AL46="N")*12+($AK46:$AL46="NT")*6+($AK46:$AL46="C")*10+($AK46:$AL46="A")*8+($AK46:$AL46="J")*5+($AK46:$AL46="CEP")*4+($AK46:$AL46="CP")*6+($AK46:$AL46="CRO")*6+($AK46:$AL46="M+")*6+($AK46:$AL46="T+")*6+($AK46:$AL46="D+")*12+($AK46:$AL46="N+")*12+($AK46:$AL46="Dm+")*12+($AK46:$AL46="Dt+")*12+($AK46:$AL46="Tm-")*6+($AK46:$AL46="Mt-")*6)+SUMPRODUCT(($AN46:$AR46="M")*6+($AN46:$AR46="T")*6+($AN46:$AR46="D")*12+($AN46:$AR46="N")*12+($AN46:$AR46="NT")*6+($AN46:$AR46="C")*10+($AN46:$AR46="A")*8+($AN46:$AR46="J")*5+($AN46:$AR46="CEP")*4+($AN46:$AR46="CP")*6+($AN46:$AR46="CRO")*6+($AN46:$AR46="M+")*6+($AN46:$AR46="T+")*6+($AN46:$AR46="D+")*12+($AN46:$AR46="N+")*12+($AN46:$AR46="Dm+")*12+($AN46:$AR46="Dt+")*12+($AN46:$AR46="Tm-")*6+($AN46:$AR46="Mt-")*6)</f>
        <v/>
      </c>
      <c r="BC46" s="118">
        <f>BB46-MAX(0,IFERROR(INDEX(CADASTRO!$I$4:$I$80,MATCH($A46,CADASTRO!$A$4:$A$80,0)),$B46)-CONFIG!$B$50*(COUNTIF($AK46:$AL46,"AB")+COUNTIF($AK46:$AL46,"FE")+COUNTIF($AK46:$AL46,"LM")+COUNTIF($AN46:$AR46,"AB")+COUNTIF($AN46:$AR46,"FE")+COUNTIF($AN46:$AR46,"LM")))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ROUND(B46*4.29,0)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00" t="n"/>
      <c r="H47" s="100" t="n"/>
      <c r="I47" s="114" t="n"/>
      <c r="J47" s="125" t="inlineStr">
        <is>
          <t>N</t>
        </is>
      </c>
      <c r="K47" s="114" t="n"/>
      <c r="L47" s="124" t="inlineStr">
        <is>
          <t>D</t>
        </is>
      </c>
      <c r="M47" s="114" t="n"/>
      <c r="N47" s="114" t="n"/>
      <c r="O47" s="114" t="n"/>
      <c r="P47" s="114" t="n"/>
      <c r="Q47" s="125" t="inlineStr">
        <is>
          <t>N</t>
        </is>
      </c>
      <c r="R47" s="114" t="n"/>
      <c r="S47" s="124" t="inlineStr">
        <is>
          <t>D</t>
        </is>
      </c>
      <c r="T47" s="114" t="n"/>
      <c r="U47" s="114" t="n"/>
      <c r="V47" s="114" t="n"/>
      <c r="W47" s="125" t="inlineStr">
        <is>
          <t>N</t>
        </is>
      </c>
      <c r="X47" s="114" t="n"/>
      <c r="Y47" s="114" t="n"/>
      <c r="Z47" s="114" t="n"/>
      <c r="AA47" s="114" t="n"/>
      <c r="AB47" s="114" t="n"/>
      <c r="AC47" s="124" t="inlineStr">
        <is>
          <t>D</t>
        </is>
      </c>
      <c r="AD47" s="114" t="n"/>
      <c r="AE47" s="125" t="inlineStr">
        <is>
          <t>N</t>
        </is>
      </c>
      <c r="AF47" s="114" t="n"/>
      <c r="AG47" s="124" t="inlineStr">
        <is>
          <t>D</t>
        </is>
      </c>
      <c r="AH47" s="114" t="n"/>
      <c r="AI47" s="114" t="n"/>
      <c r="AJ47" s="114" t="n"/>
      <c r="AK47" s="114" t="n"/>
      <c r="AL47" s="114" t="n"/>
      <c r="AM47" s="100" t="n"/>
      <c r="AN47" s="136">
        <f>IFERROR(INDEX(JUL!I$8:I$73,MATCH($A47,JUL!$A$8:$A$73,0))&amp;"","")</f>
        <v/>
      </c>
      <c r="AO47" s="136">
        <f>IFERROR(INDEX(JUL!J$8:J$73,MATCH($A47,JUL!$A$8:$A$73,0))&amp;"","")</f>
        <v/>
      </c>
      <c r="AP47" s="136">
        <f>IFERROR(INDEX(JUL!K$8:K$73,MATCH($A47,JUL!$A$8:$A$73,0))&amp;"","")</f>
        <v/>
      </c>
      <c r="AQ47" s="116">
        <f>IFERROR(INDEX(JUL!L$8:L$73,MATCH($A47,JUL!$A$8:$A$73,0))&amp;"","")</f>
        <v/>
      </c>
      <c r="AR47" s="116">
        <f>IFERROR(INDEX(JUL!M$8:M$73,MATCH($A47,JUL!$A$8:$A$73,0))&amp;"","")</f>
        <v/>
      </c>
      <c r="AS47" s="100" t="n"/>
      <c r="AT47" s="117">
        <f>SUMPRODUCT(($I47:$O47="M")*6+($I47:$O47="T")*6+($I47:$O47="D")*12+($I47:$O47="N")*12+($I47:$O47="NT")*6+($I47:$O47="C")*10+($I47:$O47="A")*8+($I47:$O47="J")*5+($I47:$O47="CEP")*4+($I47:$O47="CP")*6+($I47:$O47="CRO")*6+($I47:$O47="M+")*6+($I47:$O47="T+")*6+($I47:$O47="D+")*12+($I47:$O47="N+")*12+($I47:$O47="Dm+")*12+($I47:$O47="Dt+")*12+($I47:$O47="Tm-")*6+($I47:$O47="Mt-")*6)</f>
        <v/>
      </c>
      <c r="AU47" s="118">
        <f>AT47-MAX(0,IFERROR(INDEX(CADASTRO!$I$4:$I$80,MATCH($A47,CADASTRO!$A$4:$A$80,0)),$B47)-CONFIG!$B$50*(COUNTIF($I47:$O47,"AB")+COUNTIF($I47:$O47,"FE")+COUNTIF($I47:$O47,"LM")))</f>
        <v/>
      </c>
      <c r="AV47" s="117">
        <f>SUMPRODUCT(($P47:$V47="M")*6+($P47:$V47="T")*6+($P47:$V47="D")*12+($P47:$V47="N")*12+($P47:$V47="NT")*6+($P47:$V47="C")*10+($P47:$V47="A")*8+($P47:$V47="J")*5+($P47:$V47="CEP")*4+($P47:$V47="CP")*6+($P47:$V47="CRO")*6+($P47:$V47="M+")*6+($P47:$V47="T+")*6+($P47:$V47="D+")*12+($P47:$V47="N+")*12+($P47:$V47="Dm+")*12+($P47:$V47="Dt+")*12+($P47:$V47="Tm-")*6+($P47:$V47="Mt-")*6)</f>
        <v/>
      </c>
      <c r="AW47" s="118">
        <f>AV47-MAX(0,IFERROR(INDEX(CADASTRO!$I$4:$I$80,MATCH($A47,CADASTRO!$A$4:$A$80,0)),$B47)-CONFIG!$B$50*(COUNTIF($P47:$V47,"AB")+COUNTIF($P47:$V47,"FE")+COUNTIF($P47:$V47,"LM")))</f>
        <v/>
      </c>
      <c r="AX47" s="117">
        <f>SUMPRODUCT(($W47:$AC47="M")*6+($W47:$AC47="T")*6+($W47:$AC47="D")*12+($W47:$AC47="N")*12+($W47:$AC47="NT")*6+($W47:$AC47="C")*10+($W47:$AC47="A")*8+($W47:$AC47="J")*5+($W47:$AC47="CEP")*4+($W47:$AC47="CP")*6+($W47:$AC47="CRO")*6+($W47:$AC47="M+")*6+($W47:$AC47="T+")*6+($W47:$AC47="D+")*12+($W47:$AC47="N+")*12+($W47:$AC47="Dm+")*12+($W47:$AC47="Dt+")*12+($W47:$AC47="Tm-")*6+($W47:$AC47="Mt-")*6)</f>
        <v/>
      </c>
      <c r="AY47" s="118">
        <f>AX47-MAX(0,IFERROR(INDEX(CADASTRO!$I$4:$I$80,MATCH($A47,CADASTRO!$A$4:$A$80,0)),$B47)-CONFIG!$B$50*(COUNTIF($W47:$AC47,"AB")+COUNTIF($W47:$AC47,"FE")+COUNTIF($W47:$AC47,"LM")))</f>
        <v/>
      </c>
      <c r="AZ47" s="117">
        <f>SUMPRODUCT(($AD47:$AJ47="M")*6+($AD47:$AJ47="T")*6+($AD47:$AJ47="D")*12+($AD47:$AJ47="N")*12+($AD47:$AJ47="NT")*6+($AD47:$AJ47="C")*10+($AD47:$AJ47="A")*8+($AD47:$AJ47="J")*5+($AD47:$AJ47="CEP")*4+($AD47:$AJ47="CP")*6+($AD47:$AJ47="CRO")*6+($AD47:$AJ47="M+")*6+($AD47:$AJ47="T+")*6+($AD47:$AJ47="D+")*12+($AD47:$AJ47="N+")*12+($AD47:$AJ47="Dm+")*12+($AD47:$AJ47="Dt+")*12+($AD47:$AJ47="Tm-")*6+($AD47:$AJ47="Mt-")*6)</f>
        <v/>
      </c>
      <c r="BA47" s="118">
        <f>AZ47-MAX(0,IFERROR(INDEX(CADASTRO!$I$4:$I$80,MATCH($A47,CADASTRO!$A$4:$A$80,0)),$B47)-CONFIG!$B$50*(COUNTIF($AD47:$AJ47,"AB")+COUNTIF($AD47:$AJ47,"FE")+COUNTIF($AD47:$AJ47,"LM")))</f>
        <v/>
      </c>
      <c r="BB47" s="117">
        <f>SUMPRODUCT(($AK47:$AL47="M")*6+($AK47:$AL47="T")*6+($AK47:$AL47="D")*12+($AK47:$AL47="N")*12+($AK47:$AL47="NT")*6+($AK47:$AL47="C")*10+($AK47:$AL47="A")*8+($AK47:$AL47="J")*5+($AK47:$AL47="CEP")*4+($AK47:$AL47="CP")*6+($AK47:$AL47="CRO")*6+($AK47:$AL47="M+")*6+($AK47:$AL47="T+")*6+($AK47:$AL47="D+")*12+($AK47:$AL47="N+")*12+($AK47:$AL47="Dm+")*12+($AK47:$AL47="Dt+")*12+($AK47:$AL47="Tm-")*6+($AK47:$AL47="Mt-")*6)+SUMPRODUCT(($AN47:$AR47="M")*6+($AN47:$AR47="T")*6+($AN47:$AR47="D")*12+($AN47:$AR47="N")*12+($AN47:$AR47="NT")*6+($AN47:$AR47="C")*10+($AN47:$AR47="A")*8+($AN47:$AR47="J")*5+($AN47:$AR47="CEP")*4+($AN47:$AR47="CP")*6+($AN47:$AR47="CRO")*6+($AN47:$AR47="M+")*6+($AN47:$AR47="T+")*6+($AN47:$AR47="D+")*12+($AN47:$AR47="N+")*12+($AN47:$AR47="Dm+")*12+($AN47:$AR47="Dt+")*12+($AN47:$AR47="Tm-")*6+($AN47:$AR47="Mt-")*6)</f>
        <v/>
      </c>
      <c r="BC47" s="118">
        <f>BB47-MAX(0,IFERROR(INDEX(CADASTRO!$I$4:$I$80,MATCH($A47,CADASTRO!$A$4:$A$80,0)),$B47)-CONFIG!$B$50*(COUNTIF($AK47:$AL47,"AB")+COUNTIF($AK47:$AL47,"FE")+COUNTIF($AK47:$AL47,"LM")+COUNTIF($AN47:$AR47,"AB")+COUNTIF($AN47:$AR47,"FE")+COUNTIF($AN47:$AR47,"LM")))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ROUND(B47*4.29,0)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00" t="n"/>
      <c r="H48" s="100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00" t="n"/>
      <c r="AN48" s="136">
        <f>IFERROR(INDEX(JUL!I$8:I$73,MATCH($A48,JUL!$A$8:$A$73,0))&amp;"","")</f>
        <v/>
      </c>
      <c r="AO48" s="136">
        <f>IFERROR(INDEX(JUL!J$8:J$73,MATCH($A48,JUL!$A$8:$A$73,0))&amp;"","")</f>
        <v/>
      </c>
      <c r="AP48" s="136">
        <f>IFERROR(INDEX(JUL!K$8:K$73,MATCH($A48,JUL!$A$8:$A$73,0))&amp;"","")</f>
        <v/>
      </c>
      <c r="AQ48" s="116">
        <f>IFERROR(INDEX(JUL!L$8:L$73,MATCH($A48,JUL!$A$8:$A$73,0))&amp;"","")</f>
        <v/>
      </c>
      <c r="AR48" s="116">
        <f>IFERROR(INDEX(JUL!M$8:M$73,MATCH($A48,JUL!$A$8:$A$73,0))&amp;"","")</f>
        <v/>
      </c>
      <c r="AS48" s="100" t="n"/>
      <c r="AT48" s="117">
        <f>SUMPRODUCT(($I48:$O48="M")*6+($I48:$O48="T")*6+($I48:$O48="D")*12+($I48:$O48="N")*12+($I48:$O48="NT")*6+($I48:$O48="C")*10+($I48:$O48="A")*8+($I48:$O48="J")*5+($I48:$O48="CEP")*4+($I48:$O48="CP")*6+($I48:$O48="CRO")*6+($I48:$O48="M+")*6+($I48:$O48="T+")*6+($I48:$O48="D+")*12+($I48:$O48="N+")*12+($I48:$O48="Dm+")*12+($I48:$O48="Dt+")*12+($I48:$O48="Tm-")*6+($I48:$O48="Mt-")*6)</f>
        <v/>
      </c>
      <c r="AU48" s="118">
        <f>AT48-MAX(0,IFERROR(INDEX(CADASTRO!$I$4:$I$80,MATCH($A48,CADASTRO!$A$4:$A$80,0)),$B48)-CONFIG!$B$50*(COUNTIF($I48:$O48,"AB")+COUNTIF($I48:$O48,"FE")+COUNTIF($I48:$O48,"LM")))</f>
        <v/>
      </c>
      <c r="AV48" s="117">
        <f>SUMPRODUCT(($P48:$V48="M")*6+($P48:$V48="T")*6+($P48:$V48="D")*12+($P48:$V48="N")*12+($P48:$V48="NT")*6+($P48:$V48="C")*10+($P48:$V48="A")*8+($P48:$V48="J")*5+($P48:$V48="CEP")*4+($P48:$V48="CP")*6+($P48:$V48="CRO")*6+($P48:$V48="M+")*6+($P48:$V48="T+")*6+($P48:$V48="D+")*12+($P48:$V48="N+")*12+($P48:$V48="Dm+")*12+($P48:$V48="Dt+")*12+($P48:$V48="Tm-")*6+($P48:$V48="Mt-")*6)</f>
        <v/>
      </c>
      <c r="AW48" s="118">
        <f>AV48-MAX(0,IFERROR(INDEX(CADASTRO!$I$4:$I$80,MATCH($A48,CADASTRO!$A$4:$A$80,0)),$B48)-CONFIG!$B$50*(COUNTIF($P48:$V48,"AB")+COUNTIF($P48:$V48,"FE")+COUNTIF($P48:$V48,"LM")))</f>
        <v/>
      </c>
      <c r="AX48" s="117">
        <f>SUMPRODUCT(($W48:$AC48="M")*6+($W48:$AC48="T")*6+($W48:$AC48="D")*12+($W48:$AC48="N")*12+($W48:$AC48="NT")*6+($W48:$AC48="C")*10+($W48:$AC48="A")*8+($W48:$AC48="J")*5+($W48:$AC48="CEP")*4+($W48:$AC48="CP")*6+($W48:$AC48="CRO")*6+($W48:$AC48="M+")*6+($W48:$AC48="T+")*6+($W48:$AC48="D+")*12+($W48:$AC48="N+")*12+($W48:$AC48="Dm+")*12+($W48:$AC48="Dt+")*12+($W48:$AC48="Tm-")*6+($W48:$AC48="Mt-")*6)</f>
        <v/>
      </c>
      <c r="AY48" s="118">
        <f>AX48-MAX(0,IFERROR(INDEX(CADASTRO!$I$4:$I$80,MATCH($A48,CADASTRO!$A$4:$A$80,0)),$B48)-CONFIG!$B$50*(COUNTIF($W48:$AC48,"AB")+COUNTIF($W48:$AC48,"FE")+COUNTIF($W48:$AC48,"LM")))</f>
        <v/>
      </c>
      <c r="AZ48" s="117">
        <f>SUMPRODUCT(($AD48:$AJ48="M")*6+($AD48:$AJ48="T")*6+($AD48:$AJ48="D")*12+($AD48:$AJ48="N")*12+($AD48:$AJ48="NT")*6+($AD48:$AJ48="C")*10+($AD48:$AJ48="A")*8+($AD48:$AJ48="J")*5+($AD48:$AJ48="CEP")*4+($AD48:$AJ48="CP")*6+($AD48:$AJ48="CRO")*6+($AD48:$AJ48="M+")*6+($AD48:$AJ48="T+")*6+($AD48:$AJ48="D+")*12+($AD48:$AJ48="N+")*12+($AD48:$AJ48="Dm+")*12+($AD48:$AJ48="Dt+")*12+($AD48:$AJ48="Tm-")*6+($AD48:$AJ48="Mt-")*6)</f>
        <v/>
      </c>
      <c r="BA48" s="118">
        <f>AZ48-MAX(0,IFERROR(INDEX(CADASTRO!$I$4:$I$80,MATCH($A48,CADASTRO!$A$4:$A$80,0)),$B48)-CONFIG!$B$50*(COUNTIF($AD48:$AJ48,"AB")+COUNTIF($AD48:$AJ48,"FE")+COUNTIF($AD48:$AJ48,"LM")))</f>
        <v/>
      </c>
      <c r="BB48" s="117">
        <f>SUMPRODUCT(($AK48:$AL48="M")*6+($AK48:$AL48="T")*6+($AK48:$AL48="D")*12+($AK48:$AL48="N")*12+($AK48:$AL48="NT")*6+($AK48:$AL48="C")*10+($AK48:$AL48="A")*8+($AK48:$AL48="J")*5+($AK48:$AL48="CEP")*4+($AK48:$AL48="CP")*6+($AK48:$AL48="CRO")*6+($AK48:$AL48="M+")*6+($AK48:$AL48="T+")*6+($AK48:$AL48="D+")*12+($AK48:$AL48="N+")*12+($AK48:$AL48="Dm+")*12+($AK48:$AL48="Dt+")*12+($AK48:$AL48="Tm-")*6+($AK48:$AL48="Mt-")*6)+SUMPRODUCT(($AN48:$AR48="M")*6+($AN48:$AR48="T")*6+($AN48:$AR48="D")*12+($AN48:$AR48="N")*12+($AN48:$AR48="NT")*6+($AN48:$AR48="C")*10+($AN48:$AR48="A")*8+($AN48:$AR48="J")*5+($AN48:$AR48="CEP")*4+($AN48:$AR48="CP")*6+($AN48:$AR48="CRO")*6+($AN48:$AR48="M+")*6+($AN48:$AR48="T+")*6+($AN48:$AR48="D+")*12+($AN48:$AR48="N+")*12+($AN48:$AR48="Dm+")*12+($AN48:$AR48="Dt+")*12+($AN48:$AR48="Tm-")*6+($AN48:$AR48="Mt-")*6)</f>
        <v/>
      </c>
      <c r="BC48" s="118">
        <f>BB48-MAX(0,IFERROR(INDEX(CADASTRO!$I$4:$I$80,MATCH($A48,CADASTRO!$A$4:$A$80,0)),$B48)-CONFIG!$B$50*(COUNTIF($AK48:$AL48,"AB")+COUNTIF($AK48:$AL48,"FE")+COUNTIF($AK48:$AL48,"LM")+COUNTIF($AN48:$AR48,"AB")+COUNTIF($AN48:$AR48,"FE")+COUNTIF($AN48:$AR48,"LM")))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ROUND(B48*4.29,0)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00" t="n"/>
      <c r="H49" s="100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24" t="inlineStr">
        <is>
          <t>D</t>
        </is>
      </c>
      <c r="S49" s="114" t="n"/>
      <c r="T49" s="114" t="n"/>
      <c r="U49" s="114" t="n"/>
      <c r="V49" s="126" t="inlineStr">
        <is>
          <t>T</t>
        </is>
      </c>
      <c r="W49" s="114" t="n"/>
      <c r="X49" s="114" t="n"/>
      <c r="Y49" s="124" t="inlineStr">
        <is>
          <t>D</t>
        </is>
      </c>
      <c r="Z49" s="114" t="n"/>
      <c r="AA49" s="125" t="inlineStr">
        <is>
          <t>N</t>
        </is>
      </c>
      <c r="AB49" s="114" t="n"/>
      <c r="AC49" s="114" t="n"/>
      <c r="AD49" s="114" t="n"/>
      <c r="AE49" s="114" t="n"/>
      <c r="AF49" s="124" t="inlineStr">
        <is>
          <t>D</t>
        </is>
      </c>
      <c r="AG49" s="114" t="n"/>
      <c r="AH49" s="114" t="n"/>
      <c r="AI49" s="114" t="n"/>
      <c r="AJ49" s="124" t="inlineStr">
        <is>
          <t>D</t>
        </is>
      </c>
      <c r="AK49" s="124" t="inlineStr">
        <is>
          <t>D</t>
        </is>
      </c>
      <c r="AL49" s="114" t="n"/>
      <c r="AM49" s="100" t="n"/>
      <c r="AN49" s="136">
        <f>IFERROR(INDEX(JUL!I$8:I$73,MATCH($A49,JUL!$A$8:$A$73,0))&amp;"","")</f>
        <v/>
      </c>
      <c r="AO49" s="136">
        <f>IFERROR(INDEX(JUL!J$8:J$73,MATCH($A49,JUL!$A$8:$A$73,0))&amp;"","")</f>
        <v/>
      </c>
      <c r="AP49" s="136">
        <f>IFERROR(INDEX(JUL!K$8:K$73,MATCH($A49,JUL!$A$8:$A$73,0))&amp;"","")</f>
        <v/>
      </c>
      <c r="AQ49" s="116">
        <f>IFERROR(INDEX(JUL!L$8:L$73,MATCH($A49,JUL!$A$8:$A$73,0))&amp;"","")</f>
        <v/>
      </c>
      <c r="AR49" s="116">
        <f>IFERROR(INDEX(JUL!M$8:M$73,MATCH($A49,JUL!$A$8:$A$73,0))&amp;"","")</f>
        <v/>
      </c>
      <c r="AS49" s="100" t="n"/>
      <c r="AT49" s="117">
        <f>SUMPRODUCT(($I49:$O49="M")*6+($I49:$O49="T")*6+($I49:$O49="D")*12+($I49:$O49="N")*12+($I49:$O49="NT")*6+($I49:$O49="C")*10+($I49:$O49="A")*8+($I49:$O49="J")*5+($I49:$O49="CEP")*4+($I49:$O49="CP")*6+($I49:$O49="CRO")*6+($I49:$O49="M+")*6+($I49:$O49="T+")*6+($I49:$O49="D+")*12+($I49:$O49="N+")*12+($I49:$O49="Dm+")*12+($I49:$O49="Dt+")*12+($I49:$O49="Tm-")*6+($I49:$O49="Mt-")*6)</f>
        <v/>
      </c>
      <c r="AU49" s="118">
        <f>AT49-MAX(0,IFERROR(INDEX(CADASTRO!$I$4:$I$80,MATCH($A49,CADASTRO!$A$4:$A$80,0)),$B49)-CONFIG!$B$50*(COUNTIF($I49:$O49,"AB")+COUNTIF($I49:$O49,"FE")+COUNTIF($I49:$O49,"LM")))</f>
        <v/>
      </c>
      <c r="AV49" s="117">
        <f>SUMPRODUCT(($P49:$V49="M")*6+($P49:$V49="T")*6+($P49:$V49="D")*12+($P49:$V49="N")*12+($P49:$V49="NT")*6+($P49:$V49="C")*10+($P49:$V49="A")*8+($P49:$V49="J")*5+($P49:$V49="CEP")*4+($P49:$V49="CP")*6+($P49:$V49="CRO")*6+($P49:$V49="M+")*6+($P49:$V49="T+")*6+($P49:$V49="D+")*12+($P49:$V49="N+")*12+($P49:$V49="Dm+")*12+($P49:$V49="Dt+")*12+($P49:$V49="Tm-")*6+($P49:$V49="Mt-")*6)</f>
        <v/>
      </c>
      <c r="AW49" s="118">
        <f>AV49-MAX(0,IFERROR(INDEX(CADASTRO!$I$4:$I$80,MATCH($A49,CADASTRO!$A$4:$A$80,0)),$B49)-CONFIG!$B$50*(COUNTIF($P49:$V49,"AB")+COUNTIF($P49:$V49,"FE")+COUNTIF($P49:$V49,"LM")))</f>
        <v/>
      </c>
      <c r="AX49" s="117">
        <f>SUMPRODUCT(($W49:$AC49="M")*6+($W49:$AC49="T")*6+($W49:$AC49="D")*12+($W49:$AC49="N")*12+($W49:$AC49="NT")*6+($W49:$AC49="C")*10+($W49:$AC49="A")*8+($W49:$AC49="J")*5+($W49:$AC49="CEP")*4+($W49:$AC49="CP")*6+($W49:$AC49="CRO")*6+($W49:$AC49="M+")*6+($W49:$AC49="T+")*6+($W49:$AC49="D+")*12+($W49:$AC49="N+")*12+($W49:$AC49="Dm+")*12+($W49:$AC49="Dt+")*12+($W49:$AC49="Tm-")*6+($W49:$AC49="Mt-")*6)</f>
        <v/>
      </c>
      <c r="AY49" s="118">
        <f>AX49-MAX(0,IFERROR(INDEX(CADASTRO!$I$4:$I$80,MATCH($A49,CADASTRO!$A$4:$A$80,0)),$B49)-CONFIG!$B$50*(COUNTIF($W49:$AC49,"AB")+COUNTIF($W49:$AC49,"FE")+COUNTIF($W49:$AC49,"LM")))</f>
        <v/>
      </c>
      <c r="AZ49" s="117">
        <f>SUMPRODUCT(($AD49:$AJ49="M")*6+($AD49:$AJ49="T")*6+($AD49:$AJ49="D")*12+($AD49:$AJ49="N")*12+($AD49:$AJ49="NT")*6+($AD49:$AJ49="C")*10+($AD49:$AJ49="A")*8+($AD49:$AJ49="J")*5+($AD49:$AJ49="CEP")*4+($AD49:$AJ49="CP")*6+($AD49:$AJ49="CRO")*6+($AD49:$AJ49="M+")*6+($AD49:$AJ49="T+")*6+($AD49:$AJ49="D+")*12+($AD49:$AJ49="N+")*12+($AD49:$AJ49="Dm+")*12+($AD49:$AJ49="Dt+")*12+($AD49:$AJ49="Tm-")*6+($AD49:$AJ49="Mt-")*6)</f>
        <v/>
      </c>
      <c r="BA49" s="118">
        <f>AZ49-MAX(0,IFERROR(INDEX(CADASTRO!$I$4:$I$80,MATCH($A49,CADASTRO!$A$4:$A$80,0)),$B49)-CONFIG!$B$50*(COUNTIF($AD49:$AJ49,"AB")+COUNTIF($AD49:$AJ49,"FE")+COUNTIF($AD49:$AJ49,"LM")))</f>
        <v/>
      </c>
      <c r="BB49" s="117">
        <f>SUMPRODUCT(($AK49:$AL49="M")*6+($AK49:$AL49="T")*6+($AK49:$AL49="D")*12+($AK49:$AL49="N")*12+($AK49:$AL49="NT")*6+($AK49:$AL49="C")*10+($AK49:$AL49="A")*8+($AK49:$AL49="J")*5+($AK49:$AL49="CEP")*4+($AK49:$AL49="CP")*6+($AK49:$AL49="CRO")*6+($AK49:$AL49="M+")*6+($AK49:$AL49="T+")*6+($AK49:$AL49="D+")*12+($AK49:$AL49="N+")*12+($AK49:$AL49="Dm+")*12+($AK49:$AL49="Dt+")*12+($AK49:$AL49="Tm-")*6+($AK49:$AL49="Mt-")*6)+SUMPRODUCT(($AN49:$AR49="M")*6+($AN49:$AR49="T")*6+($AN49:$AR49="D")*12+($AN49:$AR49="N")*12+($AN49:$AR49="NT")*6+($AN49:$AR49="C")*10+($AN49:$AR49="A")*8+($AN49:$AR49="J")*5+($AN49:$AR49="CEP")*4+($AN49:$AR49="CP")*6+($AN49:$AR49="CRO")*6+($AN49:$AR49="M+")*6+($AN49:$AR49="T+")*6+($AN49:$AR49="D+")*12+($AN49:$AR49="N+")*12+($AN49:$AR49="Dm+")*12+($AN49:$AR49="Dt+")*12+($AN49:$AR49="Tm-")*6+($AN49:$AR49="Mt-")*6)</f>
        <v/>
      </c>
      <c r="BC49" s="118">
        <f>BB49-MAX(0,IFERROR(INDEX(CADASTRO!$I$4:$I$80,MATCH($A49,CADASTRO!$A$4:$A$80,0)),$B49)-CONFIG!$B$50*(COUNTIF($AK49:$AL49,"AB")+COUNTIF($AK49:$AL49,"FE")+COUNTIF($AK49:$AL49,"LM")+COUNTIF($AN49:$AR49,"AB")+COUNTIF($AN49:$AR49,"FE")+COUNTIF($AN49:$AR49,"LM")))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ROUND(B49*4.29,0)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00" t="n"/>
      <c r="H50" s="100" t="n"/>
      <c r="I50" s="115" t="inlineStr">
        <is>
          <t>M</t>
        </is>
      </c>
      <c r="J50" s="124" t="inlineStr">
        <is>
          <t>D</t>
        </is>
      </c>
      <c r="K50" s="126" t="inlineStr">
        <is>
          <t>T</t>
        </is>
      </c>
      <c r="L50" s="114" t="n"/>
      <c r="M50" s="114" t="n"/>
      <c r="N50" s="114" t="n"/>
      <c r="O50" s="114" t="n"/>
      <c r="P50" s="114" t="n"/>
      <c r="Q50" s="124" t="inlineStr">
        <is>
          <t>D</t>
        </is>
      </c>
      <c r="R50" s="114" t="n"/>
      <c r="S50" s="114" t="n"/>
      <c r="T50" s="114" t="n"/>
      <c r="U50" s="114" t="n"/>
      <c r="V50" s="125" t="inlineStr">
        <is>
          <t>N</t>
        </is>
      </c>
      <c r="W50" s="114" t="n"/>
      <c r="X50" s="124" t="inlineStr">
        <is>
          <t>D</t>
        </is>
      </c>
      <c r="Y50" s="114" t="n"/>
      <c r="Z50" s="114" t="n"/>
      <c r="AA50" s="114" t="n"/>
      <c r="AB50" s="125" t="inlineStr">
        <is>
          <t>N</t>
        </is>
      </c>
      <c r="AC50" s="114" t="n"/>
      <c r="AD50" s="114" t="n"/>
      <c r="AE50" s="126" t="inlineStr">
        <is>
          <t>T</t>
        </is>
      </c>
      <c r="AF50" s="124" t="inlineStr">
        <is>
          <t>D</t>
        </is>
      </c>
      <c r="AG50" s="114" t="n"/>
      <c r="AH50" s="126" t="inlineStr">
        <is>
          <t>T</t>
        </is>
      </c>
      <c r="AI50" s="114" t="n"/>
      <c r="AJ50" s="114" t="n"/>
      <c r="AK50" s="114" t="n"/>
      <c r="AL50" s="125" t="inlineStr">
        <is>
          <t>N</t>
        </is>
      </c>
      <c r="AM50" s="100" t="n"/>
      <c r="AN50" s="136">
        <f>IFERROR(INDEX(JUL!I$8:I$73,MATCH($A50,JUL!$A$8:$A$73,0))&amp;"","")</f>
        <v/>
      </c>
      <c r="AO50" s="136">
        <f>IFERROR(INDEX(JUL!J$8:J$73,MATCH($A50,JUL!$A$8:$A$73,0))&amp;"","")</f>
        <v/>
      </c>
      <c r="AP50" s="136">
        <f>IFERROR(INDEX(JUL!K$8:K$73,MATCH($A50,JUL!$A$8:$A$73,0))&amp;"","")</f>
        <v/>
      </c>
      <c r="AQ50" s="116">
        <f>IFERROR(INDEX(JUL!L$8:L$73,MATCH($A50,JUL!$A$8:$A$73,0))&amp;"","")</f>
        <v/>
      </c>
      <c r="AR50" s="116">
        <f>IFERROR(INDEX(JUL!M$8:M$73,MATCH($A50,JUL!$A$8:$A$73,0))&amp;"","")</f>
        <v/>
      </c>
      <c r="AS50" s="100" t="n"/>
      <c r="AT50" s="117">
        <f>SUMPRODUCT(($I50:$O50="M")*6+($I50:$O50="T")*6+($I50:$O50="D")*12+($I50:$O50="N")*12+($I50:$O50="NT")*6+($I50:$O50="C")*10+($I50:$O50="A")*8+($I50:$O50="J")*5+($I50:$O50="CEP")*4+($I50:$O50="CP")*6+($I50:$O50="CRO")*6+($I50:$O50="M+")*6+($I50:$O50="T+")*6+($I50:$O50="D+")*12+($I50:$O50="N+")*12+($I50:$O50="Dm+")*12+($I50:$O50="Dt+")*12+($I50:$O50="Tm-")*6+($I50:$O50="Mt-")*6)</f>
        <v/>
      </c>
      <c r="AU50" s="118">
        <f>AT50-MAX(0,IFERROR(INDEX(CADASTRO!$I$4:$I$80,MATCH($A50,CADASTRO!$A$4:$A$80,0)),$B50)-CONFIG!$B$50*(COUNTIF($I50:$O50,"AB")+COUNTIF($I50:$O50,"FE")+COUNTIF($I50:$O50,"LM")))</f>
        <v/>
      </c>
      <c r="AV50" s="117">
        <f>SUMPRODUCT(($P50:$V50="M")*6+($P50:$V50="T")*6+($P50:$V50="D")*12+($P50:$V50="N")*12+($P50:$V50="NT")*6+($P50:$V50="C")*10+($P50:$V50="A")*8+($P50:$V50="J")*5+($P50:$V50="CEP")*4+($P50:$V50="CP")*6+($P50:$V50="CRO")*6+($P50:$V50="M+")*6+($P50:$V50="T+")*6+($P50:$V50="D+")*12+($P50:$V50="N+")*12+($P50:$V50="Dm+")*12+($P50:$V50="Dt+")*12+($P50:$V50="Tm-")*6+($P50:$V50="Mt-")*6)</f>
        <v/>
      </c>
      <c r="AW50" s="118">
        <f>AV50-MAX(0,IFERROR(INDEX(CADASTRO!$I$4:$I$80,MATCH($A50,CADASTRO!$A$4:$A$80,0)),$B50)-CONFIG!$B$50*(COUNTIF($P50:$V50,"AB")+COUNTIF($P50:$V50,"FE")+COUNTIF($P50:$V50,"LM")))</f>
        <v/>
      </c>
      <c r="AX50" s="117">
        <f>SUMPRODUCT(($W50:$AC50="M")*6+($W50:$AC50="T")*6+($W50:$AC50="D")*12+($W50:$AC50="N")*12+($W50:$AC50="NT")*6+($W50:$AC50="C")*10+($W50:$AC50="A")*8+($W50:$AC50="J")*5+($W50:$AC50="CEP")*4+($W50:$AC50="CP")*6+($W50:$AC50="CRO")*6+($W50:$AC50="M+")*6+($W50:$AC50="T+")*6+($W50:$AC50="D+")*12+($W50:$AC50="N+")*12+($W50:$AC50="Dm+")*12+($W50:$AC50="Dt+")*12+($W50:$AC50="Tm-")*6+($W50:$AC50="Mt-")*6)</f>
        <v/>
      </c>
      <c r="AY50" s="118">
        <f>AX50-MAX(0,IFERROR(INDEX(CADASTRO!$I$4:$I$80,MATCH($A50,CADASTRO!$A$4:$A$80,0)),$B50)-CONFIG!$B$50*(COUNTIF($W50:$AC50,"AB")+COUNTIF($W50:$AC50,"FE")+COUNTIF($W50:$AC50,"LM")))</f>
        <v/>
      </c>
      <c r="AZ50" s="117">
        <f>SUMPRODUCT(($AD50:$AJ50="M")*6+($AD50:$AJ50="T")*6+($AD50:$AJ50="D")*12+($AD50:$AJ50="N")*12+($AD50:$AJ50="NT")*6+($AD50:$AJ50="C")*10+($AD50:$AJ50="A")*8+($AD50:$AJ50="J")*5+($AD50:$AJ50="CEP")*4+($AD50:$AJ50="CP")*6+($AD50:$AJ50="CRO")*6+($AD50:$AJ50="M+")*6+($AD50:$AJ50="T+")*6+($AD50:$AJ50="D+")*12+($AD50:$AJ50="N+")*12+($AD50:$AJ50="Dm+")*12+($AD50:$AJ50="Dt+")*12+($AD50:$AJ50="Tm-")*6+($AD50:$AJ50="Mt-")*6)</f>
        <v/>
      </c>
      <c r="BA50" s="118">
        <f>AZ50-MAX(0,IFERROR(INDEX(CADASTRO!$I$4:$I$80,MATCH($A50,CADASTRO!$A$4:$A$80,0)),$B50)-CONFIG!$B$50*(COUNTIF($AD50:$AJ50,"AB")+COUNTIF($AD50:$AJ50,"FE")+COUNTIF($AD50:$AJ50,"LM")))</f>
        <v/>
      </c>
      <c r="BB50" s="117">
        <f>SUMPRODUCT(($AK50:$AL50="M")*6+($AK50:$AL50="T")*6+($AK50:$AL50="D")*12+($AK50:$AL50="N")*12+($AK50:$AL50="NT")*6+($AK50:$AL50="C")*10+($AK50:$AL50="A")*8+($AK50:$AL50="J")*5+($AK50:$AL50="CEP")*4+($AK50:$AL50="CP")*6+($AK50:$AL50="CRO")*6+($AK50:$AL50="M+")*6+($AK50:$AL50="T+")*6+($AK50:$AL50="D+")*12+($AK50:$AL50="N+")*12+($AK50:$AL50="Dm+")*12+($AK50:$AL50="Dt+")*12+($AK50:$AL50="Tm-")*6+($AK50:$AL50="Mt-")*6)+SUMPRODUCT(($AN50:$AR50="M")*6+($AN50:$AR50="T")*6+($AN50:$AR50="D")*12+($AN50:$AR50="N")*12+($AN50:$AR50="NT")*6+($AN50:$AR50="C")*10+($AN50:$AR50="A")*8+($AN50:$AR50="J")*5+($AN50:$AR50="CEP")*4+($AN50:$AR50="CP")*6+($AN50:$AR50="CRO")*6+($AN50:$AR50="M+")*6+($AN50:$AR50="T+")*6+($AN50:$AR50="D+")*12+($AN50:$AR50="N+")*12+($AN50:$AR50="Dm+")*12+($AN50:$AR50="Dt+")*12+($AN50:$AR50="Tm-")*6+($AN50:$AR50="Mt-")*6)</f>
        <v/>
      </c>
      <c r="BC50" s="118">
        <f>BB50-MAX(0,IFERROR(INDEX(CADASTRO!$I$4:$I$80,MATCH($A50,CADASTRO!$A$4:$A$80,0)),$B50)-CONFIG!$B$50*(COUNTIF($AK50:$AL50,"AB")+COUNTIF($AK50:$AL50,"FE")+COUNTIF($AK50:$AL50,"LM")+COUNTIF($AN50:$AR50,"AB")+COUNTIF($AN50:$AR50,"FE")+COUNTIF($AN50:$AR50,"LM")))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ROUND(B50*4.29,0)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00" t="n"/>
      <c r="H51" s="100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00" t="n"/>
      <c r="AN51" s="136">
        <f>IFERROR(INDEX(JUL!I$8:I$73,MATCH($A51,JUL!$A$8:$A$73,0))&amp;"","")</f>
        <v/>
      </c>
      <c r="AO51" s="136">
        <f>IFERROR(INDEX(JUL!J$8:J$73,MATCH($A51,JUL!$A$8:$A$73,0))&amp;"","")</f>
        <v/>
      </c>
      <c r="AP51" s="136">
        <f>IFERROR(INDEX(JUL!K$8:K$73,MATCH($A51,JUL!$A$8:$A$73,0))&amp;"","")</f>
        <v/>
      </c>
      <c r="AQ51" s="116">
        <f>IFERROR(INDEX(JUL!L$8:L$73,MATCH($A51,JUL!$A$8:$A$73,0))&amp;"","")</f>
        <v/>
      </c>
      <c r="AR51" s="116">
        <f>IFERROR(INDEX(JUL!M$8:M$73,MATCH($A51,JUL!$A$8:$A$73,0))&amp;"","")</f>
        <v/>
      </c>
      <c r="AS51" s="100" t="n"/>
      <c r="AT51" s="117">
        <f>SUMPRODUCT(($I51:$O51="M")*6+($I51:$O51="T")*6+($I51:$O51="D")*12+($I51:$O51="N")*12+($I51:$O51="NT")*6+($I51:$O51="C")*10+($I51:$O51="A")*8+($I51:$O51="J")*5+($I51:$O51="CEP")*4+($I51:$O51="CP")*6+($I51:$O51="CRO")*6+($I51:$O51="M+")*6+($I51:$O51="T+")*6+($I51:$O51="D+")*12+($I51:$O51="N+")*12+($I51:$O51="Dm+")*12+($I51:$O51="Dt+")*12+($I51:$O51="Tm-")*6+($I51:$O51="Mt-")*6)</f>
        <v/>
      </c>
      <c r="AU51" s="118">
        <f>AT51-MAX(0,IFERROR(INDEX(CADASTRO!$I$4:$I$80,MATCH($A51,CADASTRO!$A$4:$A$80,0)),$B51)-CONFIG!$B$50*(COUNTIF($I51:$O51,"AB")+COUNTIF($I51:$O51,"FE")+COUNTIF($I51:$O51,"LM")))</f>
        <v/>
      </c>
      <c r="AV51" s="117">
        <f>SUMPRODUCT(($P51:$V51="M")*6+($P51:$V51="T")*6+($P51:$V51="D")*12+($P51:$V51="N")*12+($P51:$V51="NT")*6+($P51:$V51="C")*10+($P51:$V51="A")*8+($P51:$V51="J")*5+($P51:$V51="CEP")*4+($P51:$V51="CP")*6+($P51:$V51="CRO")*6+($P51:$V51="M+")*6+($P51:$V51="T+")*6+($P51:$V51="D+")*12+($P51:$V51="N+")*12+($P51:$V51="Dm+")*12+($P51:$V51="Dt+")*12+($P51:$V51="Tm-")*6+($P51:$V51="Mt-")*6)</f>
        <v/>
      </c>
      <c r="AW51" s="118">
        <f>AV51-MAX(0,IFERROR(INDEX(CADASTRO!$I$4:$I$80,MATCH($A51,CADASTRO!$A$4:$A$80,0)),$B51)-CONFIG!$B$50*(COUNTIF($P51:$V51,"AB")+COUNTIF($P51:$V51,"FE")+COUNTIF($P51:$V51,"LM")))</f>
        <v/>
      </c>
      <c r="AX51" s="117">
        <f>SUMPRODUCT(($W51:$AC51="M")*6+($W51:$AC51="T")*6+($W51:$AC51="D")*12+($W51:$AC51="N")*12+($W51:$AC51="NT")*6+($W51:$AC51="C")*10+($W51:$AC51="A")*8+($W51:$AC51="J")*5+($W51:$AC51="CEP")*4+($W51:$AC51="CP")*6+($W51:$AC51="CRO")*6+($W51:$AC51="M+")*6+($W51:$AC51="T+")*6+($W51:$AC51="D+")*12+($W51:$AC51="N+")*12+($W51:$AC51="Dm+")*12+($W51:$AC51="Dt+")*12+($W51:$AC51="Tm-")*6+($W51:$AC51="Mt-")*6)</f>
        <v/>
      </c>
      <c r="AY51" s="118">
        <f>AX51-MAX(0,IFERROR(INDEX(CADASTRO!$I$4:$I$80,MATCH($A51,CADASTRO!$A$4:$A$80,0)),$B51)-CONFIG!$B$50*(COUNTIF($W51:$AC51,"AB")+COUNTIF($W51:$AC51,"FE")+COUNTIF($W51:$AC51,"LM")))</f>
        <v/>
      </c>
      <c r="AZ51" s="117">
        <f>SUMPRODUCT(($AD51:$AJ51="M")*6+($AD51:$AJ51="T")*6+($AD51:$AJ51="D")*12+($AD51:$AJ51="N")*12+($AD51:$AJ51="NT")*6+($AD51:$AJ51="C")*10+($AD51:$AJ51="A")*8+($AD51:$AJ51="J")*5+($AD51:$AJ51="CEP")*4+($AD51:$AJ51="CP")*6+($AD51:$AJ51="CRO")*6+($AD51:$AJ51="M+")*6+($AD51:$AJ51="T+")*6+($AD51:$AJ51="D+")*12+($AD51:$AJ51="N+")*12+($AD51:$AJ51="Dm+")*12+($AD51:$AJ51="Dt+")*12+($AD51:$AJ51="Tm-")*6+($AD51:$AJ51="Mt-")*6)</f>
        <v/>
      </c>
      <c r="BA51" s="118">
        <f>AZ51-MAX(0,IFERROR(INDEX(CADASTRO!$I$4:$I$80,MATCH($A51,CADASTRO!$A$4:$A$80,0)),$B51)-CONFIG!$B$50*(COUNTIF($AD51:$AJ51,"AB")+COUNTIF($AD51:$AJ51,"FE")+COUNTIF($AD51:$AJ51,"LM")))</f>
        <v/>
      </c>
      <c r="BB51" s="117">
        <f>SUMPRODUCT(($AK51:$AL51="M")*6+($AK51:$AL51="T")*6+($AK51:$AL51="D")*12+($AK51:$AL51="N")*12+($AK51:$AL51="NT")*6+($AK51:$AL51="C")*10+($AK51:$AL51="A")*8+($AK51:$AL51="J")*5+($AK51:$AL51="CEP")*4+($AK51:$AL51="CP")*6+($AK51:$AL51="CRO")*6+($AK51:$AL51="M+")*6+($AK51:$AL51="T+")*6+($AK51:$AL51="D+")*12+($AK51:$AL51="N+")*12+($AK51:$AL51="Dm+")*12+($AK51:$AL51="Dt+")*12+($AK51:$AL51="Tm-")*6+($AK51:$AL51="Mt-")*6)+SUMPRODUCT(($AN51:$AR51="M")*6+($AN51:$AR51="T")*6+($AN51:$AR51="D")*12+($AN51:$AR51="N")*12+($AN51:$AR51="NT")*6+($AN51:$AR51="C")*10+($AN51:$AR51="A")*8+($AN51:$AR51="J")*5+($AN51:$AR51="CEP")*4+($AN51:$AR51="CP")*6+($AN51:$AR51="CRO")*6+($AN51:$AR51="M+")*6+($AN51:$AR51="T+")*6+($AN51:$AR51="D+")*12+($AN51:$AR51="N+")*12+($AN51:$AR51="Dm+")*12+($AN51:$AR51="Dt+")*12+($AN51:$AR51="Tm-")*6+($AN51:$AR51="Mt-")*6)</f>
        <v/>
      </c>
      <c r="BC51" s="118">
        <f>BB51-MAX(0,IFERROR(INDEX(CADASTRO!$I$4:$I$80,MATCH($A51,CADASTRO!$A$4:$A$80,0)),$B51)-CONFIG!$B$50*(COUNTIF($AK51:$AL51,"AB")+COUNTIF($AK51:$AL51,"FE")+COUNTIF($AK51:$AL51,"LM")+COUNTIF($AN51:$AR51,"AB")+COUNTIF($AN51:$AR51,"FE")+COUNTIF($AN51:$AR51,"LM")))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ROUND(B51*4.29,0)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00" t="n"/>
      <c r="H52" s="100" t="n"/>
      <c r="I52" s="125" t="inlineStr">
        <is>
          <t>N</t>
        </is>
      </c>
      <c r="J52" s="114" t="n"/>
      <c r="K52" s="114" t="n"/>
      <c r="L52" s="114" t="n"/>
      <c r="M52" s="114" t="n"/>
      <c r="N52" s="125" t="inlineStr">
        <is>
          <t>N</t>
        </is>
      </c>
      <c r="O52" s="114" t="n"/>
      <c r="P52" s="125" t="inlineStr">
        <is>
          <t>N</t>
        </is>
      </c>
      <c r="Q52" s="114" t="n"/>
      <c r="R52" s="114" t="n"/>
      <c r="S52" s="114" t="n"/>
      <c r="T52" s="125" t="inlineStr">
        <is>
          <t>N</t>
        </is>
      </c>
      <c r="U52" s="114" t="n"/>
      <c r="V52" s="114" t="n"/>
      <c r="W52" s="125" t="inlineStr">
        <is>
          <t>N</t>
        </is>
      </c>
      <c r="X52" s="114" t="n"/>
      <c r="Y52" s="114" t="n"/>
      <c r="Z52" s="114" t="n"/>
      <c r="AA52" s="114" t="n"/>
      <c r="AB52" s="125" t="inlineStr">
        <is>
          <t>N</t>
        </is>
      </c>
      <c r="AC52" s="114" t="n"/>
      <c r="AD52" s="125" t="inlineStr">
        <is>
          <t>N</t>
        </is>
      </c>
      <c r="AE52" s="114" t="n"/>
      <c r="AF52" s="114" t="n"/>
      <c r="AG52" s="114" t="n"/>
      <c r="AH52" s="125" t="inlineStr">
        <is>
          <t>N</t>
        </is>
      </c>
      <c r="AI52" s="114" t="n"/>
      <c r="AJ52" s="114" t="n"/>
      <c r="AK52" s="125" t="inlineStr">
        <is>
          <t>N</t>
        </is>
      </c>
      <c r="AL52" s="114" t="n"/>
      <c r="AM52" s="100" t="n"/>
      <c r="AN52" s="136">
        <f>IFERROR(INDEX(JUL!I$8:I$73,MATCH($A52,JUL!$A$8:$A$73,0))&amp;"","")</f>
        <v/>
      </c>
      <c r="AO52" s="136">
        <f>IFERROR(INDEX(JUL!J$8:J$73,MATCH($A52,JUL!$A$8:$A$73,0))&amp;"","")</f>
        <v/>
      </c>
      <c r="AP52" s="136">
        <f>IFERROR(INDEX(JUL!K$8:K$73,MATCH($A52,JUL!$A$8:$A$73,0))&amp;"","")</f>
        <v/>
      </c>
      <c r="AQ52" s="116">
        <f>IFERROR(INDEX(JUL!L$8:L$73,MATCH($A52,JUL!$A$8:$A$73,0))&amp;"","")</f>
        <v/>
      </c>
      <c r="AR52" s="116">
        <f>IFERROR(INDEX(JUL!M$8:M$73,MATCH($A52,JUL!$A$8:$A$73,0))&amp;"","")</f>
        <v/>
      </c>
      <c r="AS52" s="100" t="n"/>
      <c r="AT52" s="117">
        <f>SUMPRODUCT(($I52:$O52="M")*6+($I52:$O52="T")*6+($I52:$O52="D")*12+($I52:$O52="N")*12+($I52:$O52="NT")*6+($I52:$O52="C")*10+($I52:$O52="A")*8+($I52:$O52="J")*5+($I52:$O52="CEP")*4+($I52:$O52="CP")*6+($I52:$O52="CRO")*6+($I52:$O52="M+")*6+($I52:$O52="T+")*6+($I52:$O52="D+")*12+($I52:$O52="N+")*12+($I52:$O52="Dm+")*12+($I52:$O52="Dt+")*12+($I52:$O52="Tm-")*6+($I52:$O52="Mt-")*6)</f>
        <v/>
      </c>
      <c r="AU52" s="118">
        <f>AT52-MAX(0,IFERROR(INDEX(CADASTRO!$I$4:$I$80,MATCH($A52,CADASTRO!$A$4:$A$80,0)),$B52)-CONFIG!$B$50*(COUNTIF($I52:$O52,"AB")+COUNTIF($I52:$O52,"FE")+COUNTIF($I52:$O52,"LM")))</f>
        <v/>
      </c>
      <c r="AV52" s="117">
        <f>SUMPRODUCT(($P52:$V52="M")*6+($P52:$V52="T")*6+($P52:$V52="D")*12+($P52:$V52="N")*12+($P52:$V52="NT")*6+($P52:$V52="C")*10+($P52:$V52="A")*8+($P52:$V52="J")*5+($P52:$V52="CEP")*4+($P52:$V52="CP")*6+($P52:$V52="CRO")*6+($P52:$V52="M+")*6+($P52:$V52="T+")*6+($P52:$V52="D+")*12+($P52:$V52="N+")*12+($P52:$V52="Dm+")*12+($P52:$V52="Dt+")*12+($P52:$V52="Tm-")*6+($P52:$V52="Mt-")*6)</f>
        <v/>
      </c>
      <c r="AW52" s="118">
        <f>AV52-MAX(0,IFERROR(INDEX(CADASTRO!$I$4:$I$80,MATCH($A52,CADASTRO!$A$4:$A$80,0)),$B52)-CONFIG!$B$50*(COUNTIF($P52:$V52,"AB")+COUNTIF($P52:$V52,"FE")+COUNTIF($P52:$V52,"LM")))</f>
        <v/>
      </c>
      <c r="AX52" s="117">
        <f>SUMPRODUCT(($W52:$AC52="M")*6+($W52:$AC52="T")*6+($W52:$AC52="D")*12+($W52:$AC52="N")*12+($W52:$AC52="NT")*6+($W52:$AC52="C")*10+($W52:$AC52="A")*8+($W52:$AC52="J")*5+($W52:$AC52="CEP")*4+($W52:$AC52="CP")*6+($W52:$AC52="CRO")*6+($W52:$AC52="M+")*6+($W52:$AC52="T+")*6+($W52:$AC52="D+")*12+($W52:$AC52="N+")*12+($W52:$AC52="Dm+")*12+($W52:$AC52="Dt+")*12+($W52:$AC52="Tm-")*6+($W52:$AC52="Mt-")*6)</f>
        <v/>
      </c>
      <c r="AY52" s="118">
        <f>AX52-MAX(0,IFERROR(INDEX(CADASTRO!$I$4:$I$80,MATCH($A52,CADASTRO!$A$4:$A$80,0)),$B52)-CONFIG!$B$50*(COUNTIF($W52:$AC52,"AB")+COUNTIF($W52:$AC52,"FE")+COUNTIF($W52:$AC52,"LM")))</f>
        <v/>
      </c>
      <c r="AZ52" s="117">
        <f>SUMPRODUCT(($AD52:$AJ52="M")*6+($AD52:$AJ52="T")*6+($AD52:$AJ52="D")*12+($AD52:$AJ52="N")*12+($AD52:$AJ52="NT")*6+($AD52:$AJ52="C")*10+($AD52:$AJ52="A")*8+($AD52:$AJ52="J")*5+($AD52:$AJ52="CEP")*4+($AD52:$AJ52="CP")*6+($AD52:$AJ52="CRO")*6+($AD52:$AJ52="M+")*6+($AD52:$AJ52="T+")*6+($AD52:$AJ52="D+")*12+($AD52:$AJ52="N+")*12+($AD52:$AJ52="Dm+")*12+($AD52:$AJ52="Dt+")*12+($AD52:$AJ52="Tm-")*6+($AD52:$AJ52="Mt-")*6)</f>
        <v/>
      </c>
      <c r="BA52" s="118">
        <f>AZ52-MAX(0,IFERROR(INDEX(CADASTRO!$I$4:$I$80,MATCH($A52,CADASTRO!$A$4:$A$80,0)),$B52)-CONFIG!$B$50*(COUNTIF($AD52:$AJ52,"AB")+COUNTIF($AD52:$AJ52,"FE")+COUNTIF($AD52:$AJ52,"LM")))</f>
        <v/>
      </c>
      <c r="BB52" s="117">
        <f>SUMPRODUCT(($AK52:$AL52="M")*6+($AK52:$AL52="T")*6+($AK52:$AL52="D")*12+($AK52:$AL52="N")*12+($AK52:$AL52="NT")*6+($AK52:$AL52="C")*10+($AK52:$AL52="A")*8+($AK52:$AL52="J")*5+($AK52:$AL52="CEP")*4+($AK52:$AL52="CP")*6+($AK52:$AL52="CRO")*6+($AK52:$AL52="M+")*6+($AK52:$AL52="T+")*6+($AK52:$AL52="D+")*12+($AK52:$AL52="N+")*12+($AK52:$AL52="Dm+")*12+($AK52:$AL52="Dt+")*12+($AK52:$AL52="Tm-")*6+($AK52:$AL52="Mt-")*6)+SUMPRODUCT(($AN52:$AR52="M")*6+($AN52:$AR52="T")*6+($AN52:$AR52="D")*12+($AN52:$AR52="N")*12+($AN52:$AR52="NT")*6+($AN52:$AR52="C")*10+($AN52:$AR52="A")*8+($AN52:$AR52="J")*5+($AN52:$AR52="CEP")*4+($AN52:$AR52="CP")*6+($AN52:$AR52="CRO")*6+($AN52:$AR52="M+")*6+($AN52:$AR52="T+")*6+($AN52:$AR52="D+")*12+($AN52:$AR52="N+")*12+($AN52:$AR52="Dm+")*12+($AN52:$AR52="Dt+")*12+($AN52:$AR52="Tm-")*6+($AN52:$AR52="Mt-")*6)</f>
        <v/>
      </c>
      <c r="BC52" s="118">
        <f>BB52-MAX(0,IFERROR(INDEX(CADASTRO!$I$4:$I$80,MATCH($A52,CADASTRO!$A$4:$A$80,0)),$B52)-CONFIG!$B$50*(COUNTIF($AK52:$AL52,"AB")+COUNTIF($AK52:$AL52,"FE")+COUNTIF($AK52:$AL52,"LM")+COUNTIF($AN52:$AR52,"AB")+COUNTIF($AN52:$AR52,"FE")+COUNTIF($AN52:$AR52,"LM")))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ROUND(B52*4.29,0)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00" t="n"/>
      <c r="H53" s="100" t="n"/>
      <c r="I53" s="123" t="inlineStr">
        <is>
          <t>N+</t>
        </is>
      </c>
      <c r="J53" s="114" t="n"/>
      <c r="K53" s="114" t="n"/>
      <c r="L53" s="114" t="n"/>
      <c r="M53" s="125" t="inlineStr">
        <is>
          <t>N</t>
        </is>
      </c>
      <c r="N53" s="114" t="n"/>
      <c r="O53" s="125" t="inlineStr">
        <is>
          <t>N</t>
        </is>
      </c>
      <c r="P53" s="125" t="inlineStr">
        <is>
          <t>N</t>
        </is>
      </c>
      <c r="Q53" s="127" t="inlineStr">
        <is>
          <t>N-</t>
        </is>
      </c>
      <c r="R53" s="114" t="n"/>
      <c r="S53" s="114" t="n"/>
      <c r="T53" s="114" t="n"/>
      <c r="U53" s="114" t="n"/>
      <c r="V53" s="114" t="n"/>
      <c r="W53" s="114" t="n"/>
      <c r="X53" s="114" t="n"/>
      <c r="Y53" s="127" t="inlineStr">
        <is>
          <t>N-</t>
        </is>
      </c>
      <c r="Z53" s="114" t="n"/>
      <c r="AA53" s="114" t="n"/>
      <c r="AB53" s="114" t="n"/>
      <c r="AC53" s="125" t="inlineStr">
        <is>
          <t>N</t>
        </is>
      </c>
      <c r="AD53" s="125" t="inlineStr">
        <is>
          <t>N</t>
        </is>
      </c>
      <c r="AE53" s="125" t="inlineStr">
        <is>
          <t>N</t>
        </is>
      </c>
      <c r="AF53" s="114" t="n"/>
      <c r="AG53" s="123" t="inlineStr">
        <is>
          <t>N+</t>
        </is>
      </c>
      <c r="AH53" s="114" t="n"/>
      <c r="AI53" s="114" t="n"/>
      <c r="AJ53" s="114" t="n"/>
      <c r="AK53" s="125" t="inlineStr">
        <is>
          <t>N</t>
        </is>
      </c>
      <c r="AL53" s="125" t="inlineStr">
        <is>
          <t>N</t>
        </is>
      </c>
      <c r="AM53" s="100" t="n"/>
      <c r="AN53" s="136">
        <f>IFERROR(INDEX(JUL!I$8:I$73,MATCH($A53,JUL!$A$8:$A$73,0))&amp;"","")</f>
        <v/>
      </c>
      <c r="AO53" s="136">
        <f>IFERROR(INDEX(JUL!J$8:J$73,MATCH($A53,JUL!$A$8:$A$73,0))&amp;"","")</f>
        <v/>
      </c>
      <c r="AP53" s="136">
        <f>IFERROR(INDEX(JUL!K$8:K$73,MATCH($A53,JUL!$A$8:$A$73,0))&amp;"","")</f>
        <v/>
      </c>
      <c r="AQ53" s="116">
        <f>IFERROR(INDEX(JUL!L$8:L$73,MATCH($A53,JUL!$A$8:$A$73,0))&amp;"","")</f>
        <v/>
      </c>
      <c r="AR53" s="116">
        <f>IFERROR(INDEX(JUL!M$8:M$73,MATCH($A53,JUL!$A$8:$A$73,0))&amp;"","")</f>
        <v/>
      </c>
      <c r="AS53" s="100" t="n"/>
      <c r="AT53" s="117">
        <f>SUMPRODUCT(($I53:$O53="M")*6+($I53:$O53="T")*6+($I53:$O53="D")*12+($I53:$O53="N")*12+($I53:$O53="NT")*6+($I53:$O53="C")*10+($I53:$O53="A")*8+($I53:$O53="J")*5+($I53:$O53="CEP")*4+($I53:$O53="CP")*6+($I53:$O53="CRO")*6+($I53:$O53="M+")*6+($I53:$O53="T+")*6+($I53:$O53="D+")*12+($I53:$O53="N+")*12+($I53:$O53="Dm+")*12+($I53:$O53="Dt+")*12+($I53:$O53="Tm-")*6+($I53:$O53="Mt-")*6)</f>
        <v/>
      </c>
      <c r="AU53" s="118">
        <f>AT53-MAX(0,IFERROR(INDEX(CADASTRO!$I$4:$I$80,MATCH($A53,CADASTRO!$A$4:$A$80,0)),$B53)-CONFIG!$B$50*(COUNTIF($I53:$O53,"AB")+COUNTIF($I53:$O53,"FE")+COUNTIF($I53:$O53,"LM")))</f>
        <v/>
      </c>
      <c r="AV53" s="117">
        <f>SUMPRODUCT(($P53:$V53="M")*6+($P53:$V53="T")*6+($P53:$V53="D")*12+($P53:$V53="N")*12+($P53:$V53="NT")*6+($P53:$V53="C")*10+($P53:$V53="A")*8+($P53:$V53="J")*5+($P53:$V53="CEP")*4+($P53:$V53="CP")*6+($P53:$V53="CRO")*6+($P53:$V53="M+")*6+($P53:$V53="T+")*6+($P53:$V53="D+")*12+($P53:$V53="N+")*12+($P53:$V53="Dm+")*12+($P53:$V53="Dt+")*12+($P53:$V53="Tm-")*6+($P53:$V53="Mt-")*6)</f>
        <v/>
      </c>
      <c r="AW53" s="118">
        <f>AV53-MAX(0,IFERROR(INDEX(CADASTRO!$I$4:$I$80,MATCH($A53,CADASTRO!$A$4:$A$80,0)),$B53)-CONFIG!$B$50*(COUNTIF($P53:$V53,"AB")+COUNTIF($P53:$V53,"FE")+COUNTIF($P53:$V53,"LM")))</f>
        <v/>
      </c>
      <c r="AX53" s="117">
        <f>SUMPRODUCT(($W53:$AC53="M")*6+($W53:$AC53="T")*6+($W53:$AC53="D")*12+($W53:$AC53="N")*12+($W53:$AC53="NT")*6+($W53:$AC53="C")*10+($W53:$AC53="A")*8+($W53:$AC53="J")*5+($W53:$AC53="CEP")*4+($W53:$AC53="CP")*6+($W53:$AC53="CRO")*6+($W53:$AC53="M+")*6+($W53:$AC53="T+")*6+($W53:$AC53="D+")*12+($W53:$AC53="N+")*12+($W53:$AC53="Dm+")*12+($W53:$AC53="Dt+")*12+($W53:$AC53="Tm-")*6+($W53:$AC53="Mt-")*6)</f>
        <v/>
      </c>
      <c r="AY53" s="118">
        <f>AX53-MAX(0,IFERROR(INDEX(CADASTRO!$I$4:$I$80,MATCH($A53,CADASTRO!$A$4:$A$80,0)),$B53)-CONFIG!$B$50*(COUNTIF($W53:$AC53,"AB")+COUNTIF($W53:$AC53,"FE")+COUNTIF($W53:$AC53,"LM")))</f>
        <v/>
      </c>
      <c r="AZ53" s="117">
        <f>SUMPRODUCT(($AD53:$AJ53="M")*6+($AD53:$AJ53="T")*6+($AD53:$AJ53="D")*12+($AD53:$AJ53="N")*12+($AD53:$AJ53="NT")*6+($AD53:$AJ53="C")*10+($AD53:$AJ53="A")*8+($AD53:$AJ53="J")*5+($AD53:$AJ53="CEP")*4+($AD53:$AJ53="CP")*6+($AD53:$AJ53="CRO")*6+($AD53:$AJ53="M+")*6+($AD53:$AJ53="T+")*6+($AD53:$AJ53="D+")*12+($AD53:$AJ53="N+")*12+($AD53:$AJ53="Dm+")*12+($AD53:$AJ53="Dt+")*12+($AD53:$AJ53="Tm-")*6+($AD53:$AJ53="Mt-")*6)</f>
        <v/>
      </c>
      <c r="BA53" s="118">
        <f>AZ53-MAX(0,IFERROR(INDEX(CADASTRO!$I$4:$I$80,MATCH($A53,CADASTRO!$A$4:$A$80,0)),$B53)-CONFIG!$B$50*(COUNTIF($AD53:$AJ53,"AB")+COUNTIF($AD53:$AJ53,"FE")+COUNTIF($AD53:$AJ53,"LM")))</f>
        <v/>
      </c>
      <c r="BB53" s="117">
        <f>SUMPRODUCT(($AK53:$AL53="M")*6+($AK53:$AL53="T")*6+($AK53:$AL53="D")*12+($AK53:$AL53="N")*12+($AK53:$AL53="NT")*6+($AK53:$AL53="C")*10+($AK53:$AL53="A")*8+($AK53:$AL53="J")*5+($AK53:$AL53="CEP")*4+($AK53:$AL53="CP")*6+($AK53:$AL53="CRO")*6+($AK53:$AL53="M+")*6+($AK53:$AL53="T+")*6+($AK53:$AL53="D+")*12+($AK53:$AL53="N+")*12+($AK53:$AL53="Dm+")*12+($AK53:$AL53="Dt+")*12+($AK53:$AL53="Tm-")*6+($AK53:$AL53="Mt-")*6)+SUMPRODUCT(($AN53:$AR53="M")*6+($AN53:$AR53="T")*6+($AN53:$AR53="D")*12+($AN53:$AR53="N")*12+($AN53:$AR53="NT")*6+($AN53:$AR53="C")*10+($AN53:$AR53="A")*8+($AN53:$AR53="J")*5+($AN53:$AR53="CEP")*4+($AN53:$AR53="CP")*6+($AN53:$AR53="CRO")*6+($AN53:$AR53="M+")*6+($AN53:$AR53="T+")*6+($AN53:$AR53="D+")*12+($AN53:$AR53="N+")*12+($AN53:$AR53="Dm+")*12+($AN53:$AR53="Dt+")*12+($AN53:$AR53="Tm-")*6+($AN53:$AR53="Mt-")*6)</f>
        <v/>
      </c>
      <c r="BC53" s="118">
        <f>BB53-MAX(0,IFERROR(INDEX(CADASTRO!$I$4:$I$80,MATCH($A53,CADASTRO!$A$4:$A$80,0)),$B53)-CONFIG!$B$50*(COUNTIF($AK53:$AL53,"AB")+COUNTIF($AK53:$AL53,"FE")+COUNTIF($AK53:$AL53,"LM")+COUNTIF($AN53:$AR53,"AB")+COUNTIF($AN53:$AR53,"FE")+COUNTIF($AN53:$AR53,"LM")))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ROUND(B53*4.29,0)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00" t="n"/>
      <c r="H54" s="100" t="n"/>
      <c r="I54" s="114" t="n"/>
      <c r="J54" s="114" t="n"/>
      <c r="K54" s="114" t="n"/>
      <c r="L54" s="125" t="inlineStr">
        <is>
          <t>N</t>
        </is>
      </c>
      <c r="M54" s="114" t="n"/>
      <c r="N54" s="125" t="inlineStr">
        <is>
          <t>N</t>
        </is>
      </c>
      <c r="O54" s="114" t="n"/>
      <c r="P54" s="114" t="n"/>
      <c r="Q54" s="114" t="n"/>
      <c r="R54" s="114" t="n"/>
      <c r="S54" s="125" t="inlineStr">
        <is>
          <t>N</t>
        </is>
      </c>
      <c r="T54" s="114" t="n"/>
      <c r="U54" s="125" t="inlineStr">
        <is>
          <t>N</t>
        </is>
      </c>
      <c r="V54" s="114" t="n"/>
      <c r="W54" s="114" t="n"/>
      <c r="X54" s="114" t="n"/>
      <c r="Y54" s="114" t="n"/>
      <c r="Z54" s="125" t="inlineStr">
        <is>
          <t>N</t>
        </is>
      </c>
      <c r="AA54" s="114" t="n"/>
      <c r="AB54" s="125" t="inlineStr">
        <is>
          <t>N</t>
        </is>
      </c>
      <c r="AC54" s="114" t="n"/>
      <c r="AD54" s="114" t="n"/>
      <c r="AE54" s="114" t="n"/>
      <c r="AF54" s="114" t="n"/>
      <c r="AG54" s="125" t="inlineStr">
        <is>
          <t>N</t>
        </is>
      </c>
      <c r="AH54" s="114" t="n"/>
      <c r="AI54" s="125" t="inlineStr">
        <is>
          <t>N</t>
        </is>
      </c>
      <c r="AJ54" s="114" t="n"/>
      <c r="AK54" s="114" t="n"/>
      <c r="AL54" s="114" t="n"/>
      <c r="AM54" s="100" t="n"/>
      <c r="AN54" s="136">
        <f>IFERROR(INDEX(JUL!I$8:I$73,MATCH($A54,JUL!$A$8:$A$73,0))&amp;"","")</f>
        <v/>
      </c>
      <c r="AO54" s="136">
        <f>IFERROR(INDEX(JUL!J$8:J$73,MATCH($A54,JUL!$A$8:$A$73,0))&amp;"","")</f>
        <v/>
      </c>
      <c r="AP54" s="136">
        <f>IFERROR(INDEX(JUL!K$8:K$73,MATCH($A54,JUL!$A$8:$A$73,0))&amp;"","")</f>
        <v/>
      </c>
      <c r="AQ54" s="116">
        <f>IFERROR(INDEX(JUL!L$8:L$73,MATCH($A54,JUL!$A$8:$A$73,0))&amp;"","")</f>
        <v/>
      </c>
      <c r="AR54" s="116">
        <f>IFERROR(INDEX(JUL!M$8:M$73,MATCH($A54,JUL!$A$8:$A$73,0))&amp;"","")</f>
        <v/>
      </c>
      <c r="AS54" s="100" t="n"/>
      <c r="AT54" s="117">
        <f>SUMPRODUCT(($I54:$O54="M")*6+($I54:$O54="T")*6+($I54:$O54="D")*12+($I54:$O54="N")*12+($I54:$O54="NT")*6+($I54:$O54="C")*10+($I54:$O54="A")*8+($I54:$O54="J")*5+($I54:$O54="CEP")*4+($I54:$O54="CP")*6+($I54:$O54="CRO")*6+($I54:$O54="M+")*6+($I54:$O54="T+")*6+($I54:$O54="D+")*12+($I54:$O54="N+")*12+($I54:$O54="Dm+")*12+($I54:$O54="Dt+")*12+($I54:$O54="Tm-")*6+($I54:$O54="Mt-")*6)</f>
        <v/>
      </c>
      <c r="AU54" s="118">
        <f>AT54-MAX(0,IFERROR(INDEX(CADASTRO!$I$4:$I$80,MATCH($A54,CADASTRO!$A$4:$A$80,0)),$B54)-CONFIG!$B$50*(COUNTIF($I54:$O54,"AB")+COUNTIF($I54:$O54,"FE")+COUNTIF($I54:$O54,"LM")))</f>
        <v/>
      </c>
      <c r="AV54" s="117">
        <f>SUMPRODUCT(($P54:$V54="M")*6+($P54:$V54="T")*6+($P54:$V54="D")*12+($P54:$V54="N")*12+($P54:$V54="NT")*6+($P54:$V54="C")*10+($P54:$V54="A")*8+($P54:$V54="J")*5+($P54:$V54="CEP")*4+($P54:$V54="CP")*6+($P54:$V54="CRO")*6+($P54:$V54="M+")*6+($P54:$V54="T+")*6+($P54:$V54="D+")*12+($P54:$V54="N+")*12+($P54:$V54="Dm+")*12+($P54:$V54="Dt+")*12+($P54:$V54="Tm-")*6+($P54:$V54="Mt-")*6)</f>
        <v/>
      </c>
      <c r="AW54" s="118">
        <f>AV54-MAX(0,IFERROR(INDEX(CADASTRO!$I$4:$I$80,MATCH($A54,CADASTRO!$A$4:$A$80,0)),$B54)-CONFIG!$B$50*(COUNTIF($P54:$V54,"AB")+COUNTIF($P54:$V54,"FE")+COUNTIF($P54:$V54,"LM")))</f>
        <v/>
      </c>
      <c r="AX54" s="117">
        <f>SUMPRODUCT(($W54:$AC54="M")*6+($W54:$AC54="T")*6+($W54:$AC54="D")*12+($W54:$AC54="N")*12+($W54:$AC54="NT")*6+($W54:$AC54="C")*10+($W54:$AC54="A")*8+($W54:$AC54="J")*5+($W54:$AC54="CEP")*4+($W54:$AC54="CP")*6+($W54:$AC54="CRO")*6+($W54:$AC54="M+")*6+($W54:$AC54="T+")*6+($W54:$AC54="D+")*12+($W54:$AC54="N+")*12+($W54:$AC54="Dm+")*12+($W54:$AC54="Dt+")*12+($W54:$AC54="Tm-")*6+($W54:$AC54="Mt-")*6)</f>
        <v/>
      </c>
      <c r="AY54" s="118">
        <f>AX54-MAX(0,IFERROR(INDEX(CADASTRO!$I$4:$I$80,MATCH($A54,CADASTRO!$A$4:$A$80,0)),$B54)-CONFIG!$B$50*(COUNTIF($W54:$AC54,"AB")+COUNTIF($W54:$AC54,"FE")+COUNTIF($W54:$AC54,"LM")))</f>
        <v/>
      </c>
      <c r="AZ54" s="117">
        <f>SUMPRODUCT(($AD54:$AJ54="M")*6+($AD54:$AJ54="T")*6+($AD54:$AJ54="D")*12+($AD54:$AJ54="N")*12+($AD54:$AJ54="NT")*6+($AD54:$AJ54="C")*10+($AD54:$AJ54="A")*8+($AD54:$AJ54="J")*5+($AD54:$AJ54="CEP")*4+($AD54:$AJ54="CP")*6+($AD54:$AJ54="CRO")*6+($AD54:$AJ54="M+")*6+($AD54:$AJ54="T+")*6+($AD54:$AJ54="D+")*12+($AD54:$AJ54="N+")*12+($AD54:$AJ54="Dm+")*12+($AD54:$AJ54="Dt+")*12+($AD54:$AJ54="Tm-")*6+($AD54:$AJ54="Mt-")*6)</f>
        <v/>
      </c>
      <c r="BA54" s="118">
        <f>AZ54-MAX(0,IFERROR(INDEX(CADASTRO!$I$4:$I$80,MATCH($A54,CADASTRO!$A$4:$A$80,0)),$B54)-CONFIG!$B$50*(COUNTIF($AD54:$AJ54,"AB")+COUNTIF($AD54:$AJ54,"FE")+COUNTIF($AD54:$AJ54,"LM")))</f>
        <v/>
      </c>
      <c r="BB54" s="117">
        <f>SUMPRODUCT(($AK54:$AL54="M")*6+($AK54:$AL54="T")*6+($AK54:$AL54="D")*12+($AK54:$AL54="N")*12+($AK54:$AL54="NT")*6+($AK54:$AL54="C")*10+($AK54:$AL54="A")*8+($AK54:$AL54="J")*5+($AK54:$AL54="CEP")*4+($AK54:$AL54="CP")*6+($AK54:$AL54="CRO")*6+($AK54:$AL54="M+")*6+($AK54:$AL54="T+")*6+($AK54:$AL54="D+")*12+($AK54:$AL54="N+")*12+($AK54:$AL54="Dm+")*12+($AK54:$AL54="Dt+")*12+($AK54:$AL54="Tm-")*6+($AK54:$AL54="Mt-")*6)+SUMPRODUCT(($AN54:$AR54="M")*6+($AN54:$AR54="T")*6+($AN54:$AR54="D")*12+($AN54:$AR54="N")*12+($AN54:$AR54="NT")*6+($AN54:$AR54="C")*10+($AN54:$AR54="A")*8+($AN54:$AR54="J")*5+($AN54:$AR54="CEP")*4+($AN54:$AR54="CP")*6+($AN54:$AR54="CRO")*6+($AN54:$AR54="M+")*6+($AN54:$AR54="T+")*6+($AN54:$AR54="D+")*12+($AN54:$AR54="N+")*12+($AN54:$AR54="Dm+")*12+($AN54:$AR54="Dt+")*12+($AN54:$AR54="Tm-")*6+($AN54:$AR54="Mt-")*6)</f>
        <v/>
      </c>
      <c r="BC54" s="118">
        <f>BB54-MAX(0,IFERROR(INDEX(CADASTRO!$I$4:$I$80,MATCH($A54,CADASTRO!$A$4:$A$80,0)),$B54)-CONFIG!$B$50*(COUNTIF($AK54:$AL54,"AB")+COUNTIF($AK54:$AL54,"FE")+COUNTIF($AK54:$AL54,"LM")+COUNTIF($AN54:$AR54,"AB")+COUNTIF($AN54:$AR54,"FE")+COUNTIF($AN54:$AR54,"LM")))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ROUND(B54*4.29,0)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00" t="n"/>
      <c r="H55" s="100" t="n"/>
      <c r="I55" s="115" t="inlineStr">
        <is>
          <t>M</t>
        </is>
      </c>
      <c r="J55" s="114" t="n"/>
      <c r="K55" s="115" t="inlineStr">
        <is>
          <t>M</t>
        </is>
      </c>
      <c r="L55" s="115" t="inlineStr">
        <is>
          <t>M</t>
        </is>
      </c>
      <c r="M55" s="115" t="inlineStr">
        <is>
          <t>M</t>
        </is>
      </c>
      <c r="N55" s="114" t="n"/>
      <c r="O55" s="114" t="n"/>
      <c r="P55" s="115" t="inlineStr">
        <is>
          <t>M</t>
        </is>
      </c>
      <c r="Q55" s="114" t="n"/>
      <c r="R55" s="114" t="n"/>
      <c r="S55" s="114" t="n"/>
      <c r="T55" s="115" t="inlineStr">
        <is>
          <t>M</t>
        </is>
      </c>
      <c r="U55" s="115" t="inlineStr">
        <is>
          <t>M</t>
        </is>
      </c>
      <c r="V55" s="115" t="inlineStr">
        <is>
          <t>M</t>
        </is>
      </c>
      <c r="W55" s="115" t="inlineStr">
        <is>
          <t>M</t>
        </is>
      </c>
      <c r="X55" s="114" t="n"/>
      <c r="Y55" s="114" t="n"/>
      <c r="Z55" s="115" t="inlineStr">
        <is>
          <t>M</t>
        </is>
      </c>
      <c r="AA55" s="115" t="inlineStr">
        <is>
          <t>M</t>
        </is>
      </c>
      <c r="AB55" s="115" t="inlineStr">
        <is>
          <t>M</t>
        </is>
      </c>
      <c r="AC55" s="114" t="n"/>
      <c r="AD55" s="115" t="inlineStr">
        <is>
          <t>M</t>
        </is>
      </c>
      <c r="AE55" s="114" t="n"/>
      <c r="AF55" s="115" t="inlineStr">
        <is>
          <t>M</t>
        </is>
      </c>
      <c r="AG55" s="114" t="n"/>
      <c r="AH55" s="115" t="inlineStr">
        <is>
          <t>M</t>
        </is>
      </c>
      <c r="AI55" s="115" t="inlineStr">
        <is>
          <t>M</t>
        </is>
      </c>
      <c r="AJ55" s="114" t="n"/>
      <c r="AK55" s="114" t="n"/>
      <c r="AL55" s="114" t="n"/>
      <c r="AM55" s="100" t="n"/>
      <c r="AN55" s="136">
        <f>IFERROR(INDEX(JUL!I$8:I$73,MATCH($A55,JUL!$A$8:$A$73,0))&amp;"","")</f>
        <v/>
      </c>
      <c r="AO55" s="136">
        <f>IFERROR(INDEX(JUL!J$8:J$73,MATCH($A55,JUL!$A$8:$A$73,0))&amp;"","")</f>
        <v/>
      </c>
      <c r="AP55" s="136">
        <f>IFERROR(INDEX(JUL!K$8:K$73,MATCH($A55,JUL!$A$8:$A$73,0))&amp;"","")</f>
        <v/>
      </c>
      <c r="AQ55" s="116">
        <f>IFERROR(INDEX(JUL!L$8:L$73,MATCH($A55,JUL!$A$8:$A$73,0))&amp;"","")</f>
        <v/>
      </c>
      <c r="AR55" s="116">
        <f>IFERROR(INDEX(JUL!M$8:M$73,MATCH($A55,JUL!$A$8:$A$73,0))&amp;"","")</f>
        <v/>
      </c>
      <c r="AS55" s="100" t="n"/>
      <c r="AT55" s="117">
        <f>SUMPRODUCT(($I55:$O55="M")*6+($I55:$O55="T")*6+($I55:$O55="D")*12+($I55:$O55="N")*12+($I55:$O55="NT")*6+($I55:$O55="C")*10+($I55:$O55="A")*8+($I55:$O55="J")*5+($I55:$O55="CEP")*4+($I55:$O55="CP")*6+($I55:$O55="CRO")*6+($I55:$O55="M+")*6+($I55:$O55="T+")*6+($I55:$O55="D+")*12+($I55:$O55="N+")*12+($I55:$O55="Dm+")*12+($I55:$O55="Dt+")*12+($I55:$O55="Tm-")*6+($I55:$O55="Mt-")*6)</f>
        <v/>
      </c>
      <c r="AU55" s="118">
        <f>AT55-MAX(0,IFERROR(INDEX(CADASTRO!$I$4:$I$80,MATCH($A55,CADASTRO!$A$4:$A$80,0)),$B55)-CONFIG!$B$50*(COUNTIF($I55:$O55,"AB")+COUNTIF($I55:$O55,"FE")+COUNTIF($I55:$O55,"LM")))</f>
        <v/>
      </c>
      <c r="AV55" s="117">
        <f>SUMPRODUCT(($P55:$V55="M")*6+($P55:$V55="T")*6+($P55:$V55="D")*12+($P55:$V55="N")*12+($P55:$V55="NT")*6+($P55:$V55="C")*10+($P55:$V55="A")*8+($P55:$V55="J")*5+($P55:$V55="CEP")*4+($P55:$V55="CP")*6+($P55:$V55="CRO")*6+($P55:$V55="M+")*6+($P55:$V55="T+")*6+($P55:$V55="D+")*12+($P55:$V55="N+")*12+($P55:$V55="Dm+")*12+($P55:$V55="Dt+")*12+($P55:$V55="Tm-")*6+($P55:$V55="Mt-")*6)</f>
        <v/>
      </c>
      <c r="AW55" s="118">
        <f>AV55-MAX(0,IFERROR(INDEX(CADASTRO!$I$4:$I$80,MATCH($A55,CADASTRO!$A$4:$A$80,0)),$B55)-CONFIG!$B$50*(COUNTIF($P55:$V55,"AB")+COUNTIF($P55:$V55,"FE")+COUNTIF($P55:$V55,"LM")))</f>
        <v/>
      </c>
      <c r="AX55" s="117">
        <f>SUMPRODUCT(($W55:$AC55="M")*6+($W55:$AC55="T")*6+($W55:$AC55="D")*12+($W55:$AC55="N")*12+($W55:$AC55="NT")*6+($W55:$AC55="C")*10+($W55:$AC55="A")*8+($W55:$AC55="J")*5+($W55:$AC55="CEP")*4+($W55:$AC55="CP")*6+($W55:$AC55="CRO")*6+($W55:$AC55="M+")*6+($W55:$AC55="T+")*6+($W55:$AC55="D+")*12+($W55:$AC55="N+")*12+($W55:$AC55="Dm+")*12+($W55:$AC55="Dt+")*12+($W55:$AC55="Tm-")*6+($W55:$AC55="Mt-")*6)</f>
        <v/>
      </c>
      <c r="AY55" s="118">
        <f>AX55-MAX(0,IFERROR(INDEX(CADASTRO!$I$4:$I$80,MATCH($A55,CADASTRO!$A$4:$A$80,0)),$B55)-CONFIG!$B$50*(COUNTIF($W55:$AC55,"AB")+COUNTIF($W55:$AC55,"FE")+COUNTIF($W55:$AC55,"LM")))</f>
        <v/>
      </c>
      <c r="AZ55" s="117">
        <f>SUMPRODUCT(($AD55:$AJ55="M")*6+($AD55:$AJ55="T")*6+($AD55:$AJ55="D")*12+($AD55:$AJ55="N")*12+($AD55:$AJ55="NT")*6+($AD55:$AJ55="C")*10+($AD55:$AJ55="A")*8+($AD55:$AJ55="J")*5+($AD55:$AJ55="CEP")*4+($AD55:$AJ55="CP")*6+($AD55:$AJ55="CRO")*6+($AD55:$AJ55="M+")*6+($AD55:$AJ55="T+")*6+($AD55:$AJ55="D+")*12+($AD55:$AJ55="N+")*12+($AD55:$AJ55="Dm+")*12+($AD55:$AJ55="Dt+")*12+($AD55:$AJ55="Tm-")*6+($AD55:$AJ55="Mt-")*6)</f>
        <v/>
      </c>
      <c r="BA55" s="118">
        <f>AZ55-MAX(0,IFERROR(INDEX(CADASTRO!$I$4:$I$80,MATCH($A55,CADASTRO!$A$4:$A$80,0)),$B55)-CONFIG!$B$50*(COUNTIF($AD55:$AJ55,"AB")+COUNTIF($AD55:$AJ55,"FE")+COUNTIF($AD55:$AJ55,"LM")))</f>
        <v/>
      </c>
      <c r="BB55" s="117">
        <f>SUMPRODUCT(($AK55:$AL55="M")*6+($AK55:$AL55="T")*6+($AK55:$AL55="D")*12+($AK55:$AL55="N")*12+($AK55:$AL55="NT")*6+($AK55:$AL55="C")*10+($AK55:$AL55="A")*8+($AK55:$AL55="J")*5+($AK55:$AL55="CEP")*4+($AK55:$AL55="CP")*6+($AK55:$AL55="CRO")*6+($AK55:$AL55="M+")*6+($AK55:$AL55="T+")*6+($AK55:$AL55="D+")*12+($AK55:$AL55="N+")*12+($AK55:$AL55="Dm+")*12+($AK55:$AL55="Dt+")*12+($AK55:$AL55="Tm-")*6+($AK55:$AL55="Mt-")*6)+SUMPRODUCT(($AN55:$AR55="M")*6+($AN55:$AR55="T")*6+($AN55:$AR55="D")*12+($AN55:$AR55="N")*12+($AN55:$AR55="NT")*6+($AN55:$AR55="C")*10+($AN55:$AR55="A")*8+($AN55:$AR55="J")*5+($AN55:$AR55="CEP")*4+($AN55:$AR55="CP")*6+($AN55:$AR55="CRO")*6+($AN55:$AR55="M+")*6+($AN55:$AR55="T+")*6+($AN55:$AR55="D+")*12+($AN55:$AR55="N+")*12+($AN55:$AR55="Dm+")*12+($AN55:$AR55="Dt+")*12+($AN55:$AR55="Tm-")*6+($AN55:$AR55="Mt-")*6)</f>
        <v/>
      </c>
      <c r="BC55" s="118">
        <f>BB55-MAX(0,IFERROR(INDEX(CADASTRO!$I$4:$I$80,MATCH($A55,CADASTRO!$A$4:$A$80,0)),$B55)-CONFIG!$B$50*(COUNTIF($AK55:$AL55,"AB")+COUNTIF($AK55:$AL55,"FE")+COUNTIF($AK55:$AL55,"LM")+COUNTIF($AN55:$AR55,"AB")+COUNTIF($AN55:$AR55,"FE")+COUNTIF($AN55:$AR55,"LM")))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ROUND(B55*4.29,0)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00" t="n"/>
      <c r="H56" s="100" t="n"/>
      <c r="I56" s="114" t="n"/>
      <c r="J56" s="114" t="n"/>
      <c r="K56" s="114" t="n"/>
      <c r="L56" s="124" t="inlineStr">
        <is>
          <t>D</t>
        </is>
      </c>
      <c r="M56" s="124" t="inlineStr">
        <is>
          <t>D</t>
        </is>
      </c>
      <c r="N56" s="114" t="n"/>
      <c r="O56" s="114" t="n"/>
      <c r="P56" s="114" t="n"/>
      <c r="Q56" s="114" t="n"/>
      <c r="R56" s="114" t="n"/>
      <c r="S56" s="124" t="inlineStr">
        <is>
          <t>D</t>
        </is>
      </c>
      <c r="T56" s="114" t="n"/>
      <c r="U56" s="124" t="inlineStr">
        <is>
          <t>D</t>
        </is>
      </c>
      <c r="V56" s="114" t="n"/>
      <c r="W56" s="114" t="n"/>
      <c r="X56" s="114" t="n"/>
      <c r="Y56" s="114" t="n"/>
      <c r="Z56" s="124" t="inlineStr">
        <is>
          <t>D</t>
        </is>
      </c>
      <c r="AA56" s="125" t="inlineStr">
        <is>
          <t>N</t>
        </is>
      </c>
      <c r="AB56" s="114" t="n"/>
      <c r="AC56" s="114" t="n"/>
      <c r="AD56" s="114" t="n"/>
      <c r="AE56" s="114" t="n"/>
      <c r="AF56" s="114" t="n"/>
      <c r="AG56" s="124" t="inlineStr">
        <is>
          <t>D</t>
        </is>
      </c>
      <c r="AH56" s="114" t="n"/>
      <c r="AI56" s="124" t="inlineStr">
        <is>
          <t>D</t>
        </is>
      </c>
      <c r="AJ56" s="114" t="n"/>
      <c r="AK56" s="114" t="n"/>
      <c r="AL56" s="124" t="inlineStr">
        <is>
          <t>D</t>
        </is>
      </c>
      <c r="AM56" s="100" t="n"/>
      <c r="AN56" s="136">
        <f>IFERROR(INDEX(JUL!I$8:I$73,MATCH($A56,JUL!$A$8:$A$73,0))&amp;"","")</f>
        <v/>
      </c>
      <c r="AO56" s="136">
        <f>IFERROR(INDEX(JUL!J$8:J$73,MATCH($A56,JUL!$A$8:$A$73,0))&amp;"","")</f>
        <v/>
      </c>
      <c r="AP56" s="136">
        <f>IFERROR(INDEX(JUL!K$8:K$73,MATCH($A56,JUL!$A$8:$A$73,0))&amp;"","")</f>
        <v/>
      </c>
      <c r="AQ56" s="116">
        <f>IFERROR(INDEX(JUL!L$8:L$73,MATCH($A56,JUL!$A$8:$A$73,0))&amp;"","")</f>
        <v/>
      </c>
      <c r="AR56" s="116">
        <f>IFERROR(INDEX(JUL!M$8:M$73,MATCH($A56,JUL!$A$8:$A$73,0))&amp;"","")</f>
        <v/>
      </c>
      <c r="AS56" s="100" t="n"/>
      <c r="AT56" s="117">
        <f>SUMPRODUCT(($I56:$O56="M")*6+($I56:$O56="T")*6+($I56:$O56="D")*12+($I56:$O56="N")*12+($I56:$O56="NT")*6+($I56:$O56="C")*10+($I56:$O56="A")*8+($I56:$O56="J")*5+($I56:$O56="CEP")*4+($I56:$O56="CP")*6+($I56:$O56="CRO")*6+($I56:$O56="M+")*6+($I56:$O56="T+")*6+($I56:$O56="D+")*12+($I56:$O56="N+")*12+($I56:$O56="Dm+")*12+($I56:$O56="Dt+")*12+($I56:$O56="Tm-")*6+($I56:$O56="Mt-")*6)</f>
        <v/>
      </c>
      <c r="AU56" s="118">
        <f>AT56-MAX(0,IFERROR(INDEX(CADASTRO!$I$4:$I$80,MATCH($A56,CADASTRO!$A$4:$A$80,0)),$B56)-CONFIG!$B$50*(COUNTIF($I56:$O56,"AB")+COUNTIF($I56:$O56,"FE")+COUNTIF($I56:$O56,"LM")))</f>
        <v/>
      </c>
      <c r="AV56" s="117">
        <f>SUMPRODUCT(($P56:$V56="M")*6+($P56:$V56="T")*6+($P56:$V56="D")*12+($P56:$V56="N")*12+($P56:$V56="NT")*6+($P56:$V56="C")*10+($P56:$V56="A")*8+($P56:$V56="J")*5+($P56:$V56="CEP")*4+($P56:$V56="CP")*6+($P56:$V56="CRO")*6+($P56:$V56="M+")*6+($P56:$V56="T+")*6+($P56:$V56="D+")*12+($P56:$V56="N+")*12+($P56:$V56="Dm+")*12+($P56:$V56="Dt+")*12+($P56:$V56="Tm-")*6+($P56:$V56="Mt-")*6)</f>
        <v/>
      </c>
      <c r="AW56" s="118">
        <f>AV56-MAX(0,IFERROR(INDEX(CADASTRO!$I$4:$I$80,MATCH($A56,CADASTRO!$A$4:$A$80,0)),$B56)-CONFIG!$B$50*(COUNTIF($P56:$V56,"AB")+COUNTIF($P56:$V56,"FE")+COUNTIF($P56:$V56,"LM")))</f>
        <v/>
      </c>
      <c r="AX56" s="117">
        <f>SUMPRODUCT(($W56:$AC56="M")*6+($W56:$AC56="T")*6+($W56:$AC56="D")*12+($W56:$AC56="N")*12+($W56:$AC56="NT")*6+($W56:$AC56="C")*10+($W56:$AC56="A")*8+($W56:$AC56="J")*5+($W56:$AC56="CEP")*4+($W56:$AC56="CP")*6+($W56:$AC56="CRO")*6+($W56:$AC56="M+")*6+($W56:$AC56="T+")*6+($W56:$AC56="D+")*12+($W56:$AC56="N+")*12+($W56:$AC56="Dm+")*12+($W56:$AC56="Dt+")*12+($W56:$AC56="Tm-")*6+($W56:$AC56="Mt-")*6)</f>
        <v/>
      </c>
      <c r="AY56" s="118">
        <f>AX56-MAX(0,IFERROR(INDEX(CADASTRO!$I$4:$I$80,MATCH($A56,CADASTRO!$A$4:$A$80,0)),$B56)-CONFIG!$B$50*(COUNTIF($W56:$AC56,"AB")+COUNTIF($W56:$AC56,"FE")+COUNTIF($W56:$AC56,"LM")))</f>
        <v/>
      </c>
      <c r="AZ56" s="117">
        <f>SUMPRODUCT(($AD56:$AJ56="M")*6+($AD56:$AJ56="T")*6+($AD56:$AJ56="D")*12+($AD56:$AJ56="N")*12+($AD56:$AJ56="NT")*6+($AD56:$AJ56="C")*10+($AD56:$AJ56="A")*8+($AD56:$AJ56="J")*5+($AD56:$AJ56="CEP")*4+($AD56:$AJ56="CP")*6+($AD56:$AJ56="CRO")*6+($AD56:$AJ56="M+")*6+($AD56:$AJ56="T+")*6+($AD56:$AJ56="D+")*12+($AD56:$AJ56="N+")*12+($AD56:$AJ56="Dm+")*12+($AD56:$AJ56="Dt+")*12+($AD56:$AJ56="Tm-")*6+($AD56:$AJ56="Mt-")*6)</f>
        <v/>
      </c>
      <c r="BA56" s="118">
        <f>AZ56-MAX(0,IFERROR(INDEX(CADASTRO!$I$4:$I$80,MATCH($A56,CADASTRO!$A$4:$A$80,0)),$B56)-CONFIG!$B$50*(COUNTIF($AD56:$AJ56,"AB")+COUNTIF($AD56:$AJ56,"FE")+COUNTIF($AD56:$AJ56,"LM")))</f>
        <v/>
      </c>
      <c r="BB56" s="117">
        <f>SUMPRODUCT(($AK56:$AL56="M")*6+($AK56:$AL56="T")*6+($AK56:$AL56="D")*12+($AK56:$AL56="N")*12+($AK56:$AL56="NT")*6+($AK56:$AL56="C")*10+($AK56:$AL56="A")*8+($AK56:$AL56="J")*5+($AK56:$AL56="CEP")*4+($AK56:$AL56="CP")*6+($AK56:$AL56="CRO")*6+($AK56:$AL56="M+")*6+($AK56:$AL56="T+")*6+($AK56:$AL56="D+")*12+($AK56:$AL56="N+")*12+($AK56:$AL56="Dm+")*12+($AK56:$AL56="Dt+")*12+($AK56:$AL56="Tm-")*6+($AK56:$AL56="Mt-")*6)+SUMPRODUCT(($AN56:$AR56="M")*6+($AN56:$AR56="T")*6+($AN56:$AR56="D")*12+($AN56:$AR56="N")*12+($AN56:$AR56="NT")*6+($AN56:$AR56="C")*10+($AN56:$AR56="A")*8+($AN56:$AR56="J")*5+($AN56:$AR56="CEP")*4+($AN56:$AR56="CP")*6+($AN56:$AR56="CRO")*6+($AN56:$AR56="M+")*6+($AN56:$AR56="T+")*6+($AN56:$AR56="D+")*12+($AN56:$AR56="N+")*12+($AN56:$AR56="Dm+")*12+($AN56:$AR56="Dt+")*12+($AN56:$AR56="Tm-")*6+($AN56:$AR56="Mt-")*6)</f>
        <v/>
      </c>
      <c r="BC56" s="118">
        <f>BB56-MAX(0,IFERROR(INDEX(CADASTRO!$I$4:$I$80,MATCH($A56,CADASTRO!$A$4:$A$80,0)),$B56)-CONFIG!$B$50*(COUNTIF($AK56:$AL56,"AB")+COUNTIF($AK56:$AL56,"FE")+COUNTIF($AK56:$AL56,"LM")+COUNTIF($AN56:$AR56,"AB")+COUNTIF($AN56:$AR56,"FE")+COUNTIF($AN56:$AR56,"LM")))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ROUND(B56*4.29,0)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00" t="n"/>
      <c r="H57" s="100" t="n"/>
      <c r="I57" s="114" t="n"/>
      <c r="J57" s="125" t="inlineStr">
        <is>
          <t>N</t>
        </is>
      </c>
      <c r="K57" s="114" t="n"/>
      <c r="L57" s="125" t="inlineStr">
        <is>
          <t>N</t>
        </is>
      </c>
      <c r="M57" s="114" t="n"/>
      <c r="N57" s="114" t="n"/>
      <c r="O57" s="114" t="n"/>
      <c r="P57" s="125" t="inlineStr">
        <is>
          <t>N</t>
        </is>
      </c>
      <c r="Q57" s="114" t="n"/>
      <c r="R57" s="125" t="inlineStr">
        <is>
          <t>N</t>
        </is>
      </c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25" t="inlineStr">
        <is>
          <t>N</t>
        </is>
      </c>
      <c r="AB57" s="114" t="n"/>
      <c r="AC57" s="124" t="inlineStr">
        <is>
          <t>D</t>
        </is>
      </c>
      <c r="AD57" s="125" t="inlineStr">
        <is>
          <t>N</t>
        </is>
      </c>
      <c r="AE57" s="114" t="n"/>
      <c r="AF57" s="114" t="n"/>
      <c r="AG57" s="114" t="n"/>
      <c r="AH57" s="114" t="n"/>
      <c r="AI57" s="124" t="inlineStr">
        <is>
          <t>D</t>
        </is>
      </c>
      <c r="AJ57" s="114" t="n"/>
      <c r="AK57" s="114" t="n"/>
      <c r="AL57" s="114" t="n"/>
      <c r="AM57" s="100" t="n"/>
      <c r="AN57" s="136">
        <f>IFERROR(INDEX(JUL!I$8:I$73,MATCH($A57,JUL!$A$8:$A$73,0))&amp;"","")</f>
        <v/>
      </c>
      <c r="AO57" s="136">
        <f>IFERROR(INDEX(JUL!J$8:J$73,MATCH($A57,JUL!$A$8:$A$73,0))&amp;"","")</f>
        <v/>
      </c>
      <c r="AP57" s="136">
        <f>IFERROR(INDEX(JUL!K$8:K$73,MATCH($A57,JUL!$A$8:$A$73,0))&amp;"","")</f>
        <v/>
      </c>
      <c r="AQ57" s="116">
        <f>IFERROR(INDEX(JUL!L$8:L$73,MATCH($A57,JUL!$A$8:$A$73,0))&amp;"","")</f>
        <v/>
      </c>
      <c r="AR57" s="116">
        <f>IFERROR(INDEX(JUL!M$8:M$73,MATCH($A57,JUL!$A$8:$A$73,0))&amp;"","")</f>
        <v/>
      </c>
      <c r="AS57" s="100" t="n"/>
      <c r="AT57" s="117">
        <f>SUMPRODUCT(($I57:$O57="M")*6+($I57:$O57="T")*6+($I57:$O57="D")*12+($I57:$O57="N")*12+($I57:$O57="NT")*6+($I57:$O57="C")*10+($I57:$O57="A")*8+($I57:$O57="J")*5+($I57:$O57="CEP")*4+($I57:$O57="CP")*6+($I57:$O57="CRO")*6+($I57:$O57="M+")*6+($I57:$O57="T+")*6+($I57:$O57="D+")*12+($I57:$O57="N+")*12+($I57:$O57="Dm+")*12+($I57:$O57="Dt+")*12+($I57:$O57="Tm-")*6+($I57:$O57="Mt-")*6)</f>
        <v/>
      </c>
      <c r="AU57" s="118">
        <f>AT57-MAX(0,IFERROR(INDEX(CADASTRO!$I$4:$I$80,MATCH($A57,CADASTRO!$A$4:$A$80,0)),$B57)-CONFIG!$B$50*(COUNTIF($I57:$O57,"AB")+COUNTIF($I57:$O57,"FE")+COUNTIF($I57:$O57,"LM")))</f>
        <v/>
      </c>
      <c r="AV57" s="117">
        <f>SUMPRODUCT(($P57:$V57="M")*6+($P57:$V57="T")*6+($P57:$V57="D")*12+($P57:$V57="N")*12+($P57:$V57="NT")*6+($P57:$V57="C")*10+($P57:$V57="A")*8+($P57:$V57="J")*5+($P57:$V57="CEP")*4+($P57:$V57="CP")*6+($P57:$V57="CRO")*6+($P57:$V57="M+")*6+($P57:$V57="T+")*6+($P57:$V57="D+")*12+($P57:$V57="N+")*12+($P57:$V57="Dm+")*12+($P57:$V57="Dt+")*12+($P57:$V57="Tm-")*6+($P57:$V57="Mt-")*6)</f>
        <v/>
      </c>
      <c r="AW57" s="118">
        <f>AV57-MAX(0,IFERROR(INDEX(CADASTRO!$I$4:$I$80,MATCH($A57,CADASTRO!$A$4:$A$80,0)),$B57)-CONFIG!$B$50*(COUNTIF($P57:$V57,"AB")+COUNTIF($P57:$V57,"FE")+COUNTIF($P57:$V57,"LM")))</f>
        <v/>
      </c>
      <c r="AX57" s="117">
        <f>SUMPRODUCT(($W57:$AC57="M")*6+($W57:$AC57="T")*6+($W57:$AC57="D")*12+($W57:$AC57="N")*12+($W57:$AC57="NT")*6+($W57:$AC57="C")*10+($W57:$AC57="A")*8+($W57:$AC57="J")*5+($W57:$AC57="CEP")*4+($W57:$AC57="CP")*6+($W57:$AC57="CRO")*6+($W57:$AC57="M+")*6+($W57:$AC57="T+")*6+($W57:$AC57="D+")*12+($W57:$AC57="N+")*12+($W57:$AC57="Dm+")*12+($W57:$AC57="Dt+")*12+($W57:$AC57="Tm-")*6+($W57:$AC57="Mt-")*6)</f>
        <v/>
      </c>
      <c r="AY57" s="118">
        <f>AX57-MAX(0,IFERROR(INDEX(CADASTRO!$I$4:$I$80,MATCH($A57,CADASTRO!$A$4:$A$80,0)),$B57)-CONFIG!$B$50*(COUNTIF($W57:$AC57,"AB")+COUNTIF($W57:$AC57,"FE")+COUNTIF($W57:$AC57,"LM")))</f>
        <v/>
      </c>
      <c r="AZ57" s="117">
        <f>SUMPRODUCT(($AD57:$AJ57="M")*6+($AD57:$AJ57="T")*6+($AD57:$AJ57="D")*12+($AD57:$AJ57="N")*12+($AD57:$AJ57="NT")*6+($AD57:$AJ57="C")*10+($AD57:$AJ57="A")*8+($AD57:$AJ57="J")*5+($AD57:$AJ57="CEP")*4+($AD57:$AJ57="CP")*6+($AD57:$AJ57="CRO")*6+($AD57:$AJ57="M+")*6+($AD57:$AJ57="T+")*6+($AD57:$AJ57="D+")*12+($AD57:$AJ57="N+")*12+($AD57:$AJ57="Dm+")*12+($AD57:$AJ57="Dt+")*12+($AD57:$AJ57="Tm-")*6+($AD57:$AJ57="Mt-")*6)</f>
        <v/>
      </c>
      <c r="BA57" s="118">
        <f>AZ57-MAX(0,IFERROR(INDEX(CADASTRO!$I$4:$I$80,MATCH($A57,CADASTRO!$A$4:$A$80,0)),$B57)-CONFIG!$B$50*(COUNTIF($AD57:$AJ57,"AB")+COUNTIF($AD57:$AJ57,"FE")+COUNTIF($AD57:$AJ57,"LM")))</f>
        <v/>
      </c>
      <c r="BB57" s="117">
        <f>SUMPRODUCT(($AK57:$AL57="M")*6+($AK57:$AL57="T")*6+($AK57:$AL57="D")*12+($AK57:$AL57="N")*12+($AK57:$AL57="NT")*6+($AK57:$AL57="C")*10+($AK57:$AL57="A")*8+($AK57:$AL57="J")*5+($AK57:$AL57="CEP")*4+($AK57:$AL57="CP")*6+($AK57:$AL57="CRO")*6+($AK57:$AL57="M+")*6+($AK57:$AL57="T+")*6+($AK57:$AL57="D+")*12+($AK57:$AL57="N+")*12+($AK57:$AL57="Dm+")*12+($AK57:$AL57="Dt+")*12+($AK57:$AL57="Tm-")*6+($AK57:$AL57="Mt-")*6)+SUMPRODUCT(($AN57:$AR57="M")*6+($AN57:$AR57="T")*6+($AN57:$AR57="D")*12+($AN57:$AR57="N")*12+($AN57:$AR57="NT")*6+($AN57:$AR57="C")*10+($AN57:$AR57="A")*8+($AN57:$AR57="J")*5+($AN57:$AR57="CEP")*4+($AN57:$AR57="CP")*6+($AN57:$AR57="CRO")*6+($AN57:$AR57="M+")*6+($AN57:$AR57="T+")*6+($AN57:$AR57="D+")*12+($AN57:$AR57="N+")*12+($AN57:$AR57="Dm+")*12+($AN57:$AR57="Dt+")*12+($AN57:$AR57="Tm-")*6+($AN57:$AR57="Mt-")*6)</f>
        <v/>
      </c>
      <c r="BC57" s="118">
        <f>BB57-MAX(0,IFERROR(INDEX(CADASTRO!$I$4:$I$80,MATCH($A57,CADASTRO!$A$4:$A$80,0)),$B57)-CONFIG!$B$50*(COUNTIF($AK57:$AL57,"AB")+COUNTIF($AK57:$AL57,"FE")+COUNTIF($AK57:$AL57,"LM")+COUNTIF($AN57:$AR57,"AB")+COUNTIF($AN57:$AR57,"FE")+COUNTIF($AN57:$AR57,"LM")))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ROUND(B57*4.29,0)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00" t="n"/>
      <c r="H58" s="100" t="n"/>
      <c r="I58" s="114" t="n"/>
      <c r="J58" s="114" t="n"/>
      <c r="K58" s="125" t="inlineStr">
        <is>
          <t>N</t>
        </is>
      </c>
      <c r="L58" s="114" t="n"/>
      <c r="M58" s="124" t="inlineStr">
        <is>
          <t>D</t>
        </is>
      </c>
      <c r="N58" s="114" t="n"/>
      <c r="O58" s="114" t="n"/>
      <c r="P58" s="114" t="n"/>
      <c r="Q58" s="114" t="n"/>
      <c r="R58" s="125" t="inlineStr">
        <is>
          <t>N</t>
        </is>
      </c>
      <c r="S58" s="114" t="n"/>
      <c r="T58" s="114" t="n"/>
      <c r="U58" s="114" t="n"/>
      <c r="V58" s="124" t="inlineStr">
        <is>
          <t>D</t>
        </is>
      </c>
      <c r="W58" s="114" t="n"/>
      <c r="X58" s="114" t="n"/>
      <c r="Y58" s="125" t="inlineStr">
        <is>
          <t>N</t>
        </is>
      </c>
      <c r="Z58" s="114" t="n"/>
      <c r="AA58" s="114" t="n"/>
      <c r="AB58" s="124" t="inlineStr">
        <is>
          <t>D</t>
        </is>
      </c>
      <c r="AC58" s="114" t="n"/>
      <c r="AD58" s="114" t="n"/>
      <c r="AE58" s="114" t="n"/>
      <c r="AF58" s="125" t="inlineStr">
        <is>
          <t>N</t>
        </is>
      </c>
      <c r="AG58" s="114" t="n"/>
      <c r="AH58" s="124" t="inlineStr">
        <is>
          <t>D</t>
        </is>
      </c>
      <c r="AI58" s="114" t="n"/>
      <c r="AJ58" s="114" t="n"/>
      <c r="AK58" s="114" t="n"/>
      <c r="AL58" s="114" t="n"/>
      <c r="AM58" s="100" t="n"/>
      <c r="AN58" s="136">
        <f>IFERROR(INDEX(JUL!I$8:I$73,MATCH($A58,JUL!$A$8:$A$73,0))&amp;"","")</f>
        <v/>
      </c>
      <c r="AO58" s="136">
        <f>IFERROR(INDEX(JUL!J$8:J$73,MATCH($A58,JUL!$A$8:$A$73,0))&amp;"","")</f>
        <v/>
      </c>
      <c r="AP58" s="136">
        <f>IFERROR(INDEX(JUL!K$8:K$73,MATCH($A58,JUL!$A$8:$A$73,0))&amp;"","")</f>
        <v/>
      </c>
      <c r="AQ58" s="116">
        <f>IFERROR(INDEX(JUL!L$8:L$73,MATCH($A58,JUL!$A$8:$A$73,0))&amp;"","")</f>
        <v/>
      </c>
      <c r="AR58" s="116">
        <f>IFERROR(INDEX(JUL!M$8:M$73,MATCH($A58,JUL!$A$8:$A$73,0))&amp;"","")</f>
        <v/>
      </c>
      <c r="AS58" s="100" t="n"/>
      <c r="AT58" s="117">
        <f>SUMPRODUCT(($I58:$O58="M")*6+($I58:$O58="T")*6+($I58:$O58="D")*12+($I58:$O58="N")*12+($I58:$O58="NT")*6+($I58:$O58="C")*10+($I58:$O58="A")*8+($I58:$O58="J")*5+($I58:$O58="CEP")*4+($I58:$O58="CP")*6+($I58:$O58="CRO")*6+($I58:$O58="M+")*6+($I58:$O58="T+")*6+($I58:$O58="D+")*12+($I58:$O58="N+")*12+($I58:$O58="Dm+")*12+($I58:$O58="Dt+")*12+($I58:$O58="Tm-")*6+($I58:$O58="Mt-")*6)</f>
        <v/>
      </c>
      <c r="AU58" s="118">
        <f>AT58-MAX(0,IFERROR(INDEX(CADASTRO!$I$4:$I$80,MATCH($A58,CADASTRO!$A$4:$A$80,0)),$B58)-CONFIG!$B$50*(COUNTIF($I58:$O58,"AB")+COUNTIF($I58:$O58,"FE")+COUNTIF($I58:$O58,"LM")))</f>
        <v/>
      </c>
      <c r="AV58" s="117">
        <f>SUMPRODUCT(($P58:$V58="M")*6+($P58:$V58="T")*6+($P58:$V58="D")*12+($P58:$V58="N")*12+($P58:$V58="NT")*6+($P58:$V58="C")*10+($P58:$V58="A")*8+($P58:$V58="J")*5+($P58:$V58="CEP")*4+($P58:$V58="CP")*6+($P58:$V58="CRO")*6+($P58:$V58="M+")*6+($P58:$V58="T+")*6+($P58:$V58="D+")*12+($P58:$V58="N+")*12+($P58:$V58="Dm+")*12+($P58:$V58="Dt+")*12+($P58:$V58="Tm-")*6+($P58:$V58="Mt-")*6)</f>
        <v/>
      </c>
      <c r="AW58" s="118">
        <f>AV58-MAX(0,IFERROR(INDEX(CADASTRO!$I$4:$I$80,MATCH($A58,CADASTRO!$A$4:$A$80,0)),$B58)-CONFIG!$B$50*(COUNTIF($P58:$V58,"AB")+COUNTIF($P58:$V58,"FE")+COUNTIF($P58:$V58,"LM")))</f>
        <v/>
      </c>
      <c r="AX58" s="117">
        <f>SUMPRODUCT(($W58:$AC58="M")*6+($W58:$AC58="T")*6+($W58:$AC58="D")*12+($W58:$AC58="N")*12+($W58:$AC58="NT")*6+($W58:$AC58="C")*10+($W58:$AC58="A")*8+($W58:$AC58="J")*5+($W58:$AC58="CEP")*4+($W58:$AC58="CP")*6+($W58:$AC58="CRO")*6+($W58:$AC58="M+")*6+($W58:$AC58="T+")*6+($W58:$AC58="D+")*12+($W58:$AC58="N+")*12+($W58:$AC58="Dm+")*12+($W58:$AC58="Dt+")*12+($W58:$AC58="Tm-")*6+($W58:$AC58="Mt-")*6)</f>
        <v/>
      </c>
      <c r="AY58" s="118">
        <f>AX58-MAX(0,IFERROR(INDEX(CADASTRO!$I$4:$I$80,MATCH($A58,CADASTRO!$A$4:$A$80,0)),$B58)-CONFIG!$B$50*(COUNTIF($W58:$AC58,"AB")+COUNTIF($W58:$AC58,"FE")+COUNTIF($W58:$AC58,"LM")))</f>
        <v/>
      </c>
      <c r="AZ58" s="117">
        <f>SUMPRODUCT(($AD58:$AJ58="M")*6+($AD58:$AJ58="T")*6+($AD58:$AJ58="D")*12+($AD58:$AJ58="N")*12+($AD58:$AJ58="NT")*6+($AD58:$AJ58="C")*10+($AD58:$AJ58="A")*8+($AD58:$AJ58="J")*5+($AD58:$AJ58="CEP")*4+($AD58:$AJ58="CP")*6+($AD58:$AJ58="CRO")*6+($AD58:$AJ58="M+")*6+($AD58:$AJ58="T+")*6+($AD58:$AJ58="D+")*12+($AD58:$AJ58="N+")*12+($AD58:$AJ58="Dm+")*12+($AD58:$AJ58="Dt+")*12+($AD58:$AJ58="Tm-")*6+($AD58:$AJ58="Mt-")*6)</f>
        <v/>
      </c>
      <c r="BA58" s="118">
        <f>AZ58-MAX(0,IFERROR(INDEX(CADASTRO!$I$4:$I$80,MATCH($A58,CADASTRO!$A$4:$A$80,0)),$B58)-CONFIG!$B$50*(COUNTIF($AD58:$AJ58,"AB")+COUNTIF($AD58:$AJ58,"FE")+COUNTIF($AD58:$AJ58,"LM")))</f>
        <v/>
      </c>
      <c r="BB58" s="117">
        <f>SUMPRODUCT(($AK58:$AL58="M")*6+($AK58:$AL58="T")*6+($AK58:$AL58="D")*12+($AK58:$AL58="N")*12+($AK58:$AL58="NT")*6+($AK58:$AL58="C")*10+($AK58:$AL58="A")*8+($AK58:$AL58="J")*5+($AK58:$AL58="CEP")*4+($AK58:$AL58="CP")*6+($AK58:$AL58="CRO")*6+($AK58:$AL58="M+")*6+($AK58:$AL58="T+")*6+($AK58:$AL58="D+")*12+($AK58:$AL58="N+")*12+($AK58:$AL58="Dm+")*12+($AK58:$AL58="Dt+")*12+($AK58:$AL58="Tm-")*6+($AK58:$AL58="Mt-")*6)+SUMPRODUCT(($AN58:$AR58="M")*6+($AN58:$AR58="T")*6+($AN58:$AR58="D")*12+($AN58:$AR58="N")*12+($AN58:$AR58="NT")*6+($AN58:$AR58="C")*10+($AN58:$AR58="A")*8+($AN58:$AR58="J")*5+($AN58:$AR58="CEP")*4+($AN58:$AR58="CP")*6+($AN58:$AR58="CRO")*6+($AN58:$AR58="M+")*6+($AN58:$AR58="T+")*6+($AN58:$AR58="D+")*12+($AN58:$AR58="N+")*12+($AN58:$AR58="Dm+")*12+($AN58:$AR58="Dt+")*12+($AN58:$AR58="Tm-")*6+($AN58:$AR58="Mt-")*6)</f>
        <v/>
      </c>
      <c r="BC58" s="118">
        <f>BB58-MAX(0,IFERROR(INDEX(CADASTRO!$I$4:$I$80,MATCH($A58,CADASTRO!$A$4:$A$80,0)),$B58)-CONFIG!$B$50*(COUNTIF($AK58:$AL58,"AB")+COUNTIF($AK58:$AL58,"FE")+COUNTIF($AK58:$AL58,"LM")+COUNTIF($AN58:$AR58,"AB")+COUNTIF($AN58:$AR58,"FE")+COUNTIF($AN58:$AR58,"LM")))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ROUND(B58*4.29,0)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00" t="n"/>
      <c r="H59" s="100" t="n"/>
      <c r="I59" s="114" t="n"/>
      <c r="J59" s="114" t="n"/>
      <c r="K59" s="114" t="n"/>
      <c r="L59" s="123" t="inlineStr">
        <is>
          <t>N+</t>
        </is>
      </c>
      <c r="M59" s="125" t="inlineStr">
        <is>
          <t>N</t>
        </is>
      </c>
      <c r="N59" s="114" t="n"/>
      <c r="O59" s="125" t="inlineStr">
        <is>
          <t>N</t>
        </is>
      </c>
      <c r="P59" s="114" t="n"/>
      <c r="Q59" s="114" t="n"/>
      <c r="R59" s="123" t="inlineStr">
        <is>
          <t>N+</t>
        </is>
      </c>
      <c r="S59" s="114" t="n"/>
      <c r="T59" s="125" t="inlineStr">
        <is>
          <t>N</t>
        </is>
      </c>
      <c r="U59" s="125" t="inlineStr">
        <is>
          <t>N</t>
        </is>
      </c>
      <c r="V59" s="114" t="n"/>
      <c r="W59" s="114" t="n"/>
      <c r="X59" s="123" t="inlineStr">
        <is>
          <t>N+</t>
        </is>
      </c>
      <c r="Y59" s="125" t="inlineStr">
        <is>
          <t>N</t>
        </is>
      </c>
      <c r="Z59" s="114" t="n"/>
      <c r="AA59" s="126" t="inlineStr">
        <is>
          <t>T</t>
        </is>
      </c>
      <c r="AB59" s="126" t="inlineStr">
        <is>
          <t>T</t>
        </is>
      </c>
      <c r="AC59" s="114" t="n"/>
      <c r="AD59" s="127" t="inlineStr">
        <is>
          <t>N-</t>
        </is>
      </c>
      <c r="AE59" s="127" t="inlineStr">
        <is>
          <t>N-</t>
        </is>
      </c>
      <c r="AF59" s="114" t="n"/>
      <c r="AG59" s="114" t="n"/>
      <c r="AH59" s="114" t="n"/>
      <c r="AI59" s="114" t="n"/>
      <c r="AJ59" s="114" t="n"/>
      <c r="AK59" s="127" t="inlineStr">
        <is>
          <t>N-</t>
        </is>
      </c>
      <c r="AL59" s="127" t="inlineStr">
        <is>
          <t>N-</t>
        </is>
      </c>
      <c r="AM59" s="100" t="n"/>
      <c r="AN59" s="136">
        <f>IFERROR(INDEX(JUL!I$8:I$73,MATCH($A59,JUL!$A$8:$A$73,0))&amp;"","")</f>
        <v/>
      </c>
      <c r="AO59" s="136">
        <f>IFERROR(INDEX(JUL!J$8:J$73,MATCH($A59,JUL!$A$8:$A$73,0))&amp;"","")</f>
        <v/>
      </c>
      <c r="AP59" s="136">
        <f>IFERROR(INDEX(JUL!K$8:K$73,MATCH($A59,JUL!$A$8:$A$73,0))&amp;"","")</f>
        <v/>
      </c>
      <c r="AQ59" s="116">
        <f>IFERROR(INDEX(JUL!L$8:L$73,MATCH($A59,JUL!$A$8:$A$73,0))&amp;"","")</f>
        <v/>
      </c>
      <c r="AR59" s="116">
        <f>IFERROR(INDEX(JUL!M$8:M$73,MATCH($A59,JUL!$A$8:$A$73,0))&amp;"","")</f>
        <v/>
      </c>
      <c r="AS59" s="100" t="n"/>
      <c r="AT59" s="117">
        <f>SUMPRODUCT(($I59:$O59="M")*6+($I59:$O59="T")*6+($I59:$O59="D")*12+($I59:$O59="N")*12+($I59:$O59="NT")*6+($I59:$O59="C")*10+($I59:$O59="A")*8+($I59:$O59="J")*5+($I59:$O59="CEP")*4+($I59:$O59="CP")*6+($I59:$O59="CRO")*6+($I59:$O59="M+")*6+($I59:$O59="T+")*6+($I59:$O59="D+")*12+($I59:$O59="N+")*12+($I59:$O59="Dm+")*12+($I59:$O59="Dt+")*12+($I59:$O59="Tm-")*6+($I59:$O59="Mt-")*6)</f>
        <v/>
      </c>
      <c r="AU59" s="118">
        <f>AT59-MAX(0,IFERROR(INDEX(CADASTRO!$I$4:$I$80,MATCH($A59,CADASTRO!$A$4:$A$80,0)),$B59)-CONFIG!$B$50*(COUNTIF($I59:$O59,"AB")+COUNTIF($I59:$O59,"FE")+COUNTIF($I59:$O59,"LM")))</f>
        <v/>
      </c>
      <c r="AV59" s="117">
        <f>SUMPRODUCT(($P59:$V59="M")*6+($P59:$V59="T")*6+($P59:$V59="D")*12+($P59:$V59="N")*12+($P59:$V59="NT")*6+($P59:$V59="C")*10+($P59:$V59="A")*8+($P59:$V59="J")*5+($P59:$V59="CEP")*4+($P59:$V59="CP")*6+($P59:$V59="CRO")*6+($P59:$V59="M+")*6+($P59:$V59="T+")*6+($P59:$V59="D+")*12+($P59:$V59="N+")*12+($P59:$V59="Dm+")*12+($P59:$V59="Dt+")*12+($P59:$V59="Tm-")*6+($P59:$V59="Mt-")*6)</f>
        <v/>
      </c>
      <c r="AW59" s="118">
        <f>AV59-MAX(0,IFERROR(INDEX(CADASTRO!$I$4:$I$80,MATCH($A59,CADASTRO!$A$4:$A$80,0)),$B59)-CONFIG!$B$50*(COUNTIF($P59:$V59,"AB")+COUNTIF($P59:$V59,"FE")+COUNTIF($P59:$V59,"LM")))</f>
        <v/>
      </c>
      <c r="AX59" s="117">
        <f>SUMPRODUCT(($W59:$AC59="M")*6+($W59:$AC59="T")*6+($W59:$AC59="D")*12+($W59:$AC59="N")*12+($W59:$AC59="NT")*6+($W59:$AC59="C")*10+($W59:$AC59="A")*8+($W59:$AC59="J")*5+($W59:$AC59="CEP")*4+($W59:$AC59="CP")*6+($W59:$AC59="CRO")*6+($W59:$AC59="M+")*6+($W59:$AC59="T+")*6+($W59:$AC59="D+")*12+($W59:$AC59="N+")*12+($W59:$AC59="Dm+")*12+($W59:$AC59="Dt+")*12+($W59:$AC59="Tm-")*6+($W59:$AC59="Mt-")*6)</f>
        <v/>
      </c>
      <c r="AY59" s="118">
        <f>AX59-MAX(0,IFERROR(INDEX(CADASTRO!$I$4:$I$80,MATCH($A59,CADASTRO!$A$4:$A$80,0)),$B59)-CONFIG!$B$50*(COUNTIF($W59:$AC59,"AB")+COUNTIF($W59:$AC59,"FE")+COUNTIF($W59:$AC59,"LM")))</f>
        <v/>
      </c>
      <c r="AZ59" s="117">
        <f>SUMPRODUCT(($AD59:$AJ59="M")*6+($AD59:$AJ59="T")*6+($AD59:$AJ59="D")*12+($AD59:$AJ59="N")*12+($AD59:$AJ59="NT")*6+($AD59:$AJ59="C")*10+($AD59:$AJ59="A")*8+($AD59:$AJ59="J")*5+($AD59:$AJ59="CEP")*4+($AD59:$AJ59="CP")*6+($AD59:$AJ59="CRO")*6+($AD59:$AJ59="M+")*6+($AD59:$AJ59="T+")*6+($AD59:$AJ59="D+")*12+($AD59:$AJ59="N+")*12+($AD59:$AJ59="Dm+")*12+($AD59:$AJ59="Dt+")*12+($AD59:$AJ59="Tm-")*6+($AD59:$AJ59="Mt-")*6)</f>
        <v/>
      </c>
      <c r="BA59" s="118">
        <f>AZ59-MAX(0,IFERROR(INDEX(CADASTRO!$I$4:$I$80,MATCH($A59,CADASTRO!$A$4:$A$80,0)),$B59)-CONFIG!$B$50*(COUNTIF($AD59:$AJ59,"AB")+COUNTIF($AD59:$AJ59,"FE")+COUNTIF($AD59:$AJ59,"LM")))</f>
        <v/>
      </c>
      <c r="BB59" s="117">
        <f>SUMPRODUCT(($AK59:$AL59="M")*6+($AK59:$AL59="T")*6+($AK59:$AL59="D")*12+($AK59:$AL59="N")*12+($AK59:$AL59="NT")*6+($AK59:$AL59="C")*10+($AK59:$AL59="A")*8+($AK59:$AL59="J")*5+($AK59:$AL59="CEP")*4+($AK59:$AL59="CP")*6+($AK59:$AL59="CRO")*6+($AK59:$AL59="M+")*6+($AK59:$AL59="T+")*6+($AK59:$AL59="D+")*12+($AK59:$AL59="N+")*12+($AK59:$AL59="Dm+")*12+($AK59:$AL59="Dt+")*12+($AK59:$AL59="Tm-")*6+($AK59:$AL59="Mt-")*6)+SUMPRODUCT(($AN59:$AR59="M")*6+($AN59:$AR59="T")*6+($AN59:$AR59="D")*12+($AN59:$AR59="N")*12+($AN59:$AR59="NT")*6+($AN59:$AR59="C")*10+($AN59:$AR59="A")*8+($AN59:$AR59="J")*5+($AN59:$AR59="CEP")*4+($AN59:$AR59="CP")*6+($AN59:$AR59="CRO")*6+($AN59:$AR59="M+")*6+($AN59:$AR59="T+")*6+($AN59:$AR59="D+")*12+($AN59:$AR59="N+")*12+($AN59:$AR59="Dm+")*12+($AN59:$AR59="Dt+")*12+($AN59:$AR59="Tm-")*6+($AN59:$AR59="Mt-")*6)</f>
        <v/>
      </c>
      <c r="BC59" s="118">
        <f>BB59-MAX(0,IFERROR(INDEX(CADASTRO!$I$4:$I$80,MATCH($A59,CADASTRO!$A$4:$A$80,0)),$B59)-CONFIG!$B$50*(COUNTIF($AK59:$AL59,"AB")+COUNTIF($AK59:$AL59,"FE")+COUNTIF($AK59:$AL59,"LM")+COUNTIF($AN59:$AR59,"AB")+COUNTIF($AN59:$AR59,"FE")+COUNTIF($AN59:$AR59,"LM")))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ROUND(B59*4.29,0)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00" t="n"/>
      <c r="H60" s="100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25" t="inlineStr">
        <is>
          <t>N</t>
        </is>
      </c>
      <c r="AB60" s="114" t="n"/>
      <c r="AC60" s="126" t="inlineStr">
        <is>
          <t>T</t>
        </is>
      </c>
      <c r="AD60" s="114" t="n"/>
      <c r="AE60" s="126" t="inlineStr">
        <is>
          <t>T</t>
        </is>
      </c>
      <c r="AF60" s="114" t="n"/>
      <c r="AG60" s="126" t="inlineStr">
        <is>
          <t>T</t>
        </is>
      </c>
      <c r="AH60" s="114" t="n"/>
      <c r="AI60" s="114" t="n"/>
      <c r="AJ60" s="124" t="inlineStr">
        <is>
          <t>D</t>
        </is>
      </c>
      <c r="AK60" s="114" t="n"/>
      <c r="AL60" s="114" t="n"/>
      <c r="AM60" s="100" t="n"/>
      <c r="AN60" s="136">
        <f>IFERROR(INDEX(JUL!I$8:I$73,MATCH($A60,JUL!$A$8:$A$73,0))&amp;"","")</f>
        <v/>
      </c>
      <c r="AO60" s="136">
        <f>IFERROR(INDEX(JUL!J$8:J$73,MATCH($A60,JUL!$A$8:$A$73,0))&amp;"","")</f>
        <v/>
      </c>
      <c r="AP60" s="136">
        <f>IFERROR(INDEX(JUL!K$8:K$73,MATCH($A60,JUL!$A$8:$A$73,0))&amp;"","")</f>
        <v/>
      </c>
      <c r="AQ60" s="116">
        <f>IFERROR(INDEX(JUL!L$8:L$73,MATCH($A60,JUL!$A$8:$A$73,0))&amp;"","")</f>
        <v/>
      </c>
      <c r="AR60" s="116">
        <f>IFERROR(INDEX(JUL!M$8:M$73,MATCH($A60,JUL!$A$8:$A$73,0))&amp;"","")</f>
        <v/>
      </c>
      <c r="AS60" s="100" t="n"/>
      <c r="AT60" s="117">
        <f>SUMPRODUCT(($I60:$O60="M")*6+($I60:$O60="T")*6+($I60:$O60="D")*12+($I60:$O60="N")*12+($I60:$O60="NT")*6+($I60:$O60="C")*10+($I60:$O60="A")*8+($I60:$O60="J")*5+($I60:$O60="CEP")*4+($I60:$O60="CP")*6+($I60:$O60="CRO")*6+($I60:$O60="M+")*6+($I60:$O60="T+")*6+($I60:$O60="D+")*12+($I60:$O60="N+")*12+($I60:$O60="Dm+")*12+($I60:$O60="Dt+")*12+($I60:$O60="Tm-")*6+($I60:$O60="Mt-")*6)</f>
        <v/>
      </c>
      <c r="AU60" s="118">
        <f>AT60-MAX(0,IFERROR(INDEX(CADASTRO!$I$4:$I$80,MATCH($A60,CADASTRO!$A$4:$A$80,0)),$B60)-CONFIG!$B$50*(COUNTIF($I60:$O60,"AB")+COUNTIF($I60:$O60,"FE")+COUNTIF($I60:$O60,"LM")))</f>
        <v/>
      </c>
      <c r="AV60" s="117">
        <f>SUMPRODUCT(($P60:$V60="M")*6+($P60:$V60="T")*6+($P60:$V60="D")*12+($P60:$V60="N")*12+($P60:$V60="NT")*6+($P60:$V60="C")*10+($P60:$V60="A")*8+($P60:$V60="J")*5+($P60:$V60="CEP")*4+($P60:$V60="CP")*6+($P60:$V60="CRO")*6+($P60:$V60="M+")*6+($P60:$V60="T+")*6+($P60:$V60="D+")*12+($P60:$V60="N+")*12+($P60:$V60="Dm+")*12+($P60:$V60="Dt+")*12+($P60:$V60="Tm-")*6+($P60:$V60="Mt-")*6)</f>
        <v/>
      </c>
      <c r="AW60" s="118">
        <f>AV60-MAX(0,IFERROR(INDEX(CADASTRO!$I$4:$I$80,MATCH($A60,CADASTRO!$A$4:$A$80,0)),$B60)-CONFIG!$B$50*(COUNTIF($P60:$V60,"AB")+COUNTIF($P60:$V60,"FE")+COUNTIF($P60:$V60,"LM")))</f>
        <v/>
      </c>
      <c r="AX60" s="117">
        <f>SUMPRODUCT(($W60:$AC60="M")*6+($W60:$AC60="T")*6+($W60:$AC60="D")*12+($W60:$AC60="N")*12+($W60:$AC60="NT")*6+($W60:$AC60="C")*10+($W60:$AC60="A")*8+($W60:$AC60="J")*5+($W60:$AC60="CEP")*4+($W60:$AC60="CP")*6+($W60:$AC60="CRO")*6+($W60:$AC60="M+")*6+($W60:$AC60="T+")*6+($W60:$AC60="D+")*12+($W60:$AC60="N+")*12+($W60:$AC60="Dm+")*12+($W60:$AC60="Dt+")*12+($W60:$AC60="Tm-")*6+($W60:$AC60="Mt-")*6)</f>
        <v/>
      </c>
      <c r="AY60" s="118">
        <f>AX60-MAX(0,IFERROR(INDEX(CADASTRO!$I$4:$I$80,MATCH($A60,CADASTRO!$A$4:$A$80,0)),$B60)-CONFIG!$B$50*(COUNTIF($W60:$AC60,"AB")+COUNTIF($W60:$AC60,"FE")+COUNTIF($W60:$AC60,"LM")))</f>
        <v/>
      </c>
      <c r="AZ60" s="117">
        <f>SUMPRODUCT(($AD60:$AJ60="M")*6+($AD60:$AJ60="T")*6+($AD60:$AJ60="D")*12+($AD60:$AJ60="N")*12+($AD60:$AJ60="NT")*6+($AD60:$AJ60="C")*10+($AD60:$AJ60="A")*8+($AD60:$AJ60="J")*5+($AD60:$AJ60="CEP")*4+($AD60:$AJ60="CP")*6+($AD60:$AJ60="CRO")*6+($AD60:$AJ60="M+")*6+($AD60:$AJ60="T+")*6+($AD60:$AJ60="D+")*12+($AD60:$AJ60="N+")*12+($AD60:$AJ60="Dm+")*12+($AD60:$AJ60="Dt+")*12+($AD60:$AJ60="Tm-")*6+($AD60:$AJ60="Mt-")*6)</f>
        <v/>
      </c>
      <c r="BA60" s="118">
        <f>AZ60-MAX(0,IFERROR(INDEX(CADASTRO!$I$4:$I$80,MATCH($A60,CADASTRO!$A$4:$A$80,0)),$B60)-CONFIG!$B$50*(COUNTIF($AD60:$AJ60,"AB")+COUNTIF($AD60:$AJ60,"FE")+COUNTIF($AD60:$AJ60,"LM")))</f>
        <v/>
      </c>
      <c r="BB60" s="117">
        <f>SUMPRODUCT(($AK60:$AL60="M")*6+($AK60:$AL60="T")*6+($AK60:$AL60="D")*12+($AK60:$AL60="N")*12+($AK60:$AL60="NT")*6+($AK60:$AL60="C")*10+($AK60:$AL60="A")*8+($AK60:$AL60="J")*5+($AK60:$AL60="CEP")*4+($AK60:$AL60="CP")*6+($AK60:$AL60="CRO")*6+($AK60:$AL60="M+")*6+($AK60:$AL60="T+")*6+($AK60:$AL60="D+")*12+($AK60:$AL60="N+")*12+($AK60:$AL60="Dm+")*12+($AK60:$AL60="Dt+")*12+($AK60:$AL60="Tm-")*6+($AK60:$AL60="Mt-")*6)+SUMPRODUCT(($AN60:$AR60="M")*6+($AN60:$AR60="T")*6+($AN60:$AR60="D")*12+($AN60:$AR60="N")*12+($AN60:$AR60="NT")*6+($AN60:$AR60="C")*10+($AN60:$AR60="A")*8+($AN60:$AR60="J")*5+($AN60:$AR60="CEP")*4+($AN60:$AR60="CP")*6+($AN60:$AR60="CRO")*6+($AN60:$AR60="M+")*6+($AN60:$AR60="T+")*6+($AN60:$AR60="D+")*12+($AN60:$AR60="N+")*12+($AN60:$AR60="Dm+")*12+($AN60:$AR60="Dt+")*12+($AN60:$AR60="Tm-")*6+($AN60:$AR60="Mt-")*6)</f>
        <v/>
      </c>
      <c r="BC60" s="118">
        <f>BB60-MAX(0,IFERROR(INDEX(CADASTRO!$I$4:$I$80,MATCH($A60,CADASTRO!$A$4:$A$80,0)),$B60)-CONFIG!$B$50*(COUNTIF($AK60:$AL60,"AB")+COUNTIF($AK60:$AL60,"FE")+COUNTIF($AK60:$AL60,"LM")+COUNTIF($AN60:$AR60,"AB")+COUNTIF($AN60:$AR60,"FE")+COUNTIF($AN60:$AR60,"LM")))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ROUND(B60*4.29,0)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00" t="n"/>
      <c r="H61" s="100" t="n"/>
      <c r="I61" s="114" t="n"/>
      <c r="J61" s="124" t="inlineStr">
        <is>
          <t>D</t>
        </is>
      </c>
      <c r="K61" s="114" t="n"/>
      <c r="L61" s="126" t="inlineStr">
        <is>
          <t>T</t>
        </is>
      </c>
      <c r="M61" s="126" t="inlineStr">
        <is>
          <t>T</t>
        </is>
      </c>
      <c r="N61" s="114" t="n"/>
      <c r="O61" s="114" t="n"/>
      <c r="P61" s="124" t="inlineStr">
        <is>
          <t>D</t>
        </is>
      </c>
      <c r="Q61" s="114" t="n"/>
      <c r="R61" s="114" t="n"/>
      <c r="S61" s="125" t="inlineStr">
        <is>
          <t>N</t>
        </is>
      </c>
      <c r="T61" s="114" t="n"/>
      <c r="U61" s="114" t="n"/>
      <c r="V61" s="114" t="n"/>
      <c r="W61" s="124" t="inlineStr">
        <is>
          <t>D</t>
        </is>
      </c>
      <c r="X61" s="114" t="n"/>
      <c r="Y61" s="114" t="n"/>
      <c r="Z61" s="114" t="n"/>
      <c r="AA61" s="114" t="n"/>
      <c r="AB61" s="125" t="inlineStr">
        <is>
          <t>N</t>
        </is>
      </c>
      <c r="AC61" s="114" t="n"/>
      <c r="AD61" s="124" t="inlineStr">
        <is>
          <t>D</t>
        </is>
      </c>
      <c r="AE61" s="114" t="n"/>
      <c r="AF61" s="114" t="n"/>
      <c r="AG61" s="114" t="n"/>
      <c r="AH61" s="114" t="n"/>
      <c r="AI61" s="114" t="n"/>
      <c r="AJ61" s="124" t="inlineStr">
        <is>
          <t>D</t>
        </is>
      </c>
      <c r="AK61" s="124" t="inlineStr">
        <is>
          <t>D</t>
        </is>
      </c>
      <c r="AL61" s="114" t="n"/>
      <c r="AM61" s="100" t="n"/>
      <c r="AN61" s="136">
        <f>IFERROR(INDEX(JUL!I$8:I$73,MATCH($A61,JUL!$A$8:$A$73,0))&amp;"","")</f>
        <v/>
      </c>
      <c r="AO61" s="136">
        <f>IFERROR(INDEX(JUL!J$8:J$73,MATCH($A61,JUL!$A$8:$A$73,0))&amp;"","")</f>
        <v/>
      </c>
      <c r="AP61" s="136">
        <f>IFERROR(INDEX(JUL!K$8:K$73,MATCH($A61,JUL!$A$8:$A$73,0))&amp;"","")</f>
        <v/>
      </c>
      <c r="AQ61" s="116">
        <f>IFERROR(INDEX(JUL!L$8:L$73,MATCH($A61,JUL!$A$8:$A$73,0))&amp;"","")</f>
        <v/>
      </c>
      <c r="AR61" s="116">
        <f>IFERROR(INDEX(JUL!M$8:M$73,MATCH($A61,JUL!$A$8:$A$73,0))&amp;"","")</f>
        <v/>
      </c>
      <c r="AS61" s="100" t="n"/>
      <c r="AT61" s="117">
        <f>SUMPRODUCT(($I61:$O61="M")*6+($I61:$O61="T")*6+($I61:$O61="D")*12+($I61:$O61="N")*12+($I61:$O61="NT")*6+($I61:$O61="C")*10+($I61:$O61="A")*8+($I61:$O61="J")*5+($I61:$O61="CEP")*4+($I61:$O61="CP")*6+($I61:$O61="CRO")*6+($I61:$O61="M+")*6+($I61:$O61="T+")*6+($I61:$O61="D+")*12+($I61:$O61="N+")*12+($I61:$O61="Dm+")*12+($I61:$O61="Dt+")*12+($I61:$O61="Tm-")*6+($I61:$O61="Mt-")*6)</f>
        <v/>
      </c>
      <c r="AU61" s="118">
        <f>AT61-MAX(0,IFERROR(INDEX(CADASTRO!$I$4:$I$80,MATCH($A61,CADASTRO!$A$4:$A$80,0)),$B61)-CONFIG!$B$50*(COUNTIF($I61:$O61,"AB")+COUNTIF($I61:$O61,"FE")+COUNTIF($I61:$O61,"LM")))</f>
        <v/>
      </c>
      <c r="AV61" s="117">
        <f>SUMPRODUCT(($P61:$V61="M")*6+($P61:$V61="T")*6+($P61:$V61="D")*12+($P61:$V61="N")*12+($P61:$V61="NT")*6+($P61:$V61="C")*10+($P61:$V61="A")*8+($P61:$V61="J")*5+($P61:$V61="CEP")*4+($P61:$V61="CP")*6+($P61:$V61="CRO")*6+($P61:$V61="M+")*6+($P61:$V61="T+")*6+($P61:$V61="D+")*12+($P61:$V61="N+")*12+($P61:$V61="Dm+")*12+($P61:$V61="Dt+")*12+($P61:$V61="Tm-")*6+($P61:$V61="Mt-")*6)</f>
        <v/>
      </c>
      <c r="AW61" s="118">
        <f>AV61-MAX(0,IFERROR(INDEX(CADASTRO!$I$4:$I$80,MATCH($A61,CADASTRO!$A$4:$A$80,0)),$B61)-CONFIG!$B$50*(COUNTIF($P61:$V61,"AB")+COUNTIF($P61:$V61,"FE")+COUNTIF($P61:$V61,"LM")))</f>
        <v/>
      </c>
      <c r="AX61" s="117">
        <f>SUMPRODUCT(($W61:$AC61="M")*6+($W61:$AC61="T")*6+($W61:$AC61="D")*12+($W61:$AC61="N")*12+($W61:$AC61="NT")*6+($W61:$AC61="C")*10+($W61:$AC61="A")*8+($W61:$AC61="J")*5+($W61:$AC61="CEP")*4+($W61:$AC61="CP")*6+($W61:$AC61="CRO")*6+($W61:$AC61="M+")*6+($W61:$AC61="T+")*6+($W61:$AC61="D+")*12+($W61:$AC61="N+")*12+($W61:$AC61="Dm+")*12+($W61:$AC61="Dt+")*12+($W61:$AC61="Tm-")*6+($W61:$AC61="Mt-")*6)</f>
        <v/>
      </c>
      <c r="AY61" s="118">
        <f>AX61-MAX(0,IFERROR(INDEX(CADASTRO!$I$4:$I$80,MATCH($A61,CADASTRO!$A$4:$A$80,0)),$B61)-CONFIG!$B$50*(COUNTIF($W61:$AC61,"AB")+COUNTIF($W61:$AC61,"FE")+COUNTIF($W61:$AC61,"LM")))</f>
        <v/>
      </c>
      <c r="AZ61" s="117">
        <f>SUMPRODUCT(($AD61:$AJ61="M")*6+($AD61:$AJ61="T")*6+($AD61:$AJ61="D")*12+($AD61:$AJ61="N")*12+($AD61:$AJ61="NT")*6+($AD61:$AJ61="C")*10+($AD61:$AJ61="A")*8+($AD61:$AJ61="J")*5+($AD61:$AJ61="CEP")*4+($AD61:$AJ61="CP")*6+($AD61:$AJ61="CRO")*6+($AD61:$AJ61="M+")*6+($AD61:$AJ61="T+")*6+($AD61:$AJ61="D+")*12+($AD61:$AJ61="N+")*12+($AD61:$AJ61="Dm+")*12+($AD61:$AJ61="Dt+")*12+($AD61:$AJ61="Tm-")*6+($AD61:$AJ61="Mt-")*6)</f>
        <v/>
      </c>
      <c r="BA61" s="118">
        <f>AZ61-MAX(0,IFERROR(INDEX(CADASTRO!$I$4:$I$80,MATCH($A61,CADASTRO!$A$4:$A$80,0)),$B61)-CONFIG!$B$50*(COUNTIF($AD61:$AJ61,"AB")+COUNTIF($AD61:$AJ61,"FE")+COUNTIF($AD61:$AJ61,"LM")))</f>
        <v/>
      </c>
      <c r="BB61" s="117">
        <f>SUMPRODUCT(($AK61:$AL61="M")*6+($AK61:$AL61="T")*6+($AK61:$AL61="D")*12+($AK61:$AL61="N")*12+($AK61:$AL61="NT")*6+($AK61:$AL61="C")*10+($AK61:$AL61="A")*8+($AK61:$AL61="J")*5+($AK61:$AL61="CEP")*4+($AK61:$AL61="CP")*6+($AK61:$AL61="CRO")*6+($AK61:$AL61="M+")*6+($AK61:$AL61="T+")*6+($AK61:$AL61="D+")*12+($AK61:$AL61="N+")*12+($AK61:$AL61="Dm+")*12+($AK61:$AL61="Dt+")*12+($AK61:$AL61="Tm-")*6+($AK61:$AL61="Mt-")*6)+SUMPRODUCT(($AN61:$AR61="M")*6+($AN61:$AR61="T")*6+($AN61:$AR61="D")*12+($AN61:$AR61="N")*12+($AN61:$AR61="NT")*6+($AN61:$AR61="C")*10+($AN61:$AR61="A")*8+($AN61:$AR61="J")*5+($AN61:$AR61="CEP")*4+($AN61:$AR61="CP")*6+($AN61:$AR61="CRO")*6+($AN61:$AR61="M+")*6+($AN61:$AR61="T+")*6+($AN61:$AR61="D+")*12+($AN61:$AR61="N+")*12+($AN61:$AR61="Dm+")*12+($AN61:$AR61="Dt+")*12+($AN61:$AR61="Tm-")*6+($AN61:$AR61="Mt-")*6)</f>
        <v/>
      </c>
      <c r="BC61" s="118">
        <f>BB61-MAX(0,IFERROR(INDEX(CADASTRO!$I$4:$I$80,MATCH($A61,CADASTRO!$A$4:$A$80,0)),$B61)-CONFIG!$B$50*(COUNTIF($AK61:$AL61,"AB")+COUNTIF($AK61:$AL61,"FE")+COUNTIF($AK61:$AL61,"LM")+COUNTIF($AN61:$AR61,"AB")+COUNTIF($AN61:$AR61,"FE")+COUNTIF($AN61:$AR61,"LM")))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ROUND(B61*4.29,0)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00" t="n"/>
      <c r="H62" s="100" t="n"/>
      <c r="I62" s="114" t="n"/>
      <c r="J62" s="114" t="n"/>
      <c r="K62" s="114" t="n"/>
      <c r="L62" s="114" t="n"/>
      <c r="M62" s="124" t="inlineStr">
        <is>
          <t>D</t>
        </is>
      </c>
      <c r="N62" s="114" t="n"/>
      <c r="O62" s="124" t="inlineStr">
        <is>
          <t>D</t>
        </is>
      </c>
      <c r="P62" s="114" t="n"/>
      <c r="Q62" s="125" t="inlineStr">
        <is>
          <t>N</t>
        </is>
      </c>
      <c r="R62" s="114" t="n"/>
      <c r="S62" s="114" t="n"/>
      <c r="T62" s="114" t="n"/>
      <c r="U62" s="124" t="inlineStr">
        <is>
          <t>D</t>
        </is>
      </c>
      <c r="V62" s="114" t="n"/>
      <c r="W62" s="114" t="n"/>
      <c r="X62" s="125" t="inlineStr">
        <is>
          <t>N</t>
        </is>
      </c>
      <c r="Y62" s="114" t="n"/>
      <c r="Z62" s="114" t="n"/>
      <c r="AA62" s="124" t="inlineStr">
        <is>
          <t>D</t>
        </is>
      </c>
      <c r="AB62" s="114" t="n"/>
      <c r="AC62" s="114" t="n"/>
      <c r="AD62" s="114" t="n"/>
      <c r="AE62" s="114" t="n"/>
      <c r="AF62" s="124" t="inlineStr">
        <is>
          <t>D</t>
        </is>
      </c>
      <c r="AG62" s="114" t="n"/>
      <c r="AH62" s="125" t="inlineStr">
        <is>
          <t>N</t>
        </is>
      </c>
      <c r="AI62" s="114" t="n"/>
      <c r="AJ62" s="114" t="n"/>
      <c r="AK62" s="114" t="n"/>
      <c r="AL62" s="125" t="inlineStr">
        <is>
          <t>N</t>
        </is>
      </c>
      <c r="AM62" s="100" t="n"/>
      <c r="AN62" s="136">
        <f>IFERROR(INDEX(JUL!I$8:I$73,MATCH($A62,JUL!$A$8:$A$73,0))&amp;"","")</f>
        <v/>
      </c>
      <c r="AO62" s="136">
        <f>IFERROR(INDEX(JUL!J$8:J$73,MATCH($A62,JUL!$A$8:$A$73,0))&amp;"","")</f>
        <v/>
      </c>
      <c r="AP62" s="136">
        <f>IFERROR(INDEX(JUL!K$8:K$73,MATCH($A62,JUL!$A$8:$A$73,0))&amp;"","")</f>
        <v/>
      </c>
      <c r="AQ62" s="116">
        <f>IFERROR(INDEX(JUL!L$8:L$73,MATCH($A62,JUL!$A$8:$A$73,0))&amp;"","")</f>
        <v/>
      </c>
      <c r="AR62" s="116">
        <f>IFERROR(INDEX(JUL!M$8:M$73,MATCH($A62,JUL!$A$8:$A$73,0))&amp;"","")</f>
        <v/>
      </c>
      <c r="AS62" s="100" t="n"/>
      <c r="AT62" s="117">
        <f>SUMPRODUCT(($I62:$O62="M")*6+($I62:$O62="T")*6+($I62:$O62="D")*12+($I62:$O62="N")*12+($I62:$O62="NT")*6+($I62:$O62="C")*10+($I62:$O62="A")*8+($I62:$O62="J")*5+($I62:$O62="CEP")*4+($I62:$O62="CP")*6+($I62:$O62="CRO")*6+($I62:$O62="M+")*6+($I62:$O62="T+")*6+($I62:$O62="D+")*12+($I62:$O62="N+")*12+($I62:$O62="Dm+")*12+($I62:$O62="Dt+")*12+($I62:$O62="Tm-")*6+($I62:$O62="Mt-")*6)</f>
        <v/>
      </c>
      <c r="AU62" s="118">
        <f>AT62-MAX(0,IFERROR(INDEX(CADASTRO!$I$4:$I$80,MATCH($A62,CADASTRO!$A$4:$A$80,0)),$B62)-CONFIG!$B$50*(COUNTIF($I62:$O62,"AB")+COUNTIF($I62:$O62,"FE")+COUNTIF($I62:$O62,"LM")))</f>
        <v/>
      </c>
      <c r="AV62" s="117">
        <f>SUMPRODUCT(($P62:$V62="M")*6+($P62:$V62="T")*6+($P62:$V62="D")*12+($P62:$V62="N")*12+($P62:$V62="NT")*6+($P62:$V62="C")*10+($P62:$V62="A")*8+($P62:$V62="J")*5+($P62:$V62="CEP")*4+($P62:$V62="CP")*6+($P62:$V62="CRO")*6+($P62:$V62="M+")*6+($P62:$V62="T+")*6+($P62:$V62="D+")*12+($P62:$V62="N+")*12+($P62:$V62="Dm+")*12+($P62:$V62="Dt+")*12+($P62:$V62="Tm-")*6+($P62:$V62="Mt-")*6)</f>
        <v/>
      </c>
      <c r="AW62" s="118">
        <f>AV62-MAX(0,IFERROR(INDEX(CADASTRO!$I$4:$I$80,MATCH($A62,CADASTRO!$A$4:$A$80,0)),$B62)-CONFIG!$B$50*(COUNTIF($P62:$V62,"AB")+COUNTIF($P62:$V62,"FE")+COUNTIF($P62:$V62,"LM")))</f>
        <v/>
      </c>
      <c r="AX62" s="117">
        <f>SUMPRODUCT(($W62:$AC62="M")*6+($W62:$AC62="T")*6+($W62:$AC62="D")*12+($W62:$AC62="N")*12+($W62:$AC62="NT")*6+($W62:$AC62="C")*10+($W62:$AC62="A")*8+($W62:$AC62="J")*5+($W62:$AC62="CEP")*4+($W62:$AC62="CP")*6+($W62:$AC62="CRO")*6+($W62:$AC62="M+")*6+($W62:$AC62="T+")*6+($W62:$AC62="D+")*12+($W62:$AC62="N+")*12+($W62:$AC62="Dm+")*12+($W62:$AC62="Dt+")*12+($W62:$AC62="Tm-")*6+($W62:$AC62="Mt-")*6)</f>
        <v/>
      </c>
      <c r="AY62" s="118">
        <f>AX62-MAX(0,IFERROR(INDEX(CADASTRO!$I$4:$I$80,MATCH($A62,CADASTRO!$A$4:$A$80,0)),$B62)-CONFIG!$B$50*(COUNTIF($W62:$AC62,"AB")+COUNTIF($W62:$AC62,"FE")+COUNTIF($W62:$AC62,"LM")))</f>
        <v/>
      </c>
      <c r="AZ62" s="117">
        <f>SUMPRODUCT(($AD62:$AJ62="M")*6+($AD62:$AJ62="T")*6+($AD62:$AJ62="D")*12+($AD62:$AJ62="N")*12+($AD62:$AJ62="NT")*6+($AD62:$AJ62="C")*10+($AD62:$AJ62="A")*8+($AD62:$AJ62="J")*5+($AD62:$AJ62="CEP")*4+($AD62:$AJ62="CP")*6+($AD62:$AJ62="CRO")*6+($AD62:$AJ62="M+")*6+($AD62:$AJ62="T+")*6+($AD62:$AJ62="D+")*12+($AD62:$AJ62="N+")*12+($AD62:$AJ62="Dm+")*12+($AD62:$AJ62="Dt+")*12+($AD62:$AJ62="Tm-")*6+($AD62:$AJ62="Mt-")*6)</f>
        <v/>
      </c>
      <c r="BA62" s="118">
        <f>AZ62-MAX(0,IFERROR(INDEX(CADASTRO!$I$4:$I$80,MATCH($A62,CADASTRO!$A$4:$A$80,0)),$B62)-CONFIG!$B$50*(COUNTIF($AD62:$AJ62,"AB")+COUNTIF($AD62:$AJ62,"FE")+COUNTIF($AD62:$AJ62,"LM")))</f>
        <v/>
      </c>
      <c r="BB62" s="117">
        <f>SUMPRODUCT(($AK62:$AL62="M")*6+($AK62:$AL62="T")*6+($AK62:$AL62="D")*12+($AK62:$AL62="N")*12+($AK62:$AL62="NT")*6+($AK62:$AL62="C")*10+($AK62:$AL62="A")*8+($AK62:$AL62="J")*5+($AK62:$AL62="CEP")*4+($AK62:$AL62="CP")*6+($AK62:$AL62="CRO")*6+($AK62:$AL62="M+")*6+($AK62:$AL62="T+")*6+($AK62:$AL62="D+")*12+($AK62:$AL62="N+")*12+($AK62:$AL62="Dm+")*12+($AK62:$AL62="Dt+")*12+($AK62:$AL62="Tm-")*6+($AK62:$AL62="Mt-")*6)+SUMPRODUCT(($AN62:$AR62="M")*6+($AN62:$AR62="T")*6+($AN62:$AR62="D")*12+($AN62:$AR62="N")*12+($AN62:$AR62="NT")*6+($AN62:$AR62="C")*10+($AN62:$AR62="A")*8+($AN62:$AR62="J")*5+($AN62:$AR62="CEP")*4+($AN62:$AR62="CP")*6+($AN62:$AR62="CRO")*6+($AN62:$AR62="M+")*6+($AN62:$AR62="T+")*6+($AN62:$AR62="D+")*12+($AN62:$AR62="N+")*12+($AN62:$AR62="Dm+")*12+($AN62:$AR62="Dt+")*12+($AN62:$AR62="Tm-")*6+($AN62:$AR62="Mt-")*6)</f>
        <v/>
      </c>
      <c r="BC62" s="118">
        <f>BB62-MAX(0,IFERROR(INDEX(CADASTRO!$I$4:$I$80,MATCH($A62,CADASTRO!$A$4:$A$80,0)),$B62)-CONFIG!$B$50*(COUNTIF($AK62:$AL62,"AB")+COUNTIF($AK62:$AL62,"FE")+COUNTIF($AK62:$AL62,"LM")+COUNTIF($AN62:$AR62,"AB")+COUNTIF($AN62:$AR62,"FE")+COUNTIF($AN62:$AR62,"LM")))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ROUND(B62*4.29,0)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00" t="n"/>
      <c r="H63" s="100" t="n"/>
      <c r="I63" s="114" t="n"/>
      <c r="J63" s="114" t="n"/>
      <c r="K63" s="114" t="n"/>
      <c r="L63" s="124" t="inlineStr">
        <is>
          <t>D</t>
        </is>
      </c>
      <c r="M63" s="114" t="n"/>
      <c r="N63" s="114" t="n"/>
      <c r="O63" s="115" t="inlineStr">
        <is>
          <t>M</t>
        </is>
      </c>
      <c r="P63" s="124" t="inlineStr">
        <is>
          <t>D</t>
        </is>
      </c>
      <c r="Q63" s="114" t="n"/>
      <c r="R63" s="114" t="n"/>
      <c r="S63" s="124" t="inlineStr">
        <is>
          <t>D</t>
        </is>
      </c>
      <c r="T63" s="114" t="n"/>
      <c r="U63" s="114" t="n"/>
      <c r="V63" s="114" t="n"/>
      <c r="W63" s="114" t="n"/>
      <c r="X63" s="114" t="n"/>
      <c r="Y63" s="114" t="n"/>
      <c r="Z63" s="126" t="inlineStr">
        <is>
          <t>T</t>
        </is>
      </c>
      <c r="AA63" s="114" t="n"/>
      <c r="AB63" s="115" t="inlineStr">
        <is>
          <t>M</t>
        </is>
      </c>
      <c r="AC63" s="124" t="inlineStr">
        <is>
          <t>D</t>
        </is>
      </c>
      <c r="AD63" s="114" t="n"/>
      <c r="AE63" s="114" t="n"/>
      <c r="AF63" s="114" t="n"/>
      <c r="AG63" s="124" t="inlineStr">
        <is>
          <t>D</t>
        </is>
      </c>
      <c r="AH63" s="124" t="inlineStr">
        <is>
          <t>D</t>
        </is>
      </c>
      <c r="AI63" s="114" t="n"/>
      <c r="AJ63" s="114" t="n"/>
      <c r="AK63" s="114" t="n"/>
      <c r="AL63" s="114" t="n"/>
      <c r="AM63" s="100" t="n"/>
      <c r="AN63" s="136">
        <f>IFERROR(INDEX(JUL!I$8:I$73,MATCH($A63,JUL!$A$8:$A$73,0))&amp;"","")</f>
        <v/>
      </c>
      <c r="AO63" s="136">
        <f>IFERROR(INDEX(JUL!J$8:J$73,MATCH($A63,JUL!$A$8:$A$73,0))&amp;"","")</f>
        <v/>
      </c>
      <c r="AP63" s="136">
        <f>IFERROR(INDEX(JUL!K$8:K$73,MATCH($A63,JUL!$A$8:$A$73,0))&amp;"","")</f>
        <v/>
      </c>
      <c r="AQ63" s="116">
        <f>IFERROR(INDEX(JUL!L$8:L$73,MATCH($A63,JUL!$A$8:$A$73,0))&amp;"","")</f>
        <v/>
      </c>
      <c r="AR63" s="116">
        <f>IFERROR(INDEX(JUL!M$8:M$73,MATCH($A63,JUL!$A$8:$A$73,0))&amp;"","")</f>
        <v/>
      </c>
      <c r="AS63" s="100" t="n"/>
      <c r="AT63" s="117">
        <f>SUMPRODUCT(($I63:$O63="M")*6+($I63:$O63="T")*6+($I63:$O63="D")*12+($I63:$O63="N")*12+($I63:$O63="NT")*6+($I63:$O63="C")*10+($I63:$O63="A")*8+($I63:$O63="J")*5+($I63:$O63="CEP")*4+($I63:$O63="CP")*6+($I63:$O63="CRO")*6+($I63:$O63="M+")*6+($I63:$O63="T+")*6+($I63:$O63="D+")*12+($I63:$O63="N+")*12+($I63:$O63="Dm+")*12+($I63:$O63="Dt+")*12+($I63:$O63="Tm-")*6+($I63:$O63="Mt-")*6)</f>
        <v/>
      </c>
      <c r="AU63" s="118">
        <f>AT63-MAX(0,IFERROR(INDEX(CADASTRO!$I$4:$I$80,MATCH($A63,CADASTRO!$A$4:$A$80,0)),$B63)-CONFIG!$B$50*(COUNTIF($I63:$O63,"AB")+COUNTIF($I63:$O63,"FE")+COUNTIF($I63:$O63,"LM")))</f>
        <v/>
      </c>
      <c r="AV63" s="117">
        <f>SUMPRODUCT(($P63:$V63="M")*6+($P63:$V63="T")*6+($P63:$V63="D")*12+($P63:$V63="N")*12+($P63:$V63="NT")*6+($P63:$V63="C")*10+($P63:$V63="A")*8+($P63:$V63="J")*5+($P63:$V63="CEP")*4+($P63:$V63="CP")*6+($P63:$V63="CRO")*6+($P63:$V63="M+")*6+($P63:$V63="T+")*6+($P63:$V63="D+")*12+($P63:$V63="N+")*12+($P63:$V63="Dm+")*12+($P63:$V63="Dt+")*12+($P63:$V63="Tm-")*6+($P63:$V63="Mt-")*6)</f>
        <v/>
      </c>
      <c r="AW63" s="118">
        <f>AV63-MAX(0,IFERROR(INDEX(CADASTRO!$I$4:$I$80,MATCH($A63,CADASTRO!$A$4:$A$80,0)),$B63)-CONFIG!$B$50*(COUNTIF($P63:$V63,"AB")+COUNTIF($P63:$V63,"FE")+COUNTIF($P63:$V63,"LM")))</f>
        <v/>
      </c>
      <c r="AX63" s="117">
        <f>SUMPRODUCT(($W63:$AC63="M")*6+($W63:$AC63="T")*6+($W63:$AC63="D")*12+($W63:$AC63="N")*12+($W63:$AC63="NT")*6+($W63:$AC63="C")*10+($W63:$AC63="A")*8+($W63:$AC63="J")*5+($W63:$AC63="CEP")*4+($W63:$AC63="CP")*6+($W63:$AC63="CRO")*6+($W63:$AC63="M+")*6+($W63:$AC63="T+")*6+($W63:$AC63="D+")*12+($W63:$AC63="N+")*12+($W63:$AC63="Dm+")*12+($W63:$AC63="Dt+")*12+($W63:$AC63="Tm-")*6+($W63:$AC63="Mt-")*6)</f>
        <v/>
      </c>
      <c r="AY63" s="118">
        <f>AX63-MAX(0,IFERROR(INDEX(CADASTRO!$I$4:$I$80,MATCH($A63,CADASTRO!$A$4:$A$80,0)),$B63)-CONFIG!$B$50*(COUNTIF($W63:$AC63,"AB")+COUNTIF($W63:$AC63,"FE")+COUNTIF($W63:$AC63,"LM")))</f>
        <v/>
      </c>
      <c r="AZ63" s="117">
        <f>SUMPRODUCT(($AD63:$AJ63="M")*6+($AD63:$AJ63="T")*6+($AD63:$AJ63="D")*12+($AD63:$AJ63="N")*12+($AD63:$AJ63="NT")*6+($AD63:$AJ63="C")*10+($AD63:$AJ63="A")*8+($AD63:$AJ63="J")*5+($AD63:$AJ63="CEP")*4+($AD63:$AJ63="CP")*6+($AD63:$AJ63="CRO")*6+($AD63:$AJ63="M+")*6+($AD63:$AJ63="T+")*6+($AD63:$AJ63="D+")*12+($AD63:$AJ63="N+")*12+($AD63:$AJ63="Dm+")*12+($AD63:$AJ63="Dt+")*12+($AD63:$AJ63="Tm-")*6+($AD63:$AJ63="Mt-")*6)</f>
        <v/>
      </c>
      <c r="BA63" s="118">
        <f>AZ63-MAX(0,IFERROR(INDEX(CADASTRO!$I$4:$I$80,MATCH($A63,CADASTRO!$A$4:$A$80,0)),$B63)-CONFIG!$B$50*(COUNTIF($AD63:$AJ63,"AB")+COUNTIF($AD63:$AJ63,"FE")+COUNTIF($AD63:$AJ63,"LM")))</f>
        <v/>
      </c>
      <c r="BB63" s="117">
        <f>SUMPRODUCT(($AK63:$AL63="M")*6+($AK63:$AL63="T")*6+($AK63:$AL63="D")*12+($AK63:$AL63="N")*12+($AK63:$AL63="NT")*6+($AK63:$AL63="C")*10+($AK63:$AL63="A")*8+($AK63:$AL63="J")*5+($AK63:$AL63="CEP")*4+($AK63:$AL63="CP")*6+($AK63:$AL63="CRO")*6+($AK63:$AL63="M+")*6+($AK63:$AL63="T+")*6+($AK63:$AL63="D+")*12+($AK63:$AL63="N+")*12+($AK63:$AL63="Dm+")*12+($AK63:$AL63="Dt+")*12+($AK63:$AL63="Tm-")*6+($AK63:$AL63="Mt-")*6)+SUMPRODUCT(($AN63:$AR63="M")*6+($AN63:$AR63="T")*6+($AN63:$AR63="D")*12+($AN63:$AR63="N")*12+($AN63:$AR63="NT")*6+($AN63:$AR63="C")*10+($AN63:$AR63="A")*8+($AN63:$AR63="J")*5+($AN63:$AR63="CEP")*4+($AN63:$AR63="CP")*6+($AN63:$AR63="CRO")*6+($AN63:$AR63="M+")*6+($AN63:$AR63="T+")*6+($AN63:$AR63="D+")*12+($AN63:$AR63="N+")*12+($AN63:$AR63="Dm+")*12+($AN63:$AR63="Dt+")*12+($AN63:$AR63="Tm-")*6+($AN63:$AR63="Mt-")*6)</f>
        <v/>
      </c>
      <c r="BC63" s="118">
        <f>BB63-MAX(0,IFERROR(INDEX(CADASTRO!$I$4:$I$80,MATCH($A63,CADASTRO!$A$4:$A$80,0)),$B63)-CONFIG!$B$50*(COUNTIF($AK63:$AL63,"AB")+COUNTIF($AK63:$AL63,"FE")+COUNTIF($AK63:$AL63,"LM")+COUNTIF($AN63:$AR63,"AB")+COUNTIF($AN63:$AR63,"FE")+COUNTIF($AN63:$AR63,"LM")))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ROUND(B63*4.29,0)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00" t="n"/>
      <c r="H64" s="100" t="n"/>
      <c r="I64" s="125" t="inlineStr">
        <is>
          <t>N</t>
        </is>
      </c>
      <c r="J64" s="114" t="n"/>
      <c r="K64" s="114" t="n"/>
      <c r="L64" s="114" t="n"/>
      <c r="M64" s="114" t="n"/>
      <c r="N64" s="114" t="n"/>
      <c r="O64" s="125" t="inlineStr">
        <is>
          <t>N</t>
        </is>
      </c>
      <c r="P64" s="114" t="n"/>
      <c r="Q64" s="125" t="inlineStr">
        <is>
          <t>N</t>
        </is>
      </c>
      <c r="R64" s="114" t="n"/>
      <c r="S64" s="114" t="n"/>
      <c r="T64" s="125" t="inlineStr">
        <is>
          <t>N</t>
        </is>
      </c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14" t="n"/>
      <c r="AE64" s="114" t="n"/>
      <c r="AF64" s="114" t="n"/>
      <c r="AG64" s="114" t="n"/>
      <c r="AH64" s="114" t="n"/>
      <c r="AI64" s="114" t="n"/>
      <c r="AJ64" s="114" t="n"/>
      <c r="AK64" s="114" t="n"/>
      <c r="AL64" s="114" t="n"/>
      <c r="AM64" s="100" t="n"/>
      <c r="AN64" s="136">
        <f>IFERROR(INDEX(JUL!I$8:I$73,MATCH($A64,JUL!$A$8:$A$73,0))&amp;"","")</f>
        <v/>
      </c>
      <c r="AO64" s="136">
        <f>IFERROR(INDEX(JUL!J$8:J$73,MATCH($A64,JUL!$A$8:$A$73,0))&amp;"","")</f>
        <v/>
      </c>
      <c r="AP64" s="136">
        <f>IFERROR(INDEX(JUL!K$8:K$73,MATCH($A64,JUL!$A$8:$A$73,0))&amp;"","")</f>
        <v/>
      </c>
      <c r="AQ64" s="116">
        <f>IFERROR(INDEX(JUL!L$8:L$73,MATCH($A64,JUL!$A$8:$A$73,0))&amp;"","")</f>
        <v/>
      </c>
      <c r="AR64" s="116">
        <f>IFERROR(INDEX(JUL!M$8:M$73,MATCH($A64,JUL!$A$8:$A$73,0))&amp;"","")</f>
        <v/>
      </c>
      <c r="AS64" s="100" t="n"/>
      <c r="AT64" s="117">
        <f>SUMPRODUCT(($I64:$O64="M")*6+($I64:$O64="T")*6+($I64:$O64="D")*12+($I64:$O64="N")*12+($I64:$O64="NT")*6+($I64:$O64="C")*10+($I64:$O64="A")*8+($I64:$O64="J")*5+($I64:$O64="CEP")*4+($I64:$O64="CP")*6+($I64:$O64="CRO")*6+($I64:$O64="M+")*6+($I64:$O64="T+")*6+($I64:$O64="D+")*12+($I64:$O64="N+")*12+($I64:$O64="Dm+")*12+($I64:$O64="Dt+")*12+($I64:$O64="Tm-")*6+($I64:$O64="Mt-")*6)</f>
        <v/>
      </c>
      <c r="AU64" s="118">
        <f>AT64-MAX(0,IFERROR(INDEX(CADASTRO!$I$4:$I$80,MATCH($A64,CADASTRO!$A$4:$A$80,0)),$B64)-CONFIG!$B$50*(COUNTIF($I64:$O64,"AB")+COUNTIF($I64:$O64,"FE")+COUNTIF($I64:$O64,"LM")))</f>
        <v/>
      </c>
      <c r="AV64" s="117">
        <f>SUMPRODUCT(($P64:$V64="M")*6+($P64:$V64="T")*6+($P64:$V64="D")*12+($P64:$V64="N")*12+($P64:$V64="NT")*6+($P64:$V64="C")*10+($P64:$V64="A")*8+($P64:$V64="J")*5+($P64:$V64="CEP")*4+($P64:$V64="CP")*6+($P64:$V64="CRO")*6+($P64:$V64="M+")*6+($P64:$V64="T+")*6+($P64:$V64="D+")*12+($P64:$V64="N+")*12+($P64:$V64="Dm+")*12+($P64:$V64="Dt+")*12+($P64:$V64="Tm-")*6+($P64:$V64="Mt-")*6)</f>
        <v/>
      </c>
      <c r="AW64" s="118">
        <f>AV64-MAX(0,IFERROR(INDEX(CADASTRO!$I$4:$I$80,MATCH($A64,CADASTRO!$A$4:$A$80,0)),$B64)-CONFIG!$B$50*(COUNTIF($P64:$V64,"AB")+COUNTIF($P64:$V64,"FE")+COUNTIF($P64:$V64,"LM")))</f>
        <v/>
      </c>
      <c r="AX64" s="117">
        <f>SUMPRODUCT(($W64:$AC64="M")*6+($W64:$AC64="T")*6+($W64:$AC64="D")*12+($W64:$AC64="N")*12+($W64:$AC64="NT")*6+($W64:$AC64="C")*10+($W64:$AC64="A")*8+($W64:$AC64="J")*5+($W64:$AC64="CEP")*4+($W64:$AC64="CP")*6+($W64:$AC64="CRO")*6+($W64:$AC64="M+")*6+($W64:$AC64="T+")*6+($W64:$AC64="D+")*12+($W64:$AC64="N+")*12+($W64:$AC64="Dm+")*12+($W64:$AC64="Dt+")*12+($W64:$AC64="Tm-")*6+($W64:$AC64="Mt-")*6)</f>
        <v/>
      </c>
      <c r="AY64" s="118">
        <f>AX64-MAX(0,IFERROR(INDEX(CADASTRO!$I$4:$I$80,MATCH($A64,CADASTRO!$A$4:$A$80,0)),$B64)-CONFIG!$B$50*(COUNTIF($W64:$AC64,"AB")+COUNTIF($W64:$AC64,"FE")+COUNTIF($W64:$AC64,"LM")))</f>
        <v/>
      </c>
      <c r="AZ64" s="117">
        <f>SUMPRODUCT(($AD64:$AJ64="M")*6+($AD64:$AJ64="T")*6+($AD64:$AJ64="D")*12+($AD64:$AJ64="N")*12+($AD64:$AJ64="NT")*6+($AD64:$AJ64="C")*10+($AD64:$AJ64="A")*8+($AD64:$AJ64="J")*5+($AD64:$AJ64="CEP")*4+($AD64:$AJ64="CP")*6+($AD64:$AJ64="CRO")*6+($AD64:$AJ64="M+")*6+($AD64:$AJ64="T+")*6+($AD64:$AJ64="D+")*12+($AD64:$AJ64="N+")*12+($AD64:$AJ64="Dm+")*12+($AD64:$AJ64="Dt+")*12+($AD64:$AJ64="Tm-")*6+($AD64:$AJ64="Mt-")*6)</f>
        <v/>
      </c>
      <c r="BA64" s="118">
        <f>AZ64-MAX(0,IFERROR(INDEX(CADASTRO!$I$4:$I$80,MATCH($A64,CADASTRO!$A$4:$A$80,0)),$B64)-CONFIG!$B$50*(COUNTIF($AD64:$AJ64,"AB")+COUNTIF($AD64:$AJ64,"FE")+COUNTIF($AD64:$AJ64,"LM")))</f>
        <v/>
      </c>
      <c r="BB64" s="117">
        <f>SUMPRODUCT(($AK64:$AL64="M")*6+($AK64:$AL64="T")*6+($AK64:$AL64="D")*12+($AK64:$AL64="N")*12+($AK64:$AL64="NT")*6+($AK64:$AL64="C")*10+($AK64:$AL64="A")*8+($AK64:$AL64="J")*5+($AK64:$AL64="CEP")*4+($AK64:$AL64="CP")*6+($AK64:$AL64="CRO")*6+($AK64:$AL64="M+")*6+($AK64:$AL64="T+")*6+($AK64:$AL64="D+")*12+($AK64:$AL64="N+")*12+($AK64:$AL64="Dm+")*12+($AK64:$AL64="Dt+")*12+($AK64:$AL64="Tm-")*6+($AK64:$AL64="Mt-")*6)+SUMPRODUCT(($AN64:$AR64="M")*6+($AN64:$AR64="T")*6+($AN64:$AR64="D")*12+($AN64:$AR64="N")*12+($AN64:$AR64="NT")*6+($AN64:$AR64="C")*10+($AN64:$AR64="A")*8+($AN64:$AR64="J")*5+($AN64:$AR64="CEP")*4+($AN64:$AR64="CP")*6+($AN64:$AR64="CRO")*6+($AN64:$AR64="M+")*6+($AN64:$AR64="T+")*6+($AN64:$AR64="D+")*12+($AN64:$AR64="N+")*12+($AN64:$AR64="Dm+")*12+($AN64:$AR64="Dt+")*12+($AN64:$AR64="Tm-")*6+($AN64:$AR64="Mt-")*6)</f>
        <v/>
      </c>
      <c r="BC64" s="118">
        <f>BB64-MAX(0,IFERROR(INDEX(CADASTRO!$I$4:$I$80,MATCH($A64,CADASTRO!$A$4:$A$80,0)),$B64)-CONFIG!$B$50*(COUNTIF($AK64:$AL64,"AB")+COUNTIF($AK64:$AL64,"FE")+COUNTIF($AK64:$AL64,"LM")+COUNTIF($AN64:$AR64,"AB")+COUNTIF($AN64:$AR64,"FE")+COUNTIF($AN64:$AR64,"LM")))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ROUND(B64*4.29,0)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00" t="n"/>
      <c r="H65" s="100" t="n"/>
      <c r="I65" s="114" t="n"/>
      <c r="J65" s="114" t="n"/>
      <c r="K65" s="114" t="n"/>
      <c r="L65" s="114" t="n"/>
      <c r="M65" s="124" t="inlineStr">
        <is>
          <t>D</t>
        </is>
      </c>
      <c r="N65" s="126" t="inlineStr">
        <is>
          <t>T</t>
        </is>
      </c>
      <c r="O65" s="114" t="n"/>
      <c r="P65" s="114" t="n"/>
      <c r="Q65" s="114" t="n"/>
      <c r="R65" s="125" t="inlineStr">
        <is>
          <t>N</t>
        </is>
      </c>
      <c r="S65" s="114" t="n"/>
      <c r="T65" s="124" t="inlineStr">
        <is>
          <t>D</t>
        </is>
      </c>
      <c r="U65" s="114" t="n"/>
      <c r="V65" s="114" t="n"/>
      <c r="W65" s="114" t="n"/>
      <c r="X65" s="114" t="n"/>
      <c r="Y65" s="124" t="inlineStr">
        <is>
          <t>D</t>
        </is>
      </c>
      <c r="Z65" s="114" t="n"/>
      <c r="AA65" s="124" t="inlineStr">
        <is>
          <t>D</t>
        </is>
      </c>
      <c r="AB65" s="114" t="n"/>
      <c r="AC65" s="114" t="n"/>
      <c r="AD65" s="114" t="n"/>
      <c r="AE65" s="114" t="n"/>
      <c r="AF65" s="114" t="n"/>
      <c r="AG65" s="114" t="n"/>
      <c r="AH65" s="114" t="n"/>
      <c r="AI65" s="124" t="inlineStr">
        <is>
          <t>D</t>
        </is>
      </c>
      <c r="AJ65" s="124" t="inlineStr">
        <is>
          <t>D</t>
        </is>
      </c>
      <c r="AK65" s="114" t="n"/>
      <c r="AL65" s="114" t="n"/>
      <c r="AM65" s="100" t="n"/>
      <c r="AN65" s="136">
        <f>IFERROR(INDEX(JUL!I$8:I$73,MATCH($A65,JUL!$A$8:$A$73,0))&amp;"","")</f>
        <v/>
      </c>
      <c r="AO65" s="136">
        <f>IFERROR(INDEX(JUL!J$8:J$73,MATCH($A65,JUL!$A$8:$A$73,0))&amp;"","")</f>
        <v/>
      </c>
      <c r="AP65" s="136">
        <f>IFERROR(INDEX(JUL!K$8:K$73,MATCH($A65,JUL!$A$8:$A$73,0))&amp;"","")</f>
        <v/>
      </c>
      <c r="AQ65" s="116">
        <f>IFERROR(INDEX(JUL!L$8:L$73,MATCH($A65,JUL!$A$8:$A$73,0))&amp;"","")</f>
        <v/>
      </c>
      <c r="AR65" s="116">
        <f>IFERROR(INDEX(JUL!M$8:M$73,MATCH($A65,JUL!$A$8:$A$73,0))&amp;"","")</f>
        <v/>
      </c>
      <c r="AS65" s="100" t="n"/>
      <c r="AT65" s="117">
        <f>SUMPRODUCT(($I65:$O65="M")*6+($I65:$O65="T")*6+($I65:$O65="D")*12+($I65:$O65="N")*12+($I65:$O65="NT")*6+($I65:$O65="C")*10+($I65:$O65="A")*8+($I65:$O65="J")*5+($I65:$O65="CEP")*4+($I65:$O65="CP")*6+($I65:$O65="CRO")*6+($I65:$O65="M+")*6+($I65:$O65="T+")*6+($I65:$O65="D+")*12+($I65:$O65="N+")*12+($I65:$O65="Dm+")*12+($I65:$O65="Dt+")*12+($I65:$O65="Tm-")*6+($I65:$O65="Mt-")*6)</f>
        <v/>
      </c>
      <c r="AU65" s="118">
        <f>AT65-MAX(0,IFERROR(INDEX(CADASTRO!$I$4:$I$80,MATCH($A65,CADASTRO!$A$4:$A$80,0)),$B65)-CONFIG!$B$50*(COUNTIF($I65:$O65,"AB")+COUNTIF($I65:$O65,"FE")+COUNTIF($I65:$O65,"LM")))</f>
        <v/>
      </c>
      <c r="AV65" s="117">
        <f>SUMPRODUCT(($P65:$V65="M")*6+($P65:$V65="T")*6+($P65:$V65="D")*12+($P65:$V65="N")*12+($P65:$V65="NT")*6+($P65:$V65="C")*10+($P65:$V65="A")*8+($P65:$V65="J")*5+($P65:$V65="CEP")*4+($P65:$V65="CP")*6+($P65:$V65="CRO")*6+($P65:$V65="M+")*6+($P65:$V65="T+")*6+($P65:$V65="D+")*12+($P65:$V65="N+")*12+($P65:$V65="Dm+")*12+($P65:$V65="Dt+")*12+($P65:$V65="Tm-")*6+($P65:$V65="Mt-")*6)</f>
        <v/>
      </c>
      <c r="AW65" s="118">
        <f>AV65-MAX(0,IFERROR(INDEX(CADASTRO!$I$4:$I$80,MATCH($A65,CADASTRO!$A$4:$A$80,0)),$B65)-CONFIG!$B$50*(COUNTIF($P65:$V65,"AB")+COUNTIF($P65:$V65,"FE")+COUNTIF($P65:$V65,"LM")))</f>
        <v/>
      </c>
      <c r="AX65" s="117">
        <f>SUMPRODUCT(($W65:$AC65="M")*6+($W65:$AC65="T")*6+($W65:$AC65="D")*12+($W65:$AC65="N")*12+($W65:$AC65="NT")*6+($W65:$AC65="C")*10+($W65:$AC65="A")*8+($W65:$AC65="J")*5+($W65:$AC65="CEP")*4+($W65:$AC65="CP")*6+($W65:$AC65="CRO")*6+($W65:$AC65="M+")*6+($W65:$AC65="T+")*6+($W65:$AC65="D+")*12+($W65:$AC65="N+")*12+($W65:$AC65="Dm+")*12+($W65:$AC65="Dt+")*12+($W65:$AC65="Tm-")*6+($W65:$AC65="Mt-")*6)</f>
        <v/>
      </c>
      <c r="AY65" s="118">
        <f>AX65-MAX(0,IFERROR(INDEX(CADASTRO!$I$4:$I$80,MATCH($A65,CADASTRO!$A$4:$A$80,0)),$B65)-CONFIG!$B$50*(COUNTIF($W65:$AC65,"AB")+COUNTIF($W65:$AC65,"FE")+COUNTIF($W65:$AC65,"LM")))</f>
        <v/>
      </c>
      <c r="AZ65" s="117">
        <f>SUMPRODUCT(($AD65:$AJ65="M")*6+($AD65:$AJ65="T")*6+($AD65:$AJ65="D")*12+($AD65:$AJ65="N")*12+($AD65:$AJ65="NT")*6+($AD65:$AJ65="C")*10+($AD65:$AJ65="A")*8+($AD65:$AJ65="J")*5+($AD65:$AJ65="CEP")*4+($AD65:$AJ65="CP")*6+($AD65:$AJ65="CRO")*6+($AD65:$AJ65="M+")*6+($AD65:$AJ65="T+")*6+($AD65:$AJ65="D+")*12+($AD65:$AJ65="N+")*12+($AD65:$AJ65="Dm+")*12+($AD65:$AJ65="Dt+")*12+($AD65:$AJ65="Tm-")*6+($AD65:$AJ65="Mt-")*6)</f>
        <v/>
      </c>
      <c r="BA65" s="118">
        <f>AZ65-MAX(0,IFERROR(INDEX(CADASTRO!$I$4:$I$80,MATCH($A65,CADASTRO!$A$4:$A$80,0)),$B65)-CONFIG!$B$50*(COUNTIF($AD65:$AJ65,"AB")+COUNTIF($AD65:$AJ65,"FE")+COUNTIF($AD65:$AJ65,"LM")))</f>
        <v/>
      </c>
      <c r="BB65" s="117">
        <f>SUMPRODUCT(($AK65:$AL65="M")*6+($AK65:$AL65="T")*6+($AK65:$AL65="D")*12+($AK65:$AL65="N")*12+($AK65:$AL65="NT")*6+($AK65:$AL65="C")*10+($AK65:$AL65="A")*8+($AK65:$AL65="J")*5+($AK65:$AL65="CEP")*4+($AK65:$AL65="CP")*6+($AK65:$AL65="CRO")*6+($AK65:$AL65="M+")*6+($AK65:$AL65="T+")*6+($AK65:$AL65="D+")*12+($AK65:$AL65="N+")*12+($AK65:$AL65="Dm+")*12+($AK65:$AL65="Dt+")*12+($AK65:$AL65="Tm-")*6+($AK65:$AL65="Mt-")*6)+SUMPRODUCT(($AN65:$AR65="M")*6+($AN65:$AR65="T")*6+($AN65:$AR65="D")*12+($AN65:$AR65="N")*12+($AN65:$AR65="NT")*6+($AN65:$AR65="C")*10+($AN65:$AR65="A")*8+($AN65:$AR65="J")*5+($AN65:$AR65="CEP")*4+($AN65:$AR65="CP")*6+($AN65:$AR65="CRO")*6+($AN65:$AR65="M+")*6+($AN65:$AR65="T+")*6+($AN65:$AR65="D+")*12+($AN65:$AR65="N+")*12+($AN65:$AR65="Dm+")*12+($AN65:$AR65="Dt+")*12+($AN65:$AR65="Tm-")*6+($AN65:$AR65="Mt-")*6)</f>
        <v/>
      </c>
      <c r="BC65" s="118">
        <f>BB65-MAX(0,IFERROR(INDEX(CADASTRO!$I$4:$I$80,MATCH($A65,CADASTRO!$A$4:$A$80,0)),$B65)-CONFIG!$B$50*(COUNTIF($AK65:$AL65,"AB")+COUNTIF($AK65:$AL65,"FE")+COUNTIF($AK65:$AL65,"LM")+COUNTIF($AN65:$AR65,"AB")+COUNTIF($AN65:$AR65,"FE")+COUNTIF($AN65:$AR65,"LM")))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ROUND(B65*4.29,0)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00" t="n"/>
      <c r="H66" s="100" t="n"/>
      <c r="I66" s="125" t="inlineStr">
        <is>
          <t>N</t>
        </is>
      </c>
      <c r="J66" s="114" t="n"/>
      <c r="K66" s="125" t="inlineStr">
        <is>
          <t>N</t>
        </is>
      </c>
      <c r="L66" s="114" t="n"/>
      <c r="M66" s="114" t="n"/>
      <c r="N66" s="114" t="n"/>
      <c r="O66" s="114" t="n"/>
      <c r="P66" s="125" t="inlineStr">
        <is>
          <t>N</t>
        </is>
      </c>
      <c r="Q66" s="114" t="n"/>
      <c r="R66" s="114" t="n"/>
      <c r="S66" s="114" t="n"/>
      <c r="T66" s="114" t="n"/>
      <c r="U66" s="114" t="n"/>
      <c r="V66" s="124" t="inlineStr">
        <is>
          <t>D</t>
        </is>
      </c>
      <c r="W66" s="125" t="inlineStr">
        <is>
          <t>N</t>
        </is>
      </c>
      <c r="X66" s="126" t="inlineStr">
        <is>
          <t>T</t>
        </is>
      </c>
      <c r="Y66" s="114" t="n"/>
      <c r="Z66" s="126" t="inlineStr">
        <is>
          <t>T</t>
        </is>
      </c>
      <c r="AA66" s="114" t="n"/>
      <c r="AB66" s="114" t="n"/>
      <c r="AC66" s="114" t="n"/>
      <c r="AD66" s="125" t="inlineStr">
        <is>
          <t>N</t>
        </is>
      </c>
      <c r="AE66" s="114" t="n"/>
      <c r="AF66" s="114" t="n"/>
      <c r="AG66" s="114" t="n"/>
      <c r="AH66" s="114" t="n"/>
      <c r="AI66" s="125" t="inlineStr">
        <is>
          <t>N</t>
        </is>
      </c>
      <c r="AJ66" s="114" t="n"/>
      <c r="AK66" s="114" t="n"/>
      <c r="AL66" s="126" t="inlineStr">
        <is>
          <t>T</t>
        </is>
      </c>
      <c r="AM66" s="100" t="n"/>
      <c r="AN66" s="136">
        <f>IFERROR(INDEX(JUL!I$8:I$73,MATCH($A66,JUL!$A$8:$A$73,0))&amp;"","")</f>
        <v/>
      </c>
      <c r="AO66" s="136">
        <f>IFERROR(INDEX(JUL!J$8:J$73,MATCH($A66,JUL!$A$8:$A$73,0))&amp;"","")</f>
        <v/>
      </c>
      <c r="AP66" s="136">
        <f>IFERROR(INDEX(JUL!K$8:K$73,MATCH($A66,JUL!$A$8:$A$73,0))&amp;"","")</f>
        <v/>
      </c>
      <c r="AQ66" s="116">
        <f>IFERROR(INDEX(JUL!L$8:L$73,MATCH($A66,JUL!$A$8:$A$73,0))&amp;"","")</f>
        <v/>
      </c>
      <c r="AR66" s="116">
        <f>IFERROR(INDEX(JUL!M$8:M$73,MATCH($A66,JUL!$A$8:$A$73,0))&amp;"","")</f>
        <v/>
      </c>
      <c r="AS66" s="100" t="n"/>
      <c r="AT66" s="117">
        <f>SUMPRODUCT(($I66:$O66="M")*6+($I66:$O66="T")*6+($I66:$O66="D")*12+($I66:$O66="N")*12+($I66:$O66="NT")*6+($I66:$O66="C")*10+($I66:$O66="A")*8+($I66:$O66="J")*5+($I66:$O66="CEP")*4+($I66:$O66="CP")*6+($I66:$O66="CRO")*6+($I66:$O66="M+")*6+($I66:$O66="T+")*6+($I66:$O66="D+")*12+($I66:$O66="N+")*12+($I66:$O66="Dm+")*12+($I66:$O66="Dt+")*12+($I66:$O66="Tm-")*6+($I66:$O66="Mt-")*6)</f>
        <v/>
      </c>
      <c r="AU66" s="118">
        <f>AT66-MAX(0,IFERROR(INDEX(CADASTRO!$I$4:$I$80,MATCH($A66,CADASTRO!$A$4:$A$80,0)),$B66)-CONFIG!$B$50*(COUNTIF($I66:$O66,"AB")+COUNTIF($I66:$O66,"FE")+COUNTIF($I66:$O66,"LM")))</f>
        <v/>
      </c>
      <c r="AV66" s="117">
        <f>SUMPRODUCT(($P66:$V66="M")*6+($P66:$V66="T")*6+($P66:$V66="D")*12+($P66:$V66="N")*12+($P66:$V66="NT")*6+($P66:$V66="C")*10+($P66:$V66="A")*8+($P66:$V66="J")*5+($P66:$V66="CEP")*4+($P66:$V66="CP")*6+($P66:$V66="CRO")*6+($P66:$V66="M+")*6+($P66:$V66="T+")*6+($P66:$V66="D+")*12+($P66:$V66="N+")*12+($P66:$V66="Dm+")*12+($P66:$V66="Dt+")*12+($P66:$V66="Tm-")*6+($P66:$V66="Mt-")*6)</f>
        <v/>
      </c>
      <c r="AW66" s="118">
        <f>AV66-MAX(0,IFERROR(INDEX(CADASTRO!$I$4:$I$80,MATCH($A66,CADASTRO!$A$4:$A$80,0)),$B66)-CONFIG!$B$50*(COUNTIF($P66:$V66,"AB")+COUNTIF($P66:$V66,"FE")+COUNTIF($P66:$V66,"LM")))</f>
        <v/>
      </c>
      <c r="AX66" s="117">
        <f>SUMPRODUCT(($W66:$AC66="M")*6+($W66:$AC66="T")*6+($W66:$AC66="D")*12+($W66:$AC66="N")*12+($W66:$AC66="NT")*6+($W66:$AC66="C")*10+($W66:$AC66="A")*8+($W66:$AC66="J")*5+($W66:$AC66="CEP")*4+($W66:$AC66="CP")*6+($W66:$AC66="CRO")*6+($W66:$AC66="M+")*6+($W66:$AC66="T+")*6+($W66:$AC66="D+")*12+($W66:$AC66="N+")*12+($W66:$AC66="Dm+")*12+($W66:$AC66="Dt+")*12+($W66:$AC66="Tm-")*6+($W66:$AC66="Mt-")*6)</f>
        <v/>
      </c>
      <c r="AY66" s="118">
        <f>AX66-MAX(0,IFERROR(INDEX(CADASTRO!$I$4:$I$80,MATCH($A66,CADASTRO!$A$4:$A$80,0)),$B66)-CONFIG!$B$50*(COUNTIF($W66:$AC66,"AB")+COUNTIF($W66:$AC66,"FE")+COUNTIF($W66:$AC66,"LM")))</f>
        <v/>
      </c>
      <c r="AZ66" s="117">
        <f>SUMPRODUCT(($AD66:$AJ66="M")*6+($AD66:$AJ66="T")*6+($AD66:$AJ66="D")*12+($AD66:$AJ66="N")*12+($AD66:$AJ66="NT")*6+($AD66:$AJ66="C")*10+($AD66:$AJ66="A")*8+($AD66:$AJ66="J")*5+($AD66:$AJ66="CEP")*4+($AD66:$AJ66="CP")*6+($AD66:$AJ66="CRO")*6+($AD66:$AJ66="M+")*6+($AD66:$AJ66="T+")*6+($AD66:$AJ66="D+")*12+($AD66:$AJ66="N+")*12+($AD66:$AJ66="Dm+")*12+($AD66:$AJ66="Dt+")*12+($AD66:$AJ66="Tm-")*6+($AD66:$AJ66="Mt-")*6)</f>
        <v/>
      </c>
      <c r="BA66" s="118">
        <f>AZ66-MAX(0,IFERROR(INDEX(CADASTRO!$I$4:$I$80,MATCH($A66,CADASTRO!$A$4:$A$80,0)),$B66)-CONFIG!$B$50*(COUNTIF($AD66:$AJ66,"AB")+COUNTIF($AD66:$AJ66,"FE")+COUNTIF($AD66:$AJ66,"LM")))</f>
        <v/>
      </c>
      <c r="BB66" s="117">
        <f>SUMPRODUCT(($AK66:$AL66="M")*6+($AK66:$AL66="T")*6+($AK66:$AL66="D")*12+($AK66:$AL66="N")*12+($AK66:$AL66="NT")*6+($AK66:$AL66="C")*10+($AK66:$AL66="A")*8+($AK66:$AL66="J")*5+($AK66:$AL66="CEP")*4+($AK66:$AL66="CP")*6+($AK66:$AL66="CRO")*6+($AK66:$AL66="M+")*6+($AK66:$AL66="T+")*6+($AK66:$AL66="D+")*12+($AK66:$AL66="N+")*12+($AK66:$AL66="Dm+")*12+($AK66:$AL66="Dt+")*12+($AK66:$AL66="Tm-")*6+($AK66:$AL66="Mt-")*6)+SUMPRODUCT(($AN66:$AR66="M")*6+($AN66:$AR66="T")*6+($AN66:$AR66="D")*12+($AN66:$AR66="N")*12+($AN66:$AR66="NT")*6+($AN66:$AR66="C")*10+($AN66:$AR66="A")*8+($AN66:$AR66="J")*5+($AN66:$AR66="CEP")*4+($AN66:$AR66="CP")*6+($AN66:$AR66="CRO")*6+($AN66:$AR66="M+")*6+($AN66:$AR66="T+")*6+($AN66:$AR66="D+")*12+($AN66:$AR66="N+")*12+($AN66:$AR66="Dm+")*12+($AN66:$AR66="Dt+")*12+($AN66:$AR66="Tm-")*6+($AN66:$AR66="Mt-")*6)</f>
        <v/>
      </c>
      <c r="BC66" s="118">
        <f>BB66-MAX(0,IFERROR(INDEX(CADASTRO!$I$4:$I$80,MATCH($A66,CADASTRO!$A$4:$A$80,0)),$B66)-CONFIG!$B$50*(COUNTIF($AK66:$AL66,"AB")+COUNTIF($AK66:$AL66,"FE")+COUNTIF($AK66:$AL66,"LM")+COUNTIF($AN66:$AR66,"AB")+COUNTIF($AN66:$AR66,"FE")+COUNTIF($AN66:$AR66,"LM")))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ROUND(B66*4.29,0)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00" t="n"/>
      <c r="H67" s="100" t="n"/>
      <c r="I67" s="114" t="n"/>
      <c r="J67" s="131" t="inlineStr">
        <is>
          <t>CP</t>
        </is>
      </c>
      <c r="K67" s="131" t="inlineStr">
        <is>
          <t>CP</t>
        </is>
      </c>
      <c r="L67" s="126" t="inlineStr">
        <is>
          <t>T</t>
        </is>
      </c>
      <c r="M67" s="125" t="inlineStr">
        <is>
          <t>N</t>
        </is>
      </c>
      <c r="N67" s="114" t="n"/>
      <c r="O67" s="114" t="n"/>
      <c r="P67" s="131" t="inlineStr">
        <is>
          <t>CP</t>
        </is>
      </c>
      <c r="Q67" s="131" t="inlineStr">
        <is>
          <t>CP</t>
        </is>
      </c>
      <c r="R67" s="125" t="inlineStr">
        <is>
          <t>N</t>
        </is>
      </c>
      <c r="S67" s="114" t="n"/>
      <c r="T67" s="127" t="inlineStr">
        <is>
          <t>M-</t>
        </is>
      </c>
      <c r="U67" s="114" t="n"/>
      <c r="V67" s="114" t="n"/>
      <c r="W67" s="131" t="inlineStr">
        <is>
          <t>CP</t>
        </is>
      </c>
      <c r="X67" s="114" t="n"/>
      <c r="Y67" s="131" t="inlineStr">
        <is>
          <t>CP</t>
        </is>
      </c>
      <c r="Z67" s="114" t="n"/>
      <c r="AA67" s="126" t="inlineStr">
        <is>
          <t>T</t>
        </is>
      </c>
      <c r="AB67" s="125" t="inlineStr">
        <is>
          <t>N</t>
        </is>
      </c>
      <c r="AC67" s="114" t="n"/>
      <c r="AD67" s="131" t="inlineStr">
        <is>
          <t>CP</t>
        </is>
      </c>
      <c r="AE67" s="114" t="n"/>
      <c r="AF67" s="131" t="inlineStr">
        <is>
          <t>CP</t>
        </is>
      </c>
      <c r="AG67" s="114" t="n"/>
      <c r="AH67" s="114" t="n"/>
      <c r="AI67" s="124" t="inlineStr">
        <is>
          <t>D</t>
        </is>
      </c>
      <c r="AJ67" s="115" t="inlineStr">
        <is>
          <t>M</t>
        </is>
      </c>
      <c r="AK67" s="131" t="inlineStr">
        <is>
          <t>CP</t>
        </is>
      </c>
      <c r="AL67" s="114" t="n"/>
      <c r="AM67" s="100" t="n"/>
      <c r="AN67" s="136">
        <f>IFERROR(INDEX(JUL!I$8:I$73,MATCH($A67,JUL!$A$8:$A$73,0))&amp;"","")</f>
        <v/>
      </c>
      <c r="AO67" s="136">
        <f>IFERROR(INDEX(JUL!J$8:J$73,MATCH($A67,JUL!$A$8:$A$73,0))&amp;"","")</f>
        <v/>
      </c>
      <c r="AP67" s="136">
        <f>IFERROR(INDEX(JUL!K$8:K$73,MATCH($A67,JUL!$A$8:$A$73,0))&amp;"","")</f>
        <v/>
      </c>
      <c r="AQ67" s="116">
        <f>IFERROR(INDEX(JUL!L$8:L$73,MATCH($A67,JUL!$A$8:$A$73,0))&amp;"","")</f>
        <v/>
      </c>
      <c r="AR67" s="116">
        <f>IFERROR(INDEX(JUL!M$8:M$73,MATCH($A67,JUL!$A$8:$A$73,0))&amp;"","")</f>
        <v/>
      </c>
      <c r="AS67" s="100" t="n"/>
      <c r="AT67" s="117">
        <f>SUMPRODUCT(($I67:$O67="M")*6+($I67:$O67="T")*6+($I67:$O67="D")*12+($I67:$O67="N")*12+($I67:$O67="NT")*6+($I67:$O67="C")*10+($I67:$O67="A")*8+($I67:$O67="J")*5+($I67:$O67="CEP")*4+($I67:$O67="CP")*6+($I67:$O67="CRO")*6+($I67:$O67="M+")*6+($I67:$O67="T+")*6+($I67:$O67="D+")*12+($I67:$O67="N+")*12+($I67:$O67="Dm+")*12+($I67:$O67="Dt+")*12+($I67:$O67="Tm-")*6+($I67:$O67="Mt-")*6)</f>
        <v/>
      </c>
      <c r="AU67" s="118">
        <f>AT67-MAX(0,IFERROR(INDEX(CADASTRO!$I$4:$I$80,MATCH($A67,CADASTRO!$A$4:$A$80,0)),$B67)-CONFIG!$B$50*(COUNTIF($I67:$O67,"AB")+COUNTIF($I67:$O67,"FE")+COUNTIF($I67:$O67,"LM")))</f>
        <v/>
      </c>
      <c r="AV67" s="117">
        <f>SUMPRODUCT(($P67:$V67="M")*6+($P67:$V67="T")*6+($P67:$V67="D")*12+($P67:$V67="N")*12+($P67:$V67="NT")*6+($P67:$V67="C")*10+($P67:$V67="A")*8+($P67:$V67="J")*5+($P67:$V67="CEP")*4+($P67:$V67="CP")*6+($P67:$V67="CRO")*6+($P67:$V67="M+")*6+($P67:$V67="T+")*6+($P67:$V67="D+")*12+($P67:$V67="N+")*12+($P67:$V67="Dm+")*12+($P67:$V67="Dt+")*12+($P67:$V67="Tm-")*6+($P67:$V67="Mt-")*6)</f>
        <v/>
      </c>
      <c r="AW67" s="118">
        <f>AV67-MAX(0,IFERROR(INDEX(CADASTRO!$I$4:$I$80,MATCH($A67,CADASTRO!$A$4:$A$80,0)),$B67)-CONFIG!$B$50*(COUNTIF($P67:$V67,"AB")+COUNTIF($P67:$V67,"FE")+COUNTIF($P67:$V67,"LM")))</f>
        <v/>
      </c>
      <c r="AX67" s="117">
        <f>SUMPRODUCT(($W67:$AC67="M")*6+($W67:$AC67="T")*6+($W67:$AC67="D")*12+($W67:$AC67="N")*12+($W67:$AC67="NT")*6+($W67:$AC67="C")*10+($W67:$AC67="A")*8+($W67:$AC67="J")*5+($W67:$AC67="CEP")*4+($W67:$AC67="CP")*6+($W67:$AC67="CRO")*6+($W67:$AC67="M+")*6+($W67:$AC67="T+")*6+($W67:$AC67="D+")*12+($W67:$AC67="N+")*12+($W67:$AC67="Dm+")*12+($W67:$AC67="Dt+")*12+($W67:$AC67="Tm-")*6+($W67:$AC67="Mt-")*6)</f>
        <v/>
      </c>
      <c r="AY67" s="118">
        <f>AX67-MAX(0,IFERROR(INDEX(CADASTRO!$I$4:$I$80,MATCH($A67,CADASTRO!$A$4:$A$80,0)),$B67)-CONFIG!$B$50*(COUNTIF($W67:$AC67,"AB")+COUNTIF($W67:$AC67,"FE")+COUNTIF($W67:$AC67,"LM")))</f>
        <v/>
      </c>
      <c r="AZ67" s="117">
        <f>SUMPRODUCT(($AD67:$AJ67="M")*6+($AD67:$AJ67="T")*6+($AD67:$AJ67="D")*12+($AD67:$AJ67="N")*12+($AD67:$AJ67="NT")*6+($AD67:$AJ67="C")*10+($AD67:$AJ67="A")*8+($AD67:$AJ67="J")*5+($AD67:$AJ67="CEP")*4+($AD67:$AJ67="CP")*6+($AD67:$AJ67="CRO")*6+($AD67:$AJ67="M+")*6+($AD67:$AJ67="T+")*6+($AD67:$AJ67="D+")*12+($AD67:$AJ67="N+")*12+($AD67:$AJ67="Dm+")*12+($AD67:$AJ67="Dt+")*12+($AD67:$AJ67="Tm-")*6+($AD67:$AJ67="Mt-")*6)</f>
        <v/>
      </c>
      <c r="BA67" s="118">
        <f>AZ67-MAX(0,IFERROR(INDEX(CADASTRO!$I$4:$I$80,MATCH($A67,CADASTRO!$A$4:$A$80,0)),$B67)-CONFIG!$B$50*(COUNTIF($AD67:$AJ67,"AB")+COUNTIF($AD67:$AJ67,"FE")+COUNTIF($AD67:$AJ67,"LM")))</f>
        <v/>
      </c>
      <c r="BB67" s="117">
        <f>SUMPRODUCT(($AK67:$AL67="M")*6+($AK67:$AL67="T")*6+($AK67:$AL67="D")*12+($AK67:$AL67="N")*12+($AK67:$AL67="NT")*6+($AK67:$AL67="C")*10+($AK67:$AL67="A")*8+($AK67:$AL67="J")*5+($AK67:$AL67="CEP")*4+($AK67:$AL67="CP")*6+($AK67:$AL67="CRO")*6+($AK67:$AL67="M+")*6+($AK67:$AL67="T+")*6+($AK67:$AL67="D+")*12+($AK67:$AL67="N+")*12+($AK67:$AL67="Dm+")*12+($AK67:$AL67="Dt+")*12+($AK67:$AL67="Tm-")*6+($AK67:$AL67="Mt-")*6)+SUMPRODUCT(($AN67:$AR67="M")*6+($AN67:$AR67="T")*6+($AN67:$AR67="D")*12+($AN67:$AR67="N")*12+($AN67:$AR67="NT")*6+($AN67:$AR67="C")*10+($AN67:$AR67="A")*8+($AN67:$AR67="J")*5+($AN67:$AR67="CEP")*4+($AN67:$AR67="CP")*6+($AN67:$AR67="CRO")*6+($AN67:$AR67="M+")*6+($AN67:$AR67="T+")*6+($AN67:$AR67="D+")*12+($AN67:$AR67="N+")*12+($AN67:$AR67="Dm+")*12+($AN67:$AR67="Dt+")*12+($AN67:$AR67="Tm-")*6+($AN67:$AR67="Mt-")*6)</f>
        <v/>
      </c>
      <c r="BC67" s="118">
        <f>BB67-MAX(0,IFERROR(INDEX(CADASTRO!$I$4:$I$80,MATCH($A67,CADASTRO!$A$4:$A$80,0)),$B67)-CONFIG!$B$50*(COUNTIF($AK67:$AL67,"AB")+COUNTIF($AK67:$AL67,"FE")+COUNTIF($AK67:$AL67,"LM")+COUNTIF($AN67:$AR67,"AB")+COUNTIF($AN67:$AR67,"FE")+COUNTIF($AN67:$AR67,"LM")))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ROUND(B67*4.29,0)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00" t="n"/>
      <c r="H68" s="100" t="n"/>
      <c r="I68" s="124" t="inlineStr">
        <is>
          <t>D</t>
        </is>
      </c>
      <c r="J68" s="114" t="n"/>
      <c r="K68" s="127" t="inlineStr">
        <is>
          <t>D-</t>
        </is>
      </c>
      <c r="L68" s="114" t="n"/>
      <c r="M68" s="114" t="n"/>
      <c r="N68" s="114" t="n"/>
      <c r="O68" s="114" t="n"/>
      <c r="P68" s="114" t="n"/>
      <c r="Q68" s="114" t="n"/>
      <c r="R68" s="126" t="inlineStr">
        <is>
          <t>T</t>
        </is>
      </c>
      <c r="S68" s="114" t="n"/>
      <c r="T68" s="123" t="inlineStr">
        <is>
          <t>Dt+</t>
        </is>
      </c>
      <c r="U68" s="124" t="inlineStr">
        <is>
          <t>D</t>
        </is>
      </c>
      <c r="V68" s="114" t="n"/>
      <c r="W68" s="114" t="n"/>
      <c r="X68" s="114" t="n"/>
      <c r="Y68" s="124" t="inlineStr">
        <is>
          <t>D</t>
        </is>
      </c>
      <c r="Z68" s="114" t="n"/>
      <c r="AA68" s="125" t="inlineStr">
        <is>
          <t>N</t>
        </is>
      </c>
      <c r="AB68" s="114" t="n"/>
      <c r="AC68" s="114" t="n"/>
      <c r="AD68" s="114" t="n"/>
      <c r="AE68" s="114" t="n"/>
      <c r="AF68" s="123" t="inlineStr">
        <is>
          <t>T+</t>
        </is>
      </c>
      <c r="AG68" s="114" t="n"/>
      <c r="AH68" s="124" t="inlineStr">
        <is>
          <t>D</t>
        </is>
      </c>
      <c r="AI68" s="124" t="inlineStr">
        <is>
          <t>D</t>
        </is>
      </c>
      <c r="AJ68" s="114" t="n"/>
      <c r="AK68" s="114" t="n"/>
      <c r="AL68" s="114" t="n"/>
      <c r="AM68" s="100" t="n"/>
      <c r="AN68" s="136">
        <f>IFERROR(INDEX(JUL!I$8:I$73,MATCH($A68,JUL!$A$8:$A$73,0))&amp;"","")</f>
        <v/>
      </c>
      <c r="AO68" s="136">
        <f>IFERROR(INDEX(JUL!J$8:J$73,MATCH($A68,JUL!$A$8:$A$73,0))&amp;"","")</f>
        <v/>
      </c>
      <c r="AP68" s="136">
        <f>IFERROR(INDEX(JUL!K$8:K$73,MATCH($A68,JUL!$A$8:$A$73,0))&amp;"","")</f>
        <v/>
      </c>
      <c r="AQ68" s="116">
        <f>IFERROR(INDEX(JUL!L$8:L$73,MATCH($A68,JUL!$A$8:$A$73,0))&amp;"","")</f>
        <v/>
      </c>
      <c r="AR68" s="116">
        <f>IFERROR(INDEX(JUL!M$8:M$73,MATCH($A68,JUL!$A$8:$A$73,0))&amp;"","")</f>
        <v/>
      </c>
      <c r="AS68" s="100" t="n"/>
      <c r="AT68" s="117">
        <f>SUMPRODUCT(($I68:$O68="M")*6+($I68:$O68="T")*6+($I68:$O68="D")*12+($I68:$O68="N")*12+($I68:$O68="NT")*6+($I68:$O68="C")*10+($I68:$O68="A")*8+($I68:$O68="J")*5+($I68:$O68="CEP")*4+($I68:$O68="CP")*6+($I68:$O68="CRO")*6+($I68:$O68="M+")*6+($I68:$O68="T+")*6+($I68:$O68="D+")*12+($I68:$O68="N+")*12+($I68:$O68="Dm+")*12+($I68:$O68="Dt+")*12+($I68:$O68="Tm-")*6+($I68:$O68="Mt-")*6)</f>
        <v/>
      </c>
      <c r="AU68" s="118">
        <f>AT68-MAX(0,IFERROR(INDEX(CADASTRO!$I$4:$I$80,MATCH($A68,CADASTRO!$A$4:$A$80,0)),$B68)-CONFIG!$B$50*(COUNTIF($I68:$O68,"AB")+COUNTIF($I68:$O68,"FE")+COUNTIF($I68:$O68,"LM")))</f>
        <v/>
      </c>
      <c r="AV68" s="117">
        <f>SUMPRODUCT(($P68:$V68="M")*6+($P68:$V68="T")*6+($P68:$V68="D")*12+($P68:$V68="N")*12+($P68:$V68="NT")*6+($P68:$V68="C")*10+($P68:$V68="A")*8+($P68:$V68="J")*5+($P68:$V68="CEP")*4+($P68:$V68="CP")*6+($P68:$V68="CRO")*6+($P68:$V68="M+")*6+($P68:$V68="T+")*6+($P68:$V68="D+")*12+($P68:$V68="N+")*12+($P68:$V68="Dm+")*12+($P68:$V68="Dt+")*12+($P68:$V68="Tm-")*6+($P68:$V68="Mt-")*6)</f>
        <v/>
      </c>
      <c r="AW68" s="118">
        <f>AV68-MAX(0,IFERROR(INDEX(CADASTRO!$I$4:$I$80,MATCH($A68,CADASTRO!$A$4:$A$80,0)),$B68)-CONFIG!$B$50*(COUNTIF($P68:$V68,"AB")+COUNTIF($P68:$V68,"FE")+COUNTIF($P68:$V68,"LM")))</f>
        <v/>
      </c>
      <c r="AX68" s="117">
        <f>SUMPRODUCT(($W68:$AC68="M")*6+($W68:$AC68="T")*6+($W68:$AC68="D")*12+($W68:$AC68="N")*12+($W68:$AC68="NT")*6+($W68:$AC68="C")*10+($W68:$AC68="A")*8+($W68:$AC68="J")*5+($W68:$AC68="CEP")*4+($W68:$AC68="CP")*6+($W68:$AC68="CRO")*6+($W68:$AC68="M+")*6+($W68:$AC68="T+")*6+($W68:$AC68="D+")*12+($W68:$AC68="N+")*12+($W68:$AC68="Dm+")*12+($W68:$AC68="Dt+")*12+($W68:$AC68="Tm-")*6+($W68:$AC68="Mt-")*6)</f>
        <v/>
      </c>
      <c r="AY68" s="118">
        <f>AX68-MAX(0,IFERROR(INDEX(CADASTRO!$I$4:$I$80,MATCH($A68,CADASTRO!$A$4:$A$80,0)),$B68)-CONFIG!$B$50*(COUNTIF($W68:$AC68,"AB")+COUNTIF($W68:$AC68,"FE")+COUNTIF($W68:$AC68,"LM")))</f>
        <v/>
      </c>
      <c r="AZ68" s="117">
        <f>SUMPRODUCT(($AD68:$AJ68="M")*6+($AD68:$AJ68="T")*6+($AD68:$AJ68="D")*12+($AD68:$AJ68="N")*12+($AD68:$AJ68="NT")*6+($AD68:$AJ68="C")*10+($AD68:$AJ68="A")*8+($AD68:$AJ68="J")*5+($AD68:$AJ68="CEP")*4+($AD68:$AJ68="CP")*6+($AD68:$AJ68="CRO")*6+($AD68:$AJ68="M+")*6+($AD68:$AJ68="T+")*6+($AD68:$AJ68="D+")*12+($AD68:$AJ68="N+")*12+($AD68:$AJ68="Dm+")*12+($AD68:$AJ68="Dt+")*12+($AD68:$AJ68="Tm-")*6+($AD68:$AJ68="Mt-")*6)</f>
        <v/>
      </c>
      <c r="BA68" s="118">
        <f>AZ68-MAX(0,IFERROR(INDEX(CADASTRO!$I$4:$I$80,MATCH($A68,CADASTRO!$A$4:$A$80,0)),$B68)-CONFIG!$B$50*(COUNTIF($AD68:$AJ68,"AB")+COUNTIF($AD68:$AJ68,"FE")+COUNTIF($AD68:$AJ68,"LM")))</f>
        <v/>
      </c>
      <c r="BB68" s="117">
        <f>SUMPRODUCT(($AK68:$AL68="M")*6+($AK68:$AL68="T")*6+($AK68:$AL68="D")*12+($AK68:$AL68="N")*12+($AK68:$AL68="NT")*6+($AK68:$AL68="C")*10+($AK68:$AL68="A")*8+($AK68:$AL68="J")*5+($AK68:$AL68="CEP")*4+($AK68:$AL68="CP")*6+($AK68:$AL68="CRO")*6+($AK68:$AL68="M+")*6+($AK68:$AL68="T+")*6+($AK68:$AL68="D+")*12+($AK68:$AL68="N+")*12+($AK68:$AL68="Dm+")*12+($AK68:$AL68="Dt+")*12+($AK68:$AL68="Tm-")*6+($AK68:$AL68="Mt-")*6)+SUMPRODUCT(($AN68:$AR68="M")*6+($AN68:$AR68="T")*6+($AN68:$AR68="D")*12+($AN68:$AR68="N")*12+($AN68:$AR68="NT")*6+($AN68:$AR68="C")*10+($AN68:$AR68="A")*8+($AN68:$AR68="J")*5+($AN68:$AR68="CEP")*4+($AN68:$AR68="CP")*6+($AN68:$AR68="CRO")*6+($AN68:$AR68="M+")*6+($AN68:$AR68="T+")*6+($AN68:$AR68="D+")*12+($AN68:$AR68="N+")*12+($AN68:$AR68="Dm+")*12+($AN68:$AR68="Dt+")*12+($AN68:$AR68="Tm-")*6+($AN68:$AR68="Mt-")*6)</f>
        <v/>
      </c>
      <c r="BC68" s="118">
        <f>BB68-MAX(0,IFERROR(INDEX(CADASTRO!$I$4:$I$80,MATCH($A68,CADASTRO!$A$4:$A$80,0)),$B68)-CONFIG!$B$50*(COUNTIF($AK68:$AL68,"AB")+COUNTIF($AK68:$AL68,"FE")+COUNTIF($AK68:$AL68,"LM")+COUNTIF($AN68:$AR68,"AB")+COUNTIF($AN68:$AR68,"FE")+COUNTIF($AN68:$AR68,"LM")))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ROUND(B68*4.29,0)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00" t="n"/>
      <c r="H69" s="100" t="n"/>
      <c r="I69" s="114" t="n"/>
      <c r="J69" s="114" t="n"/>
      <c r="K69" s="114" t="n"/>
      <c r="L69" s="114" t="n"/>
      <c r="M69" s="124" t="inlineStr">
        <is>
          <t>D</t>
        </is>
      </c>
      <c r="N69" s="125" t="inlineStr">
        <is>
          <t>N</t>
        </is>
      </c>
      <c r="O69" s="114" t="n"/>
      <c r="P69" s="126" t="inlineStr">
        <is>
          <t>T</t>
        </is>
      </c>
      <c r="Q69" s="114" t="n"/>
      <c r="R69" s="124" t="inlineStr">
        <is>
          <t>D</t>
        </is>
      </c>
      <c r="S69" s="126" t="inlineStr">
        <is>
          <t>T</t>
        </is>
      </c>
      <c r="T69" s="114" t="n"/>
      <c r="U69" s="114" t="n"/>
      <c r="V69" s="114" t="n"/>
      <c r="W69" s="114" t="n"/>
      <c r="X69" s="114" t="n"/>
      <c r="Y69" s="124" t="inlineStr">
        <is>
          <t>D</t>
        </is>
      </c>
      <c r="Z69" s="114" t="n"/>
      <c r="AA69" s="114" t="n"/>
      <c r="AB69" s="124" t="inlineStr">
        <is>
          <t>D</t>
        </is>
      </c>
      <c r="AC69" s="114" t="n"/>
      <c r="AD69" s="124" t="inlineStr">
        <is>
          <t>D</t>
        </is>
      </c>
      <c r="AE69" s="114" t="n"/>
      <c r="AF69" s="124" t="inlineStr">
        <is>
          <t>D</t>
        </is>
      </c>
      <c r="AG69" s="114" t="n"/>
      <c r="AH69" s="114" t="n"/>
      <c r="AI69" s="114" t="n"/>
      <c r="AJ69" s="114" t="n"/>
      <c r="AK69" s="114" t="n"/>
      <c r="AL69" s="114" t="n"/>
      <c r="AM69" s="100" t="n"/>
      <c r="AN69" s="136">
        <f>IFERROR(INDEX(JUL!I$8:I$73,MATCH($A69,JUL!$A$8:$A$73,0))&amp;"","")</f>
        <v/>
      </c>
      <c r="AO69" s="136">
        <f>IFERROR(INDEX(JUL!J$8:J$73,MATCH($A69,JUL!$A$8:$A$73,0))&amp;"","")</f>
        <v/>
      </c>
      <c r="AP69" s="136">
        <f>IFERROR(INDEX(JUL!K$8:K$73,MATCH($A69,JUL!$A$8:$A$73,0))&amp;"","")</f>
        <v/>
      </c>
      <c r="AQ69" s="116">
        <f>IFERROR(INDEX(JUL!L$8:L$73,MATCH($A69,JUL!$A$8:$A$73,0))&amp;"","")</f>
        <v/>
      </c>
      <c r="AR69" s="116">
        <f>IFERROR(INDEX(JUL!M$8:M$73,MATCH($A69,JUL!$A$8:$A$73,0))&amp;"","")</f>
        <v/>
      </c>
      <c r="AS69" s="100" t="n"/>
      <c r="AT69" s="117">
        <f>SUMPRODUCT(($I69:$O69="M")*6+($I69:$O69="T")*6+($I69:$O69="D")*12+($I69:$O69="N")*12+($I69:$O69="NT")*6+($I69:$O69="C")*10+($I69:$O69="A")*8+($I69:$O69="J")*5+($I69:$O69="CEP")*4+($I69:$O69="CP")*6+($I69:$O69="CRO")*6+($I69:$O69="M+")*6+($I69:$O69="T+")*6+($I69:$O69="D+")*12+($I69:$O69="N+")*12+($I69:$O69="Dm+")*12+($I69:$O69="Dt+")*12+($I69:$O69="Tm-")*6+($I69:$O69="Mt-")*6)</f>
        <v/>
      </c>
      <c r="AU69" s="118">
        <f>AT69-MAX(0,IFERROR(INDEX(CADASTRO!$I$4:$I$80,MATCH($A69,CADASTRO!$A$4:$A$80,0)),$B69)-CONFIG!$B$50*(COUNTIF($I69:$O69,"AB")+COUNTIF($I69:$O69,"FE")+COUNTIF($I69:$O69,"LM")))</f>
        <v/>
      </c>
      <c r="AV69" s="117">
        <f>SUMPRODUCT(($P69:$V69="M")*6+($P69:$V69="T")*6+($P69:$V69="D")*12+($P69:$V69="N")*12+($P69:$V69="NT")*6+($P69:$V69="C")*10+($P69:$V69="A")*8+($P69:$V69="J")*5+($P69:$V69="CEP")*4+($P69:$V69="CP")*6+($P69:$V69="CRO")*6+($P69:$V69="M+")*6+($P69:$V69="T+")*6+($P69:$V69="D+")*12+($P69:$V69="N+")*12+($P69:$V69="Dm+")*12+($P69:$V69="Dt+")*12+($P69:$V69="Tm-")*6+($P69:$V69="Mt-")*6)</f>
        <v/>
      </c>
      <c r="AW69" s="118">
        <f>AV69-MAX(0,IFERROR(INDEX(CADASTRO!$I$4:$I$80,MATCH($A69,CADASTRO!$A$4:$A$80,0)),$B69)-CONFIG!$B$50*(COUNTIF($P69:$V69,"AB")+COUNTIF($P69:$V69,"FE")+COUNTIF($P69:$V69,"LM")))</f>
        <v/>
      </c>
      <c r="AX69" s="117">
        <f>SUMPRODUCT(($W69:$AC69="M")*6+($W69:$AC69="T")*6+($W69:$AC69="D")*12+($W69:$AC69="N")*12+($W69:$AC69="NT")*6+($W69:$AC69="C")*10+($W69:$AC69="A")*8+($W69:$AC69="J")*5+($W69:$AC69="CEP")*4+($W69:$AC69="CP")*6+($W69:$AC69="CRO")*6+($W69:$AC69="M+")*6+($W69:$AC69="T+")*6+($W69:$AC69="D+")*12+($W69:$AC69="N+")*12+($W69:$AC69="Dm+")*12+($W69:$AC69="Dt+")*12+($W69:$AC69="Tm-")*6+($W69:$AC69="Mt-")*6)</f>
        <v/>
      </c>
      <c r="AY69" s="118">
        <f>AX69-MAX(0,IFERROR(INDEX(CADASTRO!$I$4:$I$80,MATCH($A69,CADASTRO!$A$4:$A$80,0)),$B69)-CONFIG!$B$50*(COUNTIF($W69:$AC69,"AB")+COUNTIF($W69:$AC69,"FE")+COUNTIF($W69:$AC69,"LM")))</f>
        <v/>
      </c>
      <c r="AZ69" s="117">
        <f>SUMPRODUCT(($AD69:$AJ69="M")*6+($AD69:$AJ69="T")*6+($AD69:$AJ69="D")*12+($AD69:$AJ69="N")*12+($AD69:$AJ69="NT")*6+($AD69:$AJ69="C")*10+($AD69:$AJ69="A")*8+($AD69:$AJ69="J")*5+($AD69:$AJ69="CEP")*4+($AD69:$AJ69="CP")*6+($AD69:$AJ69="CRO")*6+($AD69:$AJ69="M+")*6+($AD69:$AJ69="T+")*6+($AD69:$AJ69="D+")*12+($AD69:$AJ69="N+")*12+($AD69:$AJ69="Dm+")*12+($AD69:$AJ69="Dt+")*12+($AD69:$AJ69="Tm-")*6+($AD69:$AJ69="Mt-")*6)</f>
        <v/>
      </c>
      <c r="BA69" s="118">
        <f>AZ69-MAX(0,IFERROR(INDEX(CADASTRO!$I$4:$I$80,MATCH($A69,CADASTRO!$A$4:$A$80,0)),$B69)-CONFIG!$B$50*(COUNTIF($AD69:$AJ69,"AB")+COUNTIF($AD69:$AJ69,"FE")+COUNTIF($AD69:$AJ69,"LM")))</f>
        <v/>
      </c>
      <c r="BB69" s="117">
        <f>SUMPRODUCT(($AK69:$AL69="M")*6+($AK69:$AL69="T")*6+($AK69:$AL69="D")*12+($AK69:$AL69="N")*12+($AK69:$AL69="NT")*6+($AK69:$AL69="C")*10+($AK69:$AL69="A")*8+($AK69:$AL69="J")*5+($AK69:$AL69="CEP")*4+($AK69:$AL69="CP")*6+($AK69:$AL69="CRO")*6+($AK69:$AL69="M+")*6+($AK69:$AL69="T+")*6+($AK69:$AL69="D+")*12+($AK69:$AL69="N+")*12+($AK69:$AL69="Dm+")*12+($AK69:$AL69="Dt+")*12+($AK69:$AL69="Tm-")*6+($AK69:$AL69="Mt-")*6)+SUMPRODUCT(($AN69:$AR69="M")*6+($AN69:$AR69="T")*6+($AN69:$AR69="D")*12+($AN69:$AR69="N")*12+($AN69:$AR69="NT")*6+($AN69:$AR69="C")*10+($AN69:$AR69="A")*8+($AN69:$AR69="J")*5+($AN69:$AR69="CEP")*4+($AN69:$AR69="CP")*6+($AN69:$AR69="CRO")*6+($AN69:$AR69="M+")*6+($AN69:$AR69="T+")*6+($AN69:$AR69="D+")*12+($AN69:$AR69="N+")*12+($AN69:$AR69="Dm+")*12+($AN69:$AR69="Dt+")*12+($AN69:$AR69="Tm-")*6+($AN69:$AR69="Mt-")*6)</f>
        <v/>
      </c>
      <c r="BC69" s="118">
        <f>BB69-MAX(0,IFERROR(INDEX(CADASTRO!$I$4:$I$80,MATCH($A69,CADASTRO!$A$4:$A$80,0)),$B69)-CONFIG!$B$50*(COUNTIF($AK69:$AL69,"AB")+COUNTIF($AK69:$AL69,"FE")+COUNTIF($AK69:$AL69,"LM")+COUNTIF($AN69:$AR69,"AB")+COUNTIF($AN69:$AR69,"FE")+COUNTIF($AN69:$AR69,"LM")))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ROUND(B69*4.29,0)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00" t="n"/>
      <c r="H70" s="100" t="n"/>
      <c r="I70" s="127" t="inlineStr">
        <is>
          <t>T-</t>
        </is>
      </c>
      <c r="J70" s="115" t="inlineStr">
        <is>
          <t>M</t>
        </is>
      </c>
      <c r="K70" s="125" t="inlineStr">
        <is>
          <t>N</t>
        </is>
      </c>
      <c r="L70" s="114" t="n"/>
      <c r="M70" s="114" t="n"/>
      <c r="N70" s="114" t="n"/>
      <c r="O70" s="114" t="n"/>
      <c r="P70" s="114" t="n"/>
      <c r="Q70" s="123" t="inlineStr">
        <is>
          <t>M+</t>
        </is>
      </c>
      <c r="R70" s="124" t="inlineStr">
        <is>
          <t>D</t>
        </is>
      </c>
      <c r="S70" s="114" t="n"/>
      <c r="T70" s="114" t="n"/>
      <c r="U70" s="114" t="n"/>
      <c r="V70" s="125" t="inlineStr">
        <is>
          <t>N</t>
        </is>
      </c>
      <c r="W70" s="114" t="n"/>
      <c r="X70" s="114" t="n"/>
      <c r="Y70" s="125" t="inlineStr">
        <is>
          <t>N</t>
        </is>
      </c>
      <c r="Z70" s="114" t="n"/>
      <c r="AA70" s="114" t="n"/>
      <c r="AB70" s="114" t="n"/>
      <c r="AC70" s="124" t="inlineStr">
        <is>
          <t>D</t>
        </is>
      </c>
      <c r="AD70" s="114" t="n"/>
      <c r="AE70" s="115" t="inlineStr">
        <is>
          <t>M</t>
        </is>
      </c>
      <c r="AF70" s="124" t="inlineStr">
        <is>
          <t>D</t>
        </is>
      </c>
      <c r="AG70" s="126" t="inlineStr">
        <is>
          <t>T</t>
        </is>
      </c>
      <c r="AH70" s="114" t="n"/>
      <c r="AI70" s="114" t="n"/>
      <c r="AJ70" s="114" t="n"/>
      <c r="AK70" s="114" t="n"/>
      <c r="AL70" s="114" t="n"/>
      <c r="AM70" s="100" t="n"/>
      <c r="AN70" s="136">
        <f>IFERROR(INDEX(JUL!I$8:I$73,MATCH($A70,JUL!$A$8:$A$73,0))&amp;"","")</f>
        <v/>
      </c>
      <c r="AO70" s="136">
        <f>IFERROR(INDEX(JUL!J$8:J$73,MATCH($A70,JUL!$A$8:$A$73,0))&amp;"","")</f>
        <v/>
      </c>
      <c r="AP70" s="136">
        <f>IFERROR(INDEX(JUL!K$8:K$73,MATCH($A70,JUL!$A$8:$A$73,0))&amp;"","")</f>
        <v/>
      </c>
      <c r="AQ70" s="116">
        <f>IFERROR(INDEX(JUL!L$8:L$73,MATCH($A70,JUL!$A$8:$A$73,0))&amp;"","")</f>
        <v/>
      </c>
      <c r="AR70" s="116">
        <f>IFERROR(INDEX(JUL!M$8:M$73,MATCH($A70,JUL!$A$8:$A$73,0))&amp;"","")</f>
        <v/>
      </c>
      <c r="AS70" s="100" t="n"/>
      <c r="AT70" s="117">
        <f>SUMPRODUCT(($I70:$O70="M")*6+($I70:$O70="T")*6+($I70:$O70="D")*12+($I70:$O70="N")*12+($I70:$O70="NT")*6+($I70:$O70="C")*10+($I70:$O70="A")*8+($I70:$O70="J")*5+($I70:$O70="CEP")*4+($I70:$O70="CP")*6+($I70:$O70="CRO")*6+($I70:$O70="M+")*6+($I70:$O70="T+")*6+($I70:$O70="D+")*12+($I70:$O70="N+")*12+($I70:$O70="Dm+")*12+($I70:$O70="Dt+")*12+($I70:$O70="Tm-")*6+($I70:$O70="Mt-")*6)</f>
        <v/>
      </c>
      <c r="AU70" s="118">
        <f>AT70-MAX(0,IFERROR(INDEX(CADASTRO!$I$4:$I$80,MATCH($A70,CADASTRO!$A$4:$A$80,0)),$B70)-CONFIG!$B$50*(COUNTIF($I70:$O70,"AB")+COUNTIF($I70:$O70,"FE")+COUNTIF($I70:$O70,"LM")))</f>
        <v/>
      </c>
      <c r="AV70" s="117">
        <f>SUMPRODUCT(($P70:$V70="M")*6+($P70:$V70="T")*6+($P70:$V70="D")*12+($P70:$V70="N")*12+($P70:$V70="NT")*6+($P70:$V70="C")*10+($P70:$V70="A")*8+($P70:$V70="J")*5+($P70:$V70="CEP")*4+($P70:$V70="CP")*6+($P70:$V70="CRO")*6+($P70:$V70="M+")*6+($P70:$V70="T+")*6+($P70:$V70="D+")*12+($P70:$V70="N+")*12+($P70:$V70="Dm+")*12+($P70:$V70="Dt+")*12+($P70:$V70="Tm-")*6+($P70:$V70="Mt-")*6)</f>
        <v/>
      </c>
      <c r="AW70" s="118">
        <f>AV70-MAX(0,IFERROR(INDEX(CADASTRO!$I$4:$I$80,MATCH($A70,CADASTRO!$A$4:$A$80,0)),$B70)-CONFIG!$B$50*(COUNTIF($P70:$V70,"AB")+COUNTIF($P70:$V70,"FE")+COUNTIF($P70:$V70,"LM")))</f>
        <v/>
      </c>
      <c r="AX70" s="117">
        <f>SUMPRODUCT(($W70:$AC70="M")*6+($W70:$AC70="T")*6+($W70:$AC70="D")*12+($W70:$AC70="N")*12+($W70:$AC70="NT")*6+($W70:$AC70="C")*10+($W70:$AC70="A")*8+($W70:$AC70="J")*5+($W70:$AC70="CEP")*4+($W70:$AC70="CP")*6+($W70:$AC70="CRO")*6+($W70:$AC70="M+")*6+($W70:$AC70="T+")*6+($W70:$AC70="D+")*12+($W70:$AC70="N+")*12+($W70:$AC70="Dm+")*12+($W70:$AC70="Dt+")*12+($W70:$AC70="Tm-")*6+($W70:$AC70="Mt-")*6)</f>
        <v/>
      </c>
      <c r="AY70" s="118">
        <f>AX70-MAX(0,IFERROR(INDEX(CADASTRO!$I$4:$I$80,MATCH($A70,CADASTRO!$A$4:$A$80,0)),$B70)-CONFIG!$B$50*(COUNTIF($W70:$AC70,"AB")+COUNTIF($W70:$AC70,"FE")+COUNTIF($W70:$AC70,"LM")))</f>
        <v/>
      </c>
      <c r="AZ70" s="117">
        <f>SUMPRODUCT(($AD70:$AJ70="M")*6+($AD70:$AJ70="T")*6+($AD70:$AJ70="D")*12+($AD70:$AJ70="N")*12+($AD70:$AJ70="NT")*6+($AD70:$AJ70="C")*10+($AD70:$AJ70="A")*8+($AD70:$AJ70="J")*5+($AD70:$AJ70="CEP")*4+($AD70:$AJ70="CP")*6+($AD70:$AJ70="CRO")*6+($AD70:$AJ70="M+")*6+($AD70:$AJ70="T+")*6+($AD70:$AJ70="D+")*12+($AD70:$AJ70="N+")*12+($AD70:$AJ70="Dm+")*12+($AD70:$AJ70="Dt+")*12+($AD70:$AJ70="Tm-")*6+($AD70:$AJ70="Mt-")*6)</f>
        <v/>
      </c>
      <c r="BA70" s="118">
        <f>AZ70-MAX(0,IFERROR(INDEX(CADASTRO!$I$4:$I$80,MATCH($A70,CADASTRO!$A$4:$A$80,0)),$B70)-CONFIG!$B$50*(COUNTIF($AD70:$AJ70,"AB")+COUNTIF($AD70:$AJ70,"FE")+COUNTIF($AD70:$AJ70,"LM")))</f>
        <v/>
      </c>
      <c r="BB70" s="117">
        <f>SUMPRODUCT(($AK70:$AL70="M")*6+($AK70:$AL70="T")*6+($AK70:$AL70="D")*12+($AK70:$AL70="N")*12+($AK70:$AL70="NT")*6+($AK70:$AL70="C")*10+($AK70:$AL70="A")*8+($AK70:$AL70="J")*5+($AK70:$AL70="CEP")*4+($AK70:$AL70="CP")*6+($AK70:$AL70="CRO")*6+($AK70:$AL70="M+")*6+($AK70:$AL70="T+")*6+($AK70:$AL70="D+")*12+($AK70:$AL70="N+")*12+($AK70:$AL70="Dm+")*12+($AK70:$AL70="Dt+")*12+($AK70:$AL70="Tm-")*6+($AK70:$AL70="Mt-")*6)+SUMPRODUCT(($AN70:$AR70="M")*6+($AN70:$AR70="T")*6+($AN70:$AR70="D")*12+($AN70:$AR70="N")*12+($AN70:$AR70="NT")*6+($AN70:$AR70="C")*10+($AN70:$AR70="A")*8+($AN70:$AR70="J")*5+($AN70:$AR70="CEP")*4+($AN70:$AR70="CP")*6+($AN70:$AR70="CRO")*6+($AN70:$AR70="M+")*6+($AN70:$AR70="T+")*6+($AN70:$AR70="D+")*12+($AN70:$AR70="N+")*12+($AN70:$AR70="Dm+")*12+($AN70:$AR70="Dt+")*12+($AN70:$AR70="Tm-")*6+($AN70:$AR70="Mt-")*6)</f>
        <v/>
      </c>
      <c r="BC70" s="118">
        <f>BB70-MAX(0,IFERROR(INDEX(CADASTRO!$I$4:$I$80,MATCH($A70,CADASTRO!$A$4:$A$80,0)),$B70)-CONFIG!$B$50*(COUNTIF($AK70:$AL70,"AB")+COUNTIF($AK70:$AL70,"FE")+COUNTIF($AK70:$AL70,"LM")+COUNTIF($AN70:$AR70,"AB")+COUNTIF($AN70:$AR70,"FE")+COUNTIF($AN70:$AR70,"LM")))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ROUND(B70*4.29,0)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00" t="n"/>
      <c r="H71" s="100" t="n"/>
      <c r="I71" s="126" t="inlineStr">
        <is>
          <t>T</t>
        </is>
      </c>
      <c r="J71" s="125" t="inlineStr">
        <is>
          <t>N</t>
        </is>
      </c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24" t="inlineStr">
        <is>
          <t>D</t>
        </is>
      </c>
      <c r="U71" s="124" t="inlineStr">
        <is>
          <t>D</t>
        </is>
      </c>
      <c r="V71" s="114" t="n"/>
      <c r="W71" s="126" t="inlineStr">
        <is>
          <t>T</t>
        </is>
      </c>
      <c r="X71" s="126" t="inlineStr">
        <is>
          <t>T</t>
        </is>
      </c>
      <c r="Y71" s="124" t="inlineStr">
        <is>
          <t>D</t>
        </is>
      </c>
      <c r="Z71" s="114" t="n"/>
      <c r="AA71" s="114" t="n"/>
      <c r="AB71" s="114" t="n"/>
      <c r="AC71" s="114" t="n"/>
      <c r="AD71" s="126" t="inlineStr">
        <is>
          <t>T</t>
        </is>
      </c>
      <c r="AE71" s="126" t="inlineStr">
        <is>
          <t>T</t>
        </is>
      </c>
      <c r="AF71" s="114" t="n"/>
      <c r="AG71" s="114" t="n"/>
      <c r="AH71" s="125" t="inlineStr">
        <is>
          <t>N</t>
        </is>
      </c>
      <c r="AI71" s="114" t="n"/>
      <c r="AJ71" s="114" t="n"/>
      <c r="AK71" s="126" t="inlineStr">
        <is>
          <t>T</t>
        </is>
      </c>
      <c r="AL71" s="125" t="inlineStr">
        <is>
          <t>N</t>
        </is>
      </c>
      <c r="AM71" s="100" t="n"/>
      <c r="AN71" s="136">
        <f>IFERROR(INDEX(JUL!I$8:I$73,MATCH($A71,JUL!$A$8:$A$73,0))&amp;"","")</f>
        <v/>
      </c>
      <c r="AO71" s="136">
        <f>IFERROR(INDEX(JUL!J$8:J$73,MATCH($A71,JUL!$A$8:$A$73,0))&amp;"","")</f>
        <v/>
      </c>
      <c r="AP71" s="136">
        <f>IFERROR(INDEX(JUL!K$8:K$73,MATCH($A71,JUL!$A$8:$A$73,0))&amp;"","")</f>
        <v/>
      </c>
      <c r="AQ71" s="116">
        <f>IFERROR(INDEX(JUL!L$8:L$73,MATCH($A71,JUL!$A$8:$A$73,0))&amp;"","")</f>
        <v/>
      </c>
      <c r="AR71" s="116">
        <f>IFERROR(INDEX(JUL!M$8:M$73,MATCH($A71,JUL!$A$8:$A$73,0))&amp;"","")</f>
        <v/>
      </c>
      <c r="AS71" s="100" t="n"/>
      <c r="AT71" s="117">
        <f>SUMPRODUCT(($I71:$O71="M")*6+($I71:$O71="T")*6+($I71:$O71="D")*12+($I71:$O71="N")*12+($I71:$O71="NT")*6+($I71:$O71="C")*10+($I71:$O71="A")*8+($I71:$O71="J")*5+($I71:$O71="CEP")*4+($I71:$O71="CP")*6+($I71:$O71="CRO")*6+($I71:$O71="M+")*6+($I71:$O71="T+")*6+($I71:$O71="D+")*12+($I71:$O71="N+")*12+($I71:$O71="Dm+")*12+($I71:$O71="Dt+")*12+($I71:$O71="Tm-")*6+($I71:$O71="Mt-")*6)</f>
        <v/>
      </c>
      <c r="AU71" s="118">
        <f>AT71-MAX(0,IFERROR(INDEX(CADASTRO!$I$4:$I$80,MATCH($A71,CADASTRO!$A$4:$A$80,0)),$B71)-CONFIG!$B$50*(COUNTIF($I71:$O71,"AB")+COUNTIF($I71:$O71,"FE")+COUNTIF($I71:$O71,"LM")))</f>
        <v/>
      </c>
      <c r="AV71" s="117">
        <f>SUMPRODUCT(($P71:$V71="M")*6+($P71:$V71="T")*6+($P71:$V71="D")*12+($P71:$V71="N")*12+($P71:$V71="NT")*6+($P71:$V71="C")*10+($P71:$V71="A")*8+($P71:$V71="J")*5+($P71:$V71="CEP")*4+($P71:$V71="CP")*6+($P71:$V71="CRO")*6+($P71:$V71="M+")*6+($P71:$V71="T+")*6+($P71:$V71="D+")*12+($P71:$V71="N+")*12+($P71:$V71="Dm+")*12+($P71:$V71="Dt+")*12+($P71:$V71="Tm-")*6+($P71:$V71="Mt-")*6)</f>
        <v/>
      </c>
      <c r="AW71" s="118">
        <f>AV71-MAX(0,IFERROR(INDEX(CADASTRO!$I$4:$I$80,MATCH($A71,CADASTRO!$A$4:$A$80,0)),$B71)-CONFIG!$B$50*(COUNTIF($P71:$V71,"AB")+COUNTIF($P71:$V71,"FE")+COUNTIF($P71:$V71,"LM")))</f>
        <v/>
      </c>
      <c r="AX71" s="117">
        <f>SUMPRODUCT(($W71:$AC71="M")*6+($W71:$AC71="T")*6+($W71:$AC71="D")*12+($W71:$AC71="N")*12+($W71:$AC71="NT")*6+($W71:$AC71="C")*10+($W71:$AC71="A")*8+($W71:$AC71="J")*5+($W71:$AC71="CEP")*4+($W71:$AC71="CP")*6+($W71:$AC71="CRO")*6+($W71:$AC71="M+")*6+($W71:$AC71="T+")*6+($W71:$AC71="D+")*12+($W71:$AC71="N+")*12+($W71:$AC71="Dm+")*12+($W71:$AC71="Dt+")*12+($W71:$AC71="Tm-")*6+($W71:$AC71="Mt-")*6)</f>
        <v/>
      </c>
      <c r="AY71" s="118">
        <f>AX71-MAX(0,IFERROR(INDEX(CADASTRO!$I$4:$I$80,MATCH($A71,CADASTRO!$A$4:$A$80,0)),$B71)-CONFIG!$B$50*(COUNTIF($W71:$AC71,"AB")+COUNTIF($W71:$AC71,"FE")+COUNTIF($W71:$AC71,"LM")))</f>
        <v/>
      </c>
      <c r="AZ71" s="117">
        <f>SUMPRODUCT(($AD71:$AJ71="M")*6+($AD71:$AJ71="T")*6+($AD71:$AJ71="D")*12+($AD71:$AJ71="N")*12+($AD71:$AJ71="NT")*6+($AD71:$AJ71="C")*10+($AD71:$AJ71="A")*8+($AD71:$AJ71="J")*5+($AD71:$AJ71="CEP")*4+($AD71:$AJ71="CP")*6+($AD71:$AJ71="CRO")*6+($AD71:$AJ71="M+")*6+($AD71:$AJ71="T+")*6+($AD71:$AJ71="D+")*12+($AD71:$AJ71="N+")*12+($AD71:$AJ71="Dm+")*12+($AD71:$AJ71="Dt+")*12+($AD71:$AJ71="Tm-")*6+($AD71:$AJ71="Mt-")*6)</f>
        <v/>
      </c>
      <c r="BA71" s="118">
        <f>AZ71-MAX(0,IFERROR(INDEX(CADASTRO!$I$4:$I$80,MATCH($A71,CADASTRO!$A$4:$A$80,0)),$B71)-CONFIG!$B$50*(COUNTIF($AD71:$AJ71,"AB")+COUNTIF($AD71:$AJ71,"FE")+COUNTIF($AD71:$AJ71,"LM")))</f>
        <v/>
      </c>
      <c r="BB71" s="117">
        <f>SUMPRODUCT(($AK71:$AL71="M")*6+($AK71:$AL71="T")*6+($AK71:$AL71="D")*12+($AK71:$AL71="N")*12+($AK71:$AL71="NT")*6+($AK71:$AL71="C")*10+($AK71:$AL71="A")*8+($AK71:$AL71="J")*5+($AK71:$AL71="CEP")*4+($AK71:$AL71="CP")*6+($AK71:$AL71="CRO")*6+($AK71:$AL71="M+")*6+($AK71:$AL71="T+")*6+($AK71:$AL71="D+")*12+($AK71:$AL71="N+")*12+($AK71:$AL71="Dm+")*12+($AK71:$AL71="Dt+")*12+($AK71:$AL71="Tm-")*6+($AK71:$AL71="Mt-")*6)+SUMPRODUCT(($AN71:$AR71="M")*6+($AN71:$AR71="T")*6+($AN71:$AR71="D")*12+($AN71:$AR71="N")*12+($AN71:$AR71="NT")*6+($AN71:$AR71="C")*10+($AN71:$AR71="A")*8+($AN71:$AR71="J")*5+($AN71:$AR71="CEP")*4+($AN71:$AR71="CP")*6+($AN71:$AR71="CRO")*6+($AN71:$AR71="M+")*6+($AN71:$AR71="T+")*6+($AN71:$AR71="D+")*12+($AN71:$AR71="N+")*12+($AN71:$AR71="Dm+")*12+($AN71:$AR71="Dt+")*12+($AN71:$AR71="Tm-")*6+($AN71:$AR71="Mt-")*6)</f>
        <v/>
      </c>
      <c r="BC71" s="118">
        <f>BB71-MAX(0,IFERROR(INDEX(CADASTRO!$I$4:$I$80,MATCH($A71,CADASTRO!$A$4:$A$80,0)),$B71)-CONFIG!$B$50*(COUNTIF($AK71:$AL71,"AB")+COUNTIF($AK71:$AL71,"FE")+COUNTIF($AK71:$AL71,"LM")+COUNTIF($AN71:$AR71,"AB")+COUNTIF($AN71:$AR71,"FE")+COUNTIF($AN71:$AR71,"LM")))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ROUND(B71*4.29,0)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00" t="n"/>
      <c r="H72" s="100" t="n"/>
      <c r="I72" s="115" t="inlineStr">
        <is>
          <t>M</t>
        </is>
      </c>
      <c r="J72" s="114" t="n"/>
      <c r="K72" s="126" t="inlineStr">
        <is>
          <t>T</t>
        </is>
      </c>
      <c r="L72" s="126" t="inlineStr">
        <is>
          <t>T</t>
        </is>
      </c>
      <c r="M72" s="125" t="inlineStr">
        <is>
          <t>N</t>
        </is>
      </c>
      <c r="N72" s="114" t="n"/>
      <c r="O72" s="114" t="n"/>
      <c r="P72" s="114" t="n"/>
      <c r="Q72" s="124" t="inlineStr">
        <is>
          <t>D</t>
        </is>
      </c>
      <c r="R72" s="114" t="n"/>
      <c r="S72" s="114" t="n"/>
      <c r="T72" s="114" t="n"/>
      <c r="U72" s="115" t="inlineStr">
        <is>
          <t>M</t>
        </is>
      </c>
      <c r="V72" s="124" t="inlineStr">
        <is>
          <t>D</t>
        </is>
      </c>
      <c r="W72" s="114" t="n"/>
      <c r="X72" s="126" t="inlineStr">
        <is>
          <t>T</t>
        </is>
      </c>
      <c r="Y72" s="114" t="n"/>
      <c r="Z72" s="126" t="inlineStr">
        <is>
          <t>T</t>
        </is>
      </c>
      <c r="AA72" s="126" t="inlineStr">
        <is>
          <t>T</t>
        </is>
      </c>
      <c r="AB72" s="114" t="n"/>
      <c r="AC72" s="124" t="inlineStr">
        <is>
          <t>D</t>
        </is>
      </c>
      <c r="AD72" s="126" t="inlineStr">
        <is>
          <t>T</t>
        </is>
      </c>
      <c r="AE72" s="126" t="inlineStr">
        <is>
          <t>T</t>
        </is>
      </c>
      <c r="AF72" s="125" t="inlineStr">
        <is>
          <t>N</t>
        </is>
      </c>
      <c r="AG72" s="114" t="n"/>
      <c r="AH72" s="126" t="inlineStr">
        <is>
          <t>T</t>
        </is>
      </c>
      <c r="AI72" s="114" t="n"/>
      <c r="AJ72" s="114" t="n"/>
      <c r="AK72" s="124" t="inlineStr">
        <is>
          <t>D</t>
        </is>
      </c>
      <c r="AL72" s="126" t="inlineStr">
        <is>
          <t>T</t>
        </is>
      </c>
      <c r="AM72" s="100" t="n"/>
      <c r="AN72" s="136">
        <f>IFERROR(INDEX(JUL!I$8:I$73,MATCH($A72,JUL!$A$8:$A$73,0))&amp;"","")</f>
        <v/>
      </c>
      <c r="AO72" s="136">
        <f>IFERROR(INDEX(JUL!J$8:J$73,MATCH($A72,JUL!$A$8:$A$73,0))&amp;"","")</f>
        <v/>
      </c>
      <c r="AP72" s="136">
        <f>IFERROR(INDEX(JUL!K$8:K$73,MATCH($A72,JUL!$A$8:$A$73,0))&amp;"","")</f>
        <v/>
      </c>
      <c r="AQ72" s="116">
        <f>IFERROR(INDEX(JUL!L$8:L$73,MATCH($A72,JUL!$A$8:$A$73,0))&amp;"","")</f>
        <v/>
      </c>
      <c r="AR72" s="116">
        <f>IFERROR(INDEX(JUL!M$8:M$73,MATCH($A72,JUL!$A$8:$A$73,0))&amp;"","")</f>
        <v/>
      </c>
      <c r="AS72" s="100" t="n"/>
      <c r="AT72" s="117">
        <f>SUMPRODUCT(($I72:$O72="M")*6+($I72:$O72="T")*6+($I72:$O72="D")*12+($I72:$O72="N")*12+($I72:$O72="NT")*6+($I72:$O72="C")*10+($I72:$O72="A")*8+($I72:$O72="J")*5+($I72:$O72="CEP")*4+($I72:$O72="CP")*6+($I72:$O72="CRO")*6+($I72:$O72="M+")*6+($I72:$O72="T+")*6+($I72:$O72="D+")*12+($I72:$O72="N+")*12+($I72:$O72="Dm+")*12+($I72:$O72="Dt+")*12+($I72:$O72="Tm-")*6+($I72:$O72="Mt-")*6)</f>
        <v/>
      </c>
      <c r="AU72" s="118">
        <f>AT72-MAX(0,IFERROR(INDEX(CADASTRO!$I$4:$I$80,MATCH($A72,CADASTRO!$A$4:$A$80,0)),$B72)-CONFIG!$B$50*(COUNTIF($I72:$O72,"AB")+COUNTIF($I72:$O72,"FE")+COUNTIF($I72:$O72,"LM")))</f>
        <v/>
      </c>
      <c r="AV72" s="117">
        <f>SUMPRODUCT(($P72:$V72="M")*6+($P72:$V72="T")*6+($P72:$V72="D")*12+($P72:$V72="N")*12+($P72:$V72="NT")*6+($P72:$V72="C")*10+($P72:$V72="A")*8+($P72:$V72="J")*5+($P72:$V72="CEP")*4+($P72:$V72="CP")*6+($P72:$V72="CRO")*6+($P72:$V72="M+")*6+($P72:$V72="T+")*6+($P72:$V72="D+")*12+($P72:$V72="N+")*12+($P72:$V72="Dm+")*12+($P72:$V72="Dt+")*12+($P72:$V72="Tm-")*6+($P72:$V72="Mt-")*6)</f>
        <v/>
      </c>
      <c r="AW72" s="118">
        <f>AV72-MAX(0,IFERROR(INDEX(CADASTRO!$I$4:$I$80,MATCH($A72,CADASTRO!$A$4:$A$80,0)),$B72)-CONFIG!$B$50*(COUNTIF($P72:$V72,"AB")+COUNTIF($P72:$V72,"FE")+COUNTIF($P72:$V72,"LM")))</f>
        <v/>
      </c>
      <c r="AX72" s="117">
        <f>SUMPRODUCT(($W72:$AC72="M")*6+($W72:$AC72="T")*6+($W72:$AC72="D")*12+($W72:$AC72="N")*12+($W72:$AC72="NT")*6+($W72:$AC72="C")*10+($W72:$AC72="A")*8+($W72:$AC72="J")*5+($W72:$AC72="CEP")*4+($W72:$AC72="CP")*6+($W72:$AC72="CRO")*6+($W72:$AC72="M+")*6+($W72:$AC72="T+")*6+($W72:$AC72="D+")*12+($W72:$AC72="N+")*12+($W72:$AC72="Dm+")*12+($W72:$AC72="Dt+")*12+($W72:$AC72="Tm-")*6+($W72:$AC72="Mt-")*6)</f>
        <v/>
      </c>
      <c r="AY72" s="118">
        <f>AX72-MAX(0,IFERROR(INDEX(CADASTRO!$I$4:$I$80,MATCH($A72,CADASTRO!$A$4:$A$80,0)),$B72)-CONFIG!$B$50*(COUNTIF($W72:$AC72,"AB")+COUNTIF($W72:$AC72,"FE")+COUNTIF($W72:$AC72,"LM")))</f>
        <v/>
      </c>
      <c r="AZ72" s="117">
        <f>SUMPRODUCT(($AD72:$AJ72="M")*6+($AD72:$AJ72="T")*6+($AD72:$AJ72="D")*12+($AD72:$AJ72="N")*12+($AD72:$AJ72="NT")*6+($AD72:$AJ72="C")*10+($AD72:$AJ72="A")*8+($AD72:$AJ72="J")*5+($AD72:$AJ72="CEP")*4+($AD72:$AJ72="CP")*6+($AD72:$AJ72="CRO")*6+($AD72:$AJ72="M+")*6+($AD72:$AJ72="T+")*6+($AD72:$AJ72="D+")*12+($AD72:$AJ72="N+")*12+($AD72:$AJ72="Dm+")*12+($AD72:$AJ72="Dt+")*12+($AD72:$AJ72="Tm-")*6+($AD72:$AJ72="Mt-")*6)</f>
        <v/>
      </c>
      <c r="BA72" s="118">
        <f>AZ72-MAX(0,IFERROR(INDEX(CADASTRO!$I$4:$I$80,MATCH($A72,CADASTRO!$A$4:$A$80,0)),$B72)-CONFIG!$B$50*(COUNTIF($AD72:$AJ72,"AB")+COUNTIF($AD72:$AJ72,"FE")+COUNTIF($AD72:$AJ72,"LM")))</f>
        <v/>
      </c>
      <c r="BB72" s="117">
        <f>SUMPRODUCT(($AK72:$AL72="M")*6+($AK72:$AL72="T")*6+($AK72:$AL72="D")*12+($AK72:$AL72="N")*12+($AK72:$AL72="NT")*6+($AK72:$AL72="C")*10+($AK72:$AL72="A")*8+($AK72:$AL72="J")*5+($AK72:$AL72="CEP")*4+($AK72:$AL72="CP")*6+($AK72:$AL72="CRO")*6+($AK72:$AL72="M+")*6+($AK72:$AL72="T+")*6+($AK72:$AL72="D+")*12+($AK72:$AL72="N+")*12+($AK72:$AL72="Dm+")*12+($AK72:$AL72="Dt+")*12+($AK72:$AL72="Tm-")*6+($AK72:$AL72="Mt-")*6)+SUMPRODUCT(($AN72:$AR72="M")*6+($AN72:$AR72="T")*6+($AN72:$AR72="D")*12+($AN72:$AR72="N")*12+($AN72:$AR72="NT")*6+($AN72:$AR72="C")*10+($AN72:$AR72="A")*8+($AN72:$AR72="J")*5+($AN72:$AR72="CEP")*4+($AN72:$AR72="CP")*6+($AN72:$AR72="CRO")*6+($AN72:$AR72="M+")*6+($AN72:$AR72="T+")*6+($AN72:$AR72="D+")*12+($AN72:$AR72="N+")*12+($AN72:$AR72="Dm+")*12+($AN72:$AR72="Dt+")*12+($AN72:$AR72="Tm-")*6+($AN72:$AR72="Mt-")*6)</f>
        <v/>
      </c>
      <c r="BC72" s="118">
        <f>BB72-MAX(0,IFERROR(INDEX(CADASTRO!$I$4:$I$80,MATCH($A72,CADASTRO!$A$4:$A$80,0)),$B72)-CONFIG!$B$50*(COUNTIF($AK72:$AL72,"AB")+COUNTIF($AK72:$AL72,"FE")+COUNTIF($AK72:$AL72,"LM")+COUNTIF($AN72:$AR72,"AB")+COUNTIF($AN72:$AR72,"FE")+COUNTIF($AN72:$AR72,"LM")))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ROUND(B72*4.29,0)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00" t="n"/>
      <c r="H73" s="100" t="n"/>
      <c r="I73" s="125" t="inlineStr">
        <is>
          <t>N</t>
        </is>
      </c>
      <c r="J73" s="126" t="inlineStr">
        <is>
          <t>T</t>
        </is>
      </c>
      <c r="K73" s="125" t="inlineStr">
        <is>
          <t>N</t>
        </is>
      </c>
      <c r="L73" s="114" t="n"/>
      <c r="M73" s="114" t="n"/>
      <c r="N73" s="114" t="n"/>
      <c r="O73" s="114" t="n"/>
      <c r="P73" s="124" t="inlineStr">
        <is>
          <t>D</t>
        </is>
      </c>
      <c r="Q73" s="114" t="n"/>
      <c r="R73" s="114" t="n"/>
      <c r="S73" s="125" t="inlineStr">
        <is>
          <t>N</t>
        </is>
      </c>
      <c r="T73" s="114" t="n"/>
      <c r="U73" s="126" t="inlineStr">
        <is>
          <t>T</t>
        </is>
      </c>
      <c r="V73" s="114" t="n"/>
      <c r="W73" s="114" t="n"/>
      <c r="X73" s="114" t="n"/>
      <c r="Y73" s="125" t="inlineStr">
        <is>
          <t>N</t>
        </is>
      </c>
      <c r="Z73" s="114" t="n"/>
      <c r="AA73" s="114" t="n"/>
      <c r="AB73" s="126" t="inlineStr">
        <is>
          <t>T</t>
        </is>
      </c>
      <c r="AC73" s="125" t="inlineStr">
        <is>
          <t>N</t>
        </is>
      </c>
      <c r="AD73" s="125" t="inlineStr">
        <is>
          <t>N</t>
        </is>
      </c>
      <c r="AE73" s="126" t="inlineStr">
        <is>
          <t>T</t>
        </is>
      </c>
      <c r="AF73" s="114" t="n"/>
      <c r="AG73" s="114" t="n"/>
      <c r="AH73" s="126" t="inlineStr">
        <is>
          <t>T</t>
        </is>
      </c>
      <c r="AI73" s="126" t="inlineStr">
        <is>
          <t>T</t>
        </is>
      </c>
      <c r="AJ73" s="114" t="n"/>
      <c r="AK73" s="125" t="inlineStr">
        <is>
          <t>N</t>
        </is>
      </c>
      <c r="AL73" s="114" t="n"/>
      <c r="AM73" s="100" t="n"/>
      <c r="AN73" s="136">
        <f>IFERROR(INDEX(JUL!I$8:I$73,MATCH($A73,JUL!$A$8:$A$73,0))&amp;"","")</f>
        <v/>
      </c>
      <c r="AO73" s="136">
        <f>IFERROR(INDEX(JUL!J$8:J$73,MATCH($A73,JUL!$A$8:$A$73,0))&amp;"","")</f>
        <v/>
      </c>
      <c r="AP73" s="136">
        <f>IFERROR(INDEX(JUL!K$8:K$73,MATCH($A73,JUL!$A$8:$A$73,0))&amp;"","")</f>
        <v/>
      </c>
      <c r="AQ73" s="116">
        <f>IFERROR(INDEX(JUL!L$8:L$73,MATCH($A73,JUL!$A$8:$A$73,0))&amp;"","")</f>
        <v/>
      </c>
      <c r="AR73" s="116">
        <f>IFERROR(INDEX(JUL!M$8:M$73,MATCH($A73,JUL!$A$8:$A$73,0))&amp;"","")</f>
        <v/>
      </c>
      <c r="AS73" s="100" t="n"/>
      <c r="AT73" s="117">
        <f>SUMPRODUCT(($I73:$O73="M")*6+($I73:$O73="T")*6+($I73:$O73="D")*12+($I73:$O73="N")*12+($I73:$O73="NT")*6+($I73:$O73="C")*10+($I73:$O73="A")*8+($I73:$O73="J")*5+($I73:$O73="CEP")*4+($I73:$O73="CP")*6+($I73:$O73="CRO")*6+($I73:$O73="M+")*6+($I73:$O73="T+")*6+($I73:$O73="D+")*12+($I73:$O73="N+")*12+($I73:$O73="Dm+")*12+($I73:$O73="Dt+")*12+($I73:$O73="Tm-")*6+($I73:$O73="Mt-")*6)</f>
        <v/>
      </c>
      <c r="AU73" s="118">
        <f>AT73-MAX(0,IFERROR(INDEX(CADASTRO!$I$4:$I$80,MATCH($A73,CADASTRO!$A$4:$A$80,0)),$B73)-CONFIG!$B$50*(COUNTIF($I73:$O73,"AB")+COUNTIF($I73:$O73,"FE")+COUNTIF($I73:$O73,"LM")))</f>
        <v/>
      </c>
      <c r="AV73" s="117">
        <f>SUMPRODUCT(($P73:$V73="M")*6+($P73:$V73="T")*6+($P73:$V73="D")*12+($P73:$V73="N")*12+($P73:$V73="NT")*6+($P73:$V73="C")*10+($P73:$V73="A")*8+($P73:$V73="J")*5+($P73:$V73="CEP")*4+($P73:$V73="CP")*6+($P73:$V73="CRO")*6+($P73:$V73="M+")*6+($P73:$V73="T+")*6+($P73:$V73="D+")*12+($P73:$V73="N+")*12+($P73:$V73="Dm+")*12+($P73:$V73="Dt+")*12+($P73:$V73="Tm-")*6+($P73:$V73="Mt-")*6)</f>
        <v/>
      </c>
      <c r="AW73" s="118">
        <f>AV73-MAX(0,IFERROR(INDEX(CADASTRO!$I$4:$I$80,MATCH($A73,CADASTRO!$A$4:$A$80,0)),$B73)-CONFIG!$B$50*(COUNTIF($P73:$V73,"AB")+COUNTIF($P73:$V73,"FE")+COUNTIF($P73:$V73,"LM")))</f>
        <v/>
      </c>
      <c r="AX73" s="117">
        <f>SUMPRODUCT(($W73:$AC73="M")*6+($W73:$AC73="T")*6+($W73:$AC73="D")*12+($W73:$AC73="N")*12+($W73:$AC73="NT")*6+($W73:$AC73="C")*10+($W73:$AC73="A")*8+($W73:$AC73="J")*5+($W73:$AC73="CEP")*4+($W73:$AC73="CP")*6+($W73:$AC73="CRO")*6+($W73:$AC73="M+")*6+($W73:$AC73="T+")*6+($W73:$AC73="D+")*12+($W73:$AC73="N+")*12+($W73:$AC73="Dm+")*12+($W73:$AC73="Dt+")*12+($W73:$AC73="Tm-")*6+($W73:$AC73="Mt-")*6)</f>
        <v/>
      </c>
      <c r="AY73" s="118">
        <f>AX73-MAX(0,IFERROR(INDEX(CADASTRO!$I$4:$I$80,MATCH($A73,CADASTRO!$A$4:$A$80,0)),$B73)-CONFIG!$B$50*(COUNTIF($W73:$AC73,"AB")+COUNTIF($W73:$AC73,"FE")+COUNTIF($W73:$AC73,"LM")))</f>
        <v/>
      </c>
      <c r="AZ73" s="117">
        <f>SUMPRODUCT(($AD73:$AJ73="M")*6+($AD73:$AJ73="T")*6+($AD73:$AJ73="D")*12+($AD73:$AJ73="N")*12+($AD73:$AJ73="NT")*6+($AD73:$AJ73="C")*10+($AD73:$AJ73="A")*8+($AD73:$AJ73="J")*5+($AD73:$AJ73="CEP")*4+($AD73:$AJ73="CP")*6+($AD73:$AJ73="CRO")*6+($AD73:$AJ73="M+")*6+($AD73:$AJ73="T+")*6+($AD73:$AJ73="D+")*12+($AD73:$AJ73="N+")*12+($AD73:$AJ73="Dm+")*12+($AD73:$AJ73="Dt+")*12+($AD73:$AJ73="Tm-")*6+($AD73:$AJ73="Mt-")*6)</f>
        <v/>
      </c>
      <c r="BA73" s="118">
        <f>AZ73-MAX(0,IFERROR(INDEX(CADASTRO!$I$4:$I$80,MATCH($A73,CADASTRO!$A$4:$A$80,0)),$B73)-CONFIG!$B$50*(COUNTIF($AD73:$AJ73,"AB")+COUNTIF($AD73:$AJ73,"FE")+COUNTIF($AD73:$AJ73,"LM")))</f>
        <v/>
      </c>
      <c r="BB73" s="117">
        <f>SUMPRODUCT(($AK73:$AL73="M")*6+($AK73:$AL73="T")*6+($AK73:$AL73="D")*12+($AK73:$AL73="N")*12+($AK73:$AL73="NT")*6+($AK73:$AL73="C")*10+($AK73:$AL73="A")*8+($AK73:$AL73="J")*5+($AK73:$AL73="CEP")*4+($AK73:$AL73="CP")*6+($AK73:$AL73="CRO")*6+($AK73:$AL73="M+")*6+($AK73:$AL73="T+")*6+($AK73:$AL73="D+")*12+($AK73:$AL73="N+")*12+($AK73:$AL73="Dm+")*12+($AK73:$AL73="Dt+")*12+($AK73:$AL73="Tm-")*6+($AK73:$AL73="Mt-")*6)+SUMPRODUCT(($AN73:$AR73="M")*6+($AN73:$AR73="T")*6+($AN73:$AR73="D")*12+($AN73:$AR73="N")*12+($AN73:$AR73="NT")*6+($AN73:$AR73="C")*10+($AN73:$AR73="A")*8+($AN73:$AR73="J")*5+($AN73:$AR73="CEP")*4+($AN73:$AR73="CP")*6+($AN73:$AR73="CRO")*6+($AN73:$AR73="M+")*6+($AN73:$AR73="T+")*6+($AN73:$AR73="D+")*12+($AN73:$AR73="N+")*12+($AN73:$AR73="Dm+")*12+($AN73:$AR73="Dt+")*12+($AN73:$AR73="Tm-")*6+($AN73:$AR73="Mt-")*6)</f>
        <v/>
      </c>
      <c r="BC73" s="118">
        <f>BB73-MAX(0,IFERROR(INDEX(CADASTRO!$I$4:$I$80,MATCH($A73,CADASTRO!$A$4:$A$80,0)),$B73)-CONFIG!$B$50*(COUNTIF($AK73:$AL73,"AB")+COUNTIF($AK73:$AL73,"FE")+COUNTIF($AK73:$AL73,"LM")+COUNTIF($AN73:$AR73,"AB")+COUNTIF($AN73:$AR73,"FE")+COUNTIF($AN73:$AR73,"LM")))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ROUND(B73*4.29,0)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39" t="n"/>
      <c r="H75" s="39" t="n"/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39" t="n"/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133">
        <f>COUNTIF(AQ8:AQ73,"M")+COUNTIF(AQ8:AQ73,"D")+COUNTIF(AQ8:AQ73,"C")+COUNTIF(AQ8:AQ73,"J")+COUNTIF(AQ8:AQ73,"CEP")+COUNTIF(AQ8:AQ73,"M+")+COUNTIF(AQ8:AQ73,"D+")+COUNTIF(AQ8:AQ73,"Dm+")+COUNTIF(AQ8:AQ73,"Dt+")+COUNTIF(AQ8:AQ73,"Mt-")</f>
        <v/>
      </c>
      <c r="AR75" s="133">
        <f>COUNTIF(AR8:AR73,"M")+COUNTIF(AR8:AR73,"D")+COUNTIF(AR8:AR73,"C")+COUNTIF(AR8:AR73,"J")+COUNTIF(AR8:AR73,"CEP")+COUNTIF(AR8:AR73,"M+")+COUNTIF(AR8:AR73,"D+")+COUNTIF(AR8:AR73,"Dm+")+COUNTIF(AR8:AR73,"Dt+")+COUNTIF(AR8:AR73,"Mt-")</f>
        <v/>
      </c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39" t="n"/>
      <c r="H76" s="39" t="n"/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39" t="n"/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133">
        <f>COUNTIF(AQ8:AQ73,"T")+COUNTIF(AQ8:AQ73,"D")+COUNTIF(AQ8:AQ73,"C")+COUNTIF(AQ8:AQ73,"T+")+COUNTIF(AQ8:AQ73,"D+")+COUNTIF(AQ8:AQ73,"Dm+")+COUNTIF(AQ8:AQ73,"Dt+")+COUNTIF(AQ8:AQ73,"Tm-")</f>
        <v/>
      </c>
      <c r="AR76" s="133">
        <f>COUNTIF(AR8:AR73,"T")+COUNTIF(AR8:AR73,"D")+COUNTIF(AR8:AR73,"C")+COUNTIF(AR8:AR73,"T+")+COUNTIF(AR8:AR73,"D+")+COUNTIF(AR8:AR73,"Dm+")+COUNTIF(AR8:AR73,"Dt+")+COUNTIF(AR8:AR73,"Tm-")</f>
        <v/>
      </c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39" t="n"/>
      <c r="H77" s="39" t="n"/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39" t="n"/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133">
        <f>COUNTIF(AQ8:AQ73,"N")+COUNTIF(AQ8:AQ73,"NT")+COUNTIF(AQ8:AQ73,"N+")</f>
        <v/>
      </c>
      <c r="AR77" s="133">
        <f>COUNTIF(AR8:AR73,"N")+COUNTIF(AR8:AR73,"NT")+COUNTIF(AR8:AR73,"N+")</f>
        <v/>
      </c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39" t="n"/>
      <c r="H78" s="39" t="n"/>
      <c r="I78" s="135">
        <f>MAX(0,CONFIG!$B$9-I75)</f>
        <v/>
      </c>
      <c r="J78" s="135">
        <f>MAX(0,CONFIG!$B$9-J75)</f>
        <v/>
      </c>
      <c r="K78" s="135">
        <f>MAX(0,CONFIG!$B$9-K75)</f>
        <v/>
      </c>
      <c r="L78" s="135">
        <f>MAX(0,CONFIG!$B$9-L75)</f>
        <v/>
      </c>
      <c r="M78" s="135">
        <f>MAX(0,CONFIG!$B$9-M75)</f>
        <v/>
      </c>
      <c r="N78" s="135">
        <f>MAX(0,CONFIG!$B$10-N75)</f>
        <v/>
      </c>
      <c r="O78" s="135">
        <f>MAX(0,CONFIG!$B$11-O75)</f>
        <v/>
      </c>
      <c r="P78" s="135">
        <f>MAX(0,CONFIG!$B$9-P75)</f>
        <v/>
      </c>
      <c r="Q78" s="135">
        <f>MAX(0,CONFIG!$B$9-Q75)</f>
        <v/>
      </c>
      <c r="R78" s="135">
        <f>MAX(0,CONFIG!$B$9-R75)</f>
        <v/>
      </c>
      <c r="S78" s="135">
        <f>MAX(0,CONFIG!$B$9-S75)</f>
        <v/>
      </c>
      <c r="T78" s="135">
        <f>MAX(0,CONFIG!$B$9-T75)</f>
        <v/>
      </c>
      <c r="U78" s="135">
        <f>MAX(0,CONFIG!$B$10-U75)</f>
        <v/>
      </c>
      <c r="V78" s="135">
        <f>MAX(0,CONFIG!$B$11-V75)</f>
        <v/>
      </c>
      <c r="W78" s="135">
        <f>MAX(0,CONFIG!$B$9-W75)</f>
        <v/>
      </c>
      <c r="X78" s="135">
        <f>MAX(0,CONFIG!$B$9-X75)</f>
        <v/>
      </c>
      <c r="Y78" s="135">
        <f>MAX(0,CONFIG!$B$9-Y75)</f>
        <v/>
      </c>
      <c r="Z78" s="135">
        <f>MAX(0,CONFIG!$B$9-Z75)</f>
        <v/>
      </c>
      <c r="AA78" s="135">
        <f>MAX(0,CONFIG!$B$9-AA75)</f>
        <v/>
      </c>
      <c r="AB78" s="135">
        <f>MAX(0,CONFIG!$B$10-AB75)</f>
        <v/>
      </c>
      <c r="AC78" s="135">
        <f>MAX(0,CONFIG!$B$11-AC75)</f>
        <v/>
      </c>
      <c r="AD78" s="135">
        <f>MAX(0,CONFIG!$B$9-AD75)</f>
        <v/>
      </c>
      <c r="AE78" s="135">
        <f>MAX(0,CONFIG!$B$9-AE75)</f>
        <v/>
      </c>
      <c r="AF78" s="135">
        <f>MAX(0,CONFIG!$B$9-AF75)</f>
        <v/>
      </c>
      <c r="AG78" s="135">
        <f>MAX(0,CONFIG!$B$9-AG75)</f>
        <v/>
      </c>
      <c r="AH78" s="135">
        <f>MAX(0,CONFIG!$B$9-AH75)</f>
        <v/>
      </c>
      <c r="AI78" s="135">
        <f>MAX(0,CONFIG!$B$10-AI75)</f>
        <v/>
      </c>
      <c r="AJ78" s="135">
        <f>MAX(0,CONFIG!$B$11-AJ75)</f>
        <v/>
      </c>
      <c r="AK78" s="135">
        <f>MAX(0,CONFIG!$B$9-AK75)</f>
        <v/>
      </c>
      <c r="AL78" s="135">
        <f>MAX(0,CONFIG!$B$9-AL75)</f>
        <v/>
      </c>
      <c r="AM78" s="39" t="n"/>
      <c r="AN78" s="135">
        <f>MAX(0,CONFIG!$B$9-AN75)</f>
        <v/>
      </c>
      <c r="AO78" s="135">
        <f>MAX(0,CONFIG!$B$9-AO75)</f>
        <v/>
      </c>
      <c r="AP78" s="135">
        <f>MAX(0,CONFIG!$B$9-AP75)</f>
        <v/>
      </c>
      <c r="AQ78" s="135">
        <f>MAX(0,CONFIG!$B$10-AQ75)</f>
        <v/>
      </c>
      <c r="AR78" s="135">
        <f>MAX(0,CONFIG!$B$11-AR75)</f>
        <v/>
      </c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39" t="n"/>
      <c r="H79" s="39" t="n"/>
      <c r="I79" s="135">
        <f>MAX(0,CONFIG!$C$9-I76)</f>
        <v/>
      </c>
      <c r="J79" s="135">
        <f>MAX(0,CONFIG!$C$9-J76)</f>
        <v/>
      </c>
      <c r="K79" s="135">
        <f>MAX(0,CONFIG!$C$9-K76)</f>
        <v/>
      </c>
      <c r="L79" s="135">
        <f>MAX(0,CONFIG!$C$9-L76)</f>
        <v/>
      </c>
      <c r="M79" s="135">
        <f>MAX(0,CONFIG!$C$9-M76)</f>
        <v/>
      </c>
      <c r="N79" s="135">
        <f>MAX(0,CONFIG!$C$10-N76)</f>
        <v/>
      </c>
      <c r="O79" s="135">
        <f>MAX(0,CONFIG!$C$11-O76)</f>
        <v/>
      </c>
      <c r="P79" s="135">
        <f>MAX(0,CONFIG!$C$9-P76)</f>
        <v/>
      </c>
      <c r="Q79" s="135">
        <f>MAX(0,CONFIG!$C$9-Q76)</f>
        <v/>
      </c>
      <c r="R79" s="135">
        <f>MAX(0,CONFIG!$C$9-R76)</f>
        <v/>
      </c>
      <c r="S79" s="135">
        <f>MAX(0,CONFIG!$C$9-S76)</f>
        <v/>
      </c>
      <c r="T79" s="135">
        <f>MAX(0,CONFIG!$C$9-T76)</f>
        <v/>
      </c>
      <c r="U79" s="135">
        <f>MAX(0,CONFIG!$C$10-U76)</f>
        <v/>
      </c>
      <c r="V79" s="135">
        <f>MAX(0,CONFIG!$C$11-V76)</f>
        <v/>
      </c>
      <c r="W79" s="135">
        <f>MAX(0,CONFIG!$C$9-W76)</f>
        <v/>
      </c>
      <c r="X79" s="135">
        <f>MAX(0,CONFIG!$C$9-X76)</f>
        <v/>
      </c>
      <c r="Y79" s="135">
        <f>MAX(0,CONFIG!$C$9-Y76)</f>
        <v/>
      </c>
      <c r="Z79" s="135">
        <f>MAX(0,CONFIG!$C$9-Z76)</f>
        <v/>
      </c>
      <c r="AA79" s="135">
        <f>MAX(0,CONFIG!$C$9-AA76)</f>
        <v/>
      </c>
      <c r="AB79" s="135">
        <f>MAX(0,CONFIG!$C$10-AB76)</f>
        <v/>
      </c>
      <c r="AC79" s="135">
        <f>MAX(0,CONFIG!$C$11-AC76)</f>
        <v/>
      </c>
      <c r="AD79" s="135">
        <f>MAX(0,CONFIG!$C$9-AD76)</f>
        <v/>
      </c>
      <c r="AE79" s="135">
        <f>MAX(0,CONFIG!$C$9-AE76)</f>
        <v/>
      </c>
      <c r="AF79" s="135">
        <f>MAX(0,CONFIG!$C$9-AF76)</f>
        <v/>
      </c>
      <c r="AG79" s="135">
        <f>MAX(0,CONFIG!$C$9-AG76)</f>
        <v/>
      </c>
      <c r="AH79" s="135">
        <f>MAX(0,CONFIG!$C$9-AH76)</f>
        <v/>
      </c>
      <c r="AI79" s="135">
        <f>MAX(0,CONFIG!$C$10-AI76)</f>
        <v/>
      </c>
      <c r="AJ79" s="135">
        <f>MAX(0,CONFIG!$C$11-AJ76)</f>
        <v/>
      </c>
      <c r="AK79" s="135">
        <f>MAX(0,CONFIG!$C$9-AK76)</f>
        <v/>
      </c>
      <c r="AL79" s="135">
        <f>MAX(0,CONFIG!$C$9-AL76)</f>
        <v/>
      </c>
      <c r="AM79" s="39" t="n"/>
      <c r="AN79" s="135">
        <f>MAX(0,CONFIG!$C$9-AN76)</f>
        <v/>
      </c>
      <c r="AO79" s="135">
        <f>MAX(0,CONFIG!$C$9-AO76)</f>
        <v/>
      </c>
      <c r="AP79" s="135">
        <f>MAX(0,CONFIG!$C$9-AP76)</f>
        <v/>
      </c>
      <c r="AQ79" s="135">
        <f>MAX(0,CONFIG!$C$10-AQ76)</f>
        <v/>
      </c>
      <c r="AR79" s="135">
        <f>MAX(0,CONFIG!$C$11-AR76)</f>
        <v/>
      </c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39" t="n"/>
      <c r="H80" s="39" t="n"/>
      <c r="I80" s="135">
        <f>MAX(0,CONFIG!$D$9-I77)</f>
        <v/>
      </c>
      <c r="J80" s="135">
        <f>MAX(0,CONFIG!$D$9-J77)</f>
        <v/>
      </c>
      <c r="K80" s="135">
        <f>MAX(0,CONFIG!$D$9-K77)</f>
        <v/>
      </c>
      <c r="L80" s="135">
        <f>MAX(0,CONFIG!$D$9-L77)</f>
        <v/>
      </c>
      <c r="M80" s="135">
        <f>MAX(0,CONFIG!$D$9-M77)</f>
        <v/>
      </c>
      <c r="N80" s="135">
        <f>MAX(0,CONFIG!$D$10-N77)</f>
        <v/>
      </c>
      <c r="O80" s="135">
        <f>MAX(0,CONFIG!$D$11-O77)</f>
        <v/>
      </c>
      <c r="P80" s="135">
        <f>MAX(0,CONFIG!$D$9-P77)</f>
        <v/>
      </c>
      <c r="Q80" s="135">
        <f>MAX(0,CONFIG!$D$9-Q77)</f>
        <v/>
      </c>
      <c r="R80" s="135">
        <f>MAX(0,CONFIG!$D$9-R77)</f>
        <v/>
      </c>
      <c r="S80" s="135">
        <f>MAX(0,CONFIG!$D$9-S77)</f>
        <v/>
      </c>
      <c r="T80" s="135">
        <f>MAX(0,CONFIG!$D$9-T77)</f>
        <v/>
      </c>
      <c r="U80" s="135">
        <f>MAX(0,CONFIG!$D$10-U77)</f>
        <v/>
      </c>
      <c r="V80" s="135">
        <f>MAX(0,CONFIG!$D$11-V77)</f>
        <v/>
      </c>
      <c r="W80" s="135">
        <f>MAX(0,CONFIG!$D$9-W77)</f>
        <v/>
      </c>
      <c r="X80" s="135">
        <f>MAX(0,CONFIG!$D$9-X77)</f>
        <v/>
      </c>
      <c r="Y80" s="135">
        <f>MAX(0,CONFIG!$D$9-Y77)</f>
        <v/>
      </c>
      <c r="Z80" s="135">
        <f>MAX(0,CONFIG!$D$9-Z77)</f>
        <v/>
      </c>
      <c r="AA80" s="135">
        <f>MAX(0,CONFIG!$D$9-AA77)</f>
        <v/>
      </c>
      <c r="AB80" s="135">
        <f>MAX(0,CONFIG!$D$10-AB77)</f>
        <v/>
      </c>
      <c r="AC80" s="135">
        <f>MAX(0,CONFIG!$D$11-AC77)</f>
        <v/>
      </c>
      <c r="AD80" s="135">
        <f>MAX(0,CONFIG!$D$9-AD77)</f>
        <v/>
      </c>
      <c r="AE80" s="135">
        <f>MAX(0,CONFIG!$D$9-AE77)</f>
        <v/>
      </c>
      <c r="AF80" s="135">
        <f>MAX(0,CONFIG!$D$9-AF77)</f>
        <v/>
      </c>
      <c r="AG80" s="135">
        <f>MAX(0,CONFIG!$D$9-AG77)</f>
        <v/>
      </c>
      <c r="AH80" s="135">
        <f>MAX(0,CONFIG!$D$9-AH77)</f>
        <v/>
      </c>
      <c r="AI80" s="135">
        <f>MAX(0,CONFIG!$D$10-AI77)</f>
        <v/>
      </c>
      <c r="AJ80" s="135">
        <f>MAX(0,CONFIG!$D$11-AJ77)</f>
        <v/>
      </c>
      <c r="AK80" s="135">
        <f>MAX(0,CONFIG!$D$9-AK77)</f>
        <v/>
      </c>
      <c r="AL80" s="135">
        <f>MAX(0,CONFIG!$D$9-AL77)</f>
        <v/>
      </c>
      <c r="AM80" s="39" t="n"/>
      <c r="AN80" s="135">
        <f>MAX(0,CONFIG!$D$9-AN77)</f>
        <v/>
      </c>
      <c r="AO80" s="135">
        <f>MAX(0,CONFIG!$D$9-AO77)</f>
        <v/>
      </c>
      <c r="AP80" s="135">
        <f>MAX(0,CONFIG!$D$9-AP77)</f>
        <v/>
      </c>
      <c r="AQ80" s="135">
        <f>MAX(0,CONFIG!$D$10-AQ77)</f>
        <v/>
      </c>
      <c r="AR80" s="135">
        <f>MAX(0,CONFIG!$D$11-AR77)</f>
        <v/>
      </c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2.5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Julho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0" t="n"/>
      <c r="G2" s="101" t="inlineStr">
        <is>
          <t>29/06</t>
        </is>
      </c>
      <c r="H2" s="101" t="inlineStr">
        <is>
          <t>30/06</t>
        </is>
      </c>
      <c r="I2" s="103" t="n">
        <v>1</v>
      </c>
      <c r="J2" s="103" t="n">
        <v>2</v>
      </c>
      <c r="K2" s="103" t="n">
        <v>3</v>
      </c>
      <c r="L2" s="104" t="n">
        <v>4</v>
      </c>
      <c r="M2" s="104" t="n">
        <v>5</v>
      </c>
      <c r="N2" s="103" t="n">
        <v>6</v>
      </c>
      <c r="O2" s="103" t="n">
        <v>7</v>
      </c>
      <c r="P2" s="103" t="n">
        <v>8</v>
      </c>
      <c r="Q2" s="103" t="n">
        <v>9</v>
      </c>
      <c r="R2" s="103" t="n">
        <v>10</v>
      </c>
      <c r="S2" s="104" t="n">
        <v>11</v>
      </c>
      <c r="T2" s="104" t="n">
        <v>12</v>
      </c>
      <c r="U2" s="103" t="n">
        <v>13</v>
      </c>
      <c r="V2" s="103" t="n">
        <v>14</v>
      </c>
      <c r="W2" s="103" t="n">
        <v>15</v>
      </c>
      <c r="X2" s="103" t="n">
        <v>16</v>
      </c>
      <c r="Y2" s="103" t="n">
        <v>17</v>
      </c>
      <c r="Z2" s="104" t="n">
        <v>18</v>
      </c>
      <c r="AA2" s="104" t="n">
        <v>19</v>
      </c>
      <c r="AB2" s="103" t="n">
        <v>20</v>
      </c>
      <c r="AC2" s="103" t="n">
        <v>21</v>
      </c>
      <c r="AD2" s="103" t="n">
        <v>22</v>
      </c>
      <c r="AE2" s="103" t="n">
        <v>23</v>
      </c>
      <c r="AF2" s="103" t="n">
        <v>24</v>
      </c>
      <c r="AG2" s="104" t="n">
        <v>25</v>
      </c>
      <c r="AH2" s="104" t="n">
        <v>26</v>
      </c>
      <c r="AI2" s="103" t="n">
        <v>27</v>
      </c>
      <c r="AJ2" s="103" t="n">
        <v>28</v>
      </c>
      <c r="AK2" s="103" t="n">
        <v>29</v>
      </c>
      <c r="AL2" s="103" t="n">
        <v>30</v>
      </c>
      <c r="AM2" s="103" t="n">
        <v>31</v>
      </c>
      <c r="AN2" s="105" t="inlineStr">
        <is>
          <t>01/08</t>
        </is>
      </c>
      <c r="AO2" s="105" t="inlineStr">
        <is>
          <t>02/08</t>
        </is>
      </c>
      <c r="AP2" s="100" t="n"/>
      <c r="AQ2" s="100" t="n"/>
      <c r="AR2" s="100" t="n"/>
      <c r="AS2" s="100" t="n"/>
      <c r="AT2" s="106" t="inlineStr">
        <is>
          <t>29/06–05/07</t>
        </is>
      </c>
      <c r="AU2" s="39" t="n"/>
      <c r="AV2" s="106" t="inlineStr">
        <is>
          <t>06/07–12/07</t>
        </is>
      </c>
      <c r="AW2" s="39" t="n"/>
      <c r="AX2" s="106" t="inlineStr">
        <is>
          <t>13/07–19/07</t>
        </is>
      </c>
      <c r="AY2" s="39" t="n"/>
      <c r="AZ2" s="106" t="inlineStr">
        <is>
          <t>20/07–26/07</t>
        </is>
      </c>
      <c r="BA2" s="39" t="n"/>
      <c r="BB2" s="106" t="inlineStr">
        <is>
          <t>27/07–02/08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0" t="n"/>
      <c r="G3" s="107" t="inlineStr">
        <is>
          <t>seg</t>
        </is>
      </c>
      <c r="H3" s="107" t="inlineStr">
        <is>
          <t>ter</t>
        </is>
      </c>
      <c r="I3" s="107" t="inlineStr">
        <is>
          <t>qua</t>
        </is>
      </c>
      <c r="J3" s="107" t="inlineStr">
        <is>
          <t>qui</t>
        </is>
      </c>
      <c r="K3" s="107" t="inlineStr">
        <is>
          <t>sex</t>
        </is>
      </c>
      <c r="L3" s="109" t="inlineStr">
        <is>
          <t>sáb</t>
        </is>
      </c>
      <c r="M3" s="109" t="inlineStr">
        <is>
          <t>dom</t>
        </is>
      </c>
      <c r="N3" s="107" t="inlineStr">
        <is>
          <t>seg</t>
        </is>
      </c>
      <c r="O3" s="107" t="inlineStr">
        <is>
          <t>ter</t>
        </is>
      </c>
      <c r="P3" s="107" t="inlineStr">
        <is>
          <t>qua</t>
        </is>
      </c>
      <c r="Q3" s="107" t="inlineStr">
        <is>
          <t>qui</t>
        </is>
      </c>
      <c r="R3" s="107" t="inlineStr">
        <is>
          <t>sex</t>
        </is>
      </c>
      <c r="S3" s="109" t="inlineStr">
        <is>
          <t>sáb</t>
        </is>
      </c>
      <c r="T3" s="109" t="inlineStr">
        <is>
          <t>dom</t>
        </is>
      </c>
      <c r="U3" s="107" t="inlineStr">
        <is>
          <t>seg</t>
        </is>
      </c>
      <c r="V3" s="107" t="inlineStr">
        <is>
          <t>ter</t>
        </is>
      </c>
      <c r="W3" s="107" t="inlineStr">
        <is>
          <t>qua</t>
        </is>
      </c>
      <c r="X3" s="107" t="inlineStr">
        <is>
          <t>qui</t>
        </is>
      </c>
      <c r="Y3" s="107" t="inlineStr">
        <is>
          <t>sex</t>
        </is>
      </c>
      <c r="Z3" s="109" t="inlineStr">
        <is>
          <t>sáb</t>
        </is>
      </c>
      <c r="AA3" s="109" t="inlineStr">
        <is>
          <t>dom</t>
        </is>
      </c>
      <c r="AB3" s="107" t="inlineStr">
        <is>
          <t>seg</t>
        </is>
      </c>
      <c r="AC3" s="107" t="inlineStr">
        <is>
          <t>ter</t>
        </is>
      </c>
      <c r="AD3" s="107" t="inlineStr">
        <is>
          <t>qua</t>
        </is>
      </c>
      <c r="AE3" s="107" t="inlineStr">
        <is>
          <t>qui</t>
        </is>
      </c>
      <c r="AF3" s="107" t="inlineStr">
        <is>
          <t>sex</t>
        </is>
      </c>
      <c r="AG3" s="109" t="inlineStr">
        <is>
          <t>sáb</t>
        </is>
      </c>
      <c r="AH3" s="109" t="inlineStr">
        <is>
          <t>dom</t>
        </is>
      </c>
      <c r="AI3" s="107" t="inlineStr">
        <is>
          <t>seg</t>
        </is>
      </c>
      <c r="AJ3" s="107" t="inlineStr">
        <is>
          <t>ter</t>
        </is>
      </c>
      <c r="AK3" s="107" t="inlineStr">
        <is>
          <t>qua</t>
        </is>
      </c>
      <c r="AL3" s="107" t="inlineStr">
        <is>
          <t>qui</t>
        </is>
      </c>
      <c r="AM3" s="107" t="inlineStr">
        <is>
          <t>sex</t>
        </is>
      </c>
      <c r="AN3" s="109" t="inlineStr">
        <is>
          <t>sáb</t>
        </is>
      </c>
      <c r="AO3" s="109" t="inlineStr">
        <is>
          <t>dom</t>
        </is>
      </c>
      <c r="AP3" s="100" t="n"/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1</v>
      </c>
      <c r="M4" s="39" t="n">
        <v>1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0</v>
      </c>
      <c r="S4" s="39" t="n">
        <v>1</v>
      </c>
      <c r="T4" s="39" t="n">
        <v>1</v>
      </c>
      <c r="U4" s="39" t="n">
        <v>0</v>
      </c>
      <c r="V4" s="39" t="n">
        <v>0</v>
      </c>
      <c r="W4" s="39" t="n">
        <v>0</v>
      </c>
      <c r="X4" s="39" t="n">
        <v>0</v>
      </c>
      <c r="Y4" s="39" t="n">
        <v>0</v>
      </c>
      <c r="Z4" s="39" t="n">
        <v>1</v>
      </c>
      <c r="AA4" s="39" t="n">
        <v>1</v>
      </c>
      <c r="AB4" s="39" t="n">
        <v>0</v>
      </c>
      <c r="AC4" s="39" t="n">
        <v>0</v>
      </c>
      <c r="AD4" s="39" t="n">
        <v>0</v>
      </c>
      <c r="AE4" s="39" t="n">
        <v>0</v>
      </c>
      <c r="AF4" s="39" t="n">
        <v>0</v>
      </c>
      <c r="AG4" s="39" t="n">
        <v>1</v>
      </c>
      <c r="AH4" s="39" t="n">
        <v>1</v>
      </c>
      <c r="AI4" s="39" t="n">
        <v>0</v>
      </c>
      <c r="AJ4" s="39" t="n">
        <v>0</v>
      </c>
      <c r="AK4" s="39" t="n">
        <v>0</v>
      </c>
      <c r="AL4" s="39" t="n">
        <v>0</v>
      </c>
      <c r="AM4" s="39" t="n">
        <v>0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1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1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1</v>
      </c>
      <c r="Z5" s="39" t="n">
        <v>0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0</v>
      </c>
      <c r="AF5" s="39" t="n">
        <v>1</v>
      </c>
      <c r="AG5" s="39" t="n">
        <v>0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0</v>
      </c>
      <c r="AM5" s="39" t="n">
        <v>1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36">
        <f>IFERROR(INDEX(JUN!AK$8:AK$73,MATCH($A8,JUN!$A$8:$A$73,0))&amp;"","")</f>
        <v/>
      </c>
      <c r="H8" s="136">
        <f>IFERROR(INDEX(JUN!AL$8:AL$73,MATCH($A8,JUN!$A$8:$A$73,0))&amp;"","")</f>
        <v/>
      </c>
      <c r="I8" s="115" t="inlineStr">
        <is>
          <t>M</t>
        </is>
      </c>
      <c r="J8" s="115" t="inlineStr">
        <is>
          <t>M</t>
        </is>
      </c>
      <c r="K8" s="115" t="inlineStr">
        <is>
          <t>M</t>
        </is>
      </c>
      <c r="L8" s="114" t="n"/>
      <c r="M8" s="114" t="n"/>
      <c r="N8" s="115" t="inlineStr">
        <is>
          <t>M</t>
        </is>
      </c>
      <c r="O8" s="115" t="inlineStr">
        <is>
          <t>M</t>
        </is>
      </c>
      <c r="P8" s="137" t="inlineStr">
        <is>
          <t>C</t>
        </is>
      </c>
      <c r="Q8" s="137" t="inlineStr">
        <is>
          <t>C</t>
        </is>
      </c>
      <c r="R8" s="115" t="inlineStr">
        <is>
          <t>M</t>
        </is>
      </c>
      <c r="S8" s="114" t="n"/>
      <c r="T8" s="114" t="n"/>
      <c r="U8" s="115" t="inlineStr">
        <is>
          <t>M</t>
        </is>
      </c>
      <c r="V8" s="115" t="inlineStr">
        <is>
          <t>M</t>
        </is>
      </c>
      <c r="W8" s="137" t="inlineStr">
        <is>
          <t>C</t>
        </is>
      </c>
      <c r="X8" s="137" t="inlineStr">
        <is>
          <t>C</t>
        </is>
      </c>
      <c r="Y8" s="115" t="inlineStr">
        <is>
          <t>M</t>
        </is>
      </c>
      <c r="Z8" s="114" t="n"/>
      <c r="AA8" s="114" t="n"/>
      <c r="AB8" s="115" t="inlineStr">
        <is>
          <t>M</t>
        </is>
      </c>
      <c r="AC8" s="115" t="inlineStr">
        <is>
          <t>M</t>
        </is>
      </c>
      <c r="AD8" s="137" t="inlineStr">
        <is>
          <t>C</t>
        </is>
      </c>
      <c r="AE8" s="137" t="inlineStr">
        <is>
          <t>C</t>
        </is>
      </c>
      <c r="AF8" s="115" t="inlineStr">
        <is>
          <t>M</t>
        </is>
      </c>
      <c r="AG8" s="114" t="n"/>
      <c r="AH8" s="114" t="n"/>
      <c r="AI8" s="114" t="n"/>
      <c r="AJ8" s="114" t="n"/>
      <c r="AK8" s="114" t="n"/>
      <c r="AL8" s="114" t="n"/>
      <c r="AM8" s="114" t="n"/>
      <c r="AN8" s="116">
        <f>IFERROR(INDEX(AGO!I$8:I$73,MATCH($A8,AGO!$A$8:$A$73,0))&amp;"","")</f>
        <v/>
      </c>
      <c r="AO8" s="116">
        <f>IFERROR(INDEX(AGO!J$8:J$73,MATCH($A8,AGO!$A$8:$A$73,0))&amp;"","")</f>
        <v/>
      </c>
      <c r="AP8" s="100" t="n"/>
      <c r="AQ8" s="100" t="n"/>
      <c r="AR8" s="100" t="n"/>
      <c r="AS8" s="100" t="n"/>
      <c r="AT8" s="117">
        <f>SUMPRODUCT(($G8:$M8="M")*6+($G8:$M8="T")*6+($G8:$M8="D")*12+($G8:$M8="N")*12+($G8:$M8="NT")*6+($G8:$M8="C")*10+($G8:$M8="A")*8+($G8:$M8="J")*5+($G8:$M8="CEP")*4+($G8:$M8="CP")*6+($G8:$M8="CRO")*6+($G8:$M8="M+")*6+($G8:$M8="T+")*6+($G8:$M8="D+")*12+($G8:$M8="N+")*12+($G8:$M8="Dm+")*12+($G8:$M8="Dt+")*12+($G8:$M8="Tm-")*6+($G8:$M8="Mt-")*6)</f>
        <v/>
      </c>
      <c r="AU8" s="118">
        <f>AT8-MAX(0,IFERROR(INDEX(CADASTRO!$I$4:$I$80,MATCH($A8,CADASTRO!$A$4:$A$80,0)),$B8)-CONFIG!$B$50*(COUNTIF($G8:$M8,"AB")+COUNTIF($G8:$M8,"FE")+COUNTIF($G8:$M8,"LM")))</f>
        <v/>
      </c>
      <c r="AV8" s="117">
        <f>SUMPRODUCT(($N8:$T8="M")*6+($N8:$T8="T")*6+($N8:$T8="D")*12+($N8:$T8="N")*12+($N8:$T8="NT")*6+($N8:$T8="C")*10+($N8:$T8="A")*8+($N8:$T8="J")*5+($N8:$T8="CEP")*4+($N8:$T8="CP")*6+($N8:$T8="CRO")*6+($N8:$T8="M+")*6+($N8:$T8="T+")*6+($N8:$T8="D+")*12+($N8:$T8="N+")*12+($N8:$T8="Dm+")*12+($N8:$T8="Dt+")*12+($N8:$T8="Tm-")*6+($N8:$T8="Mt-")*6)</f>
        <v/>
      </c>
      <c r="AW8" s="118">
        <f>AV8-MAX(0,IFERROR(INDEX(CADASTRO!$I$4:$I$80,MATCH($A8,CADASTRO!$A$4:$A$80,0)),$B8)-CONFIG!$B$50*(COUNTIF($N8:$T8,"AB")+COUNTIF($N8:$T8,"FE")+COUNTIF($N8:$T8,"LM")))</f>
        <v/>
      </c>
      <c r="AX8" s="117">
        <f>SUMPRODUCT(($U8:$AA8="M")*6+($U8:$AA8="T")*6+($U8:$AA8="D")*12+($U8:$AA8="N")*12+($U8:$AA8="NT")*6+($U8:$AA8="C")*10+($U8:$AA8="A")*8+($U8:$AA8="J")*5+($U8:$AA8="CEP")*4+($U8:$AA8="CP")*6+($U8:$AA8="CRO")*6+($U8:$AA8="M+")*6+($U8:$AA8="T+")*6+($U8:$AA8="D+")*12+($U8:$AA8="N+")*12+($U8:$AA8="Dm+")*12+($U8:$AA8="Dt+")*12+($U8:$AA8="Tm-")*6+($U8:$AA8="Mt-")*6)</f>
        <v/>
      </c>
      <c r="AY8" s="118">
        <f>AX8-MAX(0,IFERROR(INDEX(CADASTRO!$I$4:$I$80,MATCH($A8,CADASTRO!$A$4:$A$80,0)),$B8)-CONFIG!$B$50*(COUNTIF($U8:$AA8,"AB")+COUNTIF($U8:$AA8,"FE")+COUNTIF($U8:$AA8,"LM")))</f>
        <v/>
      </c>
      <c r="AZ8" s="117">
        <f>SUMPRODUCT(($AB8:$AH8="M")*6+($AB8:$AH8="T")*6+($AB8:$AH8="D")*12+($AB8:$AH8="N")*12+($AB8:$AH8="NT")*6+($AB8:$AH8="C")*10+($AB8:$AH8="A")*8+($AB8:$AH8="J")*5+($AB8:$AH8="CEP")*4+($AB8:$AH8="CP")*6+($AB8:$AH8="CRO")*6+($AB8:$AH8="M+")*6+($AB8:$AH8="T+")*6+($AB8:$AH8="D+")*12+($AB8:$AH8="N+")*12+($AB8:$AH8="Dm+")*12+($AB8:$AH8="Dt+")*12+($AB8:$AH8="Tm-")*6+($AB8:$AH8="Mt-")*6)</f>
        <v/>
      </c>
      <c r="BA8" s="118">
        <f>AZ8-MAX(0,IFERROR(INDEX(CADASTRO!$I$4:$I$80,MATCH($A8,CADASTRO!$A$4:$A$80,0)),$B8)-CONFIG!$B$50*(COUNTIF($AB8:$AH8,"AB")+COUNTIF($AB8:$AH8,"FE")+COUNTIF($AB8:$AH8,"LM")))</f>
        <v/>
      </c>
      <c r="BB8" s="117">
        <f>SUMPRODUCT(($AI8:$AM8="M")*6+($AI8:$AM8="T")*6+($AI8:$AM8="D")*12+($AI8:$AM8="N")*12+($AI8:$AM8="NT")*6+($AI8:$AM8="C")*10+($AI8:$AM8="A")*8+($AI8:$AM8="J")*5+($AI8:$AM8="CEP")*4+($AI8:$AM8="CP")*6+($AI8:$AM8="CRO")*6+($AI8:$AM8="M+")*6+($AI8:$AM8="T+")*6+($AI8:$AM8="D+")*12+($AI8:$AM8="N+")*12+($AI8:$AM8="Dm+")*12+($AI8:$AM8="Dt+")*12+($AI8:$AM8="Tm-")*6+($AI8:$AM8="Mt-")*6)+SUMPRODUCT(($AN8:$AO8="M")*6+($AN8:$AO8="T")*6+($AN8:$AO8="D")*12+($AN8:$AO8="N")*12+($AN8:$AO8="NT")*6+($AN8:$AO8="C")*10+($AN8:$AO8="A")*8+($AN8:$AO8="J")*5+($AN8:$AO8="CEP")*4+($AN8:$AO8="CP")*6+($AN8:$AO8="CRO")*6+($AN8:$AO8="M+")*6+($AN8:$AO8="T+")*6+($AN8:$AO8="D+")*12+($AN8:$AO8="N+")*12+($AN8:$AO8="Dm+")*12+($AN8:$AO8="Dt+")*12+($AN8:$AO8="Tm-")*6+($AN8:$AO8="Mt-")*6)</f>
        <v/>
      </c>
      <c r="BC8" s="118">
        <f>BB8-MAX(0,IFERROR(INDEX(CADASTRO!$I$4:$I$80,MATCH($A8,CADASTRO!$A$4:$A$80,0)),$B8)-CONFIG!$B$50*(COUNTIF($AI8:$AM8,"AB")+COUNTIF($AI8:$AM8,"FE")+COUNTIF($AI8:$AM8,"LM")+COUNTIF($AN8:$AO8,"AB")+COUNTIF($AN8:$AO8,"FE")+COUNTIF($AN8:$AO8,"LM")))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36">
        <f>IFERROR(INDEX(JUN!AK$8:AK$73,MATCH($A9,JUN!$A$8:$A$73,0))&amp;"","")</f>
        <v/>
      </c>
      <c r="H9" s="136">
        <f>IFERROR(INDEX(JUN!AL$8:AL$73,MATCH($A9,JUN!$A$8:$A$73,0))&amp;"","")</f>
        <v/>
      </c>
      <c r="I9" s="115" t="inlineStr">
        <is>
          <t>M</t>
        </is>
      </c>
      <c r="J9" s="137" t="inlineStr">
        <is>
          <t>C</t>
        </is>
      </c>
      <c r="K9" s="115" t="inlineStr">
        <is>
          <t>M</t>
        </is>
      </c>
      <c r="L9" s="114" t="n"/>
      <c r="M9" s="114" t="n"/>
      <c r="N9" s="115" t="inlineStr">
        <is>
          <t>M</t>
        </is>
      </c>
      <c r="O9" s="115" t="inlineStr">
        <is>
          <t>M</t>
        </is>
      </c>
      <c r="P9" s="115" t="inlineStr">
        <is>
          <t>M</t>
        </is>
      </c>
      <c r="Q9" s="115" t="inlineStr">
        <is>
          <t>M</t>
        </is>
      </c>
      <c r="R9" s="115" t="inlineStr">
        <is>
          <t>M</t>
        </is>
      </c>
      <c r="S9" s="114" t="n"/>
      <c r="T9" s="114" t="n"/>
      <c r="U9" s="115" t="inlineStr">
        <is>
          <t>M</t>
        </is>
      </c>
      <c r="V9" s="115" t="inlineStr">
        <is>
          <t>M</t>
        </is>
      </c>
      <c r="W9" s="115" t="inlineStr">
        <is>
          <t>M</t>
        </is>
      </c>
      <c r="X9" s="115" t="inlineStr">
        <is>
          <t>M</t>
        </is>
      </c>
      <c r="Y9" s="115" t="inlineStr">
        <is>
          <t>M</t>
        </is>
      </c>
      <c r="Z9" s="114" t="n"/>
      <c r="AA9" s="114" t="n"/>
      <c r="AB9" s="115" t="inlineStr">
        <is>
          <t>M</t>
        </is>
      </c>
      <c r="AC9" s="115" t="inlineStr">
        <is>
          <t>M</t>
        </is>
      </c>
      <c r="AD9" s="115" t="inlineStr">
        <is>
          <t>M</t>
        </is>
      </c>
      <c r="AE9" s="115" t="inlineStr">
        <is>
          <t>M</t>
        </is>
      </c>
      <c r="AF9" s="115" t="inlineStr">
        <is>
          <t>M</t>
        </is>
      </c>
      <c r="AG9" s="114" t="n"/>
      <c r="AH9" s="114" t="n"/>
      <c r="AI9" s="115" t="inlineStr">
        <is>
          <t>M</t>
        </is>
      </c>
      <c r="AJ9" s="115" t="inlineStr">
        <is>
          <t>M</t>
        </is>
      </c>
      <c r="AK9" s="115" t="inlineStr">
        <is>
          <t>M</t>
        </is>
      </c>
      <c r="AL9" s="115" t="inlineStr">
        <is>
          <t>M</t>
        </is>
      </c>
      <c r="AM9" s="115" t="inlineStr">
        <is>
          <t>M</t>
        </is>
      </c>
      <c r="AN9" s="116">
        <f>IFERROR(INDEX(AGO!I$8:I$73,MATCH($A9,AGO!$A$8:$A$73,0))&amp;"","")</f>
        <v/>
      </c>
      <c r="AO9" s="116">
        <f>IFERROR(INDEX(AGO!J$8:J$73,MATCH($A9,AGO!$A$8:$A$73,0))&amp;"","")</f>
        <v/>
      </c>
      <c r="AP9" s="100" t="n"/>
      <c r="AQ9" s="100" t="n"/>
      <c r="AR9" s="100" t="n"/>
      <c r="AS9" s="100" t="n"/>
      <c r="AT9" s="117">
        <f>SUMPRODUCT(($G9:$M9="M")*6+($G9:$M9="T")*6+($G9:$M9="D")*12+($G9:$M9="N")*12+($G9:$M9="NT")*6+($G9:$M9="C")*10+($G9:$M9="A")*8+($G9:$M9="J")*5+($G9:$M9="CEP")*4+($G9:$M9="CP")*6+($G9:$M9="CRO")*6+($G9:$M9="M+")*6+($G9:$M9="T+")*6+($G9:$M9="D+")*12+($G9:$M9="N+")*12+($G9:$M9="Dm+")*12+($G9:$M9="Dt+")*12+($G9:$M9="Tm-")*6+($G9:$M9="Mt-")*6)</f>
        <v/>
      </c>
      <c r="AU9" s="118">
        <f>AT9-MAX(0,IFERROR(INDEX(CADASTRO!$I$4:$I$80,MATCH($A9,CADASTRO!$A$4:$A$80,0)),$B9)-CONFIG!$B$50*(COUNTIF($G9:$M9,"AB")+COUNTIF($G9:$M9,"FE")+COUNTIF($G9:$M9,"LM")))</f>
        <v/>
      </c>
      <c r="AV9" s="117">
        <f>SUMPRODUCT(($N9:$T9="M")*6+($N9:$T9="T")*6+($N9:$T9="D")*12+($N9:$T9="N")*12+($N9:$T9="NT")*6+($N9:$T9="C")*10+($N9:$T9="A")*8+($N9:$T9="J")*5+($N9:$T9="CEP")*4+($N9:$T9="CP")*6+($N9:$T9="CRO")*6+($N9:$T9="M+")*6+($N9:$T9="T+")*6+($N9:$T9="D+")*12+($N9:$T9="N+")*12+($N9:$T9="Dm+")*12+($N9:$T9="Dt+")*12+($N9:$T9="Tm-")*6+($N9:$T9="Mt-")*6)</f>
        <v/>
      </c>
      <c r="AW9" s="118">
        <f>AV9-MAX(0,IFERROR(INDEX(CADASTRO!$I$4:$I$80,MATCH($A9,CADASTRO!$A$4:$A$80,0)),$B9)-CONFIG!$B$50*(COUNTIF($N9:$T9,"AB")+COUNTIF($N9:$T9,"FE")+COUNTIF($N9:$T9,"LM")))</f>
        <v/>
      </c>
      <c r="AX9" s="117">
        <f>SUMPRODUCT(($U9:$AA9="M")*6+($U9:$AA9="T")*6+($U9:$AA9="D")*12+($U9:$AA9="N")*12+($U9:$AA9="NT")*6+($U9:$AA9="C")*10+($U9:$AA9="A")*8+($U9:$AA9="J")*5+($U9:$AA9="CEP")*4+($U9:$AA9="CP")*6+($U9:$AA9="CRO")*6+($U9:$AA9="M+")*6+($U9:$AA9="T+")*6+($U9:$AA9="D+")*12+($U9:$AA9="N+")*12+($U9:$AA9="Dm+")*12+($U9:$AA9="Dt+")*12+($U9:$AA9="Tm-")*6+($U9:$AA9="Mt-")*6)</f>
        <v/>
      </c>
      <c r="AY9" s="118">
        <f>AX9-MAX(0,IFERROR(INDEX(CADASTRO!$I$4:$I$80,MATCH($A9,CADASTRO!$A$4:$A$80,0)),$B9)-CONFIG!$B$50*(COUNTIF($U9:$AA9,"AB")+COUNTIF($U9:$AA9,"FE")+COUNTIF($U9:$AA9,"LM")))</f>
        <v/>
      </c>
      <c r="AZ9" s="117">
        <f>SUMPRODUCT(($AB9:$AH9="M")*6+($AB9:$AH9="T")*6+($AB9:$AH9="D")*12+($AB9:$AH9="N")*12+($AB9:$AH9="NT")*6+($AB9:$AH9="C")*10+($AB9:$AH9="A")*8+($AB9:$AH9="J")*5+($AB9:$AH9="CEP")*4+($AB9:$AH9="CP")*6+($AB9:$AH9="CRO")*6+($AB9:$AH9="M+")*6+($AB9:$AH9="T+")*6+($AB9:$AH9="D+")*12+($AB9:$AH9="N+")*12+($AB9:$AH9="Dm+")*12+($AB9:$AH9="Dt+")*12+($AB9:$AH9="Tm-")*6+($AB9:$AH9="Mt-")*6)</f>
        <v/>
      </c>
      <c r="BA9" s="118">
        <f>AZ9-MAX(0,IFERROR(INDEX(CADASTRO!$I$4:$I$80,MATCH($A9,CADASTRO!$A$4:$A$80,0)),$B9)-CONFIG!$B$50*(COUNTIF($AB9:$AH9,"AB")+COUNTIF($AB9:$AH9,"FE")+COUNTIF($AB9:$AH9,"LM")))</f>
        <v/>
      </c>
      <c r="BB9" s="117">
        <f>SUMPRODUCT(($AI9:$AM9="M")*6+($AI9:$AM9="T")*6+($AI9:$AM9="D")*12+($AI9:$AM9="N")*12+($AI9:$AM9="NT")*6+($AI9:$AM9="C")*10+($AI9:$AM9="A")*8+($AI9:$AM9="J")*5+($AI9:$AM9="CEP")*4+($AI9:$AM9="CP")*6+($AI9:$AM9="CRO")*6+($AI9:$AM9="M+")*6+($AI9:$AM9="T+")*6+($AI9:$AM9="D+")*12+($AI9:$AM9="N+")*12+($AI9:$AM9="Dm+")*12+($AI9:$AM9="Dt+")*12+($AI9:$AM9="Tm-")*6+($AI9:$AM9="Mt-")*6)+SUMPRODUCT(($AN9:$AO9="M")*6+($AN9:$AO9="T")*6+($AN9:$AO9="D")*12+($AN9:$AO9="N")*12+($AN9:$AO9="NT")*6+($AN9:$AO9="C")*10+($AN9:$AO9="A")*8+($AN9:$AO9="J")*5+($AN9:$AO9="CEP")*4+($AN9:$AO9="CP")*6+($AN9:$AO9="CRO")*6+($AN9:$AO9="M+")*6+($AN9:$AO9="T+")*6+($AN9:$AO9="D+")*12+($AN9:$AO9="N+")*12+($AN9:$AO9="Dm+")*12+($AN9:$AO9="Dt+")*12+($AN9:$AO9="Tm-")*6+($AN9:$AO9="Mt-")*6)</f>
        <v/>
      </c>
      <c r="BC9" s="118">
        <f>BB9-MAX(0,IFERROR(INDEX(CADASTRO!$I$4:$I$80,MATCH($A9,CADASTRO!$A$4:$A$80,0)),$B9)-CONFIG!$B$50*(COUNTIF($AI9:$AM9,"AB")+COUNTIF($AI9:$AM9,"FE")+COUNTIF($AI9:$AM9,"LM")+COUNTIF($AN9:$AO9,"AB")+COUNTIF($AN9:$AO9,"FE")+COUNTIF($AN9:$AO9,"LM")))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36">
        <f>IFERROR(INDEX(JUN!AK$8:AK$73,MATCH($A10,JUN!$A$8:$A$73,0))&amp;"","")</f>
        <v/>
      </c>
      <c r="H10" s="136">
        <f>IFERROR(INDEX(JUN!AL$8:AL$73,MATCH($A10,JUN!$A$8:$A$73,0))&amp;"","")</f>
        <v/>
      </c>
      <c r="I10" s="114" t="n"/>
      <c r="J10" s="114" t="n"/>
      <c r="K10" s="114" t="n"/>
      <c r="L10" s="114" t="n"/>
      <c r="M10" s="114" t="n"/>
      <c r="N10" s="115" t="inlineStr">
        <is>
          <t>M</t>
        </is>
      </c>
      <c r="O10" s="115" t="inlineStr">
        <is>
          <t>M</t>
        </is>
      </c>
      <c r="P10" s="115" t="inlineStr">
        <is>
          <t>M</t>
        </is>
      </c>
      <c r="Q10" s="115" t="inlineStr">
        <is>
          <t>M</t>
        </is>
      </c>
      <c r="R10" s="115" t="inlineStr">
        <is>
          <t>M</t>
        </is>
      </c>
      <c r="S10" s="138" t="inlineStr">
        <is>
          <t>LM</t>
        </is>
      </c>
      <c r="T10" s="138" t="inlineStr">
        <is>
          <t>LM</t>
        </is>
      </c>
      <c r="U10" s="115" t="inlineStr">
        <is>
          <t>M</t>
        </is>
      </c>
      <c r="V10" s="115" t="inlineStr">
        <is>
          <t>M</t>
        </is>
      </c>
      <c r="W10" s="115" t="inlineStr">
        <is>
          <t>M</t>
        </is>
      </c>
      <c r="X10" s="115" t="inlineStr">
        <is>
          <t>M</t>
        </is>
      </c>
      <c r="Y10" s="137" t="inlineStr">
        <is>
          <t>C</t>
        </is>
      </c>
      <c r="Z10" s="114" t="n"/>
      <c r="AA10" s="114" t="n"/>
      <c r="AB10" s="115" t="inlineStr">
        <is>
          <t>M</t>
        </is>
      </c>
      <c r="AC10" s="115" t="inlineStr">
        <is>
          <t>M</t>
        </is>
      </c>
      <c r="AD10" s="115" t="inlineStr">
        <is>
          <t>M</t>
        </is>
      </c>
      <c r="AE10" s="115" t="inlineStr">
        <is>
          <t>M</t>
        </is>
      </c>
      <c r="AF10" s="137" t="inlineStr">
        <is>
          <t>C</t>
        </is>
      </c>
      <c r="AG10" s="114" t="n"/>
      <c r="AH10" s="114" t="n"/>
      <c r="AI10" s="115" t="inlineStr">
        <is>
          <t>M</t>
        </is>
      </c>
      <c r="AJ10" s="115" t="inlineStr">
        <is>
          <t>M</t>
        </is>
      </c>
      <c r="AK10" s="115" t="inlineStr">
        <is>
          <t>M</t>
        </is>
      </c>
      <c r="AL10" s="115" t="inlineStr">
        <is>
          <t>M</t>
        </is>
      </c>
      <c r="AM10" s="137" t="inlineStr">
        <is>
          <t>C</t>
        </is>
      </c>
      <c r="AN10" s="116">
        <f>IFERROR(INDEX(AGO!I$8:I$73,MATCH($A10,AGO!$A$8:$A$73,0))&amp;"","")</f>
        <v/>
      </c>
      <c r="AO10" s="116">
        <f>IFERROR(INDEX(AGO!J$8:J$73,MATCH($A10,AGO!$A$8:$A$73,0))&amp;"","")</f>
        <v/>
      </c>
      <c r="AP10" s="100" t="n"/>
      <c r="AQ10" s="100" t="n"/>
      <c r="AR10" s="100" t="n"/>
      <c r="AS10" s="100" t="n"/>
      <c r="AT10" s="117">
        <f>SUMPRODUCT(($G10:$M10="M")*6+($G10:$M10="T")*6+($G10:$M10="D")*12+($G10:$M10="N")*12+($G10:$M10="NT")*6+($G10:$M10="C")*10+($G10:$M10="A")*8+($G10:$M10="J")*5+($G10:$M10="CEP")*4+($G10:$M10="CP")*6+($G10:$M10="CRO")*6+($G10:$M10="M+")*6+($G10:$M10="T+")*6+($G10:$M10="D+")*12+($G10:$M10="N+")*12+($G10:$M10="Dm+")*12+($G10:$M10="Dt+")*12+($G10:$M10="Tm-")*6+($G10:$M10="Mt-")*6)</f>
        <v/>
      </c>
      <c r="AU10" s="118">
        <f>AT10-MAX(0,IFERROR(INDEX(CADASTRO!$I$4:$I$80,MATCH($A10,CADASTRO!$A$4:$A$80,0)),$B10)-CONFIG!$B$50*(COUNTIF($G10:$M10,"AB")+COUNTIF($G10:$M10,"FE")+COUNTIF($G10:$M10,"LM")))</f>
        <v/>
      </c>
      <c r="AV10" s="117">
        <f>SUMPRODUCT(($N10:$T10="M")*6+($N10:$T10="T")*6+($N10:$T10="D")*12+($N10:$T10="N")*12+($N10:$T10="NT")*6+($N10:$T10="C")*10+($N10:$T10="A")*8+($N10:$T10="J")*5+($N10:$T10="CEP")*4+($N10:$T10="CP")*6+($N10:$T10="CRO")*6+($N10:$T10="M+")*6+($N10:$T10="T+")*6+($N10:$T10="D+")*12+($N10:$T10="N+")*12+($N10:$T10="Dm+")*12+($N10:$T10="Dt+")*12+($N10:$T10="Tm-")*6+($N10:$T10="Mt-")*6)</f>
        <v/>
      </c>
      <c r="AW10" s="118">
        <f>AV10-MAX(0,IFERROR(INDEX(CADASTRO!$I$4:$I$80,MATCH($A10,CADASTRO!$A$4:$A$80,0)),$B10)-CONFIG!$B$50*(COUNTIF($N10:$T10,"AB")+COUNTIF($N10:$T10,"FE")+COUNTIF($N10:$T10,"LM")))</f>
        <v/>
      </c>
      <c r="AX10" s="117">
        <f>SUMPRODUCT(($U10:$AA10="M")*6+($U10:$AA10="T")*6+($U10:$AA10="D")*12+($U10:$AA10="N")*12+($U10:$AA10="NT")*6+($U10:$AA10="C")*10+($U10:$AA10="A")*8+($U10:$AA10="J")*5+($U10:$AA10="CEP")*4+($U10:$AA10="CP")*6+($U10:$AA10="CRO")*6+($U10:$AA10="M+")*6+($U10:$AA10="T+")*6+($U10:$AA10="D+")*12+($U10:$AA10="N+")*12+($U10:$AA10="Dm+")*12+($U10:$AA10="Dt+")*12+($U10:$AA10="Tm-")*6+($U10:$AA10="Mt-")*6)</f>
        <v/>
      </c>
      <c r="AY10" s="118">
        <f>AX10-MAX(0,IFERROR(INDEX(CADASTRO!$I$4:$I$80,MATCH($A10,CADASTRO!$A$4:$A$80,0)),$B10)-CONFIG!$B$50*(COUNTIF($U10:$AA10,"AB")+COUNTIF($U10:$AA10,"FE")+COUNTIF($U10:$AA10,"LM")))</f>
        <v/>
      </c>
      <c r="AZ10" s="117">
        <f>SUMPRODUCT(($AB10:$AH10="M")*6+($AB10:$AH10="T")*6+($AB10:$AH10="D")*12+($AB10:$AH10="N")*12+($AB10:$AH10="NT")*6+($AB10:$AH10="C")*10+($AB10:$AH10="A")*8+($AB10:$AH10="J")*5+($AB10:$AH10="CEP")*4+($AB10:$AH10="CP")*6+($AB10:$AH10="CRO")*6+($AB10:$AH10="M+")*6+($AB10:$AH10="T+")*6+($AB10:$AH10="D+")*12+($AB10:$AH10="N+")*12+($AB10:$AH10="Dm+")*12+($AB10:$AH10="Dt+")*12+($AB10:$AH10="Tm-")*6+($AB10:$AH10="Mt-")*6)</f>
        <v/>
      </c>
      <c r="BA10" s="118">
        <f>AZ10-MAX(0,IFERROR(INDEX(CADASTRO!$I$4:$I$80,MATCH($A10,CADASTRO!$A$4:$A$80,0)),$B10)-CONFIG!$B$50*(COUNTIF($AB10:$AH10,"AB")+COUNTIF($AB10:$AH10,"FE")+COUNTIF($AB10:$AH10,"LM")))</f>
        <v/>
      </c>
      <c r="BB10" s="117">
        <f>SUMPRODUCT(($AI10:$AM10="M")*6+($AI10:$AM10="T")*6+($AI10:$AM10="D")*12+($AI10:$AM10="N")*12+($AI10:$AM10="NT")*6+($AI10:$AM10="C")*10+($AI10:$AM10="A")*8+($AI10:$AM10="J")*5+($AI10:$AM10="CEP")*4+($AI10:$AM10="CP")*6+($AI10:$AM10="CRO")*6+($AI10:$AM10="M+")*6+($AI10:$AM10="T+")*6+($AI10:$AM10="D+")*12+($AI10:$AM10="N+")*12+($AI10:$AM10="Dm+")*12+($AI10:$AM10="Dt+")*12+($AI10:$AM10="Tm-")*6+($AI10:$AM10="Mt-")*6)+SUMPRODUCT(($AN10:$AO10="M")*6+($AN10:$AO10="T")*6+($AN10:$AO10="D")*12+($AN10:$AO10="N")*12+($AN10:$AO10="NT")*6+($AN10:$AO10="C")*10+($AN10:$AO10="A")*8+($AN10:$AO10="J")*5+($AN10:$AO10="CEP")*4+($AN10:$AO10="CP")*6+($AN10:$AO10="CRO")*6+($AN10:$AO10="M+")*6+($AN10:$AO10="T+")*6+($AN10:$AO10="D+")*12+($AN10:$AO10="N+")*12+($AN10:$AO10="Dm+")*12+($AN10:$AO10="Dt+")*12+($AN10:$AO10="Tm-")*6+($AN10:$AO10="Mt-")*6)</f>
        <v/>
      </c>
      <c r="BC10" s="118">
        <f>BB10-MAX(0,IFERROR(INDEX(CADASTRO!$I$4:$I$80,MATCH($A10,CADASTRO!$A$4:$A$80,0)),$B10)-CONFIG!$B$50*(COUNTIF($AI10:$AM10,"AB")+COUNTIF($AI10:$AM10,"FE")+COUNTIF($AI10:$AM10,"LM")+COUNTIF($AN10:$AO10,"AB")+COUNTIF($AN10:$AO10,"FE")+COUNTIF($AN10:$AO10,"LM")))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36">
        <f>IFERROR(INDEX(JUN!AK$8:AK$73,MATCH($A11,JUN!$A$8:$A$73,0))&amp;"","")</f>
        <v/>
      </c>
      <c r="H11" s="136">
        <f>IFERROR(INDEX(JUN!AL$8:AL$73,MATCH($A11,JUN!$A$8:$A$73,0))&amp;"","")</f>
        <v/>
      </c>
      <c r="I11" s="115" t="inlineStr">
        <is>
          <t>M</t>
        </is>
      </c>
      <c r="J11" s="115" t="inlineStr">
        <is>
          <t>M</t>
        </is>
      </c>
      <c r="K11" s="115" t="inlineStr">
        <is>
          <t>M</t>
        </is>
      </c>
      <c r="L11" s="125" t="inlineStr">
        <is>
          <t>N</t>
        </is>
      </c>
      <c r="M11" s="114" t="n"/>
      <c r="N11" s="115" t="inlineStr">
        <is>
          <t>M</t>
        </is>
      </c>
      <c r="O11" s="124" t="inlineStr">
        <is>
          <t>D</t>
        </is>
      </c>
      <c r="P11" s="115" t="inlineStr">
        <is>
          <t>M</t>
        </is>
      </c>
      <c r="Q11" s="115" t="inlineStr">
        <is>
          <t>M</t>
        </is>
      </c>
      <c r="R11" s="115" t="inlineStr">
        <is>
          <t>M</t>
        </is>
      </c>
      <c r="S11" s="114" t="n"/>
      <c r="T11" s="114" t="n"/>
      <c r="U11" s="115" t="inlineStr">
        <is>
          <t>M</t>
        </is>
      </c>
      <c r="V11" s="115" t="inlineStr">
        <is>
          <t>M</t>
        </is>
      </c>
      <c r="W11" s="115" t="inlineStr">
        <is>
          <t>M</t>
        </is>
      </c>
      <c r="X11" s="115" t="inlineStr">
        <is>
          <t>M</t>
        </is>
      </c>
      <c r="Y11" s="115" t="inlineStr">
        <is>
          <t>M</t>
        </is>
      </c>
      <c r="Z11" s="114" t="n"/>
      <c r="AA11" s="125" t="inlineStr">
        <is>
          <t>N</t>
        </is>
      </c>
      <c r="AB11" s="115" t="inlineStr">
        <is>
          <t>M</t>
        </is>
      </c>
      <c r="AC11" s="124" t="inlineStr">
        <is>
          <t>D</t>
        </is>
      </c>
      <c r="AD11" s="115" t="inlineStr">
        <is>
          <t>M</t>
        </is>
      </c>
      <c r="AE11" s="124" t="inlineStr">
        <is>
          <t>D</t>
        </is>
      </c>
      <c r="AF11" s="115" t="inlineStr">
        <is>
          <t>M</t>
        </is>
      </c>
      <c r="AG11" s="114" t="n"/>
      <c r="AH11" s="114" t="n"/>
      <c r="AI11" s="115" t="inlineStr">
        <is>
          <t>M</t>
        </is>
      </c>
      <c r="AJ11" s="115" t="inlineStr">
        <is>
          <t>M</t>
        </is>
      </c>
      <c r="AK11" s="115" t="inlineStr">
        <is>
          <t>M</t>
        </is>
      </c>
      <c r="AL11" s="115" t="inlineStr">
        <is>
          <t>M</t>
        </is>
      </c>
      <c r="AM11" s="115" t="inlineStr">
        <is>
          <t>M</t>
        </is>
      </c>
      <c r="AN11" s="116">
        <f>IFERROR(INDEX(AGO!I$8:I$73,MATCH($A11,AGO!$A$8:$A$73,0))&amp;"","")</f>
        <v/>
      </c>
      <c r="AO11" s="116">
        <f>IFERROR(INDEX(AGO!J$8:J$73,MATCH($A11,AGO!$A$8:$A$73,0))&amp;"","")</f>
        <v/>
      </c>
      <c r="AP11" s="100" t="n"/>
      <c r="AQ11" s="100" t="n"/>
      <c r="AR11" s="100" t="n"/>
      <c r="AS11" s="100" t="n"/>
      <c r="AT11" s="117">
        <f>SUMPRODUCT(($G11:$M11="M")*6+($G11:$M11="T")*6+($G11:$M11="D")*12+($G11:$M11="N")*12+($G11:$M11="NT")*6+($G11:$M11="C")*10+($G11:$M11="A")*8+($G11:$M11="J")*5+($G11:$M11="CEP")*4+($G11:$M11="CP")*6+($G11:$M11="CRO")*6+($G11:$M11="M+")*6+($G11:$M11="T+")*6+($G11:$M11="D+")*12+($G11:$M11="N+")*12+($G11:$M11="Dm+")*12+($G11:$M11="Dt+")*12+($G11:$M11="Tm-")*6+($G11:$M11="Mt-")*6)</f>
        <v/>
      </c>
      <c r="AU11" s="118">
        <f>AT11-MAX(0,IFERROR(INDEX(CADASTRO!$I$4:$I$80,MATCH($A11,CADASTRO!$A$4:$A$80,0)),$B11)-CONFIG!$B$50*(COUNTIF($G11:$M11,"AB")+COUNTIF($G11:$M11,"FE")+COUNTIF($G11:$M11,"LM")))</f>
        <v/>
      </c>
      <c r="AV11" s="117">
        <f>SUMPRODUCT(($N11:$T11="M")*6+($N11:$T11="T")*6+($N11:$T11="D")*12+($N11:$T11="N")*12+($N11:$T11="NT")*6+($N11:$T11="C")*10+($N11:$T11="A")*8+($N11:$T11="J")*5+($N11:$T11="CEP")*4+($N11:$T11="CP")*6+($N11:$T11="CRO")*6+($N11:$T11="M+")*6+($N11:$T11="T+")*6+($N11:$T11="D+")*12+($N11:$T11="N+")*12+($N11:$T11="Dm+")*12+($N11:$T11="Dt+")*12+($N11:$T11="Tm-")*6+($N11:$T11="Mt-")*6)</f>
        <v/>
      </c>
      <c r="AW11" s="118">
        <f>AV11-MAX(0,IFERROR(INDEX(CADASTRO!$I$4:$I$80,MATCH($A11,CADASTRO!$A$4:$A$80,0)),$B11)-CONFIG!$B$50*(COUNTIF($N11:$T11,"AB")+COUNTIF($N11:$T11,"FE")+COUNTIF($N11:$T11,"LM")))</f>
        <v/>
      </c>
      <c r="AX11" s="117">
        <f>SUMPRODUCT(($U11:$AA11="M")*6+($U11:$AA11="T")*6+($U11:$AA11="D")*12+($U11:$AA11="N")*12+($U11:$AA11="NT")*6+($U11:$AA11="C")*10+($U11:$AA11="A")*8+($U11:$AA11="J")*5+($U11:$AA11="CEP")*4+($U11:$AA11="CP")*6+($U11:$AA11="CRO")*6+($U11:$AA11="M+")*6+($U11:$AA11="T+")*6+($U11:$AA11="D+")*12+($U11:$AA11="N+")*12+($U11:$AA11="Dm+")*12+($U11:$AA11="Dt+")*12+($U11:$AA11="Tm-")*6+($U11:$AA11="Mt-")*6)</f>
        <v/>
      </c>
      <c r="AY11" s="118">
        <f>AX11-MAX(0,IFERROR(INDEX(CADASTRO!$I$4:$I$80,MATCH($A11,CADASTRO!$A$4:$A$80,0)),$B11)-CONFIG!$B$50*(COUNTIF($U11:$AA11,"AB")+COUNTIF($U11:$AA11,"FE")+COUNTIF($U11:$AA11,"LM")))</f>
        <v/>
      </c>
      <c r="AZ11" s="117">
        <f>SUMPRODUCT(($AB11:$AH11="M")*6+($AB11:$AH11="T")*6+($AB11:$AH11="D")*12+($AB11:$AH11="N")*12+($AB11:$AH11="NT")*6+($AB11:$AH11="C")*10+($AB11:$AH11="A")*8+($AB11:$AH11="J")*5+($AB11:$AH11="CEP")*4+($AB11:$AH11="CP")*6+($AB11:$AH11="CRO")*6+($AB11:$AH11="M+")*6+($AB11:$AH11="T+")*6+($AB11:$AH11="D+")*12+($AB11:$AH11="N+")*12+($AB11:$AH11="Dm+")*12+($AB11:$AH11="Dt+")*12+($AB11:$AH11="Tm-")*6+($AB11:$AH11="Mt-")*6)</f>
        <v/>
      </c>
      <c r="BA11" s="118">
        <f>AZ11-MAX(0,IFERROR(INDEX(CADASTRO!$I$4:$I$80,MATCH($A11,CADASTRO!$A$4:$A$80,0)),$B11)-CONFIG!$B$50*(COUNTIF($AB11:$AH11,"AB")+COUNTIF($AB11:$AH11,"FE")+COUNTIF($AB11:$AH11,"LM")))</f>
        <v/>
      </c>
      <c r="BB11" s="117">
        <f>SUMPRODUCT(($AI11:$AM11="M")*6+($AI11:$AM11="T")*6+($AI11:$AM11="D")*12+($AI11:$AM11="N")*12+($AI11:$AM11="NT")*6+($AI11:$AM11="C")*10+($AI11:$AM11="A")*8+($AI11:$AM11="J")*5+($AI11:$AM11="CEP")*4+($AI11:$AM11="CP")*6+($AI11:$AM11="CRO")*6+($AI11:$AM11="M+")*6+($AI11:$AM11="T+")*6+($AI11:$AM11="D+")*12+($AI11:$AM11="N+")*12+($AI11:$AM11="Dm+")*12+($AI11:$AM11="Dt+")*12+($AI11:$AM11="Tm-")*6+($AI11:$AM11="Mt-")*6)+SUMPRODUCT(($AN11:$AO11="M")*6+($AN11:$AO11="T")*6+($AN11:$AO11="D")*12+($AN11:$AO11="N")*12+($AN11:$AO11="NT")*6+($AN11:$AO11="C")*10+($AN11:$AO11="A")*8+($AN11:$AO11="J")*5+($AN11:$AO11="CEP")*4+($AN11:$AO11="CP")*6+($AN11:$AO11="CRO")*6+($AN11:$AO11="M+")*6+($AN11:$AO11="T+")*6+($AN11:$AO11="D+")*12+($AN11:$AO11="N+")*12+($AN11:$AO11="Dm+")*12+($AN11:$AO11="Dt+")*12+($AN11:$AO11="Tm-")*6+($AN11:$AO11="Mt-")*6)</f>
        <v/>
      </c>
      <c r="BC11" s="118">
        <f>BB11-MAX(0,IFERROR(INDEX(CADASTRO!$I$4:$I$80,MATCH($A11,CADASTRO!$A$4:$A$80,0)),$B11)-CONFIG!$B$50*(COUNTIF($AI11:$AM11,"AB")+COUNTIF($AI11:$AM11,"FE")+COUNTIF($AI11:$AM11,"LM")+COUNTIF($AN11:$AO11,"AB")+COUNTIF($AN11:$AO11,"FE")+COUNTIF($AN11:$AO11,"LM")))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36">
        <f>IFERROR(INDEX(JUN!AK$8:AK$73,MATCH($A12,JUN!$A$8:$A$73,0))&amp;"","")</f>
        <v/>
      </c>
      <c r="H12" s="136">
        <f>IFERROR(INDEX(JUN!AL$8:AL$73,MATCH($A12,JUN!$A$8:$A$73,0))&amp;"","")</f>
        <v/>
      </c>
      <c r="I12" s="115" t="inlineStr">
        <is>
          <t>M</t>
        </is>
      </c>
      <c r="J12" s="124" t="inlineStr">
        <is>
          <t>D</t>
        </is>
      </c>
      <c r="K12" s="115" t="inlineStr">
        <is>
          <t>M</t>
        </is>
      </c>
      <c r="L12" s="114" t="n"/>
      <c r="M12" s="114" t="n"/>
      <c r="N12" s="124" t="inlineStr">
        <is>
          <t>D</t>
        </is>
      </c>
      <c r="O12" s="124" t="inlineStr">
        <is>
          <t>D</t>
        </is>
      </c>
      <c r="P12" s="124" t="inlineStr">
        <is>
          <t>D</t>
        </is>
      </c>
      <c r="Q12" s="114" t="n"/>
      <c r="R12" s="114" t="n"/>
      <c r="S12" s="114" t="n"/>
      <c r="T12" s="114" t="n"/>
      <c r="U12" s="126" t="inlineStr">
        <is>
          <t>T</t>
        </is>
      </c>
      <c r="V12" s="115" t="inlineStr">
        <is>
          <t>M</t>
        </is>
      </c>
      <c r="W12" s="115" t="inlineStr">
        <is>
          <t>M</t>
        </is>
      </c>
      <c r="X12" s="115" t="inlineStr">
        <is>
          <t>M</t>
        </is>
      </c>
      <c r="Y12" s="115" t="inlineStr">
        <is>
          <t>M</t>
        </is>
      </c>
      <c r="Z12" s="124" t="inlineStr">
        <is>
          <t>D</t>
        </is>
      </c>
      <c r="AA12" s="114" t="n"/>
      <c r="AB12" s="115" t="inlineStr">
        <is>
          <t>M</t>
        </is>
      </c>
      <c r="AC12" s="115" t="inlineStr">
        <is>
          <t>M</t>
        </is>
      </c>
      <c r="AD12" s="115" t="inlineStr">
        <is>
          <t>M</t>
        </is>
      </c>
      <c r="AE12" s="115" t="inlineStr">
        <is>
          <t>M</t>
        </is>
      </c>
      <c r="AF12" s="115" t="inlineStr">
        <is>
          <t>M</t>
        </is>
      </c>
      <c r="AG12" s="124" t="inlineStr">
        <is>
          <t>D</t>
        </is>
      </c>
      <c r="AH12" s="115" t="inlineStr">
        <is>
          <t>M</t>
        </is>
      </c>
      <c r="AI12" s="115" t="inlineStr">
        <is>
          <t>M</t>
        </is>
      </c>
      <c r="AJ12" s="124" t="inlineStr">
        <is>
          <t>D</t>
        </is>
      </c>
      <c r="AK12" s="115" t="inlineStr">
        <is>
          <t>M</t>
        </is>
      </c>
      <c r="AL12" s="115" t="inlineStr">
        <is>
          <t>M</t>
        </is>
      </c>
      <c r="AM12" s="115" t="inlineStr">
        <is>
          <t>M</t>
        </is>
      </c>
      <c r="AN12" s="116">
        <f>IFERROR(INDEX(AGO!I$8:I$73,MATCH($A12,AGO!$A$8:$A$73,0))&amp;"","")</f>
        <v/>
      </c>
      <c r="AO12" s="116">
        <f>IFERROR(INDEX(AGO!J$8:J$73,MATCH($A12,AGO!$A$8:$A$73,0))&amp;"","")</f>
        <v/>
      </c>
      <c r="AP12" s="100" t="n"/>
      <c r="AQ12" s="100" t="n"/>
      <c r="AR12" s="100" t="n"/>
      <c r="AS12" s="100" t="n"/>
      <c r="AT12" s="117">
        <f>SUMPRODUCT(($G12:$M12="M")*6+($G12:$M12="T")*6+($G12:$M12="D")*12+($G12:$M12="N")*12+($G12:$M12="NT")*6+($G12:$M12="C")*10+($G12:$M12="A")*8+($G12:$M12="J")*5+($G12:$M12="CEP")*4+($G12:$M12="CP")*6+($G12:$M12="CRO")*6+($G12:$M12="M+")*6+($G12:$M12="T+")*6+($G12:$M12="D+")*12+($G12:$M12="N+")*12+($G12:$M12="Dm+")*12+($G12:$M12="Dt+")*12+($G12:$M12="Tm-")*6+($G12:$M12="Mt-")*6)</f>
        <v/>
      </c>
      <c r="AU12" s="118">
        <f>AT12-MAX(0,IFERROR(INDEX(CADASTRO!$I$4:$I$80,MATCH($A12,CADASTRO!$A$4:$A$80,0)),$B12)-CONFIG!$B$50*(COUNTIF($G12:$M12,"AB")+COUNTIF($G12:$M12,"FE")+COUNTIF($G12:$M12,"LM")))</f>
        <v/>
      </c>
      <c r="AV12" s="117">
        <f>SUMPRODUCT(($N12:$T12="M")*6+($N12:$T12="T")*6+($N12:$T12="D")*12+($N12:$T12="N")*12+($N12:$T12="NT")*6+($N12:$T12="C")*10+($N12:$T12="A")*8+($N12:$T12="J")*5+($N12:$T12="CEP")*4+($N12:$T12="CP")*6+($N12:$T12="CRO")*6+($N12:$T12="M+")*6+($N12:$T12="T+")*6+($N12:$T12="D+")*12+($N12:$T12="N+")*12+($N12:$T12="Dm+")*12+($N12:$T12="Dt+")*12+($N12:$T12="Tm-")*6+($N12:$T12="Mt-")*6)</f>
        <v/>
      </c>
      <c r="AW12" s="118">
        <f>AV12-MAX(0,IFERROR(INDEX(CADASTRO!$I$4:$I$80,MATCH($A12,CADASTRO!$A$4:$A$80,0)),$B12)-CONFIG!$B$50*(COUNTIF($N12:$T12,"AB")+COUNTIF($N12:$T12,"FE")+COUNTIF($N12:$T12,"LM")))</f>
        <v/>
      </c>
      <c r="AX12" s="117">
        <f>SUMPRODUCT(($U12:$AA12="M")*6+($U12:$AA12="T")*6+($U12:$AA12="D")*12+($U12:$AA12="N")*12+($U12:$AA12="NT")*6+($U12:$AA12="C")*10+($U12:$AA12="A")*8+($U12:$AA12="J")*5+($U12:$AA12="CEP")*4+($U12:$AA12="CP")*6+($U12:$AA12="CRO")*6+($U12:$AA12="M+")*6+($U12:$AA12="T+")*6+($U12:$AA12="D+")*12+($U12:$AA12="N+")*12+($U12:$AA12="Dm+")*12+($U12:$AA12="Dt+")*12+($U12:$AA12="Tm-")*6+($U12:$AA12="Mt-")*6)</f>
        <v/>
      </c>
      <c r="AY12" s="118">
        <f>AX12-MAX(0,IFERROR(INDEX(CADASTRO!$I$4:$I$80,MATCH($A12,CADASTRO!$A$4:$A$80,0)),$B12)-CONFIG!$B$50*(COUNTIF($U12:$AA12,"AB")+COUNTIF($U12:$AA12,"FE")+COUNTIF($U12:$AA12,"LM")))</f>
        <v/>
      </c>
      <c r="AZ12" s="117">
        <f>SUMPRODUCT(($AB12:$AH12="M")*6+($AB12:$AH12="T")*6+($AB12:$AH12="D")*12+($AB12:$AH12="N")*12+($AB12:$AH12="NT")*6+($AB12:$AH12="C")*10+($AB12:$AH12="A")*8+($AB12:$AH12="J")*5+($AB12:$AH12="CEP")*4+($AB12:$AH12="CP")*6+($AB12:$AH12="CRO")*6+($AB12:$AH12="M+")*6+($AB12:$AH12="T+")*6+($AB12:$AH12="D+")*12+($AB12:$AH12="N+")*12+($AB12:$AH12="Dm+")*12+($AB12:$AH12="Dt+")*12+($AB12:$AH12="Tm-")*6+($AB12:$AH12="Mt-")*6)</f>
        <v/>
      </c>
      <c r="BA12" s="118">
        <f>AZ12-MAX(0,IFERROR(INDEX(CADASTRO!$I$4:$I$80,MATCH($A12,CADASTRO!$A$4:$A$80,0)),$B12)-CONFIG!$B$50*(COUNTIF($AB12:$AH12,"AB")+COUNTIF($AB12:$AH12,"FE")+COUNTIF($AB12:$AH12,"LM")))</f>
        <v/>
      </c>
      <c r="BB12" s="117">
        <f>SUMPRODUCT(($AI12:$AM12="M")*6+($AI12:$AM12="T")*6+($AI12:$AM12="D")*12+($AI12:$AM12="N")*12+($AI12:$AM12="NT")*6+($AI12:$AM12="C")*10+($AI12:$AM12="A")*8+($AI12:$AM12="J")*5+($AI12:$AM12="CEP")*4+($AI12:$AM12="CP")*6+($AI12:$AM12="CRO")*6+($AI12:$AM12="M+")*6+($AI12:$AM12="T+")*6+($AI12:$AM12="D+")*12+($AI12:$AM12="N+")*12+($AI12:$AM12="Dm+")*12+($AI12:$AM12="Dt+")*12+($AI12:$AM12="Tm-")*6+($AI12:$AM12="Mt-")*6)+SUMPRODUCT(($AN12:$AO12="M")*6+($AN12:$AO12="T")*6+($AN12:$AO12="D")*12+($AN12:$AO12="N")*12+($AN12:$AO12="NT")*6+($AN12:$AO12="C")*10+($AN12:$AO12="A")*8+($AN12:$AO12="J")*5+($AN12:$AO12="CEP")*4+($AN12:$AO12="CP")*6+($AN12:$AO12="CRO")*6+($AN12:$AO12="M+")*6+($AN12:$AO12="T+")*6+($AN12:$AO12="D+")*12+($AN12:$AO12="N+")*12+($AN12:$AO12="Dm+")*12+($AN12:$AO12="Dt+")*12+($AN12:$AO12="Tm-")*6+($AN12:$AO12="Mt-")*6)</f>
        <v/>
      </c>
      <c r="BC12" s="118">
        <f>BB12-MAX(0,IFERROR(INDEX(CADASTRO!$I$4:$I$80,MATCH($A12,CADASTRO!$A$4:$A$80,0)),$B12)-CONFIG!$B$50*(COUNTIF($AI12:$AM12,"AB")+COUNTIF($AI12:$AM12,"FE")+COUNTIF($AI12:$AM12,"LM")+COUNTIF($AN12:$AO12,"AB")+COUNTIF($AN12:$AO12,"FE")+COUNTIF($AN12:$AO12,"LM")))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36">
        <f>IFERROR(INDEX(JUN!AK$8:AK$73,MATCH($A13,JUN!$A$8:$A$73,0))&amp;"","")</f>
        <v/>
      </c>
      <c r="H13" s="136">
        <f>IFERROR(INDEX(JUN!AL$8:AL$73,MATCH($A13,JUN!$A$8:$A$73,0))&amp;"","")</f>
        <v/>
      </c>
      <c r="I13" s="115" t="inlineStr">
        <is>
          <t>M</t>
        </is>
      </c>
      <c r="J13" s="115" t="inlineStr">
        <is>
          <t>M</t>
        </is>
      </c>
      <c r="K13" s="115" t="inlineStr">
        <is>
          <t>M</t>
        </is>
      </c>
      <c r="L13" s="125" t="inlineStr">
        <is>
          <t>N</t>
        </is>
      </c>
      <c r="M13" s="114" t="n"/>
      <c r="N13" s="115" t="inlineStr">
        <is>
          <t>M</t>
        </is>
      </c>
      <c r="O13" s="115" t="inlineStr">
        <is>
          <t>M</t>
        </is>
      </c>
      <c r="P13" s="115" t="inlineStr">
        <is>
          <t>M</t>
        </is>
      </c>
      <c r="Q13" s="115" t="inlineStr">
        <is>
          <t>M</t>
        </is>
      </c>
      <c r="R13" s="115" t="inlineStr">
        <is>
          <t>M</t>
        </is>
      </c>
      <c r="S13" s="114" t="n"/>
      <c r="T13" s="114" t="n"/>
      <c r="U13" s="115" t="inlineStr">
        <is>
          <t>M</t>
        </is>
      </c>
      <c r="V13" s="115" t="inlineStr">
        <is>
          <t>M</t>
        </is>
      </c>
      <c r="W13" s="115" t="inlineStr">
        <is>
          <t>M</t>
        </is>
      </c>
      <c r="X13" s="115" t="inlineStr">
        <is>
          <t>M</t>
        </is>
      </c>
      <c r="Y13" s="115" t="inlineStr">
        <is>
          <t>M</t>
        </is>
      </c>
      <c r="Z13" s="124" t="inlineStr">
        <is>
          <t>D</t>
        </is>
      </c>
      <c r="AA13" s="114" t="n"/>
      <c r="AB13" s="139" t="inlineStr">
        <is>
          <t>FE</t>
        </is>
      </c>
      <c r="AC13" s="139" t="inlineStr">
        <is>
          <t>FE</t>
        </is>
      </c>
      <c r="AD13" s="139" t="inlineStr">
        <is>
          <t>FE</t>
        </is>
      </c>
      <c r="AE13" s="139" t="inlineStr">
        <is>
          <t>FE</t>
        </is>
      </c>
      <c r="AF13" s="139" t="inlineStr">
        <is>
          <t>FE</t>
        </is>
      </c>
      <c r="AG13" s="139" t="inlineStr">
        <is>
          <t>FE</t>
        </is>
      </c>
      <c r="AH13" s="139" t="inlineStr">
        <is>
          <t>FE</t>
        </is>
      </c>
      <c r="AI13" s="139" t="inlineStr">
        <is>
          <t>FE</t>
        </is>
      </c>
      <c r="AJ13" s="139" t="inlineStr">
        <is>
          <t>FE</t>
        </is>
      </c>
      <c r="AK13" s="139" t="inlineStr">
        <is>
          <t>FE</t>
        </is>
      </c>
      <c r="AL13" s="139" t="inlineStr">
        <is>
          <t>FE</t>
        </is>
      </c>
      <c r="AM13" s="139" t="inlineStr">
        <is>
          <t>FE</t>
        </is>
      </c>
      <c r="AN13" s="116">
        <f>IFERROR(INDEX(AGO!I$8:I$73,MATCH($A13,AGO!$A$8:$A$73,0))&amp;"","")</f>
        <v/>
      </c>
      <c r="AO13" s="116">
        <f>IFERROR(INDEX(AGO!J$8:J$73,MATCH($A13,AGO!$A$8:$A$73,0))&amp;"","")</f>
        <v/>
      </c>
      <c r="AP13" s="100" t="n"/>
      <c r="AQ13" s="100" t="n"/>
      <c r="AR13" s="100" t="n"/>
      <c r="AS13" s="100" t="n"/>
      <c r="AT13" s="117">
        <f>SUMPRODUCT(($G13:$M13="M")*6+($G13:$M13="T")*6+($G13:$M13="D")*12+($G13:$M13="N")*12+($G13:$M13="NT")*6+($G13:$M13="C")*10+($G13:$M13="A")*8+($G13:$M13="J")*5+($G13:$M13="CEP")*4+($G13:$M13="CP")*6+($G13:$M13="CRO")*6+($G13:$M13="M+")*6+($G13:$M13="T+")*6+($G13:$M13="D+")*12+($G13:$M13="N+")*12+($G13:$M13="Dm+")*12+($G13:$M13="Dt+")*12+($G13:$M13="Tm-")*6+($G13:$M13="Mt-")*6)</f>
        <v/>
      </c>
      <c r="AU13" s="118">
        <f>AT13-MAX(0,IFERROR(INDEX(CADASTRO!$I$4:$I$80,MATCH($A13,CADASTRO!$A$4:$A$80,0)),$B13)-CONFIG!$B$50*(COUNTIF($G13:$M13,"AB")+COUNTIF($G13:$M13,"FE")+COUNTIF($G13:$M13,"LM")))</f>
        <v/>
      </c>
      <c r="AV13" s="117">
        <f>SUMPRODUCT(($N13:$T13="M")*6+($N13:$T13="T")*6+($N13:$T13="D")*12+($N13:$T13="N")*12+($N13:$T13="NT")*6+($N13:$T13="C")*10+($N13:$T13="A")*8+($N13:$T13="J")*5+($N13:$T13="CEP")*4+($N13:$T13="CP")*6+($N13:$T13="CRO")*6+($N13:$T13="M+")*6+($N13:$T13="T+")*6+($N13:$T13="D+")*12+($N13:$T13="N+")*12+($N13:$T13="Dm+")*12+($N13:$T13="Dt+")*12+($N13:$T13="Tm-")*6+($N13:$T13="Mt-")*6)</f>
        <v/>
      </c>
      <c r="AW13" s="118">
        <f>AV13-MAX(0,IFERROR(INDEX(CADASTRO!$I$4:$I$80,MATCH($A13,CADASTRO!$A$4:$A$80,0)),$B13)-CONFIG!$B$50*(COUNTIF($N13:$T13,"AB")+COUNTIF($N13:$T13,"FE")+COUNTIF($N13:$T13,"LM")))</f>
        <v/>
      </c>
      <c r="AX13" s="117">
        <f>SUMPRODUCT(($U13:$AA13="M")*6+($U13:$AA13="T")*6+($U13:$AA13="D")*12+($U13:$AA13="N")*12+($U13:$AA13="NT")*6+($U13:$AA13="C")*10+($U13:$AA13="A")*8+($U13:$AA13="J")*5+($U13:$AA13="CEP")*4+($U13:$AA13="CP")*6+($U13:$AA13="CRO")*6+($U13:$AA13="M+")*6+($U13:$AA13="T+")*6+($U13:$AA13="D+")*12+($U13:$AA13="N+")*12+($U13:$AA13="Dm+")*12+($U13:$AA13="Dt+")*12+($U13:$AA13="Tm-")*6+($U13:$AA13="Mt-")*6)</f>
        <v/>
      </c>
      <c r="AY13" s="118">
        <f>AX13-MAX(0,IFERROR(INDEX(CADASTRO!$I$4:$I$80,MATCH($A13,CADASTRO!$A$4:$A$80,0)),$B13)-CONFIG!$B$50*(COUNTIF($U13:$AA13,"AB")+COUNTIF($U13:$AA13,"FE")+COUNTIF($U13:$AA13,"LM")))</f>
        <v/>
      </c>
      <c r="AZ13" s="117">
        <f>SUMPRODUCT(($AB13:$AH13="M")*6+($AB13:$AH13="T")*6+($AB13:$AH13="D")*12+($AB13:$AH13="N")*12+($AB13:$AH13="NT")*6+($AB13:$AH13="C")*10+($AB13:$AH13="A")*8+($AB13:$AH13="J")*5+($AB13:$AH13="CEP")*4+($AB13:$AH13="CP")*6+($AB13:$AH13="CRO")*6+($AB13:$AH13="M+")*6+($AB13:$AH13="T+")*6+($AB13:$AH13="D+")*12+($AB13:$AH13="N+")*12+($AB13:$AH13="Dm+")*12+($AB13:$AH13="Dt+")*12+($AB13:$AH13="Tm-")*6+($AB13:$AH13="Mt-")*6)</f>
        <v/>
      </c>
      <c r="BA13" s="118">
        <f>AZ13-MAX(0,IFERROR(INDEX(CADASTRO!$I$4:$I$80,MATCH($A13,CADASTRO!$A$4:$A$80,0)),$B13)-CONFIG!$B$50*(COUNTIF($AB13:$AH13,"AB")+COUNTIF($AB13:$AH13,"FE")+COUNTIF($AB13:$AH13,"LM")))</f>
        <v/>
      </c>
      <c r="BB13" s="117">
        <f>SUMPRODUCT(($AI13:$AM13="M")*6+($AI13:$AM13="T")*6+($AI13:$AM13="D")*12+($AI13:$AM13="N")*12+($AI13:$AM13="NT")*6+($AI13:$AM13="C")*10+($AI13:$AM13="A")*8+($AI13:$AM13="J")*5+($AI13:$AM13="CEP")*4+($AI13:$AM13="CP")*6+($AI13:$AM13="CRO")*6+($AI13:$AM13="M+")*6+($AI13:$AM13="T+")*6+($AI13:$AM13="D+")*12+($AI13:$AM13="N+")*12+($AI13:$AM13="Dm+")*12+($AI13:$AM13="Dt+")*12+($AI13:$AM13="Tm-")*6+($AI13:$AM13="Mt-")*6)+SUMPRODUCT(($AN13:$AO13="M")*6+($AN13:$AO13="T")*6+($AN13:$AO13="D")*12+($AN13:$AO13="N")*12+($AN13:$AO13="NT")*6+($AN13:$AO13="C")*10+($AN13:$AO13="A")*8+($AN13:$AO13="J")*5+($AN13:$AO13="CEP")*4+($AN13:$AO13="CP")*6+($AN13:$AO13="CRO")*6+($AN13:$AO13="M+")*6+($AN13:$AO13="T+")*6+($AN13:$AO13="D+")*12+($AN13:$AO13="N+")*12+($AN13:$AO13="Dm+")*12+($AN13:$AO13="Dt+")*12+($AN13:$AO13="Tm-")*6+($AN13:$AO13="Mt-")*6)</f>
        <v/>
      </c>
      <c r="BC13" s="118">
        <f>BB13-MAX(0,IFERROR(INDEX(CADASTRO!$I$4:$I$80,MATCH($A13,CADASTRO!$A$4:$A$80,0)),$B13)-CONFIG!$B$50*(COUNTIF($AI13:$AM13,"AB")+COUNTIF($AI13:$AM13,"FE")+COUNTIF($AI13:$AM13,"LM")+COUNTIF($AN13:$AO13,"AB")+COUNTIF($AN13:$AO13,"FE")+COUNTIF($AN13:$AO13,"LM")))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36">
        <f>IFERROR(INDEX(JUN!AK$8:AK$73,MATCH($A14,JUN!$A$8:$A$73,0))&amp;"","")</f>
        <v/>
      </c>
      <c r="H14" s="136">
        <f>IFERROR(INDEX(JUN!AL$8:AL$73,MATCH($A14,JUN!$A$8:$A$73,0))&amp;"","")</f>
        <v/>
      </c>
      <c r="I14" s="139" t="inlineStr">
        <is>
          <t>FE</t>
        </is>
      </c>
      <c r="J14" s="139" t="inlineStr">
        <is>
          <t>FE</t>
        </is>
      </c>
      <c r="K14" s="139" t="inlineStr">
        <is>
          <t>FE</t>
        </is>
      </c>
      <c r="L14" s="139" t="inlineStr">
        <is>
          <t>FE</t>
        </is>
      </c>
      <c r="M14" s="139" t="inlineStr">
        <is>
          <t>FE</t>
        </is>
      </c>
      <c r="N14" s="139" t="inlineStr">
        <is>
          <t>FE</t>
        </is>
      </c>
      <c r="O14" s="139" t="inlineStr">
        <is>
          <t>FE</t>
        </is>
      </c>
      <c r="P14" s="139" t="inlineStr">
        <is>
          <t>FE</t>
        </is>
      </c>
      <c r="Q14" s="139" t="inlineStr">
        <is>
          <t>FE</t>
        </is>
      </c>
      <c r="R14" s="139" t="inlineStr">
        <is>
          <t>FE</t>
        </is>
      </c>
      <c r="S14" s="139" t="inlineStr">
        <is>
          <t>FE</t>
        </is>
      </c>
      <c r="T14" s="139" t="inlineStr">
        <is>
          <t>FE</t>
        </is>
      </c>
      <c r="U14" s="139" t="inlineStr">
        <is>
          <t>FE</t>
        </is>
      </c>
      <c r="V14" s="114" t="n"/>
      <c r="W14" s="115" t="inlineStr">
        <is>
          <t>M</t>
        </is>
      </c>
      <c r="X14" s="115" t="inlineStr">
        <is>
          <t>M</t>
        </is>
      </c>
      <c r="Y14" s="126" t="inlineStr">
        <is>
          <t>T</t>
        </is>
      </c>
      <c r="Z14" s="126" t="inlineStr">
        <is>
          <t>T</t>
        </is>
      </c>
      <c r="AA14" s="115" t="inlineStr">
        <is>
          <t>M</t>
        </is>
      </c>
      <c r="AB14" s="115" t="inlineStr">
        <is>
          <t>M</t>
        </is>
      </c>
      <c r="AC14" s="115" t="inlineStr">
        <is>
          <t>M</t>
        </is>
      </c>
      <c r="AD14" s="114" t="n"/>
      <c r="AE14" s="115" t="inlineStr">
        <is>
          <t>M</t>
        </is>
      </c>
      <c r="AF14" s="124" t="inlineStr">
        <is>
          <t>D</t>
        </is>
      </c>
      <c r="AG14" s="114" t="n"/>
      <c r="AH14" s="126" t="inlineStr">
        <is>
          <t>T</t>
        </is>
      </c>
      <c r="AI14" s="115" t="inlineStr">
        <is>
          <t>M</t>
        </is>
      </c>
      <c r="AJ14" s="126" t="inlineStr">
        <is>
          <t>T</t>
        </is>
      </c>
      <c r="AK14" s="114" t="n"/>
      <c r="AL14" s="115" t="inlineStr">
        <is>
          <t>M</t>
        </is>
      </c>
      <c r="AM14" s="115" t="inlineStr">
        <is>
          <t>M</t>
        </is>
      </c>
      <c r="AN14" s="116">
        <f>IFERROR(INDEX(AGO!I$8:I$73,MATCH($A14,AGO!$A$8:$A$73,0))&amp;"","")</f>
        <v/>
      </c>
      <c r="AO14" s="116">
        <f>IFERROR(INDEX(AGO!J$8:J$73,MATCH($A14,AGO!$A$8:$A$73,0))&amp;"","")</f>
        <v/>
      </c>
      <c r="AP14" s="100" t="n"/>
      <c r="AQ14" s="100" t="n"/>
      <c r="AR14" s="100" t="n"/>
      <c r="AS14" s="100" t="n"/>
      <c r="AT14" s="117">
        <f>SUMPRODUCT(($G14:$M14="M")*6+($G14:$M14="T")*6+($G14:$M14="D")*12+($G14:$M14="N")*12+($G14:$M14="NT")*6+($G14:$M14="C")*10+($G14:$M14="A")*8+($G14:$M14="J")*5+($G14:$M14="CEP")*4+($G14:$M14="CP")*6+($G14:$M14="CRO")*6+($G14:$M14="M+")*6+($G14:$M14="T+")*6+($G14:$M14="D+")*12+($G14:$M14="N+")*12+($G14:$M14="Dm+")*12+($G14:$M14="Dt+")*12+($G14:$M14="Tm-")*6+($G14:$M14="Mt-")*6)</f>
        <v/>
      </c>
      <c r="AU14" s="118">
        <f>AT14-MAX(0,IFERROR(INDEX(CADASTRO!$I$4:$I$80,MATCH($A14,CADASTRO!$A$4:$A$80,0)),$B14)-CONFIG!$B$50*(COUNTIF($G14:$M14,"AB")+COUNTIF($G14:$M14,"FE")+COUNTIF($G14:$M14,"LM")))</f>
        <v/>
      </c>
      <c r="AV14" s="117">
        <f>SUMPRODUCT(($N14:$T14="M")*6+($N14:$T14="T")*6+($N14:$T14="D")*12+($N14:$T14="N")*12+($N14:$T14="NT")*6+($N14:$T14="C")*10+($N14:$T14="A")*8+($N14:$T14="J")*5+($N14:$T14="CEP")*4+($N14:$T14="CP")*6+($N14:$T14="CRO")*6+($N14:$T14="M+")*6+($N14:$T14="T+")*6+($N14:$T14="D+")*12+($N14:$T14="N+")*12+($N14:$T14="Dm+")*12+($N14:$T14="Dt+")*12+($N14:$T14="Tm-")*6+($N14:$T14="Mt-")*6)</f>
        <v/>
      </c>
      <c r="AW14" s="118">
        <f>AV14-MAX(0,IFERROR(INDEX(CADASTRO!$I$4:$I$80,MATCH($A14,CADASTRO!$A$4:$A$80,0)),$B14)-CONFIG!$B$50*(COUNTIF($N14:$T14,"AB")+COUNTIF($N14:$T14,"FE")+COUNTIF($N14:$T14,"LM")))</f>
        <v/>
      </c>
      <c r="AX14" s="117">
        <f>SUMPRODUCT(($U14:$AA14="M")*6+($U14:$AA14="T")*6+($U14:$AA14="D")*12+($U14:$AA14="N")*12+($U14:$AA14="NT")*6+($U14:$AA14="C")*10+($U14:$AA14="A")*8+($U14:$AA14="J")*5+($U14:$AA14="CEP")*4+($U14:$AA14="CP")*6+($U14:$AA14="CRO")*6+($U14:$AA14="M+")*6+($U14:$AA14="T+")*6+($U14:$AA14="D+")*12+($U14:$AA14="N+")*12+($U14:$AA14="Dm+")*12+($U14:$AA14="Dt+")*12+($U14:$AA14="Tm-")*6+($U14:$AA14="Mt-")*6)</f>
        <v/>
      </c>
      <c r="AY14" s="118">
        <f>AX14-MAX(0,IFERROR(INDEX(CADASTRO!$I$4:$I$80,MATCH($A14,CADASTRO!$A$4:$A$80,0)),$B14)-CONFIG!$B$50*(COUNTIF($U14:$AA14,"AB")+COUNTIF($U14:$AA14,"FE")+COUNTIF($U14:$AA14,"LM")))</f>
        <v/>
      </c>
      <c r="AZ14" s="117">
        <f>SUMPRODUCT(($AB14:$AH14="M")*6+($AB14:$AH14="T")*6+($AB14:$AH14="D")*12+($AB14:$AH14="N")*12+($AB14:$AH14="NT")*6+($AB14:$AH14="C")*10+($AB14:$AH14="A")*8+($AB14:$AH14="J")*5+($AB14:$AH14="CEP")*4+($AB14:$AH14="CP")*6+($AB14:$AH14="CRO")*6+($AB14:$AH14="M+")*6+($AB14:$AH14="T+")*6+($AB14:$AH14="D+")*12+($AB14:$AH14="N+")*12+($AB14:$AH14="Dm+")*12+($AB14:$AH14="Dt+")*12+($AB14:$AH14="Tm-")*6+($AB14:$AH14="Mt-")*6)</f>
        <v/>
      </c>
      <c r="BA14" s="118">
        <f>AZ14-MAX(0,IFERROR(INDEX(CADASTRO!$I$4:$I$80,MATCH($A14,CADASTRO!$A$4:$A$80,0)),$B14)-CONFIG!$B$50*(COUNTIF($AB14:$AH14,"AB")+COUNTIF($AB14:$AH14,"FE")+COUNTIF($AB14:$AH14,"LM")))</f>
        <v/>
      </c>
      <c r="BB14" s="117">
        <f>SUMPRODUCT(($AI14:$AM14="M")*6+($AI14:$AM14="T")*6+($AI14:$AM14="D")*12+($AI14:$AM14="N")*12+($AI14:$AM14="NT")*6+($AI14:$AM14="C")*10+($AI14:$AM14="A")*8+($AI14:$AM14="J")*5+($AI14:$AM14="CEP")*4+($AI14:$AM14="CP")*6+($AI14:$AM14="CRO")*6+($AI14:$AM14="M+")*6+($AI14:$AM14="T+")*6+($AI14:$AM14="D+")*12+($AI14:$AM14="N+")*12+($AI14:$AM14="Dm+")*12+($AI14:$AM14="Dt+")*12+($AI14:$AM14="Tm-")*6+($AI14:$AM14="Mt-")*6)+SUMPRODUCT(($AN14:$AO14="M")*6+($AN14:$AO14="T")*6+($AN14:$AO14="D")*12+($AN14:$AO14="N")*12+($AN14:$AO14="NT")*6+($AN14:$AO14="C")*10+($AN14:$AO14="A")*8+($AN14:$AO14="J")*5+($AN14:$AO14="CEP")*4+($AN14:$AO14="CP")*6+($AN14:$AO14="CRO")*6+($AN14:$AO14="M+")*6+($AN14:$AO14="T+")*6+($AN14:$AO14="D+")*12+($AN14:$AO14="N+")*12+($AN14:$AO14="Dm+")*12+($AN14:$AO14="Dt+")*12+($AN14:$AO14="Tm-")*6+($AN14:$AO14="Mt-")*6)</f>
        <v/>
      </c>
      <c r="BC14" s="118">
        <f>BB14-MAX(0,IFERROR(INDEX(CADASTRO!$I$4:$I$80,MATCH($A14,CADASTRO!$A$4:$A$80,0)),$B14)-CONFIG!$B$50*(COUNTIF($AI14:$AM14,"AB")+COUNTIF($AI14:$AM14,"FE")+COUNTIF($AI14:$AM14,"LM")+COUNTIF($AN14:$AO14,"AB")+COUNTIF($AN14:$AO14,"FE")+COUNTIF($AN14:$AO14,"LM")))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36">
        <f>IFERROR(INDEX(JUN!AK$8:AK$73,MATCH($A15,JUN!$A$8:$A$73,0))&amp;"","")</f>
        <v/>
      </c>
      <c r="H15" s="136">
        <f>IFERROR(INDEX(JUN!AL$8:AL$73,MATCH($A15,JUN!$A$8:$A$73,0))&amp;"","")</f>
        <v/>
      </c>
      <c r="I15" s="115" t="inlineStr">
        <is>
          <t>M</t>
        </is>
      </c>
      <c r="J15" s="124" t="inlineStr">
        <is>
          <t>D</t>
        </is>
      </c>
      <c r="K15" s="115" t="inlineStr">
        <is>
          <t>M</t>
        </is>
      </c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  <c r="AH15" s="114" t="n"/>
      <c r="AI15" s="114" t="n"/>
      <c r="AJ15" s="114" t="n"/>
      <c r="AK15" s="114" t="n"/>
      <c r="AL15" s="114" t="n"/>
      <c r="AM15" s="114" t="n"/>
      <c r="AN15" s="116">
        <f>IFERROR(INDEX(AGO!I$8:I$73,MATCH($A15,AGO!$A$8:$A$73,0))&amp;"","")</f>
        <v/>
      </c>
      <c r="AO15" s="116">
        <f>IFERROR(INDEX(AGO!J$8:J$73,MATCH($A15,AGO!$A$8:$A$73,0))&amp;"","")</f>
        <v/>
      </c>
      <c r="AP15" s="100" t="n"/>
      <c r="AQ15" s="100" t="n"/>
      <c r="AR15" s="100" t="n"/>
      <c r="AS15" s="100" t="n"/>
      <c r="AT15" s="117">
        <f>SUMPRODUCT(($G15:$M15="M")*6+($G15:$M15="T")*6+($G15:$M15="D")*12+($G15:$M15="N")*12+($G15:$M15="NT")*6+($G15:$M15="C")*10+($G15:$M15="A")*8+($G15:$M15="J")*5+($G15:$M15="CEP")*4+($G15:$M15="CP")*6+($G15:$M15="CRO")*6+($G15:$M15="M+")*6+($G15:$M15="T+")*6+($G15:$M15="D+")*12+($G15:$M15="N+")*12+($G15:$M15="Dm+")*12+($G15:$M15="Dt+")*12+($G15:$M15="Tm-")*6+($G15:$M15="Mt-")*6)</f>
        <v/>
      </c>
      <c r="AU15" s="118">
        <f>AT15-MAX(0,IFERROR(INDEX(CADASTRO!$I$4:$I$80,MATCH($A15,CADASTRO!$A$4:$A$80,0)),$B15)-CONFIG!$B$50*(COUNTIF($G15:$M15,"AB")+COUNTIF($G15:$M15,"FE")+COUNTIF($G15:$M15,"LM")))</f>
        <v/>
      </c>
      <c r="AV15" s="117">
        <f>SUMPRODUCT(($N15:$T15="M")*6+($N15:$T15="T")*6+($N15:$T15="D")*12+($N15:$T15="N")*12+($N15:$T15="NT")*6+($N15:$T15="C")*10+($N15:$T15="A")*8+($N15:$T15="J")*5+($N15:$T15="CEP")*4+($N15:$T15="CP")*6+($N15:$T15="CRO")*6+($N15:$T15="M+")*6+($N15:$T15="T+")*6+($N15:$T15="D+")*12+($N15:$T15="N+")*12+($N15:$T15="Dm+")*12+($N15:$T15="Dt+")*12+($N15:$T15="Tm-")*6+($N15:$T15="Mt-")*6)</f>
        <v/>
      </c>
      <c r="AW15" s="118">
        <f>AV15-MAX(0,IFERROR(INDEX(CADASTRO!$I$4:$I$80,MATCH($A15,CADASTRO!$A$4:$A$80,0)),$B15)-CONFIG!$B$50*(COUNTIF($N15:$T15,"AB")+COUNTIF($N15:$T15,"FE")+COUNTIF($N15:$T15,"LM")))</f>
        <v/>
      </c>
      <c r="AX15" s="117">
        <f>SUMPRODUCT(($U15:$AA15="M")*6+($U15:$AA15="T")*6+($U15:$AA15="D")*12+($U15:$AA15="N")*12+($U15:$AA15="NT")*6+($U15:$AA15="C")*10+($U15:$AA15="A")*8+($U15:$AA15="J")*5+($U15:$AA15="CEP")*4+($U15:$AA15="CP")*6+($U15:$AA15="CRO")*6+($U15:$AA15="M+")*6+($U15:$AA15="T+")*6+($U15:$AA15="D+")*12+($U15:$AA15="N+")*12+($U15:$AA15="Dm+")*12+($U15:$AA15="Dt+")*12+($U15:$AA15="Tm-")*6+($U15:$AA15="Mt-")*6)</f>
        <v/>
      </c>
      <c r="AY15" s="118">
        <f>AX15-MAX(0,IFERROR(INDEX(CADASTRO!$I$4:$I$80,MATCH($A15,CADASTRO!$A$4:$A$80,0)),$B15)-CONFIG!$B$50*(COUNTIF($U15:$AA15,"AB")+COUNTIF($U15:$AA15,"FE")+COUNTIF($U15:$AA15,"LM")))</f>
        <v/>
      </c>
      <c r="AZ15" s="117">
        <f>SUMPRODUCT(($AB15:$AH15="M")*6+($AB15:$AH15="T")*6+($AB15:$AH15="D")*12+($AB15:$AH15="N")*12+($AB15:$AH15="NT")*6+($AB15:$AH15="C")*10+($AB15:$AH15="A")*8+($AB15:$AH15="J")*5+($AB15:$AH15="CEP")*4+($AB15:$AH15="CP")*6+($AB15:$AH15="CRO")*6+($AB15:$AH15="M+")*6+($AB15:$AH15="T+")*6+($AB15:$AH15="D+")*12+($AB15:$AH15="N+")*12+($AB15:$AH15="Dm+")*12+($AB15:$AH15="Dt+")*12+($AB15:$AH15="Tm-")*6+($AB15:$AH15="Mt-")*6)</f>
        <v/>
      </c>
      <c r="BA15" s="118">
        <f>AZ15-MAX(0,IFERROR(INDEX(CADASTRO!$I$4:$I$80,MATCH($A15,CADASTRO!$A$4:$A$80,0)),$B15)-CONFIG!$B$50*(COUNTIF($AB15:$AH15,"AB")+COUNTIF($AB15:$AH15,"FE")+COUNTIF($AB15:$AH15,"LM")))</f>
        <v/>
      </c>
      <c r="BB15" s="117">
        <f>SUMPRODUCT(($AI15:$AM15="M")*6+($AI15:$AM15="T")*6+($AI15:$AM15="D")*12+($AI15:$AM15="N")*12+($AI15:$AM15="NT")*6+($AI15:$AM15="C")*10+($AI15:$AM15="A")*8+($AI15:$AM15="J")*5+($AI15:$AM15="CEP")*4+($AI15:$AM15="CP")*6+($AI15:$AM15="CRO")*6+($AI15:$AM15="M+")*6+($AI15:$AM15="T+")*6+($AI15:$AM15="D+")*12+($AI15:$AM15="N+")*12+($AI15:$AM15="Dm+")*12+($AI15:$AM15="Dt+")*12+($AI15:$AM15="Tm-")*6+($AI15:$AM15="Mt-")*6)+SUMPRODUCT(($AN15:$AO15="M")*6+($AN15:$AO15="T")*6+($AN15:$AO15="D")*12+($AN15:$AO15="N")*12+($AN15:$AO15="NT")*6+($AN15:$AO15="C")*10+($AN15:$AO15="A")*8+($AN15:$AO15="J")*5+($AN15:$AO15="CEP")*4+($AN15:$AO15="CP")*6+($AN15:$AO15="CRO")*6+($AN15:$AO15="M+")*6+($AN15:$AO15="T+")*6+($AN15:$AO15="D+")*12+($AN15:$AO15="N+")*12+($AN15:$AO15="Dm+")*12+($AN15:$AO15="Dt+")*12+($AN15:$AO15="Tm-")*6+($AN15:$AO15="Mt-")*6)</f>
        <v/>
      </c>
      <c r="BC15" s="118">
        <f>BB15-MAX(0,IFERROR(INDEX(CADASTRO!$I$4:$I$80,MATCH($A15,CADASTRO!$A$4:$A$80,0)),$B15)-CONFIG!$B$50*(COUNTIF($AI15:$AM15,"AB")+COUNTIF($AI15:$AM15,"FE")+COUNTIF($AI15:$AM15,"LM")+COUNTIF($AN15:$AO15,"AB")+COUNTIF($AN15:$AO15,"FE")+COUNTIF($AN15:$AO15,"LM")))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36">
        <f>IFERROR(INDEX(JUN!AK$8:AK$73,MATCH($A16,JUN!$A$8:$A$73,0))&amp;"","")</f>
        <v/>
      </c>
      <c r="H16" s="136">
        <f>IFERROR(INDEX(JUN!AL$8:AL$73,MATCH($A16,JUN!$A$8:$A$73,0))&amp;"","")</f>
        <v/>
      </c>
      <c r="I16" s="114" t="n"/>
      <c r="J16" s="114" t="n"/>
      <c r="K16" s="140" t="inlineStr">
        <is>
          <t>J</t>
        </is>
      </c>
      <c r="L16" s="114" t="n"/>
      <c r="M16" s="126" t="inlineStr">
        <is>
          <t>T</t>
        </is>
      </c>
      <c r="N16" s="140" t="inlineStr">
        <is>
          <t>J</t>
        </is>
      </c>
      <c r="O16" s="140" t="inlineStr">
        <is>
          <t>J</t>
        </is>
      </c>
      <c r="P16" s="140" t="inlineStr">
        <is>
          <t>J</t>
        </is>
      </c>
      <c r="Q16" s="140" t="inlineStr">
        <is>
          <t>J</t>
        </is>
      </c>
      <c r="R16" s="140" t="inlineStr">
        <is>
          <t>J</t>
        </is>
      </c>
      <c r="S16" s="140" t="inlineStr">
        <is>
          <t>J</t>
        </is>
      </c>
      <c r="T16" s="114" t="n"/>
      <c r="U16" s="140" t="inlineStr">
        <is>
          <t>J</t>
        </is>
      </c>
      <c r="V16" s="140" t="inlineStr">
        <is>
          <t>J</t>
        </is>
      </c>
      <c r="W16" s="140" t="inlineStr">
        <is>
          <t>J</t>
        </is>
      </c>
      <c r="X16" s="140" t="inlineStr">
        <is>
          <t>J</t>
        </is>
      </c>
      <c r="Y16" s="140" t="inlineStr">
        <is>
          <t>J</t>
        </is>
      </c>
      <c r="Z16" s="140" t="inlineStr">
        <is>
          <t>J</t>
        </is>
      </c>
      <c r="AA16" s="114" t="n"/>
      <c r="AB16" s="140" t="inlineStr">
        <is>
          <t>J</t>
        </is>
      </c>
      <c r="AC16" s="140" t="inlineStr">
        <is>
          <t>J</t>
        </is>
      </c>
      <c r="AD16" s="140" t="inlineStr">
        <is>
          <t>J</t>
        </is>
      </c>
      <c r="AE16" s="140" t="inlineStr">
        <is>
          <t>J</t>
        </is>
      </c>
      <c r="AF16" s="140" t="inlineStr">
        <is>
          <t>J</t>
        </is>
      </c>
      <c r="AG16" s="140" t="inlineStr">
        <is>
          <t>J</t>
        </is>
      </c>
      <c r="AH16" s="114" t="n"/>
      <c r="AI16" s="140" t="inlineStr">
        <is>
          <t>J</t>
        </is>
      </c>
      <c r="AJ16" s="140" t="inlineStr">
        <is>
          <t>J</t>
        </is>
      </c>
      <c r="AK16" s="140" t="inlineStr">
        <is>
          <t>J</t>
        </is>
      </c>
      <c r="AL16" s="140" t="inlineStr">
        <is>
          <t>J</t>
        </is>
      </c>
      <c r="AM16" s="140" t="inlineStr">
        <is>
          <t>J</t>
        </is>
      </c>
      <c r="AN16" s="116">
        <f>IFERROR(INDEX(AGO!I$8:I$73,MATCH($A16,AGO!$A$8:$A$73,0))&amp;"","")</f>
        <v/>
      </c>
      <c r="AO16" s="116">
        <f>IFERROR(INDEX(AGO!J$8:J$73,MATCH($A16,AGO!$A$8:$A$73,0))&amp;"","")</f>
        <v/>
      </c>
      <c r="AP16" s="100" t="n"/>
      <c r="AQ16" s="100" t="n"/>
      <c r="AR16" s="100" t="n"/>
      <c r="AS16" s="100" t="n"/>
      <c r="AT16" s="117">
        <f>SUMPRODUCT(($G16:$M16="M")*6+($G16:$M16="T")*6+($G16:$M16="D")*12+($G16:$M16="N")*12+($G16:$M16="NT")*6+($G16:$M16="C")*10+($G16:$M16="A")*8+($G16:$M16="J")*5+($G16:$M16="CEP")*4+($G16:$M16="CP")*6+($G16:$M16="CRO")*6+($G16:$M16="M+")*6+($G16:$M16="T+")*6+($G16:$M16="D+")*12+($G16:$M16="N+")*12+($G16:$M16="Dm+")*12+($G16:$M16="Dt+")*12+($G16:$M16="Tm-")*6+($G16:$M16="Mt-")*6)</f>
        <v/>
      </c>
      <c r="AU16" s="118">
        <f>AT16-MAX(0,IFERROR(INDEX(CADASTRO!$I$4:$I$80,MATCH($A16,CADASTRO!$A$4:$A$80,0)),$B16)-CONFIG!$B$50*(COUNTIF($G16:$M16,"AB")+COUNTIF($G16:$M16,"FE")+COUNTIF($G16:$M16,"LM")))</f>
        <v/>
      </c>
      <c r="AV16" s="117">
        <f>SUMPRODUCT(($N16:$T16="M")*6+($N16:$T16="T")*6+($N16:$T16="D")*12+($N16:$T16="N")*12+($N16:$T16="NT")*6+($N16:$T16="C")*10+($N16:$T16="A")*8+($N16:$T16="J")*5+($N16:$T16="CEP")*4+($N16:$T16="CP")*6+($N16:$T16="CRO")*6+($N16:$T16="M+")*6+($N16:$T16="T+")*6+($N16:$T16="D+")*12+($N16:$T16="N+")*12+($N16:$T16="Dm+")*12+($N16:$T16="Dt+")*12+($N16:$T16="Tm-")*6+($N16:$T16="Mt-")*6)</f>
        <v/>
      </c>
      <c r="AW16" s="118">
        <f>AV16-MAX(0,IFERROR(INDEX(CADASTRO!$I$4:$I$80,MATCH($A16,CADASTRO!$A$4:$A$80,0)),$B16)-CONFIG!$B$50*(COUNTIF($N16:$T16,"AB")+COUNTIF($N16:$T16,"FE")+COUNTIF($N16:$T16,"LM")))</f>
        <v/>
      </c>
      <c r="AX16" s="117">
        <f>SUMPRODUCT(($U16:$AA16="M")*6+($U16:$AA16="T")*6+($U16:$AA16="D")*12+($U16:$AA16="N")*12+($U16:$AA16="NT")*6+($U16:$AA16="C")*10+($U16:$AA16="A")*8+($U16:$AA16="J")*5+($U16:$AA16="CEP")*4+($U16:$AA16="CP")*6+($U16:$AA16="CRO")*6+($U16:$AA16="M+")*6+($U16:$AA16="T+")*6+($U16:$AA16="D+")*12+($U16:$AA16="N+")*12+($U16:$AA16="Dm+")*12+($U16:$AA16="Dt+")*12+($U16:$AA16="Tm-")*6+($U16:$AA16="Mt-")*6)</f>
        <v/>
      </c>
      <c r="AY16" s="118">
        <f>AX16-MAX(0,IFERROR(INDEX(CADASTRO!$I$4:$I$80,MATCH($A16,CADASTRO!$A$4:$A$80,0)),$B16)-CONFIG!$B$50*(COUNTIF($U16:$AA16,"AB")+COUNTIF($U16:$AA16,"FE")+COUNTIF($U16:$AA16,"LM")))</f>
        <v/>
      </c>
      <c r="AZ16" s="117">
        <f>SUMPRODUCT(($AB16:$AH16="M")*6+($AB16:$AH16="T")*6+($AB16:$AH16="D")*12+($AB16:$AH16="N")*12+($AB16:$AH16="NT")*6+($AB16:$AH16="C")*10+($AB16:$AH16="A")*8+($AB16:$AH16="J")*5+($AB16:$AH16="CEP")*4+($AB16:$AH16="CP")*6+($AB16:$AH16="CRO")*6+($AB16:$AH16="M+")*6+($AB16:$AH16="T+")*6+($AB16:$AH16="D+")*12+($AB16:$AH16="N+")*12+($AB16:$AH16="Dm+")*12+($AB16:$AH16="Dt+")*12+($AB16:$AH16="Tm-")*6+($AB16:$AH16="Mt-")*6)</f>
        <v/>
      </c>
      <c r="BA16" s="118">
        <f>AZ16-MAX(0,IFERROR(INDEX(CADASTRO!$I$4:$I$80,MATCH($A16,CADASTRO!$A$4:$A$80,0)),$B16)-CONFIG!$B$50*(COUNTIF($AB16:$AH16,"AB")+COUNTIF($AB16:$AH16,"FE")+COUNTIF($AB16:$AH16,"LM")))</f>
        <v/>
      </c>
      <c r="BB16" s="117">
        <f>SUMPRODUCT(($AI16:$AM16="M")*6+($AI16:$AM16="T")*6+($AI16:$AM16="D")*12+($AI16:$AM16="N")*12+($AI16:$AM16="NT")*6+($AI16:$AM16="C")*10+($AI16:$AM16="A")*8+($AI16:$AM16="J")*5+($AI16:$AM16="CEP")*4+($AI16:$AM16="CP")*6+($AI16:$AM16="CRO")*6+($AI16:$AM16="M+")*6+($AI16:$AM16="T+")*6+($AI16:$AM16="D+")*12+($AI16:$AM16="N+")*12+($AI16:$AM16="Dm+")*12+($AI16:$AM16="Dt+")*12+($AI16:$AM16="Tm-")*6+($AI16:$AM16="Mt-")*6)+SUMPRODUCT(($AN16:$AO16="M")*6+($AN16:$AO16="T")*6+($AN16:$AO16="D")*12+($AN16:$AO16="N")*12+($AN16:$AO16="NT")*6+($AN16:$AO16="C")*10+($AN16:$AO16="A")*8+($AN16:$AO16="J")*5+($AN16:$AO16="CEP")*4+($AN16:$AO16="CP")*6+($AN16:$AO16="CRO")*6+($AN16:$AO16="M+")*6+($AN16:$AO16="T+")*6+($AN16:$AO16="D+")*12+($AN16:$AO16="N+")*12+($AN16:$AO16="Dm+")*12+($AN16:$AO16="Dt+")*12+($AN16:$AO16="Tm-")*6+($AN16:$AO16="Mt-")*6)</f>
        <v/>
      </c>
      <c r="BC16" s="118">
        <f>BB16-MAX(0,IFERROR(INDEX(CADASTRO!$I$4:$I$80,MATCH($A16,CADASTRO!$A$4:$A$80,0)),$B16)-CONFIG!$B$50*(COUNTIF($AI16:$AM16,"AB")+COUNTIF($AI16:$AM16,"FE")+COUNTIF($AI16:$AM16,"LM")+COUNTIF($AN16:$AO16,"AB")+COUNTIF($AN16:$AO16,"FE")+COUNTIF($AN16:$AO16,"LM")))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36">
        <f>IFERROR(INDEX(JUN!AK$8:AK$73,MATCH($A17,JUN!$A$8:$A$73,0))&amp;"","")</f>
        <v/>
      </c>
      <c r="H17" s="136">
        <f>IFERROR(INDEX(JUN!AL$8:AL$73,MATCH($A17,JUN!$A$8:$A$73,0))&amp;"","")</f>
        <v/>
      </c>
      <c r="I17" s="114" t="n"/>
      <c r="J17" s="129" t="inlineStr">
        <is>
          <t>CEP</t>
        </is>
      </c>
      <c r="K17" s="125" t="inlineStr">
        <is>
          <t>N</t>
        </is>
      </c>
      <c r="L17" s="114" t="n"/>
      <c r="M17" s="114" t="n"/>
      <c r="N17" s="126" t="inlineStr">
        <is>
          <t>T</t>
        </is>
      </c>
      <c r="O17" s="129" t="inlineStr">
        <is>
          <t>CEP</t>
        </is>
      </c>
      <c r="P17" s="124" t="inlineStr">
        <is>
          <t>D</t>
        </is>
      </c>
      <c r="Q17" s="125" t="inlineStr">
        <is>
          <t>N</t>
        </is>
      </c>
      <c r="R17" s="114" t="n"/>
      <c r="S17" s="114" t="n"/>
      <c r="T17" s="114" t="n"/>
      <c r="U17" s="125" t="inlineStr">
        <is>
          <t>N</t>
        </is>
      </c>
      <c r="V17" s="129" t="inlineStr">
        <is>
          <t>CEP</t>
        </is>
      </c>
      <c r="W17" s="126" t="inlineStr">
        <is>
          <t>T</t>
        </is>
      </c>
      <c r="X17" s="114" t="n"/>
      <c r="Y17" s="126" t="inlineStr">
        <is>
          <t>T</t>
        </is>
      </c>
      <c r="Z17" s="125" t="inlineStr">
        <is>
          <t>N</t>
        </is>
      </c>
      <c r="AA17" s="114" t="n"/>
      <c r="AB17" s="126" t="inlineStr">
        <is>
          <t>T</t>
        </is>
      </c>
      <c r="AC17" s="129" t="inlineStr">
        <is>
          <t>CEP</t>
        </is>
      </c>
      <c r="AD17" s="114" t="n"/>
      <c r="AE17" s="126" t="inlineStr">
        <is>
          <t>T</t>
        </is>
      </c>
      <c r="AF17" s="126" t="inlineStr">
        <is>
          <t>T</t>
        </is>
      </c>
      <c r="AG17" s="115" t="inlineStr">
        <is>
          <t>M</t>
        </is>
      </c>
      <c r="AH17" s="114" t="n"/>
      <c r="AI17" s="125" t="inlineStr">
        <is>
          <t>N</t>
        </is>
      </c>
      <c r="AJ17" s="129" t="inlineStr">
        <is>
          <t>CEP</t>
        </is>
      </c>
      <c r="AK17" s="124" t="inlineStr">
        <is>
          <t>D</t>
        </is>
      </c>
      <c r="AL17" s="125" t="inlineStr">
        <is>
          <t>N</t>
        </is>
      </c>
      <c r="AM17" s="114" t="n"/>
      <c r="AN17" s="116">
        <f>IFERROR(INDEX(AGO!I$8:I$73,MATCH($A17,AGO!$A$8:$A$73,0))&amp;"","")</f>
        <v/>
      </c>
      <c r="AO17" s="116">
        <f>IFERROR(INDEX(AGO!J$8:J$73,MATCH($A17,AGO!$A$8:$A$73,0))&amp;"","")</f>
        <v/>
      </c>
      <c r="AP17" s="100" t="n"/>
      <c r="AQ17" s="100" t="n"/>
      <c r="AR17" s="100" t="n"/>
      <c r="AS17" s="100" t="n"/>
      <c r="AT17" s="117">
        <f>SUMPRODUCT(($G17:$M17="M")*6+($G17:$M17="T")*6+($G17:$M17="D")*12+($G17:$M17="N")*12+($G17:$M17="NT")*6+($G17:$M17="C")*10+($G17:$M17="A")*8+($G17:$M17="J")*5+($G17:$M17="CEP")*4+($G17:$M17="CP")*6+($G17:$M17="CRO")*6+($G17:$M17="M+")*6+($G17:$M17="T+")*6+($G17:$M17="D+")*12+($G17:$M17="N+")*12+($G17:$M17="Dm+")*12+($G17:$M17="Dt+")*12+($G17:$M17="Tm-")*6+($G17:$M17="Mt-")*6)</f>
        <v/>
      </c>
      <c r="AU17" s="118">
        <f>AT17-MAX(0,IFERROR(INDEX(CADASTRO!$I$4:$I$80,MATCH($A17,CADASTRO!$A$4:$A$80,0)),$B17)-CONFIG!$B$50*(COUNTIF($G17:$M17,"AB")+COUNTIF($G17:$M17,"FE")+COUNTIF($G17:$M17,"LM")))</f>
        <v/>
      </c>
      <c r="AV17" s="117">
        <f>SUMPRODUCT(($N17:$T17="M")*6+($N17:$T17="T")*6+($N17:$T17="D")*12+($N17:$T17="N")*12+($N17:$T17="NT")*6+($N17:$T17="C")*10+($N17:$T17="A")*8+($N17:$T17="J")*5+($N17:$T17="CEP")*4+($N17:$T17="CP")*6+($N17:$T17="CRO")*6+($N17:$T17="M+")*6+($N17:$T17="T+")*6+($N17:$T17="D+")*12+($N17:$T17="N+")*12+($N17:$T17="Dm+")*12+($N17:$T17="Dt+")*12+($N17:$T17="Tm-")*6+($N17:$T17="Mt-")*6)</f>
        <v/>
      </c>
      <c r="AW17" s="118">
        <f>AV17-MAX(0,IFERROR(INDEX(CADASTRO!$I$4:$I$80,MATCH($A17,CADASTRO!$A$4:$A$80,0)),$B17)-CONFIG!$B$50*(COUNTIF($N17:$T17,"AB")+COUNTIF($N17:$T17,"FE")+COUNTIF($N17:$T17,"LM")))</f>
        <v/>
      </c>
      <c r="AX17" s="117">
        <f>SUMPRODUCT(($U17:$AA17="M")*6+($U17:$AA17="T")*6+($U17:$AA17="D")*12+($U17:$AA17="N")*12+($U17:$AA17="NT")*6+($U17:$AA17="C")*10+($U17:$AA17="A")*8+($U17:$AA17="J")*5+($U17:$AA17="CEP")*4+($U17:$AA17="CP")*6+($U17:$AA17="CRO")*6+($U17:$AA17="M+")*6+($U17:$AA17="T+")*6+($U17:$AA17="D+")*12+($U17:$AA17="N+")*12+($U17:$AA17="Dm+")*12+($U17:$AA17="Dt+")*12+($U17:$AA17="Tm-")*6+($U17:$AA17="Mt-")*6)</f>
        <v/>
      </c>
      <c r="AY17" s="118">
        <f>AX17-MAX(0,IFERROR(INDEX(CADASTRO!$I$4:$I$80,MATCH($A17,CADASTRO!$A$4:$A$80,0)),$B17)-CONFIG!$B$50*(COUNTIF($U17:$AA17,"AB")+COUNTIF($U17:$AA17,"FE")+COUNTIF($U17:$AA17,"LM")))</f>
        <v/>
      </c>
      <c r="AZ17" s="117">
        <f>SUMPRODUCT(($AB17:$AH17="M")*6+($AB17:$AH17="T")*6+($AB17:$AH17="D")*12+($AB17:$AH17="N")*12+($AB17:$AH17="NT")*6+($AB17:$AH17="C")*10+($AB17:$AH17="A")*8+($AB17:$AH17="J")*5+($AB17:$AH17="CEP")*4+($AB17:$AH17="CP")*6+($AB17:$AH17="CRO")*6+($AB17:$AH17="M+")*6+($AB17:$AH17="T+")*6+($AB17:$AH17="D+")*12+($AB17:$AH17="N+")*12+($AB17:$AH17="Dm+")*12+($AB17:$AH17="Dt+")*12+($AB17:$AH17="Tm-")*6+($AB17:$AH17="Mt-")*6)</f>
        <v/>
      </c>
      <c r="BA17" s="118">
        <f>AZ17-MAX(0,IFERROR(INDEX(CADASTRO!$I$4:$I$80,MATCH($A17,CADASTRO!$A$4:$A$80,0)),$B17)-CONFIG!$B$50*(COUNTIF($AB17:$AH17,"AB")+COUNTIF($AB17:$AH17,"FE")+COUNTIF($AB17:$AH17,"LM")))</f>
        <v/>
      </c>
      <c r="BB17" s="117">
        <f>SUMPRODUCT(($AI17:$AM17="M")*6+($AI17:$AM17="T")*6+($AI17:$AM17="D")*12+($AI17:$AM17="N")*12+($AI17:$AM17="NT")*6+($AI17:$AM17="C")*10+($AI17:$AM17="A")*8+($AI17:$AM17="J")*5+($AI17:$AM17="CEP")*4+($AI17:$AM17="CP")*6+($AI17:$AM17="CRO")*6+($AI17:$AM17="M+")*6+($AI17:$AM17="T+")*6+($AI17:$AM17="D+")*12+($AI17:$AM17="N+")*12+($AI17:$AM17="Dm+")*12+($AI17:$AM17="Dt+")*12+($AI17:$AM17="Tm-")*6+($AI17:$AM17="Mt-")*6)+SUMPRODUCT(($AN17:$AO17="M")*6+($AN17:$AO17="T")*6+($AN17:$AO17="D")*12+($AN17:$AO17="N")*12+($AN17:$AO17="NT")*6+($AN17:$AO17="C")*10+($AN17:$AO17="A")*8+($AN17:$AO17="J")*5+($AN17:$AO17="CEP")*4+($AN17:$AO17="CP")*6+($AN17:$AO17="CRO")*6+($AN17:$AO17="M+")*6+($AN17:$AO17="T+")*6+($AN17:$AO17="D+")*12+($AN17:$AO17="N+")*12+($AN17:$AO17="Dm+")*12+($AN17:$AO17="Dt+")*12+($AN17:$AO17="Tm-")*6+($AN17:$AO17="Mt-")*6)</f>
        <v/>
      </c>
      <c r="BC17" s="118">
        <f>BB17-MAX(0,IFERROR(INDEX(CADASTRO!$I$4:$I$80,MATCH($A17,CADASTRO!$A$4:$A$80,0)),$B17)-CONFIG!$B$50*(COUNTIF($AI17:$AM17,"AB")+COUNTIF($AI17:$AM17,"FE")+COUNTIF($AI17:$AM17,"LM")+COUNTIF($AN17:$AO17,"AB")+COUNTIF($AN17:$AO17,"FE")+COUNTIF($AN17:$AO17,"LM")))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36">
        <f>IFERROR(INDEX(JUN!AK$8:AK$73,MATCH($A18,JUN!$A$8:$A$73,0))&amp;"","")</f>
        <v/>
      </c>
      <c r="H18" s="136">
        <f>IFERROR(INDEX(JUN!AL$8:AL$73,MATCH($A18,JUN!$A$8:$A$73,0))&amp;"","")</f>
        <v/>
      </c>
      <c r="I18" s="124" t="inlineStr">
        <is>
          <t>D</t>
        </is>
      </c>
      <c r="J18" s="114" t="n"/>
      <c r="K18" s="114" t="n"/>
      <c r="L18" s="114" t="n"/>
      <c r="M18" s="124" t="inlineStr">
        <is>
          <t>D</t>
        </is>
      </c>
      <c r="N18" s="124" t="inlineStr">
        <is>
          <t>D</t>
        </is>
      </c>
      <c r="O18" s="114" t="n"/>
      <c r="P18" s="124" t="inlineStr">
        <is>
          <t>D</t>
        </is>
      </c>
      <c r="Q18" s="114" t="n"/>
      <c r="R18" s="124" t="inlineStr">
        <is>
          <t>D</t>
        </is>
      </c>
      <c r="S18" s="114" t="n"/>
      <c r="T18" s="114" t="n"/>
      <c r="U18" s="139" t="inlineStr">
        <is>
          <t>FE</t>
        </is>
      </c>
      <c r="V18" s="139" t="inlineStr">
        <is>
          <t>FE</t>
        </is>
      </c>
      <c r="W18" s="139" t="inlineStr">
        <is>
          <t>FE</t>
        </is>
      </c>
      <c r="X18" s="139" t="inlineStr">
        <is>
          <t>FE</t>
        </is>
      </c>
      <c r="Y18" s="139" t="inlineStr">
        <is>
          <t>FE</t>
        </is>
      </c>
      <c r="Z18" s="139" t="inlineStr">
        <is>
          <t>FE</t>
        </is>
      </c>
      <c r="AA18" s="139" t="inlineStr">
        <is>
          <t>FE</t>
        </is>
      </c>
      <c r="AB18" s="139" t="inlineStr">
        <is>
          <t>FE</t>
        </is>
      </c>
      <c r="AC18" s="139" t="inlineStr">
        <is>
          <t>FE</t>
        </is>
      </c>
      <c r="AD18" s="139" t="inlineStr">
        <is>
          <t>FE</t>
        </is>
      </c>
      <c r="AE18" s="139" t="inlineStr">
        <is>
          <t>FE</t>
        </is>
      </c>
      <c r="AF18" s="139" t="inlineStr">
        <is>
          <t>FE</t>
        </is>
      </c>
      <c r="AG18" s="139" t="inlineStr">
        <is>
          <t>FE</t>
        </is>
      </c>
      <c r="AH18" s="139" t="inlineStr">
        <is>
          <t>FE</t>
        </is>
      </c>
      <c r="AI18" s="139" t="inlineStr">
        <is>
          <t>FE</t>
        </is>
      </c>
      <c r="AJ18" s="114" t="n"/>
      <c r="AK18" s="126" t="inlineStr">
        <is>
          <t>T</t>
        </is>
      </c>
      <c r="AL18" s="114" t="n"/>
      <c r="AM18" s="125" t="inlineStr">
        <is>
          <t>N</t>
        </is>
      </c>
      <c r="AN18" s="116">
        <f>IFERROR(INDEX(AGO!I$8:I$73,MATCH($A18,AGO!$A$8:$A$73,0))&amp;"","")</f>
        <v/>
      </c>
      <c r="AO18" s="116">
        <f>IFERROR(INDEX(AGO!J$8:J$73,MATCH($A18,AGO!$A$8:$A$73,0))&amp;"","")</f>
        <v/>
      </c>
      <c r="AP18" s="100" t="n"/>
      <c r="AQ18" s="100" t="n"/>
      <c r="AR18" s="100" t="n"/>
      <c r="AS18" s="100" t="n"/>
      <c r="AT18" s="117">
        <f>SUMPRODUCT(($G18:$M18="M")*6+($G18:$M18="T")*6+($G18:$M18="D")*12+($G18:$M18="N")*12+($G18:$M18="NT")*6+($G18:$M18="C")*10+($G18:$M18="A")*8+($G18:$M18="J")*5+($G18:$M18="CEP")*4+($G18:$M18="CP")*6+($G18:$M18="CRO")*6+($G18:$M18="M+")*6+($G18:$M18="T+")*6+($G18:$M18="D+")*12+($G18:$M18="N+")*12+($G18:$M18="Dm+")*12+($G18:$M18="Dt+")*12+($G18:$M18="Tm-")*6+($G18:$M18="Mt-")*6)</f>
        <v/>
      </c>
      <c r="AU18" s="118">
        <f>AT18-MAX(0,IFERROR(INDEX(CADASTRO!$I$4:$I$80,MATCH($A18,CADASTRO!$A$4:$A$80,0)),$B18)-CONFIG!$B$50*(COUNTIF($G18:$M18,"AB")+COUNTIF($G18:$M18,"FE")+COUNTIF($G18:$M18,"LM")))</f>
        <v/>
      </c>
      <c r="AV18" s="117">
        <f>SUMPRODUCT(($N18:$T18="M")*6+($N18:$T18="T")*6+($N18:$T18="D")*12+($N18:$T18="N")*12+($N18:$T18="NT")*6+($N18:$T18="C")*10+($N18:$T18="A")*8+($N18:$T18="J")*5+($N18:$T18="CEP")*4+($N18:$T18="CP")*6+($N18:$T18="CRO")*6+($N18:$T18="M+")*6+($N18:$T18="T+")*6+($N18:$T18="D+")*12+($N18:$T18="N+")*12+($N18:$T18="Dm+")*12+($N18:$T18="Dt+")*12+($N18:$T18="Tm-")*6+($N18:$T18="Mt-")*6)</f>
        <v/>
      </c>
      <c r="AW18" s="118">
        <f>AV18-MAX(0,IFERROR(INDEX(CADASTRO!$I$4:$I$80,MATCH($A18,CADASTRO!$A$4:$A$80,0)),$B18)-CONFIG!$B$50*(COUNTIF($N18:$T18,"AB")+COUNTIF($N18:$T18,"FE")+COUNTIF($N18:$T18,"LM")))</f>
        <v/>
      </c>
      <c r="AX18" s="117">
        <f>SUMPRODUCT(($U18:$AA18="M")*6+($U18:$AA18="T")*6+($U18:$AA18="D")*12+($U18:$AA18="N")*12+($U18:$AA18="NT")*6+($U18:$AA18="C")*10+($U18:$AA18="A")*8+($U18:$AA18="J")*5+($U18:$AA18="CEP")*4+($U18:$AA18="CP")*6+($U18:$AA18="CRO")*6+($U18:$AA18="M+")*6+($U18:$AA18="T+")*6+($U18:$AA18="D+")*12+($U18:$AA18="N+")*12+($U18:$AA18="Dm+")*12+($U18:$AA18="Dt+")*12+($U18:$AA18="Tm-")*6+($U18:$AA18="Mt-")*6)</f>
        <v/>
      </c>
      <c r="AY18" s="118">
        <f>AX18-MAX(0,IFERROR(INDEX(CADASTRO!$I$4:$I$80,MATCH($A18,CADASTRO!$A$4:$A$80,0)),$B18)-CONFIG!$B$50*(COUNTIF($U18:$AA18,"AB")+COUNTIF($U18:$AA18,"FE")+COUNTIF($U18:$AA18,"LM")))</f>
        <v/>
      </c>
      <c r="AZ18" s="117">
        <f>SUMPRODUCT(($AB18:$AH18="M")*6+($AB18:$AH18="T")*6+($AB18:$AH18="D")*12+($AB18:$AH18="N")*12+($AB18:$AH18="NT")*6+($AB18:$AH18="C")*10+($AB18:$AH18="A")*8+($AB18:$AH18="J")*5+($AB18:$AH18="CEP")*4+($AB18:$AH18="CP")*6+($AB18:$AH18="CRO")*6+($AB18:$AH18="M+")*6+($AB18:$AH18="T+")*6+($AB18:$AH18="D+")*12+($AB18:$AH18="N+")*12+($AB18:$AH18="Dm+")*12+($AB18:$AH18="Dt+")*12+($AB18:$AH18="Tm-")*6+($AB18:$AH18="Mt-")*6)</f>
        <v/>
      </c>
      <c r="BA18" s="118">
        <f>AZ18-MAX(0,IFERROR(INDEX(CADASTRO!$I$4:$I$80,MATCH($A18,CADASTRO!$A$4:$A$80,0)),$B18)-CONFIG!$B$50*(COUNTIF($AB18:$AH18,"AB")+COUNTIF($AB18:$AH18,"FE")+COUNTIF($AB18:$AH18,"LM")))</f>
        <v/>
      </c>
      <c r="BB18" s="117">
        <f>SUMPRODUCT(($AI18:$AM18="M")*6+($AI18:$AM18="T")*6+($AI18:$AM18="D")*12+($AI18:$AM18="N")*12+($AI18:$AM18="NT")*6+($AI18:$AM18="C")*10+($AI18:$AM18="A")*8+($AI18:$AM18="J")*5+($AI18:$AM18="CEP")*4+($AI18:$AM18="CP")*6+($AI18:$AM18="CRO")*6+($AI18:$AM18="M+")*6+($AI18:$AM18="T+")*6+($AI18:$AM18="D+")*12+($AI18:$AM18="N+")*12+($AI18:$AM18="Dm+")*12+($AI18:$AM18="Dt+")*12+($AI18:$AM18="Tm-")*6+($AI18:$AM18="Mt-")*6)+SUMPRODUCT(($AN18:$AO18="M")*6+($AN18:$AO18="T")*6+($AN18:$AO18="D")*12+($AN18:$AO18="N")*12+($AN18:$AO18="NT")*6+($AN18:$AO18="C")*10+($AN18:$AO18="A")*8+($AN18:$AO18="J")*5+($AN18:$AO18="CEP")*4+($AN18:$AO18="CP")*6+($AN18:$AO18="CRO")*6+($AN18:$AO18="M+")*6+($AN18:$AO18="T+")*6+($AN18:$AO18="D+")*12+($AN18:$AO18="N+")*12+($AN18:$AO18="Dm+")*12+($AN18:$AO18="Dt+")*12+($AN18:$AO18="Tm-")*6+($AN18:$AO18="Mt-")*6)</f>
        <v/>
      </c>
      <c r="BC18" s="118">
        <f>BB18-MAX(0,IFERROR(INDEX(CADASTRO!$I$4:$I$80,MATCH($A18,CADASTRO!$A$4:$A$80,0)),$B18)-CONFIG!$B$50*(COUNTIF($AI18:$AM18,"AB")+COUNTIF($AI18:$AM18,"FE")+COUNTIF($AI18:$AM18,"LM")+COUNTIF($AN18:$AO18,"AB")+COUNTIF($AN18:$AO18,"FE")+COUNTIF($AN18:$AO18,"LM")))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36">
        <f>IFERROR(INDEX(JUN!AK$8:AK$73,MATCH($A19,JUN!$A$8:$A$73,0))&amp;"","")</f>
        <v/>
      </c>
      <c r="H19" s="136">
        <f>IFERROR(INDEX(JUN!AL$8:AL$73,MATCH($A19,JUN!$A$8:$A$73,0))&amp;"","")</f>
        <v/>
      </c>
      <c r="I19" s="125" t="inlineStr">
        <is>
          <t>N</t>
        </is>
      </c>
      <c r="J19" s="125" t="inlineStr">
        <is>
          <t>N</t>
        </is>
      </c>
      <c r="K19" s="114" t="n"/>
      <c r="L19" s="114" t="n"/>
      <c r="M19" s="114" t="n"/>
      <c r="N19" s="114" t="n"/>
      <c r="O19" s="114" t="n"/>
      <c r="P19" s="125" t="inlineStr">
        <is>
          <t>N</t>
        </is>
      </c>
      <c r="Q19" s="125" t="inlineStr">
        <is>
          <t>N</t>
        </is>
      </c>
      <c r="R19" s="114" t="n"/>
      <c r="S19" s="114" t="n"/>
      <c r="T19" s="125" t="inlineStr">
        <is>
          <t>N</t>
        </is>
      </c>
      <c r="U19" s="114" t="n"/>
      <c r="V19" s="114" t="n"/>
      <c r="W19" s="125" t="inlineStr">
        <is>
          <t>N</t>
        </is>
      </c>
      <c r="X19" s="114" t="n"/>
      <c r="Y19" s="125" t="inlineStr">
        <is>
          <t>N</t>
        </is>
      </c>
      <c r="Z19" s="114" t="n"/>
      <c r="AA19" s="125" t="inlineStr">
        <is>
          <t>N</t>
        </is>
      </c>
      <c r="AB19" s="114" t="n"/>
      <c r="AC19" s="114" t="n"/>
      <c r="AD19" s="125" t="inlineStr">
        <is>
          <t>N</t>
        </is>
      </c>
      <c r="AE19" s="125" t="inlineStr">
        <is>
          <t>N</t>
        </is>
      </c>
      <c r="AF19" s="114" t="n"/>
      <c r="AG19" s="114" t="n"/>
      <c r="AH19" s="125" t="inlineStr">
        <is>
          <t>N</t>
        </is>
      </c>
      <c r="AI19" s="125" t="inlineStr">
        <is>
          <t>N</t>
        </is>
      </c>
      <c r="AJ19" s="114" t="n"/>
      <c r="AK19" s="125" t="inlineStr">
        <is>
          <t>N</t>
        </is>
      </c>
      <c r="AL19" s="125" t="inlineStr">
        <is>
          <t>N</t>
        </is>
      </c>
      <c r="AM19" s="114" t="n"/>
      <c r="AN19" s="116">
        <f>IFERROR(INDEX(AGO!I$8:I$73,MATCH($A19,AGO!$A$8:$A$73,0))&amp;"","")</f>
        <v/>
      </c>
      <c r="AO19" s="116">
        <f>IFERROR(INDEX(AGO!J$8:J$73,MATCH($A19,AGO!$A$8:$A$73,0))&amp;"","")</f>
        <v/>
      </c>
      <c r="AP19" s="100" t="n"/>
      <c r="AQ19" s="100" t="n"/>
      <c r="AR19" s="100" t="n"/>
      <c r="AS19" s="100" t="n"/>
      <c r="AT19" s="117">
        <f>SUMPRODUCT(($G19:$M19="M")*6+($G19:$M19="T")*6+($G19:$M19="D")*12+($G19:$M19="N")*12+($G19:$M19="NT")*6+($G19:$M19="C")*10+($G19:$M19="A")*8+($G19:$M19="J")*5+($G19:$M19="CEP")*4+($G19:$M19="CP")*6+($G19:$M19="CRO")*6+($G19:$M19="M+")*6+($G19:$M19="T+")*6+($G19:$M19="D+")*12+($G19:$M19="N+")*12+($G19:$M19="Dm+")*12+($G19:$M19="Dt+")*12+($G19:$M19="Tm-")*6+($G19:$M19="Mt-")*6)</f>
        <v/>
      </c>
      <c r="AU19" s="118">
        <f>AT19-MAX(0,IFERROR(INDEX(CADASTRO!$I$4:$I$80,MATCH($A19,CADASTRO!$A$4:$A$80,0)),$B19)-CONFIG!$B$50*(COUNTIF($G19:$M19,"AB")+COUNTIF($G19:$M19,"FE")+COUNTIF($G19:$M19,"LM")))</f>
        <v/>
      </c>
      <c r="AV19" s="117">
        <f>SUMPRODUCT(($N19:$T19="M")*6+($N19:$T19="T")*6+($N19:$T19="D")*12+($N19:$T19="N")*12+($N19:$T19="NT")*6+($N19:$T19="C")*10+($N19:$T19="A")*8+($N19:$T19="J")*5+($N19:$T19="CEP")*4+($N19:$T19="CP")*6+($N19:$T19="CRO")*6+($N19:$T19="M+")*6+($N19:$T19="T+")*6+($N19:$T19="D+")*12+($N19:$T19="N+")*12+($N19:$T19="Dm+")*12+($N19:$T19="Dt+")*12+($N19:$T19="Tm-")*6+($N19:$T19="Mt-")*6)</f>
        <v/>
      </c>
      <c r="AW19" s="118">
        <f>AV19-MAX(0,IFERROR(INDEX(CADASTRO!$I$4:$I$80,MATCH($A19,CADASTRO!$A$4:$A$80,0)),$B19)-CONFIG!$B$50*(COUNTIF($N19:$T19,"AB")+COUNTIF($N19:$T19,"FE")+COUNTIF($N19:$T19,"LM")))</f>
        <v/>
      </c>
      <c r="AX19" s="117">
        <f>SUMPRODUCT(($U19:$AA19="M")*6+($U19:$AA19="T")*6+($U19:$AA19="D")*12+($U19:$AA19="N")*12+($U19:$AA19="NT")*6+($U19:$AA19="C")*10+($U19:$AA19="A")*8+($U19:$AA19="J")*5+($U19:$AA19="CEP")*4+($U19:$AA19="CP")*6+($U19:$AA19="CRO")*6+($U19:$AA19="M+")*6+($U19:$AA19="T+")*6+($U19:$AA19="D+")*12+($U19:$AA19="N+")*12+($U19:$AA19="Dm+")*12+($U19:$AA19="Dt+")*12+($U19:$AA19="Tm-")*6+($U19:$AA19="Mt-")*6)</f>
        <v/>
      </c>
      <c r="AY19" s="118">
        <f>AX19-MAX(0,IFERROR(INDEX(CADASTRO!$I$4:$I$80,MATCH($A19,CADASTRO!$A$4:$A$80,0)),$B19)-CONFIG!$B$50*(COUNTIF($U19:$AA19,"AB")+COUNTIF($U19:$AA19,"FE")+COUNTIF($U19:$AA19,"LM")))</f>
        <v/>
      </c>
      <c r="AZ19" s="117">
        <f>SUMPRODUCT(($AB19:$AH19="M")*6+($AB19:$AH19="T")*6+($AB19:$AH19="D")*12+($AB19:$AH19="N")*12+($AB19:$AH19="NT")*6+($AB19:$AH19="C")*10+($AB19:$AH19="A")*8+($AB19:$AH19="J")*5+($AB19:$AH19="CEP")*4+($AB19:$AH19="CP")*6+($AB19:$AH19="CRO")*6+($AB19:$AH19="M+")*6+($AB19:$AH19="T+")*6+($AB19:$AH19="D+")*12+($AB19:$AH19="N+")*12+($AB19:$AH19="Dm+")*12+($AB19:$AH19="Dt+")*12+($AB19:$AH19="Tm-")*6+($AB19:$AH19="Mt-")*6)</f>
        <v/>
      </c>
      <c r="BA19" s="118">
        <f>AZ19-MAX(0,IFERROR(INDEX(CADASTRO!$I$4:$I$80,MATCH($A19,CADASTRO!$A$4:$A$80,0)),$B19)-CONFIG!$B$50*(COUNTIF($AB19:$AH19,"AB")+COUNTIF($AB19:$AH19,"FE")+COUNTIF($AB19:$AH19,"LM")))</f>
        <v/>
      </c>
      <c r="BB19" s="117">
        <f>SUMPRODUCT(($AI19:$AM19="M")*6+($AI19:$AM19="T")*6+($AI19:$AM19="D")*12+($AI19:$AM19="N")*12+($AI19:$AM19="NT")*6+($AI19:$AM19="C")*10+($AI19:$AM19="A")*8+($AI19:$AM19="J")*5+($AI19:$AM19="CEP")*4+($AI19:$AM19="CP")*6+($AI19:$AM19="CRO")*6+($AI19:$AM19="M+")*6+($AI19:$AM19="T+")*6+($AI19:$AM19="D+")*12+($AI19:$AM19="N+")*12+($AI19:$AM19="Dm+")*12+($AI19:$AM19="Dt+")*12+($AI19:$AM19="Tm-")*6+($AI19:$AM19="Mt-")*6)+SUMPRODUCT(($AN19:$AO19="M")*6+($AN19:$AO19="T")*6+($AN19:$AO19="D")*12+($AN19:$AO19="N")*12+($AN19:$AO19="NT")*6+($AN19:$AO19="C")*10+($AN19:$AO19="A")*8+($AN19:$AO19="J")*5+($AN19:$AO19="CEP")*4+($AN19:$AO19="CP")*6+($AN19:$AO19="CRO")*6+($AN19:$AO19="M+")*6+($AN19:$AO19="T+")*6+($AN19:$AO19="D+")*12+($AN19:$AO19="N+")*12+($AN19:$AO19="Dm+")*12+($AN19:$AO19="Dt+")*12+($AN19:$AO19="Tm-")*6+($AN19:$AO19="Mt-")*6)</f>
        <v/>
      </c>
      <c r="BC19" s="118">
        <f>BB19-MAX(0,IFERROR(INDEX(CADASTRO!$I$4:$I$80,MATCH($A19,CADASTRO!$A$4:$A$80,0)),$B19)-CONFIG!$B$50*(COUNTIF($AI19:$AM19,"AB")+COUNTIF($AI19:$AM19,"FE")+COUNTIF($AI19:$AM19,"LM")+COUNTIF($AN19:$AO19,"AB")+COUNTIF($AN19:$AO19,"FE")+COUNTIF($AN19:$AO19,"LM")))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36">
        <f>IFERROR(INDEX(JUN!AK$8:AK$73,MATCH($A20,JUN!$A$8:$A$73,0))&amp;"","")</f>
        <v/>
      </c>
      <c r="H20" s="136">
        <f>IFERROR(INDEX(JUN!AL$8:AL$73,MATCH($A20,JUN!$A$8:$A$73,0))&amp;"","")</f>
        <v/>
      </c>
      <c r="I20" s="125" t="inlineStr">
        <is>
          <t>N</t>
        </is>
      </c>
      <c r="J20" s="125" t="inlineStr">
        <is>
          <t>N</t>
        </is>
      </c>
      <c r="K20" s="114" t="n"/>
      <c r="L20" s="114" t="n"/>
      <c r="M20" s="114" t="n"/>
      <c r="N20" s="114" t="n"/>
      <c r="O20" s="125" t="inlineStr">
        <is>
          <t>N</t>
        </is>
      </c>
      <c r="P20" s="125" t="inlineStr">
        <is>
          <t>N</t>
        </is>
      </c>
      <c r="Q20" s="114" t="n"/>
      <c r="R20" s="114" t="n"/>
      <c r="S20" s="114" t="n"/>
      <c r="T20" s="125" t="inlineStr">
        <is>
          <t>N</t>
        </is>
      </c>
      <c r="U20" s="114" t="n"/>
      <c r="V20" s="125" t="inlineStr">
        <is>
          <t>N</t>
        </is>
      </c>
      <c r="W20" s="125" t="inlineStr">
        <is>
          <t>N</t>
        </is>
      </c>
      <c r="X20" s="125" t="inlineStr">
        <is>
          <t>N</t>
        </is>
      </c>
      <c r="Y20" s="114" t="n"/>
      <c r="Z20" s="114" t="n"/>
      <c r="AA20" s="114" t="n"/>
      <c r="AB20" s="114" t="n"/>
      <c r="AC20" s="125" t="inlineStr">
        <is>
          <t>N</t>
        </is>
      </c>
      <c r="AD20" s="114" t="n"/>
      <c r="AE20" s="114" t="n"/>
      <c r="AF20" s="114" t="n"/>
      <c r="AG20" s="125" t="inlineStr">
        <is>
          <t>N</t>
        </is>
      </c>
      <c r="AH20" s="125" t="inlineStr">
        <is>
          <t>N</t>
        </is>
      </c>
      <c r="AI20" s="114" t="n"/>
      <c r="AJ20" s="125" t="inlineStr">
        <is>
          <t>N</t>
        </is>
      </c>
      <c r="AK20" s="125" t="inlineStr">
        <is>
          <t>N</t>
        </is>
      </c>
      <c r="AL20" s="125" t="inlineStr">
        <is>
          <t>N</t>
        </is>
      </c>
      <c r="AM20" s="114" t="n"/>
      <c r="AN20" s="116">
        <f>IFERROR(INDEX(AGO!I$8:I$73,MATCH($A20,AGO!$A$8:$A$73,0))&amp;"","")</f>
        <v/>
      </c>
      <c r="AO20" s="116">
        <f>IFERROR(INDEX(AGO!J$8:J$73,MATCH($A20,AGO!$A$8:$A$73,0))&amp;"","")</f>
        <v/>
      </c>
      <c r="AP20" s="100" t="n"/>
      <c r="AQ20" s="100" t="n"/>
      <c r="AR20" s="100" t="n"/>
      <c r="AS20" s="100" t="n"/>
      <c r="AT20" s="117">
        <f>SUMPRODUCT(($G20:$M20="M")*6+($G20:$M20="T")*6+($G20:$M20="D")*12+($G20:$M20="N")*12+($G20:$M20="NT")*6+($G20:$M20="C")*10+($G20:$M20="A")*8+($G20:$M20="J")*5+($G20:$M20="CEP")*4+($G20:$M20="CP")*6+($G20:$M20="CRO")*6+($G20:$M20="M+")*6+($G20:$M20="T+")*6+($G20:$M20="D+")*12+($G20:$M20="N+")*12+($G20:$M20="Dm+")*12+($G20:$M20="Dt+")*12+($G20:$M20="Tm-")*6+($G20:$M20="Mt-")*6)</f>
        <v/>
      </c>
      <c r="AU20" s="118">
        <f>AT20-MAX(0,IFERROR(INDEX(CADASTRO!$I$4:$I$80,MATCH($A20,CADASTRO!$A$4:$A$80,0)),$B20)-CONFIG!$B$50*(COUNTIF($G20:$M20,"AB")+COUNTIF($G20:$M20,"FE")+COUNTIF($G20:$M20,"LM")))</f>
        <v/>
      </c>
      <c r="AV20" s="117">
        <f>SUMPRODUCT(($N20:$T20="M")*6+($N20:$T20="T")*6+($N20:$T20="D")*12+($N20:$T20="N")*12+($N20:$T20="NT")*6+($N20:$T20="C")*10+($N20:$T20="A")*8+($N20:$T20="J")*5+($N20:$T20="CEP")*4+($N20:$T20="CP")*6+($N20:$T20="CRO")*6+($N20:$T20="M+")*6+($N20:$T20="T+")*6+($N20:$T20="D+")*12+($N20:$T20="N+")*12+($N20:$T20="Dm+")*12+($N20:$T20="Dt+")*12+($N20:$T20="Tm-")*6+($N20:$T20="Mt-")*6)</f>
        <v/>
      </c>
      <c r="AW20" s="118">
        <f>AV20-MAX(0,IFERROR(INDEX(CADASTRO!$I$4:$I$80,MATCH($A20,CADASTRO!$A$4:$A$80,0)),$B20)-CONFIG!$B$50*(COUNTIF($N20:$T20,"AB")+COUNTIF($N20:$T20,"FE")+COUNTIF($N20:$T20,"LM")))</f>
        <v/>
      </c>
      <c r="AX20" s="117">
        <f>SUMPRODUCT(($U20:$AA20="M")*6+($U20:$AA20="T")*6+($U20:$AA20="D")*12+($U20:$AA20="N")*12+($U20:$AA20="NT")*6+($U20:$AA20="C")*10+($U20:$AA20="A")*8+($U20:$AA20="J")*5+($U20:$AA20="CEP")*4+($U20:$AA20="CP")*6+($U20:$AA20="CRO")*6+($U20:$AA20="M+")*6+($U20:$AA20="T+")*6+($U20:$AA20="D+")*12+($U20:$AA20="N+")*12+($U20:$AA20="Dm+")*12+($U20:$AA20="Dt+")*12+($U20:$AA20="Tm-")*6+($U20:$AA20="Mt-")*6)</f>
        <v/>
      </c>
      <c r="AY20" s="118">
        <f>AX20-MAX(0,IFERROR(INDEX(CADASTRO!$I$4:$I$80,MATCH($A20,CADASTRO!$A$4:$A$80,0)),$B20)-CONFIG!$B$50*(COUNTIF($U20:$AA20,"AB")+COUNTIF($U20:$AA20,"FE")+COUNTIF($U20:$AA20,"LM")))</f>
        <v/>
      </c>
      <c r="AZ20" s="117">
        <f>SUMPRODUCT(($AB20:$AH20="M")*6+($AB20:$AH20="T")*6+($AB20:$AH20="D")*12+($AB20:$AH20="N")*12+($AB20:$AH20="NT")*6+($AB20:$AH20="C")*10+($AB20:$AH20="A")*8+($AB20:$AH20="J")*5+($AB20:$AH20="CEP")*4+($AB20:$AH20="CP")*6+($AB20:$AH20="CRO")*6+($AB20:$AH20="M+")*6+($AB20:$AH20="T+")*6+($AB20:$AH20="D+")*12+($AB20:$AH20="N+")*12+($AB20:$AH20="Dm+")*12+($AB20:$AH20="Dt+")*12+($AB20:$AH20="Tm-")*6+($AB20:$AH20="Mt-")*6)</f>
        <v/>
      </c>
      <c r="BA20" s="118">
        <f>AZ20-MAX(0,IFERROR(INDEX(CADASTRO!$I$4:$I$80,MATCH($A20,CADASTRO!$A$4:$A$80,0)),$B20)-CONFIG!$B$50*(COUNTIF($AB20:$AH20,"AB")+COUNTIF($AB20:$AH20,"FE")+COUNTIF($AB20:$AH20,"LM")))</f>
        <v/>
      </c>
      <c r="BB20" s="117">
        <f>SUMPRODUCT(($AI20:$AM20="M")*6+($AI20:$AM20="T")*6+($AI20:$AM20="D")*12+($AI20:$AM20="N")*12+($AI20:$AM20="NT")*6+($AI20:$AM20="C")*10+($AI20:$AM20="A")*8+($AI20:$AM20="J")*5+($AI20:$AM20="CEP")*4+($AI20:$AM20="CP")*6+($AI20:$AM20="CRO")*6+($AI20:$AM20="M+")*6+($AI20:$AM20="T+")*6+($AI20:$AM20="D+")*12+($AI20:$AM20="N+")*12+($AI20:$AM20="Dm+")*12+($AI20:$AM20="Dt+")*12+($AI20:$AM20="Tm-")*6+($AI20:$AM20="Mt-")*6)+SUMPRODUCT(($AN20:$AO20="M")*6+($AN20:$AO20="T")*6+($AN20:$AO20="D")*12+($AN20:$AO20="N")*12+($AN20:$AO20="NT")*6+($AN20:$AO20="C")*10+($AN20:$AO20="A")*8+($AN20:$AO20="J")*5+($AN20:$AO20="CEP")*4+($AN20:$AO20="CP")*6+($AN20:$AO20="CRO")*6+($AN20:$AO20="M+")*6+($AN20:$AO20="T+")*6+($AN20:$AO20="D+")*12+($AN20:$AO20="N+")*12+($AN20:$AO20="Dm+")*12+($AN20:$AO20="Dt+")*12+($AN20:$AO20="Tm-")*6+($AN20:$AO20="Mt-")*6)</f>
        <v/>
      </c>
      <c r="BC20" s="118">
        <f>BB20-MAX(0,IFERROR(INDEX(CADASTRO!$I$4:$I$80,MATCH($A20,CADASTRO!$A$4:$A$80,0)),$B20)-CONFIG!$B$50*(COUNTIF($AI20:$AM20,"AB")+COUNTIF($AI20:$AM20,"FE")+COUNTIF($AI20:$AM20,"LM")+COUNTIF($AN20:$AO20,"AB")+COUNTIF($AN20:$AO20,"FE")+COUNTIF($AN20:$AO20,"LM")))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36">
        <f>IFERROR(INDEX(JUN!AK$8:AK$73,MATCH($A21,JUN!$A$8:$A$73,0))&amp;"","")</f>
        <v/>
      </c>
      <c r="H21" s="136">
        <f>IFERROR(INDEX(JUN!AL$8:AL$73,MATCH($A21,JUN!$A$8:$A$73,0))&amp;"","")</f>
        <v/>
      </c>
      <c r="I21" s="114" t="n"/>
      <c r="J21" s="124" t="inlineStr">
        <is>
          <t>D</t>
        </is>
      </c>
      <c r="K21" s="114" t="n"/>
      <c r="L21" s="114" t="n"/>
      <c r="M21" s="114" t="n"/>
      <c r="N21" s="126" t="inlineStr">
        <is>
          <t>T</t>
        </is>
      </c>
      <c r="O21" s="125" t="inlineStr">
        <is>
          <t>N</t>
        </is>
      </c>
      <c r="P21" s="114" t="n"/>
      <c r="Q21" s="126" t="inlineStr">
        <is>
          <t>T</t>
        </is>
      </c>
      <c r="R21" s="125" t="inlineStr">
        <is>
          <t>N</t>
        </is>
      </c>
      <c r="S21" s="114" t="n"/>
      <c r="T21" s="114" t="n"/>
      <c r="U21" s="126" t="inlineStr">
        <is>
          <t>T</t>
        </is>
      </c>
      <c r="V21" s="124" t="inlineStr">
        <is>
          <t>D</t>
        </is>
      </c>
      <c r="W21" s="114" t="n"/>
      <c r="X21" s="114" t="n"/>
      <c r="Y21" s="114" t="n"/>
      <c r="Z21" s="115" t="inlineStr">
        <is>
          <t>M</t>
        </is>
      </c>
      <c r="AA21" s="124" t="inlineStr">
        <is>
          <t>D</t>
        </is>
      </c>
      <c r="AB21" s="114" t="n"/>
      <c r="AC21" s="124" t="inlineStr">
        <is>
          <t>D</t>
        </is>
      </c>
      <c r="AD21" s="115" t="inlineStr">
        <is>
          <t>M</t>
        </is>
      </c>
      <c r="AE21" s="125" t="inlineStr">
        <is>
          <t>N</t>
        </is>
      </c>
      <c r="AF21" s="114" t="n"/>
      <c r="AG21" s="114" t="n"/>
      <c r="AH21" s="115" t="inlineStr">
        <is>
          <t>M</t>
        </is>
      </c>
      <c r="AI21" s="126" t="inlineStr">
        <is>
          <t>T</t>
        </is>
      </c>
      <c r="AJ21" s="124" t="inlineStr">
        <is>
          <t>D</t>
        </is>
      </c>
      <c r="AK21" s="115" t="inlineStr">
        <is>
          <t>M</t>
        </is>
      </c>
      <c r="AL21" s="125" t="inlineStr">
        <is>
          <t>N</t>
        </is>
      </c>
      <c r="AM21" s="114" t="n"/>
      <c r="AN21" s="116">
        <f>IFERROR(INDEX(AGO!I$8:I$73,MATCH($A21,AGO!$A$8:$A$73,0))&amp;"","")</f>
        <v/>
      </c>
      <c r="AO21" s="116">
        <f>IFERROR(INDEX(AGO!J$8:J$73,MATCH($A21,AGO!$A$8:$A$73,0))&amp;"","")</f>
        <v/>
      </c>
      <c r="AP21" s="100" t="n"/>
      <c r="AQ21" s="100" t="n"/>
      <c r="AR21" s="100" t="n"/>
      <c r="AS21" s="100" t="n"/>
      <c r="AT21" s="117">
        <f>SUMPRODUCT(($G21:$M21="M")*6+($G21:$M21="T")*6+($G21:$M21="D")*12+($G21:$M21="N")*12+($G21:$M21="NT")*6+($G21:$M21="C")*10+($G21:$M21="A")*8+($G21:$M21="J")*5+($G21:$M21="CEP")*4+($G21:$M21="CP")*6+($G21:$M21="CRO")*6+($G21:$M21="M+")*6+($G21:$M21="T+")*6+($G21:$M21="D+")*12+($G21:$M21="N+")*12+($G21:$M21="Dm+")*12+($G21:$M21="Dt+")*12+($G21:$M21="Tm-")*6+($G21:$M21="Mt-")*6)</f>
        <v/>
      </c>
      <c r="AU21" s="118">
        <f>AT21-MAX(0,IFERROR(INDEX(CADASTRO!$I$4:$I$80,MATCH($A21,CADASTRO!$A$4:$A$80,0)),$B21)-CONFIG!$B$50*(COUNTIF($G21:$M21,"AB")+COUNTIF($G21:$M21,"FE")+COUNTIF($G21:$M21,"LM")))</f>
        <v/>
      </c>
      <c r="AV21" s="117">
        <f>SUMPRODUCT(($N21:$T21="M")*6+($N21:$T21="T")*6+($N21:$T21="D")*12+($N21:$T21="N")*12+($N21:$T21="NT")*6+($N21:$T21="C")*10+($N21:$T21="A")*8+($N21:$T21="J")*5+($N21:$T21="CEP")*4+($N21:$T21="CP")*6+($N21:$T21="CRO")*6+($N21:$T21="M+")*6+($N21:$T21="T+")*6+($N21:$T21="D+")*12+($N21:$T21="N+")*12+($N21:$T21="Dm+")*12+($N21:$T21="Dt+")*12+($N21:$T21="Tm-")*6+($N21:$T21="Mt-")*6)</f>
        <v/>
      </c>
      <c r="AW21" s="118">
        <f>AV21-MAX(0,IFERROR(INDEX(CADASTRO!$I$4:$I$80,MATCH($A21,CADASTRO!$A$4:$A$80,0)),$B21)-CONFIG!$B$50*(COUNTIF($N21:$T21,"AB")+COUNTIF($N21:$T21,"FE")+COUNTIF($N21:$T21,"LM")))</f>
        <v/>
      </c>
      <c r="AX21" s="117">
        <f>SUMPRODUCT(($U21:$AA21="M")*6+($U21:$AA21="T")*6+($U21:$AA21="D")*12+($U21:$AA21="N")*12+($U21:$AA21="NT")*6+($U21:$AA21="C")*10+($U21:$AA21="A")*8+($U21:$AA21="J")*5+($U21:$AA21="CEP")*4+($U21:$AA21="CP")*6+($U21:$AA21="CRO")*6+($U21:$AA21="M+")*6+($U21:$AA21="T+")*6+($U21:$AA21="D+")*12+($U21:$AA21="N+")*12+($U21:$AA21="Dm+")*12+($U21:$AA21="Dt+")*12+($U21:$AA21="Tm-")*6+($U21:$AA21="Mt-")*6)</f>
        <v/>
      </c>
      <c r="AY21" s="118">
        <f>AX21-MAX(0,IFERROR(INDEX(CADASTRO!$I$4:$I$80,MATCH($A21,CADASTRO!$A$4:$A$80,0)),$B21)-CONFIG!$B$50*(COUNTIF($U21:$AA21,"AB")+COUNTIF($U21:$AA21,"FE")+COUNTIF($U21:$AA21,"LM")))</f>
        <v/>
      </c>
      <c r="AZ21" s="117">
        <f>SUMPRODUCT(($AB21:$AH21="M")*6+($AB21:$AH21="T")*6+($AB21:$AH21="D")*12+($AB21:$AH21="N")*12+($AB21:$AH21="NT")*6+($AB21:$AH21="C")*10+($AB21:$AH21="A")*8+($AB21:$AH21="J")*5+($AB21:$AH21="CEP")*4+($AB21:$AH21="CP")*6+($AB21:$AH21="CRO")*6+($AB21:$AH21="M+")*6+($AB21:$AH21="T+")*6+($AB21:$AH21="D+")*12+($AB21:$AH21="N+")*12+($AB21:$AH21="Dm+")*12+($AB21:$AH21="Dt+")*12+($AB21:$AH21="Tm-")*6+($AB21:$AH21="Mt-")*6)</f>
        <v/>
      </c>
      <c r="BA21" s="118">
        <f>AZ21-MAX(0,IFERROR(INDEX(CADASTRO!$I$4:$I$80,MATCH($A21,CADASTRO!$A$4:$A$80,0)),$B21)-CONFIG!$B$50*(COUNTIF($AB21:$AH21,"AB")+COUNTIF($AB21:$AH21,"FE")+COUNTIF($AB21:$AH21,"LM")))</f>
        <v/>
      </c>
      <c r="BB21" s="117">
        <f>SUMPRODUCT(($AI21:$AM21="M")*6+($AI21:$AM21="T")*6+($AI21:$AM21="D")*12+($AI21:$AM21="N")*12+($AI21:$AM21="NT")*6+($AI21:$AM21="C")*10+($AI21:$AM21="A")*8+($AI21:$AM21="J")*5+($AI21:$AM21="CEP")*4+($AI21:$AM21="CP")*6+($AI21:$AM21="CRO")*6+($AI21:$AM21="M+")*6+($AI21:$AM21="T+")*6+($AI21:$AM21="D+")*12+($AI21:$AM21="N+")*12+($AI21:$AM21="Dm+")*12+($AI21:$AM21="Dt+")*12+($AI21:$AM21="Tm-")*6+($AI21:$AM21="Mt-")*6)+SUMPRODUCT(($AN21:$AO21="M")*6+($AN21:$AO21="T")*6+($AN21:$AO21="D")*12+($AN21:$AO21="N")*12+($AN21:$AO21="NT")*6+($AN21:$AO21="C")*10+($AN21:$AO21="A")*8+($AN21:$AO21="J")*5+($AN21:$AO21="CEP")*4+($AN21:$AO21="CP")*6+($AN21:$AO21="CRO")*6+($AN21:$AO21="M+")*6+($AN21:$AO21="T+")*6+($AN21:$AO21="D+")*12+($AN21:$AO21="N+")*12+($AN21:$AO21="Dm+")*12+($AN21:$AO21="Dt+")*12+($AN21:$AO21="Tm-")*6+($AN21:$AO21="Mt-")*6)</f>
        <v/>
      </c>
      <c r="BC21" s="118">
        <f>BB21-MAX(0,IFERROR(INDEX(CADASTRO!$I$4:$I$80,MATCH($A21,CADASTRO!$A$4:$A$80,0)),$B21)-CONFIG!$B$50*(COUNTIF($AI21:$AM21,"AB")+COUNTIF($AI21:$AM21,"FE")+COUNTIF($AI21:$AM21,"LM")+COUNTIF($AN21:$AO21,"AB")+COUNTIF($AN21:$AO21,"FE")+COUNTIF($AN21:$AO21,"LM")))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36">
        <f>IFERROR(INDEX(JUN!AK$8:AK$73,MATCH($A22,JUN!$A$8:$A$73,0))&amp;"","")</f>
        <v/>
      </c>
      <c r="H22" s="136">
        <f>IFERROR(INDEX(JUN!AL$8:AL$73,MATCH($A22,JUN!$A$8:$A$73,0))&amp;"","")</f>
        <v/>
      </c>
      <c r="I22" s="114" t="n"/>
      <c r="J22" s="124" t="inlineStr">
        <is>
          <t>D</t>
        </is>
      </c>
      <c r="K22" s="114" t="n"/>
      <c r="L22" s="124" t="inlineStr">
        <is>
          <t>D</t>
        </is>
      </c>
      <c r="M22" s="114" t="n"/>
      <c r="N22" s="114" t="n"/>
      <c r="O22" s="124" t="inlineStr">
        <is>
          <t>D</t>
        </is>
      </c>
      <c r="P22" s="114" t="n"/>
      <c r="Q22" s="124" t="inlineStr">
        <is>
          <t>D</t>
        </is>
      </c>
      <c r="R22" s="114" t="n"/>
      <c r="S22" s="124" t="inlineStr">
        <is>
          <t>D</t>
        </is>
      </c>
      <c r="T22" s="114" t="n"/>
      <c r="U22" s="114" t="n"/>
      <c r="V22" s="124" t="inlineStr">
        <is>
          <t>D</t>
        </is>
      </c>
      <c r="W22" s="114" t="n"/>
      <c r="X22" s="124" t="inlineStr">
        <is>
          <t>D</t>
        </is>
      </c>
      <c r="Y22" s="125" t="inlineStr">
        <is>
          <t>N</t>
        </is>
      </c>
      <c r="Z22" s="114" t="n"/>
      <c r="AA22" s="114" t="n"/>
      <c r="AB22" s="114" t="n"/>
      <c r="AC22" s="124" t="inlineStr">
        <is>
          <t>D</t>
        </is>
      </c>
      <c r="AD22" s="114" t="n"/>
      <c r="AE22" s="115" t="inlineStr">
        <is>
          <t>M</t>
        </is>
      </c>
      <c r="AF22" s="114" t="n"/>
      <c r="AG22" s="126" t="inlineStr">
        <is>
          <t>T</t>
        </is>
      </c>
      <c r="AH22" s="124" t="inlineStr">
        <is>
          <t>D</t>
        </is>
      </c>
      <c r="AI22" s="114" t="n"/>
      <c r="AJ22" s="124" t="inlineStr">
        <is>
          <t>D</t>
        </is>
      </c>
      <c r="AK22" s="114" t="n"/>
      <c r="AL22" s="124" t="inlineStr">
        <is>
          <t>D</t>
        </is>
      </c>
      <c r="AM22" s="114" t="n"/>
      <c r="AN22" s="116">
        <f>IFERROR(INDEX(AGO!I$8:I$73,MATCH($A22,AGO!$A$8:$A$73,0))&amp;"","")</f>
        <v/>
      </c>
      <c r="AO22" s="116">
        <f>IFERROR(INDEX(AGO!J$8:J$73,MATCH($A22,AGO!$A$8:$A$73,0))&amp;"","")</f>
        <v/>
      </c>
      <c r="AP22" s="100" t="n"/>
      <c r="AQ22" s="100" t="n"/>
      <c r="AR22" s="100" t="n"/>
      <c r="AS22" s="100" t="n"/>
      <c r="AT22" s="117">
        <f>SUMPRODUCT(($G22:$M22="M")*6+($G22:$M22="T")*6+($G22:$M22="D")*12+($G22:$M22="N")*12+($G22:$M22="NT")*6+($G22:$M22="C")*10+($G22:$M22="A")*8+($G22:$M22="J")*5+($G22:$M22="CEP")*4+($G22:$M22="CP")*6+($G22:$M22="CRO")*6+($G22:$M22="M+")*6+($G22:$M22="T+")*6+($G22:$M22="D+")*12+($G22:$M22="N+")*12+($G22:$M22="Dm+")*12+($G22:$M22="Dt+")*12+($G22:$M22="Tm-")*6+($G22:$M22="Mt-")*6)</f>
        <v/>
      </c>
      <c r="AU22" s="118">
        <f>AT22-MAX(0,IFERROR(INDEX(CADASTRO!$I$4:$I$80,MATCH($A22,CADASTRO!$A$4:$A$80,0)),$B22)-CONFIG!$B$50*(COUNTIF($G22:$M22,"AB")+COUNTIF($G22:$M22,"FE")+COUNTIF($G22:$M22,"LM")))</f>
        <v/>
      </c>
      <c r="AV22" s="117">
        <f>SUMPRODUCT(($N22:$T22="M")*6+($N22:$T22="T")*6+($N22:$T22="D")*12+($N22:$T22="N")*12+($N22:$T22="NT")*6+($N22:$T22="C")*10+($N22:$T22="A")*8+($N22:$T22="J")*5+($N22:$T22="CEP")*4+($N22:$T22="CP")*6+($N22:$T22="CRO")*6+($N22:$T22="M+")*6+($N22:$T22="T+")*6+($N22:$T22="D+")*12+($N22:$T22="N+")*12+($N22:$T22="Dm+")*12+($N22:$T22="Dt+")*12+($N22:$T22="Tm-")*6+($N22:$T22="Mt-")*6)</f>
        <v/>
      </c>
      <c r="AW22" s="118">
        <f>AV22-MAX(0,IFERROR(INDEX(CADASTRO!$I$4:$I$80,MATCH($A22,CADASTRO!$A$4:$A$80,0)),$B22)-CONFIG!$B$50*(COUNTIF($N22:$T22,"AB")+COUNTIF($N22:$T22,"FE")+COUNTIF($N22:$T22,"LM")))</f>
        <v/>
      </c>
      <c r="AX22" s="117">
        <f>SUMPRODUCT(($U22:$AA22="M")*6+($U22:$AA22="T")*6+($U22:$AA22="D")*12+($U22:$AA22="N")*12+($U22:$AA22="NT")*6+($U22:$AA22="C")*10+($U22:$AA22="A")*8+($U22:$AA22="J")*5+($U22:$AA22="CEP")*4+($U22:$AA22="CP")*6+($U22:$AA22="CRO")*6+($U22:$AA22="M+")*6+($U22:$AA22="T+")*6+($U22:$AA22="D+")*12+($U22:$AA22="N+")*12+($U22:$AA22="Dm+")*12+($U22:$AA22="Dt+")*12+($U22:$AA22="Tm-")*6+($U22:$AA22="Mt-")*6)</f>
        <v/>
      </c>
      <c r="AY22" s="118">
        <f>AX22-MAX(0,IFERROR(INDEX(CADASTRO!$I$4:$I$80,MATCH($A22,CADASTRO!$A$4:$A$80,0)),$B22)-CONFIG!$B$50*(COUNTIF($U22:$AA22,"AB")+COUNTIF($U22:$AA22,"FE")+COUNTIF($U22:$AA22,"LM")))</f>
        <v/>
      </c>
      <c r="AZ22" s="117">
        <f>SUMPRODUCT(($AB22:$AH22="M")*6+($AB22:$AH22="T")*6+($AB22:$AH22="D")*12+($AB22:$AH22="N")*12+($AB22:$AH22="NT")*6+($AB22:$AH22="C")*10+($AB22:$AH22="A")*8+($AB22:$AH22="J")*5+($AB22:$AH22="CEP")*4+($AB22:$AH22="CP")*6+($AB22:$AH22="CRO")*6+($AB22:$AH22="M+")*6+($AB22:$AH22="T+")*6+($AB22:$AH22="D+")*12+($AB22:$AH22="N+")*12+($AB22:$AH22="Dm+")*12+($AB22:$AH22="Dt+")*12+($AB22:$AH22="Tm-")*6+($AB22:$AH22="Mt-")*6)</f>
        <v/>
      </c>
      <c r="BA22" s="118">
        <f>AZ22-MAX(0,IFERROR(INDEX(CADASTRO!$I$4:$I$80,MATCH($A22,CADASTRO!$A$4:$A$80,0)),$B22)-CONFIG!$B$50*(COUNTIF($AB22:$AH22,"AB")+COUNTIF($AB22:$AH22,"FE")+COUNTIF($AB22:$AH22,"LM")))</f>
        <v/>
      </c>
      <c r="BB22" s="117">
        <f>SUMPRODUCT(($AI22:$AM22="M")*6+($AI22:$AM22="T")*6+($AI22:$AM22="D")*12+($AI22:$AM22="N")*12+($AI22:$AM22="NT")*6+($AI22:$AM22="C")*10+($AI22:$AM22="A")*8+($AI22:$AM22="J")*5+($AI22:$AM22="CEP")*4+($AI22:$AM22="CP")*6+($AI22:$AM22="CRO")*6+($AI22:$AM22="M+")*6+($AI22:$AM22="T+")*6+($AI22:$AM22="D+")*12+($AI22:$AM22="N+")*12+($AI22:$AM22="Dm+")*12+($AI22:$AM22="Dt+")*12+($AI22:$AM22="Tm-")*6+($AI22:$AM22="Mt-")*6)+SUMPRODUCT(($AN22:$AO22="M")*6+($AN22:$AO22="T")*6+($AN22:$AO22="D")*12+($AN22:$AO22="N")*12+($AN22:$AO22="NT")*6+($AN22:$AO22="C")*10+($AN22:$AO22="A")*8+($AN22:$AO22="J")*5+($AN22:$AO22="CEP")*4+($AN22:$AO22="CP")*6+($AN22:$AO22="CRO")*6+($AN22:$AO22="M+")*6+($AN22:$AO22="T+")*6+($AN22:$AO22="D+")*12+($AN22:$AO22="N+")*12+($AN22:$AO22="Dm+")*12+($AN22:$AO22="Dt+")*12+($AN22:$AO22="Tm-")*6+($AN22:$AO22="Mt-")*6)</f>
        <v/>
      </c>
      <c r="BC22" s="118">
        <f>BB22-MAX(0,IFERROR(INDEX(CADASTRO!$I$4:$I$80,MATCH($A22,CADASTRO!$A$4:$A$80,0)),$B22)-CONFIG!$B$50*(COUNTIF($AI22:$AM22,"AB")+COUNTIF($AI22:$AM22,"FE")+COUNTIF($AI22:$AM22,"LM")+COUNTIF($AN22:$AO22,"AB")+COUNTIF($AN22:$AO22,"FE")+COUNTIF($AN22:$AO22,"LM")))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36">
        <f>IFERROR(INDEX(JUN!AK$8:AK$73,MATCH($A23,JUN!$A$8:$A$73,0))&amp;"","")</f>
        <v/>
      </c>
      <c r="H23" s="136">
        <f>IFERROR(INDEX(JUN!AL$8:AL$73,MATCH($A23,JUN!$A$8:$A$73,0))&amp;"","")</f>
        <v/>
      </c>
      <c r="I23" s="114" t="n"/>
      <c r="J23" s="114" t="n"/>
      <c r="K23" s="114" t="n"/>
      <c r="L23" s="124" t="inlineStr">
        <is>
          <t>D</t>
        </is>
      </c>
      <c r="M23" s="115" t="inlineStr">
        <is>
          <t>M</t>
        </is>
      </c>
      <c r="N23" s="124" t="inlineStr">
        <is>
          <t>D</t>
        </is>
      </c>
      <c r="O23" s="124" t="inlineStr">
        <is>
          <t>D</t>
        </is>
      </c>
      <c r="P23" s="114" t="n"/>
      <c r="Q23" s="124" t="inlineStr">
        <is>
          <t>D</t>
        </is>
      </c>
      <c r="R23" s="114" t="n"/>
      <c r="S23" s="114" t="n"/>
      <c r="T23" s="114" t="n"/>
      <c r="U23" s="139" t="inlineStr">
        <is>
          <t>FE</t>
        </is>
      </c>
      <c r="V23" s="139" t="inlineStr">
        <is>
          <t>FE</t>
        </is>
      </c>
      <c r="W23" s="139" t="inlineStr">
        <is>
          <t>FE</t>
        </is>
      </c>
      <c r="X23" s="139" t="inlineStr">
        <is>
          <t>FE</t>
        </is>
      </c>
      <c r="Y23" s="139" t="inlineStr">
        <is>
          <t>FE</t>
        </is>
      </c>
      <c r="Z23" s="139" t="inlineStr">
        <is>
          <t>FE</t>
        </is>
      </c>
      <c r="AA23" s="139" t="inlineStr">
        <is>
          <t>FE</t>
        </is>
      </c>
      <c r="AB23" s="139" t="inlineStr">
        <is>
          <t>FE</t>
        </is>
      </c>
      <c r="AC23" s="139" t="inlineStr">
        <is>
          <t>FE</t>
        </is>
      </c>
      <c r="AD23" s="139" t="inlineStr">
        <is>
          <t>FE</t>
        </is>
      </c>
      <c r="AE23" s="139" t="inlineStr">
        <is>
          <t>FE</t>
        </is>
      </c>
      <c r="AF23" s="139" t="inlineStr">
        <is>
          <t>FE</t>
        </is>
      </c>
      <c r="AG23" s="139" t="inlineStr">
        <is>
          <t>FE</t>
        </is>
      </c>
      <c r="AH23" s="139" t="inlineStr">
        <is>
          <t>FE</t>
        </is>
      </c>
      <c r="AI23" s="139" t="inlineStr">
        <is>
          <t>FE</t>
        </is>
      </c>
      <c r="AJ23" s="126" t="inlineStr">
        <is>
          <t>T</t>
        </is>
      </c>
      <c r="AK23" s="114" t="n"/>
      <c r="AL23" s="114" t="n"/>
      <c r="AM23" s="114" t="n"/>
      <c r="AN23" s="116">
        <f>IFERROR(INDEX(AGO!I$8:I$73,MATCH($A23,AGO!$A$8:$A$73,0))&amp;"","")</f>
        <v/>
      </c>
      <c r="AO23" s="116">
        <f>IFERROR(INDEX(AGO!J$8:J$73,MATCH($A23,AGO!$A$8:$A$73,0))&amp;"","")</f>
        <v/>
      </c>
      <c r="AP23" s="100" t="n"/>
      <c r="AQ23" s="100" t="n"/>
      <c r="AR23" s="100" t="n"/>
      <c r="AS23" s="100" t="n"/>
      <c r="AT23" s="117">
        <f>SUMPRODUCT(($G23:$M23="M")*6+($G23:$M23="T")*6+($G23:$M23="D")*12+($G23:$M23="N")*12+($G23:$M23="NT")*6+($G23:$M23="C")*10+($G23:$M23="A")*8+($G23:$M23="J")*5+($G23:$M23="CEP")*4+($G23:$M23="CP")*6+($G23:$M23="CRO")*6+($G23:$M23="M+")*6+($G23:$M23="T+")*6+($G23:$M23="D+")*12+($G23:$M23="N+")*12+($G23:$M23="Dm+")*12+($G23:$M23="Dt+")*12+($G23:$M23="Tm-")*6+($G23:$M23="Mt-")*6)</f>
        <v/>
      </c>
      <c r="AU23" s="118">
        <f>AT23-MAX(0,IFERROR(INDEX(CADASTRO!$I$4:$I$80,MATCH($A23,CADASTRO!$A$4:$A$80,0)),$B23)-CONFIG!$B$50*(COUNTIF($G23:$M23,"AB")+COUNTIF($G23:$M23,"FE")+COUNTIF($G23:$M23,"LM")))</f>
        <v/>
      </c>
      <c r="AV23" s="117">
        <f>SUMPRODUCT(($N23:$T23="M")*6+($N23:$T23="T")*6+($N23:$T23="D")*12+($N23:$T23="N")*12+($N23:$T23="NT")*6+($N23:$T23="C")*10+($N23:$T23="A")*8+($N23:$T23="J")*5+($N23:$T23="CEP")*4+($N23:$T23="CP")*6+($N23:$T23="CRO")*6+($N23:$T23="M+")*6+($N23:$T23="T+")*6+($N23:$T23="D+")*12+($N23:$T23="N+")*12+($N23:$T23="Dm+")*12+($N23:$T23="Dt+")*12+($N23:$T23="Tm-")*6+($N23:$T23="Mt-")*6)</f>
        <v/>
      </c>
      <c r="AW23" s="118">
        <f>AV23-MAX(0,IFERROR(INDEX(CADASTRO!$I$4:$I$80,MATCH($A23,CADASTRO!$A$4:$A$80,0)),$B23)-CONFIG!$B$50*(COUNTIF($N23:$T23,"AB")+COUNTIF($N23:$T23,"FE")+COUNTIF($N23:$T23,"LM")))</f>
        <v/>
      </c>
      <c r="AX23" s="117">
        <f>SUMPRODUCT(($U23:$AA23="M")*6+($U23:$AA23="T")*6+($U23:$AA23="D")*12+($U23:$AA23="N")*12+($U23:$AA23="NT")*6+($U23:$AA23="C")*10+($U23:$AA23="A")*8+($U23:$AA23="J")*5+($U23:$AA23="CEP")*4+($U23:$AA23="CP")*6+($U23:$AA23="CRO")*6+($U23:$AA23="M+")*6+($U23:$AA23="T+")*6+($U23:$AA23="D+")*12+($U23:$AA23="N+")*12+($U23:$AA23="Dm+")*12+($U23:$AA23="Dt+")*12+($U23:$AA23="Tm-")*6+($U23:$AA23="Mt-")*6)</f>
        <v/>
      </c>
      <c r="AY23" s="118">
        <f>AX23-MAX(0,IFERROR(INDEX(CADASTRO!$I$4:$I$80,MATCH($A23,CADASTRO!$A$4:$A$80,0)),$B23)-CONFIG!$B$50*(COUNTIF($U23:$AA23,"AB")+COUNTIF($U23:$AA23,"FE")+COUNTIF($U23:$AA23,"LM")))</f>
        <v/>
      </c>
      <c r="AZ23" s="117">
        <f>SUMPRODUCT(($AB23:$AH23="M")*6+($AB23:$AH23="T")*6+($AB23:$AH23="D")*12+($AB23:$AH23="N")*12+($AB23:$AH23="NT")*6+($AB23:$AH23="C")*10+($AB23:$AH23="A")*8+($AB23:$AH23="J")*5+($AB23:$AH23="CEP")*4+($AB23:$AH23="CP")*6+($AB23:$AH23="CRO")*6+($AB23:$AH23="M+")*6+($AB23:$AH23="T+")*6+($AB23:$AH23="D+")*12+($AB23:$AH23="N+")*12+($AB23:$AH23="Dm+")*12+($AB23:$AH23="Dt+")*12+($AB23:$AH23="Tm-")*6+($AB23:$AH23="Mt-")*6)</f>
        <v/>
      </c>
      <c r="BA23" s="118">
        <f>AZ23-MAX(0,IFERROR(INDEX(CADASTRO!$I$4:$I$80,MATCH($A23,CADASTRO!$A$4:$A$80,0)),$B23)-CONFIG!$B$50*(COUNTIF($AB23:$AH23,"AB")+COUNTIF($AB23:$AH23,"FE")+COUNTIF($AB23:$AH23,"LM")))</f>
        <v/>
      </c>
      <c r="BB23" s="117">
        <f>SUMPRODUCT(($AI23:$AM23="M")*6+($AI23:$AM23="T")*6+($AI23:$AM23="D")*12+($AI23:$AM23="N")*12+($AI23:$AM23="NT")*6+($AI23:$AM23="C")*10+($AI23:$AM23="A")*8+($AI23:$AM23="J")*5+($AI23:$AM23="CEP")*4+($AI23:$AM23="CP")*6+($AI23:$AM23="CRO")*6+($AI23:$AM23="M+")*6+($AI23:$AM23="T+")*6+($AI23:$AM23="D+")*12+($AI23:$AM23="N+")*12+($AI23:$AM23="Dm+")*12+($AI23:$AM23="Dt+")*12+($AI23:$AM23="Tm-")*6+($AI23:$AM23="Mt-")*6)+SUMPRODUCT(($AN23:$AO23="M")*6+($AN23:$AO23="T")*6+($AN23:$AO23="D")*12+($AN23:$AO23="N")*12+($AN23:$AO23="NT")*6+($AN23:$AO23="C")*10+($AN23:$AO23="A")*8+($AN23:$AO23="J")*5+($AN23:$AO23="CEP")*4+($AN23:$AO23="CP")*6+($AN23:$AO23="CRO")*6+($AN23:$AO23="M+")*6+($AN23:$AO23="T+")*6+($AN23:$AO23="D+")*12+($AN23:$AO23="N+")*12+($AN23:$AO23="Dm+")*12+($AN23:$AO23="Dt+")*12+($AN23:$AO23="Tm-")*6+($AN23:$AO23="Mt-")*6)</f>
        <v/>
      </c>
      <c r="BC23" s="118">
        <f>BB23-MAX(0,IFERROR(INDEX(CADASTRO!$I$4:$I$80,MATCH($A23,CADASTRO!$A$4:$A$80,0)),$B23)-CONFIG!$B$50*(COUNTIF($AI23:$AM23,"AB")+COUNTIF($AI23:$AM23,"FE")+COUNTIF($AI23:$AM23,"LM")+COUNTIF($AN23:$AO23,"AB")+COUNTIF($AN23:$AO23,"FE")+COUNTIF($AN23:$AO23,"LM")))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36">
        <f>IFERROR(INDEX(JUN!AK$8:AK$73,MATCH($A24,JUN!$A$8:$A$73,0))&amp;"","")</f>
        <v/>
      </c>
      <c r="H24" s="136">
        <f>IFERROR(INDEX(JUN!AL$8:AL$73,MATCH($A24,JUN!$A$8:$A$73,0))&amp;"","")</f>
        <v/>
      </c>
      <c r="I24" s="124" t="inlineStr">
        <is>
          <t>D</t>
        </is>
      </c>
      <c r="J24" s="125" t="inlineStr">
        <is>
          <t>N</t>
        </is>
      </c>
      <c r="K24" s="114" t="n"/>
      <c r="L24" s="114" t="n"/>
      <c r="M24" s="114" t="n"/>
      <c r="N24" s="115" t="inlineStr">
        <is>
          <t>M</t>
        </is>
      </c>
      <c r="O24" s="124" t="inlineStr">
        <is>
          <t>D</t>
        </is>
      </c>
      <c r="P24" s="115" t="inlineStr">
        <is>
          <t>M</t>
        </is>
      </c>
      <c r="Q24" s="124" t="inlineStr">
        <is>
          <t>D</t>
        </is>
      </c>
      <c r="R24" s="114" t="n"/>
      <c r="S24" s="114" t="n"/>
      <c r="T24" s="114" t="n"/>
      <c r="U24" s="114" t="n"/>
      <c r="V24" s="124" t="inlineStr">
        <is>
          <t>D</t>
        </is>
      </c>
      <c r="W24" s="114" t="n"/>
      <c r="X24" s="124" t="inlineStr">
        <is>
          <t>D</t>
        </is>
      </c>
      <c r="Y24" s="114" t="n"/>
      <c r="Z24" s="125" t="inlineStr">
        <is>
          <t>N</t>
        </is>
      </c>
      <c r="AA24" s="114" t="n"/>
      <c r="AB24" s="114" t="n"/>
      <c r="AC24" s="124" t="inlineStr">
        <is>
          <t>D</t>
        </is>
      </c>
      <c r="AD24" s="114" t="n"/>
      <c r="AE24" s="124" t="inlineStr">
        <is>
          <t>D</t>
        </is>
      </c>
      <c r="AF24" s="114" t="n"/>
      <c r="AG24" s="125" t="inlineStr">
        <is>
          <t>N</t>
        </is>
      </c>
      <c r="AH24" s="114" t="n"/>
      <c r="AI24" s="114" t="n"/>
      <c r="AJ24" s="124" t="inlineStr">
        <is>
          <t>D</t>
        </is>
      </c>
      <c r="AK24" s="114" t="n"/>
      <c r="AL24" s="124" t="inlineStr">
        <is>
          <t>D</t>
        </is>
      </c>
      <c r="AM24" s="125" t="inlineStr">
        <is>
          <t>N</t>
        </is>
      </c>
      <c r="AN24" s="116">
        <f>IFERROR(INDEX(AGO!I$8:I$73,MATCH($A24,AGO!$A$8:$A$73,0))&amp;"","")</f>
        <v/>
      </c>
      <c r="AO24" s="116">
        <f>IFERROR(INDEX(AGO!J$8:J$73,MATCH($A24,AGO!$A$8:$A$73,0))&amp;"","")</f>
        <v/>
      </c>
      <c r="AP24" s="100" t="n"/>
      <c r="AQ24" s="100" t="n"/>
      <c r="AR24" s="100" t="n"/>
      <c r="AS24" s="100" t="n"/>
      <c r="AT24" s="117">
        <f>SUMPRODUCT(($G24:$M24="M")*6+($G24:$M24="T")*6+($G24:$M24="D")*12+($G24:$M24="N")*12+($G24:$M24="NT")*6+($G24:$M24="C")*10+($G24:$M24="A")*8+($G24:$M24="J")*5+($G24:$M24="CEP")*4+($G24:$M24="CP")*6+($G24:$M24="CRO")*6+($G24:$M24="M+")*6+($G24:$M24="T+")*6+($G24:$M24="D+")*12+($G24:$M24="N+")*12+($G24:$M24="Dm+")*12+($G24:$M24="Dt+")*12+($G24:$M24="Tm-")*6+($G24:$M24="Mt-")*6)</f>
        <v/>
      </c>
      <c r="AU24" s="118">
        <f>AT24-MAX(0,IFERROR(INDEX(CADASTRO!$I$4:$I$80,MATCH($A24,CADASTRO!$A$4:$A$80,0)),$B24)-CONFIG!$B$50*(COUNTIF($G24:$M24,"AB")+COUNTIF($G24:$M24,"FE")+COUNTIF($G24:$M24,"LM")))</f>
        <v/>
      </c>
      <c r="AV24" s="117">
        <f>SUMPRODUCT(($N24:$T24="M")*6+($N24:$T24="T")*6+($N24:$T24="D")*12+($N24:$T24="N")*12+($N24:$T24="NT")*6+($N24:$T24="C")*10+($N24:$T24="A")*8+($N24:$T24="J")*5+($N24:$T24="CEP")*4+($N24:$T24="CP")*6+($N24:$T24="CRO")*6+($N24:$T24="M+")*6+($N24:$T24="T+")*6+($N24:$T24="D+")*12+($N24:$T24="N+")*12+($N24:$T24="Dm+")*12+($N24:$T24="Dt+")*12+($N24:$T24="Tm-")*6+($N24:$T24="Mt-")*6)</f>
        <v/>
      </c>
      <c r="AW24" s="118">
        <f>AV24-MAX(0,IFERROR(INDEX(CADASTRO!$I$4:$I$80,MATCH($A24,CADASTRO!$A$4:$A$80,0)),$B24)-CONFIG!$B$50*(COUNTIF($N24:$T24,"AB")+COUNTIF($N24:$T24,"FE")+COUNTIF($N24:$T24,"LM")))</f>
        <v/>
      </c>
      <c r="AX24" s="117">
        <f>SUMPRODUCT(($U24:$AA24="M")*6+($U24:$AA24="T")*6+($U24:$AA24="D")*12+($U24:$AA24="N")*12+($U24:$AA24="NT")*6+($U24:$AA24="C")*10+($U24:$AA24="A")*8+($U24:$AA24="J")*5+($U24:$AA24="CEP")*4+($U24:$AA24="CP")*6+($U24:$AA24="CRO")*6+($U24:$AA24="M+")*6+($U24:$AA24="T+")*6+($U24:$AA24="D+")*12+($U24:$AA24="N+")*12+($U24:$AA24="Dm+")*12+($U24:$AA24="Dt+")*12+($U24:$AA24="Tm-")*6+($U24:$AA24="Mt-")*6)</f>
        <v/>
      </c>
      <c r="AY24" s="118">
        <f>AX24-MAX(0,IFERROR(INDEX(CADASTRO!$I$4:$I$80,MATCH($A24,CADASTRO!$A$4:$A$80,0)),$B24)-CONFIG!$B$50*(COUNTIF($U24:$AA24,"AB")+COUNTIF($U24:$AA24,"FE")+COUNTIF($U24:$AA24,"LM")))</f>
        <v/>
      </c>
      <c r="AZ24" s="117">
        <f>SUMPRODUCT(($AB24:$AH24="M")*6+($AB24:$AH24="T")*6+($AB24:$AH24="D")*12+($AB24:$AH24="N")*12+($AB24:$AH24="NT")*6+($AB24:$AH24="C")*10+($AB24:$AH24="A")*8+($AB24:$AH24="J")*5+($AB24:$AH24="CEP")*4+($AB24:$AH24="CP")*6+($AB24:$AH24="CRO")*6+($AB24:$AH24="M+")*6+($AB24:$AH24="T+")*6+($AB24:$AH24="D+")*12+($AB24:$AH24="N+")*12+($AB24:$AH24="Dm+")*12+($AB24:$AH24="Dt+")*12+($AB24:$AH24="Tm-")*6+($AB24:$AH24="Mt-")*6)</f>
        <v/>
      </c>
      <c r="BA24" s="118">
        <f>AZ24-MAX(0,IFERROR(INDEX(CADASTRO!$I$4:$I$80,MATCH($A24,CADASTRO!$A$4:$A$80,0)),$B24)-CONFIG!$B$50*(COUNTIF($AB24:$AH24,"AB")+COUNTIF($AB24:$AH24,"FE")+COUNTIF($AB24:$AH24,"LM")))</f>
        <v/>
      </c>
      <c r="BB24" s="117">
        <f>SUMPRODUCT(($AI24:$AM24="M")*6+($AI24:$AM24="T")*6+($AI24:$AM24="D")*12+($AI24:$AM24="N")*12+($AI24:$AM24="NT")*6+($AI24:$AM24="C")*10+($AI24:$AM24="A")*8+($AI24:$AM24="J")*5+($AI24:$AM24="CEP")*4+($AI24:$AM24="CP")*6+($AI24:$AM24="CRO")*6+($AI24:$AM24="M+")*6+($AI24:$AM24="T+")*6+($AI24:$AM24="D+")*12+($AI24:$AM24="N+")*12+($AI24:$AM24="Dm+")*12+($AI24:$AM24="Dt+")*12+($AI24:$AM24="Tm-")*6+($AI24:$AM24="Mt-")*6)+SUMPRODUCT(($AN24:$AO24="M")*6+($AN24:$AO24="T")*6+($AN24:$AO24="D")*12+($AN24:$AO24="N")*12+($AN24:$AO24="NT")*6+($AN24:$AO24="C")*10+($AN24:$AO24="A")*8+($AN24:$AO24="J")*5+($AN24:$AO24="CEP")*4+($AN24:$AO24="CP")*6+($AN24:$AO24="CRO")*6+($AN24:$AO24="M+")*6+($AN24:$AO24="T+")*6+($AN24:$AO24="D+")*12+($AN24:$AO24="N+")*12+($AN24:$AO24="Dm+")*12+($AN24:$AO24="Dt+")*12+($AN24:$AO24="Tm-")*6+($AN24:$AO24="Mt-")*6)</f>
        <v/>
      </c>
      <c r="BC24" s="118">
        <f>BB24-MAX(0,IFERROR(INDEX(CADASTRO!$I$4:$I$80,MATCH($A24,CADASTRO!$A$4:$A$80,0)),$B24)-CONFIG!$B$50*(COUNTIF($AI24:$AM24,"AB")+COUNTIF($AI24:$AM24,"FE")+COUNTIF($AI24:$AM24,"LM")+COUNTIF($AN24:$AO24,"AB")+COUNTIF($AN24:$AO24,"FE")+COUNTIF($AN24:$AO24,"LM")))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36">
        <f>IFERROR(INDEX(JUN!AK$8:AK$73,MATCH($A25,JUN!$A$8:$A$73,0))&amp;"","")</f>
        <v/>
      </c>
      <c r="H25" s="136">
        <f>IFERROR(INDEX(JUN!AL$8:AL$73,MATCH($A25,JUN!$A$8:$A$73,0))&amp;"","")</f>
        <v/>
      </c>
      <c r="I25" s="125" t="inlineStr">
        <is>
          <t>N</t>
        </is>
      </c>
      <c r="J25" s="114" t="n"/>
      <c r="K25" s="114" t="n"/>
      <c r="L25" s="114" t="n"/>
      <c r="M25" s="125" t="inlineStr">
        <is>
          <t>N</t>
        </is>
      </c>
      <c r="N25" s="114" t="n"/>
      <c r="O25" s="125" t="inlineStr">
        <is>
          <t>N</t>
        </is>
      </c>
      <c r="P25" s="125" t="inlineStr">
        <is>
          <t>N</t>
        </is>
      </c>
      <c r="Q25" s="114" t="n"/>
      <c r="R25" s="114" t="n"/>
      <c r="S25" s="114" t="n"/>
      <c r="T25" s="125" t="inlineStr">
        <is>
          <t>N</t>
        </is>
      </c>
      <c r="U25" s="127" t="inlineStr">
        <is>
          <t>N-</t>
        </is>
      </c>
      <c r="V25" s="125" t="inlineStr">
        <is>
          <t>N</t>
        </is>
      </c>
      <c r="W25" s="125" t="inlineStr">
        <is>
          <t>N</t>
        </is>
      </c>
      <c r="X25" s="114" t="n"/>
      <c r="Y25" s="114" t="n"/>
      <c r="Z25" s="114" t="n"/>
      <c r="AA25" s="114" t="n"/>
      <c r="AB25" s="123" t="inlineStr">
        <is>
          <t>N+</t>
        </is>
      </c>
      <c r="AC25" s="125" t="inlineStr">
        <is>
          <t>N</t>
        </is>
      </c>
      <c r="AD25" s="125" t="inlineStr">
        <is>
          <t>N</t>
        </is>
      </c>
      <c r="AE25" s="114" t="n"/>
      <c r="AF25" s="114" t="n"/>
      <c r="AG25" s="114" t="n"/>
      <c r="AH25" s="125" t="inlineStr">
        <is>
          <t>N</t>
        </is>
      </c>
      <c r="AI25" s="125" t="inlineStr">
        <is>
          <t>N</t>
        </is>
      </c>
      <c r="AJ25" s="125" t="inlineStr">
        <is>
          <t>N</t>
        </is>
      </c>
      <c r="AK25" s="125" t="inlineStr">
        <is>
          <t>N</t>
        </is>
      </c>
      <c r="AL25" s="114" t="n"/>
      <c r="AM25" s="114" t="n"/>
      <c r="AN25" s="116">
        <f>IFERROR(INDEX(AGO!I$8:I$73,MATCH($A25,AGO!$A$8:$A$73,0))&amp;"","")</f>
        <v/>
      </c>
      <c r="AO25" s="116">
        <f>IFERROR(INDEX(AGO!J$8:J$73,MATCH($A25,AGO!$A$8:$A$73,0))&amp;"","")</f>
        <v/>
      </c>
      <c r="AP25" s="100" t="n"/>
      <c r="AQ25" s="100" t="n"/>
      <c r="AR25" s="100" t="n"/>
      <c r="AS25" s="100" t="n"/>
      <c r="AT25" s="117">
        <f>SUMPRODUCT(($G25:$M25="M")*6+($G25:$M25="T")*6+($G25:$M25="D")*12+($G25:$M25="N")*12+($G25:$M25="NT")*6+($G25:$M25="C")*10+($G25:$M25="A")*8+($G25:$M25="J")*5+($G25:$M25="CEP")*4+($G25:$M25="CP")*6+($G25:$M25="CRO")*6+($G25:$M25="M+")*6+($G25:$M25="T+")*6+($G25:$M25="D+")*12+($G25:$M25="N+")*12+($G25:$M25="Dm+")*12+($G25:$M25="Dt+")*12+($G25:$M25="Tm-")*6+($G25:$M25="Mt-")*6)</f>
        <v/>
      </c>
      <c r="AU25" s="118">
        <f>AT25-MAX(0,IFERROR(INDEX(CADASTRO!$I$4:$I$80,MATCH($A25,CADASTRO!$A$4:$A$80,0)),$B25)-CONFIG!$B$50*(COUNTIF($G25:$M25,"AB")+COUNTIF($G25:$M25,"FE")+COUNTIF($G25:$M25,"LM")))</f>
        <v/>
      </c>
      <c r="AV25" s="117">
        <f>SUMPRODUCT(($N25:$T25="M")*6+($N25:$T25="T")*6+($N25:$T25="D")*12+($N25:$T25="N")*12+($N25:$T25="NT")*6+($N25:$T25="C")*10+($N25:$T25="A")*8+($N25:$T25="J")*5+($N25:$T25="CEP")*4+($N25:$T25="CP")*6+($N25:$T25="CRO")*6+($N25:$T25="M+")*6+($N25:$T25="T+")*6+($N25:$T25="D+")*12+($N25:$T25="N+")*12+($N25:$T25="Dm+")*12+($N25:$T25="Dt+")*12+($N25:$T25="Tm-")*6+($N25:$T25="Mt-")*6)</f>
        <v/>
      </c>
      <c r="AW25" s="118">
        <f>AV25-MAX(0,IFERROR(INDEX(CADASTRO!$I$4:$I$80,MATCH($A25,CADASTRO!$A$4:$A$80,0)),$B25)-CONFIG!$B$50*(COUNTIF($N25:$T25,"AB")+COUNTIF($N25:$T25,"FE")+COUNTIF($N25:$T25,"LM")))</f>
        <v/>
      </c>
      <c r="AX25" s="117">
        <f>SUMPRODUCT(($U25:$AA25="M")*6+($U25:$AA25="T")*6+($U25:$AA25="D")*12+($U25:$AA25="N")*12+($U25:$AA25="NT")*6+($U25:$AA25="C")*10+($U25:$AA25="A")*8+($U25:$AA25="J")*5+($U25:$AA25="CEP")*4+($U25:$AA25="CP")*6+($U25:$AA25="CRO")*6+($U25:$AA25="M+")*6+($U25:$AA25="T+")*6+($U25:$AA25="D+")*12+($U25:$AA25="N+")*12+($U25:$AA25="Dm+")*12+($U25:$AA25="Dt+")*12+($U25:$AA25="Tm-")*6+($U25:$AA25="Mt-")*6)</f>
        <v/>
      </c>
      <c r="AY25" s="118">
        <f>AX25-MAX(0,IFERROR(INDEX(CADASTRO!$I$4:$I$80,MATCH($A25,CADASTRO!$A$4:$A$80,0)),$B25)-CONFIG!$B$50*(COUNTIF($U25:$AA25,"AB")+COUNTIF($U25:$AA25,"FE")+COUNTIF($U25:$AA25,"LM")))</f>
        <v/>
      </c>
      <c r="AZ25" s="117">
        <f>SUMPRODUCT(($AB25:$AH25="M")*6+($AB25:$AH25="T")*6+($AB25:$AH25="D")*12+($AB25:$AH25="N")*12+($AB25:$AH25="NT")*6+($AB25:$AH25="C")*10+($AB25:$AH25="A")*8+($AB25:$AH25="J")*5+($AB25:$AH25="CEP")*4+($AB25:$AH25="CP")*6+($AB25:$AH25="CRO")*6+($AB25:$AH25="M+")*6+($AB25:$AH25="T+")*6+($AB25:$AH25="D+")*12+($AB25:$AH25="N+")*12+($AB25:$AH25="Dm+")*12+($AB25:$AH25="Dt+")*12+($AB25:$AH25="Tm-")*6+($AB25:$AH25="Mt-")*6)</f>
        <v/>
      </c>
      <c r="BA25" s="118">
        <f>AZ25-MAX(0,IFERROR(INDEX(CADASTRO!$I$4:$I$80,MATCH($A25,CADASTRO!$A$4:$A$80,0)),$B25)-CONFIG!$B$50*(COUNTIF($AB25:$AH25,"AB")+COUNTIF($AB25:$AH25,"FE")+COUNTIF($AB25:$AH25,"LM")))</f>
        <v/>
      </c>
      <c r="BB25" s="117">
        <f>SUMPRODUCT(($AI25:$AM25="M")*6+($AI25:$AM25="T")*6+($AI25:$AM25="D")*12+($AI25:$AM25="N")*12+($AI25:$AM25="NT")*6+($AI25:$AM25="C")*10+($AI25:$AM25="A")*8+($AI25:$AM25="J")*5+($AI25:$AM25="CEP")*4+($AI25:$AM25="CP")*6+($AI25:$AM25="CRO")*6+($AI25:$AM25="M+")*6+($AI25:$AM25="T+")*6+($AI25:$AM25="D+")*12+($AI25:$AM25="N+")*12+($AI25:$AM25="Dm+")*12+($AI25:$AM25="Dt+")*12+($AI25:$AM25="Tm-")*6+($AI25:$AM25="Mt-")*6)+SUMPRODUCT(($AN25:$AO25="M")*6+($AN25:$AO25="T")*6+($AN25:$AO25="D")*12+($AN25:$AO25="N")*12+($AN25:$AO25="NT")*6+($AN25:$AO25="C")*10+($AN25:$AO25="A")*8+($AN25:$AO25="J")*5+($AN25:$AO25="CEP")*4+($AN25:$AO25="CP")*6+($AN25:$AO25="CRO")*6+($AN25:$AO25="M+")*6+($AN25:$AO25="T+")*6+($AN25:$AO25="D+")*12+($AN25:$AO25="N+")*12+($AN25:$AO25="Dm+")*12+($AN25:$AO25="Dt+")*12+($AN25:$AO25="Tm-")*6+($AN25:$AO25="Mt-")*6)</f>
        <v/>
      </c>
      <c r="BC25" s="118">
        <f>BB25-MAX(0,IFERROR(INDEX(CADASTRO!$I$4:$I$80,MATCH($A25,CADASTRO!$A$4:$A$80,0)),$B25)-CONFIG!$B$50*(COUNTIF($AI25:$AM25,"AB")+COUNTIF($AI25:$AM25,"FE")+COUNTIF($AI25:$AM25,"LM")+COUNTIF($AN25:$AO25,"AB")+COUNTIF($AN25:$AO25,"FE")+COUNTIF($AN25:$AO25,"LM")))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36">
        <f>IFERROR(INDEX(JUN!AK$8:AK$73,MATCH($A26,JUN!$A$8:$A$73,0))&amp;"","")</f>
        <v/>
      </c>
      <c r="H26" s="136">
        <f>IFERROR(INDEX(JUN!AL$8:AL$73,MATCH($A26,JUN!$A$8:$A$73,0))&amp;"","")</f>
        <v/>
      </c>
      <c r="I26" s="114" t="n"/>
      <c r="J26" s="114" t="n"/>
      <c r="K26" s="124" t="inlineStr">
        <is>
          <t>D</t>
        </is>
      </c>
      <c r="L26" s="114" t="n"/>
      <c r="M26" s="125" t="inlineStr">
        <is>
          <t>N</t>
        </is>
      </c>
      <c r="N26" s="114" t="n"/>
      <c r="O26" s="114" t="n"/>
      <c r="P26" s="125" t="inlineStr">
        <is>
          <t>N</t>
        </is>
      </c>
      <c r="Q26" s="126" t="inlineStr">
        <is>
          <t>T</t>
        </is>
      </c>
      <c r="R26" s="124" t="inlineStr">
        <is>
          <t>D</t>
        </is>
      </c>
      <c r="S26" s="115" t="inlineStr">
        <is>
          <t>M</t>
        </is>
      </c>
      <c r="T26" s="114" t="n"/>
      <c r="U26" s="139" t="inlineStr">
        <is>
          <t>FE</t>
        </is>
      </c>
      <c r="V26" s="139" t="inlineStr">
        <is>
          <t>FE</t>
        </is>
      </c>
      <c r="W26" s="139" t="inlineStr">
        <is>
          <t>FE</t>
        </is>
      </c>
      <c r="X26" s="139" t="inlineStr">
        <is>
          <t>FE</t>
        </is>
      </c>
      <c r="Y26" s="139" t="inlineStr">
        <is>
          <t>FE</t>
        </is>
      </c>
      <c r="Z26" s="139" t="inlineStr">
        <is>
          <t>FE</t>
        </is>
      </c>
      <c r="AA26" s="139" t="inlineStr">
        <is>
          <t>FE</t>
        </is>
      </c>
      <c r="AB26" s="139" t="inlineStr">
        <is>
          <t>FE</t>
        </is>
      </c>
      <c r="AC26" s="139" t="inlineStr">
        <is>
          <t>FE</t>
        </is>
      </c>
      <c r="AD26" s="139" t="inlineStr">
        <is>
          <t>FE</t>
        </is>
      </c>
      <c r="AE26" s="139" t="inlineStr">
        <is>
          <t>FE</t>
        </is>
      </c>
      <c r="AF26" s="139" t="inlineStr">
        <is>
          <t>FE</t>
        </is>
      </c>
      <c r="AG26" s="139" t="inlineStr">
        <is>
          <t>FE</t>
        </is>
      </c>
      <c r="AH26" s="139" t="inlineStr">
        <is>
          <t>FE</t>
        </is>
      </c>
      <c r="AI26" s="139" t="inlineStr">
        <is>
          <t>FE</t>
        </is>
      </c>
      <c r="AJ26" s="114" t="n"/>
      <c r="AK26" s="115" t="inlineStr">
        <is>
          <t>M</t>
        </is>
      </c>
      <c r="AL26" s="114" t="n"/>
      <c r="AM26" s="124" t="inlineStr">
        <is>
          <t>D</t>
        </is>
      </c>
      <c r="AN26" s="116">
        <f>IFERROR(INDEX(AGO!I$8:I$73,MATCH($A26,AGO!$A$8:$A$73,0))&amp;"","")</f>
        <v/>
      </c>
      <c r="AO26" s="116">
        <f>IFERROR(INDEX(AGO!J$8:J$73,MATCH($A26,AGO!$A$8:$A$73,0))&amp;"","")</f>
        <v/>
      </c>
      <c r="AP26" s="100" t="n"/>
      <c r="AQ26" s="100" t="n"/>
      <c r="AR26" s="100" t="n"/>
      <c r="AS26" s="100" t="n"/>
      <c r="AT26" s="117">
        <f>SUMPRODUCT(($G26:$M26="M")*6+($G26:$M26="T")*6+($G26:$M26="D")*12+($G26:$M26="N")*12+($G26:$M26="NT")*6+($G26:$M26="C")*10+($G26:$M26="A")*8+($G26:$M26="J")*5+($G26:$M26="CEP")*4+($G26:$M26="CP")*6+($G26:$M26="CRO")*6+($G26:$M26="M+")*6+($G26:$M26="T+")*6+($G26:$M26="D+")*12+($G26:$M26="N+")*12+($G26:$M26="Dm+")*12+($G26:$M26="Dt+")*12+($G26:$M26="Tm-")*6+($G26:$M26="Mt-")*6)</f>
        <v/>
      </c>
      <c r="AU26" s="118">
        <f>AT26-MAX(0,IFERROR(INDEX(CADASTRO!$I$4:$I$80,MATCH($A26,CADASTRO!$A$4:$A$80,0)),$B26)-CONFIG!$B$50*(COUNTIF($G26:$M26,"AB")+COUNTIF($G26:$M26,"FE")+COUNTIF($G26:$M26,"LM")))</f>
        <v/>
      </c>
      <c r="AV26" s="117">
        <f>SUMPRODUCT(($N26:$T26="M")*6+($N26:$T26="T")*6+($N26:$T26="D")*12+($N26:$T26="N")*12+($N26:$T26="NT")*6+($N26:$T26="C")*10+($N26:$T26="A")*8+($N26:$T26="J")*5+($N26:$T26="CEP")*4+($N26:$T26="CP")*6+($N26:$T26="CRO")*6+($N26:$T26="M+")*6+($N26:$T26="T+")*6+($N26:$T26="D+")*12+($N26:$T26="N+")*12+($N26:$T26="Dm+")*12+($N26:$T26="Dt+")*12+($N26:$T26="Tm-")*6+($N26:$T26="Mt-")*6)</f>
        <v/>
      </c>
      <c r="AW26" s="118">
        <f>AV26-MAX(0,IFERROR(INDEX(CADASTRO!$I$4:$I$80,MATCH($A26,CADASTRO!$A$4:$A$80,0)),$B26)-CONFIG!$B$50*(COUNTIF($N26:$T26,"AB")+COUNTIF($N26:$T26,"FE")+COUNTIF($N26:$T26,"LM")))</f>
        <v/>
      </c>
      <c r="AX26" s="117">
        <f>SUMPRODUCT(($U26:$AA26="M")*6+($U26:$AA26="T")*6+($U26:$AA26="D")*12+($U26:$AA26="N")*12+($U26:$AA26="NT")*6+($U26:$AA26="C")*10+($U26:$AA26="A")*8+($U26:$AA26="J")*5+($U26:$AA26="CEP")*4+($U26:$AA26="CP")*6+($U26:$AA26="CRO")*6+($U26:$AA26="M+")*6+($U26:$AA26="T+")*6+($U26:$AA26="D+")*12+($U26:$AA26="N+")*12+($U26:$AA26="Dm+")*12+($U26:$AA26="Dt+")*12+($U26:$AA26="Tm-")*6+($U26:$AA26="Mt-")*6)</f>
        <v/>
      </c>
      <c r="AY26" s="118">
        <f>AX26-MAX(0,IFERROR(INDEX(CADASTRO!$I$4:$I$80,MATCH($A26,CADASTRO!$A$4:$A$80,0)),$B26)-CONFIG!$B$50*(COUNTIF($U26:$AA26,"AB")+COUNTIF($U26:$AA26,"FE")+COUNTIF($U26:$AA26,"LM")))</f>
        <v/>
      </c>
      <c r="AZ26" s="117">
        <f>SUMPRODUCT(($AB26:$AH26="M")*6+($AB26:$AH26="T")*6+($AB26:$AH26="D")*12+($AB26:$AH26="N")*12+($AB26:$AH26="NT")*6+($AB26:$AH26="C")*10+($AB26:$AH26="A")*8+($AB26:$AH26="J")*5+($AB26:$AH26="CEP")*4+($AB26:$AH26="CP")*6+($AB26:$AH26="CRO")*6+($AB26:$AH26="M+")*6+($AB26:$AH26="T+")*6+($AB26:$AH26="D+")*12+($AB26:$AH26="N+")*12+($AB26:$AH26="Dm+")*12+($AB26:$AH26="Dt+")*12+($AB26:$AH26="Tm-")*6+($AB26:$AH26="Mt-")*6)</f>
        <v/>
      </c>
      <c r="BA26" s="118">
        <f>AZ26-MAX(0,IFERROR(INDEX(CADASTRO!$I$4:$I$80,MATCH($A26,CADASTRO!$A$4:$A$80,0)),$B26)-CONFIG!$B$50*(COUNTIF($AB26:$AH26,"AB")+COUNTIF($AB26:$AH26,"FE")+COUNTIF($AB26:$AH26,"LM")))</f>
        <v/>
      </c>
      <c r="BB26" s="117">
        <f>SUMPRODUCT(($AI26:$AM26="M")*6+($AI26:$AM26="T")*6+($AI26:$AM26="D")*12+($AI26:$AM26="N")*12+($AI26:$AM26="NT")*6+($AI26:$AM26="C")*10+($AI26:$AM26="A")*8+($AI26:$AM26="J")*5+($AI26:$AM26="CEP")*4+($AI26:$AM26="CP")*6+($AI26:$AM26="CRO")*6+($AI26:$AM26="M+")*6+($AI26:$AM26="T+")*6+($AI26:$AM26="D+")*12+($AI26:$AM26="N+")*12+($AI26:$AM26="Dm+")*12+($AI26:$AM26="Dt+")*12+($AI26:$AM26="Tm-")*6+($AI26:$AM26="Mt-")*6)+SUMPRODUCT(($AN26:$AO26="M")*6+($AN26:$AO26="T")*6+($AN26:$AO26="D")*12+($AN26:$AO26="N")*12+($AN26:$AO26="NT")*6+($AN26:$AO26="C")*10+($AN26:$AO26="A")*8+($AN26:$AO26="J")*5+($AN26:$AO26="CEP")*4+($AN26:$AO26="CP")*6+($AN26:$AO26="CRO")*6+($AN26:$AO26="M+")*6+($AN26:$AO26="T+")*6+($AN26:$AO26="D+")*12+($AN26:$AO26="N+")*12+($AN26:$AO26="Dm+")*12+($AN26:$AO26="Dt+")*12+($AN26:$AO26="Tm-")*6+($AN26:$AO26="Mt-")*6)</f>
        <v/>
      </c>
      <c r="BC26" s="118">
        <f>BB26-MAX(0,IFERROR(INDEX(CADASTRO!$I$4:$I$80,MATCH($A26,CADASTRO!$A$4:$A$80,0)),$B26)-CONFIG!$B$50*(COUNTIF($AI26:$AM26,"AB")+COUNTIF($AI26:$AM26,"FE")+COUNTIF($AI26:$AM26,"LM")+COUNTIF($AN26:$AO26,"AB")+COUNTIF($AN26:$AO26,"FE")+COUNTIF($AN26:$AO26,"LM")))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36">
        <f>IFERROR(INDEX(JUN!AK$8:AK$73,MATCH($A27,JUN!$A$8:$A$73,0))&amp;"","")</f>
        <v/>
      </c>
      <c r="H27" s="136">
        <f>IFERROR(INDEX(JUN!AL$8:AL$73,MATCH($A27,JUN!$A$8:$A$73,0))&amp;"","")</f>
        <v/>
      </c>
      <c r="I27" s="114" t="n"/>
      <c r="J27" s="125" t="inlineStr">
        <is>
          <t>N</t>
        </is>
      </c>
      <c r="K27" s="114" t="n"/>
      <c r="L27" s="125" t="inlineStr">
        <is>
          <t>N</t>
        </is>
      </c>
      <c r="M27" s="114" t="n"/>
      <c r="N27" s="114" t="n"/>
      <c r="O27" s="125" t="inlineStr">
        <is>
          <t>N</t>
        </is>
      </c>
      <c r="P27" s="114" t="n"/>
      <c r="Q27" s="125" t="inlineStr">
        <is>
          <t>N</t>
        </is>
      </c>
      <c r="R27" s="114" t="n"/>
      <c r="S27" s="125" t="inlineStr">
        <is>
          <t>N</t>
        </is>
      </c>
      <c r="T27" s="114" t="n"/>
      <c r="U27" s="114" t="n"/>
      <c r="V27" s="125" t="inlineStr">
        <is>
          <t>N</t>
        </is>
      </c>
      <c r="W27" s="114" t="n"/>
      <c r="X27" s="125" t="inlineStr">
        <is>
          <t>N</t>
        </is>
      </c>
      <c r="Y27" s="114" t="n"/>
      <c r="Z27" s="125" t="inlineStr">
        <is>
          <t>N</t>
        </is>
      </c>
      <c r="AA27" s="114" t="n"/>
      <c r="AB27" s="114" t="n"/>
      <c r="AC27" s="125" t="inlineStr">
        <is>
          <t>N</t>
        </is>
      </c>
      <c r="AD27" s="114" t="n"/>
      <c r="AE27" s="125" t="inlineStr">
        <is>
          <t>N</t>
        </is>
      </c>
      <c r="AF27" s="114" t="n"/>
      <c r="AG27" s="114" t="n"/>
      <c r="AH27" s="125" t="inlineStr">
        <is>
          <t>N</t>
        </is>
      </c>
      <c r="AI27" s="114" t="n"/>
      <c r="AJ27" s="125" t="inlineStr">
        <is>
          <t>N</t>
        </is>
      </c>
      <c r="AK27" s="130" t="inlineStr">
        <is>
          <t>CRO</t>
        </is>
      </c>
      <c r="AL27" s="130" t="inlineStr">
        <is>
          <t>CRO</t>
        </is>
      </c>
      <c r="AM27" s="125" t="inlineStr">
        <is>
          <t>N</t>
        </is>
      </c>
      <c r="AN27" s="116">
        <f>IFERROR(INDEX(AGO!I$8:I$73,MATCH($A27,AGO!$A$8:$A$73,0))&amp;"","")</f>
        <v/>
      </c>
      <c r="AO27" s="116">
        <f>IFERROR(INDEX(AGO!J$8:J$73,MATCH($A27,AGO!$A$8:$A$73,0))&amp;"","")</f>
        <v/>
      </c>
      <c r="AP27" s="100" t="n"/>
      <c r="AQ27" s="100" t="n"/>
      <c r="AR27" s="100" t="n"/>
      <c r="AS27" s="100" t="n"/>
      <c r="AT27" s="117">
        <f>SUMPRODUCT(($G27:$M27="M")*6+($G27:$M27="T")*6+($G27:$M27="D")*12+($G27:$M27="N")*12+($G27:$M27="NT")*6+($G27:$M27="C")*10+($G27:$M27="A")*8+($G27:$M27="J")*5+($G27:$M27="CEP")*4+($G27:$M27="CP")*6+($G27:$M27="CRO")*6+($G27:$M27="M+")*6+($G27:$M27="T+")*6+($G27:$M27="D+")*12+($G27:$M27="N+")*12+($G27:$M27="Dm+")*12+($G27:$M27="Dt+")*12+($G27:$M27="Tm-")*6+($G27:$M27="Mt-")*6)</f>
        <v/>
      </c>
      <c r="AU27" s="118">
        <f>AT27-MAX(0,IFERROR(INDEX(CADASTRO!$I$4:$I$80,MATCH($A27,CADASTRO!$A$4:$A$80,0)),$B27)-CONFIG!$B$50*(COUNTIF($G27:$M27,"AB")+COUNTIF($G27:$M27,"FE")+COUNTIF($G27:$M27,"LM")))</f>
        <v/>
      </c>
      <c r="AV27" s="117">
        <f>SUMPRODUCT(($N27:$T27="M")*6+($N27:$T27="T")*6+($N27:$T27="D")*12+($N27:$T27="N")*12+($N27:$T27="NT")*6+($N27:$T27="C")*10+($N27:$T27="A")*8+($N27:$T27="J")*5+($N27:$T27="CEP")*4+($N27:$T27="CP")*6+($N27:$T27="CRO")*6+($N27:$T27="M+")*6+($N27:$T27="T+")*6+($N27:$T27="D+")*12+($N27:$T27="N+")*12+($N27:$T27="Dm+")*12+($N27:$T27="Dt+")*12+($N27:$T27="Tm-")*6+($N27:$T27="Mt-")*6)</f>
        <v/>
      </c>
      <c r="AW27" s="118">
        <f>AV27-MAX(0,IFERROR(INDEX(CADASTRO!$I$4:$I$80,MATCH($A27,CADASTRO!$A$4:$A$80,0)),$B27)-CONFIG!$B$50*(COUNTIF($N27:$T27,"AB")+COUNTIF($N27:$T27,"FE")+COUNTIF($N27:$T27,"LM")))</f>
        <v/>
      </c>
      <c r="AX27" s="117">
        <f>SUMPRODUCT(($U27:$AA27="M")*6+($U27:$AA27="T")*6+($U27:$AA27="D")*12+($U27:$AA27="N")*12+($U27:$AA27="NT")*6+($U27:$AA27="C")*10+($U27:$AA27="A")*8+($U27:$AA27="J")*5+($U27:$AA27="CEP")*4+($U27:$AA27="CP")*6+($U27:$AA27="CRO")*6+($U27:$AA27="M+")*6+($U27:$AA27="T+")*6+($U27:$AA27="D+")*12+($U27:$AA27="N+")*12+($U27:$AA27="Dm+")*12+($U27:$AA27="Dt+")*12+($U27:$AA27="Tm-")*6+($U27:$AA27="Mt-")*6)</f>
        <v/>
      </c>
      <c r="AY27" s="118">
        <f>AX27-MAX(0,IFERROR(INDEX(CADASTRO!$I$4:$I$80,MATCH($A27,CADASTRO!$A$4:$A$80,0)),$B27)-CONFIG!$B$50*(COUNTIF($U27:$AA27,"AB")+COUNTIF($U27:$AA27,"FE")+COUNTIF($U27:$AA27,"LM")))</f>
        <v/>
      </c>
      <c r="AZ27" s="117">
        <f>SUMPRODUCT(($AB27:$AH27="M")*6+($AB27:$AH27="T")*6+($AB27:$AH27="D")*12+($AB27:$AH27="N")*12+($AB27:$AH27="NT")*6+($AB27:$AH27="C")*10+($AB27:$AH27="A")*8+($AB27:$AH27="J")*5+($AB27:$AH27="CEP")*4+($AB27:$AH27="CP")*6+($AB27:$AH27="CRO")*6+($AB27:$AH27="M+")*6+($AB27:$AH27="T+")*6+($AB27:$AH27="D+")*12+($AB27:$AH27="N+")*12+($AB27:$AH27="Dm+")*12+($AB27:$AH27="Dt+")*12+($AB27:$AH27="Tm-")*6+($AB27:$AH27="Mt-")*6)</f>
        <v/>
      </c>
      <c r="BA27" s="118">
        <f>AZ27-MAX(0,IFERROR(INDEX(CADASTRO!$I$4:$I$80,MATCH($A27,CADASTRO!$A$4:$A$80,0)),$B27)-CONFIG!$B$50*(COUNTIF($AB27:$AH27,"AB")+COUNTIF($AB27:$AH27,"FE")+COUNTIF($AB27:$AH27,"LM")))</f>
        <v/>
      </c>
      <c r="BB27" s="117">
        <f>SUMPRODUCT(($AI27:$AM27="M")*6+($AI27:$AM27="T")*6+($AI27:$AM27="D")*12+($AI27:$AM27="N")*12+($AI27:$AM27="NT")*6+($AI27:$AM27="C")*10+($AI27:$AM27="A")*8+($AI27:$AM27="J")*5+($AI27:$AM27="CEP")*4+($AI27:$AM27="CP")*6+($AI27:$AM27="CRO")*6+($AI27:$AM27="M+")*6+($AI27:$AM27="T+")*6+($AI27:$AM27="D+")*12+($AI27:$AM27="N+")*12+($AI27:$AM27="Dm+")*12+($AI27:$AM27="Dt+")*12+($AI27:$AM27="Tm-")*6+($AI27:$AM27="Mt-")*6)+SUMPRODUCT(($AN27:$AO27="M")*6+($AN27:$AO27="T")*6+($AN27:$AO27="D")*12+($AN27:$AO27="N")*12+($AN27:$AO27="NT")*6+($AN27:$AO27="C")*10+($AN27:$AO27="A")*8+($AN27:$AO27="J")*5+($AN27:$AO27="CEP")*4+($AN27:$AO27="CP")*6+($AN27:$AO27="CRO")*6+($AN27:$AO27="M+")*6+($AN27:$AO27="T+")*6+($AN27:$AO27="D+")*12+($AN27:$AO27="N+")*12+($AN27:$AO27="Dm+")*12+($AN27:$AO27="Dt+")*12+($AN27:$AO27="Tm-")*6+($AN27:$AO27="Mt-")*6)</f>
        <v/>
      </c>
      <c r="BC27" s="118">
        <f>BB27-MAX(0,IFERROR(INDEX(CADASTRO!$I$4:$I$80,MATCH($A27,CADASTRO!$A$4:$A$80,0)),$B27)-CONFIG!$B$50*(COUNTIF($AI27:$AM27,"AB")+COUNTIF($AI27:$AM27,"FE")+COUNTIF($AI27:$AM27,"LM")+COUNTIF($AN27:$AO27,"AB")+COUNTIF($AN27:$AO27,"FE")+COUNTIF($AN27:$AO27,"LM")))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36">
        <f>IFERROR(INDEX(JUN!AK$8:AK$73,MATCH($A28,JUN!$A$8:$A$73,0))&amp;"","")</f>
        <v/>
      </c>
      <c r="H28" s="136">
        <f>IFERROR(INDEX(JUN!AL$8:AL$73,MATCH($A28,JUN!$A$8:$A$73,0))&amp;"","")</f>
        <v/>
      </c>
      <c r="I28" s="124" t="inlineStr">
        <is>
          <t>D</t>
        </is>
      </c>
      <c r="J28" s="125" t="inlineStr">
        <is>
          <t>N</t>
        </is>
      </c>
      <c r="K28" s="114" t="n"/>
      <c r="L28" s="114" t="n"/>
      <c r="M28" s="114" t="n"/>
      <c r="N28" s="114" t="n"/>
      <c r="O28" s="126" t="inlineStr">
        <is>
          <t>T</t>
        </is>
      </c>
      <c r="P28" s="115" t="inlineStr">
        <is>
          <t>M</t>
        </is>
      </c>
      <c r="Q28" s="125" t="inlineStr">
        <is>
          <t>N</t>
        </is>
      </c>
      <c r="R28" s="126" t="inlineStr">
        <is>
          <t>T</t>
        </is>
      </c>
      <c r="S28" s="114" t="n"/>
      <c r="T28" s="114" t="n"/>
      <c r="U28" s="126" t="inlineStr">
        <is>
          <t>T</t>
        </is>
      </c>
      <c r="V28" s="114" t="n"/>
      <c r="W28" s="114" t="n"/>
      <c r="X28" s="114" t="n"/>
      <c r="Y28" s="114" t="n"/>
      <c r="Z28" s="124" t="inlineStr">
        <is>
          <t>D</t>
        </is>
      </c>
      <c r="AA28" s="124" t="inlineStr">
        <is>
          <t>D</t>
        </is>
      </c>
      <c r="AB28" s="114" t="n"/>
      <c r="AC28" s="114" t="n"/>
      <c r="AD28" s="126" t="inlineStr">
        <is>
          <t>T</t>
        </is>
      </c>
      <c r="AE28" s="125" t="inlineStr">
        <is>
          <t>N</t>
        </is>
      </c>
      <c r="AF28" s="114" t="n"/>
      <c r="AG28" s="115" t="inlineStr">
        <is>
          <t>M</t>
        </is>
      </c>
      <c r="AH28" s="115" t="inlineStr">
        <is>
          <t>M</t>
        </is>
      </c>
      <c r="AI28" s="114" t="n"/>
      <c r="AJ28" s="124" t="inlineStr">
        <is>
          <t>D</t>
        </is>
      </c>
      <c r="AK28" s="124" t="inlineStr">
        <is>
          <t>D</t>
        </is>
      </c>
      <c r="AL28" s="114" t="n"/>
      <c r="AM28" s="114" t="n"/>
      <c r="AN28" s="116">
        <f>IFERROR(INDEX(AGO!I$8:I$73,MATCH($A28,AGO!$A$8:$A$73,0))&amp;"","")</f>
        <v/>
      </c>
      <c r="AO28" s="116">
        <f>IFERROR(INDEX(AGO!J$8:J$73,MATCH($A28,AGO!$A$8:$A$73,0))&amp;"","")</f>
        <v/>
      </c>
      <c r="AP28" s="100" t="n"/>
      <c r="AQ28" s="100" t="n"/>
      <c r="AR28" s="100" t="n"/>
      <c r="AS28" s="100" t="n"/>
      <c r="AT28" s="117">
        <f>SUMPRODUCT(($G28:$M28="M")*6+($G28:$M28="T")*6+($G28:$M28="D")*12+($G28:$M28="N")*12+($G28:$M28="NT")*6+($G28:$M28="C")*10+($G28:$M28="A")*8+($G28:$M28="J")*5+($G28:$M28="CEP")*4+($G28:$M28="CP")*6+($G28:$M28="CRO")*6+($G28:$M28="M+")*6+($G28:$M28="T+")*6+($G28:$M28="D+")*12+($G28:$M28="N+")*12+($G28:$M28="Dm+")*12+($G28:$M28="Dt+")*12+($G28:$M28="Tm-")*6+($G28:$M28="Mt-")*6)</f>
        <v/>
      </c>
      <c r="AU28" s="118">
        <f>AT28-MAX(0,IFERROR(INDEX(CADASTRO!$I$4:$I$80,MATCH($A28,CADASTRO!$A$4:$A$80,0)),$B28)-CONFIG!$B$50*(COUNTIF($G28:$M28,"AB")+COUNTIF($G28:$M28,"FE")+COUNTIF($G28:$M28,"LM")))</f>
        <v/>
      </c>
      <c r="AV28" s="117">
        <f>SUMPRODUCT(($N28:$T28="M")*6+($N28:$T28="T")*6+($N28:$T28="D")*12+($N28:$T28="N")*12+($N28:$T28="NT")*6+($N28:$T28="C")*10+($N28:$T28="A")*8+($N28:$T28="J")*5+($N28:$T28="CEP")*4+($N28:$T28="CP")*6+($N28:$T28="CRO")*6+($N28:$T28="M+")*6+($N28:$T28="T+")*6+($N28:$T28="D+")*12+($N28:$T28="N+")*12+($N28:$T28="Dm+")*12+($N28:$T28="Dt+")*12+($N28:$T28="Tm-")*6+($N28:$T28="Mt-")*6)</f>
        <v/>
      </c>
      <c r="AW28" s="118">
        <f>AV28-MAX(0,IFERROR(INDEX(CADASTRO!$I$4:$I$80,MATCH($A28,CADASTRO!$A$4:$A$80,0)),$B28)-CONFIG!$B$50*(COUNTIF($N28:$T28,"AB")+COUNTIF($N28:$T28,"FE")+COUNTIF($N28:$T28,"LM")))</f>
        <v/>
      </c>
      <c r="AX28" s="117">
        <f>SUMPRODUCT(($U28:$AA28="M")*6+($U28:$AA28="T")*6+($U28:$AA28="D")*12+($U28:$AA28="N")*12+($U28:$AA28="NT")*6+($U28:$AA28="C")*10+($U28:$AA28="A")*8+($U28:$AA28="J")*5+($U28:$AA28="CEP")*4+($U28:$AA28="CP")*6+($U28:$AA28="CRO")*6+($U28:$AA28="M+")*6+($U28:$AA28="T+")*6+($U28:$AA28="D+")*12+($U28:$AA28="N+")*12+($U28:$AA28="Dm+")*12+($U28:$AA28="Dt+")*12+($U28:$AA28="Tm-")*6+($U28:$AA28="Mt-")*6)</f>
        <v/>
      </c>
      <c r="AY28" s="118">
        <f>AX28-MAX(0,IFERROR(INDEX(CADASTRO!$I$4:$I$80,MATCH($A28,CADASTRO!$A$4:$A$80,0)),$B28)-CONFIG!$B$50*(COUNTIF($U28:$AA28,"AB")+COUNTIF($U28:$AA28,"FE")+COUNTIF($U28:$AA28,"LM")))</f>
        <v/>
      </c>
      <c r="AZ28" s="117">
        <f>SUMPRODUCT(($AB28:$AH28="M")*6+($AB28:$AH28="T")*6+($AB28:$AH28="D")*12+($AB28:$AH28="N")*12+($AB28:$AH28="NT")*6+($AB28:$AH28="C")*10+($AB28:$AH28="A")*8+($AB28:$AH28="J")*5+($AB28:$AH28="CEP")*4+($AB28:$AH28="CP")*6+($AB28:$AH28="CRO")*6+($AB28:$AH28="M+")*6+($AB28:$AH28="T+")*6+($AB28:$AH28="D+")*12+($AB28:$AH28="N+")*12+($AB28:$AH28="Dm+")*12+($AB28:$AH28="Dt+")*12+($AB28:$AH28="Tm-")*6+($AB28:$AH28="Mt-")*6)</f>
        <v/>
      </c>
      <c r="BA28" s="118">
        <f>AZ28-MAX(0,IFERROR(INDEX(CADASTRO!$I$4:$I$80,MATCH($A28,CADASTRO!$A$4:$A$80,0)),$B28)-CONFIG!$B$50*(COUNTIF($AB28:$AH28,"AB")+COUNTIF($AB28:$AH28,"FE")+COUNTIF($AB28:$AH28,"LM")))</f>
        <v/>
      </c>
      <c r="BB28" s="117">
        <f>SUMPRODUCT(($AI28:$AM28="M")*6+($AI28:$AM28="T")*6+($AI28:$AM28="D")*12+($AI28:$AM28="N")*12+($AI28:$AM28="NT")*6+($AI28:$AM28="C")*10+($AI28:$AM28="A")*8+($AI28:$AM28="J")*5+($AI28:$AM28="CEP")*4+($AI28:$AM28="CP")*6+($AI28:$AM28="CRO")*6+($AI28:$AM28="M+")*6+($AI28:$AM28="T+")*6+($AI28:$AM28="D+")*12+($AI28:$AM28="N+")*12+($AI28:$AM28="Dm+")*12+($AI28:$AM28="Dt+")*12+($AI28:$AM28="Tm-")*6+($AI28:$AM28="Mt-")*6)+SUMPRODUCT(($AN28:$AO28="M")*6+($AN28:$AO28="T")*6+($AN28:$AO28="D")*12+($AN28:$AO28="N")*12+($AN28:$AO28="NT")*6+($AN28:$AO28="C")*10+($AN28:$AO28="A")*8+($AN28:$AO28="J")*5+($AN28:$AO28="CEP")*4+($AN28:$AO28="CP")*6+($AN28:$AO28="CRO")*6+($AN28:$AO28="M+")*6+($AN28:$AO28="T+")*6+($AN28:$AO28="D+")*12+($AN28:$AO28="N+")*12+($AN28:$AO28="Dm+")*12+($AN28:$AO28="Dt+")*12+($AN28:$AO28="Tm-")*6+($AN28:$AO28="Mt-")*6)</f>
        <v/>
      </c>
      <c r="BC28" s="118">
        <f>BB28-MAX(0,IFERROR(INDEX(CADASTRO!$I$4:$I$80,MATCH($A28,CADASTRO!$A$4:$A$80,0)),$B28)-CONFIG!$B$50*(COUNTIF($AI28:$AM28,"AB")+COUNTIF($AI28:$AM28,"FE")+COUNTIF($AI28:$AM28,"LM")+COUNTIF($AN28:$AO28,"AB")+COUNTIF($AN28:$AO28,"FE")+COUNTIF($AN28:$AO28,"LM")))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36">
        <f>IFERROR(INDEX(JUN!AK$8:AK$73,MATCH($A29,JUN!$A$8:$A$73,0))&amp;"","")</f>
        <v/>
      </c>
      <c r="H29" s="136">
        <f>IFERROR(INDEX(JUN!AL$8:AL$73,MATCH($A29,JUN!$A$8:$A$73,0))&amp;"","")</f>
        <v/>
      </c>
      <c r="I29" s="139" t="inlineStr">
        <is>
          <t>FE</t>
        </is>
      </c>
      <c r="J29" s="139" t="inlineStr">
        <is>
          <t>FE</t>
        </is>
      </c>
      <c r="K29" s="139" t="inlineStr">
        <is>
          <t>FE</t>
        </is>
      </c>
      <c r="L29" s="139" t="inlineStr">
        <is>
          <t>FE</t>
        </is>
      </c>
      <c r="M29" s="139" t="inlineStr">
        <is>
          <t>FE</t>
        </is>
      </c>
      <c r="N29" s="139" t="inlineStr">
        <is>
          <t>FE</t>
        </is>
      </c>
      <c r="O29" s="139" t="inlineStr">
        <is>
          <t>FE</t>
        </is>
      </c>
      <c r="P29" s="139" t="inlineStr">
        <is>
          <t>FE</t>
        </is>
      </c>
      <c r="Q29" s="139" t="inlineStr">
        <is>
          <t>FE</t>
        </is>
      </c>
      <c r="R29" s="139" t="inlineStr">
        <is>
          <t>FE</t>
        </is>
      </c>
      <c r="S29" s="139" t="inlineStr">
        <is>
          <t>FE</t>
        </is>
      </c>
      <c r="T29" s="139" t="inlineStr">
        <is>
          <t>FE</t>
        </is>
      </c>
      <c r="U29" s="139" t="inlineStr">
        <is>
          <t>FE</t>
        </is>
      </c>
      <c r="V29" s="114" t="n"/>
      <c r="W29" s="114" t="n"/>
      <c r="X29" s="115" t="inlineStr">
        <is>
          <t>M</t>
        </is>
      </c>
      <c r="Y29" s="126" t="inlineStr">
        <is>
          <t>T</t>
        </is>
      </c>
      <c r="Z29" s="125" t="inlineStr">
        <is>
          <t>N</t>
        </is>
      </c>
      <c r="AA29" s="114" t="n"/>
      <c r="AB29" s="125" t="inlineStr">
        <is>
          <t>N</t>
        </is>
      </c>
      <c r="AC29" s="114" t="n"/>
      <c r="AD29" s="115" t="inlineStr">
        <is>
          <t>M</t>
        </is>
      </c>
      <c r="AE29" s="114" t="n"/>
      <c r="AF29" s="126" t="inlineStr">
        <is>
          <t>T</t>
        </is>
      </c>
      <c r="AG29" s="115" t="inlineStr">
        <is>
          <t>M</t>
        </is>
      </c>
      <c r="AH29" s="114" t="n"/>
      <c r="AI29" s="125" t="inlineStr">
        <is>
          <t>N</t>
        </is>
      </c>
      <c r="AJ29" s="114" t="n"/>
      <c r="AK29" s="114" t="n"/>
      <c r="AL29" s="114" t="n"/>
      <c r="AM29" s="125" t="inlineStr">
        <is>
          <t>N</t>
        </is>
      </c>
      <c r="AN29" s="116">
        <f>IFERROR(INDEX(AGO!I$8:I$73,MATCH($A29,AGO!$A$8:$A$73,0))&amp;"","")</f>
        <v/>
      </c>
      <c r="AO29" s="116">
        <f>IFERROR(INDEX(AGO!J$8:J$73,MATCH($A29,AGO!$A$8:$A$73,0))&amp;"","")</f>
        <v/>
      </c>
      <c r="AP29" s="100" t="n"/>
      <c r="AQ29" s="100" t="n"/>
      <c r="AR29" s="100" t="n"/>
      <c r="AS29" s="100" t="n"/>
      <c r="AT29" s="117">
        <f>SUMPRODUCT(($G29:$M29="M")*6+($G29:$M29="T")*6+($G29:$M29="D")*12+($G29:$M29="N")*12+($G29:$M29="NT")*6+($G29:$M29="C")*10+($G29:$M29="A")*8+($G29:$M29="J")*5+($G29:$M29="CEP")*4+($G29:$M29="CP")*6+($G29:$M29="CRO")*6+($G29:$M29="M+")*6+($G29:$M29="T+")*6+($G29:$M29="D+")*12+($G29:$M29="N+")*12+($G29:$M29="Dm+")*12+($G29:$M29="Dt+")*12+($G29:$M29="Tm-")*6+($G29:$M29="Mt-")*6)</f>
        <v/>
      </c>
      <c r="AU29" s="118">
        <f>AT29-MAX(0,IFERROR(INDEX(CADASTRO!$I$4:$I$80,MATCH($A29,CADASTRO!$A$4:$A$80,0)),$B29)-CONFIG!$B$50*(COUNTIF($G29:$M29,"AB")+COUNTIF($G29:$M29,"FE")+COUNTIF($G29:$M29,"LM")))</f>
        <v/>
      </c>
      <c r="AV29" s="117">
        <f>SUMPRODUCT(($N29:$T29="M")*6+($N29:$T29="T")*6+($N29:$T29="D")*12+($N29:$T29="N")*12+($N29:$T29="NT")*6+($N29:$T29="C")*10+($N29:$T29="A")*8+($N29:$T29="J")*5+($N29:$T29="CEP")*4+($N29:$T29="CP")*6+($N29:$T29="CRO")*6+($N29:$T29="M+")*6+($N29:$T29="T+")*6+($N29:$T29="D+")*12+($N29:$T29="N+")*12+($N29:$T29="Dm+")*12+($N29:$T29="Dt+")*12+($N29:$T29="Tm-")*6+($N29:$T29="Mt-")*6)</f>
        <v/>
      </c>
      <c r="AW29" s="118">
        <f>AV29-MAX(0,IFERROR(INDEX(CADASTRO!$I$4:$I$80,MATCH($A29,CADASTRO!$A$4:$A$80,0)),$B29)-CONFIG!$B$50*(COUNTIF($N29:$T29,"AB")+COUNTIF($N29:$T29,"FE")+COUNTIF($N29:$T29,"LM")))</f>
        <v/>
      </c>
      <c r="AX29" s="117">
        <f>SUMPRODUCT(($U29:$AA29="M")*6+($U29:$AA29="T")*6+($U29:$AA29="D")*12+($U29:$AA29="N")*12+($U29:$AA29="NT")*6+($U29:$AA29="C")*10+($U29:$AA29="A")*8+($U29:$AA29="J")*5+($U29:$AA29="CEP")*4+($U29:$AA29="CP")*6+($U29:$AA29="CRO")*6+($U29:$AA29="M+")*6+($U29:$AA29="T+")*6+($U29:$AA29="D+")*12+($U29:$AA29="N+")*12+($U29:$AA29="Dm+")*12+($U29:$AA29="Dt+")*12+($U29:$AA29="Tm-")*6+($U29:$AA29="Mt-")*6)</f>
        <v/>
      </c>
      <c r="AY29" s="118">
        <f>AX29-MAX(0,IFERROR(INDEX(CADASTRO!$I$4:$I$80,MATCH($A29,CADASTRO!$A$4:$A$80,0)),$B29)-CONFIG!$B$50*(COUNTIF($U29:$AA29,"AB")+COUNTIF($U29:$AA29,"FE")+COUNTIF($U29:$AA29,"LM")))</f>
        <v/>
      </c>
      <c r="AZ29" s="117">
        <f>SUMPRODUCT(($AB29:$AH29="M")*6+($AB29:$AH29="T")*6+($AB29:$AH29="D")*12+($AB29:$AH29="N")*12+($AB29:$AH29="NT")*6+($AB29:$AH29="C")*10+($AB29:$AH29="A")*8+($AB29:$AH29="J")*5+($AB29:$AH29="CEP")*4+($AB29:$AH29="CP")*6+($AB29:$AH29="CRO")*6+($AB29:$AH29="M+")*6+($AB29:$AH29="T+")*6+($AB29:$AH29="D+")*12+($AB29:$AH29="N+")*12+($AB29:$AH29="Dm+")*12+($AB29:$AH29="Dt+")*12+($AB29:$AH29="Tm-")*6+($AB29:$AH29="Mt-")*6)</f>
        <v/>
      </c>
      <c r="BA29" s="118">
        <f>AZ29-MAX(0,IFERROR(INDEX(CADASTRO!$I$4:$I$80,MATCH($A29,CADASTRO!$A$4:$A$80,0)),$B29)-CONFIG!$B$50*(COUNTIF($AB29:$AH29,"AB")+COUNTIF($AB29:$AH29,"FE")+COUNTIF($AB29:$AH29,"LM")))</f>
        <v/>
      </c>
      <c r="BB29" s="117">
        <f>SUMPRODUCT(($AI29:$AM29="M")*6+($AI29:$AM29="T")*6+($AI29:$AM29="D")*12+($AI29:$AM29="N")*12+($AI29:$AM29="NT")*6+($AI29:$AM29="C")*10+($AI29:$AM29="A")*8+($AI29:$AM29="J")*5+($AI29:$AM29="CEP")*4+($AI29:$AM29="CP")*6+($AI29:$AM29="CRO")*6+($AI29:$AM29="M+")*6+($AI29:$AM29="T+")*6+($AI29:$AM29="D+")*12+($AI29:$AM29="N+")*12+($AI29:$AM29="Dm+")*12+($AI29:$AM29="Dt+")*12+($AI29:$AM29="Tm-")*6+($AI29:$AM29="Mt-")*6)+SUMPRODUCT(($AN29:$AO29="M")*6+($AN29:$AO29="T")*6+($AN29:$AO29="D")*12+($AN29:$AO29="N")*12+($AN29:$AO29="NT")*6+($AN29:$AO29="C")*10+($AN29:$AO29="A")*8+($AN29:$AO29="J")*5+($AN29:$AO29="CEP")*4+($AN29:$AO29="CP")*6+($AN29:$AO29="CRO")*6+($AN29:$AO29="M+")*6+($AN29:$AO29="T+")*6+($AN29:$AO29="D+")*12+($AN29:$AO29="N+")*12+($AN29:$AO29="Dm+")*12+($AN29:$AO29="Dt+")*12+($AN29:$AO29="Tm-")*6+($AN29:$AO29="Mt-")*6)</f>
        <v/>
      </c>
      <c r="BC29" s="118">
        <f>BB29-MAX(0,IFERROR(INDEX(CADASTRO!$I$4:$I$80,MATCH($A29,CADASTRO!$A$4:$A$80,0)),$B29)-CONFIG!$B$50*(COUNTIF($AI29:$AM29,"AB")+COUNTIF($AI29:$AM29,"FE")+COUNTIF($AI29:$AM29,"LM")+COUNTIF($AN29:$AO29,"AB")+COUNTIF($AN29:$AO29,"FE")+COUNTIF($AN29:$AO29,"LM")))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36">
        <f>IFERROR(INDEX(JUN!AK$8:AK$73,MATCH($A30,JUN!$A$8:$A$73,0))&amp;"","")</f>
        <v/>
      </c>
      <c r="H30" s="136">
        <f>IFERROR(INDEX(JUN!AL$8:AL$73,MATCH($A30,JUN!$A$8:$A$73,0))&amp;"","")</f>
        <v/>
      </c>
      <c r="I30" s="125" t="inlineStr">
        <is>
          <t>N</t>
        </is>
      </c>
      <c r="J30" s="114" t="n"/>
      <c r="K30" s="126" t="inlineStr">
        <is>
          <t>T</t>
        </is>
      </c>
      <c r="L30" s="114" t="n"/>
      <c r="M30" s="125" t="inlineStr">
        <is>
          <t>N</t>
        </is>
      </c>
      <c r="N30" s="114" t="n"/>
      <c r="O30" s="114" t="n"/>
      <c r="P30" s="125" t="inlineStr">
        <is>
          <t>N</t>
        </is>
      </c>
      <c r="Q30" s="114" t="n"/>
      <c r="R30" s="126" t="inlineStr">
        <is>
          <t>T</t>
        </is>
      </c>
      <c r="S30" s="114" t="n"/>
      <c r="T30" s="125" t="inlineStr">
        <is>
          <t>N</t>
        </is>
      </c>
      <c r="U30" s="114" t="n"/>
      <c r="V30" s="114" t="n"/>
      <c r="W30" s="126" t="inlineStr">
        <is>
          <t>T</t>
        </is>
      </c>
      <c r="X30" s="125" t="inlineStr">
        <is>
          <t>N</t>
        </is>
      </c>
      <c r="Y30" s="114" t="n"/>
      <c r="Z30" s="114" t="n"/>
      <c r="AA30" s="125" t="inlineStr">
        <is>
          <t>N</t>
        </is>
      </c>
      <c r="AB30" s="126" t="inlineStr">
        <is>
          <t>T</t>
        </is>
      </c>
      <c r="AC30" s="126" t="inlineStr">
        <is>
          <t>T</t>
        </is>
      </c>
      <c r="AD30" s="125" t="inlineStr">
        <is>
          <t>N</t>
        </is>
      </c>
      <c r="AE30" s="114" t="n"/>
      <c r="AF30" s="126" t="inlineStr">
        <is>
          <t>T</t>
        </is>
      </c>
      <c r="AG30" s="114" t="n"/>
      <c r="AH30" s="114" t="n"/>
      <c r="AI30" s="114" t="n"/>
      <c r="AJ30" s="114" t="n"/>
      <c r="AK30" s="126" t="inlineStr">
        <is>
          <t>T</t>
        </is>
      </c>
      <c r="AL30" s="114" t="n"/>
      <c r="AM30" s="125" t="inlineStr">
        <is>
          <t>N</t>
        </is>
      </c>
      <c r="AN30" s="116">
        <f>IFERROR(INDEX(AGO!I$8:I$73,MATCH($A30,AGO!$A$8:$A$73,0))&amp;"","")</f>
        <v/>
      </c>
      <c r="AO30" s="116">
        <f>IFERROR(INDEX(AGO!J$8:J$73,MATCH($A30,AGO!$A$8:$A$73,0))&amp;"","")</f>
        <v/>
      </c>
      <c r="AP30" s="100" t="n"/>
      <c r="AQ30" s="100" t="n"/>
      <c r="AR30" s="100" t="n"/>
      <c r="AS30" s="100" t="n"/>
      <c r="AT30" s="117">
        <f>SUMPRODUCT(($G30:$M30="M")*6+($G30:$M30="T")*6+($G30:$M30="D")*12+($G30:$M30="N")*12+($G30:$M30="NT")*6+($G30:$M30="C")*10+($G30:$M30="A")*8+($G30:$M30="J")*5+($G30:$M30="CEP")*4+($G30:$M30="CP")*6+($G30:$M30="CRO")*6+($G30:$M30="M+")*6+($G30:$M30="T+")*6+($G30:$M30="D+")*12+($G30:$M30="N+")*12+($G30:$M30="Dm+")*12+($G30:$M30="Dt+")*12+($G30:$M30="Tm-")*6+($G30:$M30="Mt-")*6)</f>
        <v/>
      </c>
      <c r="AU30" s="118">
        <f>AT30-MAX(0,IFERROR(INDEX(CADASTRO!$I$4:$I$80,MATCH($A30,CADASTRO!$A$4:$A$80,0)),$B30)-CONFIG!$B$50*(COUNTIF($G30:$M30,"AB")+COUNTIF($G30:$M30,"FE")+COUNTIF($G30:$M30,"LM")))</f>
        <v/>
      </c>
      <c r="AV30" s="117">
        <f>SUMPRODUCT(($N30:$T30="M")*6+($N30:$T30="T")*6+($N30:$T30="D")*12+($N30:$T30="N")*12+($N30:$T30="NT")*6+($N30:$T30="C")*10+($N30:$T30="A")*8+($N30:$T30="J")*5+($N30:$T30="CEP")*4+($N30:$T30="CP")*6+($N30:$T30="CRO")*6+($N30:$T30="M+")*6+($N30:$T30="T+")*6+($N30:$T30="D+")*12+($N30:$T30="N+")*12+($N30:$T30="Dm+")*12+($N30:$T30="Dt+")*12+($N30:$T30="Tm-")*6+($N30:$T30="Mt-")*6)</f>
        <v/>
      </c>
      <c r="AW30" s="118">
        <f>AV30-MAX(0,IFERROR(INDEX(CADASTRO!$I$4:$I$80,MATCH($A30,CADASTRO!$A$4:$A$80,0)),$B30)-CONFIG!$B$50*(COUNTIF($N30:$T30,"AB")+COUNTIF($N30:$T30,"FE")+COUNTIF($N30:$T30,"LM")))</f>
        <v/>
      </c>
      <c r="AX30" s="117">
        <f>SUMPRODUCT(($U30:$AA30="M")*6+($U30:$AA30="T")*6+($U30:$AA30="D")*12+($U30:$AA30="N")*12+($U30:$AA30="NT")*6+($U30:$AA30="C")*10+($U30:$AA30="A")*8+($U30:$AA30="J")*5+($U30:$AA30="CEP")*4+($U30:$AA30="CP")*6+($U30:$AA30="CRO")*6+($U30:$AA30="M+")*6+($U30:$AA30="T+")*6+($U30:$AA30="D+")*12+($U30:$AA30="N+")*12+($U30:$AA30="Dm+")*12+($U30:$AA30="Dt+")*12+($U30:$AA30="Tm-")*6+($U30:$AA30="Mt-")*6)</f>
        <v/>
      </c>
      <c r="AY30" s="118">
        <f>AX30-MAX(0,IFERROR(INDEX(CADASTRO!$I$4:$I$80,MATCH($A30,CADASTRO!$A$4:$A$80,0)),$B30)-CONFIG!$B$50*(COUNTIF($U30:$AA30,"AB")+COUNTIF($U30:$AA30,"FE")+COUNTIF($U30:$AA30,"LM")))</f>
        <v/>
      </c>
      <c r="AZ30" s="117">
        <f>SUMPRODUCT(($AB30:$AH30="M")*6+($AB30:$AH30="T")*6+($AB30:$AH30="D")*12+($AB30:$AH30="N")*12+($AB30:$AH30="NT")*6+($AB30:$AH30="C")*10+($AB30:$AH30="A")*8+($AB30:$AH30="J")*5+($AB30:$AH30="CEP")*4+($AB30:$AH30="CP")*6+($AB30:$AH30="CRO")*6+($AB30:$AH30="M+")*6+($AB30:$AH30="T+")*6+($AB30:$AH30="D+")*12+($AB30:$AH30="N+")*12+($AB30:$AH30="Dm+")*12+($AB30:$AH30="Dt+")*12+($AB30:$AH30="Tm-")*6+($AB30:$AH30="Mt-")*6)</f>
        <v/>
      </c>
      <c r="BA30" s="118">
        <f>AZ30-MAX(0,IFERROR(INDEX(CADASTRO!$I$4:$I$80,MATCH($A30,CADASTRO!$A$4:$A$80,0)),$B30)-CONFIG!$B$50*(COUNTIF($AB30:$AH30,"AB")+COUNTIF($AB30:$AH30,"FE")+COUNTIF($AB30:$AH30,"LM")))</f>
        <v/>
      </c>
      <c r="BB30" s="117">
        <f>SUMPRODUCT(($AI30:$AM30="M")*6+($AI30:$AM30="T")*6+($AI30:$AM30="D")*12+($AI30:$AM30="N")*12+($AI30:$AM30="NT")*6+($AI30:$AM30="C")*10+($AI30:$AM30="A")*8+($AI30:$AM30="J")*5+($AI30:$AM30="CEP")*4+($AI30:$AM30="CP")*6+($AI30:$AM30="CRO")*6+($AI30:$AM30="M+")*6+($AI30:$AM30="T+")*6+($AI30:$AM30="D+")*12+($AI30:$AM30="N+")*12+($AI30:$AM30="Dm+")*12+($AI30:$AM30="Dt+")*12+($AI30:$AM30="Tm-")*6+($AI30:$AM30="Mt-")*6)+SUMPRODUCT(($AN30:$AO30="M")*6+($AN30:$AO30="T")*6+($AN30:$AO30="D")*12+($AN30:$AO30="N")*12+($AN30:$AO30="NT")*6+($AN30:$AO30="C")*10+($AN30:$AO30="A")*8+($AN30:$AO30="J")*5+($AN30:$AO30="CEP")*4+($AN30:$AO30="CP")*6+($AN30:$AO30="CRO")*6+($AN30:$AO30="M+")*6+($AN30:$AO30="T+")*6+($AN30:$AO30="D+")*12+($AN30:$AO30="N+")*12+($AN30:$AO30="Dm+")*12+($AN30:$AO30="Dt+")*12+($AN30:$AO30="Tm-")*6+($AN30:$AO30="Mt-")*6)</f>
        <v/>
      </c>
      <c r="BC30" s="118">
        <f>BB30-MAX(0,IFERROR(INDEX(CADASTRO!$I$4:$I$80,MATCH($A30,CADASTRO!$A$4:$A$80,0)),$B30)-CONFIG!$B$50*(COUNTIF($AI30:$AM30,"AB")+COUNTIF($AI30:$AM30,"FE")+COUNTIF($AI30:$AM30,"LM")+COUNTIF($AN30:$AO30,"AB")+COUNTIF($AN30:$AO30,"FE")+COUNTIF($AN30:$AO30,"LM")))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36">
        <f>IFERROR(INDEX(JUN!AK$8:AK$73,MATCH($A31,JUN!$A$8:$A$73,0))&amp;"","")</f>
        <v/>
      </c>
      <c r="H31" s="136">
        <f>IFERROR(INDEX(JUN!AL$8:AL$73,MATCH($A31,JUN!$A$8:$A$73,0))&amp;"","")</f>
        <v/>
      </c>
      <c r="I31" s="126" t="inlineStr">
        <is>
          <t>T</t>
        </is>
      </c>
      <c r="J31" s="115" t="inlineStr">
        <is>
          <t>M</t>
        </is>
      </c>
      <c r="K31" s="115" t="inlineStr">
        <is>
          <t>M</t>
        </is>
      </c>
      <c r="L31" s="114" t="n"/>
      <c r="M31" s="114" t="n"/>
      <c r="N31" s="126" t="inlineStr">
        <is>
          <t>T</t>
        </is>
      </c>
      <c r="O31" s="114" t="n"/>
      <c r="P31" s="115" t="inlineStr">
        <is>
          <t>M</t>
        </is>
      </c>
      <c r="Q31" s="114" t="n"/>
      <c r="R31" s="115" t="inlineStr">
        <is>
          <t>M</t>
        </is>
      </c>
      <c r="S31" s="114" t="n"/>
      <c r="T31" s="125" t="inlineStr">
        <is>
          <t>N</t>
        </is>
      </c>
      <c r="U31" s="114" t="n"/>
      <c r="V31" s="126" t="inlineStr">
        <is>
          <t>T</t>
        </is>
      </c>
      <c r="W31" s="115" t="inlineStr">
        <is>
          <t>M</t>
        </is>
      </c>
      <c r="X31" s="114" t="n"/>
      <c r="Y31" s="114" t="n"/>
      <c r="Z31" s="126" t="inlineStr">
        <is>
          <t>T</t>
        </is>
      </c>
      <c r="AA31" s="125" t="inlineStr">
        <is>
          <t>N</t>
        </is>
      </c>
      <c r="AB31" s="114" t="n"/>
      <c r="AC31" s="124" t="inlineStr">
        <is>
          <t>D</t>
        </is>
      </c>
      <c r="AD31" s="115" t="inlineStr">
        <is>
          <t>M</t>
        </is>
      </c>
      <c r="AE31" s="114" t="n"/>
      <c r="AF31" s="115" t="inlineStr">
        <is>
          <t>M</t>
        </is>
      </c>
      <c r="AG31" s="114" t="n"/>
      <c r="AH31" s="114" t="n"/>
      <c r="AI31" s="124" t="inlineStr">
        <is>
          <t>D</t>
        </is>
      </c>
      <c r="AJ31" s="124" t="inlineStr">
        <is>
          <t>D</t>
        </is>
      </c>
      <c r="AK31" s="125" t="inlineStr">
        <is>
          <t>N</t>
        </is>
      </c>
      <c r="AL31" s="114" t="n"/>
      <c r="AM31" s="114" t="n"/>
      <c r="AN31" s="116">
        <f>IFERROR(INDEX(AGO!I$8:I$73,MATCH($A31,AGO!$A$8:$A$73,0))&amp;"","")</f>
        <v/>
      </c>
      <c r="AO31" s="116">
        <f>IFERROR(INDEX(AGO!J$8:J$73,MATCH($A31,AGO!$A$8:$A$73,0))&amp;"","")</f>
        <v/>
      </c>
      <c r="AP31" s="100" t="n"/>
      <c r="AQ31" s="100" t="n"/>
      <c r="AR31" s="100" t="n"/>
      <c r="AS31" s="100" t="n"/>
      <c r="AT31" s="117">
        <f>SUMPRODUCT(($G31:$M31="M")*6+($G31:$M31="T")*6+($G31:$M31="D")*12+($G31:$M31="N")*12+($G31:$M31="NT")*6+($G31:$M31="C")*10+($G31:$M31="A")*8+($G31:$M31="J")*5+($G31:$M31="CEP")*4+($G31:$M31="CP")*6+($G31:$M31="CRO")*6+($G31:$M31="M+")*6+($G31:$M31="T+")*6+($G31:$M31="D+")*12+($G31:$M31="N+")*12+($G31:$M31="Dm+")*12+($G31:$M31="Dt+")*12+($G31:$M31="Tm-")*6+($G31:$M31="Mt-")*6)</f>
        <v/>
      </c>
      <c r="AU31" s="118">
        <f>AT31-MAX(0,IFERROR(INDEX(CADASTRO!$I$4:$I$80,MATCH($A31,CADASTRO!$A$4:$A$80,0)),$B31)-CONFIG!$B$50*(COUNTIF($G31:$M31,"AB")+COUNTIF($G31:$M31,"FE")+COUNTIF($G31:$M31,"LM")))</f>
        <v/>
      </c>
      <c r="AV31" s="117">
        <f>SUMPRODUCT(($N31:$T31="M")*6+($N31:$T31="T")*6+($N31:$T31="D")*12+($N31:$T31="N")*12+($N31:$T31="NT")*6+($N31:$T31="C")*10+($N31:$T31="A")*8+($N31:$T31="J")*5+($N31:$T31="CEP")*4+($N31:$T31="CP")*6+($N31:$T31="CRO")*6+($N31:$T31="M+")*6+($N31:$T31="T+")*6+($N31:$T31="D+")*12+($N31:$T31="N+")*12+($N31:$T31="Dm+")*12+($N31:$T31="Dt+")*12+($N31:$T31="Tm-")*6+($N31:$T31="Mt-")*6)</f>
        <v/>
      </c>
      <c r="AW31" s="118">
        <f>AV31-MAX(0,IFERROR(INDEX(CADASTRO!$I$4:$I$80,MATCH($A31,CADASTRO!$A$4:$A$80,0)),$B31)-CONFIG!$B$50*(COUNTIF($N31:$T31,"AB")+COUNTIF($N31:$T31,"FE")+COUNTIF($N31:$T31,"LM")))</f>
        <v/>
      </c>
      <c r="AX31" s="117">
        <f>SUMPRODUCT(($U31:$AA31="M")*6+($U31:$AA31="T")*6+($U31:$AA31="D")*12+($U31:$AA31="N")*12+($U31:$AA31="NT")*6+($U31:$AA31="C")*10+($U31:$AA31="A")*8+($U31:$AA31="J")*5+($U31:$AA31="CEP")*4+($U31:$AA31="CP")*6+($U31:$AA31="CRO")*6+($U31:$AA31="M+")*6+($U31:$AA31="T+")*6+($U31:$AA31="D+")*12+($U31:$AA31="N+")*12+($U31:$AA31="Dm+")*12+($U31:$AA31="Dt+")*12+($U31:$AA31="Tm-")*6+($U31:$AA31="Mt-")*6)</f>
        <v/>
      </c>
      <c r="AY31" s="118">
        <f>AX31-MAX(0,IFERROR(INDEX(CADASTRO!$I$4:$I$80,MATCH($A31,CADASTRO!$A$4:$A$80,0)),$B31)-CONFIG!$B$50*(COUNTIF($U31:$AA31,"AB")+COUNTIF($U31:$AA31,"FE")+COUNTIF($U31:$AA31,"LM")))</f>
        <v/>
      </c>
      <c r="AZ31" s="117">
        <f>SUMPRODUCT(($AB31:$AH31="M")*6+($AB31:$AH31="T")*6+($AB31:$AH31="D")*12+($AB31:$AH31="N")*12+($AB31:$AH31="NT")*6+($AB31:$AH31="C")*10+($AB31:$AH31="A")*8+($AB31:$AH31="J")*5+($AB31:$AH31="CEP")*4+($AB31:$AH31="CP")*6+($AB31:$AH31="CRO")*6+($AB31:$AH31="M+")*6+($AB31:$AH31="T+")*6+($AB31:$AH31="D+")*12+($AB31:$AH31="N+")*12+($AB31:$AH31="Dm+")*12+($AB31:$AH31="Dt+")*12+($AB31:$AH31="Tm-")*6+($AB31:$AH31="Mt-")*6)</f>
        <v/>
      </c>
      <c r="BA31" s="118">
        <f>AZ31-MAX(0,IFERROR(INDEX(CADASTRO!$I$4:$I$80,MATCH($A31,CADASTRO!$A$4:$A$80,0)),$B31)-CONFIG!$B$50*(COUNTIF($AB31:$AH31,"AB")+COUNTIF($AB31:$AH31,"FE")+COUNTIF($AB31:$AH31,"LM")))</f>
        <v/>
      </c>
      <c r="BB31" s="117">
        <f>SUMPRODUCT(($AI31:$AM31="M")*6+($AI31:$AM31="T")*6+($AI31:$AM31="D")*12+($AI31:$AM31="N")*12+($AI31:$AM31="NT")*6+($AI31:$AM31="C")*10+($AI31:$AM31="A")*8+($AI31:$AM31="J")*5+($AI31:$AM31="CEP")*4+($AI31:$AM31="CP")*6+($AI31:$AM31="CRO")*6+($AI31:$AM31="M+")*6+($AI31:$AM31="T+")*6+($AI31:$AM31="D+")*12+($AI31:$AM31="N+")*12+($AI31:$AM31="Dm+")*12+($AI31:$AM31="Dt+")*12+($AI31:$AM31="Tm-")*6+($AI31:$AM31="Mt-")*6)+SUMPRODUCT(($AN31:$AO31="M")*6+($AN31:$AO31="T")*6+($AN31:$AO31="D")*12+($AN31:$AO31="N")*12+($AN31:$AO31="NT")*6+($AN31:$AO31="C")*10+($AN31:$AO31="A")*8+($AN31:$AO31="J")*5+($AN31:$AO31="CEP")*4+($AN31:$AO31="CP")*6+($AN31:$AO31="CRO")*6+($AN31:$AO31="M+")*6+($AN31:$AO31="T+")*6+($AN31:$AO31="D+")*12+($AN31:$AO31="N+")*12+($AN31:$AO31="Dm+")*12+($AN31:$AO31="Dt+")*12+($AN31:$AO31="Tm-")*6+($AN31:$AO31="Mt-")*6)</f>
        <v/>
      </c>
      <c r="BC31" s="118">
        <f>BB31-MAX(0,IFERROR(INDEX(CADASTRO!$I$4:$I$80,MATCH($A31,CADASTRO!$A$4:$A$80,0)),$B31)-CONFIG!$B$50*(COUNTIF($AI31:$AM31,"AB")+COUNTIF($AI31:$AM31,"FE")+COUNTIF($AI31:$AM31,"LM")+COUNTIF($AN31:$AO31,"AB")+COUNTIF($AN31:$AO31,"FE")+COUNTIF($AN31:$AO31,"LM")))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36">
        <f>IFERROR(INDEX(JUN!AK$8:AK$73,MATCH($A32,JUN!$A$8:$A$73,0))&amp;"","")</f>
        <v/>
      </c>
      <c r="H32" s="136">
        <f>IFERROR(INDEX(JUN!AL$8:AL$73,MATCH($A32,JUN!$A$8:$A$73,0))&amp;"","")</f>
        <v/>
      </c>
      <c r="I32" s="114" t="n"/>
      <c r="J32" s="126" t="inlineStr">
        <is>
          <t>T</t>
        </is>
      </c>
      <c r="K32" s="114" t="n"/>
      <c r="L32" s="124" t="inlineStr">
        <is>
          <t>D</t>
        </is>
      </c>
      <c r="M32" s="114" t="n"/>
      <c r="N32" s="125" t="inlineStr">
        <is>
          <t>N</t>
        </is>
      </c>
      <c r="O32" s="114" t="n"/>
      <c r="P32" s="114" t="n"/>
      <c r="Q32" s="124" t="inlineStr">
        <is>
          <t>D</t>
        </is>
      </c>
      <c r="R32" s="125" t="inlineStr">
        <is>
          <t>N</t>
        </is>
      </c>
      <c r="S32" s="114" t="n"/>
      <c r="T32" s="114" t="n"/>
      <c r="U32" s="124" t="inlineStr">
        <is>
          <t>D</t>
        </is>
      </c>
      <c r="V32" s="114" t="n"/>
      <c r="W32" s="114" t="n"/>
      <c r="X32" s="114" t="n"/>
      <c r="Y32" s="115" t="inlineStr">
        <is>
          <t>M</t>
        </is>
      </c>
      <c r="Z32" s="124" t="inlineStr">
        <is>
          <t>D</t>
        </is>
      </c>
      <c r="AA32" s="114" t="n"/>
      <c r="AB32" s="124" t="inlineStr">
        <is>
          <t>D</t>
        </is>
      </c>
      <c r="AC32" s="114" t="n"/>
      <c r="AD32" s="114" t="n"/>
      <c r="AE32" s="124" t="inlineStr">
        <is>
          <t>D</t>
        </is>
      </c>
      <c r="AF32" s="114" t="n"/>
      <c r="AG32" s="114" t="n"/>
      <c r="AH32" s="114" t="n"/>
      <c r="AI32" s="124" t="inlineStr">
        <is>
          <t>D</t>
        </is>
      </c>
      <c r="AJ32" s="114" t="n"/>
      <c r="AK32" s="114" t="n"/>
      <c r="AL32" s="114" t="n"/>
      <c r="AM32" s="126" t="inlineStr">
        <is>
          <t>T</t>
        </is>
      </c>
      <c r="AN32" s="116">
        <f>IFERROR(INDEX(AGO!I$8:I$73,MATCH($A32,AGO!$A$8:$A$73,0))&amp;"","")</f>
        <v/>
      </c>
      <c r="AO32" s="116">
        <f>IFERROR(INDEX(AGO!J$8:J$73,MATCH($A32,AGO!$A$8:$A$73,0))&amp;"","")</f>
        <v/>
      </c>
      <c r="AP32" s="100" t="n"/>
      <c r="AQ32" s="100" t="n"/>
      <c r="AR32" s="100" t="n"/>
      <c r="AS32" s="100" t="n"/>
      <c r="AT32" s="117">
        <f>SUMPRODUCT(($G32:$M32="M")*6+($G32:$M32="T")*6+($G32:$M32="D")*12+($G32:$M32="N")*12+($G32:$M32="NT")*6+($G32:$M32="C")*10+($G32:$M32="A")*8+($G32:$M32="J")*5+($G32:$M32="CEP")*4+($G32:$M32="CP")*6+($G32:$M32="CRO")*6+($G32:$M32="M+")*6+($G32:$M32="T+")*6+($G32:$M32="D+")*12+($G32:$M32="N+")*12+($G32:$M32="Dm+")*12+($G32:$M32="Dt+")*12+($G32:$M32="Tm-")*6+($G32:$M32="Mt-")*6)</f>
        <v/>
      </c>
      <c r="AU32" s="118">
        <f>AT32-MAX(0,IFERROR(INDEX(CADASTRO!$I$4:$I$80,MATCH($A32,CADASTRO!$A$4:$A$80,0)),$B32)-CONFIG!$B$50*(COUNTIF($G32:$M32,"AB")+COUNTIF($G32:$M32,"FE")+COUNTIF($G32:$M32,"LM")))</f>
        <v/>
      </c>
      <c r="AV32" s="117">
        <f>SUMPRODUCT(($N32:$T32="M")*6+($N32:$T32="T")*6+($N32:$T32="D")*12+($N32:$T32="N")*12+($N32:$T32="NT")*6+($N32:$T32="C")*10+($N32:$T32="A")*8+($N32:$T32="J")*5+($N32:$T32="CEP")*4+($N32:$T32="CP")*6+($N32:$T32="CRO")*6+($N32:$T32="M+")*6+($N32:$T32="T+")*6+($N32:$T32="D+")*12+($N32:$T32="N+")*12+($N32:$T32="Dm+")*12+($N32:$T32="Dt+")*12+($N32:$T32="Tm-")*6+($N32:$T32="Mt-")*6)</f>
        <v/>
      </c>
      <c r="AW32" s="118">
        <f>AV32-MAX(0,IFERROR(INDEX(CADASTRO!$I$4:$I$80,MATCH($A32,CADASTRO!$A$4:$A$80,0)),$B32)-CONFIG!$B$50*(COUNTIF($N32:$T32,"AB")+COUNTIF($N32:$T32,"FE")+COUNTIF($N32:$T32,"LM")))</f>
        <v/>
      </c>
      <c r="AX32" s="117">
        <f>SUMPRODUCT(($U32:$AA32="M")*6+($U32:$AA32="T")*6+($U32:$AA32="D")*12+($U32:$AA32="N")*12+($U32:$AA32="NT")*6+($U32:$AA32="C")*10+($U32:$AA32="A")*8+($U32:$AA32="J")*5+($U32:$AA32="CEP")*4+($U32:$AA32="CP")*6+($U32:$AA32="CRO")*6+($U32:$AA32="M+")*6+($U32:$AA32="T+")*6+($U32:$AA32="D+")*12+($U32:$AA32="N+")*12+($U32:$AA32="Dm+")*12+($U32:$AA32="Dt+")*12+($U32:$AA32="Tm-")*6+($U32:$AA32="Mt-")*6)</f>
        <v/>
      </c>
      <c r="AY32" s="118">
        <f>AX32-MAX(0,IFERROR(INDEX(CADASTRO!$I$4:$I$80,MATCH($A32,CADASTRO!$A$4:$A$80,0)),$B32)-CONFIG!$B$50*(COUNTIF($U32:$AA32,"AB")+COUNTIF($U32:$AA32,"FE")+COUNTIF($U32:$AA32,"LM")))</f>
        <v/>
      </c>
      <c r="AZ32" s="117">
        <f>SUMPRODUCT(($AB32:$AH32="M")*6+($AB32:$AH32="T")*6+($AB32:$AH32="D")*12+($AB32:$AH32="N")*12+($AB32:$AH32="NT")*6+($AB32:$AH32="C")*10+($AB32:$AH32="A")*8+($AB32:$AH32="J")*5+($AB32:$AH32="CEP")*4+($AB32:$AH32="CP")*6+($AB32:$AH32="CRO")*6+($AB32:$AH32="M+")*6+($AB32:$AH32="T+")*6+($AB32:$AH32="D+")*12+($AB32:$AH32="N+")*12+($AB32:$AH32="Dm+")*12+($AB32:$AH32="Dt+")*12+($AB32:$AH32="Tm-")*6+($AB32:$AH32="Mt-")*6)</f>
        <v/>
      </c>
      <c r="BA32" s="118">
        <f>AZ32-MAX(0,IFERROR(INDEX(CADASTRO!$I$4:$I$80,MATCH($A32,CADASTRO!$A$4:$A$80,0)),$B32)-CONFIG!$B$50*(COUNTIF($AB32:$AH32,"AB")+COUNTIF($AB32:$AH32,"FE")+COUNTIF($AB32:$AH32,"LM")))</f>
        <v/>
      </c>
      <c r="BB32" s="117">
        <f>SUMPRODUCT(($AI32:$AM32="M")*6+($AI32:$AM32="T")*6+($AI32:$AM32="D")*12+($AI32:$AM32="N")*12+($AI32:$AM32="NT")*6+($AI32:$AM32="C")*10+($AI32:$AM32="A")*8+($AI32:$AM32="J")*5+($AI32:$AM32="CEP")*4+($AI32:$AM32="CP")*6+($AI32:$AM32="CRO")*6+($AI32:$AM32="M+")*6+($AI32:$AM32="T+")*6+($AI32:$AM32="D+")*12+($AI32:$AM32="N+")*12+($AI32:$AM32="Dm+")*12+($AI32:$AM32="Dt+")*12+($AI32:$AM32="Tm-")*6+($AI32:$AM32="Mt-")*6)+SUMPRODUCT(($AN32:$AO32="M")*6+($AN32:$AO32="T")*6+($AN32:$AO32="D")*12+($AN32:$AO32="N")*12+($AN32:$AO32="NT")*6+($AN32:$AO32="C")*10+($AN32:$AO32="A")*8+($AN32:$AO32="J")*5+($AN32:$AO32="CEP")*4+($AN32:$AO32="CP")*6+($AN32:$AO32="CRO")*6+($AN32:$AO32="M+")*6+($AN32:$AO32="T+")*6+($AN32:$AO32="D+")*12+($AN32:$AO32="N+")*12+($AN32:$AO32="Dm+")*12+($AN32:$AO32="Dt+")*12+($AN32:$AO32="Tm-")*6+($AN32:$AO32="Mt-")*6)</f>
        <v/>
      </c>
      <c r="BC32" s="118">
        <f>BB32-MAX(0,IFERROR(INDEX(CADASTRO!$I$4:$I$80,MATCH($A32,CADASTRO!$A$4:$A$80,0)),$B32)-CONFIG!$B$50*(COUNTIF($AI32:$AM32,"AB")+COUNTIF($AI32:$AM32,"FE")+COUNTIF($AI32:$AM32,"LM")+COUNTIF($AN32:$AO32,"AB")+COUNTIF($AN32:$AO32,"FE")+COUNTIF($AN32:$AO32,"LM")))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36">
        <f>IFERROR(INDEX(JUN!AK$8:AK$73,MATCH($A33,JUN!$A$8:$A$73,0))&amp;"","")</f>
        <v/>
      </c>
      <c r="H33" s="136">
        <f>IFERROR(INDEX(JUN!AL$8:AL$73,MATCH($A33,JUN!$A$8:$A$73,0))&amp;"","")</f>
        <v/>
      </c>
      <c r="I33" s="138" t="inlineStr">
        <is>
          <t>LM</t>
        </is>
      </c>
      <c r="J33" s="138" t="inlineStr">
        <is>
          <t>LM</t>
        </is>
      </c>
      <c r="K33" s="138" t="inlineStr">
        <is>
          <t>LM</t>
        </is>
      </c>
      <c r="L33" s="138" t="inlineStr">
        <is>
          <t>LM</t>
        </is>
      </c>
      <c r="M33" s="138" t="inlineStr">
        <is>
          <t>LM</t>
        </is>
      </c>
      <c r="N33" s="115" t="inlineStr">
        <is>
          <t>M</t>
        </is>
      </c>
      <c r="O33" s="114" t="n"/>
      <c r="P33" s="114" t="n"/>
      <c r="Q33" s="114" t="n"/>
      <c r="R33" s="114" t="n"/>
      <c r="S33" s="124" t="inlineStr">
        <is>
          <t>D</t>
        </is>
      </c>
      <c r="T33" s="124" t="inlineStr">
        <is>
          <t>D</t>
        </is>
      </c>
      <c r="U33" s="124" t="inlineStr">
        <is>
          <t>D</t>
        </is>
      </c>
      <c r="V33" s="114" t="n"/>
      <c r="W33" s="125" t="inlineStr">
        <is>
          <t>N</t>
        </is>
      </c>
      <c r="X33" s="114" t="n"/>
      <c r="Y33" s="114" t="n"/>
      <c r="Z33" s="115" t="inlineStr">
        <is>
          <t>M</t>
        </is>
      </c>
      <c r="AA33" s="114" t="n"/>
      <c r="AB33" s="124" t="inlineStr">
        <is>
          <t>D</t>
        </is>
      </c>
      <c r="AC33" s="114" t="n"/>
      <c r="AD33" s="126" t="inlineStr">
        <is>
          <t>T</t>
        </is>
      </c>
      <c r="AE33" s="114" t="n"/>
      <c r="AF33" s="125" t="inlineStr">
        <is>
          <t>N</t>
        </is>
      </c>
      <c r="AG33" s="114" t="n"/>
      <c r="AH33" s="114" t="n"/>
      <c r="AI33" s="126" t="inlineStr">
        <is>
          <t>T</t>
        </is>
      </c>
      <c r="AJ33" s="114" t="n"/>
      <c r="AK33" s="124" t="inlineStr">
        <is>
          <t>D</t>
        </is>
      </c>
      <c r="AL33" s="114" t="n"/>
      <c r="AM33" s="124" t="inlineStr">
        <is>
          <t>D</t>
        </is>
      </c>
      <c r="AN33" s="116">
        <f>IFERROR(INDEX(AGO!I$8:I$73,MATCH($A33,AGO!$A$8:$A$73,0))&amp;"","")</f>
        <v/>
      </c>
      <c r="AO33" s="116">
        <f>IFERROR(INDEX(AGO!J$8:J$73,MATCH($A33,AGO!$A$8:$A$73,0))&amp;"","")</f>
        <v/>
      </c>
      <c r="AP33" s="100" t="n"/>
      <c r="AQ33" s="100" t="n"/>
      <c r="AR33" s="100" t="n"/>
      <c r="AS33" s="100" t="n"/>
      <c r="AT33" s="117">
        <f>SUMPRODUCT(($G33:$M33="M")*6+($G33:$M33="T")*6+($G33:$M33="D")*12+($G33:$M33="N")*12+($G33:$M33="NT")*6+($G33:$M33="C")*10+($G33:$M33="A")*8+($G33:$M33="J")*5+($G33:$M33="CEP")*4+($G33:$M33="CP")*6+($G33:$M33="CRO")*6+($G33:$M33="M+")*6+($G33:$M33="T+")*6+($G33:$M33="D+")*12+($G33:$M33="N+")*12+($G33:$M33="Dm+")*12+($G33:$M33="Dt+")*12+($G33:$M33="Tm-")*6+($G33:$M33="Mt-")*6)</f>
        <v/>
      </c>
      <c r="AU33" s="118">
        <f>AT33-MAX(0,IFERROR(INDEX(CADASTRO!$I$4:$I$80,MATCH($A33,CADASTRO!$A$4:$A$80,0)),$B33)-CONFIG!$B$50*(COUNTIF($G33:$M33,"AB")+COUNTIF($G33:$M33,"FE")+COUNTIF($G33:$M33,"LM")))</f>
        <v/>
      </c>
      <c r="AV33" s="117">
        <f>SUMPRODUCT(($N33:$T33="M")*6+($N33:$T33="T")*6+($N33:$T33="D")*12+($N33:$T33="N")*12+($N33:$T33="NT")*6+($N33:$T33="C")*10+($N33:$T33="A")*8+($N33:$T33="J")*5+($N33:$T33="CEP")*4+($N33:$T33="CP")*6+($N33:$T33="CRO")*6+($N33:$T33="M+")*6+($N33:$T33="T+")*6+($N33:$T33="D+")*12+($N33:$T33="N+")*12+($N33:$T33="Dm+")*12+($N33:$T33="Dt+")*12+($N33:$T33="Tm-")*6+($N33:$T33="Mt-")*6)</f>
        <v/>
      </c>
      <c r="AW33" s="118">
        <f>AV33-MAX(0,IFERROR(INDEX(CADASTRO!$I$4:$I$80,MATCH($A33,CADASTRO!$A$4:$A$80,0)),$B33)-CONFIG!$B$50*(COUNTIF($N33:$T33,"AB")+COUNTIF($N33:$T33,"FE")+COUNTIF($N33:$T33,"LM")))</f>
        <v/>
      </c>
      <c r="AX33" s="117">
        <f>SUMPRODUCT(($U33:$AA33="M")*6+($U33:$AA33="T")*6+($U33:$AA33="D")*12+($U33:$AA33="N")*12+($U33:$AA33="NT")*6+($U33:$AA33="C")*10+($U33:$AA33="A")*8+($U33:$AA33="J")*5+($U33:$AA33="CEP")*4+($U33:$AA33="CP")*6+($U33:$AA33="CRO")*6+($U33:$AA33="M+")*6+($U33:$AA33="T+")*6+($U33:$AA33="D+")*12+($U33:$AA33="N+")*12+($U33:$AA33="Dm+")*12+($U33:$AA33="Dt+")*12+($U33:$AA33="Tm-")*6+($U33:$AA33="Mt-")*6)</f>
        <v/>
      </c>
      <c r="AY33" s="118">
        <f>AX33-MAX(0,IFERROR(INDEX(CADASTRO!$I$4:$I$80,MATCH($A33,CADASTRO!$A$4:$A$80,0)),$B33)-CONFIG!$B$50*(COUNTIF($U33:$AA33,"AB")+COUNTIF($U33:$AA33,"FE")+COUNTIF($U33:$AA33,"LM")))</f>
        <v/>
      </c>
      <c r="AZ33" s="117">
        <f>SUMPRODUCT(($AB33:$AH33="M")*6+($AB33:$AH33="T")*6+($AB33:$AH33="D")*12+($AB33:$AH33="N")*12+($AB33:$AH33="NT")*6+($AB33:$AH33="C")*10+($AB33:$AH33="A")*8+($AB33:$AH33="J")*5+($AB33:$AH33="CEP")*4+($AB33:$AH33="CP")*6+($AB33:$AH33="CRO")*6+($AB33:$AH33="M+")*6+($AB33:$AH33="T+")*6+($AB33:$AH33="D+")*12+($AB33:$AH33="N+")*12+($AB33:$AH33="Dm+")*12+($AB33:$AH33="Dt+")*12+($AB33:$AH33="Tm-")*6+($AB33:$AH33="Mt-")*6)</f>
        <v/>
      </c>
      <c r="BA33" s="118">
        <f>AZ33-MAX(0,IFERROR(INDEX(CADASTRO!$I$4:$I$80,MATCH($A33,CADASTRO!$A$4:$A$80,0)),$B33)-CONFIG!$B$50*(COUNTIF($AB33:$AH33,"AB")+COUNTIF($AB33:$AH33,"FE")+COUNTIF($AB33:$AH33,"LM")))</f>
        <v/>
      </c>
      <c r="BB33" s="117">
        <f>SUMPRODUCT(($AI33:$AM33="M")*6+($AI33:$AM33="T")*6+($AI33:$AM33="D")*12+($AI33:$AM33="N")*12+($AI33:$AM33="NT")*6+($AI33:$AM33="C")*10+($AI33:$AM33="A")*8+($AI33:$AM33="J")*5+($AI33:$AM33="CEP")*4+($AI33:$AM33="CP")*6+($AI33:$AM33="CRO")*6+($AI33:$AM33="M+")*6+($AI33:$AM33="T+")*6+($AI33:$AM33="D+")*12+($AI33:$AM33="N+")*12+($AI33:$AM33="Dm+")*12+($AI33:$AM33="Dt+")*12+($AI33:$AM33="Tm-")*6+($AI33:$AM33="Mt-")*6)+SUMPRODUCT(($AN33:$AO33="M")*6+($AN33:$AO33="T")*6+($AN33:$AO33="D")*12+($AN33:$AO33="N")*12+($AN33:$AO33="NT")*6+($AN33:$AO33="C")*10+($AN33:$AO33="A")*8+($AN33:$AO33="J")*5+($AN33:$AO33="CEP")*4+($AN33:$AO33="CP")*6+($AN33:$AO33="CRO")*6+($AN33:$AO33="M+")*6+($AN33:$AO33="T+")*6+($AN33:$AO33="D+")*12+($AN33:$AO33="N+")*12+($AN33:$AO33="Dm+")*12+($AN33:$AO33="Dt+")*12+($AN33:$AO33="Tm-")*6+($AN33:$AO33="Mt-")*6)</f>
        <v/>
      </c>
      <c r="BC33" s="118">
        <f>BB33-MAX(0,IFERROR(INDEX(CADASTRO!$I$4:$I$80,MATCH($A33,CADASTRO!$A$4:$A$80,0)),$B33)-CONFIG!$B$50*(COUNTIF($AI33:$AM33,"AB")+COUNTIF($AI33:$AM33,"FE")+COUNTIF($AI33:$AM33,"LM")+COUNTIF($AN33:$AO33,"AB")+COUNTIF($AN33:$AO33,"FE")+COUNTIF($AN33:$AO33,"LM")))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36">
        <f>IFERROR(INDEX(JUN!AK$8:AK$73,MATCH($A34,JUN!$A$8:$A$73,0))&amp;"","")</f>
        <v/>
      </c>
      <c r="H34" s="136">
        <f>IFERROR(INDEX(JUN!AL$8:AL$73,MATCH($A34,JUN!$A$8:$A$73,0))&amp;"","")</f>
        <v/>
      </c>
      <c r="I34" s="115" t="inlineStr">
        <is>
          <t>M</t>
        </is>
      </c>
      <c r="J34" s="114" t="n"/>
      <c r="K34" s="125" t="inlineStr">
        <is>
          <t>N</t>
        </is>
      </c>
      <c r="L34" s="114" t="n"/>
      <c r="M34" s="114" t="n"/>
      <c r="N34" s="114" t="n"/>
      <c r="O34" s="115" t="inlineStr">
        <is>
          <t>M</t>
        </is>
      </c>
      <c r="P34" s="124" t="inlineStr">
        <is>
          <t>D</t>
        </is>
      </c>
      <c r="Q34" s="114" t="n"/>
      <c r="R34" s="114" t="n"/>
      <c r="S34" s="124" t="inlineStr">
        <is>
          <t>D</t>
        </is>
      </c>
      <c r="T34" s="114" t="n"/>
      <c r="U34" s="114" t="n"/>
      <c r="V34" s="126" t="inlineStr">
        <is>
          <t>T</t>
        </is>
      </c>
      <c r="W34" s="124" t="inlineStr">
        <is>
          <t>D</t>
        </is>
      </c>
      <c r="X34" s="126" t="inlineStr">
        <is>
          <t>T</t>
        </is>
      </c>
      <c r="Y34" s="114" t="n"/>
      <c r="Z34" s="115" t="inlineStr">
        <is>
          <t>M</t>
        </is>
      </c>
      <c r="AA34" s="114" t="n"/>
      <c r="AB34" s="114" t="n"/>
      <c r="AC34" s="115" t="inlineStr">
        <is>
          <t>M</t>
        </is>
      </c>
      <c r="AD34" s="124" t="inlineStr">
        <is>
          <t>D</t>
        </is>
      </c>
      <c r="AE34" s="114" t="n"/>
      <c r="AF34" s="114" t="n"/>
      <c r="AG34" s="124" t="inlineStr">
        <is>
          <t>D</t>
        </is>
      </c>
      <c r="AH34" s="114" t="n"/>
      <c r="AI34" s="114" t="n"/>
      <c r="AJ34" s="124" t="inlineStr">
        <is>
          <t>D</t>
        </is>
      </c>
      <c r="AK34" s="115" t="inlineStr">
        <is>
          <t>M</t>
        </is>
      </c>
      <c r="AL34" s="124" t="inlineStr">
        <is>
          <t>D</t>
        </is>
      </c>
      <c r="AM34" s="114" t="n"/>
      <c r="AN34" s="116">
        <f>IFERROR(INDEX(AGO!I$8:I$73,MATCH($A34,AGO!$A$8:$A$73,0))&amp;"","")</f>
        <v/>
      </c>
      <c r="AO34" s="116">
        <f>IFERROR(INDEX(AGO!J$8:J$73,MATCH($A34,AGO!$A$8:$A$73,0))&amp;"","")</f>
        <v/>
      </c>
      <c r="AP34" s="100" t="n"/>
      <c r="AQ34" s="100" t="n"/>
      <c r="AR34" s="100" t="n"/>
      <c r="AS34" s="100" t="n"/>
      <c r="AT34" s="117">
        <f>SUMPRODUCT(($G34:$M34="M")*6+($G34:$M34="T")*6+($G34:$M34="D")*12+($G34:$M34="N")*12+($G34:$M34="NT")*6+($G34:$M34="C")*10+($G34:$M34="A")*8+($G34:$M34="J")*5+($G34:$M34="CEP")*4+($G34:$M34="CP")*6+($G34:$M34="CRO")*6+($G34:$M34="M+")*6+($G34:$M34="T+")*6+($G34:$M34="D+")*12+($G34:$M34="N+")*12+($G34:$M34="Dm+")*12+($G34:$M34="Dt+")*12+($G34:$M34="Tm-")*6+($G34:$M34="Mt-")*6)</f>
        <v/>
      </c>
      <c r="AU34" s="118">
        <f>AT34-MAX(0,IFERROR(INDEX(CADASTRO!$I$4:$I$80,MATCH($A34,CADASTRO!$A$4:$A$80,0)),$B34)-CONFIG!$B$50*(COUNTIF($G34:$M34,"AB")+COUNTIF($G34:$M34,"FE")+COUNTIF($G34:$M34,"LM")))</f>
        <v/>
      </c>
      <c r="AV34" s="117">
        <f>SUMPRODUCT(($N34:$T34="M")*6+($N34:$T34="T")*6+($N34:$T34="D")*12+($N34:$T34="N")*12+($N34:$T34="NT")*6+($N34:$T34="C")*10+($N34:$T34="A")*8+($N34:$T34="J")*5+($N34:$T34="CEP")*4+($N34:$T34="CP")*6+($N34:$T34="CRO")*6+($N34:$T34="M+")*6+($N34:$T34="T+")*6+($N34:$T34="D+")*12+($N34:$T34="N+")*12+($N34:$T34="Dm+")*12+($N34:$T34="Dt+")*12+($N34:$T34="Tm-")*6+($N34:$T34="Mt-")*6)</f>
        <v/>
      </c>
      <c r="AW34" s="118">
        <f>AV34-MAX(0,IFERROR(INDEX(CADASTRO!$I$4:$I$80,MATCH($A34,CADASTRO!$A$4:$A$80,0)),$B34)-CONFIG!$B$50*(COUNTIF($N34:$T34,"AB")+COUNTIF($N34:$T34,"FE")+COUNTIF($N34:$T34,"LM")))</f>
        <v/>
      </c>
      <c r="AX34" s="117">
        <f>SUMPRODUCT(($U34:$AA34="M")*6+($U34:$AA34="T")*6+($U34:$AA34="D")*12+($U34:$AA34="N")*12+($U34:$AA34="NT")*6+($U34:$AA34="C")*10+($U34:$AA34="A")*8+($U34:$AA34="J")*5+($U34:$AA34="CEP")*4+($U34:$AA34="CP")*6+($U34:$AA34="CRO")*6+($U34:$AA34="M+")*6+($U34:$AA34="T+")*6+($U34:$AA34="D+")*12+($U34:$AA34="N+")*12+($U34:$AA34="Dm+")*12+($U34:$AA34="Dt+")*12+($U34:$AA34="Tm-")*6+($U34:$AA34="Mt-")*6)</f>
        <v/>
      </c>
      <c r="AY34" s="118">
        <f>AX34-MAX(0,IFERROR(INDEX(CADASTRO!$I$4:$I$80,MATCH($A34,CADASTRO!$A$4:$A$80,0)),$B34)-CONFIG!$B$50*(COUNTIF($U34:$AA34,"AB")+COUNTIF($U34:$AA34,"FE")+COUNTIF($U34:$AA34,"LM")))</f>
        <v/>
      </c>
      <c r="AZ34" s="117">
        <f>SUMPRODUCT(($AB34:$AH34="M")*6+($AB34:$AH34="T")*6+($AB34:$AH34="D")*12+($AB34:$AH34="N")*12+($AB34:$AH34="NT")*6+($AB34:$AH34="C")*10+($AB34:$AH34="A")*8+($AB34:$AH34="J")*5+($AB34:$AH34="CEP")*4+($AB34:$AH34="CP")*6+($AB34:$AH34="CRO")*6+($AB34:$AH34="M+")*6+($AB34:$AH34="T+")*6+($AB34:$AH34="D+")*12+($AB34:$AH34="N+")*12+($AB34:$AH34="Dm+")*12+($AB34:$AH34="Dt+")*12+($AB34:$AH34="Tm-")*6+($AB34:$AH34="Mt-")*6)</f>
        <v/>
      </c>
      <c r="BA34" s="118">
        <f>AZ34-MAX(0,IFERROR(INDEX(CADASTRO!$I$4:$I$80,MATCH($A34,CADASTRO!$A$4:$A$80,0)),$B34)-CONFIG!$B$50*(COUNTIF($AB34:$AH34,"AB")+COUNTIF($AB34:$AH34,"FE")+COUNTIF($AB34:$AH34,"LM")))</f>
        <v/>
      </c>
      <c r="BB34" s="117">
        <f>SUMPRODUCT(($AI34:$AM34="M")*6+($AI34:$AM34="T")*6+($AI34:$AM34="D")*12+($AI34:$AM34="N")*12+($AI34:$AM34="NT")*6+($AI34:$AM34="C")*10+($AI34:$AM34="A")*8+($AI34:$AM34="J")*5+($AI34:$AM34="CEP")*4+($AI34:$AM34="CP")*6+($AI34:$AM34="CRO")*6+($AI34:$AM34="M+")*6+($AI34:$AM34="T+")*6+($AI34:$AM34="D+")*12+($AI34:$AM34="N+")*12+($AI34:$AM34="Dm+")*12+($AI34:$AM34="Dt+")*12+($AI34:$AM34="Tm-")*6+($AI34:$AM34="Mt-")*6)+SUMPRODUCT(($AN34:$AO34="M")*6+($AN34:$AO34="T")*6+($AN34:$AO34="D")*12+($AN34:$AO34="N")*12+($AN34:$AO34="NT")*6+($AN34:$AO34="C")*10+($AN34:$AO34="A")*8+($AN34:$AO34="J")*5+($AN34:$AO34="CEP")*4+($AN34:$AO34="CP")*6+($AN34:$AO34="CRO")*6+($AN34:$AO34="M+")*6+($AN34:$AO34="T+")*6+($AN34:$AO34="D+")*12+($AN34:$AO34="N+")*12+($AN34:$AO34="Dm+")*12+($AN34:$AO34="Dt+")*12+($AN34:$AO34="Tm-")*6+($AN34:$AO34="Mt-")*6)</f>
        <v/>
      </c>
      <c r="BC34" s="118">
        <f>BB34-MAX(0,IFERROR(INDEX(CADASTRO!$I$4:$I$80,MATCH($A34,CADASTRO!$A$4:$A$80,0)),$B34)-CONFIG!$B$50*(COUNTIF($AI34:$AM34,"AB")+COUNTIF($AI34:$AM34,"FE")+COUNTIF($AI34:$AM34,"LM")+COUNTIF($AN34:$AO34,"AB")+COUNTIF($AN34:$AO34,"FE")+COUNTIF($AN34:$AO34,"LM")))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36">
        <f>IFERROR(INDEX(JUN!AK$8:AK$73,MATCH($A35,JUN!$A$8:$A$73,0))&amp;"","")</f>
        <v/>
      </c>
      <c r="H35" s="136">
        <f>IFERROR(INDEX(JUN!AL$8:AL$73,MATCH($A35,JUN!$A$8:$A$73,0))&amp;"","")</f>
        <v/>
      </c>
      <c r="I35" s="126" t="inlineStr">
        <is>
          <t>T</t>
        </is>
      </c>
      <c r="J35" s="124" t="inlineStr">
        <is>
          <t>D</t>
        </is>
      </c>
      <c r="K35" s="114" t="n"/>
      <c r="L35" s="114" t="n"/>
      <c r="M35" s="115" t="inlineStr">
        <is>
          <t>M</t>
        </is>
      </c>
      <c r="N35" s="125" t="inlineStr">
        <is>
          <t>N</t>
        </is>
      </c>
      <c r="O35" s="114" t="n"/>
      <c r="P35" s="114" t="n"/>
      <c r="Q35" s="114" t="n"/>
      <c r="R35" s="125" t="inlineStr">
        <is>
          <t>N</t>
        </is>
      </c>
      <c r="S35" s="114" t="n"/>
      <c r="T35" s="115" t="inlineStr">
        <is>
          <t>M</t>
        </is>
      </c>
      <c r="U35" s="125" t="inlineStr">
        <is>
          <t>N</t>
        </is>
      </c>
      <c r="V35" s="114" t="n"/>
      <c r="W35" s="124" t="inlineStr">
        <is>
          <t>D</t>
        </is>
      </c>
      <c r="X35" s="126" t="inlineStr">
        <is>
          <t>T</t>
        </is>
      </c>
      <c r="Y35" s="114" t="n"/>
      <c r="Z35" s="114" t="n"/>
      <c r="AA35" s="114" t="n"/>
      <c r="AB35" s="114" t="n"/>
      <c r="AC35" s="114" t="n"/>
      <c r="AD35" s="126" t="inlineStr">
        <is>
          <t>T</t>
        </is>
      </c>
      <c r="AE35" s="125" t="inlineStr">
        <is>
          <t>N</t>
        </is>
      </c>
      <c r="AF35" s="125" t="inlineStr">
        <is>
          <t>N</t>
        </is>
      </c>
      <c r="AG35" s="114" t="n"/>
      <c r="AH35" s="114" t="n"/>
      <c r="AI35" s="114" t="n"/>
      <c r="AJ35" s="114" t="n"/>
      <c r="AK35" s="124" t="inlineStr">
        <is>
          <t>D</t>
        </is>
      </c>
      <c r="AL35" s="126" t="inlineStr">
        <is>
          <t>T</t>
        </is>
      </c>
      <c r="AM35" s="114" t="n"/>
      <c r="AN35" s="116">
        <f>IFERROR(INDEX(AGO!I$8:I$73,MATCH($A35,AGO!$A$8:$A$73,0))&amp;"","")</f>
        <v/>
      </c>
      <c r="AO35" s="116">
        <f>IFERROR(INDEX(AGO!J$8:J$73,MATCH($A35,AGO!$A$8:$A$73,0))&amp;"","")</f>
        <v/>
      </c>
      <c r="AP35" s="100" t="n"/>
      <c r="AQ35" s="100" t="n"/>
      <c r="AR35" s="100" t="n"/>
      <c r="AS35" s="100" t="n"/>
      <c r="AT35" s="117">
        <f>SUMPRODUCT(($G35:$M35="M")*6+($G35:$M35="T")*6+($G35:$M35="D")*12+($G35:$M35="N")*12+($G35:$M35="NT")*6+($G35:$M35="C")*10+($G35:$M35="A")*8+($G35:$M35="J")*5+($G35:$M35="CEP")*4+($G35:$M35="CP")*6+($G35:$M35="CRO")*6+($G35:$M35="M+")*6+($G35:$M35="T+")*6+($G35:$M35="D+")*12+($G35:$M35="N+")*12+($G35:$M35="Dm+")*12+($G35:$M35="Dt+")*12+($G35:$M35="Tm-")*6+($G35:$M35="Mt-")*6)</f>
        <v/>
      </c>
      <c r="AU35" s="118">
        <f>AT35-MAX(0,IFERROR(INDEX(CADASTRO!$I$4:$I$80,MATCH($A35,CADASTRO!$A$4:$A$80,0)),$B35)-CONFIG!$B$50*(COUNTIF($G35:$M35,"AB")+COUNTIF($G35:$M35,"FE")+COUNTIF($G35:$M35,"LM")))</f>
        <v/>
      </c>
      <c r="AV35" s="117">
        <f>SUMPRODUCT(($N35:$T35="M")*6+($N35:$T35="T")*6+($N35:$T35="D")*12+($N35:$T35="N")*12+($N35:$T35="NT")*6+($N35:$T35="C")*10+($N35:$T35="A")*8+($N35:$T35="J")*5+($N35:$T35="CEP")*4+($N35:$T35="CP")*6+($N35:$T35="CRO")*6+($N35:$T35="M+")*6+($N35:$T35="T+")*6+($N35:$T35="D+")*12+($N35:$T35="N+")*12+($N35:$T35="Dm+")*12+($N35:$T35="Dt+")*12+($N35:$T35="Tm-")*6+($N35:$T35="Mt-")*6)</f>
        <v/>
      </c>
      <c r="AW35" s="118">
        <f>AV35-MAX(0,IFERROR(INDEX(CADASTRO!$I$4:$I$80,MATCH($A35,CADASTRO!$A$4:$A$80,0)),$B35)-CONFIG!$B$50*(COUNTIF($N35:$T35,"AB")+COUNTIF($N35:$T35,"FE")+COUNTIF($N35:$T35,"LM")))</f>
        <v/>
      </c>
      <c r="AX35" s="117">
        <f>SUMPRODUCT(($U35:$AA35="M")*6+($U35:$AA35="T")*6+($U35:$AA35="D")*12+($U35:$AA35="N")*12+($U35:$AA35="NT")*6+($U35:$AA35="C")*10+($U35:$AA35="A")*8+($U35:$AA35="J")*5+($U35:$AA35="CEP")*4+($U35:$AA35="CP")*6+($U35:$AA35="CRO")*6+($U35:$AA35="M+")*6+($U35:$AA35="T+")*6+($U35:$AA35="D+")*12+($U35:$AA35="N+")*12+($U35:$AA35="Dm+")*12+($U35:$AA35="Dt+")*12+($U35:$AA35="Tm-")*6+($U35:$AA35="Mt-")*6)</f>
        <v/>
      </c>
      <c r="AY35" s="118">
        <f>AX35-MAX(0,IFERROR(INDEX(CADASTRO!$I$4:$I$80,MATCH($A35,CADASTRO!$A$4:$A$80,0)),$B35)-CONFIG!$B$50*(COUNTIF($U35:$AA35,"AB")+COUNTIF($U35:$AA35,"FE")+COUNTIF($U35:$AA35,"LM")))</f>
        <v/>
      </c>
      <c r="AZ35" s="117">
        <f>SUMPRODUCT(($AB35:$AH35="M")*6+($AB35:$AH35="T")*6+($AB35:$AH35="D")*12+($AB35:$AH35="N")*12+($AB35:$AH35="NT")*6+($AB35:$AH35="C")*10+($AB35:$AH35="A")*8+($AB35:$AH35="J")*5+($AB35:$AH35="CEP")*4+($AB35:$AH35="CP")*6+($AB35:$AH35="CRO")*6+($AB35:$AH35="M+")*6+($AB35:$AH35="T+")*6+($AB35:$AH35="D+")*12+($AB35:$AH35="N+")*12+($AB35:$AH35="Dm+")*12+($AB35:$AH35="Dt+")*12+($AB35:$AH35="Tm-")*6+($AB35:$AH35="Mt-")*6)</f>
        <v/>
      </c>
      <c r="BA35" s="118">
        <f>AZ35-MAX(0,IFERROR(INDEX(CADASTRO!$I$4:$I$80,MATCH($A35,CADASTRO!$A$4:$A$80,0)),$B35)-CONFIG!$B$50*(COUNTIF($AB35:$AH35,"AB")+COUNTIF($AB35:$AH35,"FE")+COUNTIF($AB35:$AH35,"LM")))</f>
        <v/>
      </c>
      <c r="BB35" s="117">
        <f>SUMPRODUCT(($AI35:$AM35="M")*6+($AI35:$AM35="T")*6+($AI35:$AM35="D")*12+($AI35:$AM35="N")*12+($AI35:$AM35="NT")*6+($AI35:$AM35="C")*10+($AI35:$AM35="A")*8+($AI35:$AM35="J")*5+($AI35:$AM35="CEP")*4+($AI35:$AM35="CP")*6+($AI35:$AM35="CRO")*6+($AI35:$AM35="M+")*6+($AI35:$AM35="T+")*6+($AI35:$AM35="D+")*12+($AI35:$AM35="N+")*12+($AI35:$AM35="Dm+")*12+($AI35:$AM35="Dt+")*12+($AI35:$AM35="Tm-")*6+($AI35:$AM35="Mt-")*6)+SUMPRODUCT(($AN35:$AO35="M")*6+($AN35:$AO35="T")*6+($AN35:$AO35="D")*12+($AN35:$AO35="N")*12+($AN35:$AO35="NT")*6+($AN35:$AO35="C")*10+($AN35:$AO35="A")*8+($AN35:$AO35="J")*5+($AN35:$AO35="CEP")*4+($AN35:$AO35="CP")*6+($AN35:$AO35="CRO")*6+($AN35:$AO35="M+")*6+($AN35:$AO35="T+")*6+($AN35:$AO35="D+")*12+($AN35:$AO35="N+")*12+($AN35:$AO35="Dm+")*12+($AN35:$AO35="Dt+")*12+($AN35:$AO35="Tm-")*6+($AN35:$AO35="Mt-")*6)</f>
        <v/>
      </c>
      <c r="BC35" s="118">
        <f>BB35-MAX(0,IFERROR(INDEX(CADASTRO!$I$4:$I$80,MATCH($A35,CADASTRO!$A$4:$A$80,0)),$B35)-CONFIG!$B$50*(COUNTIF($AI35:$AM35,"AB")+COUNTIF($AI35:$AM35,"FE")+COUNTIF($AI35:$AM35,"LM")+COUNTIF($AN35:$AO35,"AB")+COUNTIF($AN35:$AO35,"FE")+COUNTIF($AN35:$AO35,"LM")))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36">
        <f>IFERROR(INDEX(JUN!AK$8:AK$73,MATCH($A36,JUN!$A$8:$A$73,0))&amp;"","")</f>
        <v/>
      </c>
      <c r="H36" s="136">
        <f>IFERROR(INDEX(JUN!AL$8:AL$73,MATCH($A36,JUN!$A$8:$A$73,0))&amp;"","")</f>
        <v/>
      </c>
      <c r="I36" s="114" t="n"/>
      <c r="J36" s="114" t="n"/>
      <c r="K36" s="126" t="inlineStr">
        <is>
          <t>T</t>
        </is>
      </c>
      <c r="L36" s="114" t="n"/>
      <c r="M36" s="124" t="inlineStr">
        <is>
          <t>D</t>
        </is>
      </c>
      <c r="N36" s="114" t="n"/>
      <c r="O36" s="125" t="inlineStr">
        <is>
          <t>N</t>
        </is>
      </c>
      <c r="P36" s="114" t="n"/>
      <c r="Q36" s="124" t="inlineStr">
        <is>
          <t>D</t>
        </is>
      </c>
      <c r="R36" s="124" t="inlineStr">
        <is>
          <t>D</t>
        </is>
      </c>
      <c r="S36" s="114" t="n"/>
      <c r="T36" s="114" t="n"/>
      <c r="U36" s="114" t="n"/>
      <c r="V36" s="125" t="inlineStr">
        <is>
          <t>N</t>
        </is>
      </c>
      <c r="W36" s="114" t="n"/>
      <c r="X36" s="114" t="n"/>
      <c r="Y36" s="124" t="inlineStr">
        <is>
          <t>D</t>
        </is>
      </c>
      <c r="Z36" s="114" t="n"/>
      <c r="AA36" s="124" t="inlineStr">
        <is>
          <t>D</t>
        </is>
      </c>
      <c r="AB36" s="114" t="n"/>
      <c r="AC36" s="125" t="inlineStr">
        <is>
          <t>N</t>
        </is>
      </c>
      <c r="AD36" s="114" t="n"/>
      <c r="AE36" s="124" t="inlineStr">
        <is>
          <t>D</t>
        </is>
      </c>
      <c r="AF36" s="114" t="n"/>
      <c r="AG36" s="125" t="inlineStr">
        <is>
          <t>N</t>
        </is>
      </c>
      <c r="AH36" s="114" t="n"/>
      <c r="AI36" s="114" t="n"/>
      <c r="AJ36" s="125" t="inlineStr">
        <is>
          <t>N</t>
        </is>
      </c>
      <c r="AK36" s="114" t="n"/>
      <c r="AL36" s="124" t="inlineStr">
        <is>
          <t>D</t>
        </is>
      </c>
      <c r="AM36" s="114" t="n"/>
      <c r="AN36" s="116">
        <f>IFERROR(INDEX(AGO!I$8:I$73,MATCH($A36,AGO!$A$8:$A$73,0))&amp;"","")</f>
        <v/>
      </c>
      <c r="AO36" s="116">
        <f>IFERROR(INDEX(AGO!J$8:J$73,MATCH($A36,AGO!$A$8:$A$73,0))&amp;"","")</f>
        <v/>
      </c>
      <c r="AP36" s="100" t="n"/>
      <c r="AQ36" s="100" t="n"/>
      <c r="AR36" s="100" t="n"/>
      <c r="AS36" s="100" t="n"/>
      <c r="AT36" s="117">
        <f>SUMPRODUCT(($G36:$M36="M")*6+($G36:$M36="T")*6+($G36:$M36="D")*12+($G36:$M36="N")*12+($G36:$M36="NT")*6+($G36:$M36="C")*10+($G36:$M36="A")*8+($G36:$M36="J")*5+($G36:$M36="CEP")*4+($G36:$M36="CP")*6+($G36:$M36="CRO")*6+($G36:$M36="M+")*6+($G36:$M36="T+")*6+($G36:$M36="D+")*12+($G36:$M36="N+")*12+($G36:$M36="Dm+")*12+($G36:$M36="Dt+")*12+($G36:$M36="Tm-")*6+($G36:$M36="Mt-")*6)</f>
        <v/>
      </c>
      <c r="AU36" s="118">
        <f>AT36-MAX(0,IFERROR(INDEX(CADASTRO!$I$4:$I$80,MATCH($A36,CADASTRO!$A$4:$A$80,0)),$B36)-CONFIG!$B$50*(COUNTIF($G36:$M36,"AB")+COUNTIF($G36:$M36,"FE")+COUNTIF($G36:$M36,"LM")))</f>
        <v/>
      </c>
      <c r="AV36" s="117">
        <f>SUMPRODUCT(($N36:$T36="M")*6+($N36:$T36="T")*6+($N36:$T36="D")*12+($N36:$T36="N")*12+($N36:$T36="NT")*6+($N36:$T36="C")*10+($N36:$T36="A")*8+($N36:$T36="J")*5+($N36:$T36="CEP")*4+($N36:$T36="CP")*6+($N36:$T36="CRO")*6+($N36:$T36="M+")*6+($N36:$T36="T+")*6+($N36:$T36="D+")*12+($N36:$T36="N+")*12+($N36:$T36="Dm+")*12+($N36:$T36="Dt+")*12+($N36:$T36="Tm-")*6+($N36:$T36="Mt-")*6)</f>
        <v/>
      </c>
      <c r="AW36" s="118">
        <f>AV36-MAX(0,IFERROR(INDEX(CADASTRO!$I$4:$I$80,MATCH($A36,CADASTRO!$A$4:$A$80,0)),$B36)-CONFIG!$B$50*(COUNTIF($N36:$T36,"AB")+COUNTIF($N36:$T36,"FE")+COUNTIF($N36:$T36,"LM")))</f>
        <v/>
      </c>
      <c r="AX36" s="117">
        <f>SUMPRODUCT(($U36:$AA36="M")*6+($U36:$AA36="T")*6+($U36:$AA36="D")*12+($U36:$AA36="N")*12+($U36:$AA36="NT")*6+($U36:$AA36="C")*10+($U36:$AA36="A")*8+($U36:$AA36="J")*5+($U36:$AA36="CEP")*4+($U36:$AA36="CP")*6+($U36:$AA36="CRO")*6+($U36:$AA36="M+")*6+($U36:$AA36="T+")*6+($U36:$AA36="D+")*12+($U36:$AA36="N+")*12+($U36:$AA36="Dm+")*12+($U36:$AA36="Dt+")*12+($U36:$AA36="Tm-")*6+($U36:$AA36="Mt-")*6)</f>
        <v/>
      </c>
      <c r="AY36" s="118">
        <f>AX36-MAX(0,IFERROR(INDEX(CADASTRO!$I$4:$I$80,MATCH($A36,CADASTRO!$A$4:$A$80,0)),$B36)-CONFIG!$B$50*(COUNTIF($U36:$AA36,"AB")+COUNTIF($U36:$AA36,"FE")+COUNTIF($U36:$AA36,"LM")))</f>
        <v/>
      </c>
      <c r="AZ36" s="117">
        <f>SUMPRODUCT(($AB36:$AH36="M")*6+($AB36:$AH36="T")*6+($AB36:$AH36="D")*12+($AB36:$AH36="N")*12+($AB36:$AH36="NT")*6+($AB36:$AH36="C")*10+($AB36:$AH36="A")*8+($AB36:$AH36="J")*5+($AB36:$AH36="CEP")*4+($AB36:$AH36="CP")*6+($AB36:$AH36="CRO")*6+($AB36:$AH36="M+")*6+($AB36:$AH36="T+")*6+($AB36:$AH36="D+")*12+($AB36:$AH36="N+")*12+($AB36:$AH36="Dm+")*12+($AB36:$AH36="Dt+")*12+($AB36:$AH36="Tm-")*6+($AB36:$AH36="Mt-")*6)</f>
        <v/>
      </c>
      <c r="BA36" s="118">
        <f>AZ36-MAX(0,IFERROR(INDEX(CADASTRO!$I$4:$I$80,MATCH($A36,CADASTRO!$A$4:$A$80,0)),$B36)-CONFIG!$B$50*(COUNTIF($AB36:$AH36,"AB")+COUNTIF($AB36:$AH36,"FE")+COUNTIF($AB36:$AH36,"LM")))</f>
        <v/>
      </c>
      <c r="BB36" s="117">
        <f>SUMPRODUCT(($AI36:$AM36="M")*6+($AI36:$AM36="T")*6+($AI36:$AM36="D")*12+($AI36:$AM36="N")*12+($AI36:$AM36="NT")*6+($AI36:$AM36="C")*10+($AI36:$AM36="A")*8+($AI36:$AM36="J")*5+($AI36:$AM36="CEP")*4+($AI36:$AM36="CP")*6+($AI36:$AM36="CRO")*6+($AI36:$AM36="M+")*6+($AI36:$AM36="T+")*6+($AI36:$AM36="D+")*12+($AI36:$AM36="N+")*12+($AI36:$AM36="Dm+")*12+($AI36:$AM36="Dt+")*12+($AI36:$AM36="Tm-")*6+($AI36:$AM36="Mt-")*6)+SUMPRODUCT(($AN36:$AO36="M")*6+($AN36:$AO36="T")*6+($AN36:$AO36="D")*12+($AN36:$AO36="N")*12+($AN36:$AO36="NT")*6+($AN36:$AO36="C")*10+($AN36:$AO36="A")*8+($AN36:$AO36="J")*5+($AN36:$AO36="CEP")*4+($AN36:$AO36="CP")*6+($AN36:$AO36="CRO")*6+($AN36:$AO36="M+")*6+($AN36:$AO36="T+")*6+($AN36:$AO36="D+")*12+($AN36:$AO36="N+")*12+($AN36:$AO36="Dm+")*12+($AN36:$AO36="Dt+")*12+($AN36:$AO36="Tm-")*6+($AN36:$AO36="Mt-")*6)</f>
        <v/>
      </c>
      <c r="BC36" s="118">
        <f>BB36-MAX(0,IFERROR(INDEX(CADASTRO!$I$4:$I$80,MATCH($A36,CADASTRO!$A$4:$A$80,0)),$B36)-CONFIG!$B$50*(COUNTIF($AI36:$AM36,"AB")+COUNTIF($AI36:$AM36,"FE")+COUNTIF($AI36:$AM36,"LM")+COUNTIF($AN36:$AO36,"AB")+COUNTIF($AN36:$AO36,"FE")+COUNTIF($AN36:$AO36,"LM")))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36">
        <f>IFERROR(INDEX(JUN!AK$8:AK$73,MATCH($A37,JUN!$A$8:$A$73,0))&amp;"","")</f>
        <v/>
      </c>
      <c r="H37" s="136">
        <f>IFERROR(INDEX(JUN!AL$8:AL$73,MATCH($A37,JUN!$A$8:$A$73,0))&amp;"","")</f>
        <v/>
      </c>
      <c r="I37" s="125" t="inlineStr">
        <is>
          <t>N</t>
        </is>
      </c>
      <c r="J37" s="114" t="n"/>
      <c r="K37" s="115" t="inlineStr">
        <is>
          <t>M</t>
        </is>
      </c>
      <c r="L37" s="115" t="inlineStr">
        <is>
          <t>M</t>
        </is>
      </c>
      <c r="M37" s="114" t="n"/>
      <c r="N37" s="114" t="n"/>
      <c r="O37" s="115" t="inlineStr">
        <is>
          <t>M</t>
        </is>
      </c>
      <c r="P37" s="114" t="n"/>
      <c r="Q37" s="126" t="inlineStr">
        <is>
          <t>T</t>
        </is>
      </c>
      <c r="R37" s="115" t="inlineStr">
        <is>
          <t>M</t>
        </is>
      </c>
      <c r="S37" s="114" t="n"/>
      <c r="T37" s="124" t="inlineStr">
        <is>
          <t>D</t>
        </is>
      </c>
      <c r="U37" s="114" t="n"/>
      <c r="V37" s="115" t="inlineStr">
        <is>
          <t>M</t>
        </is>
      </c>
      <c r="W37" s="126" t="inlineStr">
        <is>
          <t>T</t>
        </is>
      </c>
      <c r="X37" s="126" t="inlineStr">
        <is>
          <t>T</t>
        </is>
      </c>
      <c r="Y37" s="115" t="inlineStr">
        <is>
          <t>M</t>
        </is>
      </c>
      <c r="Z37" s="115" t="inlineStr">
        <is>
          <t>M</t>
        </is>
      </c>
      <c r="AA37" s="114" t="n"/>
      <c r="AB37" s="115" t="inlineStr">
        <is>
          <t>M</t>
        </is>
      </c>
      <c r="AC37" s="126" t="inlineStr">
        <is>
          <t>T</t>
        </is>
      </c>
      <c r="AD37" s="114" t="n"/>
      <c r="AE37" s="126" t="inlineStr">
        <is>
          <t>T</t>
        </is>
      </c>
      <c r="AF37" s="115" t="inlineStr">
        <is>
          <t>M</t>
        </is>
      </c>
      <c r="AG37" s="114" t="n"/>
      <c r="AH37" s="126" t="inlineStr">
        <is>
          <t>T</t>
        </is>
      </c>
      <c r="AI37" s="115" t="inlineStr">
        <is>
          <t>M</t>
        </is>
      </c>
      <c r="AJ37" s="115" t="inlineStr">
        <is>
          <t>M</t>
        </is>
      </c>
      <c r="AK37" s="126" t="inlineStr">
        <is>
          <t>T</t>
        </is>
      </c>
      <c r="AL37" s="126" t="inlineStr">
        <is>
          <t>T</t>
        </is>
      </c>
      <c r="AM37" s="115" t="inlineStr">
        <is>
          <t>M</t>
        </is>
      </c>
      <c r="AN37" s="116">
        <f>IFERROR(INDEX(AGO!I$8:I$73,MATCH($A37,AGO!$A$8:$A$73,0))&amp;"","")</f>
        <v/>
      </c>
      <c r="AO37" s="116">
        <f>IFERROR(INDEX(AGO!J$8:J$73,MATCH($A37,AGO!$A$8:$A$73,0))&amp;"","")</f>
        <v/>
      </c>
      <c r="AP37" s="100" t="n"/>
      <c r="AQ37" s="100" t="n"/>
      <c r="AR37" s="100" t="n"/>
      <c r="AS37" s="100" t="n"/>
      <c r="AT37" s="117">
        <f>SUMPRODUCT(($G37:$M37="M")*6+($G37:$M37="T")*6+($G37:$M37="D")*12+($G37:$M37="N")*12+($G37:$M37="NT")*6+($G37:$M37="C")*10+($G37:$M37="A")*8+($G37:$M37="J")*5+($G37:$M37="CEP")*4+($G37:$M37="CP")*6+($G37:$M37="CRO")*6+($G37:$M37="M+")*6+($G37:$M37="T+")*6+($G37:$M37="D+")*12+($G37:$M37="N+")*12+($G37:$M37="Dm+")*12+($G37:$M37="Dt+")*12+($G37:$M37="Tm-")*6+($G37:$M37="Mt-")*6)</f>
        <v/>
      </c>
      <c r="AU37" s="118">
        <f>AT37-MAX(0,IFERROR(INDEX(CADASTRO!$I$4:$I$80,MATCH($A37,CADASTRO!$A$4:$A$80,0)),$B37)-CONFIG!$B$50*(COUNTIF($G37:$M37,"AB")+COUNTIF($G37:$M37,"FE")+COUNTIF($G37:$M37,"LM")))</f>
        <v/>
      </c>
      <c r="AV37" s="117">
        <f>SUMPRODUCT(($N37:$T37="M")*6+($N37:$T37="T")*6+($N37:$T37="D")*12+($N37:$T37="N")*12+($N37:$T37="NT")*6+($N37:$T37="C")*10+($N37:$T37="A")*8+($N37:$T37="J")*5+($N37:$T37="CEP")*4+($N37:$T37="CP")*6+($N37:$T37="CRO")*6+($N37:$T37="M+")*6+($N37:$T37="T+")*6+($N37:$T37="D+")*12+($N37:$T37="N+")*12+($N37:$T37="Dm+")*12+($N37:$T37="Dt+")*12+($N37:$T37="Tm-")*6+($N37:$T37="Mt-")*6)</f>
        <v/>
      </c>
      <c r="AW37" s="118">
        <f>AV37-MAX(0,IFERROR(INDEX(CADASTRO!$I$4:$I$80,MATCH($A37,CADASTRO!$A$4:$A$80,0)),$B37)-CONFIG!$B$50*(COUNTIF($N37:$T37,"AB")+COUNTIF($N37:$T37,"FE")+COUNTIF($N37:$T37,"LM")))</f>
        <v/>
      </c>
      <c r="AX37" s="117">
        <f>SUMPRODUCT(($U37:$AA37="M")*6+($U37:$AA37="T")*6+($U37:$AA37="D")*12+($U37:$AA37="N")*12+($U37:$AA37="NT")*6+($U37:$AA37="C")*10+($U37:$AA37="A")*8+($U37:$AA37="J")*5+($U37:$AA37="CEP")*4+($U37:$AA37="CP")*6+($U37:$AA37="CRO")*6+($U37:$AA37="M+")*6+($U37:$AA37="T+")*6+($U37:$AA37="D+")*12+($U37:$AA37="N+")*12+($U37:$AA37="Dm+")*12+($U37:$AA37="Dt+")*12+($U37:$AA37="Tm-")*6+($U37:$AA37="Mt-")*6)</f>
        <v/>
      </c>
      <c r="AY37" s="118">
        <f>AX37-MAX(0,IFERROR(INDEX(CADASTRO!$I$4:$I$80,MATCH($A37,CADASTRO!$A$4:$A$80,0)),$B37)-CONFIG!$B$50*(COUNTIF($U37:$AA37,"AB")+COUNTIF($U37:$AA37,"FE")+COUNTIF($U37:$AA37,"LM")))</f>
        <v/>
      </c>
      <c r="AZ37" s="117">
        <f>SUMPRODUCT(($AB37:$AH37="M")*6+($AB37:$AH37="T")*6+($AB37:$AH37="D")*12+($AB37:$AH37="N")*12+($AB37:$AH37="NT")*6+($AB37:$AH37="C")*10+($AB37:$AH37="A")*8+($AB37:$AH37="J")*5+($AB37:$AH37="CEP")*4+($AB37:$AH37="CP")*6+($AB37:$AH37="CRO")*6+($AB37:$AH37="M+")*6+($AB37:$AH37="T+")*6+($AB37:$AH37="D+")*12+($AB37:$AH37="N+")*12+($AB37:$AH37="Dm+")*12+($AB37:$AH37="Dt+")*12+($AB37:$AH37="Tm-")*6+($AB37:$AH37="Mt-")*6)</f>
        <v/>
      </c>
      <c r="BA37" s="118">
        <f>AZ37-MAX(0,IFERROR(INDEX(CADASTRO!$I$4:$I$80,MATCH($A37,CADASTRO!$A$4:$A$80,0)),$B37)-CONFIG!$B$50*(COUNTIF($AB37:$AH37,"AB")+COUNTIF($AB37:$AH37,"FE")+COUNTIF($AB37:$AH37,"LM")))</f>
        <v/>
      </c>
      <c r="BB37" s="117">
        <f>SUMPRODUCT(($AI37:$AM37="M")*6+($AI37:$AM37="T")*6+($AI37:$AM37="D")*12+($AI37:$AM37="N")*12+($AI37:$AM37="NT")*6+($AI37:$AM37="C")*10+($AI37:$AM37="A")*8+($AI37:$AM37="J")*5+($AI37:$AM37="CEP")*4+($AI37:$AM37="CP")*6+($AI37:$AM37="CRO")*6+($AI37:$AM37="M+")*6+($AI37:$AM37="T+")*6+($AI37:$AM37="D+")*12+($AI37:$AM37="N+")*12+($AI37:$AM37="Dm+")*12+($AI37:$AM37="Dt+")*12+($AI37:$AM37="Tm-")*6+($AI37:$AM37="Mt-")*6)+SUMPRODUCT(($AN37:$AO37="M")*6+($AN37:$AO37="T")*6+($AN37:$AO37="D")*12+($AN37:$AO37="N")*12+($AN37:$AO37="NT")*6+($AN37:$AO37="C")*10+($AN37:$AO37="A")*8+($AN37:$AO37="J")*5+($AN37:$AO37="CEP")*4+($AN37:$AO37="CP")*6+($AN37:$AO37="CRO")*6+($AN37:$AO37="M+")*6+($AN37:$AO37="T+")*6+($AN37:$AO37="D+")*12+($AN37:$AO37="N+")*12+($AN37:$AO37="Dm+")*12+($AN37:$AO37="Dt+")*12+($AN37:$AO37="Tm-")*6+($AN37:$AO37="Mt-")*6)</f>
        <v/>
      </c>
      <c r="BC37" s="118">
        <f>BB37-MAX(0,IFERROR(INDEX(CADASTRO!$I$4:$I$80,MATCH($A37,CADASTRO!$A$4:$A$80,0)),$B37)-CONFIG!$B$50*(COUNTIF($AI37:$AM37,"AB")+COUNTIF($AI37:$AM37,"FE")+COUNTIF($AI37:$AM37,"LM")+COUNTIF($AN37:$AO37,"AB")+COUNTIF($AN37:$AO37,"FE")+COUNTIF($AN37:$AO37,"LM")))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36">
        <f>IFERROR(INDEX(JUN!AK$8:AK$73,MATCH($A38,JUN!$A$8:$A$73,0))&amp;"","")</f>
        <v/>
      </c>
      <c r="H38" s="136">
        <f>IFERROR(INDEX(JUN!AL$8:AL$73,MATCH($A38,JUN!$A$8:$A$73,0))&amp;"","")</f>
        <v/>
      </c>
      <c r="I38" s="114" t="n"/>
      <c r="J38" s="114" t="n"/>
      <c r="K38" s="125" t="inlineStr">
        <is>
          <t>N</t>
        </is>
      </c>
      <c r="L38" s="114" t="n"/>
      <c r="M38" s="124" t="inlineStr">
        <is>
          <t>D</t>
        </is>
      </c>
      <c r="N38" s="125" t="inlineStr">
        <is>
          <t>N</t>
        </is>
      </c>
      <c r="O38" s="114" t="n"/>
      <c r="P38" s="114" t="n"/>
      <c r="Q38" s="125" t="inlineStr">
        <is>
          <t>N</t>
        </is>
      </c>
      <c r="R38" s="114" t="n"/>
      <c r="S38" s="114" t="n"/>
      <c r="T38" s="114" t="n"/>
      <c r="U38" s="125" t="inlineStr">
        <is>
          <t>N</t>
        </is>
      </c>
      <c r="V38" s="114" t="n"/>
      <c r="W38" s="114" t="n"/>
      <c r="X38" s="125" t="inlineStr">
        <is>
          <t>N</t>
        </is>
      </c>
      <c r="Y38" s="114" t="n"/>
      <c r="Z38" s="114" t="n"/>
      <c r="AA38" s="114" t="n"/>
      <c r="AB38" s="125" t="inlineStr">
        <is>
          <t>N</t>
        </is>
      </c>
      <c r="AC38" s="114" t="n"/>
      <c r="AD38" s="114" t="n"/>
      <c r="AE38" s="114" t="n"/>
      <c r="AF38" s="114" t="n"/>
      <c r="AG38" s="114" t="n"/>
      <c r="AH38" s="125" t="inlineStr">
        <is>
          <t>N</t>
        </is>
      </c>
      <c r="AI38" s="125" t="inlineStr">
        <is>
          <t>N</t>
        </is>
      </c>
      <c r="AJ38" s="114" t="n"/>
      <c r="AK38" s="114" t="n"/>
      <c r="AL38" s="114" t="n"/>
      <c r="AM38" s="114" t="n"/>
      <c r="AN38" s="116">
        <f>IFERROR(INDEX(AGO!I$8:I$73,MATCH($A38,AGO!$A$8:$A$73,0))&amp;"","")</f>
        <v/>
      </c>
      <c r="AO38" s="116">
        <f>IFERROR(INDEX(AGO!J$8:J$73,MATCH($A38,AGO!$A$8:$A$73,0))&amp;"","")</f>
        <v/>
      </c>
      <c r="AP38" s="100" t="n"/>
      <c r="AQ38" s="100" t="n"/>
      <c r="AR38" s="100" t="n"/>
      <c r="AS38" s="100" t="n"/>
      <c r="AT38" s="117">
        <f>SUMPRODUCT(($G38:$M38="M")*6+($G38:$M38="T")*6+($G38:$M38="D")*12+($G38:$M38="N")*12+($G38:$M38="NT")*6+($G38:$M38="C")*10+($G38:$M38="A")*8+($G38:$M38="J")*5+($G38:$M38="CEP")*4+($G38:$M38="CP")*6+($G38:$M38="CRO")*6+($G38:$M38="M+")*6+($G38:$M38="T+")*6+($G38:$M38="D+")*12+($G38:$M38="N+")*12+($G38:$M38="Dm+")*12+($G38:$M38="Dt+")*12+($G38:$M38="Tm-")*6+($G38:$M38="Mt-")*6)</f>
        <v/>
      </c>
      <c r="AU38" s="118">
        <f>AT38-MAX(0,IFERROR(INDEX(CADASTRO!$I$4:$I$80,MATCH($A38,CADASTRO!$A$4:$A$80,0)),$B38)-CONFIG!$B$50*(COUNTIF($G38:$M38,"AB")+COUNTIF($G38:$M38,"FE")+COUNTIF($G38:$M38,"LM")))</f>
        <v/>
      </c>
      <c r="AV38" s="117">
        <f>SUMPRODUCT(($N38:$T38="M")*6+($N38:$T38="T")*6+($N38:$T38="D")*12+($N38:$T38="N")*12+($N38:$T38="NT")*6+($N38:$T38="C")*10+($N38:$T38="A")*8+($N38:$T38="J")*5+($N38:$T38="CEP")*4+($N38:$T38="CP")*6+($N38:$T38="CRO")*6+($N38:$T38="M+")*6+($N38:$T38="T+")*6+($N38:$T38="D+")*12+($N38:$T38="N+")*12+($N38:$T38="Dm+")*12+($N38:$T38="Dt+")*12+($N38:$T38="Tm-")*6+($N38:$T38="Mt-")*6)</f>
        <v/>
      </c>
      <c r="AW38" s="118">
        <f>AV38-MAX(0,IFERROR(INDEX(CADASTRO!$I$4:$I$80,MATCH($A38,CADASTRO!$A$4:$A$80,0)),$B38)-CONFIG!$B$50*(COUNTIF($N38:$T38,"AB")+COUNTIF($N38:$T38,"FE")+COUNTIF($N38:$T38,"LM")))</f>
        <v/>
      </c>
      <c r="AX38" s="117">
        <f>SUMPRODUCT(($U38:$AA38="M")*6+($U38:$AA38="T")*6+($U38:$AA38="D")*12+($U38:$AA38="N")*12+($U38:$AA38="NT")*6+($U38:$AA38="C")*10+($U38:$AA38="A")*8+($U38:$AA38="J")*5+($U38:$AA38="CEP")*4+($U38:$AA38="CP")*6+($U38:$AA38="CRO")*6+($U38:$AA38="M+")*6+($U38:$AA38="T+")*6+($U38:$AA38="D+")*12+($U38:$AA38="N+")*12+($U38:$AA38="Dm+")*12+($U38:$AA38="Dt+")*12+($U38:$AA38="Tm-")*6+($U38:$AA38="Mt-")*6)</f>
        <v/>
      </c>
      <c r="AY38" s="118">
        <f>AX38-MAX(0,IFERROR(INDEX(CADASTRO!$I$4:$I$80,MATCH($A38,CADASTRO!$A$4:$A$80,0)),$B38)-CONFIG!$B$50*(COUNTIF($U38:$AA38,"AB")+COUNTIF($U38:$AA38,"FE")+COUNTIF($U38:$AA38,"LM")))</f>
        <v/>
      </c>
      <c r="AZ38" s="117">
        <f>SUMPRODUCT(($AB38:$AH38="M")*6+($AB38:$AH38="T")*6+($AB38:$AH38="D")*12+($AB38:$AH38="N")*12+($AB38:$AH38="NT")*6+($AB38:$AH38="C")*10+($AB38:$AH38="A")*8+($AB38:$AH38="J")*5+($AB38:$AH38="CEP")*4+($AB38:$AH38="CP")*6+($AB38:$AH38="CRO")*6+($AB38:$AH38="M+")*6+($AB38:$AH38="T+")*6+($AB38:$AH38="D+")*12+($AB38:$AH38="N+")*12+($AB38:$AH38="Dm+")*12+($AB38:$AH38="Dt+")*12+($AB38:$AH38="Tm-")*6+($AB38:$AH38="Mt-")*6)</f>
        <v/>
      </c>
      <c r="BA38" s="118">
        <f>AZ38-MAX(0,IFERROR(INDEX(CADASTRO!$I$4:$I$80,MATCH($A38,CADASTRO!$A$4:$A$80,0)),$B38)-CONFIG!$B$50*(COUNTIF($AB38:$AH38,"AB")+COUNTIF($AB38:$AH38,"FE")+COUNTIF($AB38:$AH38,"LM")))</f>
        <v/>
      </c>
      <c r="BB38" s="117">
        <f>SUMPRODUCT(($AI38:$AM38="M")*6+($AI38:$AM38="T")*6+($AI38:$AM38="D")*12+($AI38:$AM38="N")*12+($AI38:$AM38="NT")*6+($AI38:$AM38="C")*10+($AI38:$AM38="A")*8+($AI38:$AM38="J")*5+($AI38:$AM38="CEP")*4+($AI38:$AM38="CP")*6+($AI38:$AM38="CRO")*6+($AI38:$AM38="M+")*6+($AI38:$AM38="T+")*6+($AI38:$AM38="D+")*12+($AI38:$AM38="N+")*12+($AI38:$AM38="Dm+")*12+($AI38:$AM38="Dt+")*12+($AI38:$AM38="Tm-")*6+($AI38:$AM38="Mt-")*6)+SUMPRODUCT(($AN38:$AO38="M")*6+($AN38:$AO38="T")*6+($AN38:$AO38="D")*12+($AN38:$AO38="N")*12+($AN38:$AO38="NT")*6+($AN38:$AO38="C")*10+($AN38:$AO38="A")*8+($AN38:$AO38="J")*5+($AN38:$AO38="CEP")*4+($AN38:$AO38="CP")*6+($AN38:$AO38="CRO")*6+($AN38:$AO38="M+")*6+($AN38:$AO38="T+")*6+($AN38:$AO38="D+")*12+($AN38:$AO38="N+")*12+($AN38:$AO38="Dm+")*12+($AN38:$AO38="Dt+")*12+($AN38:$AO38="Tm-")*6+($AN38:$AO38="Mt-")*6)</f>
        <v/>
      </c>
      <c r="BC38" s="118">
        <f>BB38-MAX(0,IFERROR(INDEX(CADASTRO!$I$4:$I$80,MATCH($A38,CADASTRO!$A$4:$A$80,0)),$B38)-CONFIG!$B$50*(COUNTIF($AI38:$AM38,"AB")+COUNTIF($AI38:$AM38,"FE")+COUNTIF($AI38:$AM38,"LM")+COUNTIF($AN38:$AO38,"AB")+COUNTIF($AN38:$AO38,"FE")+COUNTIF($AN38:$AO38,"LM")))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36">
        <f>IFERROR(INDEX(JUN!AK$8:AK$73,MATCH($A39,JUN!$A$8:$A$73,0))&amp;"","")</f>
        <v/>
      </c>
      <c r="H39" s="136">
        <f>IFERROR(INDEX(JUN!AL$8:AL$73,MATCH($A39,JUN!$A$8:$A$73,0))&amp;"","")</f>
        <v/>
      </c>
      <c r="I39" s="114" t="n"/>
      <c r="J39" s="114" t="n"/>
      <c r="K39" s="115" t="inlineStr">
        <is>
          <t>M</t>
        </is>
      </c>
      <c r="L39" s="124" t="inlineStr">
        <is>
          <t>D</t>
        </is>
      </c>
      <c r="M39" s="114" t="n"/>
      <c r="N39" s="126" t="inlineStr">
        <is>
          <t>T</t>
        </is>
      </c>
      <c r="O39" s="114" t="n"/>
      <c r="P39" s="114" t="n"/>
      <c r="Q39" s="114" t="n"/>
      <c r="R39" s="115" t="inlineStr">
        <is>
          <t>M</t>
        </is>
      </c>
      <c r="S39" s="125" t="inlineStr">
        <is>
          <t>N</t>
        </is>
      </c>
      <c r="T39" s="114" t="n"/>
      <c r="U39" s="126" t="inlineStr">
        <is>
          <t>T</t>
        </is>
      </c>
      <c r="V39" s="114" t="n"/>
      <c r="W39" s="114" t="n"/>
      <c r="X39" s="114" t="n"/>
      <c r="Y39" s="125" t="inlineStr">
        <is>
          <t>N</t>
        </is>
      </c>
      <c r="Z39" s="114" t="n"/>
      <c r="AA39" s="114" t="n"/>
      <c r="AB39" s="126" t="inlineStr">
        <is>
          <t>T</t>
        </is>
      </c>
      <c r="AC39" s="115" t="inlineStr">
        <is>
          <t>M</t>
        </is>
      </c>
      <c r="AD39" s="126" t="inlineStr">
        <is>
          <t>T</t>
        </is>
      </c>
      <c r="AE39" s="114" t="n"/>
      <c r="AF39" s="115" t="inlineStr">
        <is>
          <t>M</t>
        </is>
      </c>
      <c r="AG39" s="114" t="n"/>
      <c r="AH39" s="114" t="n"/>
      <c r="AI39" s="126" t="inlineStr">
        <is>
          <t>T</t>
        </is>
      </c>
      <c r="AJ39" s="114" t="n"/>
      <c r="AK39" s="114" t="n"/>
      <c r="AL39" s="114" t="n"/>
      <c r="AM39" s="124" t="inlineStr">
        <is>
          <t>D</t>
        </is>
      </c>
      <c r="AN39" s="116">
        <f>IFERROR(INDEX(AGO!I$8:I$73,MATCH($A39,AGO!$A$8:$A$73,0))&amp;"","")</f>
        <v/>
      </c>
      <c r="AO39" s="116">
        <f>IFERROR(INDEX(AGO!J$8:J$73,MATCH($A39,AGO!$A$8:$A$73,0))&amp;"","")</f>
        <v/>
      </c>
      <c r="AP39" s="100" t="n"/>
      <c r="AQ39" s="100" t="n"/>
      <c r="AR39" s="100" t="n"/>
      <c r="AS39" s="100" t="n"/>
      <c r="AT39" s="117">
        <f>SUMPRODUCT(($G39:$M39="M")*6+($G39:$M39="T")*6+($G39:$M39="D")*12+($G39:$M39="N")*12+($G39:$M39="NT")*6+($G39:$M39="C")*10+($G39:$M39="A")*8+($G39:$M39="J")*5+($G39:$M39="CEP")*4+($G39:$M39="CP")*6+($G39:$M39="CRO")*6+($G39:$M39="M+")*6+($G39:$M39="T+")*6+($G39:$M39="D+")*12+($G39:$M39="N+")*12+($G39:$M39="Dm+")*12+($G39:$M39="Dt+")*12+($G39:$M39="Tm-")*6+($G39:$M39="Mt-")*6)</f>
        <v/>
      </c>
      <c r="AU39" s="118">
        <f>AT39-MAX(0,IFERROR(INDEX(CADASTRO!$I$4:$I$80,MATCH($A39,CADASTRO!$A$4:$A$80,0)),$B39)-CONFIG!$B$50*(COUNTIF($G39:$M39,"AB")+COUNTIF($G39:$M39,"FE")+COUNTIF($G39:$M39,"LM")))</f>
        <v/>
      </c>
      <c r="AV39" s="117">
        <f>SUMPRODUCT(($N39:$T39="M")*6+($N39:$T39="T")*6+($N39:$T39="D")*12+($N39:$T39="N")*12+($N39:$T39="NT")*6+($N39:$T39="C")*10+($N39:$T39="A")*8+($N39:$T39="J")*5+($N39:$T39="CEP")*4+($N39:$T39="CP")*6+($N39:$T39="CRO")*6+($N39:$T39="M+")*6+($N39:$T39="T+")*6+($N39:$T39="D+")*12+($N39:$T39="N+")*12+($N39:$T39="Dm+")*12+($N39:$T39="Dt+")*12+($N39:$T39="Tm-")*6+($N39:$T39="Mt-")*6)</f>
        <v/>
      </c>
      <c r="AW39" s="118">
        <f>AV39-MAX(0,IFERROR(INDEX(CADASTRO!$I$4:$I$80,MATCH($A39,CADASTRO!$A$4:$A$80,0)),$B39)-CONFIG!$B$50*(COUNTIF($N39:$T39,"AB")+COUNTIF($N39:$T39,"FE")+COUNTIF($N39:$T39,"LM")))</f>
        <v/>
      </c>
      <c r="AX39" s="117">
        <f>SUMPRODUCT(($U39:$AA39="M")*6+($U39:$AA39="T")*6+($U39:$AA39="D")*12+($U39:$AA39="N")*12+($U39:$AA39="NT")*6+($U39:$AA39="C")*10+($U39:$AA39="A")*8+($U39:$AA39="J")*5+($U39:$AA39="CEP")*4+($U39:$AA39="CP")*6+($U39:$AA39="CRO")*6+($U39:$AA39="M+")*6+($U39:$AA39="T+")*6+($U39:$AA39="D+")*12+($U39:$AA39="N+")*12+($U39:$AA39="Dm+")*12+($U39:$AA39="Dt+")*12+($U39:$AA39="Tm-")*6+($U39:$AA39="Mt-")*6)</f>
        <v/>
      </c>
      <c r="AY39" s="118">
        <f>AX39-MAX(0,IFERROR(INDEX(CADASTRO!$I$4:$I$80,MATCH($A39,CADASTRO!$A$4:$A$80,0)),$B39)-CONFIG!$B$50*(COUNTIF($U39:$AA39,"AB")+COUNTIF($U39:$AA39,"FE")+COUNTIF($U39:$AA39,"LM")))</f>
        <v/>
      </c>
      <c r="AZ39" s="117">
        <f>SUMPRODUCT(($AB39:$AH39="M")*6+($AB39:$AH39="T")*6+($AB39:$AH39="D")*12+($AB39:$AH39="N")*12+($AB39:$AH39="NT")*6+($AB39:$AH39="C")*10+($AB39:$AH39="A")*8+($AB39:$AH39="J")*5+($AB39:$AH39="CEP")*4+($AB39:$AH39="CP")*6+($AB39:$AH39="CRO")*6+($AB39:$AH39="M+")*6+($AB39:$AH39="T+")*6+($AB39:$AH39="D+")*12+($AB39:$AH39="N+")*12+($AB39:$AH39="Dm+")*12+($AB39:$AH39="Dt+")*12+($AB39:$AH39="Tm-")*6+($AB39:$AH39="Mt-")*6)</f>
        <v/>
      </c>
      <c r="BA39" s="118">
        <f>AZ39-MAX(0,IFERROR(INDEX(CADASTRO!$I$4:$I$80,MATCH($A39,CADASTRO!$A$4:$A$80,0)),$B39)-CONFIG!$B$50*(COUNTIF($AB39:$AH39,"AB")+COUNTIF($AB39:$AH39,"FE")+COUNTIF($AB39:$AH39,"LM")))</f>
        <v/>
      </c>
      <c r="BB39" s="117">
        <f>SUMPRODUCT(($AI39:$AM39="M")*6+($AI39:$AM39="T")*6+($AI39:$AM39="D")*12+($AI39:$AM39="N")*12+($AI39:$AM39="NT")*6+($AI39:$AM39="C")*10+($AI39:$AM39="A")*8+($AI39:$AM39="J")*5+($AI39:$AM39="CEP")*4+($AI39:$AM39="CP")*6+($AI39:$AM39="CRO")*6+($AI39:$AM39="M+")*6+($AI39:$AM39="T+")*6+($AI39:$AM39="D+")*12+($AI39:$AM39="N+")*12+($AI39:$AM39="Dm+")*12+($AI39:$AM39="Dt+")*12+($AI39:$AM39="Tm-")*6+($AI39:$AM39="Mt-")*6)+SUMPRODUCT(($AN39:$AO39="M")*6+($AN39:$AO39="T")*6+($AN39:$AO39="D")*12+($AN39:$AO39="N")*12+($AN39:$AO39="NT")*6+($AN39:$AO39="C")*10+($AN39:$AO39="A")*8+($AN39:$AO39="J")*5+($AN39:$AO39="CEP")*4+($AN39:$AO39="CP")*6+($AN39:$AO39="CRO")*6+($AN39:$AO39="M+")*6+($AN39:$AO39="T+")*6+($AN39:$AO39="D+")*12+($AN39:$AO39="N+")*12+($AN39:$AO39="Dm+")*12+($AN39:$AO39="Dt+")*12+($AN39:$AO39="Tm-")*6+($AN39:$AO39="Mt-")*6)</f>
        <v/>
      </c>
      <c r="BC39" s="118">
        <f>BB39-MAX(0,IFERROR(INDEX(CADASTRO!$I$4:$I$80,MATCH($A39,CADASTRO!$A$4:$A$80,0)),$B39)-CONFIG!$B$50*(COUNTIF($AI39:$AM39,"AB")+COUNTIF($AI39:$AM39,"FE")+COUNTIF($AI39:$AM39,"LM")+COUNTIF($AN39:$AO39,"AB")+COUNTIF($AN39:$AO39,"FE")+COUNTIF($AN39:$AO39,"LM")))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36">
        <f>IFERROR(INDEX(JUN!AK$8:AK$73,MATCH($A40,JUN!$A$8:$A$73,0))&amp;"","")</f>
        <v/>
      </c>
      <c r="H40" s="136">
        <f>IFERROR(INDEX(JUN!AL$8:AL$73,MATCH($A40,JUN!$A$8:$A$73,0))&amp;"","")</f>
        <v/>
      </c>
      <c r="I40" s="138" t="inlineStr">
        <is>
          <t>LM</t>
        </is>
      </c>
      <c r="J40" s="138" t="inlineStr">
        <is>
          <t>LM</t>
        </is>
      </c>
      <c r="K40" s="138" t="inlineStr">
        <is>
          <t>LM</t>
        </is>
      </c>
      <c r="L40" s="138" t="inlineStr">
        <is>
          <t>LM</t>
        </is>
      </c>
      <c r="M40" s="138" t="inlineStr">
        <is>
          <t>LM</t>
        </is>
      </c>
      <c r="N40" s="138" t="inlineStr">
        <is>
          <t>LM</t>
        </is>
      </c>
      <c r="O40" s="138" t="inlineStr">
        <is>
          <t>LM</t>
        </is>
      </c>
      <c r="P40" s="138" t="inlineStr">
        <is>
          <t>LM</t>
        </is>
      </c>
      <c r="Q40" s="138" t="inlineStr">
        <is>
          <t>LM</t>
        </is>
      </c>
      <c r="R40" s="138" t="inlineStr">
        <is>
          <t>LM</t>
        </is>
      </c>
      <c r="S40" s="138" t="inlineStr">
        <is>
          <t>LM</t>
        </is>
      </c>
      <c r="T40" s="138" t="inlineStr">
        <is>
          <t>LM</t>
        </is>
      </c>
      <c r="U40" s="138" t="inlineStr">
        <is>
          <t>LM</t>
        </is>
      </c>
      <c r="V40" s="138" t="inlineStr">
        <is>
          <t>LM</t>
        </is>
      </c>
      <c r="W40" s="138" t="inlineStr">
        <is>
          <t>LM</t>
        </is>
      </c>
      <c r="X40" s="138" t="inlineStr">
        <is>
          <t>LM</t>
        </is>
      </c>
      <c r="Y40" s="138" t="inlineStr">
        <is>
          <t>LM</t>
        </is>
      </c>
      <c r="Z40" s="138" t="inlineStr">
        <is>
          <t>LM</t>
        </is>
      </c>
      <c r="AA40" s="138" t="inlineStr">
        <is>
          <t>LM</t>
        </is>
      </c>
      <c r="AB40" s="138" t="inlineStr">
        <is>
          <t>LM</t>
        </is>
      </c>
      <c r="AC40" s="138" t="inlineStr">
        <is>
          <t>LM</t>
        </is>
      </c>
      <c r="AD40" s="138" t="inlineStr">
        <is>
          <t>LM</t>
        </is>
      </c>
      <c r="AE40" s="138" t="inlineStr">
        <is>
          <t>LM</t>
        </is>
      </c>
      <c r="AF40" s="138" t="inlineStr">
        <is>
          <t>LM</t>
        </is>
      </c>
      <c r="AG40" s="138" t="inlineStr">
        <is>
          <t>LM</t>
        </is>
      </c>
      <c r="AH40" s="138" t="inlineStr">
        <is>
          <t>LM</t>
        </is>
      </c>
      <c r="AI40" s="138" t="inlineStr">
        <is>
          <t>LM</t>
        </is>
      </c>
      <c r="AJ40" s="138" t="inlineStr">
        <is>
          <t>LM</t>
        </is>
      </c>
      <c r="AK40" s="138" t="inlineStr">
        <is>
          <t>LM</t>
        </is>
      </c>
      <c r="AL40" s="138" t="inlineStr">
        <is>
          <t>LM</t>
        </is>
      </c>
      <c r="AM40" s="138" t="inlineStr">
        <is>
          <t>LM</t>
        </is>
      </c>
      <c r="AN40" s="116">
        <f>IFERROR(INDEX(AGO!I$8:I$73,MATCH($A40,AGO!$A$8:$A$73,0))&amp;"","")</f>
        <v/>
      </c>
      <c r="AO40" s="116">
        <f>IFERROR(INDEX(AGO!J$8:J$73,MATCH($A40,AGO!$A$8:$A$73,0))&amp;"","")</f>
        <v/>
      </c>
      <c r="AP40" s="100" t="n"/>
      <c r="AQ40" s="100" t="n"/>
      <c r="AR40" s="100" t="n"/>
      <c r="AS40" s="100" t="n"/>
      <c r="AT40" s="117">
        <f>SUMPRODUCT(($G40:$M40="M")*6+($G40:$M40="T")*6+($G40:$M40="D")*12+($G40:$M40="N")*12+($G40:$M40="NT")*6+($G40:$M40="C")*10+($G40:$M40="A")*8+($G40:$M40="J")*5+($G40:$M40="CEP")*4+($G40:$M40="CP")*6+($G40:$M40="CRO")*6+($G40:$M40="M+")*6+($G40:$M40="T+")*6+($G40:$M40="D+")*12+($G40:$M40="N+")*12+($G40:$M40="Dm+")*12+($G40:$M40="Dt+")*12+($G40:$M40="Tm-")*6+($G40:$M40="Mt-")*6)</f>
        <v/>
      </c>
      <c r="AU40" s="118">
        <f>AT40-MAX(0,IFERROR(INDEX(CADASTRO!$I$4:$I$80,MATCH($A40,CADASTRO!$A$4:$A$80,0)),$B40)-CONFIG!$B$50*(COUNTIF($G40:$M40,"AB")+COUNTIF($G40:$M40,"FE")+COUNTIF($G40:$M40,"LM")))</f>
        <v/>
      </c>
      <c r="AV40" s="117">
        <f>SUMPRODUCT(($N40:$T40="M")*6+($N40:$T40="T")*6+($N40:$T40="D")*12+($N40:$T40="N")*12+($N40:$T40="NT")*6+($N40:$T40="C")*10+($N40:$T40="A")*8+($N40:$T40="J")*5+($N40:$T40="CEP")*4+($N40:$T40="CP")*6+($N40:$T40="CRO")*6+($N40:$T40="M+")*6+($N40:$T40="T+")*6+($N40:$T40="D+")*12+($N40:$T40="N+")*12+($N40:$T40="Dm+")*12+($N40:$T40="Dt+")*12+($N40:$T40="Tm-")*6+($N40:$T40="Mt-")*6)</f>
        <v/>
      </c>
      <c r="AW40" s="118">
        <f>AV40-MAX(0,IFERROR(INDEX(CADASTRO!$I$4:$I$80,MATCH($A40,CADASTRO!$A$4:$A$80,0)),$B40)-CONFIG!$B$50*(COUNTIF($N40:$T40,"AB")+COUNTIF($N40:$T40,"FE")+COUNTIF($N40:$T40,"LM")))</f>
        <v/>
      </c>
      <c r="AX40" s="117">
        <f>SUMPRODUCT(($U40:$AA40="M")*6+($U40:$AA40="T")*6+($U40:$AA40="D")*12+($U40:$AA40="N")*12+($U40:$AA40="NT")*6+($U40:$AA40="C")*10+($U40:$AA40="A")*8+($U40:$AA40="J")*5+($U40:$AA40="CEP")*4+($U40:$AA40="CP")*6+($U40:$AA40="CRO")*6+($U40:$AA40="M+")*6+($U40:$AA40="T+")*6+($U40:$AA40="D+")*12+($U40:$AA40="N+")*12+($U40:$AA40="Dm+")*12+($U40:$AA40="Dt+")*12+($U40:$AA40="Tm-")*6+($U40:$AA40="Mt-")*6)</f>
        <v/>
      </c>
      <c r="AY40" s="118">
        <f>AX40-MAX(0,IFERROR(INDEX(CADASTRO!$I$4:$I$80,MATCH($A40,CADASTRO!$A$4:$A$80,0)),$B40)-CONFIG!$B$50*(COUNTIF($U40:$AA40,"AB")+COUNTIF($U40:$AA40,"FE")+COUNTIF($U40:$AA40,"LM")))</f>
        <v/>
      </c>
      <c r="AZ40" s="117">
        <f>SUMPRODUCT(($AB40:$AH40="M")*6+($AB40:$AH40="T")*6+($AB40:$AH40="D")*12+($AB40:$AH40="N")*12+($AB40:$AH40="NT")*6+($AB40:$AH40="C")*10+($AB40:$AH40="A")*8+($AB40:$AH40="J")*5+($AB40:$AH40="CEP")*4+($AB40:$AH40="CP")*6+($AB40:$AH40="CRO")*6+($AB40:$AH40="M+")*6+($AB40:$AH40="T+")*6+($AB40:$AH40="D+")*12+($AB40:$AH40="N+")*12+($AB40:$AH40="Dm+")*12+($AB40:$AH40="Dt+")*12+($AB40:$AH40="Tm-")*6+($AB40:$AH40="Mt-")*6)</f>
        <v/>
      </c>
      <c r="BA40" s="118">
        <f>AZ40-MAX(0,IFERROR(INDEX(CADASTRO!$I$4:$I$80,MATCH($A40,CADASTRO!$A$4:$A$80,0)),$B40)-CONFIG!$B$50*(COUNTIF($AB40:$AH40,"AB")+COUNTIF($AB40:$AH40,"FE")+COUNTIF($AB40:$AH40,"LM")))</f>
        <v/>
      </c>
      <c r="BB40" s="117">
        <f>SUMPRODUCT(($AI40:$AM40="M")*6+($AI40:$AM40="T")*6+($AI40:$AM40="D")*12+($AI40:$AM40="N")*12+($AI40:$AM40="NT")*6+($AI40:$AM40="C")*10+($AI40:$AM40="A")*8+($AI40:$AM40="J")*5+($AI40:$AM40="CEP")*4+($AI40:$AM40="CP")*6+($AI40:$AM40="CRO")*6+($AI40:$AM40="M+")*6+($AI40:$AM40="T+")*6+($AI40:$AM40="D+")*12+($AI40:$AM40="N+")*12+($AI40:$AM40="Dm+")*12+($AI40:$AM40="Dt+")*12+($AI40:$AM40="Tm-")*6+($AI40:$AM40="Mt-")*6)+SUMPRODUCT(($AN40:$AO40="M")*6+($AN40:$AO40="T")*6+($AN40:$AO40="D")*12+($AN40:$AO40="N")*12+($AN40:$AO40="NT")*6+($AN40:$AO40="C")*10+($AN40:$AO40="A")*8+($AN40:$AO40="J")*5+($AN40:$AO40="CEP")*4+($AN40:$AO40="CP")*6+($AN40:$AO40="CRO")*6+($AN40:$AO40="M+")*6+($AN40:$AO40="T+")*6+($AN40:$AO40="D+")*12+($AN40:$AO40="N+")*12+($AN40:$AO40="Dm+")*12+($AN40:$AO40="Dt+")*12+($AN40:$AO40="Tm-")*6+($AN40:$AO40="Mt-")*6)</f>
        <v/>
      </c>
      <c r="BC40" s="118">
        <f>BB40-MAX(0,IFERROR(INDEX(CADASTRO!$I$4:$I$80,MATCH($A40,CADASTRO!$A$4:$A$80,0)),$B40)-CONFIG!$B$50*(COUNTIF($AI40:$AM40,"AB")+COUNTIF($AI40:$AM40,"FE")+COUNTIF($AI40:$AM40,"LM")+COUNTIF($AN40:$AO40,"AB")+COUNTIF($AN40:$AO40,"FE")+COUNTIF($AN40:$AO40,"LM")))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36">
        <f>IFERROR(INDEX(JUN!AK$8:AK$73,MATCH($A41,JUN!$A$8:$A$73,0))&amp;"","")</f>
        <v/>
      </c>
      <c r="H41" s="136">
        <f>IFERROR(INDEX(JUN!AL$8:AL$73,MATCH($A41,JUN!$A$8:$A$73,0))&amp;"","")</f>
        <v/>
      </c>
      <c r="I41" s="114" t="n"/>
      <c r="J41" s="124" t="inlineStr">
        <is>
          <t>D</t>
        </is>
      </c>
      <c r="K41" s="124" t="inlineStr">
        <is>
          <t>D</t>
        </is>
      </c>
      <c r="L41" s="114" t="n"/>
      <c r="M41" s="114" t="n"/>
      <c r="N41" s="124" t="inlineStr">
        <is>
          <t>D</t>
        </is>
      </c>
      <c r="O41" s="114" t="n"/>
      <c r="P41" s="114" t="n"/>
      <c r="Q41" s="114" t="n"/>
      <c r="R41" s="126" t="inlineStr">
        <is>
          <t>T</t>
        </is>
      </c>
      <c r="S41" s="114" t="n"/>
      <c r="T41" s="114" t="n"/>
      <c r="U41" s="114" t="n"/>
      <c r="V41" s="114" t="n"/>
      <c r="W41" s="114" t="n"/>
      <c r="X41" s="115" t="inlineStr">
        <is>
          <t>M</t>
        </is>
      </c>
      <c r="Y41" s="115" t="inlineStr">
        <is>
          <t>M</t>
        </is>
      </c>
      <c r="Z41" s="124" t="inlineStr">
        <is>
          <t>D</t>
        </is>
      </c>
      <c r="AA41" s="126" t="inlineStr">
        <is>
          <t>T</t>
        </is>
      </c>
      <c r="AB41" s="124" t="inlineStr">
        <is>
          <t>D</t>
        </is>
      </c>
      <c r="AC41" s="114" t="n"/>
      <c r="AD41" s="125" t="inlineStr">
        <is>
          <t>N</t>
        </is>
      </c>
      <c r="AE41" s="114" t="n"/>
      <c r="AF41" s="114" t="n"/>
      <c r="AG41" s="114" t="n"/>
      <c r="AH41" s="114" t="n"/>
      <c r="AI41" s="114" t="n"/>
      <c r="AJ41" s="114" t="n"/>
      <c r="AK41" s="114" t="n"/>
      <c r="AL41" s="114" t="n"/>
      <c r="AM41" s="124" t="inlineStr">
        <is>
          <t>D</t>
        </is>
      </c>
      <c r="AN41" s="116">
        <f>IFERROR(INDEX(AGO!I$8:I$73,MATCH($A41,AGO!$A$8:$A$73,0))&amp;"","")</f>
        <v/>
      </c>
      <c r="AO41" s="116">
        <f>IFERROR(INDEX(AGO!J$8:J$73,MATCH($A41,AGO!$A$8:$A$73,0))&amp;"","")</f>
        <v/>
      </c>
      <c r="AP41" s="100" t="n"/>
      <c r="AQ41" s="100" t="n"/>
      <c r="AR41" s="100" t="n"/>
      <c r="AS41" s="100" t="n"/>
      <c r="AT41" s="117">
        <f>SUMPRODUCT(($G41:$M41="M")*6+($G41:$M41="T")*6+($G41:$M41="D")*12+($G41:$M41="N")*12+($G41:$M41="NT")*6+($G41:$M41="C")*10+($G41:$M41="A")*8+($G41:$M41="J")*5+($G41:$M41="CEP")*4+($G41:$M41="CP")*6+($G41:$M41="CRO")*6+($G41:$M41="M+")*6+($G41:$M41="T+")*6+($G41:$M41="D+")*12+($G41:$M41="N+")*12+($G41:$M41="Dm+")*12+($G41:$M41="Dt+")*12+($G41:$M41="Tm-")*6+($G41:$M41="Mt-")*6)</f>
        <v/>
      </c>
      <c r="AU41" s="118">
        <f>AT41-MAX(0,IFERROR(INDEX(CADASTRO!$I$4:$I$80,MATCH($A41,CADASTRO!$A$4:$A$80,0)),$B41)-CONFIG!$B$50*(COUNTIF($G41:$M41,"AB")+COUNTIF($G41:$M41,"FE")+COUNTIF($G41:$M41,"LM")))</f>
        <v/>
      </c>
      <c r="AV41" s="117">
        <f>SUMPRODUCT(($N41:$T41="M")*6+($N41:$T41="T")*6+($N41:$T41="D")*12+($N41:$T41="N")*12+($N41:$T41="NT")*6+($N41:$T41="C")*10+($N41:$T41="A")*8+($N41:$T41="J")*5+($N41:$T41="CEP")*4+($N41:$T41="CP")*6+($N41:$T41="CRO")*6+($N41:$T41="M+")*6+($N41:$T41="T+")*6+($N41:$T41="D+")*12+($N41:$T41="N+")*12+($N41:$T41="Dm+")*12+($N41:$T41="Dt+")*12+($N41:$T41="Tm-")*6+($N41:$T41="Mt-")*6)</f>
        <v/>
      </c>
      <c r="AW41" s="118">
        <f>AV41-MAX(0,IFERROR(INDEX(CADASTRO!$I$4:$I$80,MATCH($A41,CADASTRO!$A$4:$A$80,0)),$B41)-CONFIG!$B$50*(COUNTIF($N41:$T41,"AB")+COUNTIF($N41:$T41,"FE")+COUNTIF($N41:$T41,"LM")))</f>
        <v/>
      </c>
      <c r="AX41" s="117">
        <f>SUMPRODUCT(($U41:$AA41="M")*6+($U41:$AA41="T")*6+($U41:$AA41="D")*12+($U41:$AA41="N")*12+($U41:$AA41="NT")*6+($U41:$AA41="C")*10+($U41:$AA41="A")*8+($U41:$AA41="J")*5+($U41:$AA41="CEP")*4+($U41:$AA41="CP")*6+($U41:$AA41="CRO")*6+($U41:$AA41="M+")*6+($U41:$AA41="T+")*6+($U41:$AA41="D+")*12+($U41:$AA41="N+")*12+($U41:$AA41="Dm+")*12+($U41:$AA41="Dt+")*12+($U41:$AA41="Tm-")*6+($U41:$AA41="Mt-")*6)</f>
        <v/>
      </c>
      <c r="AY41" s="118">
        <f>AX41-MAX(0,IFERROR(INDEX(CADASTRO!$I$4:$I$80,MATCH($A41,CADASTRO!$A$4:$A$80,0)),$B41)-CONFIG!$B$50*(COUNTIF($U41:$AA41,"AB")+COUNTIF($U41:$AA41,"FE")+COUNTIF($U41:$AA41,"LM")))</f>
        <v/>
      </c>
      <c r="AZ41" s="117">
        <f>SUMPRODUCT(($AB41:$AH41="M")*6+($AB41:$AH41="T")*6+($AB41:$AH41="D")*12+($AB41:$AH41="N")*12+($AB41:$AH41="NT")*6+($AB41:$AH41="C")*10+($AB41:$AH41="A")*8+($AB41:$AH41="J")*5+($AB41:$AH41="CEP")*4+($AB41:$AH41="CP")*6+($AB41:$AH41="CRO")*6+($AB41:$AH41="M+")*6+($AB41:$AH41="T+")*6+($AB41:$AH41="D+")*12+($AB41:$AH41="N+")*12+($AB41:$AH41="Dm+")*12+($AB41:$AH41="Dt+")*12+($AB41:$AH41="Tm-")*6+($AB41:$AH41="Mt-")*6)</f>
        <v/>
      </c>
      <c r="BA41" s="118">
        <f>AZ41-MAX(0,IFERROR(INDEX(CADASTRO!$I$4:$I$80,MATCH($A41,CADASTRO!$A$4:$A$80,0)),$B41)-CONFIG!$B$50*(COUNTIF($AB41:$AH41,"AB")+COUNTIF($AB41:$AH41,"FE")+COUNTIF($AB41:$AH41,"LM")))</f>
        <v/>
      </c>
      <c r="BB41" s="117">
        <f>SUMPRODUCT(($AI41:$AM41="M")*6+($AI41:$AM41="T")*6+($AI41:$AM41="D")*12+($AI41:$AM41="N")*12+($AI41:$AM41="NT")*6+($AI41:$AM41="C")*10+($AI41:$AM41="A")*8+($AI41:$AM41="J")*5+($AI41:$AM41="CEP")*4+($AI41:$AM41="CP")*6+($AI41:$AM41="CRO")*6+($AI41:$AM41="M+")*6+($AI41:$AM41="T+")*6+($AI41:$AM41="D+")*12+($AI41:$AM41="N+")*12+($AI41:$AM41="Dm+")*12+($AI41:$AM41="Dt+")*12+($AI41:$AM41="Tm-")*6+($AI41:$AM41="Mt-")*6)+SUMPRODUCT(($AN41:$AO41="M")*6+($AN41:$AO41="T")*6+($AN41:$AO41="D")*12+($AN41:$AO41="N")*12+($AN41:$AO41="NT")*6+($AN41:$AO41="C")*10+($AN41:$AO41="A")*8+($AN41:$AO41="J")*5+($AN41:$AO41="CEP")*4+($AN41:$AO41="CP")*6+($AN41:$AO41="CRO")*6+($AN41:$AO41="M+")*6+($AN41:$AO41="T+")*6+($AN41:$AO41="D+")*12+($AN41:$AO41="N+")*12+($AN41:$AO41="Dm+")*12+($AN41:$AO41="Dt+")*12+($AN41:$AO41="Tm-")*6+($AN41:$AO41="Mt-")*6)</f>
        <v/>
      </c>
      <c r="BC41" s="118">
        <f>BB41-MAX(0,IFERROR(INDEX(CADASTRO!$I$4:$I$80,MATCH($A41,CADASTRO!$A$4:$A$80,0)),$B41)-CONFIG!$B$50*(COUNTIF($AI41:$AM41,"AB")+COUNTIF($AI41:$AM41,"FE")+COUNTIF($AI41:$AM41,"LM")+COUNTIF($AN41:$AO41,"AB")+COUNTIF($AN41:$AO41,"FE")+COUNTIF($AN41:$AO41,"LM")))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36">
        <f>IFERROR(INDEX(JUN!AK$8:AK$73,MATCH($A42,JUN!$A$8:$A$73,0))&amp;"","")</f>
        <v/>
      </c>
      <c r="H42" s="136">
        <f>IFERROR(INDEX(JUN!AL$8:AL$73,MATCH($A42,JUN!$A$8:$A$73,0))&amp;"","")</f>
        <v/>
      </c>
      <c r="I42" s="124" t="inlineStr">
        <is>
          <t>D</t>
        </is>
      </c>
      <c r="J42" s="114" t="n"/>
      <c r="K42" s="114" t="n"/>
      <c r="L42" s="114" t="n"/>
      <c r="M42" s="114" t="n"/>
      <c r="N42" s="124" t="inlineStr">
        <is>
          <t>D</t>
        </is>
      </c>
      <c r="O42" s="124" t="inlineStr">
        <is>
          <t>D</t>
        </is>
      </c>
      <c r="P42" s="114" t="n"/>
      <c r="Q42" s="114" t="n"/>
      <c r="R42" s="114" t="n"/>
      <c r="S42" s="114" t="n"/>
      <c r="T42" s="114" t="n"/>
      <c r="U42" s="114" t="n"/>
      <c r="V42" s="114" t="n"/>
      <c r="W42" s="124" t="inlineStr">
        <is>
          <t>D</t>
        </is>
      </c>
      <c r="X42" s="114" t="n"/>
      <c r="Y42" s="114" t="n"/>
      <c r="Z42" s="114" t="n"/>
      <c r="AA42" s="125" t="inlineStr">
        <is>
          <t>N</t>
        </is>
      </c>
      <c r="AB42" s="114" t="n"/>
      <c r="AC42" s="124" t="inlineStr">
        <is>
          <t>D</t>
        </is>
      </c>
      <c r="AD42" s="114" t="n"/>
      <c r="AE42" s="114" t="n"/>
      <c r="AF42" s="114" t="n"/>
      <c r="AG42" s="114" t="n"/>
      <c r="AH42" s="124" t="inlineStr">
        <is>
          <t>D</t>
        </is>
      </c>
      <c r="AI42" s="114" t="n"/>
      <c r="AJ42" s="124" t="inlineStr">
        <is>
          <t>D</t>
        </is>
      </c>
      <c r="AK42" s="114" t="n"/>
      <c r="AL42" s="124" t="inlineStr">
        <is>
          <t>D</t>
        </is>
      </c>
      <c r="AM42" s="114" t="n"/>
      <c r="AN42" s="116">
        <f>IFERROR(INDEX(AGO!I$8:I$73,MATCH($A42,AGO!$A$8:$A$73,0))&amp;"","")</f>
        <v/>
      </c>
      <c r="AO42" s="116">
        <f>IFERROR(INDEX(AGO!J$8:J$73,MATCH($A42,AGO!$A$8:$A$73,0))&amp;"","")</f>
        <v/>
      </c>
      <c r="AP42" s="100" t="n"/>
      <c r="AQ42" s="100" t="n"/>
      <c r="AR42" s="100" t="n"/>
      <c r="AS42" s="100" t="n"/>
      <c r="AT42" s="117">
        <f>SUMPRODUCT(($G42:$M42="M")*6+($G42:$M42="T")*6+($G42:$M42="D")*12+($G42:$M42="N")*12+($G42:$M42="NT")*6+($G42:$M42="C")*10+($G42:$M42="A")*8+($G42:$M42="J")*5+($G42:$M42="CEP")*4+($G42:$M42="CP")*6+($G42:$M42="CRO")*6+($G42:$M42="M+")*6+($G42:$M42="T+")*6+($G42:$M42="D+")*12+($G42:$M42="N+")*12+($G42:$M42="Dm+")*12+($G42:$M42="Dt+")*12+($G42:$M42="Tm-")*6+($G42:$M42="Mt-")*6)</f>
        <v/>
      </c>
      <c r="AU42" s="118">
        <f>AT42-MAX(0,IFERROR(INDEX(CADASTRO!$I$4:$I$80,MATCH($A42,CADASTRO!$A$4:$A$80,0)),$B42)-CONFIG!$B$50*(COUNTIF($G42:$M42,"AB")+COUNTIF($G42:$M42,"FE")+COUNTIF($G42:$M42,"LM")))</f>
        <v/>
      </c>
      <c r="AV42" s="117">
        <f>SUMPRODUCT(($N42:$T42="M")*6+($N42:$T42="T")*6+($N42:$T42="D")*12+($N42:$T42="N")*12+($N42:$T42="NT")*6+($N42:$T42="C")*10+($N42:$T42="A")*8+($N42:$T42="J")*5+($N42:$T42="CEP")*4+($N42:$T42="CP")*6+($N42:$T42="CRO")*6+($N42:$T42="M+")*6+($N42:$T42="T+")*6+($N42:$T42="D+")*12+($N42:$T42="N+")*12+($N42:$T42="Dm+")*12+($N42:$T42="Dt+")*12+($N42:$T42="Tm-")*6+($N42:$T42="Mt-")*6)</f>
        <v/>
      </c>
      <c r="AW42" s="118">
        <f>AV42-MAX(0,IFERROR(INDEX(CADASTRO!$I$4:$I$80,MATCH($A42,CADASTRO!$A$4:$A$80,0)),$B42)-CONFIG!$B$50*(COUNTIF($N42:$T42,"AB")+COUNTIF($N42:$T42,"FE")+COUNTIF($N42:$T42,"LM")))</f>
        <v/>
      </c>
      <c r="AX42" s="117">
        <f>SUMPRODUCT(($U42:$AA42="M")*6+($U42:$AA42="T")*6+($U42:$AA42="D")*12+($U42:$AA42="N")*12+($U42:$AA42="NT")*6+($U42:$AA42="C")*10+($U42:$AA42="A")*8+($U42:$AA42="J")*5+($U42:$AA42="CEP")*4+($U42:$AA42="CP")*6+($U42:$AA42="CRO")*6+($U42:$AA42="M+")*6+($U42:$AA42="T+")*6+($U42:$AA42="D+")*12+($U42:$AA42="N+")*12+($U42:$AA42="Dm+")*12+($U42:$AA42="Dt+")*12+($U42:$AA42="Tm-")*6+($U42:$AA42="Mt-")*6)</f>
        <v/>
      </c>
      <c r="AY42" s="118">
        <f>AX42-MAX(0,IFERROR(INDEX(CADASTRO!$I$4:$I$80,MATCH($A42,CADASTRO!$A$4:$A$80,0)),$B42)-CONFIG!$B$50*(COUNTIF($U42:$AA42,"AB")+COUNTIF($U42:$AA42,"FE")+COUNTIF($U42:$AA42,"LM")))</f>
        <v/>
      </c>
      <c r="AZ42" s="117">
        <f>SUMPRODUCT(($AB42:$AH42="M")*6+($AB42:$AH42="T")*6+($AB42:$AH42="D")*12+($AB42:$AH42="N")*12+($AB42:$AH42="NT")*6+($AB42:$AH42="C")*10+($AB42:$AH42="A")*8+($AB42:$AH42="J")*5+($AB42:$AH42="CEP")*4+($AB42:$AH42="CP")*6+($AB42:$AH42="CRO")*6+($AB42:$AH42="M+")*6+($AB42:$AH42="T+")*6+($AB42:$AH42="D+")*12+($AB42:$AH42="N+")*12+($AB42:$AH42="Dm+")*12+($AB42:$AH42="Dt+")*12+($AB42:$AH42="Tm-")*6+($AB42:$AH42="Mt-")*6)</f>
        <v/>
      </c>
      <c r="BA42" s="118">
        <f>AZ42-MAX(0,IFERROR(INDEX(CADASTRO!$I$4:$I$80,MATCH($A42,CADASTRO!$A$4:$A$80,0)),$B42)-CONFIG!$B$50*(COUNTIF($AB42:$AH42,"AB")+COUNTIF($AB42:$AH42,"FE")+COUNTIF($AB42:$AH42,"LM")))</f>
        <v/>
      </c>
      <c r="BB42" s="117">
        <f>SUMPRODUCT(($AI42:$AM42="M")*6+($AI42:$AM42="T")*6+($AI42:$AM42="D")*12+($AI42:$AM42="N")*12+($AI42:$AM42="NT")*6+($AI42:$AM42="C")*10+($AI42:$AM42="A")*8+($AI42:$AM42="J")*5+($AI42:$AM42="CEP")*4+($AI42:$AM42="CP")*6+($AI42:$AM42="CRO")*6+($AI42:$AM42="M+")*6+($AI42:$AM42="T+")*6+($AI42:$AM42="D+")*12+($AI42:$AM42="N+")*12+($AI42:$AM42="Dm+")*12+($AI42:$AM42="Dt+")*12+($AI42:$AM42="Tm-")*6+($AI42:$AM42="Mt-")*6)+SUMPRODUCT(($AN42:$AO42="M")*6+($AN42:$AO42="T")*6+($AN42:$AO42="D")*12+($AN42:$AO42="N")*12+($AN42:$AO42="NT")*6+($AN42:$AO42="C")*10+($AN42:$AO42="A")*8+($AN42:$AO42="J")*5+($AN42:$AO42="CEP")*4+($AN42:$AO42="CP")*6+($AN42:$AO42="CRO")*6+($AN42:$AO42="M+")*6+($AN42:$AO42="T+")*6+($AN42:$AO42="D+")*12+($AN42:$AO42="N+")*12+($AN42:$AO42="Dm+")*12+($AN42:$AO42="Dt+")*12+($AN42:$AO42="Tm-")*6+($AN42:$AO42="Mt-")*6)</f>
        <v/>
      </c>
      <c r="BC42" s="118">
        <f>BB42-MAX(0,IFERROR(INDEX(CADASTRO!$I$4:$I$80,MATCH($A42,CADASTRO!$A$4:$A$80,0)),$B42)-CONFIG!$B$50*(COUNTIF($AI42:$AM42,"AB")+COUNTIF($AI42:$AM42,"FE")+COUNTIF($AI42:$AM42,"LM")+COUNTIF($AN42:$AO42,"AB")+COUNTIF($AN42:$AO42,"FE")+COUNTIF($AN42:$AO42,"LM")))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36">
        <f>IFERROR(INDEX(JUN!AK$8:AK$73,MATCH($A43,JUN!$A$8:$A$73,0))&amp;"","")</f>
        <v/>
      </c>
      <c r="H43" s="136">
        <f>IFERROR(INDEX(JUN!AL$8:AL$73,MATCH($A43,JUN!$A$8:$A$73,0))&amp;"","")</f>
        <v/>
      </c>
      <c r="I43" s="139" t="inlineStr">
        <is>
          <t>FE</t>
        </is>
      </c>
      <c r="J43" s="139" t="inlineStr">
        <is>
          <t>FE</t>
        </is>
      </c>
      <c r="K43" s="139" t="inlineStr">
        <is>
          <t>FE</t>
        </is>
      </c>
      <c r="L43" s="139" t="inlineStr">
        <is>
          <t>FE</t>
        </is>
      </c>
      <c r="M43" s="139" t="inlineStr">
        <is>
          <t>FE</t>
        </is>
      </c>
      <c r="N43" s="139" t="inlineStr">
        <is>
          <t>FE</t>
        </is>
      </c>
      <c r="O43" s="139" t="inlineStr">
        <is>
          <t>FE</t>
        </is>
      </c>
      <c r="P43" s="139" t="inlineStr">
        <is>
          <t>FE</t>
        </is>
      </c>
      <c r="Q43" s="139" t="inlineStr">
        <is>
          <t>FE</t>
        </is>
      </c>
      <c r="R43" s="139" t="inlineStr">
        <is>
          <t>FE</t>
        </is>
      </c>
      <c r="S43" s="139" t="inlineStr">
        <is>
          <t>FE</t>
        </is>
      </c>
      <c r="T43" s="139" t="inlineStr">
        <is>
          <t>FE</t>
        </is>
      </c>
      <c r="U43" s="139" t="inlineStr">
        <is>
          <t>FE</t>
        </is>
      </c>
      <c r="V43" s="114" t="n"/>
      <c r="W43" s="114" t="n"/>
      <c r="X43" s="114" t="n"/>
      <c r="Y43" s="126" t="inlineStr">
        <is>
          <t>T</t>
        </is>
      </c>
      <c r="Z43" s="125" t="inlineStr">
        <is>
          <t>N</t>
        </is>
      </c>
      <c r="AA43" s="114" t="n"/>
      <c r="AB43" s="125" t="inlineStr">
        <is>
          <t>N</t>
        </is>
      </c>
      <c r="AC43" s="114" t="n"/>
      <c r="AD43" s="114" t="n"/>
      <c r="AE43" s="114" t="n"/>
      <c r="AF43" s="125" t="inlineStr">
        <is>
          <t>N</t>
        </is>
      </c>
      <c r="AG43" s="114" t="n"/>
      <c r="AH43" s="114" t="n"/>
      <c r="AI43" s="125" t="inlineStr">
        <is>
          <t>N</t>
        </is>
      </c>
      <c r="AJ43" s="114" t="n"/>
      <c r="AK43" s="114" t="n"/>
      <c r="AL43" s="125" t="inlineStr">
        <is>
          <t>N</t>
        </is>
      </c>
      <c r="AM43" s="114" t="n"/>
      <c r="AN43" s="116">
        <f>IFERROR(INDEX(AGO!I$8:I$73,MATCH($A43,AGO!$A$8:$A$73,0))&amp;"","")</f>
        <v/>
      </c>
      <c r="AO43" s="116">
        <f>IFERROR(INDEX(AGO!J$8:J$73,MATCH($A43,AGO!$A$8:$A$73,0))&amp;"","")</f>
        <v/>
      </c>
      <c r="AP43" s="100" t="n"/>
      <c r="AQ43" s="100" t="n"/>
      <c r="AR43" s="100" t="n"/>
      <c r="AS43" s="100" t="n"/>
      <c r="AT43" s="117">
        <f>SUMPRODUCT(($G43:$M43="M")*6+($G43:$M43="T")*6+($G43:$M43="D")*12+($G43:$M43="N")*12+($G43:$M43="NT")*6+($G43:$M43="C")*10+($G43:$M43="A")*8+($G43:$M43="J")*5+($G43:$M43="CEP")*4+($G43:$M43="CP")*6+($G43:$M43="CRO")*6+($G43:$M43="M+")*6+($G43:$M43="T+")*6+($G43:$M43="D+")*12+($G43:$M43="N+")*12+($G43:$M43="Dm+")*12+($G43:$M43="Dt+")*12+($G43:$M43="Tm-")*6+($G43:$M43="Mt-")*6)</f>
        <v/>
      </c>
      <c r="AU43" s="118">
        <f>AT43-MAX(0,IFERROR(INDEX(CADASTRO!$I$4:$I$80,MATCH($A43,CADASTRO!$A$4:$A$80,0)),$B43)-CONFIG!$B$50*(COUNTIF($G43:$M43,"AB")+COUNTIF($G43:$M43,"FE")+COUNTIF($G43:$M43,"LM")))</f>
        <v/>
      </c>
      <c r="AV43" s="117">
        <f>SUMPRODUCT(($N43:$T43="M")*6+($N43:$T43="T")*6+($N43:$T43="D")*12+($N43:$T43="N")*12+($N43:$T43="NT")*6+($N43:$T43="C")*10+($N43:$T43="A")*8+($N43:$T43="J")*5+($N43:$T43="CEP")*4+($N43:$T43="CP")*6+($N43:$T43="CRO")*6+($N43:$T43="M+")*6+($N43:$T43="T+")*6+($N43:$T43="D+")*12+($N43:$T43="N+")*12+($N43:$T43="Dm+")*12+($N43:$T43="Dt+")*12+($N43:$T43="Tm-")*6+($N43:$T43="Mt-")*6)</f>
        <v/>
      </c>
      <c r="AW43" s="118">
        <f>AV43-MAX(0,IFERROR(INDEX(CADASTRO!$I$4:$I$80,MATCH($A43,CADASTRO!$A$4:$A$80,0)),$B43)-CONFIG!$B$50*(COUNTIF($N43:$T43,"AB")+COUNTIF($N43:$T43,"FE")+COUNTIF($N43:$T43,"LM")))</f>
        <v/>
      </c>
      <c r="AX43" s="117">
        <f>SUMPRODUCT(($U43:$AA43="M")*6+($U43:$AA43="T")*6+($U43:$AA43="D")*12+($U43:$AA43="N")*12+($U43:$AA43="NT")*6+($U43:$AA43="C")*10+($U43:$AA43="A")*8+($U43:$AA43="J")*5+($U43:$AA43="CEP")*4+($U43:$AA43="CP")*6+($U43:$AA43="CRO")*6+($U43:$AA43="M+")*6+($U43:$AA43="T+")*6+($U43:$AA43="D+")*12+($U43:$AA43="N+")*12+($U43:$AA43="Dm+")*12+($U43:$AA43="Dt+")*12+($U43:$AA43="Tm-")*6+($U43:$AA43="Mt-")*6)</f>
        <v/>
      </c>
      <c r="AY43" s="118">
        <f>AX43-MAX(0,IFERROR(INDEX(CADASTRO!$I$4:$I$80,MATCH($A43,CADASTRO!$A$4:$A$80,0)),$B43)-CONFIG!$B$50*(COUNTIF($U43:$AA43,"AB")+COUNTIF($U43:$AA43,"FE")+COUNTIF($U43:$AA43,"LM")))</f>
        <v/>
      </c>
      <c r="AZ43" s="117">
        <f>SUMPRODUCT(($AB43:$AH43="M")*6+($AB43:$AH43="T")*6+($AB43:$AH43="D")*12+($AB43:$AH43="N")*12+($AB43:$AH43="NT")*6+($AB43:$AH43="C")*10+($AB43:$AH43="A")*8+($AB43:$AH43="J")*5+($AB43:$AH43="CEP")*4+($AB43:$AH43="CP")*6+($AB43:$AH43="CRO")*6+($AB43:$AH43="M+")*6+($AB43:$AH43="T+")*6+($AB43:$AH43="D+")*12+($AB43:$AH43="N+")*12+($AB43:$AH43="Dm+")*12+($AB43:$AH43="Dt+")*12+($AB43:$AH43="Tm-")*6+($AB43:$AH43="Mt-")*6)</f>
        <v/>
      </c>
      <c r="BA43" s="118">
        <f>AZ43-MAX(0,IFERROR(INDEX(CADASTRO!$I$4:$I$80,MATCH($A43,CADASTRO!$A$4:$A$80,0)),$B43)-CONFIG!$B$50*(COUNTIF($AB43:$AH43,"AB")+COUNTIF($AB43:$AH43,"FE")+COUNTIF($AB43:$AH43,"LM")))</f>
        <v/>
      </c>
      <c r="BB43" s="117">
        <f>SUMPRODUCT(($AI43:$AM43="M")*6+($AI43:$AM43="T")*6+($AI43:$AM43="D")*12+($AI43:$AM43="N")*12+($AI43:$AM43="NT")*6+($AI43:$AM43="C")*10+($AI43:$AM43="A")*8+($AI43:$AM43="J")*5+($AI43:$AM43="CEP")*4+($AI43:$AM43="CP")*6+($AI43:$AM43="CRO")*6+($AI43:$AM43="M+")*6+($AI43:$AM43="T+")*6+($AI43:$AM43="D+")*12+($AI43:$AM43="N+")*12+($AI43:$AM43="Dm+")*12+($AI43:$AM43="Dt+")*12+($AI43:$AM43="Tm-")*6+($AI43:$AM43="Mt-")*6)+SUMPRODUCT(($AN43:$AO43="M")*6+($AN43:$AO43="T")*6+($AN43:$AO43="D")*12+($AN43:$AO43="N")*12+($AN43:$AO43="NT")*6+($AN43:$AO43="C")*10+($AN43:$AO43="A")*8+($AN43:$AO43="J")*5+($AN43:$AO43="CEP")*4+($AN43:$AO43="CP")*6+($AN43:$AO43="CRO")*6+($AN43:$AO43="M+")*6+($AN43:$AO43="T+")*6+($AN43:$AO43="D+")*12+($AN43:$AO43="N+")*12+($AN43:$AO43="Dm+")*12+($AN43:$AO43="Dt+")*12+($AN43:$AO43="Tm-")*6+($AN43:$AO43="Mt-")*6)</f>
        <v/>
      </c>
      <c r="BC43" s="118">
        <f>BB43-MAX(0,IFERROR(INDEX(CADASTRO!$I$4:$I$80,MATCH($A43,CADASTRO!$A$4:$A$80,0)),$B43)-CONFIG!$B$50*(COUNTIF($AI43:$AM43,"AB")+COUNTIF($AI43:$AM43,"FE")+COUNTIF($AI43:$AM43,"LM")+COUNTIF($AN43:$AO43,"AB")+COUNTIF($AN43:$AO43,"FE")+COUNTIF($AN43:$AO43,"LM")))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36">
        <f>IFERROR(INDEX(JUN!AK$8:AK$73,MATCH($A44,JUN!$A$8:$A$73,0))&amp;"","")</f>
        <v/>
      </c>
      <c r="H44" s="136">
        <f>IFERROR(INDEX(JUN!AL$8:AL$73,MATCH($A44,JUN!$A$8:$A$73,0))&amp;"","")</f>
        <v/>
      </c>
      <c r="I44" s="124" t="inlineStr">
        <is>
          <t>D</t>
        </is>
      </c>
      <c r="J44" s="114" t="n"/>
      <c r="K44" s="114" t="n"/>
      <c r="L44" s="114" t="n"/>
      <c r="M44" s="114" t="n"/>
      <c r="N44" s="114" t="n"/>
      <c r="O44" s="114" t="n"/>
      <c r="P44" s="124" t="inlineStr">
        <is>
          <t>D</t>
        </is>
      </c>
      <c r="Q44" s="114" t="n"/>
      <c r="R44" s="114" t="n"/>
      <c r="S44" s="114" t="n"/>
      <c r="T44" s="124" t="inlineStr">
        <is>
          <t>D</t>
        </is>
      </c>
      <c r="U44" s="114" t="n"/>
      <c r="V44" s="124" t="inlineStr">
        <is>
          <t>D</t>
        </is>
      </c>
      <c r="W44" s="114" t="n"/>
      <c r="X44" s="114" t="n"/>
      <c r="Y44" s="126" t="inlineStr">
        <is>
          <t>T</t>
        </is>
      </c>
      <c r="Z44" s="114" t="n"/>
      <c r="AA44" s="115" t="inlineStr">
        <is>
          <t>M</t>
        </is>
      </c>
      <c r="AB44" s="114" t="n"/>
      <c r="AC44" s="114" t="n"/>
      <c r="AD44" s="124" t="inlineStr">
        <is>
          <t>D</t>
        </is>
      </c>
      <c r="AE44" s="114" t="n"/>
      <c r="AF44" s="125" t="inlineStr">
        <is>
          <t>N</t>
        </is>
      </c>
      <c r="AG44" s="114" t="n"/>
      <c r="AH44" s="114" t="n"/>
      <c r="AI44" s="114" t="n"/>
      <c r="AJ44" s="124" t="inlineStr">
        <is>
          <t>D</t>
        </is>
      </c>
      <c r="AK44" s="124" t="inlineStr">
        <is>
          <t>D</t>
        </is>
      </c>
      <c r="AL44" s="114" t="n"/>
      <c r="AM44" s="114" t="n"/>
      <c r="AN44" s="116">
        <f>IFERROR(INDEX(AGO!I$8:I$73,MATCH($A44,AGO!$A$8:$A$73,0))&amp;"","")</f>
        <v/>
      </c>
      <c r="AO44" s="116">
        <f>IFERROR(INDEX(AGO!J$8:J$73,MATCH($A44,AGO!$A$8:$A$73,0))&amp;"","")</f>
        <v/>
      </c>
      <c r="AP44" s="100" t="n"/>
      <c r="AQ44" s="100" t="n"/>
      <c r="AR44" s="100" t="n"/>
      <c r="AS44" s="100" t="n"/>
      <c r="AT44" s="117">
        <f>SUMPRODUCT(($G44:$M44="M")*6+($G44:$M44="T")*6+($G44:$M44="D")*12+($G44:$M44="N")*12+($G44:$M44="NT")*6+($G44:$M44="C")*10+($G44:$M44="A")*8+($G44:$M44="J")*5+($G44:$M44="CEP")*4+($G44:$M44="CP")*6+($G44:$M44="CRO")*6+($G44:$M44="M+")*6+($G44:$M44="T+")*6+($G44:$M44="D+")*12+($G44:$M44="N+")*12+($G44:$M44="Dm+")*12+($G44:$M44="Dt+")*12+($G44:$M44="Tm-")*6+($G44:$M44="Mt-")*6)</f>
        <v/>
      </c>
      <c r="AU44" s="118">
        <f>AT44-MAX(0,IFERROR(INDEX(CADASTRO!$I$4:$I$80,MATCH($A44,CADASTRO!$A$4:$A$80,0)),$B44)-CONFIG!$B$50*(COUNTIF($G44:$M44,"AB")+COUNTIF($G44:$M44,"FE")+COUNTIF($G44:$M44,"LM")))</f>
        <v/>
      </c>
      <c r="AV44" s="117">
        <f>SUMPRODUCT(($N44:$T44="M")*6+($N44:$T44="T")*6+($N44:$T44="D")*12+($N44:$T44="N")*12+($N44:$T44="NT")*6+($N44:$T44="C")*10+($N44:$T44="A")*8+($N44:$T44="J")*5+($N44:$T44="CEP")*4+($N44:$T44="CP")*6+($N44:$T44="CRO")*6+($N44:$T44="M+")*6+($N44:$T44="T+")*6+($N44:$T44="D+")*12+($N44:$T44="N+")*12+($N44:$T44="Dm+")*12+($N44:$T44="Dt+")*12+($N44:$T44="Tm-")*6+($N44:$T44="Mt-")*6)</f>
        <v/>
      </c>
      <c r="AW44" s="118">
        <f>AV44-MAX(0,IFERROR(INDEX(CADASTRO!$I$4:$I$80,MATCH($A44,CADASTRO!$A$4:$A$80,0)),$B44)-CONFIG!$B$50*(COUNTIF($N44:$T44,"AB")+COUNTIF($N44:$T44,"FE")+COUNTIF($N44:$T44,"LM")))</f>
        <v/>
      </c>
      <c r="AX44" s="117">
        <f>SUMPRODUCT(($U44:$AA44="M")*6+($U44:$AA44="T")*6+($U44:$AA44="D")*12+($U44:$AA44="N")*12+($U44:$AA44="NT")*6+($U44:$AA44="C")*10+($U44:$AA44="A")*8+($U44:$AA44="J")*5+($U44:$AA44="CEP")*4+($U44:$AA44="CP")*6+($U44:$AA44="CRO")*6+($U44:$AA44="M+")*6+($U44:$AA44="T+")*6+($U44:$AA44="D+")*12+($U44:$AA44="N+")*12+($U44:$AA44="Dm+")*12+($U44:$AA44="Dt+")*12+($U44:$AA44="Tm-")*6+($U44:$AA44="Mt-")*6)</f>
        <v/>
      </c>
      <c r="AY44" s="118">
        <f>AX44-MAX(0,IFERROR(INDEX(CADASTRO!$I$4:$I$80,MATCH($A44,CADASTRO!$A$4:$A$80,0)),$B44)-CONFIG!$B$50*(COUNTIF($U44:$AA44,"AB")+COUNTIF($U44:$AA44,"FE")+COUNTIF($U44:$AA44,"LM")))</f>
        <v/>
      </c>
      <c r="AZ44" s="117">
        <f>SUMPRODUCT(($AB44:$AH44="M")*6+($AB44:$AH44="T")*6+($AB44:$AH44="D")*12+($AB44:$AH44="N")*12+($AB44:$AH44="NT")*6+($AB44:$AH44="C")*10+($AB44:$AH44="A")*8+($AB44:$AH44="J")*5+($AB44:$AH44="CEP")*4+($AB44:$AH44="CP")*6+($AB44:$AH44="CRO")*6+($AB44:$AH44="M+")*6+($AB44:$AH44="T+")*6+($AB44:$AH44="D+")*12+($AB44:$AH44="N+")*12+($AB44:$AH44="Dm+")*12+($AB44:$AH44="Dt+")*12+($AB44:$AH44="Tm-")*6+($AB44:$AH44="Mt-")*6)</f>
        <v/>
      </c>
      <c r="BA44" s="118">
        <f>AZ44-MAX(0,IFERROR(INDEX(CADASTRO!$I$4:$I$80,MATCH($A44,CADASTRO!$A$4:$A$80,0)),$B44)-CONFIG!$B$50*(COUNTIF($AB44:$AH44,"AB")+COUNTIF($AB44:$AH44,"FE")+COUNTIF($AB44:$AH44,"LM")))</f>
        <v/>
      </c>
      <c r="BB44" s="117">
        <f>SUMPRODUCT(($AI44:$AM44="M")*6+($AI44:$AM44="T")*6+($AI44:$AM44="D")*12+($AI44:$AM44="N")*12+($AI44:$AM44="NT")*6+($AI44:$AM44="C")*10+($AI44:$AM44="A")*8+($AI44:$AM44="J")*5+($AI44:$AM44="CEP")*4+($AI44:$AM44="CP")*6+($AI44:$AM44="CRO")*6+($AI44:$AM44="M+")*6+($AI44:$AM44="T+")*6+($AI44:$AM44="D+")*12+($AI44:$AM44="N+")*12+($AI44:$AM44="Dm+")*12+($AI44:$AM44="Dt+")*12+($AI44:$AM44="Tm-")*6+($AI44:$AM44="Mt-")*6)+SUMPRODUCT(($AN44:$AO44="M")*6+($AN44:$AO44="T")*6+($AN44:$AO44="D")*12+($AN44:$AO44="N")*12+($AN44:$AO44="NT")*6+($AN44:$AO44="C")*10+($AN44:$AO44="A")*8+($AN44:$AO44="J")*5+($AN44:$AO44="CEP")*4+($AN44:$AO44="CP")*6+($AN44:$AO44="CRO")*6+($AN44:$AO44="M+")*6+($AN44:$AO44="T+")*6+($AN44:$AO44="D+")*12+($AN44:$AO44="N+")*12+($AN44:$AO44="Dm+")*12+($AN44:$AO44="Dt+")*12+($AN44:$AO44="Tm-")*6+($AN44:$AO44="Mt-")*6)</f>
        <v/>
      </c>
      <c r="BC44" s="118">
        <f>BB44-MAX(0,IFERROR(INDEX(CADASTRO!$I$4:$I$80,MATCH($A44,CADASTRO!$A$4:$A$80,0)),$B44)-CONFIG!$B$50*(COUNTIF($AI44:$AM44,"AB")+COUNTIF($AI44:$AM44,"FE")+COUNTIF($AI44:$AM44,"LM")+COUNTIF($AN44:$AO44,"AB")+COUNTIF($AN44:$AO44,"FE")+COUNTIF($AN44:$AO44,"LM")))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36">
        <f>IFERROR(INDEX(JUN!AK$8:AK$73,MATCH($A45,JUN!$A$8:$A$73,0))&amp;"","")</f>
        <v/>
      </c>
      <c r="H45" s="136">
        <f>IFERROR(INDEX(JUN!AL$8:AL$73,MATCH($A45,JUN!$A$8:$A$73,0))&amp;"","")</f>
        <v/>
      </c>
      <c r="I45" s="114" t="n"/>
      <c r="J45" s="115" t="inlineStr">
        <is>
          <t>M</t>
        </is>
      </c>
      <c r="K45" s="114" t="n"/>
      <c r="L45" s="125" t="inlineStr">
        <is>
          <t>N</t>
        </is>
      </c>
      <c r="M45" s="114" t="n"/>
      <c r="N45" s="115" t="inlineStr">
        <is>
          <t>M</t>
        </is>
      </c>
      <c r="O45" s="115" t="inlineStr">
        <is>
          <t>M</t>
        </is>
      </c>
      <c r="P45" s="114" t="n"/>
      <c r="Q45" s="115" t="inlineStr">
        <is>
          <t>M</t>
        </is>
      </c>
      <c r="R45" s="114" t="n"/>
      <c r="S45" s="125" t="inlineStr">
        <is>
          <t>N</t>
        </is>
      </c>
      <c r="T45" s="114" t="n"/>
      <c r="U45" s="115" t="inlineStr">
        <is>
          <t>M</t>
        </is>
      </c>
      <c r="V45" s="115" t="inlineStr">
        <is>
          <t>M</t>
        </is>
      </c>
      <c r="W45" s="115" t="inlineStr">
        <is>
          <t>M</t>
        </is>
      </c>
      <c r="X45" s="114" t="n"/>
      <c r="Y45" s="114" t="n"/>
      <c r="Z45" s="114" t="n"/>
      <c r="AA45" s="114" t="n"/>
      <c r="AB45" s="114" t="n"/>
      <c r="AC45" s="114" t="n"/>
      <c r="AD45" s="115" t="inlineStr">
        <is>
          <t>M</t>
        </is>
      </c>
      <c r="AE45" s="115" t="inlineStr">
        <is>
          <t>M</t>
        </is>
      </c>
      <c r="AF45" s="125" t="inlineStr">
        <is>
          <t>N</t>
        </is>
      </c>
      <c r="AG45" s="114" t="n"/>
      <c r="AH45" s="114" t="n"/>
      <c r="AI45" s="139" t="inlineStr">
        <is>
          <t>FE</t>
        </is>
      </c>
      <c r="AJ45" s="139" t="inlineStr">
        <is>
          <t>FE</t>
        </is>
      </c>
      <c r="AK45" s="139" t="inlineStr">
        <is>
          <t>FE</t>
        </is>
      </c>
      <c r="AL45" s="139" t="inlineStr">
        <is>
          <t>FE</t>
        </is>
      </c>
      <c r="AM45" s="139" t="inlineStr">
        <is>
          <t>FE</t>
        </is>
      </c>
      <c r="AN45" s="116">
        <f>IFERROR(INDEX(AGO!I$8:I$73,MATCH($A45,AGO!$A$8:$A$73,0))&amp;"","")</f>
        <v/>
      </c>
      <c r="AO45" s="116">
        <f>IFERROR(INDEX(AGO!J$8:J$73,MATCH($A45,AGO!$A$8:$A$73,0))&amp;"","")</f>
        <v/>
      </c>
      <c r="AP45" s="100" t="n"/>
      <c r="AQ45" s="100" t="n"/>
      <c r="AR45" s="100" t="n"/>
      <c r="AS45" s="100" t="n"/>
      <c r="AT45" s="117">
        <f>SUMPRODUCT(($G45:$M45="M")*6+($G45:$M45="T")*6+($G45:$M45="D")*12+($G45:$M45="N")*12+($G45:$M45="NT")*6+($G45:$M45="C")*10+($G45:$M45="A")*8+($G45:$M45="J")*5+($G45:$M45="CEP")*4+($G45:$M45="CP")*6+($G45:$M45="CRO")*6+($G45:$M45="M+")*6+($G45:$M45="T+")*6+($G45:$M45="D+")*12+($G45:$M45="N+")*12+($G45:$M45="Dm+")*12+($G45:$M45="Dt+")*12+($G45:$M45="Tm-")*6+($G45:$M45="Mt-")*6)</f>
        <v/>
      </c>
      <c r="AU45" s="118">
        <f>AT45-MAX(0,IFERROR(INDEX(CADASTRO!$I$4:$I$80,MATCH($A45,CADASTRO!$A$4:$A$80,0)),$B45)-CONFIG!$B$50*(COUNTIF($G45:$M45,"AB")+COUNTIF($G45:$M45,"FE")+COUNTIF($G45:$M45,"LM")))</f>
        <v/>
      </c>
      <c r="AV45" s="117">
        <f>SUMPRODUCT(($N45:$T45="M")*6+($N45:$T45="T")*6+($N45:$T45="D")*12+($N45:$T45="N")*12+($N45:$T45="NT")*6+($N45:$T45="C")*10+($N45:$T45="A")*8+($N45:$T45="J")*5+($N45:$T45="CEP")*4+($N45:$T45="CP")*6+($N45:$T45="CRO")*6+($N45:$T45="M+")*6+($N45:$T45="T+")*6+($N45:$T45="D+")*12+($N45:$T45="N+")*12+($N45:$T45="Dm+")*12+($N45:$T45="Dt+")*12+($N45:$T45="Tm-")*6+($N45:$T45="Mt-")*6)</f>
        <v/>
      </c>
      <c r="AW45" s="118">
        <f>AV45-MAX(0,IFERROR(INDEX(CADASTRO!$I$4:$I$80,MATCH($A45,CADASTRO!$A$4:$A$80,0)),$B45)-CONFIG!$B$50*(COUNTIF($N45:$T45,"AB")+COUNTIF($N45:$T45,"FE")+COUNTIF($N45:$T45,"LM")))</f>
        <v/>
      </c>
      <c r="AX45" s="117">
        <f>SUMPRODUCT(($U45:$AA45="M")*6+($U45:$AA45="T")*6+($U45:$AA45="D")*12+($U45:$AA45="N")*12+($U45:$AA45="NT")*6+($U45:$AA45="C")*10+($U45:$AA45="A")*8+($U45:$AA45="J")*5+($U45:$AA45="CEP")*4+($U45:$AA45="CP")*6+($U45:$AA45="CRO")*6+($U45:$AA45="M+")*6+($U45:$AA45="T+")*6+($U45:$AA45="D+")*12+($U45:$AA45="N+")*12+($U45:$AA45="Dm+")*12+($U45:$AA45="Dt+")*12+($U45:$AA45="Tm-")*6+($U45:$AA45="Mt-")*6)</f>
        <v/>
      </c>
      <c r="AY45" s="118">
        <f>AX45-MAX(0,IFERROR(INDEX(CADASTRO!$I$4:$I$80,MATCH($A45,CADASTRO!$A$4:$A$80,0)),$B45)-CONFIG!$B$50*(COUNTIF($U45:$AA45,"AB")+COUNTIF($U45:$AA45,"FE")+COUNTIF($U45:$AA45,"LM")))</f>
        <v/>
      </c>
      <c r="AZ45" s="117">
        <f>SUMPRODUCT(($AB45:$AH45="M")*6+($AB45:$AH45="T")*6+($AB45:$AH45="D")*12+($AB45:$AH45="N")*12+($AB45:$AH45="NT")*6+($AB45:$AH45="C")*10+($AB45:$AH45="A")*8+($AB45:$AH45="J")*5+($AB45:$AH45="CEP")*4+($AB45:$AH45="CP")*6+($AB45:$AH45="CRO")*6+($AB45:$AH45="M+")*6+($AB45:$AH45="T+")*6+($AB45:$AH45="D+")*12+($AB45:$AH45="N+")*12+($AB45:$AH45="Dm+")*12+($AB45:$AH45="Dt+")*12+($AB45:$AH45="Tm-")*6+($AB45:$AH45="Mt-")*6)</f>
        <v/>
      </c>
      <c r="BA45" s="118">
        <f>AZ45-MAX(0,IFERROR(INDEX(CADASTRO!$I$4:$I$80,MATCH($A45,CADASTRO!$A$4:$A$80,0)),$B45)-CONFIG!$B$50*(COUNTIF($AB45:$AH45,"AB")+COUNTIF($AB45:$AH45,"FE")+COUNTIF($AB45:$AH45,"LM")))</f>
        <v/>
      </c>
      <c r="BB45" s="117">
        <f>SUMPRODUCT(($AI45:$AM45="M")*6+($AI45:$AM45="T")*6+($AI45:$AM45="D")*12+($AI45:$AM45="N")*12+($AI45:$AM45="NT")*6+($AI45:$AM45="C")*10+($AI45:$AM45="A")*8+($AI45:$AM45="J")*5+($AI45:$AM45="CEP")*4+($AI45:$AM45="CP")*6+($AI45:$AM45="CRO")*6+($AI45:$AM45="M+")*6+($AI45:$AM45="T+")*6+($AI45:$AM45="D+")*12+($AI45:$AM45="N+")*12+($AI45:$AM45="Dm+")*12+($AI45:$AM45="Dt+")*12+($AI45:$AM45="Tm-")*6+($AI45:$AM45="Mt-")*6)+SUMPRODUCT(($AN45:$AO45="M")*6+($AN45:$AO45="T")*6+($AN45:$AO45="D")*12+($AN45:$AO45="N")*12+($AN45:$AO45="NT")*6+($AN45:$AO45="C")*10+($AN45:$AO45="A")*8+($AN45:$AO45="J")*5+($AN45:$AO45="CEP")*4+($AN45:$AO45="CP")*6+($AN45:$AO45="CRO")*6+($AN45:$AO45="M+")*6+($AN45:$AO45="T+")*6+($AN45:$AO45="D+")*12+($AN45:$AO45="N+")*12+($AN45:$AO45="Dm+")*12+($AN45:$AO45="Dt+")*12+($AN45:$AO45="Tm-")*6+($AN45:$AO45="Mt-")*6)</f>
        <v/>
      </c>
      <c r="BC45" s="118">
        <f>BB45-MAX(0,IFERROR(INDEX(CADASTRO!$I$4:$I$80,MATCH($A45,CADASTRO!$A$4:$A$80,0)),$B45)-CONFIG!$B$50*(COUNTIF($AI45:$AM45,"AB")+COUNTIF($AI45:$AM45,"FE")+COUNTIF($AI45:$AM45,"LM")+COUNTIF($AN45:$AO45,"AB")+COUNTIF($AN45:$AO45,"FE")+COUNTIF($AN45:$AO45,"LM")))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36">
        <f>IFERROR(INDEX(JUN!AK$8:AK$73,MATCH($A46,JUN!$A$8:$A$73,0))&amp;"","")</f>
        <v/>
      </c>
      <c r="H46" s="136">
        <f>IFERROR(INDEX(JUN!AL$8:AL$73,MATCH($A46,JUN!$A$8:$A$73,0))&amp;"","")</f>
        <v/>
      </c>
      <c r="I46" s="139" t="inlineStr">
        <is>
          <t>FE</t>
        </is>
      </c>
      <c r="J46" s="139" t="inlineStr">
        <is>
          <t>FE</t>
        </is>
      </c>
      <c r="K46" s="139" t="inlineStr">
        <is>
          <t>FE</t>
        </is>
      </c>
      <c r="L46" s="139" t="inlineStr">
        <is>
          <t>FE</t>
        </is>
      </c>
      <c r="M46" s="139" t="inlineStr">
        <is>
          <t>FE</t>
        </is>
      </c>
      <c r="N46" s="139" t="inlineStr">
        <is>
          <t>FE</t>
        </is>
      </c>
      <c r="O46" s="139" t="inlineStr">
        <is>
          <t>FE</t>
        </is>
      </c>
      <c r="P46" s="139" t="inlineStr">
        <is>
          <t>FE</t>
        </is>
      </c>
      <c r="Q46" s="139" t="inlineStr">
        <is>
          <t>FE</t>
        </is>
      </c>
      <c r="R46" s="139" t="inlineStr">
        <is>
          <t>FE</t>
        </is>
      </c>
      <c r="S46" s="139" t="inlineStr">
        <is>
          <t>FE</t>
        </is>
      </c>
      <c r="T46" s="139" t="inlineStr">
        <is>
          <t>FE</t>
        </is>
      </c>
      <c r="U46" s="139" t="inlineStr">
        <is>
          <t>FE</t>
        </is>
      </c>
      <c r="V46" s="114" t="n"/>
      <c r="W46" s="126" t="inlineStr">
        <is>
          <t>T</t>
        </is>
      </c>
      <c r="X46" s="114" t="n"/>
      <c r="Y46" s="114" t="n"/>
      <c r="Z46" s="114" t="n"/>
      <c r="AA46" s="125" t="inlineStr">
        <is>
          <t>N</t>
        </is>
      </c>
      <c r="AB46" s="114" t="n"/>
      <c r="AC46" s="114" t="n"/>
      <c r="AD46" s="124" t="inlineStr">
        <is>
          <t>D</t>
        </is>
      </c>
      <c r="AE46" s="114" t="n"/>
      <c r="AF46" s="125" t="inlineStr">
        <is>
          <t>N</t>
        </is>
      </c>
      <c r="AG46" s="114" t="n"/>
      <c r="AH46" s="114" t="n"/>
      <c r="AI46" s="114" t="n"/>
      <c r="AJ46" s="114" t="n"/>
      <c r="AK46" s="124" t="inlineStr">
        <is>
          <t>D</t>
        </is>
      </c>
      <c r="AL46" s="114" t="n"/>
      <c r="AM46" s="125" t="inlineStr">
        <is>
          <t>N</t>
        </is>
      </c>
      <c r="AN46" s="116">
        <f>IFERROR(INDEX(AGO!I$8:I$73,MATCH($A46,AGO!$A$8:$A$73,0))&amp;"","")</f>
        <v/>
      </c>
      <c r="AO46" s="116">
        <f>IFERROR(INDEX(AGO!J$8:J$73,MATCH($A46,AGO!$A$8:$A$73,0))&amp;"","")</f>
        <v/>
      </c>
      <c r="AP46" s="100" t="n"/>
      <c r="AQ46" s="100" t="n"/>
      <c r="AR46" s="100" t="n"/>
      <c r="AS46" s="100" t="n"/>
      <c r="AT46" s="117">
        <f>SUMPRODUCT(($G46:$M46="M")*6+($G46:$M46="T")*6+($G46:$M46="D")*12+($G46:$M46="N")*12+($G46:$M46="NT")*6+($G46:$M46="C")*10+($G46:$M46="A")*8+($G46:$M46="J")*5+($G46:$M46="CEP")*4+($G46:$M46="CP")*6+($G46:$M46="CRO")*6+($G46:$M46="M+")*6+($G46:$M46="T+")*6+($G46:$M46="D+")*12+($G46:$M46="N+")*12+($G46:$M46="Dm+")*12+($G46:$M46="Dt+")*12+($G46:$M46="Tm-")*6+($G46:$M46="Mt-")*6)</f>
        <v/>
      </c>
      <c r="AU46" s="118">
        <f>AT46-MAX(0,IFERROR(INDEX(CADASTRO!$I$4:$I$80,MATCH($A46,CADASTRO!$A$4:$A$80,0)),$B46)-CONFIG!$B$50*(COUNTIF($G46:$M46,"AB")+COUNTIF($G46:$M46,"FE")+COUNTIF($G46:$M46,"LM")))</f>
        <v/>
      </c>
      <c r="AV46" s="117">
        <f>SUMPRODUCT(($N46:$T46="M")*6+($N46:$T46="T")*6+($N46:$T46="D")*12+($N46:$T46="N")*12+($N46:$T46="NT")*6+($N46:$T46="C")*10+($N46:$T46="A")*8+($N46:$T46="J")*5+($N46:$T46="CEP")*4+($N46:$T46="CP")*6+($N46:$T46="CRO")*6+($N46:$T46="M+")*6+($N46:$T46="T+")*6+($N46:$T46="D+")*12+($N46:$T46="N+")*12+($N46:$T46="Dm+")*12+($N46:$T46="Dt+")*12+($N46:$T46="Tm-")*6+($N46:$T46="Mt-")*6)</f>
        <v/>
      </c>
      <c r="AW46" s="118">
        <f>AV46-MAX(0,IFERROR(INDEX(CADASTRO!$I$4:$I$80,MATCH($A46,CADASTRO!$A$4:$A$80,0)),$B46)-CONFIG!$B$50*(COUNTIF($N46:$T46,"AB")+COUNTIF($N46:$T46,"FE")+COUNTIF($N46:$T46,"LM")))</f>
        <v/>
      </c>
      <c r="AX46" s="117">
        <f>SUMPRODUCT(($U46:$AA46="M")*6+($U46:$AA46="T")*6+($U46:$AA46="D")*12+($U46:$AA46="N")*12+($U46:$AA46="NT")*6+($U46:$AA46="C")*10+($U46:$AA46="A")*8+($U46:$AA46="J")*5+($U46:$AA46="CEP")*4+($U46:$AA46="CP")*6+($U46:$AA46="CRO")*6+($U46:$AA46="M+")*6+($U46:$AA46="T+")*6+($U46:$AA46="D+")*12+($U46:$AA46="N+")*12+($U46:$AA46="Dm+")*12+($U46:$AA46="Dt+")*12+($U46:$AA46="Tm-")*6+($U46:$AA46="Mt-")*6)</f>
        <v/>
      </c>
      <c r="AY46" s="118">
        <f>AX46-MAX(0,IFERROR(INDEX(CADASTRO!$I$4:$I$80,MATCH($A46,CADASTRO!$A$4:$A$80,0)),$B46)-CONFIG!$B$50*(COUNTIF($U46:$AA46,"AB")+COUNTIF($U46:$AA46,"FE")+COUNTIF($U46:$AA46,"LM")))</f>
        <v/>
      </c>
      <c r="AZ46" s="117">
        <f>SUMPRODUCT(($AB46:$AH46="M")*6+($AB46:$AH46="T")*6+($AB46:$AH46="D")*12+($AB46:$AH46="N")*12+($AB46:$AH46="NT")*6+($AB46:$AH46="C")*10+($AB46:$AH46="A")*8+($AB46:$AH46="J")*5+($AB46:$AH46="CEP")*4+($AB46:$AH46="CP")*6+($AB46:$AH46="CRO")*6+($AB46:$AH46="M+")*6+($AB46:$AH46="T+")*6+($AB46:$AH46="D+")*12+($AB46:$AH46="N+")*12+($AB46:$AH46="Dm+")*12+($AB46:$AH46="Dt+")*12+($AB46:$AH46="Tm-")*6+($AB46:$AH46="Mt-")*6)</f>
        <v/>
      </c>
      <c r="BA46" s="118">
        <f>AZ46-MAX(0,IFERROR(INDEX(CADASTRO!$I$4:$I$80,MATCH($A46,CADASTRO!$A$4:$A$80,0)),$B46)-CONFIG!$B$50*(COUNTIF($AB46:$AH46,"AB")+COUNTIF($AB46:$AH46,"FE")+COUNTIF($AB46:$AH46,"LM")))</f>
        <v/>
      </c>
      <c r="BB46" s="117">
        <f>SUMPRODUCT(($AI46:$AM46="M")*6+($AI46:$AM46="T")*6+($AI46:$AM46="D")*12+($AI46:$AM46="N")*12+($AI46:$AM46="NT")*6+($AI46:$AM46="C")*10+($AI46:$AM46="A")*8+($AI46:$AM46="J")*5+($AI46:$AM46="CEP")*4+($AI46:$AM46="CP")*6+($AI46:$AM46="CRO")*6+($AI46:$AM46="M+")*6+($AI46:$AM46="T+")*6+($AI46:$AM46="D+")*12+($AI46:$AM46="N+")*12+($AI46:$AM46="Dm+")*12+($AI46:$AM46="Dt+")*12+($AI46:$AM46="Tm-")*6+($AI46:$AM46="Mt-")*6)+SUMPRODUCT(($AN46:$AO46="M")*6+($AN46:$AO46="T")*6+($AN46:$AO46="D")*12+($AN46:$AO46="N")*12+($AN46:$AO46="NT")*6+($AN46:$AO46="C")*10+($AN46:$AO46="A")*8+($AN46:$AO46="J")*5+($AN46:$AO46="CEP")*4+($AN46:$AO46="CP")*6+($AN46:$AO46="CRO")*6+($AN46:$AO46="M+")*6+($AN46:$AO46="T+")*6+($AN46:$AO46="D+")*12+($AN46:$AO46="N+")*12+($AN46:$AO46="Dm+")*12+($AN46:$AO46="Dt+")*12+($AN46:$AO46="Tm-")*6+($AN46:$AO46="Mt-")*6)</f>
        <v/>
      </c>
      <c r="BC46" s="118">
        <f>BB46-MAX(0,IFERROR(INDEX(CADASTRO!$I$4:$I$80,MATCH($A46,CADASTRO!$A$4:$A$80,0)),$B46)-CONFIG!$B$50*(COUNTIF($AI46:$AM46,"AB")+COUNTIF($AI46:$AM46,"FE")+COUNTIF($AI46:$AM46,"LM")+COUNTIF($AN46:$AO46,"AB")+COUNTIF($AN46:$AO46,"FE")+COUNTIF($AN46:$AO46,"LM")))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36">
        <f>IFERROR(INDEX(JUN!AK$8:AK$73,MATCH($A47,JUN!$A$8:$A$73,0))&amp;"","")</f>
        <v/>
      </c>
      <c r="H47" s="136">
        <f>IFERROR(INDEX(JUN!AL$8:AL$73,MATCH($A47,JUN!$A$8:$A$73,0))&amp;"","")</f>
        <v/>
      </c>
      <c r="I47" s="139" t="inlineStr">
        <is>
          <t>FE</t>
        </is>
      </c>
      <c r="J47" s="139" t="inlineStr">
        <is>
          <t>FE</t>
        </is>
      </c>
      <c r="K47" s="139" t="inlineStr">
        <is>
          <t>FE</t>
        </is>
      </c>
      <c r="L47" s="139" t="inlineStr">
        <is>
          <t>FE</t>
        </is>
      </c>
      <c r="M47" s="139" t="inlineStr">
        <is>
          <t>FE</t>
        </is>
      </c>
      <c r="N47" s="139" t="inlineStr">
        <is>
          <t>FE</t>
        </is>
      </c>
      <c r="O47" s="139" t="inlineStr">
        <is>
          <t>FE</t>
        </is>
      </c>
      <c r="P47" s="139" t="inlineStr">
        <is>
          <t>FE</t>
        </is>
      </c>
      <c r="Q47" s="139" t="inlineStr">
        <is>
          <t>FE</t>
        </is>
      </c>
      <c r="R47" s="139" t="inlineStr">
        <is>
          <t>FE</t>
        </is>
      </c>
      <c r="S47" s="139" t="inlineStr">
        <is>
          <t>FE</t>
        </is>
      </c>
      <c r="T47" s="139" t="inlineStr">
        <is>
          <t>FE</t>
        </is>
      </c>
      <c r="U47" s="139" t="inlineStr">
        <is>
          <t>FE</t>
        </is>
      </c>
      <c r="V47" s="114" t="n"/>
      <c r="W47" s="114" t="n"/>
      <c r="X47" s="126" t="inlineStr">
        <is>
          <t>T</t>
        </is>
      </c>
      <c r="Y47" s="125" t="inlineStr">
        <is>
          <t>N</t>
        </is>
      </c>
      <c r="Z47" s="114" t="n"/>
      <c r="AA47" s="114" t="n"/>
      <c r="AB47" s="125" t="inlineStr">
        <is>
          <t>N</t>
        </is>
      </c>
      <c r="AC47" s="114" t="n"/>
      <c r="AD47" s="114" t="n"/>
      <c r="AE47" s="114" t="n"/>
      <c r="AF47" s="114" t="n"/>
      <c r="AG47" s="124" t="inlineStr">
        <is>
          <t>D</t>
        </is>
      </c>
      <c r="AH47" s="114" t="n"/>
      <c r="AI47" s="125" t="inlineStr">
        <is>
          <t>N</t>
        </is>
      </c>
      <c r="AJ47" s="114" t="n"/>
      <c r="AK47" s="114" t="n"/>
      <c r="AL47" s="114" t="n"/>
      <c r="AM47" s="114" t="n"/>
      <c r="AN47" s="116">
        <f>IFERROR(INDEX(AGO!I$8:I$73,MATCH($A47,AGO!$A$8:$A$73,0))&amp;"","")</f>
        <v/>
      </c>
      <c r="AO47" s="116">
        <f>IFERROR(INDEX(AGO!J$8:J$73,MATCH($A47,AGO!$A$8:$A$73,0))&amp;"","")</f>
        <v/>
      </c>
      <c r="AP47" s="100" t="n"/>
      <c r="AQ47" s="100" t="n"/>
      <c r="AR47" s="100" t="n"/>
      <c r="AS47" s="100" t="n"/>
      <c r="AT47" s="117">
        <f>SUMPRODUCT(($G47:$M47="M")*6+($G47:$M47="T")*6+($G47:$M47="D")*12+($G47:$M47="N")*12+($G47:$M47="NT")*6+($G47:$M47="C")*10+($G47:$M47="A")*8+($G47:$M47="J")*5+($G47:$M47="CEP")*4+($G47:$M47="CP")*6+($G47:$M47="CRO")*6+($G47:$M47="M+")*6+($G47:$M47="T+")*6+($G47:$M47="D+")*12+($G47:$M47="N+")*12+($G47:$M47="Dm+")*12+($G47:$M47="Dt+")*12+($G47:$M47="Tm-")*6+($G47:$M47="Mt-")*6)</f>
        <v/>
      </c>
      <c r="AU47" s="118">
        <f>AT47-MAX(0,IFERROR(INDEX(CADASTRO!$I$4:$I$80,MATCH($A47,CADASTRO!$A$4:$A$80,0)),$B47)-CONFIG!$B$50*(COUNTIF($G47:$M47,"AB")+COUNTIF($G47:$M47,"FE")+COUNTIF($G47:$M47,"LM")))</f>
        <v/>
      </c>
      <c r="AV47" s="117">
        <f>SUMPRODUCT(($N47:$T47="M")*6+($N47:$T47="T")*6+($N47:$T47="D")*12+($N47:$T47="N")*12+($N47:$T47="NT")*6+($N47:$T47="C")*10+($N47:$T47="A")*8+($N47:$T47="J")*5+($N47:$T47="CEP")*4+($N47:$T47="CP")*6+($N47:$T47="CRO")*6+($N47:$T47="M+")*6+($N47:$T47="T+")*6+($N47:$T47="D+")*12+($N47:$T47="N+")*12+($N47:$T47="Dm+")*12+($N47:$T47="Dt+")*12+($N47:$T47="Tm-")*6+($N47:$T47="Mt-")*6)</f>
        <v/>
      </c>
      <c r="AW47" s="118">
        <f>AV47-MAX(0,IFERROR(INDEX(CADASTRO!$I$4:$I$80,MATCH($A47,CADASTRO!$A$4:$A$80,0)),$B47)-CONFIG!$B$50*(COUNTIF($N47:$T47,"AB")+COUNTIF($N47:$T47,"FE")+COUNTIF($N47:$T47,"LM")))</f>
        <v/>
      </c>
      <c r="AX47" s="117">
        <f>SUMPRODUCT(($U47:$AA47="M")*6+($U47:$AA47="T")*6+($U47:$AA47="D")*12+($U47:$AA47="N")*12+($U47:$AA47="NT")*6+($U47:$AA47="C")*10+($U47:$AA47="A")*8+($U47:$AA47="J")*5+($U47:$AA47="CEP")*4+($U47:$AA47="CP")*6+($U47:$AA47="CRO")*6+($U47:$AA47="M+")*6+($U47:$AA47="T+")*6+($U47:$AA47="D+")*12+($U47:$AA47="N+")*12+($U47:$AA47="Dm+")*12+($U47:$AA47="Dt+")*12+($U47:$AA47="Tm-")*6+($U47:$AA47="Mt-")*6)</f>
        <v/>
      </c>
      <c r="AY47" s="118">
        <f>AX47-MAX(0,IFERROR(INDEX(CADASTRO!$I$4:$I$80,MATCH($A47,CADASTRO!$A$4:$A$80,0)),$B47)-CONFIG!$B$50*(COUNTIF($U47:$AA47,"AB")+COUNTIF($U47:$AA47,"FE")+COUNTIF($U47:$AA47,"LM")))</f>
        <v/>
      </c>
      <c r="AZ47" s="117">
        <f>SUMPRODUCT(($AB47:$AH47="M")*6+($AB47:$AH47="T")*6+($AB47:$AH47="D")*12+($AB47:$AH47="N")*12+($AB47:$AH47="NT")*6+($AB47:$AH47="C")*10+($AB47:$AH47="A")*8+($AB47:$AH47="J")*5+($AB47:$AH47="CEP")*4+($AB47:$AH47="CP")*6+($AB47:$AH47="CRO")*6+($AB47:$AH47="M+")*6+($AB47:$AH47="T+")*6+($AB47:$AH47="D+")*12+($AB47:$AH47="N+")*12+($AB47:$AH47="Dm+")*12+($AB47:$AH47="Dt+")*12+($AB47:$AH47="Tm-")*6+($AB47:$AH47="Mt-")*6)</f>
        <v/>
      </c>
      <c r="BA47" s="118">
        <f>AZ47-MAX(0,IFERROR(INDEX(CADASTRO!$I$4:$I$80,MATCH($A47,CADASTRO!$A$4:$A$80,0)),$B47)-CONFIG!$B$50*(COUNTIF($AB47:$AH47,"AB")+COUNTIF($AB47:$AH47,"FE")+COUNTIF($AB47:$AH47,"LM")))</f>
        <v/>
      </c>
      <c r="BB47" s="117">
        <f>SUMPRODUCT(($AI47:$AM47="M")*6+($AI47:$AM47="T")*6+($AI47:$AM47="D")*12+($AI47:$AM47="N")*12+($AI47:$AM47="NT")*6+($AI47:$AM47="C")*10+($AI47:$AM47="A")*8+($AI47:$AM47="J")*5+($AI47:$AM47="CEP")*4+($AI47:$AM47="CP")*6+($AI47:$AM47="CRO")*6+($AI47:$AM47="M+")*6+($AI47:$AM47="T+")*6+($AI47:$AM47="D+")*12+($AI47:$AM47="N+")*12+($AI47:$AM47="Dm+")*12+($AI47:$AM47="Dt+")*12+($AI47:$AM47="Tm-")*6+($AI47:$AM47="Mt-")*6)+SUMPRODUCT(($AN47:$AO47="M")*6+($AN47:$AO47="T")*6+($AN47:$AO47="D")*12+($AN47:$AO47="N")*12+($AN47:$AO47="NT")*6+($AN47:$AO47="C")*10+($AN47:$AO47="A")*8+($AN47:$AO47="J")*5+($AN47:$AO47="CEP")*4+($AN47:$AO47="CP")*6+($AN47:$AO47="CRO")*6+($AN47:$AO47="M+")*6+($AN47:$AO47="T+")*6+($AN47:$AO47="D+")*12+($AN47:$AO47="N+")*12+($AN47:$AO47="Dm+")*12+($AN47:$AO47="Dt+")*12+($AN47:$AO47="Tm-")*6+($AN47:$AO47="Mt-")*6)</f>
        <v/>
      </c>
      <c r="BC47" s="118">
        <f>BB47-MAX(0,IFERROR(INDEX(CADASTRO!$I$4:$I$80,MATCH($A47,CADASTRO!$A$4:$A$80,0)),$B47)-CONFIG!$B$50*(COUNTIF($AI47:$AM47,"AB")+COUNTIF($AI47:$AM47,"FE")+COUNTIF($AI47:$AM47,"LM")+COUNTIF($AN47:$AO47,"AB")+COUNTIF($AN47:$AO47,"FE")+COUNTIF($AN47:$AO47,"LM")))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36">
        <f>IFERROR(INDEX(JUN!AK$8:AK$73,MATCH($A48,JUN!$A$8:$A$73,0))&amp;"","")</f>
        <v/>
      </c>
      <c r="H48" s="136">
        <f>IFERROR(INDEX(JUN!AL$8:AL$73,MATCH($A48,JUN!$A$8:$A$73,0))&amp;"","")</f>
        <v/>
      </c>
      <c r="I48" s="138" t="inlineStr">
        <is>
          <t>LM</t>
        </is>
      </c>
      <c r="J48" s="138" t="inlineStr">
        <is>
          <t>LM</t>
        </is>
      </c>
      <c r="K48" s="138" t="inlineStr">
        <is>
          <t>LM</t>
        </is>
      </c>
      <c r="L48" s="138" t="inlineStr">
        <is>
          <t>LM</t>
        </is>
      </c>
      <c r="M48" s="138" t="inlineStr">
        <is>
          <t>LM</t>
        </is>
      </c>
      <c r="N48" s="138" t="inlineStr">
        <is>
          <t>LM</t>
        </is>
      </c>
      <c r="O48" s="138" t="inlineStr">
        <is>
          <t>LM</t>
        </is>
      </c>
      <c r="P48" s="138" t="inlineStr">
        <is>
          <t>LM</t>
        </is>
      </c>
      <c r="Q48" s="138" t="inlineStr">
        <is>
          <t>LM</t>
        </is>
      </c>
      <c r="R48" s="138" t="inlineStr">
        <is>
          <t>LM</t>
        </is>
      </c>
      <c r="S48" s="138" t="inlineStr">
        <is>
          <t>LM</t>
        </is>
      </c>
      <c r="T48" s="138" t="inlineStr">
        <is>
          <t>LM</t>
        </is>
      </c>
      <c r="U48" s="138" t="inlineStr">
        <is>
          <t>LM</t>
        </is>
      </c>
      <c r="V48" s="138" t="inlineStr">
        <is>
          <t>LM</t>
        </is>
      </c>
      <c r="W48" s="138" t="inlineStr">
        <is>
          <t>LM</t>
        </is>
      </c>
      <c r="X48" s="138" t="inlineStr">
        <is>
          <t>LM</t>
        </is>
      </c>
      <c r="Y48" s="138" t="inlineStr">
        <is>
          <t>LM</t>
        </is>
      </c>
      <c r="Z48" s="138" t="inlineStr">
        <is>
          <t>LM</t>
        </is>
      </c>
      <c r="AA48" s="138" t="inlineStr">
        <is>
          <t>LM</t>
        </is>
      </c>
      <c r="AB48" s="138" t="inlineStr">
        <is>
          <t>LM</t>
        </is>
      </c>
      <c r="AC48" s="138" t="inlineStr">
        <is>
          <t>LM</t>
        </is>
      </c>
      <c r="AD48" s="138" t="inlineStr">
        <is>
          <t>LM</t>
        </is>
      </c>
      <c r="AE48" s="138" t="inlineStr">
        <is>
          <t>LM</t>
        </is>
      </c>
      <c r="AF48" s="138" t="inlineStr">
        <is>
          <t>LM</t>
        </is>
      </c>
      <c r="AG48" s="138" t="inlineStr">
        <is>
          <t>LM</t>
        </is>
      </c>
      <c r="AH48" s="138" t="inlineStr">
        <is>
          <t>LM</t>
        </is>
      </c>
      <c r="AI48" s="138" t="inlineStr">
        <is>
          <t>LM</t>
        </is>
      </c>
      <c r="AJ48" s="138" t="inlineStr">
        <is>
          <t>LM</t>
        </is>
      </c>
      <c r="AK48" s="138" t="inlineStr">
        <is>
          <t>LM</t>
        </is>
      </c>
      <c r="AL48" s="138" t="inlineStr">
        <is>
          <t>LM</t>
        </is>
      </c>
      <c r="AM48" s="138" t="inlineStr">
        <is>
          <t>LM</t>
        </is>
      </c>
      <c r="AN48" s="116">
        <f>IFERROR(INDEX(AGO!I$8:I$73,MATCH($A48,AGO!$A$8:$A$73,0))&amp;"","")</f>
        <v/>
      </c>
      <c r="AO48" s="116">
        <f>IFERROR(INDEX(AGO!J$8:J$73,MATCH($A48,AGO!$A$8:$A$73,0))&amp;"","")</f>
        <v/>
      </c>
      <c r="AP48" s="100" t="n"/>
      <c r="AQ48" s="100" t="n"/>
      <c r="AR48" s="100" t="n"/>
      <c r="AS48" s="100" t="n"/>
      <c r="AT48" s="117">
        <f>SUMPRODUCT(($G48:$M48="M")*6+($G48:$M48="T")*6+($G48:$M48="D")*12+($G48:$M48="N")*12+($G48:$M48="NT")*6+($G48:$M48="C")*10+($G48:$M48="A")*8+($G48:$M48="J")*5+($G48:$M48="CEP")*4+($G48:$M48="CP")*6+($G48:$M48="CRO")*6+($G48:$M48="M+")*6+($G48:$M48="T+")*6+($G48:$M48="D+")*12+($G48:$M48="N+")*12+($G48:$M48="Dm+")*12+($G48:$M48="Dt+")*12+($G48:$M48="Tm-")*6+($G48:$M48="Mt-")*6)</f>
        <v/>
      </c>
      <c r="AU48" s="118">
        <f>AT48-MAX(0,IFERROR(INDEX(CADASTRO!$I$4:$I$80,MATCH($A48,CADASTRO!$A$4:$A$80,0)),$B48)-CONFIG!$B$50*(COUNTIF($G48:$M48,"AB")+COUNTIF($G48:$M48,"FE")+COUNTIF($G48:$M48,"LM")))</f>
        <v/>
      </c>
      <c r="AV48" s="117">
        <f>SUMPRODUCT(($N48:$T48="M")*6+($N48:$T48="T")*6+($N48:$T48="D")*12+($N48:$T48="N")*12+($N48:$T48="NT")*6+($N48:$T48="C")*10+($N48:$T48="A")*8+($N48:$T48="J")*5+($N48:$T48="CEP")*4+($N48:$T48="CP")*6+($N48:$T48="CRO")*6+($N48:$T48="M+")*6+($N48:$T48="T+")*6+($N48:$T48="D+")*12+($N48:$T48="N+")*12+($N48:$T48="Dm+")*12+($N48:$T48="Dt+")*12+($N48:$T48="Tm-")*6+($N48:$T48="Mt-")*6)</f>
        <v/>
      </c>
      <c r="AW48" s="118">
        <f>AV48-MAX(0,IFERROR(INDEX(CADASTRO!$I$4:$I$80,MATCH($A48,CADASTRO!$A$4:$A$80,0)),$B48)-CONFIG!$B$50*(COUNTIF($N48:$T48,"AB")+COUNTIF($N48:$T48,"FE")+COUNTIF($N48:$T48,"LM")))</f>
        <v/>
      </c>
      <c r="AX48" s="117">
        <f>SUMPRODUCT(($U48:$AA48="M")*6+($U48:$AA48="T")*6+($U48:$AA48="D")*12+($U48:$AA48="N")*12+($U48:$AA48="NT")*6+($U48:$AA48="C")*10+($U48:$AA48="A")*8+($U48:$AA48="J")*5+($U48:$AA48="CEP")*4+($U48:$AA48="CP")*6+($U48:$AA48="CRO")*6+($U48:$AA48="M+")*6+($U48:$AA48="T+")*6+($U48:$AA48="D+")*12+($U48:$AA48="N+")*12+($U48:$AA48="Dm+")*12+($U48:$AA48="Dt+")*12+($U48:$AA48="Tm-")*6+($U48:$AA48="Mt-")*6)</f>
        <v/>
      </c>
      <c r="AY48" s="118">
        <f>AX48-MAX(0,IFERROR(INDEX(CADASTRO!$I$4:$I$80,MATCH($A48,CADASTRO!$A$4:$A$80,0)),$B48)-CONFIG!$B$50*(COUNTIF($U48:$AA48,"AB")+COUNTIF($U48:$AA48,"FE")+COUNTIF($U48:$AA48,"LM")))</f>
        <v/>
      </c>
      <c r="AZ48" s="117">
        <f>SUMPRODUCT(($AB48:$AH48="M")*6+($AB48:$AH48="T")*6+($AB48:$AH48="D")*12+($AB48:$AH48="N")*12+($AB48:$AH48="NT")*6+($AB48:$AH48="C")*10+($AB48:$AH48="A")*8+($AB48:$AH48="J")*5+($AB48:$AH48="CEP")*4+($AB48:$AH48="CP")*6+($AB48:$AH48="CRO")*6+($AB48:$AH48="M+")*6+($AB48:$AH48="T+")*6+($AB48:$AH48="D+")*12+($AB48:$AH48="N+")*12+($AB48:$AH48="Dm+")*12+($AB48:$AH48="Dt+")*12+($AB48:$AH48="Tm-")*6+($AB48:$AH48="Mt-")*6)</f>
        <v/>
      </c>
      <c r="BA48" s="118">
        <f>AZ48-MAX(0,IFERROR(INDEX(CADASTRO!$I$4:$I$80,MATCH($A48,CADASTRO!$A$4:$A$80,0)),$B48)-CONFIG!$B$50*(COUNTIF($AB48:$AH48,"AB")+COUNTIF($AB48:$AH48,"FE")+COUNTIF($AB48:$AH48,"LM")))</f>
        <v/>
      </c>
      <c r="BB48" s="117">
        <f>SUMPRODUCT(($AI48:$AM48="M")*6+($AI48:$AM48="T")*6+($AI48:$AM48="D")*12+($AI48:$AM48="N")*12+($AI48:$AM48="NT")*6+($AI48:$AM48="C")*10+($AI48:$AM48="A")*8+($AI48:$AM48="J")*5+($AI48:$AM48="CEP")*4+($AI48:$AM48="CP")*6+($AI48:$AM48="CRO")*6+($AI48:$AM48="M+")*6+($AI48:$AM48="T+")*6+($AI48:$AM48="D+")*12+($AI48:$AM48="N+")*12+($AI48:$AM48="Dm+")*12+($AI48:$AM48="Dt+")*12+($AI48:$AM48="Tm-")*6+($AI48:$AM48="Mt-")*6)+SUMPRODUCT(($AN48:$AO48="M")*6+($AN48:$AO48="T")*6+($AN48:$AO48="D")*12+($AN48:$AO48="N")*12+($AN48:$AO48="NT")*6+($AN48:$AO48="C")*10+($AN48:$AO48="A")*8+($AN48:$AO48="J")*5+($AN48:$AO48="CEP")*4+($AN48:$AO48="CP")*6+($AN48:$AO48="CRO")*6+($AN48:$AO48="M+")*6+($AN48:$AO48="T+")*6+($AN48:$AO48="D+")*12+($AN48:$AO48="N+")*12+($AN48:$AO48="Dm+")*12+($AN48:$AO48="Dt+")*12+($AN48:$AO48="Tm-")*6+($AN48:$AO48="Mt-")*6)</f>
        <v/>
      </c>
      <c r="BC48" s="118">
        <f>BB48-MAX(0,IFERROR(INDEX(CADASTRO!$I$4:$I$80,MATCH($A48,CADASTRO!$A$4:$A$80,0)),$B48)-CONFIG!$B$50*(COUNTIF($AI48:$AM48,"AB")+COUNTIF($AI48:$AM48,"FE")+COUNTIF($AI48:$AM48,"LM")+COUNTIF($AN48:$AO48,"AB")+COUNTIF($AN48:$AO48,"FE")+COUNTIF($AN48:$AO48,"LM")))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36">
        <f>IFERROR(INDEX(JUN!AK$8:AK$73,MATCH($A49,JUN!$A$8:$A$73,0))&amp;"","")</f>
        <v/>
      </c>
      <c r="H49" s="136">
        <f>IFERROR(INDEX(JUN!AL$8:AL$73,MATCH($A49,JUN!$A$8:$A$73,0))&amp;"","")</f>
        <v/>
      </c>
      <c r="I49" s="124" t="inlineStr">
        <is>
          <t>D</t>
        </is>
      </c>
      <c r="J49" s="114" t="n"/>
      <c r="K49" s="114" t="n"/>
      <c r="L49" s="114" t="n"/>
      <c r="M49" s="114" t="n"/>
      <c r="N49" s="114" t="n"/>
      <c r="O49" s="114" t="n"/>
      <c r="P49" s="124" t="inlineStr">
        <is>
          <t>D</t>
        </is>
      </c>
      <c r="Q49" s="114" t="n"/>
      <c r="R49" s="114" t="n"/>
      <c r="S49" s="124" t="inlineStr">
        <is>
          <t>D</t>
        </is>
      </c>
      <c r="T49" s="114" t="n"/>
      <c r="U49" s="114" t="n"/>
      <c r="V49" s="114" t="n"/>
      <c r="W49" s="124" t="inlineStr">
        <is>
          <t>D</t>
        </is>
      </c>
      <c r="X49" s="114" t="n"/>
      <c r="Y49" s="125" t="inlineStr">
        <is>
          <t>N</t>
        </is>
      </c>
      <c r="Z49" s="114" t="n"/>
      <c r="AA49" s="114" t="n"/>
      <c r="AB49" s="114" t="n"/>
      <c r="AC49" s="114" t="n"/>
      <c r="AD49" s="124" t="inlineStr">
        <is>
          <t>D</t>
        </is>
      </c>
      <c r="AE49" s="114" t="n"/>
      <c r="AF49" s="114" t="n"/>
      <c r="AG49" s="114" t="n"/>
      <c r="AH49" s="124" t="inlineStr">
        <is>
          <t>D</t>
        </is>
      </c>
      <c r="AI49" s="124" t="inlineStr">
        <is>
          <t>D</t>
        </is>
      </c>
      <c r="AJ49" s="114" t="n"/>
      <c r="AK49" s="124" t="inlineStr">
        <is>
          <t>D</t>
        </is>
      </c>
      <c r="AL49" s="114" t="n"/>
      <c r="AM49" s="114" t="n"/>
      <c r="AN49" s="116">
        <f>IFERROR(INDEX(AGO!I$8:I$73,MATCH($A49,AGO!$A$8:$A$73,0))&amp;"","")</f>
        <v/>
      </c>
      <c r="AO49" s="116">
        <f>IFERROR(INDEX(AGO!J$8:J$73,MATCH($A49,AGO!$A$8:$A$73,0))&amp;"","")</f>
        <v/>
      </c>
      <c r="AP49" s="100" t="n"/>
      <c r="AQ49" s="100" t="n"/>
      <c r="AR49" s="100" t="n"/>
      <c r="AS49" s="100" t="n"/>
      <c r="AT49" s="117">
        <f>SUMPRODUCT(($G49:$M49="M")*6+($G49:$M49="T")*6+($G49:$M49="D")*12+($G49:$M49="N")*12+($G49:$M49="NT")*6+($G49:$M49="C")*10+($G49:$M49="A")*8+($G49:$M49="J")*5+($G49:$M49="CEP")*4+($G49:$M49="CP")*6+($G49:$M49="CRO")*6+($G49:$M49="M+")*6+($G49:$M49="T+")*6+($G49:$M49="D+")*12+($G49:$M49="N+")*12+($G49:$M49="Dm+")*12+($G49:$M49="Dt+")*12+($G49:$M49="Tm-")*6+($G49:$M49="Mt-")*6)</f>
        <v/>
      </c>
      <c r="AU49" s="118">
        <f>AT49-MAX(0,IFERROR(INDEX(CADASTRO!$I$4:$I$80,MATCH($A49,CADASTRO!$A$4:$A$80,0)),$B49)-CONFIG!$B$50*(COUNTIF($G49:$M49,"AB")+COUNTIF($G49:$M49,"FE")+COUNTIF($G49:$M49,"LM")))</f>
        <v/>
      </c>
      <c r="AV49" s="117">
        <f>SUMPRODUCT(($N49:$T49="M")*6+($N49:$T49="T")*6+($N49:$T49="D")*12+($N49:$T49="N")*12+($N49:$T49="NT")*6+($N49:$T49="C")*10+($N49:$T49="A")*8+($N49:$T49="J")*5+($N49:$T49="CEP")*4+($N49:$T49="CP")*6+($N49:$T49="CRO")*6+($N49:$T49="M+")*6+($N49:$T49="T+")*6+($N49:$T49="D+")*12+($N49:$T49="N+")*12+($N49:$T49="Dm+")*12+($N49:$T49="Dt+")*12+($N49:$T49="Tm-")*6+($N49:$T49="Mt-")*6)</f>
        <v/>
      </c>
      <c r="AW49" s="118">
        <f>AV49-MAX(0,IFERROR(INDEX(CADASTRO!$I$4:$I$80,MATCH($A49,CADASTRO!$A$4:$A$80,0)),$B49)-CONFIG!$B$50*(COUNTIF($N49:$T49,"AB")+COUNTIF($N49:$T49,"FE")+COUNTIF($N49:$T49,"LM")))</f>
        <v/>
      </c>
      <c r="AX49" s="117">
        <f>SUMPRODUCT(($U49:$AA49="M")*6+($U49:$AA49="T")*6+($U49:$AA49="D")*12+($U49:$AA49="N")*12+($U49:$AA49="NT")*6+($U49:$AA49="C")*10+($U49:$AA49="A")*8+($U49:$AA49="J")*5+($U49:$AA49="CEP")*4+($U49:$AA49="CP")*6+($U49:$AA49="CRO")*6+($U49:$AA49="M+")*6+($U49:$AA49="T+")*6+($U49:$AA49="D+")*12+($U49:$AA49="N+")*12+($U49:$AA49="Dm+")*12+($U49:$AA49="Dt+")*12+($U49:$AA49="Tm-")*6+($U49:$AA49="Mt-")*6)</f>
        <v/>
      </c>
      <c r="AY49" s="118">
        <f>AX49-MAX(0,IFERROR(INDEX(CADASTRO!$I$4:$I$80,MATCH($A49,CADASTRO!$A$4:$A$80,0)),$B49)-CONFIG!$B$50*(COUNTIF($U49:$AA49,"AB")+COUNTIF($U49:$AA49,"FE")+COUNTIF($U49:$AA49,"LM")))</f>
        <v/>
      </c>
      <c r="AZ49" s="117">
        <f>SUMPRODUCT(($AB49:$AH49="M")*6+($AB49:$AH49="T")*6+($AB49:$AH49="D")*12+($AB49:$AH49="N")*12+($AB49:$AH49="NT")*6+($AB49:$AH49="C")*10+($AB49:$AH49="A")*8+($AB49:$AH49="J")*5+($AB49:$AH49="CEP")*4+($AB49:$AH49="CP")*6+($AB49:$AH49="CRO")*6+($AB49:$AH49="M+")*6+($AB49:$AH49="T+")*6+($AB49:$AH49="D+")*12+($AB49:$AH49="N+")*12+($AB49:$AH49="Dm+")*12+($AB49:$AH49="Dt+")*12+($AB49:$AH49="Tm-")*6+($AB49:$AH49="Mt-")*6)</f>
        <v/>
      </c>
      <c r="BA49" s="118">
        <f>AZ49-MAX(0,IFERROR(INDEX(CADASTRO!$I$4:$I$80,MATCH($A49,CADASTRO!$A$4:$A$80,0)),$B49)-CONFIG!$B$50*(COUNTIF($AB49:$AH49,"AB")+COUNTIF($AB49:$AH49,"FE")+COUNTIF($AB49:$AH49,"LM")))</f>
        <v/>
      </c>
      <c r="BB49" s="117">
        <f>SUMPRODUCT(($AI49:$AM49="M")*6+($AI49:$AM49="T")*6+($AI49:$AM49="D")*12+($AI49:$AM49="N")*12+($AI49:$AM49="NT")*6+($AI49:$AM49="C")*10+($AI49:$AM49="A")*8+($AI49:$AM49="J")*5+($AI49:$AM49="CEP")*4+($AI49:$AM49="CP")*6+($AI49:$AM49="CRO")*6+($AI49:$AM49="M+")*6+($AI49:$AM49="T+")*6+($AI49:$AM49="D+")*12+($AI49:$AM49="N+")*12+($AI49:$AM49="Dm+")*12+($AI49:$AM49="Dt+")*12+($AI49:$AM49="Tm-")*6+($AI49:$AM49="Mt-")*6)+SUMPRODUCT(($AN49:$AO49="M")*6+($AN49:$AO49="T")*6+($AN49:$AO49="D")*12+($AN49:$AO49="N")*12+($AN49:$AO49="NT")*6+($AN49:$AO49="C")*10+($AN49:$AO49="A")*8+($AN49:$AO49="J")*5+($AN49:$AO49="CEP")*4+($AN49:$AO49="CP")*6+($AN49:$AO49="CRO")*6+($AN49:$AO49="M+")*6+($AN49:$AO49="T+")*6+($AN49:$AO49="D+")*12+($AN49:$AO49="N+")*12+($AN49:$AO49="Dm+")*12+($AN49:$AO49="Dt+")*12+($AN49:$AO49="Tm-")*6+($AN49:$AO49="Mt-")*6)</f>
        <v/>
      </c>
      <c r="BC49" s="118">
        <f>BB49-MAX(0,IFERROR(INDEX(CADASTRO!$I$4:$I$80,MATCH($A49,CADASTRO!$A$4:$A$80,0)),$B49)-CONFIG!$B$50*(COUNTIF($AI49:$AM49,"AB")+COUNTIF($AI49:$AM49,"FE")+COUNTIF($AI49:$AM49,"LM")+COUNTIF($AN49:$AO49,"AB")+COUNTIF($AN49:$AO49,"FE")+COUNTIF($AN49:$AO49,"LM")))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36">
        <f>IFERROR(INDEX(JUN!AK$8:AK$73,MATCH($A50,JUN!$A$8:$A$73,0))&amp;"","")</f>
        <v/>
      </c>
      <c r="H50" s="136">
        <f>IFERROR(INDEX(JUN!AL$8:AL$73,MATCH($A50,JUN!$A$8:$A$73,0))&amp;"","")</f>
        <v/>
      </c>
      <c r="I50" s="114" t="n"/>
      <c r="J50" s="114" t="n"/>
      <c r="K50" s="114" t="n"/>
      <c r="L50" s="125" t="inlineStr">
        <is>
          <t>N</t>
        </is>
      </c>
      <c r="M50" s="114" t="n"/>
      <c r="N50" s="114" t="n"/>
      <c r="O50" s="124" t="inlineStr">
        <is>
          <t>D</t>
        </is>
      </c>
      <c r="P50" s="114" t="n"/>
      <c r="Q50" s="114" t="n"/>
      <c r="R50" s="125" t="inlineStr">
        <is>
          <t>N</t>
        </is>
      </c>
      <c r="S50" s="114" t="n"/>
      <c r="T50" s="114" t="n"/>
      <c r="U50" s="115" t="inlineStr">
        <is>
          <t>M</t>
        </is>
      </c>
      <c r="V50" s="125" t="inlineStr">
        <is>
          <t>N</t>
        </is>
      </c>
      <c r="W50" s="114" t="n"/>
      <c r="X50" s="114" t="n"/>
      <c r="Y50" s="126" t="inlineStr">
        <is>
          <t>T</t>
        </is>
      </c>
      <c r="Z50" s="114" t="n"/>
      <c r="AA50" s="114" t="n"/>
      <c r="AB50" s="114" t="n"/>
      <c r="AC50" s="126" t="inlineStr">
        <is>
          <t>T</t>
        </is>
      </c>
      <c r="AD50" s="114" t="n"/>
      <c r="AE50" s="114" t="n"/>
      <c r="AF50" s="114" t="n"/>
      <c r="AG50" s="125" t="inlineStr">
        <is>
          <t>N</t>
        </is>
      </c>
      <c r="AH50" s="126" t="inlineStr">
        <is>
          <t>T</t>
        </is>
      </c>
      <c r="AI50" s="124" t="inlineStr">
        <is>
          <t>D</t>
        </is>
      </c>
      <c r="AJ50" s="114" t="n"/>
      <c r="AK50" s="114" t="n"/>
      <c r="AL50" s="114" t="n"/>
      <c r="AM50" s="126" t="inlineStr">
        <is>
          <t>T</t>
        </is>
      </c>
      <c r="AN50" s="116">
        <f>IFERROR(INDEX(AGO!I$8:I$73,MATCH($A50,AGO!$A$8:$A$73,0))&amp;"","")</f>
        <v/>
      </c>
      <c r="AO50" s="116">
        <f>IFERROR(INDEX(AGO!J$8:J$73,MATCH($A50,AGO!$A$8:$A$73,0))&amp;"","")</f>
        <v/>
      </c>
      <c r="AP50" s="100" t="n"/>
      <c r="AQ50" s="100" t="n"/>
      <c r="AR50" s="100" t="n"/>
      <c r="AS50" s="100" t="n"/>
      <c r="AT50" s="117">
        <f>SUMPRODUCT(($G50:$M50="M")*6+($G50:$M50="T")*6+($G50:$M50="D")*12+($G50:$M50="N")*12+($G50:$M50="NT")*6+($G50:$M50="C")*10+($G50:$M50="A")*8+($G50:$M50="J")*5+($G50:$M50="CEP")*4+($G50:$M50="CP")*6+($G50:$M50="CRO")*6+($G50:$M50="M+")*6+($G50:$M50="T+")*6+($G50:$M50="D+")*12+($G50:$M50="N+")*12+($G50:$M50="Dm+")*12+($G50:$M50="Dt+")*12+($G50:$M50="Tm-")*6+($G50:$M50="Mt-")*6)</f>
        <v/>
      </c>
      <c r="AU50" s="118">
        <f>AT50-MAX(0,IFERROR(INDEX(CADASTRO!$I$4:$I$80,MATCH($A50,CADASTRO!$A$4:$A$80,0)),$B50)-CONFIG!$B$50*(COUNTIF($G50:$M50,"AB")+COUNTIF($G50:$M50,"FE")+COUNTIF($G50:$M50,"LM")))</f>
        <v/>
      </c>
      <c r="AV50" s="117">
        <f>SUMPRODUCT(($N50:$T50="M")*6+($N50:$T50="T")*6+($N50:$T50="D")*12+($N50:$T50="N")*12+($N50:$T50="NT")*6+($N50:$T50="C")*10+($N50:$T50="A")*8+($N50:$T50="J")*5+($N50:$T50="CEP")*4+($N50:$T50="CP")*6+($N50:$T50="CRO")*6+($N50:$T50="M+")*6+($N50:$T50="T+")*6+($N50:$T50="D+")*12+($N50:$T50="N+")*12+($N50:$T50="Dm+")*12+($N50:$T50="Dt+")*12+($N50:$T50="Tm-")*6+($N50:$T50="Mt-")*6)</f>
        <v/>
      </c>
      <c r="AW50" s="118">
        <f>AV50-MAX(0,IFERROR(INDEX(CADASTRO!$I$4:$I$80,MATCH($A50,CADASTRO!$A$4:$A$80,0)),$B50)-CONFIG!$B$50*(COUNTIF($N50:$T50,"AB")+COUNTIF($N50:$T50,"FE")+COUNTIF($N50:$T50,"LM")))</f>
        <v/>
      </c>
      <c r="AX50" s="117">
        <f>SUMPRODUCT(($U50:$AA50="M")*6+($U50:$AA50="T")*6+($U50:$AA50="D")*12+($U50:$AA50="N")*12+($U50:$AA50="NT")*6+($U50:$AA50="C")*10+($U50:$AA50="A")*8+($U50:$AA50="J")*5+($U50:$AA50="CEP")*4+($U50:$AA50="CP")*6+($U50:$AA50="CRO")*6+($U50:$AA50="M+")*6+($U50:$AA50="T+")*6+($U50:$AA50="D+")*12+($U50:$AA50="N+")*12+($U50:$AA50="Dm+")*12+($U50:$AA50="Dt+")*12+($U50:$AA50="Tm-")*6+($U50:$AA50="Mt-")*6)</f>
        <v/>
      </c>
      <c r="AY50" s="118">
        <f>AX50-MAX(0,IFERROR(INDEX(CADASTRO!$I$4:$I$80,MATCH($A50,CADASTRO!$A$4:$A$80,0)),$B50)-CONFIG!$B$50*(COUNTIF($U50:$AA50,"AB")+COUNTIF($U50:$AA50,"FE")+COUNTIF($U50:$AA50,"LM")))</f>
        <v/>
      </c>
      <c r="AZ50" s="117">
        <f>SUMPRODUCT(($AB50:$AH50="M")*6+($AB50:$AH50="T")*6+($AB50:$AH50="D")*12+($AB50:$AH50="N")*12+($AB50:$AH50="NT")*6+($AB50:$AH50="C")*10+($AB50:$AH50="A")*8+($AB50:$AH50="J")*5+($AB50:$AH50="CEP")*4+($AB50:$AH50="CP")*6+($AB50:$AH50="CRO")*6+($AB50:$AH50="M+")*6+($AB50:$AH50="T+")*6+($AB50:$AH50="D+")*12+($AB50:$AH50="N+")*12+($AB50:$AH50="Dm+")*12+($AB50:$AH50="Dt+")*12+($AB50:$AH50="Tm-")*6+($AB50:$AH50="Mt-")*6)</f>
        <v/>
      </c>
      <c r="BA50" s="118">
        <f>AZ50-MAX(0,IFERROR(INDEX(CADASTRO!$I$4:$I$80,MATCH($A50,CADASTRO!$A$4:$A$80,0)),$B50)-CONFIG!$B$50*(COUNTIF($AB50:$AH50,"AB")+COUNTIF($AB50:$AH50,"FE")+COUNTIF($AB50:$AH50,"LM")))</f>
        <v/>
      </c>
      <c r="BB50" s="117">
        <f>SUMPRODUCT(($AI50:$AM50="M")*6+($AI50:$AM50="T")*6+($AI50:$AM50="D")*12+($AI50:$AM50="N")*12+($AI50:$AM50="NT")*6+($AI50:$AM50="C")*10+($AI50:$AM50="A")*8+($AI50:$AM50="J")*5+($AI50:$AM50="CEP")*4+($AI50:$AM50="CP")*6+($AI50:$AM50="CRO")*6+($AI50:$AM50="M+")*6+($AI50:$AM50="T+")*6+($AI50:$AM50="D+")*12+($AI50:$AM50="N+")*12+($AI50:$AM50="Dm+")*12+($AI50:$AM50="Dt+")*12+($AI50:$AM50="Tm-")*6+($AI50:$AM50="Mt-")*6)+SUMPRODUCT(($AN50:$AO50="M")*6+($AN50:$AO50="T")*6+($AN50:$AO50="D")*12+($AN50:$AO50="N")*12+($AN50:$AO50="NT")*6+($AN50:$AO50="C")*10+($AN50:$AO50="A")*8+($AN50:$AO50="J")*5+($AN50:$AO50="CEP")*4+($AN50:$AO50="CP")*6+($AN50:$AO50="CRO")*6+($AN50:$AO50="M+")*6+($AN50:$AO50="T+")*6+($AN50:$AO50="D+")*12+($AN50:$AO50="N+")*12+($AN50:$AO50="Dm+")*12+($AN50:$AO50="Dt+")*12+($AN50:$AO50="Tm-")*6+($AN50:$AO50="Mt-")*6)</f>
        <v/>
      </c>
      <c r="BC50" s="118">
        <f>BB50-MAX(0,IFERROR(INDEX(CADASTRO!$I$4:$I$80,MATCH($A50,CADASTRO!$A$4:$A$80,0)),$B50)-CONFIG!$B$50*(COUNTIF($AI50:$AM50,"AB")+COUNTIF($AI50:$AM50,"FE")+COUNTIF($AI50:$AM50,"LM")+COUNTIF($AN50:$AO50,"AB")+COUNTIF($AN50:$AO50,"FE")+COUNTIF($AN50:$AO50,"LM")))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36">
        <f>IFERROR(INDEX(JUN!AK$8:AK$73,MATCH($A51,JUN!$A$8:$A$73,0))&amp;"","")</f>
        <v/>
      </c>
      <c r="H51" s="136">
        <f>IFERROR(INDEX(JUN!AL$8:AL$73,MATCH($A51,JUN!$A$8:$A$73,0))&amp;"","")</f>
        <v/>
      </c>
      <c r="I51" s="138" t="inlineStr">
        <is>
          <t>LM</t>
        </is>
      </c>
      <c r="J51" s="138" t="inlineStr">
        <is>
          <t>LM</t>
        </is>
      </c>
      <c r="K51" s="138" t="inlineStr">
        <is>
          <t>LM</t>
        </is>
      </c>
      <c r="L51" s="138" t="inlineStr">
        <is>
          <t>LM</t>
        </is>
      </c>
      <c r="M51" s="138" t="inlineStr">
        <is>
          <t>LM</t>
        </is>
      </c>
      <c r="N51" s="138" t="inlineStr">
        <is>
          <t>LM</t>
        </is>
      </c>
      <c r="O51" s="138" t="inlineStr">
        <is>
          <t>LM</t>
        </is>
      </c>
      <c r="P51" s="138" t="inlineStr">
        <is>
          <t>LM</t>
        </is>
      </c>
      <c r="Q51" s="138" t="inlineStr">
        <is>
          <t>LM</t>
        </is>
      </c>
      <c r="R51" s="138" t="inlineStr">
        <is>
          <t>LM</t>
        </is>
      </c>
      <c r="S51" s="138" t="inlineStr">
        <is>
          <t>LM</t>
        </is>
      </c>
      <c r="T51" s="138" t="inlineStr">
        <is>
          <t>LM</t>
        </is>
      </c>
      <c r="U51" s="138" t="inlineStr">
        <is>
          <t>LM</t>
        </is>
      </c>
      <c r="V51" s="138" t="inlineStr">
        <is>
          <t>LM</t>
        </is>
      </c>
      <c r="W51" s="138" t="inlineStr">
        <is>
          <t>LM</t>
        </is>
      </c>
      <c r="X51" s="138" t="inlineStr">
        <is>
          <t>LM</t>
        </is>
      </c>
      <c r="Y51" s="138" t="inlineStr">
        <is>
          <t>LM</t>
        </is>
      </c>
      <c r="Z51" s="138" t="inlineStr">
        <is>
          <t>LM</t>
        </is>
      </c>
      <c r="AA51" s="138" t="inlineStr">
        <is>
          <t>LM</t>
        </is>
      </c>
      <c r="AB51" s="138" t="inlineStr">
        <is>
          <t>LM</t>
        </is>
      </c>
      <c r="AC51" s="138" t="inlineStr">
        <is>
          <t>LM</t>
        </is>
      </c>
      <c r="AD51" s="138" t="inlineStr">
        <is>
          <t>LM</t>
        </is>
      </c>
      <c r="AE51" s="138" t="inlineStr">
        <is>
          <t>LM</t>
        </is>
      </c>
      <c r="AF51" s="138" t="inlineStr">
        <is>
          <t>LM</t>
        </is>
      </c>
      <c r="AG51" s="138" t="inlineStr">
        <is>
          <t>LM</t>
        </is>
      </c>
      <c r="AH51" s="138" t="inlineStr">
        <is>
          <t>LM</t>
        </is>
      </c>
      <c r="AI51" s="138" t="inlineStr">
        <is>
          <t>LM</t>
        </is>
      </c>
      <c r="AJ51" s="138" t="inlineStr">
        <is>
          <t>LM</t>
        </is>
      </c>
      <c r="AK51" s="138" t="inlineStr">
        <is>
          <t>LM</t>
        </is>
      </c>
      <c r="AL51" s="138" t="inlineStr">
        <is>
          <t>LM</t>
        </is>
      </c>
      <c r="AM51" s="138" t="inlineStr">
        <is>
          <t>LM</t>
        </is>
      </c>
      <c r="AN51" s="116">
        <f>IFERROR(INDEX(AGO!I$8:I$73,MATCH($A51,AGO!$A$8:$A$73,0))&amp;"","")</f>
        <v/>
      </c>
      <c r="AO51" s="116">
        <f>IFERROR(INDEX(AGO!J$8:J$73,MATCH($A51,AGO!$A$8:$A$73,0))&amp;"","")</f>
        <v/>
      </c>
      <c r="AP51" s="100" t="n"/>
      <c r="AQ51" s="100" t="n"/>
      <c r="AR51" s="100" t="n"/>
      <c r="AS51" s="100" t="n"/>
      <c r="AT51" s="117">
        <f>SUMPRODUCT(($G51:$M51="M")*6+($G51:$M51="T")*6+($G51:$M51="D")*12+($G51:$M51="N")*12+($G51:$M51="NT")*6+($G51:$M51="C")*10+($G51:$M51="A")*8+($G51:$M51="J")*5+($G51:$M51="CEP")*4+($G51:$M51="CP")*6+($G51:$M51="CRO")*6+($G51:$M51="M+")*6+($G51:$M51="T+")*6+($G51:$M51="D+")*12+($G51:$M51="N+")*12+($G51:$M51="Dm+")*12+($G51:$M51="Dt+")*12+($G51:$M51="Tm-")*6+($G51:$M51="Mt-")*6)</f>
        <v/>
      </c>
      <c r="AU51" s="118">
        <f>AT51-MAX(0,IFERROR(INDEX(CADASTRO!$I$4:$I$80,MATCH($A51,CADASTRO!$A$4:$A$80,0)),$B51)-CONFIG!$B$50*(COUNTIF($G51:$M51,"AB")+COUNTIF($G51:$M51,"FE")+COUNTIF($G51:$M51,"LM")))</f>
        <v/>
      </c>
      <c r="AV51" s="117">
        <f>SUMPRODUCT(($N51:$T51="M")*6+($N51:$T51="T")*6+($N51:$T51="D")*12+($N51:$T51="N")*12+($N51:$T51="NT")*6+($N51:$T51="C")*10+($N51:$T51="A")*8+($N51:$T51="J")*5+($N51:$T51="CEP")*4+($N51:$T51="CP")*6+($N51:$T51="CRO")*6+($N51:$T51="M+")*6+($N51:$T51="T+")*6+($N51:$T51="D+")*12+($N51:$T51="N+")*12+($N51:$T51="Dm+")*12+($N51:$T51="Dt+")*12+($N51:$T51="Tm-")*6+($N51:$T51="Mt-")*6)</f>
        <v/>
      </c>
      <c r="AW51" s="118">
        <f>AV51-MAX(0,IFERROR(INDEX(CADASTRO!$I$4:$I$80,MATCH($A51,CADASTRO!$A$4:$A$80,0)),$B51)-CONFIG!$B$50*(COUNTIF($N51:$T51,"AB")+COUNTIF($N51:$T51,"FE")+COUNTIF($N51:$T51,"LM")))</f>
        <v/>
      </c>
      <c r="AX51" s="117">
        <f>SUMPRODUCT(($U51:$AA51="M")*6+($U51:$AA51="T")*6+($U51:$AA51="D")*12+($U51:$AA51="N")*12+($U51:$AA51="NT")*6+($U51:$AA51="C")*10+($U51:$AA51="A")*8+($U51:$AA51="J")*5+($U51:$AA51="CEP")*4+($U51:$AA51="CP")*6+($U51:$AA51="CRO")*6+($U51:$AA51="M+")*6+($U51:$AA51="T+")*6+($U51:$AA51="D+")*12+($U51:$AA51="N+")*12+($U51:$AA51="Dm+")*12+($U51:$AA51="Dt+")*12+($U51:$AA51="Tm-")*6+($U51:$AA51="Mt-")*6)</f>
        <v/>
      </c>
      <c r="AY51" s="118">
        <f>AX51-MAX(0,IFERROR(INDEX(CADASTRO!$I$4:$I$80,MATCH($A51,CADASTRO!$A$4:$A$80,0)),$B51)-CONFIG!$B$50*(COUNTIF($U51:$AA51,"AB")+COUNTIF($U51:$AA51,"FE")+COUNTIF($U51:$AA51,"LM")))</f>
        <v/>
      </c>
      <c r="AZ51" s="117">
        <f>SUMPRODUCT(($AB51:$AH51="M")*6+($AB51:$AH51="T")*6+($AB51:$AH51="D")*12+($AB51:$AH51="N")*12+($AB51:$AH51="NT")*6+($AB51:$AH51="C")*10+($AB51:$AH51="A")*8+($AB51:$AH51="J")*5+($AB51:$AH51="CEP")*4+($AB51:$AH51="CP")*6+($AB51:$AH51="CRO")*6+($AB51:$AH51="M+")*6+($AB51:$AH51="T+")*6+($AB51:$AH51="D+")*12+($AB51:$AH51="N+")*12+($AB51:$AH51="Dm+")*12+($AB51:$AH51="Dt+")*12+($AB51:$AH51="Tm-")*6+($AB51:$AH51="Mt-")*6)</f>
        <v/>
      </c>
      <c r="BA51" s="118">
        <f>AZ51-MAX(0,IFERROR(INDEX(CADASTRO!$I$4:$I$80,MATCH($A51,CADASTRO!$A$4:$A$80,0)),$B51)-CONFIG!$B$50*(COUNTIF($AB51:$AH51,"AB")+COUNTIF($AB51:$AH51,"FE")+COUNTIF($AB51:$AH51,"LM")))</f>
        <v/>
      </c>
      <c r="BB51" s="117">
        <f>SUMPRODUCT(($AI51:$AM51="M")*6+($AI51:$AM51="T")*6+($AI51:$AM51="D")*12+($AI51:$AM51="N")*12+($AI51:$AM51="NT")*6+($AI51:$AM51="C")*10+($AI51:$AM51="A")*8+($AI51:$AM51="J")*5+($AI51:$AM51="CEP")*4+($AI51:$AM51="CP")*6+($AI51:$AM51="CRO")*6+($AI51:$AM51="M+")*6+($AI51:$AM51="T+")*6+($AI51:$AM51="D+")*12+($AI51:$AM51="N+")*12+($AI51:$AM51="Dm+")*12+($AI51:$AM51="Dt+")*12+($AI51:$AM51="Tm-")*6+($AI51:$AM51="Mt-")*6)+SUMPRODUCT(($AN51:$AO51="M")*6+($AN51:$AO51="T")*6+($AN51:$AO51="D")*12+($AN51:$AO51="N")*12+($AN51:$AO51="NT")*6+($AN51:$AO51="C")*10+($AN51:$AO51="A")*8+($AN51:$AO51="J")*5+($AN51:$AO51="CEP")*4+($AN51:$AO51="CP")*6+($AN51:$AO51="CRO")*6+($AN51:$AO51="M+")*6+($AN51:$AO51="T+")*6+($AN51:$AO51="D+")*12+($AN51:$AO51="N+")*12+($AN51:$AO51="Dm+")*12+($AN51:$AO51="Dt+")*12+($AN51:$AO51="Tm-")*6+($AN51:$AO51="Mt-")*6)</f>
        <v/>
      </c>
      <c r="BC51" s="118">
        <f>BB51-MAX(0,IFERROR(INDEX(CADASTRO!$I$4:$I$80,MATCH($A51,CADASTRO!$A$4:$A$80,0)),$B51)-CONFIG!$B$50*(COUNTIF($AI51:$AM51,"AB")+COUNTIF($AI51:$AM51,"FE")+COUNTIF($AI51:$AM51,"LM")+COUNTIF($AN51:$AO51,"AB")+COUNTIF($AN51:$AO51,"FE")+COUNTIF($AN51:$AO51,"LM")))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36">
        <f>IFERROR(INDEX(JUN!AK$8:AK$73,MATCH($A52,JUN!$A$8:$A$73,0))&amp;"","")</f>
        <v/>
      </c>
      <c r="H52" s="136">
        <f>IFERROR(INDEX(JUN!AL$8:AL$73,MATCH($A52,JUN!$A$8:$A$73,0))&amp;"","")</f>
        <v/>
      </c>
      <c r="I52" s="114" t="n"/>
      <c r="J52" s="114" t="n"/>
      <c r="K52" s="125" t="inlineStr">
        <is>
          <t>N</t>
        </is>
      </c>
      <c r="L52" s="114" t="n"/>
      <c r="M52" s="114" t="n"/>
      <c r="N52" s="125" t="inlineStr">
        <is>
          <t>N</t>
        </is>
      </c>
      <c r="O52" s="114" t="n"/>
      <c r="P52" s="114" t="n"/>
      <c r="Q52" s="114" t="n"/>
      <c r="R52" s="114" t="n"/>
      <c r="S52" s="125" t="inlineStr">
        <is>
          <t>N</t>
        </is>
      </c>
      <c r="T52" s="114" t="n"/>
      <c r="U52" s="125" t="inlineStr">
        <is>
          <t>N</t>
        </is>
      </c>
      <c r="V52" s="114" t="n"/>
      <c r="W52" s="114" t="n"/>
      <c r="X52" s="114" t="n"/>
      <c r="Y52" s="125" t="inlineStr">
        <is>
          <t>N</t>
        </is>
      </c>
      <c r="Z52" s="114" t="n"/>
      <c r="AA52" s="114" t="n"/>
      <c r="AB52" s="125" t="inlineStr">
        <is>
          <t>N</t>
        </is>
      </c>
      <c r="AC52" s="114" t="n"/>
      <c r="AD52" s="114" t="n"/>
      <c r="AE52" s="114" t="n"/>
      <c r="AF52" s="125" t="inlineStr">
        <is>
          <t>N</t>
        </is>
      </c>
      <c r="AG52" s="114" t="n"/>
      <c r="AH52" s="114" t="n"/>
      <c r="AI52" s="128" t="inlineStr">
        <is>
          <t>NT</t>
        </is>
      </c>
      <c r="AJ52" s="114" t="n"/>
      <c r="AK52" s="114" t="n"/>
      <c r="AL52" s="114" t="n"/>
      <c r="AM52" s="114" t="n"/>
      <c r="AN52" s="116">
        <f>IFERROR(INDEX(AGO!I$8:I$73,MATCH($A52,AGO!$A$8:$A$73,0))&amp;"","")</f>
        <v/>
      </c>
      <c r="AO52" s="116">
        <f>IFERROR(INDEX(AGO!J$8:J$73,MATCH($A52,AGO!$A$8:$A$73,0))&amp;"","")</f>
        <v/>
      </c>
      <c r="AP52" s="100" t="n"/>
      <c r="AQ52" s="100" t="n"/>
      <c r="AR52" s="100" t="n"/>
      <c r="AS52" s="100" t="n"/>
      <c r="AT52" s="117">
        <f>SUMPRODUCT(($G52:$M52="M")*6+($G52:$M52="T")*6+($G52:$M52="D")*12+($G52:$M52="N")*12+($G52:$M52="NT")*6+($G52:$M52="C")*10+($G52:$M52="A")*8+($G52:$M52="J")*5+($G52:$M52="CEP")*4+($G52:$M52="CP")*6+($G52:$M52="CRO")*6+($G52:$M52="M+")*6+($G52:$M52="T+")*6+($G52:$M52="D+")*12+($G52:$M52="N+")*12+($G52:$M52="Dm+")*12+($G52:$M52="Dt+")*12+($G52:$M52="Tm-")*6+($G52:$M52="Mt-")*6)</f>
        <v/>
      </c>
      <c r="AU52" s="118">
        <f>AT52-MAX(0,IFERROR(INDEX(CADASTRO!$I$4:$I$80,MATCH($A52,CADASTRO!$A$4:$A$80,0)),$B52)-CONFIG!$B$50*(COUNTIF($G52:$M52,"AB")+COUNTIF($G52:$M52,"FE")+COUNTIF($G52:$M52,"LM")))</f>
        <v/>
      </c>
      <c r="AV52" s="117">
        <f>SUMPRODUCT(($N52:$T52="M")*6+($N52:$T52="T")*6+($N52:$T52="D")*12+($N52:$T52="N")*12+($N52:$T52="NT")*6+($N52:$T52="C")*10+($N52:$T52="A")*8+($N52:$T52="J")*5+($N52:$T52="CEP")*4+($N52:$T52="CP")*6+($N52:$T52="CRO")*6+($N52:$T52="M+")*6+($N52:$T52="T+")*6+($N52:$T52="D+")*12+($N52:$T52="N+")*12+($N52:$T52="Dm+")*12+($N52:$T52="Dt+")*12+($N52:$T52="Tm-")*6+($N52:$T52="Mt-")*6)</f>
        <v/>
      </c>
      <c r="AW52" s="118">
        <f>AV52-MAX(0,IFERROR(INDEX(CADASTRO!$I$4:$I$80,MATCH($A52,CADASTRO!$A$4:$A$80,0)),$B52)-CONFIG!$B$50*(COUNTIF($N52:$T52,"AB")+COUNTIF($N52:$T52,"FE")+COUNTIF($N52:$T52,"LM")))</f>
        <v/>
      </c>
      <c r="AX52" s="117">
        <f>SUMPRODUCT(($U52:$AA52="M")*6+($U52:$AA52="T")*6+($U52:$AA52="D")*12+($U52:$AA52="N")*12+($U52:$AA52="NT")*6+($U52:$AA52="C")*10+($U52:$AA52="A")*8+($U52:$AA52="J")*5+($U52:$AA52="CEP")*4+($U52:$AA52="CP")*6+($U52:$AA52="CRO")*6+($U52:$AA52="M+")*6+($U52:$AA52="T+")*6+($U52:$AA52="D+")*12+($U52:$AA52="N+")*12+($U52:$AA52="Dm+")*12+($U52:$AA52="Dt+")*12+($U52:$AA52="Tm-")*6+($U52:$AA52="Mt-")*6)</f>
        <v/>
      </c>
      <c r="AY52" s="118">
        <f>AX52-MAX(0,IFERROR(INDEX(CADASTRO!$I$4:$I$80,MATCH($A52,CADASTRO!$A$4:$A$80,0)),$B52)-CONFIG!$B$50*(COUNTIF($U52:$AA52,"AB")+COUNTIF($U52:$AA52,"FE")+COUNTIF($U52:$AA52,"LM")))</f>
        <v/>
      </c>
      <c r="AZ52" s="117">
        <f>SUMPRODUCT(($AB52:$AH52="M")*6+($AB52:$AH52="T")*6+($AB52:$AH52="D")*12+($AB52:$AH52="N")*12+($AB52:$AH52="NT")*6+($AB52:$AH52="C")*10+($AB52:$AH52="A")*8+($AB52:$AH52="J")*5+($AB52:$AH52="CEP")*4+($AB52:$AH52="CP")*6+($AB52:$AH52="CRO")*6+($AB52:$AH52="M+")*6+($AB52:$AH52="T+")*6+($AB52:$AH52="D+")*12+($AB52:$AH52="N+")*12+($AB52:$AH52="Dm+")*12+($AB52:$AH52="Dt+")*12+($AB52:$AH52="Tm-")*6+($AB52:$AH52="Mt-")*6)</f>
        <v/>
      </c>
      <c r="BA52" s="118">
        <f>AZ52-MAX(0,IFERROR(INDEX(CADASTRO!$I$4:$I$80,MATCH($A52,CADASTRO!$A$4:$A$80,0)),$B52)-CONFIG!$B$50*(COUNTIF($AB52:$AH52,"AB")+COUNTIF($AB52:$AH52,"FE")+COUNTIF($AB52:$AH52,"LM")))</f>
        <v/>
      </c>
      <c r="BB52" s="117">
        <f>SUMPRODUCT(($AI52:$AM52="M")*6+($AI52:$AM52="T")*6+($AI52:$AM52="D")*12+($AI52:$AM52="N")*12+($AI52:$AM52="NT")*6+($AI52:$AM52="C")*10+($AI52:$AM52="A")*8+($AI52:$AM52="J")*5+($AI52:$AM52="CEP")*4+($AI52:$AM52="CP")*6+($AI52:$AM52="CRO")*6+($AI52:$AM52="M+")*6+($AI52:$AM52="T+")*6+($AI52:$AM52="D+")*12+($AI52:$AM52="N+")*12+($AI52:$AM52="Dm+")*12+($AI52:$AM52="Dt+")*12+($AI52:$AM52="Tm-")*6+($AI52:$AM52="Mt-")*6)+SUMPRODUCT(($AN52:$AO52="M")*6+($AN52:$AO52="T")*6+($AN52:$AO52="D")*12+($AN52:$AO52="N")*12+($AN52:$AO52="NT")*6+($AN52:$AO52="C")*10+($AN52:$AO52="A")*8+($AN52:$AO52="J")*5+($AN52:$AO52="CEP")*4+($AN52:$AO52="CP")*6+($AN52:$AO52="CRO")*6+($AN52:$AO52="M+")*6+($AN52:$AO52="T+")*6+($AN52:$AO52="D+")*12+($AN52:$AO52="N+")*12+($AN52:$AO52="Dm+")*12+($AN52:$AO52="Dt+")*12+($AN52:$AO52="Tm-")*6+($AN52:$AO52="Mt-")*6)</f>
        <v/>
      </c>
      <c r="BC52" s="118">
        <f>BB52-MAX(0,IFERROR(INDEX(CADASTRO!$I$4:$I$80,MATCH($A52,CADASTRO!$A$4:$A$80,0)),$B52)-CONFIG!$B$50*(COUNTIF($AI52:$AM52,"AB")+COUNTIF($AI52:$AM52,"FE")+COUNTIF($AI52:$AM52,"LM")+COUNTIF($AN52:$AO52,"AB")+COUNTIF($AN52:$AO52,"FE")+COUNTIF($AN52:$AO52,"LM")))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36">
        <f>IFERROR(INDEX(JUN!AK$8:AK$73,MATCH($A53,JUN!$A$8:$A$73,0))&amp;"","")</f>
        <v/>
      </c>
      <c r="H53" s="136">
        <f>IFERROR(INDEX(JUN!AL$8:AL$73,MATCH($A53,JUN!$A$8:$A$73,0))&amp;"","")</f>
        <v/>
      </c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25" t="inlineStr">
        <is>
          <t>N</t>
        </is>
      </c>
      <c r="S53" s="114" t="n"/>
      <c r="T53" s="125" t="inlineStr">
        <is>
          <t>N</t>
        </is>
      </c>
      <c r="U53" s="125" t="inlineStr">
        <is>
          <t>N</t>
        </is>
      </c>
      <c r="V53" s="125" t="inlineStr">
        <is>
          <t>N</t>
        </is>
      </c>
      <c r="W53" s="114" t="n"/>
      <c r="X53" s="114" t="n"/>
      <c r="Y53" s="114" t="n"/>
      <c r="Z53" s="114" t="n"/>
      <c r="AA53" s="114" t="n"/>
      <c r="AB53" s="114" t="n"/>
      <c r="AC53" s="125" t="inlineStr">
        <is>
          <t>N</t>
        </is>
      </c>
      <c r="AD53" s="114" t="n"/>
      <c r="AE53" s="114" t="n"/>
      <c r="AF53" s="114" t="n"/>
      <c r="AG53" s="114" t="n"/>
      <c r="AH53" s="125" t="inlineStr">
        <is>
          <t>N</t>
        </is>
      </c>
      <c r="AI53" s="114" t="n"/>
      <c r="AJ53" s="125" t="inlineStr">
        <is>
          <t>N</t>
        </is>
      </c>
      <c r="AK53" s="114" t="n"/>
      <c r="AL53" s="114" t="n"/>
      <c r="AM53" s="114" t="n"/>
      <c r="AN53" s="116">
        <f>IFERROR(INDEX(AGO!I$8:I$73,MATCH($A53,AGO!$A$8:$A$73,0))&amp;"","")</f>
        <v/>
      </c>
      <c r="AO53" s="116">
        <f>IFERROR(INDEX(AGO!J$8:J$73,MATCH($A53,AGO!$A$8:$A$73,0))&amp;"","")</f>
        <v/>
      </c>
      <c r="AP53" s="100" t="n"/>
      <c r="AQ53" s="100" t="n"/>
      <c r="AR53" s="100" t="n"/>
      <c r="AS53" s="100" t="n"/>
      <c r="AT53" s="117">
        <f>SUMPRODUCT(($G53:$M53="M")*6+($G53:$M53="T")*6+($G53:$M53="D")*12+($G53:$M53="N")*12+($G53:$M53="NT")*6+($G53:$M53="C")*10+($G53:$M53="A")*8+($G53:$M53="J")*5+($G53:$M53="CEP")*4+($G53:$M53="CP")*6+($G53:$M53="CRO")*6+($G53:$M53="M+")*6+($G53:$M53="T+")*6+($G53:$M53="D+")*12+($G53:$M53="N+")*12+($G53:$M53="Dm+")*12+($G53:$M53="Dt+")*12+($G53:$M53="Tm-")*6+($G53:$M53="Mt-")*6)</f>
        <v/>
      </c>
      <c r="AU53" s="118">
        <f>AT53-MAX(0,IFERROR(INDEX(CADASTRO!$I$4:$I$80,MATCH($A53,CADASTRO!$A$4:$A$80,0)),$B53)-CONFIG!$B$50*(COUNTIF($G53:$M53,"AB")+COUNTIF($G53:$M53,"FE")+COUNTIF($G53:$M53,"LM")))</f>
        <v/>
      </c>
      <c r="AV53" s="117">
        <f>SUMPRODUCT(($N53:$T53="M")*6+($N53:$T53="T")*6+($N53:$T53="D")*12+($N53:$T53="N")*12+($N53:$T53="NT")*6+($N53:$T53="C")*10+($N53:$T53="A")*8+($N53:$T53="J")*5+($N53:$T53="CEP")*4+($N53:$T53="CP")*6+($N53:$T53="CRO")*6+($N53:$T53="M+")*6+($N53:$T53="T+")*6+($N53:$T53="D+")*12+($N53:$T53="N+")*12+($N53:$T53="Dm+")*12+($N53:$T53="Dt+")*12+($N53:$T53="Tm-")*6+($N53:$T53="Mt-")*6)</f>
        <v/>
      </c>
      <c r="AW53" s="118">
        <f>AV53-MAX(0,IFERROR(INDEX(CADASTRO!$I$4:$I$80,MATCH($A53,CADASTRO!$A$4:$A$80,0)),$B53)-CONFIG!$B$50*(COUNTIF($N53:$T53,"AB")+COUNTIF($N53:$T53,"FE")+COUNTIF($N53:$T53,"LM")))</f>
        <v/>
      </c>
      <c r="AX53" s="117">
        <f>SUMPRODUCT(($U53:$AA53="M")*6+($U53:$AA53="T")*6+($U53:$AA53="D")*12+($U53:$AA53="N")*12+($U53:$AA53="NT")*6+($U53:$AA53="C")*10+($U53:$AA53="A")*8+($U53:$AA53="J")*5+($U53:$AA53="CEP")*4+($U53:$AA53="CP")*6+($U53:$AA53="CRO")*6+($U53:$AA53="M+")*6+($U53:$AA53="T+")*6+($U53:$AA53="D+")*12+($U53:$AA53="N+")*12+($U53:$AA53="Dm+")*12+($U53:$AA53="Dt+")*12+($U53:$AA53="Tm-")*6+($U53:$AA53="Mt-")*6)</f>
        <v/>
      </c>
      <c r="AY53" s="118">
        <f>AX53-MAX(0,IFERROR(INDEX(CADASTRO!$I$4:$I$80,MATCH($A53,CADASTRO!$A$4:$A$80,0)),$B53)-CONFIG!$B$50*(COUNTIF($U53:$AA53,"AB")+COUNTIF($U53:$AA53,"FE")+COUNTIF($U53:$AA53,"LM")))</f>
        <v/>
      </c>
      <c r="AZ53" s="117">
        <f>SUMPRODUCT(($AB53:$AH53="M")*6+($AB53:$AH53="T")*6+($AB53:$AH53="D")*12+($AB53:$AH53="N")*12+($AB53:$AH53="NT")*6+($AB53:$AH53="C")*10+($AB53:$AH53="A")*8+($AB53:$AH53="J")*5+($AB53:$AH53="CEP")*4+($AB53:$AH53="CP")*6+($AB53:$AH53="CRO")*6+($AB53:$AH53="M+")*6+($AB53:$AH53="T+")*6+($AB53:$AH53="D+")*12+($AB53:$AH53="N+")*12+($AB53:$AH53="Dm+")*12+($AB53:$AH53="Dt+")*12+($AB53:$AH53="Tm-")*6+($AB53:$AH53="Mt-")*6)</f>
        <v/>
      </c>
      <c r="BA53" s="118">
        <f>AZ53-MAX(0,IFERROR(INDEX(CADASTRO!$I$4:$I$80,MATCH($A53,CADASTRO!$A$4:$A$80,0)),$B53)-CONFIG!$B$50*(COUNTIF($AB53:$AH53,"AB")+COUNTIF($AB53:$AH53,"FE")+COUNTIF($AB53:$AH53,"LM")))</f>
        <v/>
      </c>
      <c r="BB53" s="117">
        <f>SUMPRODUCT(($AI53:$AM53="M")*6+($AI53:$AM53="T")*6+($AI53:$AM53="D")*12+($AI53:$AM53="N")*12+($AI53:$AM53="NT")*6+($AI53:$AM53="C")*10+($AI53:$AM53="A")*8+($AI53:$AM53="J")*5+($AI53:$AM53="CEP")*4+($AI53:$AM53="CP")*6+($AI53:$AM53="CRO")*6+($AI53:$AM53="M+")*6+($AI53:$AM53="T+")*6+($AI53:$AM53="D+")*12+($AI53:$AM53="N+")*12+($AI53:$AM53="Dm+")*12+($AI53:$AM53="Dt+")*12+($AI53:$AM53="Tm-")*6+($AI53:$AM53="Mt-")*6)+SUMPRODUCT(($AN53:$AO53="M")*6+($AN53:$AO53="T")*6+($AN53:$AO53="D")*12+($AN53:$AO53="N")*12+($AN53:$AO53="NT")*6+($AN53:$AO53="C")*10+($AN53:$AO53="A")*8+($AN53:$AO53="J")*5+($AN53:$AO53="CEP")*4+($AN53:$AO53="CP")*6+($AN53:$AO53="CRO")*6+($AN53:$AO53="M+")*6+($AN53:$AO53="T+")*6+($AN53:$AO53="D+")*12+($AN53:$AO53="N+")*12+($AN53:$AO53="Dm+")*12+($AN53:$AO53="Dt+")*12+($AN53:$AO53="Tm-")*6+($AN53:$AO53="Mt-")*6)</f>
        <v/>
      </c>
      <c r="BC53" s="118">
        <f>BB53-MAX(0,IFERROR(INDEX(CADASTRO!$I$4:$I$80,MATCH($A53,CADASTRO!$A$4:$A$80,0)),$B53)-CONFIG!$B$50*(COUNTIF($AI53:$AM53,"AB")+COUNTIF($AI53:$AM53,"FE")+COUNTIF($AI53:$AM53,"LM")+COUNTIF($AN53:$AO53,"AB")+COUNTIF($AN53:$AO53,"FE")+COUNTIF($AN53:$AO53,"LM")))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36">
        <f>IFERROR(INDEX(JUN!AK$8:AK$73,MATCH($A54,JUN!$A$8:$A$73,0))&amp;"","")</f>
        <v/>
      </c>
      <c r="H54" s="136">
        <f>IFERROR(INDEX(JUN!AL$8:AL$73,MATCH($A54,JUN!$A$8:$A$73,0))&amp;"","")</f>
        <v/>
      </c>
      <c r="I54" s="114" t="n"/>
      <c r="J54" s="125" t="inlineStr">
        <is>
          <t>N</t>
        </is>
      </c>
      <c r="K54" s="114" t="n"/>
      <c r="L54" s="125" t="inlineStr">
        <is>
          <t>N</t>
        </is>
      </c>
      <c r="M54" s="114" t="n"/>
      <c r="N54" s="114" t="n"/>
      <c r="O54" s="114" t="n"/>
      <c r="P54" s="114" t="n"/>
      <c r="Q54" s="125" t="inlineStr">
        <is>
          <t>N</t>
        </is>
      </c>
      <c r="R54" s="114" t="n"/>
      <c r="S54" s="114" t="n"/>
      <c r="T54" s="125" t="inlineStr">
        <is>
          <t>N</t>
        </is>
      </c>
      <c r="U54" s="114" t="n"/>
      <c r="V54" s="114" t="n"/>
      <c r="W54" s="114" t="n"/>
      <c r="X54" s="125" t="inlineStr">
        <is>
          <t>N</t>
        </is>
      </c>
      <c r="Y54" s="114" t="n"/>
      <c r="Z54" s="125" t="inlineStr">
        <is>
          <t>N</t>
        </is>
      </c>
      <c r="AA54" s="114" t="n"/>
      <c r="AB54" s="114" t="n"/>
      <c r="AC54" s="114" t="n"/>
      <c r="AD54" s="114" t="n"/>
      <c r="AE54" s="125" t="inlineStr">
        <is>
          <t>N</t>
        </is>
      </c>
      <c r="AF54" s="114" t="n"/>
      <c r="AG54" s="125" t="inlineStr">
        <is>
          <t>N</t>
        </is>
      </c>
      <c r="AH54" s="114" t="n"/>
      <c r="AI54" s="114" t="n"/>
      <c r="AJ54" s="114" t="n"/>
      <c r="AK54" s="114" t="n"/>
      <c r="AL54" s="125" t="inlineStr">
        <is>
          <t>N</t>
        </is>
      </c>
      <c r="AM54" s="114" t="n"/>
      <c r="AN54" s="116">
        <f>IFERROR(INDEX(AGO!I$8:I$73,MATCH($A54,AGO!$A$8:$A$73,0))&amp;"","")</f>
        <v/>
      </c>
      <c r="AO54" s="116">
        <f>IFERROR(INDEX(AGO!J$8:J$73,MATCH($A54,AGO!$A$8:$A$73,0))&amp;"","")</f>
        <v/>
      </c>
      <c r="AP54" s="100" t="n"/>
      <c r="AQ54" s="100" t="n"/>
      <c r="AR54" s="100" t="n"/>
      <c r="AS54" s="100" t="n"/>
      <c r="AT54" s="117">
        <f>SUMPRODUCT(($G54:$M54="M")*6+($G54:$M54="T")*6+($G54:$M54="D")*12+($G54:$M54="N")*12+($G54:$M54="NT")*6+($G54:$M54="C")*10+($G54:$M54="A")*8+($G54:$M54="J")*5+($G54:$M54="CEP")*4+($G54:$M54="CP")*6+($G54:$M54="CRO")*6+($G54:$M54="M+")*6+($G54:$M54="T+")*6+($G54:$M54="D+")*12+($G54:$M54="N+")*12+($G54:$M54="Dm+")*12+($G54:$M54="Dt+")*12+($G54:$M54="Tm-")*6+($G54:$M54="Mt-")*6)</f>
        <v/>
      </c>
      <c r="AU54" s="118">
        <f>AT54-MAX(0,IFERROR(INDEX(CADASTRO!$I$4:$I$80,MATCH($A54,CADASTRO!$A$4:$A$80,0)),$B54)-CONFIG!$B$50*(COUNTIF($G54:$M54,"AB")+COUNTIF($G54:$M54,"FE")+COUNTIF($G54:$M54,"LM")))</f>
        <v/>
      </c>
      <c r="AV54" s="117">
        <f>SUMPRODUCT(($N54:$T54="M")*6+($N54:$T54="T")*6+($N54:$T54="D")*12+($N54:$T54="N")*12+($N54:$T54="NT")*6+($N54:$T54="C")*10+($N54:$T54="A")*8+($N54:$T54="J")*5+($N54:$T54="CEP")*4+($N54:$T54="CP")*6+($N54:$T54="CRO")*6+($N54:$T54="M+")*6+($N54:$T54="T+")*6+($N54:$T54="D+")*12+($N54:$T54="N+")*12+($N54:$T54="Dm+")*12+($N54:$T54="Dt+")*12+($N54:$T54="Tm-")*6+($N54:$T54="Mt-")*6)</f>
        <v/>
      </c>
      <c r="AW54" s="118">
        <f>AV54-MAX(0,IFERROR(INDEX(CADASTRO!$I$4:$I$80,MATCH($A54,CADASTRO!$A$4:$A$80,0)),$B54)-CONFIG!$B$50*(COUNTIF($N54:$T54,"AB")+COUNTIF($N54:$T54,"FE")+COUNTIF($N54:$T54,"LM")))</f>
        <v/>
      </c>
      <c r="AX54" s="117">
        <f>SUMPRODUCT(($U54:$AA54="M")*6+($U54:$AA54="T")*6+($U54:$AA54="D")*12+($U54:$AA54="N")*12+($U54:$AA54="NT")*6+($U54:$AA54="C")*10+($U54:$AA54="A")*8+($U54:$AA54="J")*5+($U54:$AA54="CEP")*4+($U54:$AA54="CP")*6+($U54:$AA54="CRO")*6+($U54:$AA54="M+")*6+($U54:$AA54="T+")*6+($U54:$AA54="D+")*12+($U54:$AA54="N+")*12+($U54:$AA54="Dm+")*12+($U54:$AA54="Dt+")*12+($U54:$AA54="Tm-")*6+($U54:$AA54="Mt-")*6)</f>
        <v/>
      </c>
      <c r="AY54" s="118">
        <f>AX54-MAX(0,IFERROR(INDEX(CADASTRO!$I$4:$I$80,MATCH($A54,CADASTRO!$A$4:$A$80,0)),$B54)-CONFIG!$B$50*(COUNTIF($U54:$AA54,"AB")+COUNTIF($U54:$AA54,"FE")+COUNTIF($U54:$AA54,"LM")))</f>
        <v/>
      </c>
      <c r="AZ54" s="117">
        <f>SUMPRODUCT(($AB54:$AH54="M")*6+($AB54:$AH54="T")*6+($AB54:$AH54="D")*12+($AB54:$AH54="N")*12+($AB54:$AH54="NT")*6+($AB54:$AH54="C")*10+($AB54:$AH54="A")*8+($AB54:$AH54="J")*5+($AB54:$AH54="CEP")*4+($AB54:$AH54="CP")*6+($AB54:$AH54="CRO")*6+($AB54:$AH54="M+")*6+($AB54:$AH54="T+")*6+($AB54:$AH54="D+")*12+($AB54:$AH54="N+")*12+($AB54:$AH54="Dm+")*12+($AB54:$AH54="Dt+")*12+($AB54:$AH54="Tm-")*6+($AB54:$AH54="Mt-")*6)</f>
        <v/>
      </c>
      <c r="BA54" s="118">
        <f>AZ54-MAX(0,IFERROR(INDEX(CADASTRO!$I$4:$I$80,MATCH($A54,CADASTRO!$A$4:$A$80,0)),$B54)-CONFIG!$B$50*(COUNTIF($AB54:$AH54,"AB")+COUNTIF($AB54:$AH54,"FE")+COUNTIF($AB54:$AH54,"LM")))</f>
        <v/>
      </c>
      <c r="BB54" s="117">
        <f>SUMPRODUCT(($AI54:$AM54="M")*6+($AI54:$AM54="T")*6+($AI54:$AM54="D")*12+($AI54:$AM54="N")*12+($AI54:$AM54="NT")*6+($AI54:$AM54="C")*10+($AI54:$AM54="A")*8+($AI54:$AM54="J")*5+($AI54:$AM54="CEP")*4+($AI54:$AM54="CP")*6+($AI54:$AM54="CRO")*6+($AI54:$AM54="M+")*6+($AI54:$AM54="T+")*6+($AI54:$AM54="D+")*12+($AI54:$AM54="N+")*12+($AI54:$AM54="Dm+")*12+($AI54:$AM54="Dt+")*12+($AI54:$AM54="Tm-")*6+($AI54:$AM54="Mt-")*6)+SUMPRODUCT(($AN54:$AO54="M")*6+($AN54:$AO54="T")*6+($AN54:$AO54="D")*12+($AN54:$AO54="N")*12+($AN54:$AO54="NT")*6+($AN54:$AO54="C")*10+($AN54:$AO54="A")*8+($AN54:$AO54="J")*5+($AN54:$AO54="CEP")*4+($AN54:$AO54="CP")*6+($AN54:$AO54="CRO")*6+($AN54:$AO54="M+")*6+($AN54:$AO54="T+")*6+($AN54:$AO54="D+")*12+($AN54:$AO54="N+")*12+($AN54:$AO54="Dm+")*12+($AN54:$AO54="Dt+")*12+($AN54:$AO54="Tm-")*6+($AN54:$AO54="Mt-")*6)</f>
        <v/>
      </c>
      <c r="BC54" s="118">
        <f>BB54-MAX(0,IFERROR(INDEX(CADASTRO!$I$4:$I$80,MATCH($A54,CADASTRO!$A$4:$A$80,0)),$B54)-CONFIG!$B$50*(COUNTIF($AI54:$AM54,"AB")+COUNTIF($AI54:$AM54,"FE")+COUNTIF($AI54:$AM54,"LM")+COUNTIF($AN54:$AO54,"AB")+COUNTIF($AN54:$AO54,"FE")+COUNTIF($AN54:$AO54,"LM")))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36">
        <f>IFERROR(INDEX(JUN!AK$8:AK$73,MATCH($A55,JUN!$A$8:$A$73,0))&amp;"","")</f>
        <v/>
      </c>
      <c r="H55" s="136">
        <f>IFERROR(INDEX(JUN!AL$8:AL$73,MATCH($A55,JUN!$A$8:$A$73,0))&amp;"","")</f>
        <v/>
      </c>
      <c r="I55" s="115" t="inlineStr">
        <is>
          <t>M</t>
        </is>
      </c>
      <c r="J55" s="114" t="n"/>
      <c r="K55" s="115" t="inlineStr">
        <is>
          <t>M</t>
        </is>
      </c>
      <c r="L55" s="115" t="inlineStr">
        <is>
          <t>M</t>
        </is>
      </c>
      <c r="M55" s="115" t="inlineStr">
        <is>
          <t>M</t>
        </is>
      </c>
      <c r="N55" s="115" t="inlineStr">
        <is>
          <t>M</t>
        </is>
      </c>
      <c r="O55" s="114" t="n"/>
      <c r="P55" s="114" t="n"/>
      <c r="Q55" s="115" t="inlineStr">
        <is>
          <t>M</t>
        </is>
      </c>
      <c r="R55" s="115" t="inlineStr">
        <is>
          <t>M</t>
        </is>
      </c>
      <c r="S55" s="114" t="n"/>
      <c r="T55" s="114" t="n"/>
      <c r="U55" s="115" t="inlineStr">
        <is>
          <t>M</t>
        </is>
      </c>
      <c r="V55" s="114" t="n"/>
      <c r="W55" s="115" t="inlineStr">
        <is>
          <t>M</t>
        </is>
      </c>
      <c r="X55" s="114" t="n"/>
      <c r="Y55" s="115" t="inlineStr">
        <is>
          <t>M</t>
        </is>
      </c>
      <c r="Z55" s="115" t="inlineStr">
        <is>
          <t>M</t>
        </is>
      </c>
      <c r="AA55" s="115" t="inlineStr">
        <is>
          <t>M</t>
        </is>
      </c>
      <c r="AB55" s="115" t="inlineStr">
        <is>
          <t>M</t>
        </is>
      </c>
      <c r="AC55" s="114" t="n"/>
      <c r="AD55" s="115" t="inlineStr">
        <is>
          <t>M</t>
        </is>
      </c>
      <c r="AE55" s="114" t="n"/>
      <c r="AF55" s="115" t="inlineStr">
        <is>
          <t>M</t>
        </is>
      </c>
      <c r="AG55" s="114" t="n"/>
      <c r="AH55" s="115" t="inlineStr">
        <is>
          <t>M</t>
        </is>
      </c>
      <c r="AI55" s="115" t="inlineStr">
        <is>
          <t>M</t>
        </is>
      </c>
      <c r="AJ55" s="114" t="n"/>
      <c r="AK55" s="114" t="n"/>
      <c r="AL55" s="115" t="inlineStr">
        <is>
          <t>M</t>
        </is>
      </c>
      <c r="AM55" s="114" t="n"/>
      <c r="AN55" s="116">
        <f>IFERROR(INDEX(AGO!I$8:I$73,MATCH($A55,AGO!$A$8:$A$73,0))&amp;"","")</f>
        <v/>
      </c>
      <c r="AO55" s="116">
        <f>IFERROR(INDEX(AGO!J$8:J$73,MATCH($A55,AGO!$A$8:$A$73,0))&amp;"","")</f>
        <v/>
      </c>
      <c r="AP55" s="100" t="n"/>
      <c r="AQ55" s="100" t="n"/>
      <c r="AR55" s="100" t="n"/>
      <c r="AS55" s="100" t="n"/>
      <c r="AT55" s="117">
        <f>SUMPRODUCT(($G55:$M55="M")*6+($G55:$M55="T")*6+($G55:$M55="D")*12+($G55:$M55="N")*12+($G55:$M55="NT")*6+($G55:$M55="C")*10+($G55:$M55="A")*8+($G55:$M55="J")*5+($G55:$M55="CEP")*4+($G55:$M55="CP")*6+($G55:$M55="CRO")*6+($G55:$M55="M+")*6+($G55:$M55="T+")*6+($G55:$M55="D+")*12+($G55:$M55="N+")*12+($G55:$M55="Dm+")*12+($G55:$M55="Dt+")*12+($G55:$M55="Tm-")*6+($G55:$M55="Mt-")*6)</f>
        <v/>
      </c>
      <c r="AU55" s="118">
        <f>AT55-MAX(0,IFERROR(INDEX(CADASTRO!$I$4:$I$80,MATCH($A55,CADASTRO!$A$4:$A$80,0)),$B55)-CONFIG!$B$50*(COUNTIF($G55:$M55,"AB")+COUNTIF($G55:$M55,"FE")+COUNTIF($G55:$M55,"LM")))</f>
        <v/>
      </c>
      <c r="AV55" s="117">
        <f>SUMPRODUCT(($N55:$T55="M")*6+($N55:$T55="T")*6+($N55:$T55="D")*12+($N55:$T55="N")*12+($N55:$T55="NT")*6+($N55:$T55="C")*10+($N55:$T55="A")*8+($N55:$T55="J")*5+($N55:$T55="CEP")*4+($N55:$T55="CP")*6+($N55:$T55="CRO")*6+($N55:$T55="M+")*6+($N55:$T55="T+")*6+($N55:$T55="D+")*12+($N55:$T55="N+")*12+($N55:$T55="Dm+")*12+($N55:$T55="Dt+")*12+($N55:$T55="Tm-")*6+($N55:$T55="Mt-")*6)</f>
        <v/>
      </c>
      <c r="AW55" s="118">
        <f>AV55-MAX(0,IFERROR(INDEX(CADASTRO!$I$4:$I$80,MATCH($A55,CADASTRO!$A$4:$A$80,0)),$B55)-CONFIG!$B$50*(COUNTIF($N55:$T55,"AB")+COUNTIF($N55:$T55,"FE")+COUNTIF($N55:$T55,"LM")))</f>
        <v/>
      </c>
      <c r="AX55" s="117">
        <f>SUMPRODUCT(($U55:$AA55="M")*6+($U55:$AA55="T")*6+($U55:$AA55="D")*12+($U55:$AA55="N")*12+($U55:$AA55="NT")*6+($U55:$AA55="C")*10+($U55:$AA55="A")*8+($U55:$AA55="J")*5+($U55:$AA55="CEP")*4+($U55:$AA55="CP")*6+($U55:$AA55="CRO")*6+($U55:$AA55="M+")*6+($U55:$AA55="T+")*6+($U55:$AA55="D+")*12+($U55:$AA55="N+")*12+($U55:$AA55="Dm+")*12+($U55:$AA55="Dt+")*12+($U55:$AA55="Tm-")*6+($U55:$AA55="Mt-")*6)</f>
        <v/>
      </c>
      <c r="AY55" s="118">
        <f>AX55-MAX(0,IFERROR(INDEX(CADASTRO!$I$4:$I$80,MATCH($A55,CADASTRO!$A$4:$A$80,0)),$B55)-CONFIG!$B$50*(COUNTIF($U55:$AA55,"AB")+COUNTIF($U55:$AA55,"FE")+COUNTIF($U55:$AA55,"LM")))</f>
        <v/>
      </c>
      <c r="AZ55" s="117">
        <f>SUMPRODUCT(($AB55:$AH55="M")*6+($AB55:$AH55="T")*6+($AB55:$AH55="D")*12+($AB55:$AH55="N")*12+($AB55:$AH55="NT")*6+($AB55:$AH55="C")*10+($AB55:$AH55="A")*8+($AB55:$AH55="J")*5+($AB55:$AH55="CEP")*4+($AB55:$AH55="CP")*6+($AB55:$AH55="CRO")*6+($AB55:$AH55="M+")*6+($AB55:$AH55="T+")*6+($AB55:$AH55="D+")*12+($AB55:$AH55="N+")*12+($AB55:$AH55="Dm+")*12+($AB55:$AH55="Dt+")*12+($AB55:$AH55="Tm-")*6+($AB55:$AH55="Mt-")*6)</f>
        <v/>
      </c>
      <c r="BA55" s="118">
        <f>AZ55-MAX(0,IFERROR(INDEX(CADASTRO!$I$4:$I$80,MATCH($A55,CADASTRO!$A$4:$A$80,0)),$B55)-CONFIG!$B$50*(COUNTIF($AB55:$AH55,"AB")+COUNTIF($AB55:$AH55,"FE")+COUNTIF($AB55:$AH55,"LM")))</f>
        <v/>
      </c>
      <c r="BB55" s="117">
        <f>SUMPRODUCT(($AI55:$AM55="M")*6+($AI55:$AM55="T")*6+($AI55:$AM55="D")*12+($AI55:$AM55="N")*12+($AI55:$AM55="NT")*6+($AI55:$AM55="C")*10+($AI55:$AM55="A")*8+($AI55:$AM55="J")*5+($AI55:$AM55="CEP")*4+($AI55:$AM55="CP")*6+($AI55:$AM55="CRO")*6+($AI55:$AM55="M+")*6+($AI55:$AM55="T+")*6+($AI55:$AM55="D+")*12+($AI55:$AM55="N+")*12+($AI55:$AM55="Dm+")*12+($AI55:$AM55="Dt+")*12+($AI55:$AM55="Tm-")*6+($AI55:$AM55="Mt-")*6)+SUMPRODUCT(($AN55:$AO55="M")*6+($AN55:$AO55="T")*6+($AN55:$AO55="D")*12+($AN55:$AO55="N")*12+($AN55:$AO55="NT")*6+($AN55:$AO55="C")*10+($AN55:$AO55="A")*8+($AN55:$AO55="J")*5+($AN55:$AO55="CEP")*4+($AN55:$AO55="CP")*6+($AN55:$AO55="CRO")*6+($AN55:$AO55="M+")*6+($AN55:$AO55="T+")*6+($AN55:$AO55="D+")*12+($AN55:$AO55="N+")*12+($AN55:$AO55="Dm+")*12+($AN55:$AO55="Dt+")*12+($AN55:$AO55="Tm-")*6+($AN55:$AO55="Mt-")*6)</f>
        <v/>
      </c>
      <c r="BC55" s="118">
        <f>BB55-MAX(0,IFERROR(INDEX(CADASTRO!$I$4:$I$80,MATCH($A55,CADASTRO!$A$4:$A$80,0)),$B55)-CONFIG!$B$50*(COUNTIF($AI55:$AM55,"AB")+COUNTIF($AI55:$AM55,"FE")+COUNTIF($AI55:$AM55,"LM")+COUNTIF($AN55:$AO55,"AB")+COUNTIF($AN55:$AO55,"FE")+COUNTIF($AN55:$AO55,"LM")))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36">
        <f>IFERROR(INDEX(JUN!AK$8:AK$73,MATCH($A56,JUN!$A$8:$A$73,0))&amp;"","")</f>
        <v/>
      </c>
      <c r="H56" s="136">
        <f>IFERROR(INDEX(JUN!AL$8:AL$73,MATCH($A56,JUN!$A$8:$A$73,0))&amp;"","")</f>
        <v/>
      </c>
      <c r="I56" s="114" t="n"/>
      <c r="J56" s="124" t="inlineStr">
        <is>
          <t>D</t>
        </is>
      </c>
      <c r="K56" s="114" t="n"/>
      <c r="L56" s="114" t="n"/>
      <c r="M56" s="114" t="n"/>
      <c r="N56" s="114" t="n"/>
      <c r="O56" s="124" t="inlineStr">
        <is>
          <t>D</t>
        </is>
      </c>
      <c r="P56" s="114" t="n"/>
      <c r="Q56" s="124" t="inlineStr">
        <is>
          <t>D</t>
        </is>
      </c>
      <c r="R56" s="114" t="n"/>
      <c r="S56" s="124" t="inlineStr">
        <is>
          <t>D</t>
        </is>
      </c>
      <c r="T56" s="114" t="n"/>
      <c r="U56" s="114" t="n"/>
      <c r="V56" s="124" t="inlineStr">
        <is>
          <t>D</t>
        </is>
      </c>
      <c r="W56" s="114" t="n"/>
      <c r="X56" s="124" t="inlineStr">
        <is>
          <t>D</t>
        </is>
      </c>
      <c r="Y56" s="114" t="n"/>
      <c r="Z56" s="114" t="n"/>
      <c r="AA56" s="114" t="n"/>
      <c r="AB56" s="114" t="n"/>
      <c r="AC56" s="124" t="inlineStr">
        <is>
          <t>D</t>
        </is>
      </c>
      <c r="AD56" s="114" t="n"/>
      <c r="AE56" s="124" t="inlineStr">
        <is>
          <t>D</t>
        </is>
      </c>
      <c r="AF56" s="114" t="n"/>
      <c r="AG56" s="124" t="inlineStr">
        <is>
          <t>D</t>
        </is>
      </c>
      <c r="AH56" s="114" t="n"/>
      <c r="AI56" s="114" t="n"/>
      <c r="AJ56" s="114" t="n"/>
      <c r="AK56" s="114" t="n"/>
      <c r="AL56" s="124" t="inlineStr">
        <is>
          <t>D</t>
        </is>
      </c>
      <c r="AM56" s="114" t="n"/>
      <c r="AN56" s="116">
        <f>IFERROR(INDEX(AGO!I$8:I$73,MATCH($A56,AGO!$A$8:$A$73,0))&amp;"","")</f>
        <v/>
      </c>
      <c r="AO56" s="116">
        <f>IFERROR(INDEX(AGO!J$8:J$73,MATCH($A56,AGO!$A$8:$A$73,0))&amp;"","")</f>
        <v/>
      </c>
      <c r="AP56" s="100" t="n"/>
      <c r="AQ56" s="100" t="n"/>
      <c r="AR56" s="100" t="n"/>
      <c r="AS56" s="100" t="n"/>
      <c r="AT56" s="117">
        <f>SUMPRODUCT(($G56:$M56="M")*6+($G56:$M56="T")*6+($G56:$M56="D")*12+($G56:$M56="N")*12+($G56:$M56="NT")*6+($G56:$M56="C")*10+($G56:$M56="A")*8+($G56:$M56="J")*5+($G56:$M56="CEP")*4+($G56:$M56="CP")*6+($G56:$M56="CRO")*6+($G56:$M56="M+")*6+($G56:$M56="T+")*6+($G56:$M56="D+")*12+($G56:$M56="N+")*12+($G56:$M56="Dm+")*12+($G56:$M56="Dt+")*12+($G56:$M56="Tm-")*6+($G56:$M56="Mt-")*6)</f>
        <v/>
      </c>
      <c r="AU56" s="118">
        <f>AT56-MAX(0,IFERROR(INDEX(CADASTRO!$I$4:$I$80,MATCH($A56,CADASTRO!$A$4:$A$80,0)),$B56)-CONFIG!$B$50*(COUNTIF($G56:$M56,"AB")+COUNTIF($G56:$M56,"FE")+COUNTIF($G56:$M56,"LM")))</f>
        <v/>
      </c>
      <c r="AV56" s="117">
        <f>SUMPRODUCT(($N56:$T56="M")*6+($N56:$T56="T")*6+($N56:$T56="D")*12+($N56:$T56="N")*12+($N56:$T56="NT")*6+($N56:$T56="C")*10+($N56:$T56="A")*8+($N56:$T56="J")*5+($N56:$T56="CEP")*4+($N56:$T56="CP")*6+($N56:$T56="CRO")*6+($N56:$T56="M+")*6+($N56:$T56="T+")*6+($N56:$T56="D+")*12+($N56:$T56="N+")*12+($N56:$T56="Dm+")*12+($N56:$T56="Dt+")*12+($N56:$T56="Tm-")*6+($N56:$T56="Mt-")*6)</f>
        <v/>
      </c>
      <c r="AW56" s="118">
        <f>AV56-MAX(0,IFERROR(INDEX(CADASTRO!$I$4:$I$80,MATCH($A56,CADASTRO!$A$4:$A$80,0)),$B56)-CONFIG!$B$50*(COUNTIF($N56:$T56,"AB")+COUNTIF($N56:$T56,"FE")+COUNTIF($N56:$T56,"LM")))</f>
        <v/>
      </c>
      <c r="AX56" s="117">
        <f>SUMPRODUCT(($U56:$AA56="M")*6+($U56:$AA56="T")*6+($U56:$AA56="D")*12+($U56:$AA56="N")*12+($U56:$AA56="NT")*6+($U56:$AA56="C")*10+($U56:$AA56="A")*8+($U56:$AA56="J")*5+($U56:$AA56="CEP")*4+($U56:$AA56="CP")*6+($U56:$AA56="CRO")*6+($U56:$AA56="M+")*6+($U56:$AA56="T+")*6+($U56:$AA56="D+")*12+($U56:$AA56="N+")*12+($U56:$AA56="Dm+")*12+($U56:$AA56="Dt+")*12+($U56:$AA56="Tm-")*6+($U56:$AA56="Mt-")*6)</f>
        <v/>
      </c>
      <c r="AY56" s="118">
        <f>AX56-MAX(0,IFERROR(INDEX(CADASTRO!$I$4:$I$80,MATCH($A56,CADASTRO!$A$4:$A$80,0)),$B56)-CONFIG!$B$50*(COUNTIF($U56:$AA56,"AB")+COUNTIF($U56:$AA56,"FE")+COUNTIF($U56:$AA56,"LM")))</f>
        <v/>
      </c>
      <c r="AZ56" s="117">
        <f>SUMPRODUCT(($AB56:$AH56="M")*6+($AB56:$AH56="T")*6+($AB56:$AH56="D")*12+($AB56:$AH56="N")*12+($AB56:$AH56="NT")*6+($AB56:$AH56="C")*10+($AB56:$AH56="A")*8+($AB56:$AH56="J")*5+($AB56:$AH56="CEP")*4+($AB56:$AH56="CP")*6+($AB56:$AH56="CRO")*6+($AB56:$AH56="M+")*6+($AB56:$AH56="T+")*6+($AB56:$AH56="D+")*12+($AB56:$AH56="N+")*12+($AB56:$AH56="Dm+")*12+($AB56:$AH56="Dt+")*12+($AB56:$AH56="Tm-")*6+($AB56:$AH56="Mt-")*6)</f>
        <v/>
      </c>
      <c r="BA56" s="118">
        <f>AZ56-MAX(0,IFERROR(INDEX(CADASTRO!$I$4:$I$80,MATCH($A56,CADASTRO!$A$4:$A$80,0)),$B56)-CONFIG!$B$50*(COUNTIF($AB56:$AH56,"AB")+COUNTIF($AB56:$AH56,"FE")+COUNTIF($AB56:$AH56,"LM")))</f>
        <v/>
      </c>
      <c r="BB56" s="117">
        <f>SUMPRODUCT(($AI56:$AM56="M")*6+($AI56:$AM56="T")*6+($AI56:$AM56="D")*12+($AI56:$AM56="N")*12+($AI56:$AM56="NT")*6+($AI56:$AM56="C")*10+($AI56:$AM56="A")*8+($AI56:$AM56="J")*5+($AI56:$AM56="CEP")*4+($AI56:$AM56="CP")*6+($AI56:$AM56="CRO")*6+($AI56:$AM56="M+")*6+($AI56:$AM56="T+")*6+($AI56:$AM56="D+")*12+($AI56:$AM56="N+")*12+($AI56:$AM56="Dm+")*12+($AI56:$AM56="Dt+")*12+($AI56:$AM56="Tm-")*6+($AI56:$AM56="Mt-")*6)+SUMPRODUCT(($AN56:$AO56="M")*6+($AN56:$AO56="T")*6+($AN56:$AO56="D")*12+($AN56:$AO56="N")*12+($AN56:$AO56="NT")*6+($AN56:$AO56="C")*10+($AN56:$AO56="A")*8+($AN56:$AO56="J")*5+($AN56:$AO56="CEP")*4+($AN56:$AO56="CP")*6+($AN56:$AO56="CRO")*6+($AN56:$AO56="M+")*6+($AN56:$AO56="T+")*6+($AN56:$AO56="D+")*12+($AN56:$AO56="N+")*12+($AN56:$AO56="Dm+")*12+($AN56:$AO56="Dt+")*12+($AN56:$AO56="Tm-")*6+($AN56:$AO56="Mt-")*6)</f>
        <v/>
      </c>
      <c r="BC56" s="118">
        <f>BB56-MAX(0,IFERROR(INDEX(CADASTRO!$I$4:$I$80,MATCH($A56,CADASTRO!$A$4:$A$80,0)),$B56)-CONFIG!$B$50*(COUNTIF($AI56:$AM56,"AB")+COUNTIF($AI56:$AM56,"FE")+COUNTIF($AI56:$AM56,"LM")+COUNTIF($AN56:$AO56,"AB")+COUNTIF($AN56:$AO56,"FE")+COUNTIF($AN56:$AO56,"LM")))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36">
        <f>IFERROR(INDEX(JUN!AK$8:AK$73,MATCH($A57,JUN!$A$8:$A$73,0))&amp;"","")</f>
        <v/>
      </c>
      <c r="H57" s="136">
        <f>IFERROR(INDEX(JUN!AL$8:AL$73,MATCH($A57,JUN!$A$8:$A$73,0))&amp;"","")</f>
        <v/>
      </c>
      <c r="I57" s="114" t="n"/>
      <c r="J57" s="125" t="inlineStr">
        <is>
          <t>N</t>
        </is>
      </c>
      <c r="K57" s="114" t="n"/>
      <c r="L57" s="124" t="inlineStr">
        <is>
          <t>D</t>
        </is>
      </c>
      <c r="M57" s="114" t="n"/>
      <c r="N57" s="125" t="inlineStr">
        <is>
          <t>N</t>
        </is>
      </c>
      <c r="O57" s="114" t="n"/>
      <c r="P57" s="114" t="n"/>
      <c r="Q57" s="114" t="n"/>
      <c r="R57" s="114" t="n"/>
      <c r="S57" s="124" t="inlineStr">
        <is>
          <t>D</t>
        </is>
      </c>
      <c r="T57" s="114" t="n"/>
      <c r="U57" s="125" t="inlineStr">
        <is>
          <t>N</t>
        </is>
      </c>
      <c r="V57" s="114" t="n"/>
      <c r="W57" s="114" t="n"/>
      <c r="X57" s="114" t="n"/>
      <c r="Y57" s="114" t="n"/>
      <c r="Z57" s="125" t="inlineStr">
        <is>
          <t>N</t>
        </is>
      </c>
      <c r="AA57" s="114" t="n"/>
      <c r="AB57" s="125" t="inlineStr">
        <is>
          <t>N</t>
        </is>
      </c>
      <c r="AC57" s="114" t="n"/>
      <c r="AD57" s="125" t="inlineStr">
        <is>
          <t>N</t>
        </is>
      </c>
      <c r="AE57" s="114" t="n"/>
      <c r="AF57" s="114" t="n"/>
      <c r="AG57" s="114" t="n"/>
      <c r="AH57" s="114" t="n"/>
      <c r="AI57" s="125" t="inlineStr">
        <is>
          <t>N</t>
        </is>
      </c>
      <c r="AJ57" s="114" t="n"/>
      <c r="AK57" s="125" t="inlineStr">
        <is>
          <t>N</t>
        </is>
      </c>
      <c r="AL57" s="114" t="n"/>
      <c r="AM57" s="114" t="n"/>
      <c r="AN57" s="116">
        <f>IFERROR(INDEX(AGO!I$8:I$73,MATCH($A57,AGO!$A$8:$A$73,0))&amp;"","")</f>
        <v/>
      </c>
      <c r="AO57" s="116">
        <f>IFERROR(INDEX(AGO!J$8:J$73,MATCH($A57,AGO!$A$8:$A$73,0))&amp;"","")</f>
        <v/>
      </c>
      <c r="AP57" s="100" t="n"/>
      <c r="AQ57" s="100" t="n"/>
      <c r="AR57" s="100" t="n"/>
      <c r="AS57" s="100" t="n"/>
      <c r="AT57" s="117">
        <f>SUMPRODUCT(($G57:$M57="M")*6+($G57:$M57="T")*6+($G57:$M57="D")*12+($G57:$M57="N")*12+($G57:$M57="NT")*6+($G57:$M57="C")*10+($G57:$M57="A")*8+($G57:$M57="J")*5+($G57:$M57="CEP")*4+($G57:$M57="CP")*6+($G57:$M57="CRO")*6+($G57:$M57="M+")*6+($G57:$M57="T+")*6+($G57:$M57="D+")*12+($G57:$M57="N+")*12+($G57:$M57="Dm+")*12+($G57:$M57="Dt+")*12+($G57:$M57="Tm-")*6+($G57:$M57="Mt-")*6)</f>
        <v/>
      </c>
      <c r="AU57" s="118">
        <f>AT57-MAX(0,IFERROR(INDEX(CADASTRO!$I$4:$I$80,MATCH($A57,CADASTRO!$A$4:$A$80,0)),$B57)-CONFIG!$B$50*(COUNTIF($G57:$M57,"AB")+COUNTIF($G57:$M57,"FE")+COUNTIF($G57:$M57,"LM")))</f>
        <v/>
      </c>
      <c r="AV57" s="117">
        <f>SUMPRODUCT(($N57:$T57="M")*6+($N57:$T57="T")*6+($N57:$T57="D")*12+($N57:$T57="N")*12+($N57:$T57="NT")*6+($N57:$T57="C")*10+($N57:$T57="A")*8+($N57:$T57="J")*5+($N57:$T57="CEP")*4+($N57:$T57="CP")*6+($N57:$T57="CRO")*6+($N57:$T57="M+")*6+($N57:$T57="T+")*6+($N57:$T57="D+")*12+($N57:$T57="N+")*12+($N57:$T57="Dm+")*12+($N57:$T57="Dt+")*12+($N57:$T57="Tm-")*6+($N57:$T57="Mt-")*6)</f>
        <v/>
      </c>
      <c r="AW57" s="118">
        <f>AV57-MAX(0,IFERROR(INDEX(CADASTRO!$I$4:$I$80,MATCH($A57,CADASTRO!$A$4:$A$80,0)),$B57)-CONFIG!$B$50*(COUNTIF($N57:$T57,"AB")+COUNTIF($N57:$T57,"FE")+COUNTIF($N57:$T57,"LM")))</f>
        <v/>
      </c>
      <c r="AX57" s="117">
        <f>SUMPRODUCT(($U57:$AA57="M")*6+($U57:$AA57="T")*6+($U57:$AA57="D")*12+($U57:$AA57="N")*12+($U57:$AA57="NT")*6+($U57:$AA57="C")*10+($U57:$AA57="A")*8+($U57:$AA57="J")*5+($U57:$AA57="CEP")*4+($U57:$AA57="CP")*6+($U57:$AA57="CRO")*6+($U57:$AA57="M+")*6+($U57:$AA57="T+")*6+($U57:$AA57="D+")*12+($U57:$AA57="N+")*12+($U57:$AA57="Dm+")*12+($U57:$AA57="Dt+")*12+($U57:$AA57="Tm-")*6+($U57:$AA57="Mt-")*6)</f>
        <v/>
      </c>
      <c r="AY57" s="118">
        <f>AX57-MAX(0,IFERROR(INDEX(CADASTRO!$I$4:$I$80,MATCH($A57,CADASTRO!$A$4:$A$80,0)),$B57)-CONFIG!$B$50*(COUNTIF($U57:$AA57,"AB")+COUNTIF($U57:$AA57,"FE")+COUNTIF($U57:$AA57,"LM")))</f>
        <v/>
      </c>
      <c r="AZ57" s="117">
        <f>SUMPRODUCT(($AB57:$AH57="M")*6+($AB57:$AH57="T")*6+($AB57:$AH57="D")*12+($AB57:$AH57="N")*12+($AB57:$AH57="NT")*6+($AB57:$AH57="C")*10+($AB57:$AH57="A")*8+($AB57:$AH57="J")*5+($AB57:$AH57="CEP")*4+($AB57:$AH57="CP")*6+($AB57:$AH57="CRO")*6+($AB57:$AH57="M+")*6+($AB57:$AH57="T+")*6+($AB57:$AH57="D+")*12+($AB57:$AH57="N+")*12+($AB57:$AH57="Dm+")*12+($AB57:$AH57="Dt+")*12+($AB57:$AH57="Tm-")*6+($AB57:$AH57="Mt-")*6)</f>
        <v/>
      </c>
      <c r="BA57" s="118">
        <f>AZ57-MAX(0,IFERROR(INDEX(CADASTRO!$I$4:$I$80,MATCH($A57,CADASTRO!$A$4:$A$80,0)),$B57)-CONFIG!$B$50*(COUNTIF($AB57:$AH57,"AB")+COUNTIF($AB57:$AH57,"FE")+COUNTIF($AB57:$AH57,"LM")))</f>
        <v/>
      </c>
      <c r="BB57" s="117">
        <f>SUMPRODUCT(($AI57:$AM57="M")*6+($AI57:$AM57="T")*6+($AI57:$AM57="D")*12+($AI57:$AM57="N")*12+($AI57:$AM57="NT")*6+($AI57:$AM57="C")*10+($AI57:$AM57="A")*8+($AI57:$AM57="J")*5+($AI57:$AM57="CEP")*4+($AI57:$AM57="CP")*6+($AI57:$AM57="CRO")*6+($AI57:$AM57="M+")*6+($AI57:$AM57="T+")*6+($AI57:$AM57="D+")*12+($AI57:$AM57="N+")*12+($AI57:$AM57="Dm+")*12+($AI57:$AM57="Dt+")*12+($AI57:$AM57="Tm-")*6+($AI57:$AM57="Mt-")*6)+SUMPRODUCT(($AN57:$AO57="M")*6+($AN57:$AO57="T")*6+($AN57:$AO57="D")*12+($AN57:$AO57="N")*12+($AN57:$AO57="NT")*6+($AN57:$AO57="C")*10+($AN57:$AO57="A")*8+($AN57:$AO57="J")*5+($AN57:$AO57="CEP")*4+($AN57:$AO57="CP")*6+($AN57:$AO57="CRO")*6+($AN57:$AO57="M+")*6+($AN57:$AO57="T+")*6+($AN57:$AO57="D+")*12+($AN57:$AO57="N+")*12+($AN57:$AO57="Dm+")*12+($AN57:$AO57="Dt+")*12+($AN57:$AO57="Tm-")*6+($AN57:$AO57="Mt-")*6)</f>
        <v/>
      </c>
      <c r="BC57" s="118">
        <f>BB57-MAX(0,IFERROR(INDEX(CADASTRO!$I$4:$I$80,MATCH($A57,CADASTRO!$A$4:$A$80,0)),$B57)-CONFIG!$B$50*(COUNTIF($AI57:$AM57,"AB")+COUNTIF($AI57:$AM57,"FE")+COUNTIF($AI57:$AM57,"LM")+COUNTIF($AN57:$AO57,"AB")+COUNTIF($AN57:$AO57,"FE")+COUNTIF($AN57:$AO57,"LM")))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36">
        <f>IFERROR(INDEX(JUN!AK$8:AK$73,MATCH($A58,JUN!$A$8:$A$73,0))&amp;"","")</f>
        <v/>
      </c>
      <c r="H58" s="136">
        <f>IFERROR(INDEX(JUN!AL$8:AL$73,MATCH($A58,JUN!$A$8:$A$73,0))&amp;"","")</f>
        <v/>
      </c>
      <c r="I58" s="114" t="n"/>
      <c r="J58" s="114" t="n"/>
      <c r="K58" s="125" t="inlineStr">
        <is>
          <t>N</t>
        </is>
      </c>
      <c r="L58" s="114" t="n"/>
      <c r="M58" s="124" t="inlineStr">
        <is>
          <t>D</t>
        </is>
      </c>
      <c r="N58" s="114" t="n"/>
      <c r="O58" s="114" t="n"/>
      <c r="P58" s="125" t="inlineStr">
        <is>
          <t>N</t>
        </is>
      </c>
      <c r="Q58" s="114" t="n"/>
      <c r="R58" s="114" t="n"/>
      <c r="S58" s="126" t="inlineStr">
        <is>
          <t>T</t>
        </is>
      </c>
      <c r="T58" s="115" t="inlineStr">
        <is>
          <t>M</t>
        </is>
      </c>
      <c r="U58" s="124" t="inlineStr">
        <is>
          <t>D</t>
        </is>
      </c>
      <c r="V58" s="114" t="n"/>
      <c r="W58" s="125" t="inlineStr">
        <is>
          <t>N</t>
        </is>
      </c>
      <c r="X58" s="114" t="n"/>
      <c r="Y58" s="114" t="n"/>
      <c r="Z58" s="114" t="n"/>
      <c r="AA58" s="114" t="n"/>
      <c r="AB58" s="114" t="n"/>
      <c r="AC58" s="114" t="n"/>
      <c r="AD58" s="125" t="inlineStr">
        <is>
          <t>N</t>
        </is>
      </c>
      <c r="AE58" s="114" t="n"/>
      <c r="AF58" s="124" t="inlineStr">
        <is>
          <t>D</t>
        </is>
      </c>
      <c r="AG58" s="114" t="n"/>
      <c r="AH58" s="114" t="n"/>
      <c r="AI58" s="124" t="inlineStr">
        <is>
          <t>D</t>
        </is>
      </c>
      <c r="AJ58" s="114" t="n"/>
      <c r="AK58" s="125" t="inlineStr">
        <is>
          <t>N</t>
        </is>
      </c>
      <c r="AL58" s="114" t="n"/>
      <c r="AM58" s="114" t="n"/>
      <c r="AN58" s="116">
        <f>IFERROR(INDEX(AGO!I$8:I$73,MATCH($A58,AGO!$A$8:$A$73,0))&amp;"","")</f>
        <v/>
      </c>
      <c r="AO58" s="116">
        <f>IFERROR(INDEX(AGO!J$8:J$73,MATCH($A58,AGO!$A$8:$A$73,0))&amp;"","")</f>
        <v/>
      </c>
      <c r="AP58" s="100" t="n"/>
      <c r="AQ58" s="100" t="n"/>
      <c r="AR58" s="100" t="n"/>
      <c r="AS58" s="100" t="n"/>
      <c r="AT58" s="117">
        <f>SUMPRODUCT(($G58:$M58="M")*6+($G58:$M58="T")*6+($G58:$M58="D")*12+($G58:$M58="N")*12+($G58:$M58="NT")*6+($G58:$M58="C")*10+($G58:$M58="A")*8+($G58:$M58="J")*5+($G58:$M58="CEP")*4+($G58:$M58="CP")*6+($G58:$M58="CRO")*6+($G58:$M58="M+")*6+($G58:$M58="T+")*6+($G58:$M58="D+")*12+($G58:$M58="N+")*12+($G58:$M58="Dm+")*12+($G58:$M58="Dt+")*12+($G58:$M58="Tm-")*6+($G58:$M58="Mt-")*6)</f>
        <v/>
      </c>
      <c r="AU58" s="118">
        <f>AT58-MAX(0,IFERROR(INDEX(CADASTRO!$I$4:$I$80,MATCH($A58,CADASTRO!$A$4:$A$80,0)),$B58)-CONFIG!$B$50*(COUNTIF($G58:$M58,"AB")+COUNTIF($G58:$M58,"FE")+COUNTIF($G58:$M58,"LM")))</f>
        <v/>
      </c>
      <c r="AV58" s="117">
        <f>SUMPRODUCT(($N58:$T58="M")*6+($N58:$T58="T")*6+($N58:$T58="D")*12+($N58:$T58="N")*12+($N58:$T58="NT")*6+($N58:$T58="C")*10+($N58:$T58="A")*8+($N58:$T58="J")*5+($N58:$T58="CEP")*4+($N58:$T58="CP")*6+($N58:$T58="CRO")*6+($N58:$T58="M+")*6+($N58:$T58="T+")*6+($N58:$T58="D+")*12+($N58:$T58="N+")*12+($N58:$T58="Dm+")*12+($N58:$T58="Dt+")*12+($N58:$T58="Tm-")*6+($N58:$T58="Mt-")*6)</f>
        <v/>
      </c>
      <c r="AW58" s="118">
        <f>AV58-MAX(0,IFERROR(INDEX(CADASTRO!$I$4:$I$80,MATCH($A58,CADASTRO!$A$4:$A$80,0)),$B58)-CONFIG!$B$50*(COUNTIF($N58:$T58,"AB")+COUNTIF($N58:$T58,"FE")+COUNTIF($N58:$T58,"LM")))</f>
        <v/>
      </c>
      <c r="AX58" s="117">
        <f>SUMPRODUCT(($U58:$AA58="M")*6+($U58:$AA58="T")*6+($U58:$AA58="D")*12+($U58:$AA58="N")*12+($U58:$AA58="NT")*6+($U58:$AA58="C")*10+($U58:$AA58="A")*8+($U58:$AA58="J")*5+($U58:$AA58="CEP")*4+($U58:$AA58="CP")*6+($U58:$AA58="CRO")*6+($U58:$AA58="M+")*6+($U58:$AA58="T+")*6+($U58:$AA58="D+")*12+($U58:$AA58="N+")*12+($U58:$AA58="Dm+")*12+($U58:$AA58="Dt+")*12+($U58:$AA58="Tm-")*6+($U58:$AA58="Mt-")*6)</f>
        <v/>
      </c>
      <c r="AY58" s="118">
        <f>AX58-MAX(0,IFERROR(INDEX(CADASTRO!$I$4:$I$80,MATCH($A58,CADASTRO!$A$4:$A$80,0)),$B58)-CONFIG!$B$50*(COUNTIF($U58:$AA58,"AB")+COUNTIF($U58:$AA58,"FE")+COUNTIF($U58:$AA58,"LM")))</f>
        <v/>
      </c>
      <c r="AZ58" s="117">
        <f>SUMPRODUCT(($AB58:$AH58="M")*6+($AB58:$AH58="T")*6+($AB58:$AH58="D")*12+($AB58:$AH58="N")*12+($AB58:$AH58="NT")*6+($AB58:$AH58="C")*10+($AB58:$AH58="A")*8+($AB58:$AH58="J")*5+($AB58:$AH58="CEP")*4+($AB58:$AH58="CP")*6+($AB58:$AH58="CRO")*6+($AB58:$AH58="M+")*6+($AB58:$AH58="T+")*6+($AB58:$AH58="D+")*12+($AB58:$AH58="N+")*12+($AB58:$AH58="Dm+")*12+($AB58:$AH58="Dt+")*12+($AB58:$AH58="Tm-")*6+($AB58:$AH58="Mt-")*6)</f>
        <v/>
      </c>
      <c r="BA58" s="118">
        <f>AZ58-MAX(0,IFERROR(INDEX(CADASTRO!$I$4:$I$80,MATCH($A58,CADASTRO!$A$4:$A$80,0)),$B58)-CONFIG!$B$50*(COUNTIF($AB58:$AH58,"AB")+COUNTIF($AB58:$AH58,"FE")+COUNTIF($AB58:$AH58,"LM")))</f>
        <v/>
      </c>
      <c r="BB58" s="117">
        <f>SUMPRODUCT(($AI58:$AM58="M")*6+($AI58:$AM58="T")*6+($AI58:$AM58="D")*12+($AI58:$AM58="N")*12+($AI58:$AM58="NT")*6+($AI58:$AM58="C")*10+($AI58:$AM58="A")*8+($AI58:$AM58="J")*5+($AI58:$AM58="CEP")*4+($AI58:$AM58="CP")*6+($AI58:$AM58="CRO")*6+($AI58:$AM58="M+")*6+($AI58:$AM58="T+")*6+($AI58:$AM58="D+")*12+($AI58:$AM58="N+")*12+($AI58:$AM58="Dm+")*12+($AI58:$AM58="Dt+")*12+($AI58:$AM58="Tm-")*6+($AI58:$AM58="Mt-")*6)+SUMPRODUCT(($AN58:$AO58="M")*6+($AN58:$AO58="T")*6+($AN58:$AO58="D")*12+($AN58:$AO58="N")*12+($AN58:$AO58="NT")*6+($AN58:$AO58="C")*10+($AN58:$AO58="A")*8+($AN58:$AO58="J")*5+($AN58:$AO58="CEP")*4+($AN58:$AO58="CP")*6+($AN58:$AO58="CRO")*6+($AN58:$AO58="M+")*6+($AN58:$AO58="T+")*6+($AN58:$AO58="D+")*12+($AN58:$AO58="N+")*12+($AN58:$AO58="Dm+")*12+($AN58:$AO58="Dt+")*12+($AN58:$AO58="Tm-")*6+($AN58:$AO58="Mt-")*6)</f>
        <v/>
      </c>
      <c r="BC58" s="118">
        <f>BB58-MAX(0,IFERROR(INDEX(CADASTRO!$I$4:$I$80,MATCH($A58,CADASTRO!$A$4:$A$80,0)),$B58)-CONFIG!$B$50*(COUNTIF($AI58:$AM58,"AB")+COUNTIF($AI58:$AM58,"FE")+COUNTIF($AI58:$AM58,"LM")+COUNTIF($AN58:$AO58,"AB")+COUNTIF($AN58:$AO58,"FE")+COUNTIF($AN58:$AO58,"LM")))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36">
        <f>IFERROR(INDEX(JUN!AK$8:AK$73,MATCH($A59,JUN!$A$8:$A$73,0))&amp;"","")</f>
        <v/>
      </c>
      <c r="H59" s="136">
        <f>IFERROR(INDEX(JUN!AL$8:AL$73,MATCH($A59,JUN!$A$8:$A$73,0))&amp;"","")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25" t="inlineStr">
        <is>
          <t>N</t>
        </is>
      </c>
      <c r="T59" s="114" t="n"/>
      <c r="U59" s="114" t="n"/>
      <c r="V59" s="114" t="n"/>
      <c r="W59" s="125" t="inlineStr">
        <is>
          <t>N</t>
        </is>
      </c>
      <c r="X59" s="114" t="n"/>
      <c r="Y59" s="125" t="inlineStr">
        <is>
          <t>N</t>
        </is>
      </c>
      <c r="Z59" s="114" t="n"/>
      <c r="AA59" s="114" t="n"/>
      <c r="AB59" s="126" t="inlineStr">
        <is>
          <t>T</t>
        </is>
      </c>
      <c r="AC59" s="114" t="n"/>
      <c r="AD59" s="125" t="inlineStr">
        <is>
          <t>N</t>
        </is>
      </c>
      <c r="AE59" s="114" t="n"/>
      <c r="AF59" s="126" t="inlineStr">
        <is>
          <t>T</t>
        </is>
      </c>
      <c r="AG59" s="114" t="n"/>
      <c r="AH59" s="114" t="n"/>
      <c r="AI59" s="114" t="n"/>
      <c r="AJ59" s="114" t="n"/>
      <c r="AK59" s="125" t="inlineStr">
        <is>
          <t>N</t>
        </is>
      </c>
      <c r="AL59" s="114" t="n"/>
      <c r="AM59" s="114" t="n"/>
      <c r="AN59" s="116">
        <f>IFERROR(INDEX(AGO!I$8:I$73,MATCH($A59,AGO!$A$8:$A$73,0))&amp;"","")</f>
        <v/>
      </c>
      <c r="AO59" s="116">
        <f>IFERROR(INDEX(AGO!J$8:J$73,MATCH($A59,AGO!$A$8:$A$73,0))&amp;"","")</f>
        <v/>
      </c>
      <c r="AP59" s="100" t="n"/>
      <c r="AQ59" s="100" t="n"/>
      <c r="AR59" s="100" t="n"/>
      <c r="AS59" s="100" t="n"/>
      <c r="AT59" s="117">
        <f>SUMPRODUCT(($G59:$M59="M")*6+($G59:$M59="T")*6+($G59:$M59="D")*12+($G59:$M59="N")*12+($G59:$M59="NT")*6+($G59:$M59="C")*10+($G59:$M59="A")*8+($G59:$M59="J")*5+($G59:$M59="CEP")*4+($G59:$M59="CP")*6+($G59:$M59="CRO")*6+($G59:$M59="M+")*6+($G59:$M59="T+")*6+($G59:$M59="D+")*12+($G59:$M59="N+")*12+($G59:$M59="Dm+")*12+($G59:$M59="Dt+")*12+($G59:$M59="Tm-")*6+($G59:$M59="Mt-")*6)</f>
        <v/>
      </c>
      <c r="AU59" s="118">
        <f>AT59-MAX(0,IFERROR(INDEX(CADASTRO!$I$4:$I$80,MATCH($A59,CADASTRO!$A$4:$A$80,0)),$B59)-CONFIG!$B$50*(COUNTIF($G59:$M59,"AB")+COUNTIF($G59:$M59,"FE")+COUNTIF($G59:$M59,"LM")))</f>
        <v/>
      </c>
      <c r="AV59" s="117">
        <f>SUMPRODUCT(($N59:$T59="M")*6+($N59:$T59="T")*6+($N59:$T59="D")*12+($N59:$T59="N")*12+($N59:$T59="NT")*6+($N59:$T59="C")*10+($N59:$T59="A")*8+($N59:$T59="J")*5+($N59:$T59="CEP")*4+($N59:$T59="CP")*6+($N59:$T59="CRO")*6+($N59:$T59="M+")*6+($N59:$T59="T+")*6+($N59:$T59="D+")*12+($N59:$T59="N+")*12+($N59:$T59="Dm+")*12+($N59:$T59="Dt+")*12+($N59:$T59="Tm-")*6+($N59:$T59="Mt-")*6)</f>
        <v/>
      </c>
      <c r="AW59" s="118">
        <f>AV59-MAX(0,IFERROR(INDEX(CADASTRO!$I$4:$I$80,MATCH($A59,CADASTRO!$A$4:$A$80,0)),$B59)-CONFIG!$B$50*(COUNTIF($N59:$T59,"AB")+COUNTIF($N59:$T59,"FE")+COUNTIF($N59:$T59,"LM")))</f>
        <v/>
      </c>
      <c r="AX59" s="117">
        <f>SUMPRODUCT(($U59:$AA59="M")*6+($U59:$AA59="T")*6+($U59:$AA59="D")*12+($U59:$AA59="N")*12+($U59:$AA59="NT")*6+($U59:$AA59="C")*10+($U59:$AA59="A")*8+($U59:$AA59="J")*5+($U59:$AA59="CEP")*4+($U59:$AA59="CP")*6+($U59:$AA59="CRO")*6+($U59:$AA59="M+")*6+($U59:$AA59="T+")*6+($U59:$AA59="D+")*12+($U59:$AA59="N+")*12+($U59:$AA59="Dm+")*12+($U59:$AA59="Dt+")*12+($U59:$AA59="Tm-")*6+($U59:$AA59="Mt-")*6)</f>
        <v/>
      </c>
      <c r="AY59" s="118">
        <f>AX59-MAX(0,IFERROR(INDEX(CADASTRO!$I$4:$I$80,MATCH($A59,CADASTRO!$A$4:$A$80,0)),$B59)-CONFIG!$B$50*(COUNTIF($U59:$AA59,"AB")+COUNTIF($U59:$AA59,"FE")+COUNTIF($U59:$AA59,"LM")))</f>
        <v/>
      </c>
      <c r="AZ59" s="117">
        <f>SUMPRODUCT(($AB59:$AH59="M")*6+($AB59:$AH59="T")*6+($AB59:$AH59="D")*12+($AB59:$AH59="N")*12+($AB59:$AH59="NT")*6+($AB59:$AH59="C")*10+($AB59:$AH59="A")*8+($AB59:$AH59="J")*5+($AB59:$AH59="CEP")*4+($AB59:$AH59="CP")*6+($AB59:$AH59="CRO")*6+($AB59:$AH59="M+")*6+($AB59:$AH59="T+")*6+($AB59:$AH59="D+")*12+($AB59:$AH59="N+")*12+($AB59:$AH59="Dm+")*12+($AB59:$AH59="Dt+")*12+($AB59:$AH59="Tm-")*6+($AB59:$AH59="Mt-")*6)</f>
        <v/>
      </c>
      <c r="BA59" s="118">
        <f>AZ59-MAX(0,IFERROR(INDEX(CADASTRO!$I$4:$I$80,MATCH($A59,CADASTRO!$A$4:$A$80,0)),$B59)-CONFIG!$B$50*(COUNTIF($AB59:$AH59,"AB")+COUNTIF($AB59:$AH59,"FE")+COUNTIF($AB59:$AH59,"LM")))</f>
        <v/>
      </c>
      <c r="BB59" s="117">
        <f>SUMPRODUCT(($AI59:$AM59="M")*6+($AI59:$AM59="T")*6+($AI59:$AM59="D")*12+($AI59:$AM59="N")*12+($AI59:$AM59="NT")*6+($AI59:$AM59="C")*10+($AI59:$AM59="A")*8+($AI59:$AM59="J")*5+($AI59:$AM59="CEP")*4+($AI59:$AM59="CP")*6+($AI59:$AM59="CRO")*6+($AI59:$AM59="M+")*6+($AI59:$AM59="T+")*6+($AI59:$AM59="D+")*12+($AI59:$AM59="N+")*12+($AI59:$AM59="Dm+")*12+($AI59:$AM59="Dt+")*12+($AI59:$AM59="Tm-")*6+($AI59:$AM59="Mt-")*6)+SUMPRODUCT(($AN59:$AO59="M")*6+($AN59:$AO59="T")*6+($AN59:$AO59="D")*12+($AN59:$AO59="N")*12+($AN59:$AO59="NT")*6+($AN59:$AO59="C")*10+($AN59:$AO59="A")*8+($AN59:$AO59="J")*5+($AN59:$AO59="CEP")*4+($AN59:$AO59="CP")*6+($AN59:$AO59="CRO")*6+($AN59:$AO59="M+")*6+($AN59:$AO59="T+")*6+($AN59:$AO59="D+")*12+($AN59:$AO59="N+")*12+($AN59:$AO59="Dm+")*12+($AN59:$AO59="Dt+")*12+($AN59:$AO59="Tm-")*6+($AN59:$AO59="Mt-")*6)</f>
        <v/>
      </c>
      <c r="BC59" s="118">
        <f>BB59-MAX(0,IFERROR(INDEX(CADASTRO!$I$4:$I$80,MATCH($A59,CADASTRO!$A$4:$A$80,0)),$B59)-CONFIG!$B$50*(COUNTIF($AI59:$AM59,"AB")+COUNTIF($AI59:$AM59,"FE")+COUNTIF($AI59:$AM59,"LM")+COUNTIF($AN59:$AO59,"AB")+COUNTIF($AN59:$AO59,"FE")+COUNTIF($AN59:$AO59,"LM")))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36">
        <f>IFERROR(INDEX(JUN!AK$8:AK$73,MATCH($A60,JUN!$A$8:$A$73,0))&amp;"","")</f>
        <v/>
      </c>
      <c r="H60" s="136">
        <f>IFERROR(INDEX(JUN!AL$8:AL$73,MATCH($A60,JUN!$A$8:$A$73,0))&amp;"","")</f>
        <v/>
      </c>
      <c r="I60" s="114" t="n"/>
      <c r="J60" s="114" t="n"/>
      <c r="K60" s="125" t="inlineStr">
        <is>
          <t>N</t>
        </is>
      </c>
      <c r="L60" s="114" t="n"/>
      <c r="M60" s="125" t="inlineStr">
        <is>
          <t>N</t>
        </is>
      </c>
      <c r="N60" s="114" t="n"/>
      <c r="O60" s="114" t="n"/>
      <c r="P60" s="114" t="n"/>
      <c r="Q60" s="114" t="n"/>
      <c r="R60" s="125" t="inlineStr">
        <is>
          <t>N</t>
        </is>
      </c>
      <c r="S60" s="114" t="n"/>
      <c r="T60" s="124" t="inlineStr">
        <is>
          <t>D</t>
        </is>
      </c>
      <c r="U60" s="114" t="n"/>
      <c r="V60" s="126" t="inlineStr">
        <is>
          <t>T</t>
        </is>
      </c>
      <c r="W60" s="114" t="n"/>
      <c r="X60" s="126" t="inlineStr">
        <is>
          <t>T</t>
        </is>
      </c>
      <c r="Y60" s="114" t="n"/>
      <c r="Z60" s="114" t="n"/>
      <c r="AA60" s="124" t="inlineStr">
        <is>
          <t>D</t>
        </is>
      </c>
      <c r="AB60" s="114" t="n"/>
      <c r="AC60" s="126" t="inlineStr">
        <is>
          <t>T</t>
        </is>
      </c>
      <c r="AD60" s="114" t="n"/>
      <c r="AE60" s="114" t="n"/>
      <c r="AF60" s="126" t="inlineStr">
        <is>
          <t>T</t>
        </is>
      </c>
      <c r="AG60" s="114" t="n"/>
      <c r="AH60" s="125" t="inlineStr">
        <is>
          <t>N</t>
        </is>
      </c>
      <c r="AI60" s="114" t="n"/>
      <c r="AJ60" s="126" t="inlineStr">
        <is>
          <t>T</t>
        </is>
      </c>
      <c r="AK60" s="114" t="n"/>
      <c r="AL60" s="126" t="inlineStr">
        <is>
          <t>T</t>
        </is>
      </c>
      <c r="AM60" s="114" t="n"/>
      <c r="AN60" s="116">
        <f>IFERROR(INDEX(AGO!I$8:I$73,MATCH($A60,AGO!$A$8:$A$73,0))&amp;"","")</f>
        <v/>
      </c>
      <c r="AO60" s="116">
        <f>IFERROR(INDEX(AGO!J$8:J$73,MATCH($A60,AGO!$A$8:$A$73,0))&amp;"","")</f>
        <v/>
      </c>
      <c r="AP60" s="100" t="n"/>
      <c r="AQ60" s="100" t="n"/>
      <c r="AR60" s="100" t="n"/>
      <c r="AS60" s="100" t="n"/>
      <c r="AT60" s="117">
        <f>SUMPRODUCT(($G60:$M60="M")*6+($G60:$M60="T")*6+($G60:$M60="D")*12+($G60:$M60="N")*12+($G60:$M60="NT")*6+($G60:$M60="C")*10+($G60:$M60="A")*8+($G60:$M60="J")*5+($G60:$M60="CEP")*4+($G60:$M60="CP")*6+($G60:$M60="CRO")*6+($G60:$M60="M+")*6+($G60:$M60="T+")*6+($G60:$M60="D+")*12+($G60:$M60="N+")*12+($G60:$M60="Dm+")*12+($G60:$M60="Dt+")*12+($G60:$M60="Tm-")*6+($G60:$M60="Mt-")*6)</f>
        <v/>
      </c>
      <c r="AU60" s="118">
        <f>AT60-MAX(0,IFERROR(INDEX(CADASTRO!$I$4:$I$80,MATCH($A60,CADASTRO!$A$4:$A$80,0)),$B60)-CONFIG!$B$50*(COUNTIF($G60:$M60,"AB")+COUNTIF($G60:$M60,"FE")+COUNTIF($G60:$M60,"LM")))</f>
        <v/>
      </c>
      <c r="AV60" s="117">
        <f>SUMPRODUCT(($N60:$T60="M")*6+($N60:$T60="T")*6+($N60:$T60="D")*12+($N60:$T60="N")*12+($N60:$T60="NT")*6+($N60:$T60="C")*10+($N60:$T60="A")*8+($N60:$T60="J")*5+($N60:$T60="CEP")*4+($N60:$T60="CP")*6+($N60:$T60="CRO")*6+($N60:$T60="M+")*6+($N60:$T60="T+")*6+($N60:$T60="D+")*12+($N60:$T60="N+")*12+($N60:$T60="Dm+")*12+($N60:$T60="Dt+")*12+($N60:$T60="Tm-")*6+($N60:$T60="Mt-")*6)</f>
        <v/>
      </c>
      <c r="AW60" s="118">
        <f>AV60-MAX(0,IFERROR(INDEX(CADASTRO!$I$4:$I$80,MATCH($A60,CADASTRO!$A$4:$A$80,0)),$B60)-CONFIG!$B$50*(COUNTIF($N60:$T60,"AB")+COUNTIF($N60:$T60,"FE")+COUNTIF($N60:$T60,"LM")))</f>
        <v/>
      </c>
      <c r="AX60" s="117">
        <f>SUMPRODUCT(($U60:$AA60="M")*6+($U60:$AA60="T")*6+($U60:$AA60="D")*12+($U60:$AA60="N")*12+($U60:$AA60="NT")*6+($U60:$AA60="C")*10+($U60:$AA60="A")*8+($U60:$AA60="J")*5+($U60:$AA60="CEP")*4+($U60:$AA60="CP")*6+($U60:$AA60="CRO")*6+($U60:$AA60="M+")*6+($U60:$AA60="T+")*6+($U60:$AA60="D+")*12+($U60:$AA60="N+")*12+($U60:$AA60="Dm+")*12+($U60:$AA60="Dt+")*12+($U60:$AA60="Tm-")*6+($U60:$AA60="Mt-")*6)</f>
        <v/>
      </c>
      <c r="AY60" s="118">
        <f>AX60-MAX(0,IFERROR(INDEX(CADASTRO!$I$4:$I$80,MATCH($A60,CADASTRO!$A$4:$A$80,0)),$B60)-CONFIG!$B$50*(COUNTIF($U60:$AA60,"AB")+COUNTIF($U60:$AA60,"FE")+COUNTIF($U60:$AA60,"LM")))</f>
        <v/>
      </c>
      <c r="AZ60" s="117">
        <f>SUMPRODUCT(($AB60:$AH60="M")*6+($AB60:$AH60="T")*6+($AB60:$AH60="D")*12+($AB60:$AH60="N")*12+($AB60:$AH60="NT")*6+($AB60:$AH60="C")*10+($AB60:$AH60="A")*8+($AB60:$AH60="J")*5+($AB60:$AH60="CEP")*4+($AB60:$AH60="CP")*6+($AB60:$AH60="CRO")*6+($AB60:$AH60="M+")*6+($AB60:$AH60="T+")*6+($AB60:$AH60="D+")*12+($AB60:$AH60="N+")*12+($AB60:$AH60="Dm+")*12+($AB60:$AH60="Dt+")*12+($AB60:$AH60="Tm-")*6+($AB60:$AH60="Mt-")*6)</f>
        <v/>
      </c>
      <c r="BA60" s="118">
        <f>AZ60-MAX(0,IFERROR(INDEX(CADASTRO!$I$4:$I$80,MATCH($A60,CADASTRO!$A$4:$A$80,0)),$B60)-CONFIG!$B$50*(COUNTIF($AB60:$AH60,"AB")+COUNTIF($AB60:$AH60,"FE")+COUNTIF($AB60:$AH60,"LM")))</f>
        <v/>
      </c>
      <c r="BB60" s="117">
        <f>SUMPRODUCT(($AI60:$AM60="M")*6+($AI60:$AM60="T")*6+($AI60:$AM60="D")*12+($AI60:$AM60="N")*12+($AI60:$AM60="NT")*6+($AI60:$AM60="C")*10+($AI60:$AM60="A")*8+($AI60:$AM60="J")*5+($AI60:$AM60="CEP")*4+($AI60:$AM60="CP")*6+($AI60:$AM60="CRO")*6+($AI60:$AM60="M+")*6+($AI60:$AM60="T+")*6+($AI60:$AM60="D+")*12+($AI60:$AM60="N+")*12+($AI60:$AM60="Dm+")*12+($AI60:$AM60="Dt+")*12+($AI60:$AM60="Tm-")*6+($AI60:$AM60="Mt-")*6)+SUMPRODUCT(($AN60:$AO60="M")*6+($AN60:$AO60="T")*6+($AN60:$AO60="D")*12+($AN60:$AO60="N")*12+($AN60:$AO60="NT")*6+($AN60:$AO60="C")*10+($AN60:$AO60="A")*8+($AN60:$AO60="J")*5+($AN60:$AO60="CEP")*4+($AN60:$AO60="CP")*6+($AN60:$AO60="CRO")*6+($AN60:$AO60="M+")*6+($AN60:$AO60="T+")*6+($AN60:$AO60="D+")*12+($AN60:$AO60="N+")*12+($AN60:$AO60="Dm+")*12+($AN60:$AO60="Dt+")*12+($AN60:$AO60="Tm-")*6+($AN60:$AO60="Mt-")*6)</f>
        <v/>
      </c>
      <c r="BC60" s="118">
        <f>BB60-MAX(0,IFERROR(INDEX(CADASTRO!$I$4:$I$80,MATCH($A60,CADASTRO!$A$4:$A$80,0)),$B60)-CONFIG!$B$50*(COUNTIF($AI60:$AM60,"AB")+COUNTIF($AI60:$AM60,"FE")+COUNTIF($AI60:$AM60,"LM")+COUNTIF($AN60:$AO60,"AB")+COUNTIF($AN60:$AO60,"FE")+COUNTIF($AN60:$AO60,"LM")))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36">
        <f>IFERROR(INDEX(JUN!AK$8:AK$73,MATCH($A61,JUN!$A$8:$A$73,0))&amp;"","")</f>
        <v/>
      </c>
      <c r="H61" s="136">
        <f>IFERROR(INDEX(JUN!AL$8:AL$73,MATCH($A61,JUN!$A$8:$A$73,0))&amp;"","")</f>
        <v/>
      </c>
      <c r="I61" s="114" t="n"/>
      <c r="J61" s="124" t="inlineStr">
        <is>
          <t>D</t>
        </is>
      </c>
      <c r="K61" s="114" t="n"/>
      <c r="L61" s="114" t="n"/>
      <c r="M61" s="114" t="n"/>
      <c r="N61" s="124" t="inlineStr">
        <is>
          <t>D</t>
        </is>
      </c>
      <c r="O61" s="114" t="n"/>
      <c r="P61" s="126" t="inlineStr">
        <is>
          <t>T</t>
        </is>
      </c>
      <c r="Q61" s="114" t="n"/>
      <c r="R61" s="126" t="inlineStr">
        <is>
          <t>T</t>
        </is>
      </c>
      <c r="S61" s="114" t="n"/>
      <c r="T61" s="124" t="inlineStr">
        <is>
          <t>D</t>
        </is>
      </c>
      <c r="U61" s="124" t="inlineStr">
        <is>
          <t>D</t>
        </is>
      </c>
      <c r="V61" s="114" t="n"/>
      <c r="W61" s="114" t="n"/>
      <c r="X61" s="114" t="n"/>
      <c r="Y61" s="114" t="n"/>
      <c r="Z61" s="114" t="n"/>
      <c r="AA61" s="114" t="n"/>
      <c r="AB61" s="124" t="inlineStr">
        <is>
          <t>D</t>
        </is>
      </c>
      <c r="AC61" s="114" t="n"/>
      <c r="AD61" s="114" t="n"/>
      <c r="AE61" s="114" t="n"/>
      <c r="AF61" s="114" t="n"/>
      <c r="AG61" s="114" t="n"/>
      <c r="AH61" s="124" t="inlineStr">
        <is>
          <t>D</t>
        </is>
      </c>
      <c r="AI61" s="124" t="inlineStr">
        <is>
          <t>D</t>
        </is>
      </c>
      <c r="AJ61" s="114" t="n"/>
      <c r="AK61" s="114" t="n"/>
      <c r="AL61" s="114" t="n"/>
      <c r="AM61" s="114" t="n"/>
      <c r="AN61" s="116">
        <f>IFERROR(INDEX(AGO!I$8:I$73,MATCH($A61,AGO!$A$8:$A$73,0))&amp;"","")</f>
        <v/>
      </c>
      <c r="AO61" s="116">
        <f>IFERROR(INDEX(AGO!J$8:J$73,MATCH($A61,AGO!$A$8:$A$73,0))&amp;"","")</f>
        <v/>
      </c>
      <c r="AP61" s="100" t="n"/>
      <c r="AQ61" s="100" t="n"/>
      <c r="AR61" s="100" t="n"/>
      <c r="AS61" s="100" t="n"/>
      <c r="AT61" s="117">
        <f>SUMPRODUCT(($G61:$M61="M")*6+($G61:$M61="T")*6+($G61:$M61="D")*12+($G61:$M61="N")*12+($G61:$M61="NT")*6+($G61:$M61="C")*10+($G61:$M61="A")*8+($G61:$M61="J")*5+($G61:$M61="CEP")*4+($G61:$M61="CP")*6+($G61:$M61="CRO")*6+($G61:$M61="M+")*6+($G61:$M61="T+")*6+($G61:$M61="D+")*12+($G61:$M61="N+")*12+($G61:$M61="Dm+")*12+($G61:$M61="Dt+")*12+($G61:$M61="Tm-")*6+($G61:$M61="Mt-")*6)</f>
        <v/>
      </c>
      <c r="AU61" s="118">
        <f>AT61-MAX(0,IFERROR(INDEX(CADASTRO!$I$4:$I$80,MATCH($A61,CADASTRO!$A$4:$A$80,0)),$B61)-CONFIG!$B$50*(COUNTIF($G61:$M61,"AB")+COUNTIF($G61:$M61,"FE")+COUNTIF($G61:$M61,"LM")))</f>
        <v/>
      </c>
      <c r="AV61" s="117">
        <f>SUMPRODUCT(($N61:$T61="M")*6+($N61:$T61="T")*6+($N61:$T61="D")*12+($N61:$T61="N")*12+($N61:$T61="NT")*6+($N61:$T61="C")*10+($N61:$T61="A")*8+($N61:$T61="J")*5+($N61:$T61="CEP")*4+($N61:$T61="CP")*6+($N61:$T61="CRO")*6+($N61:$T61="M+")*6+($N61:$T61="T+")*6+($N61:$T61="D+")*12+($N61:$T61="N+")*12+($N61:$T61="Dm+")*12+($N61:$T61="Dt+")*12+($N61:$T61="Tm-")*6+($N61:$T61="Mt-")*6)</f>
        <v/>
      </c>
      <c r="AW61" s="118">
        <f>AV61-MAX(0,IFERROR(INDEX(CADASTRO!$I$4:$I$80,MATCH($A61,CADASTRO!$A$4:$A$80,0)),$B61)-CONFIG!$B$50*(COUNTIF($N61:$T61,"AB")+COUNTIF($N61:$T61,"FE")+COUNTIF($N61:$T61,"LM")))</f>
        <v/>
      </c>
      <c r="AX61" s="117">
        <f>SUMPRODUCT(($U61:$AA61="M")*6+($U61:$AA61="T")*6+($U61:$AA61="D")*12+($U61:$AA61="N")*12+($U61:$AA61="NT")*6+($U61:$AA61="C")*10+($U61:$AA61="A")*8+($U61:$AA61="J")*5+($U61:$AA61="CEP")*4+($U61:$AA61="CP")*6+($U61:$AA61="CRO")*6+($U61:$AA61="M+")*6+($U61:$AA61="T+")*6+($U61:$AA61="D+")*12+($U61:$AA61="N+")*12+($U61:$AA61="Dm+")*12+($U61:$AA61="Dt+")*12+($U61:$AA61="Tm-")*6+($U61:$AA61="Mt-")*6)</f>
        <v/>
      </c>
      <c r="AY61" s="118">
        <f>AX61-MAX(0,IFERROR(INDEX(CADASTRO!$I$4:$I$80,MATCH($A61,CADASTRO!$A$4:$A$80,0)),$B61)-CONFIG!$B$50*(COUNTIF($U61:$AA61,"AB")+COUNTIF($U61:$AA61,"FE")+COUNTIF($U61:$AA61,"LM")))</f>
        <v/>
      </c>
      <c r="AZ61" s="117">
        <f>SUMPRODUCT(($AB61:$AH61="M")*6+($AB61:$AH61="T")*6+($AB61:$AH61="D")*12+($AB61:$AH61="N")*12+($AB61:$AH61="NT")*6+($AB61:$AH61="C")*10+($AB61:$AH61="A")*8+($AB61:$AH61="J")*5+($AB61:$AH61="CEP")*4+($AB61:$AH61="CP")*6+($AB61:$AH61="CRO")*6+($AB61:$AH61="M+")*6+($AB61:$AH61="T+")*6+($AB61:$AH61="D+")*12+($AB61:$AH61="N+")*12+($AB61:$AH61="Dm+")*12+($AB61:$AH61="Dt+")*12+($AB61:$AH61="Tm-")*6+($AB61:$AH61="Mt-")*6)</f>
        <v/>
      </c>
      <c r="BA61" s="118">
        <f>AZ61-MAX(0,IFERROR(INDEX(CADASTRO!$I$4:$I$80,MATCH($A61,CADASTRO!$A$4:$A$80,0)),$B61)-CONFIG!$B$50*(COUNTIF($AB61:$AH61,"AB")+COUNTIF($AB61:$AH61,"FE")+COUNTIF($AB61:$AH61,"LM")))</f>
        <v/>
      </c>
      <c r="BB61" s="117">
        <f>SUMPRODUCT(($AI61:$AM61="M")*6+($AI61:$AM61="T")*6+($AI61:$AM61="D")*12+($AI61:$AM61="N")*12+($AI61:$AM61="NT")*6+($AI61:$AM61="C")*10+($AI61:$AM61="A")*8+($AI61:$AM61="J")*5+($AI61:$AM61="CEP")*4+($AI61:$AM61="CP")*6+($AI61:$AM61="CRO")*6+($AI61:$AM61="M+")*6+($AI61:$AM61="T+")*6+($AI61:$AM61="D+")*12+($AI61:$AM61="N+")*12+($AI61:$AM61="Dm+")*12+($AI61:$AM61="Dt+")*12+($AI61:$AM61="Tm-")*6+($AI61:$AM61="Mt-")*6)+SUMPRODUCT(($AN61:$AO61="M")*6+($AN61:$AO61="T")*6+($AN61:$AO61="D")*12+($AN61:$AO61="N")*12+($AN61:$AO61="NT")*6+($AN61:$AO61="C")*10+($AN61:$AO61="A")*8+($AN61:$AO61="J")*5+($AN61:$AO61="CEP")*4+($AN61:$AO61="CP")*6+($AN61:$AO61="CRO")*6+($AN61:$AO61="M+")*6+($AN61:$AO61="T+")*6+($AN61:$AO61="D+")*12+($AN61:$AO61="N+")*12+($AN61:$AO61="Dm+")*12+($AN61:$AO61="Dt+")*12+($AN61:$AO61="Tm-")*6+($AN61:$AO61="Mt-")*6)</f>
        <v/>
      </c>
      <c r="BC61" s="118">
        <f>BB61-MAX(0,IFERROR(INDEX(CADASTRO!$I$4:$I$80,MATCH($A61,CADASTRO!$A$4:$A$80,0)),$B61)-CONFIG!$B$50*(COUNTIF($AI61:$AM61,"AB")+COUNTIF($AI61:$AM61,"FE")+COUNTIF($AI61:$AM61,"LM")+COUNTIF($AN61:$AO61,"AB")+COUNTIF($AN61:$AO61,"FE")+COUNTIF($AN61:$AO61,"LM")))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36">
        <f>IFERROR(INDEX(JUN!AK$8:AK$73,MATCH($A62,JUN!$A$8:$A$73,0))&amp;"","")</f>
        <v/>
      </c>
      <c r="H62" s="136">
        <f>IFERROR(INDEX(JUN!AL$8:AL$73,MATCH($A62,JUN!$A$8:$A$73,0))&amp;"","")</f>
        <v/>
      </c>
      <c r="I62" s="114" t="n"/>
      <c r="J62" s="114" t="n"/>
      <c r="K62" s="114" t="n"/>
      <c r="L62" s="114" t="n"/>
      <c r="M62" s="124" t="inlineStr">
        <is>
          <t>D</t>
        </is>
      </c>
      <c r="N62" s="114" t="n"/>
      <c r="O62" s="125" t="inlineStr">
        <is>
          <t>N</t>
        </is>
      </c>
      <c r="P62" s="114" t="n"/>
      <c r="Q62" s="114" t="n"/>
      <c r="R62" s="114" t="n"/>
      <c r="S62" s="114" t="n"/>
      <c r="T62" s="124" t="inlineStr">
        <is>
          <t>D</t>
        </is>
      </c>
      <c r="U62" s="114" t="n"/>
      <c r="V62" s="125" t="inlineStr">
        <is>
          <t>N</t>
        </is>
      </c>
      <c r="W62" s="114" t="n"/>
      <c r="X62" s="124" t="inlineStr">
        <is>
          <t>D</t>
        </is>
      </c>
      <c r="Y62" s="114" t="n"/>
      <c r="Z62" s="114" t="n"/>
      <c r="AA62" s="114" t="n"/>
      <c r="AB62" s="124" t="inlineStr">
        <is>
          <t>D</t>
        </is>
      </c>
      <c r="AC62" s="125" t="inlineStr">
        <is>
          <t>N</t>
        </is>
      </c>
      <c r="AD62" s="114" t="n"/>
      <c r="AE62" s="114" t="n"/>
      <c r="AF62" s="114" t="n"/>
      <c r="AG62" s="114" t="n"/>
      <c r="AH62" s="114" t="n"/>
      <c r="AI62" s="114" t="n"/>
      <c r="AJ62" s="125" t="inlineStr">
        <is>
          <t>N</t>
        </is>
      </c>
      <c r="AK62" s="114" t="n"/>
      <c r="AL62" s="114" t="n"/>
      <c r="AM62" s="114" t="n"/>
      <c r="AN62" s="116">
        <f>IFERROR(INDEX(AGO!I$8:I$73,MATCH($A62,AGO!$A$8:$A$73,0))&amp;"","")</f>
        <v/>
      </c>
      <c r="AO62" s="116">
        <f>IFERROR(INDEX(AGO!J$8:J$73,MATCH($A62,AGO!$A$8:$A$73,0))&amp;"","")</f>
        <v/>
      </c>
      <c r="AP62" s="100" t="n"/>
      <c r="AQ62" s="100" t="n"/>
      <c r="AR62" s="100" t="n"/>
      <c r="AS62" s="100" t="n"/>
      <c r="AT62" s="117">
        <f>SUMPRODUCT(($G62:$M62="M")*6+($G62:$M62="T")*6+($G62:$M62="D")*12+($G62:$M62="N")*12+($G62:$M62="NT")*6+($G62:$M62="C")*10+($G62:$M62="A")*8+($G62:$M62="J")*5+($G62:$M62="CEP")*4+($G62:$M62="CP")*6+($G62:$M62="CRO")*6+($G62:$M62="M+")*6+($G62:$M62="T+")*6+($G62:$M62="D+")*12+($G62:$M62="N+")*12+($G62:$M62="Dm+")*12+($G62:$M62="Dt+")*12+($G62:$M62="Tm-")*6+($G62:$M62="Mt-")*6)</f>
        <v/>
      </c>
      <c r="AU62" s="118">
        <f>AT62-MAX(0,IFERROR(INDEX(CADASTRO!$I$4:$I$80,MATCH($A62,CADASTRO!$A$4:$A$80,0)),$B62)-CONFIG!$B$50*(COUNTIF($G62:$M62,"AB")+COUNTIF($G62:$M62,"FE")+COUNTIF($G62:$M62,"LM")))</f>
        <v/>
      </c>
      <c r="AV62" s="117">
        <f>SUMPRODUCT(($N62:$T62="M")*6+($N62:$T62="T")*6+($N62:$T62="D")*12+($N62:$T62="N")*12+($N62:$T62="NT")*6+($N62:$T62="C")*10+($N62:$T62="A")*8+($N62:$T62="J")*5+($N62:$T62="CEP")*4+($N62:$T62="CP")*6+($N62:$T62="CRO")*6+($N62:$T62="M+")*6+($N62:$T62="T+")*6+($N62:$T62="D+")*12+($N62:$T62="N+")*12+($N62:$T62="Dm+")*12+($N62:$T62="Dt+")*12+($N62:$T62="Tm-")*6+($N62:$T62="Mt-")*6)</f>
        <v/>
      </c>
      <c r="AW62" s="118">
        <f>AV62-MAX(0,IFERROR(INDEX(CADASTRO!$I$4:$I$80,MATCH($A62,CADASTRO!$A$4:$A$80,0)),$B62)-CONFIG!$B$50*(COUNTIF($N62:$T62,"AB")+COUNTIF($N62:$T62,"FE")+COUNTIF($N62:$T62,"LM")))</f>
        <v/>
      </c>
      <c r="AX62" s="117">
        <f>SUMPRODUCT(($U62:$AA62="M")*6+($U62:$AA62="T")*6+($U62:$AA62="D")*12+($U62:$AA62="N")*12+($U62:$AA62="NT")*6+($U62:$AA62="C")*10+($U62:$AA62="A")*8+($U62:$AA62="J")*5+($U62:$AA62="CEP")*4+($U62:$AA62="CP")*6+($U62:$AA62="CRO")*6+($U62:$AA62="M+")*6+($U62:$AA62="T+")*6+($U62:$AA62="D+")*12+($U62:$AA62="N+")*12+($U62:$AA62="Dm+")*12+($U62:$AA62="Dt+")*12+($U62:$AA62="Tm-")*6+($U62:$AA62="Mt-")*6)</f>
        <v/>
      </c>
      <c r="AY62" s="118">
        <f>AX62-MAX(0,IFERROR(INDEX(CADASTRO!$I$4:$I$80,MATCH($A62,CADASTRO!$A$4:$A$80,0)),$B62)-CONFIG!$B$50*(COUNTIF($U62:$AA62,"AB")+COUNTIF($U62:$AA62,"FE")+COUNTIF($U62:$AA62,"LM")))</f>
        <v/>
      </c>
      <c r="AZ62" s="117">
        <f>SUMPRODUCT(($AB62:$AH62="M")*6+($AB62:$AH62="T")*6+($AB62:$AH62="D")*12+($AB62:$AH62="N")*12+($AB62:$AH62="NT")*6+($AB62:$AH62="C")*10+($AB62:$AH62="A")*8+($AB62:$AH62="J")*5+($AB62:$AH62="CEP")*4+($AB62:$AH62="CP")*6+($AB62:$AH62="CRO")*6+($AB62:$AH62="M+")*6+($AB62:$AH62="T+")*6+($AB62:$AH62="D+")*12+($AB62:$AH62="N+")*12+($AB62:$AH62="Dm+")*12+($AB62:$AH62="Dt+")*12+($AB62:$AH62="Tm-")*6+($AB62:$AH62="Mt-")*6)</f>
        <v/>
      </c>
      <c r="BA62" s="118">
        <f>AZ62-MAX(0,IFERROR(INDEX(CADASTRO!$I$4:$I$80,MATCH($A62,CADASTRO!$A$4:$A$80,0)),$B62)-CONFIG!$B$50*(COUNTIF($AB62:$AH62,"AB")+COUNTIF($AB62:$AH62,"FE")+COUNTIF($AB62:$AH62,"LM")))</f>
        <v/>
      </c>
      <c r="BB62" s="117">
        <f>SUMPRODUCT(($AI62:$AM62="M")*6+($AI62:$AM62="T")*6+($AI62:$AM62="D")*12+($AI62:$AM62="N")*12+($AI62:$AM62="NT")*6+($AI62:$AM62="C")*10+($AI62:$AM62="A")*8+($AI62:$AM62="J")*5+($AI62:$AM62="CEP")*4+($AI62:$AM62="CP")*6+($AI62:$AM62="CRO")*6+($AI62:$AM62="M+")*6+($AI62:$AM62="T+")*6+($AI62:$AM62="D+")*12+($AI62:$AM62="N+")*12+($AI62:$AM62="Dm+")*12+($AI62:$AM62="Dt+")*12+($AI62:$AM62="Tm-")*6+($AI62:$AM62="Mt-")*6)+SUMPRODUCT(($AN62:$AO62="M")*6+($AN62:$AO62="T")*6+($AN62:$AO62="D")*12+($AN62:$AO62="N")*12+($AN62:$AO62="NT")*6+($AN62:$AO62="C")*10+($AN62:$AO62="A")*8+($AN62:$AO62="J")*5+($AN62:$AO62="CEP")*4+($AN62:$AO62="CP")*6+($AN62:$AO62="CRO")*6+($AN62:$AO62="M+")*6+($AN62:$AO62="T+")*6+($AN62:$AO62="D+")*12+($AN62:$AO62="N+")*12+($AN62:$AO62="Dm+")*12+($AN62:$AO62="Dt+")*12+($AN62:$AO62="Tm-")*6+($AN62:$AO62="Mt-")*6)</f>
        <v/>
      </c>
      <c r="BC62" s="118">
        <f>BB62-MAX(0,IFERROR(INDEX(CADASTRO!$I$4:$I$80,MATCH($A62,CADASTRO!$A$4:$A$80,0)),$B62)-CONFIG!$B$50*(COUNTIF($AI62:$AM62,"AB")+COUNTIF($AI62:$AM62,"FE")+COUNTIF($AI62:$AM62,"LM")+COUNTIF($AN62:$AO62,"AB")+COUNTIF($AN62:$AO62,"FE")+COUNTIF($AN62:$AO62,"LM")))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36">
        <f>IFERROR(INDEX(JUN!AK$8:AK$73,MATCH($A63,JUN!$A$8:$A$73,0))&amp;"","")</f>
        <v/>
      </c>
      <c r="H63" s="136">
        <f>IFERROR(INDEX(JUN!AL$8:AL$73,MATCH($A63,JUN!$A$8:$A$73,0))&amp;"","")</f>
        <v/>
      </c>
      <c r="I63" s="114" t="n"/>
      <c r="J63" s="124" t="inlineStr">
        <is>
          <t>D</t>
        </is>
      </c>
      <c r="K63" s="125" t="inlineStr">
        <is>
          <t>N</t>
        </is>
      </c>
      <c r="L63" s="114" t="n"/>
      <c r="M63" s="114" t="n"/>
      <c r="N63" s="114" t="n"/>
      <c r="O63" s="114" t="n"/>
      <c r="P63" s="114" t="n"/>
      <c r="Q63" s="126" t="inlineStr">
        <is>
          <t>T</t>
        </is>
      </c>
      <c r="R63" s="126" t="inlineStr">
        <is>
          <t>T</t>
        </is>
      </c>
      <c r="S63" s="115" t="inlineStr">
        <is>
          <t>M</t>
        </is>
      </c>
      <c r="T63" s="124" t="inlineStr">
        <is>
          <t>D</t>
        </is>
      </c>
      <c r="U63" s="126" t="inlineStr">
        <is>
          <t>T</t>
        </is>
      </c>
      <c r="V63" s="114" t="n"/>
      <c r="W63" s="114" t="n"/>
      <c r="X63" s="114" t="n"/>
      <c r="Y63" s="114" t="n"/>
      <c r="Z63" s="114" t="n"/>
      <c r="AA63" s="124" t="inlineStr">
        <is>
          <t>D</t>
        </is>
      </c>
      <c r="AB63" s="126" t="inlineStr">
        <is>
          <t>T</t>
        </is>
      </c>
      <c r="AC63" s="114" t="n"/>
      <c r="AD63" s="126" t="inlineStr">
        <is>
          <t>T</t>
        </is>
      </c>
      <c r="AE63" s="124" t="inlineStr">
        <is>
          <t>D</t>
        </is>
      </c>
      <c r="AF63" s="114" t="n"/>
      <c r="AG63" s="114" t="n"/>
      <c r="AH63" s="114" t="n"/>
      <c r="AI63" s="126" t="inlineStr">
        <is>
          <t>T</t>
        </is>
      </c>
      <c r="AJ63" s="114" t="n"/>
      <c r="AK63" s="114" t="n"/>
      <c r="AL63" s="115" t="inlineStr">
        <is>
          <t>M</t>
        </is>
      </c>
      <c r="AM63" s="114" t="n"/>
      <c r="AN63" s="116">
        <f>IFERROR(INDEX(AGO!I$8:I$73,MATCH($A63,AGO!$A$8:$A$73,0))&amp;"","")</f>
        <v/>
      </c>
      <c r="AO63" s="116">
        <f>IFERROR(INDEX(AGO!J$8:J$73,MATCH($A63,AGO!$A$8:$A$73,0))&amp;"","")</f>
        <v/>
      </c>
      <c r="AP63" s="100" t="n"/>
      <c r="AQ63" s="100" t="n"/>
      <c r="AR63" s="100" t="n"/>
      <c r="AS63" s="100" t="n"/>
      <c r="AT63" s="117">
        <f>SUMPRODUCT(($G63:$M63="M")*6+($G63:$M63="T")*6+($G63:$M63="D")*12+($G63:$M63="N")*12+($G63:$M63="NT")*6+($G63:$M63="C")*10+($G63:$M63="A")*8+($G63:$M63="J")*5+($G63:$M63="CEP")*4+($G63:$M63="CP")*6+($G63:$M63="CRO")*6+($G63:$M63="M+")*6+($G63:$M63="T+")*6+($G63:$M63="D+")*12+($G63:$M63="N+")*12+($G63:$M63="Dm+")*12+($G63:$M63="Dt+")*12+($G63:$M63="Tm-")*6+($G63:$M63="Mt-")*6)</f>
        <v/>
      </c>
      <c r="AU63" s="118">
        <f>AT63-MAX(0,IFERROR(INDEX(CADASTRO!$I$4:$I$80,MATCH($A63,CADASTRO!$A$4:$A$80,0)),$B63)-CONFIG!$B$50*(COUNTIF($G63:$M63,"AB")+COUNTIF($G63:$M63,"FE")+COUNTIF($G63:$M63,"LM")))</f>
        <v/>
      </c>
      <c r="AV63" s="117">
        <f>SUMPRODUCT(($N63:$T63="M")*6+($N63:$T63="T")*6+($N63:$T63="D")*12+($N63:$T63="N")*12+($N63:$T63="NT")*6+($N63:$T63="C")*10+($N63:$T63="A")*8+($N63:$T63="J")*5+($N63:$T63="CEP")*4+($N63:$T63="CP")*6+($N63:$T63="CRO")*6+($N63:$T63="M+")*6+($N63:$T63="T+")*6+($N63:$T63="D+")*12+($N63:$T63="N+")*12+($N63:$T63="Dm+")*12+($N63:$T63="Dt+")*12+($N63:$T63="Tm-")*6+($N63:$T63="Mt-")*6)</f>
        <v/>
      </c>
      <c r="AW63" s="118">
        <f>AV63-MAX(0,IFERROR(INDEX(CADASTRO!$I$4:$I$80,MATCH($A63,CADASTRO!$A$4:$A$80,0)),$B63)-CONFIG!$B$50*(COUNTIF($N63:$T63,"AB")+COUNTIF($N63:$T63,"FE")+COUNTIF($N63:$T63,"LM")))</f>
        <v/>
      </c>
      <c r="AX63" s="117">
        <f>SUMPRODUCT(($U63:$AA63="M")*6+($U63:$AA63="T")*6+($U63:$AA63="D")*12+($U63:$AA63="N")*12+($U63:$AA63="NT")*6+($U63:$AA63="C")*10+($U63:$AA63="A")*8+($U63:$AA63="J")*5+($U63:$AA63="CEP")*4+($U63:$AA63="CP")*6+($U63:$AA63="CRO")*6+($U63:$AA63="M+")*6+($U63:$AA63="T+")*6+($U63:$AA63="D+")*12+($U63:$AA63="N+")*12+($U63:$AA63="Dm+")*12+($U63:$AA63="Dt+")*12+($U63:$AA63="Tm-")*6+($U63:$AA63="Mt-")*6)</f>
        <v/>
      </c>
      <c r="AY63" s="118">
        <f>AX63-MAX(0,IFERROR(INDEX(CADASTRO!$I$4:$I$80,MATCH($A63,CADASTRO!$A$4:$A$80,0)),$B63)-CONFIG!$B$50*(COUNTIF($U63:$AA63,"AB")+COUNTIF($U63:$AA63,"FE")+COUNTIF($U63:$AA63,"LM")))</f>
        <v/>
      </c>
      <c r="AZ63" s="117">
        <f>SUMPRODUCT(($AB63:$AH63="M")*6+($AB63:$AH63="T")*6+($AB63:$AH63="D")*12+($AB63:$AH63="N")*12+($AB63:$AH63="NT")*6+($AB63:$AH63="C")*10+($AB63:$AH63="A")*8+($AB63:$AH63="J")*5+($AB63:$AH63="CEP")*4+($AB63:$AH63="CP")*6+($AB63:$AH63="CRO")*6+($AB63:$AH63="M+")*6+($AB63:$AH63="T+")*6+($AB63:$AH63="D+")*12+($AB63:$AH63="N+")*12+($AB63:$AH63="Dm+")*12+($AB63:$AH63="Dt+")*12+($AB63:$AH63="Tm-")*6+($AB63:$AH63="Mt-")*6)</f>
        <v/>
      </c>
      <c r="BA63" s="118">
        <f>AZ63-MAX(0,IFERROR(INDEX(CADASTRO!$I$4:$I$80,MATCH($A63,CADASTRO!$A$4:$A$80,0)),$B63)-CONFIG!$B$50*(COUNTIF($AB63:$AH63,"AB")+COUNTIF($AB63:$AH63,"FE")+COUNTIF($AB63:$AH63,"LM")))</f>
        <v/>
      </c>
      <c r="BB63" s="117">
        <f>SUMPRODUCT(($AI63:$AM63="M")*6+($AI63:$AM63="T")*6+($AI63:$AM63="D")*12+($AI63:$AM63="N")*12+($AI63:$AM63="NT")*6+($AI63:$AM63="C")*10+($AI63:$AM63="A")*8+($AI63:$AM63="J")*5+($AI63:$AM63="CEP")*4+($AI63:$AM63="CP")*6+($AI63:$AM63="CRO")*6+($AI63:$AM63="M+")*6+($AI63:$AM63="T+")*6+($AI63:$AM63="D+")*12+($AI63:$AM63="N+")*12+($AI63:$AM63="Dm+")*12+($AI63:$AM63="Dt+")*12+($AI63:$AM63="Tm-")*6+($AI63:$AM63="Mt-")*6)+SUMPRODUCT(($AN63:$AO63="M")*6+($AN63:$AO63="T")*6+($AN63:$AO63="D")*12+($AN63:$AO63="N")*12+($AN63:$AO63="NT")*6+($AN63:$AO63="C")*10+($AN63:$AO63="A")*8+($AN63:$AO63="J")*5+($AN63:$AO63="CEP")*4+($AN63:$AO63="CP")*6+($AN63:$AO63="CRO")*6+($AN63:$AO63="M+")*6+($AN63:$AO63="T+")*6+($AN63:$AO63="D+")*12+($AN63:$AO63="N+")*12+($AN63:$AO63="Dm+")*12+($AN63:$AO63="Dt+")*12+($AN63:$AO63="Tm-")*6+($AN63:$AO63="Mt-")*6)</f>
        <v/>
      </c>
      <c r="BC63" s="118">
        <f>BB63-MAX(0,IFERROR(INDEX(CADASTRO!$I$4:$I$80,MATCH($A63,CADASTRO!$A$4:$A$80,0)),$B63)-CONFIG!$B$50*(COUNTIF($AI63:$AM63,"AB")+COUNTIF($AI63:$AM63,"FE")+COUNTIF($AI63:$AM63,"LM")+COUNTIF($AN63:$AO63,"AB")+COUNTIF($AN63:$AO63,"FE")+COUNTIF($AN63:$AO63,"LM")))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36">
        <f>IFERROR(INDEX(JUN!AK$8:AK$73,MATCH($A64,JUN!$A$8:$A$73,0))&amp;"","")</f>
        <v/>
      </c>
      <c r="H64" s="136">
        <f>IFERROR(INDEX(JUN!AL$8:AL$73,MATCH($A64,JUN!$A$8:$A$73,0))&amp;"","")</f>
        <v/>
      </c>
      <c r="I64" s="114" t="n"/>
      <c r="J64" s="114" t="n"/>
      <c r="K64" s="114" t="n"/>
      <c r="L64" s="126" t="inlineStr">
        <is>
          <t>T</t>
        </is>
      </c>
      <c r="M64" s="125" t="inlineStr">
        <is>
          <t>N</t>
        </is>
      </c>
      <c r="N64" s="125" t="inlineStr">
        <is>
          <t>N</t>
        </is>
      </c>
      <c r="O64" s="114" t="n"/>
      <c r="P64" s="114" t="n"/>
      <c r="Q64" s="114" t="n"/>
      <c r="R64" s="125" t="inlineStr">
        <is>
          <t>N</t>
        </is>
      </c>
      <c r="S64" s="114" t="n"/>
      <c r="T64" s="114" t="n"/>
      <c r="U64" s="125" t="inlineStr">
        <is>
          <t>N</t>
        </is>
      </c>
      <c r="V64" s="114" t="n"/>
      <c r="W64" s="125" t="inlineStr">
        <is>
          <t>N</t>
        </is>
      </c>
      <c r="X64" s="114" t="n"/>
      <c r="Y64" s="114" t="n"/>
      <c r="Z64" s="114" t="n"/>
      <c r="AA64" s="114" t="n"/>
      <c r="AB64" s="114" t="n"/>
      <c r="AC64" s="114" t="n"/>
      <c r="AD64" s="125" t="inlineStr">
        <is>
          <t>N</t>
        </is>
      </c>
      <c r="AE64" s="125" t="inlineStr">
        <is>
          <t>N</t>
        </is>
      </c>
      <c r="AF64" s="114" t="n"/>
      <c r="AG64" s="114" t="n"/>
      <c r="AH64" s="114" t="n"/>
      <c r="AI64" s="125" t="inlineStr">
        <is>
          <t>N</t>
        </is>
      </c>
      <c r="AJ64" s="114" t="n"/>
      <c r="AK64" s="125" t="inlineStr">
        <is>
          <t>N</t>
        </is>
      </c>
      <c r="AL64" s="114" t="n"/>
      <c r="AM64" s="114" t="n"/>
      <c r="AN64" s="116">
        <f>IFERROR(INDEX(AGO!I$8:I$73,MATCH($A64,AGO!$A$8:$A$73,0))&amp;"","")</f>
        <v/>
      </c>
      <c r="AO64" s="116">
        <f>IFERROR(INDEX(AGO!J$8:J$73,MATCH($A64,AGO!$A$8:$A$73,0))&amp;"","")</f>
        <v/>
      </c>
      <c r="AP64" s="100" t="n"/>
      <c r="AQ64" s="100" t="n"/>
      <c r="AR64" s="100" t="n"/>
      <c r="AS64" s="100" t="n"/>
      <c r="AT64" s="117">
        <f>SUMPRODUCT(($G64:$M64="M")*6+($G64:$M64="T")*6+($G64:$M64="D")*12+($G64:$M64="N")*12+($G64:$M64="NT")*6+($G64:$M64="C")*10+($G64:$M64="A")*8+($G64:$M64="J")*5+($G64:$M64="CEP")*4+($G64:$M64="CP")*6+($G64:$M64="CRO")*6+($G64:$M64="M+")*6+($G64:$M64="T+")*6+($G64:$M64="D+")*12+($G64:$M64="N+")*12+($G64:$M64="Dm+")*12+($G64:$M64="Dt+")*12+($G64:$M64="Tm-")*6+($G64:$M64="Mt-")*6)</f>
        <v/>
      </c>
      <c r="AU64" s="118">
        <f>AT64-MAX(0,IFERROR(INDEX(CADASTRO!$I$4:$I$80,MATCH($A64,CADASTRO!$A$4:$A$80,0)),$B64)-CONFIG!$B$50*(COUNTIF($G64:$M64,"AB")+COUNTIF($G64:$M64,"FE")+COUNTIF($G64:$M64,"LM")))</f>
        <v/>
      </c>
      <c r="AV64" s="117">
        <f>SUMPRODUCT(($N64:$T64="M")*6+($N64:$T64="T")*6+($N64:$T64="D")*12+($N64:$T64="N")*12+($N64:$T64="NT")*6+($N64:$T64="C")*10+($N64:$T64="A")*8+($N64:$T64="J")*5+($N64:$T64="CEP")*4+($N64:$T64="CP")*6+($N64:$T64="CRO")*6+($N64:$T64="M+")*6+($N64:$T64="T+")*6+($N64:$T64="D+")*12+($N64:$T64="N+")*12+($N64:$T64="Dm+")*12+($N64:$T64="Dt+")*12+($N64:$T64="Tm-")*6+($N64:$T64="Mt-")*6)</f>
        <v/>
      </c>
      <c r="AW64" s="118">
        <f>AV64-MAX(0,IFERROR(INDEX(CADASTRO!$I$4:$I$80,MATCH($A64,CADASTRO!$A$4:$A$80,0)),$B64)-CONFIG!$B$50*(COUNTIF($N64:$T64,"AB")+COUNTIF($N64:$T64,"FE")+COUNTIF($N64:$T64,"LM")))</f>
        <v/>
      </c>
      <c r="AX64" s="117">
        <f>SUMPRODUCT(($U64:$AA64="M")*6+($U64:$AA64="T")*6+($U64:$AA64="D")*12+($U64:$AA64="N")*12+($U64:$AA64="NT")*6+($U64:$AA64="C")*10+($U64:$AA64="A")*8+($U64:$AA64="J")*5+($U64:$AA64="CEP")*4+($U64:$AA64="CP")*6+($U64:$AA64="CRO")*6+($U64:$AA64="M+")*6+($U64:$AA64="T+")*6+($U64:$AA64="D+")*12+($U64:$AA64="N+")*12+($U64:$AA64="Dm+")*12+($U64:$AA64="Dt+")*12+($U64:$AA64="Tm-")*6+($U64:$AA64="Mt-")*6)</f>
        <v/>
      </c>
      <c r="AY64" s="118">
        <f>AX64-MAX(0,IFERROR(INDEX(CADASTRO!$I$4:$I$80,MATCH($A64,CADASTRO!$A$4:$A$80,0)),$B64)-CONFIG!$B$50*(COUNTIF($U64:$AA64,"AB")+COUNTIF($U64:$AA64,"FE")+COUNTIF($U64:$AA64,"LM")))</f>
        <v/>
      </c>
      <c r="AZ64" s="117">
        <f>SUMPRODUCT(($AB64:$AH64="M")*6+($AB64:$AH64="T")*6+($AB64:$AH64="D")*12+($AB64:$AH64="N")*12+($AB64:$AH64="NT")*6+($AB64:$AH64="C")*10+($AB64:$AH64="A")*8+($AB64:$AH64="J")*5+($AB64:$AH64="CEP")*4+($AB64:$AH64="CP")*6+($AB64:$AH64="CRO")*6+($AB64:$AH64="M+")*6+($AB64:$AH64="T+")*6+($AB64:$AH64="D+")*12+($AB64:$AH64="N+")*12+($AB64:$AH64="Dm+")*12+($AB64:$AH64="Dt+")*12+($AB64:$AH64="Tm-")*6+($AB64:$AH64="Mt-")*6)</f>
        <v/>
      </c>
      <c r="BA64" s="118">
        <f>AZ64-MAX(0,IFERROR(INDEX(CADASTRO!$I$4:$I$80,MATCH($A64,CADASTRO!$A$4:$A$80,0)),$B64)-CONFIG!$B$50*(COUNTIF($AB64:$AH64,"AB")+COUNTIF($AB64:$AH64,"FE")+COUNTIF($AB64:$AH64,"LM")))</f>
        <v/>
      </c>
      <c r="BB64" s="117">
        <f>SUMPRODUCT(($AI64:$AM64="M")*6+($AI64:$AM64="T")*6+($AI64:$AM64="D")*12+($AI64:$AM64="N")*12+($AI64:$AM64="NT")*6+($AI64:$AM64="C")*10+($AI64:$AM64="A")*8+($AI64:$AM64="J")*5+($AI64:$AM64="CEP")*4+($AI64:$AM64="CP")*6+($AI64:$AM64="CRO")*6+($AI64:$AM64="M+")*6+($AI64:$AM64="T+")*6+($AI64:$AM64="D+")*12+($AI64:$AM64="N+")*12+($AI64:$AM64="Dm+")*12+($AI64:$AM64="Dt+")*12+($AI64:$AM64="Tm-")*6+($AI64:$AM64="Mt-")*6)+SUMPRODUCT(($AN64:$AO64="M")*6+($AN64:$AO64="T")*6+($AN64:$AO64="D")*12+($AN64:$AO64="N")*12+($AN64:$AO64="NT")*6+($AN64:$AO64="C")*10+($AN64:$AO64="A")*8+($AN64:$AO64="J")*5+($AN64:$AO64="CEP")*4+($AN64:$AO64="CP")*6+($AN64:$AO64="CRO")*6+($AN64:$AO64="M+")*6+($AN64:$AO64="T+")*6+($AN64:$AO64="D+")*12+($AN64:$AO64="N+")*12+($AN64:$AO64="Dm+")*12+($AN64:$AO64="Dt+")*12+($AN64:$AO64="Tm-")*6+($AN64:$AO64="Mt-")*6)</f>
        <v/>
      </c>
      <c r="BC64" s="118">
        <f>BB64-MAX(0,IFERROR(INDEX(CADASTRO!$I$4:$I$80,MATCH($A64,CADASTRO!$A$4:$A$80,0)),$B64)-CONFIG!$B$50*(COUNTIF($AI64:$AM64,"AB")+COUNTIF($AI64:$AM64,"FE")+COUNTIF($AI64:$AM64,"LM")+COUNTIF($AN64:$AO64,"AB")+COUNTIF($AN64:$AO64,"FE")+COUNTIF($AN64:$AO64,"LM")))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36">
        <f>IFERROR(INDEX(JUN!AK$8:AK$73,MATCH($A65,JUN!$A$8:$A$73,0))&amp;"","")</f>
        <v/>
      </c>
      <c r="H65" s="136">
        <f>IFERROR(INDEX(JUN!AL$8:AL$73,MATCH($A65,JUN!$A$8:$A$73,0))&amp;"","")</f>
        <v/>
      </c>
      <c r="I65" s="125" t="inlineStr">
        <is>
          <t>N</t>
        </is>
      </c>
      <c r="J65" s="114" t="n"/>
      <c r="K65" s="124" t="inlineStr">
        <is>
          <t>D</t>
        </is>
      </c>
      <c r="L65" s="114" t="n"/>
      <c r="M65" s="114" t="n"/>
      <c r="N65" s="114" t="n"/>
      <c r="O65" s="114" t="n"/>
      <c r="P65" s="125" t="inlineStr">
        <is>
          <t>N</t>
        </is>
      </c>
      <c r="Q65" s="114" t="n"/>
      <c r="R65" s="124" t="inlineStr">
        <is>
          <t>D</t>
        </is>
      </c>
      <c r="S65" s="114" t="n"/>
      <c r="T65" s="114" t="n"/>
      <c r="U65" s="114" t="n"/>
      <c r="V65" s="114" t="n"/>
      <c r="W65" s="125" t="inlineStr">
        <is>
          <t>N</t>
        </is>
      </c>
      <c r="X65" s="114" t="n"/>
      <c r="Y65" s="124" t="inlineStr">
        <is>
          <t>D</t>
        </is>
      </c>
      <c r="Z65" s="114" t="n"/>
      <c r="AA65" s="114" t="n"/>
      <c r="AB65" s="114" t="n"/>
      <c r="AC65" s="114" t="n"/>
      <c r="AD65" s="114" t="n"/>
      <c r="AE65" s="114" t="n"/>
      <c r="AF65" s="114" t="n"/>
      <c r="AG65" s="124" t="inlineStr">
        <is>
          <t>D</t>
        </is>
      </c>
      <c r="AH65" s="124" t="inlineStr">
        <is>
          <t>D</t>
        </is>
      </c>
      <c r="AI65" s="114" t="n"/>
      <c r="AJ65" s="114" t="n"/>
      <c r="AK65" s="125" t="inlineStr">
        <is>
          <t>N</t>
        </is>
      </c>
      <c r="AL65" s="114" t="n"/>
      <c r="AM65" s="124" t="inlineStr">
        <is>
          <t>D</t>
        </is>
      </c>
      <c r="AN65" s="116">
        <f>IFERROR(INDEX(AGO!I$8:I$73,MATCH($A65,AGO!$A$8:$A$73,0))&amp;"","")</f>
        <v/>
      </c>
      <c r="AO65" s="116">
        <f>IFERROR(INDEX(AGO!J$8:J$73,MATCH($A65,AGO!$A$8:$A$73,0))&amp;"","")</f>
        <v/>
      </c>
      <c r="AP65" s="100" t="n"/>
      <c r="AQ65" s="100" t="n"/>
      <c r="AR65" s="100" t="n"/>
      <c r="AS65" s="100" t="n"/>
      <c r="AT65" s="117">
        <f>SUMPRODUCT(($G65:$M65="M")*6+($G65:$M65="T")*6+($G65:$M65="D")*12+($G65:$M65="N")*12+($G65:$M65="NT")*6+($G65:$M65="C")*10+($G65:$M65="A")*8+($G65:$M65="J")*5+($G65:$M65="CEP")*4+($G65:$M65="CP")*6+($G65:$M65="CRO")*6+($G65:$M65="M+")*6+($G65:$M65="T+")*6+($G65:$M65="D+")*12+($G65:$M65="N+")*12+($G65:$M65="Dm+")*12+($G65:$M65="Dt+")*12+($G65:$M65="Tm-")*6+($G65:$M65="Mt-")*6)</f>
        <v/>
      </c>
      <c r="AU65" s="118">
        <f>AT65-MAX(0,IFERROR(INDEX(CADASTRO!$I$4:$I$80,MATCH($A65,CADASTRO!$A$4:$A$80,0)),$B65)-CONFIG!$B$50*(COUNTIF($G65:$M65,"AB")+COUNTIF($G65:$M65,"FE")+COUNTIF($G65:$M65,"LM")))</f>
        <v/>
      </c>
      <c r="AV65" s="117">
        <f>SUMPRODUCT(($N65:$T65="M")*6+($N65:$T65="T")*6+($N65:$T65="D")*12+($N65:$T65="N")*12+($N65:$T65="NT")*6+($N65:$T65="C")*10+($N65:$T65="A")*8+($N65:$T65="J")*5+($N65:$T65="CEP")*4+($N65:$T65="CP")*6+($N65:$T65="CRO")*6+($N65:$T65="M+")*6+($N65:$T65="T+")*6+($N65:$T65="D+")*12+($N65:$T65="N+")*12+($N65:$T65="Dm+")*12+($N65:$T65="Dt+")*12+($N65:$T65="Tm-")*6+($N65:$T65="Mt-")*6)</f>
        <v/>
      </c>
      <c r="AW65" s="118">
        <f>AV65-MAX(0,IFERROR(INDEX(CADASTRO!$I$4:$I$80,MATCH($A65,CADASTRO!$A$4:$A$80,0)),$B65)-CONFIG!$B$50*(COUNTIF($N65:$T65,"AB")+COUNTIF($N65:$T65,"FE")+COUNTIF($N65:$T65,"LM")))</f>
        <v/>
      </c>
      <c r="AX65" s="117">
        <f>SUMPRODUCT(($U65:$AA65="M")*6+($U65:$AA65="T")*6+($U65:$AA65="D")*12+($U65:$AA65="N")*12+($U65:$AA65="NT")*6+($U65:$AA65="C")*10+($U65:$AA65="A")*8+($U65:$AA65="J")*5+($U65:$AA65="CEP")*4+($U65:$AA65="CP")*6+($U65:$AA65="CRO")*6+($U65:$AA65="M+")*6+($U65:$AA65="T+")*6+($U65:$AA65="D+")*12+($U65:$AA65="N+")*12+($U65:$AA65="Dm+")*12+($U65:$AA65="Dt+")*12+($U65:$AA65="Tm-")*6+($U65:$AA65="Mt-")*6)</f>
        <v/>
      </c>
      <c r="AY65" s="118">
        <f>AX65-MAX(0,IFERROR(INDEX(CADASTRO!$I$4:$I$80,MATCH($A65,CADASTRO!$A$4:$A$80,0)),$B65)-CONFIG!$B$50*(COUNTIF($U65:$AA65,"AB")+COUNTIF($U65:$AA65,"FE")+COUNTIF($U65:$AA65,"LM")))</f>
        <v/>
      </c>
      <c r="AZ65" s="117">
        <f>SUMPRODUCT(($AB65:$AH65="M")*6+($AB65:$AH65="T")*6+($AB65:$AH65="D")*12+($AB65:$AH65="N")*12+($AB65:$AH65="NT")*6+($AB65:$AH65="C")*10+($AB65:$AH65="A")*8+($AB65:$AH65="J")*5+($AB65:$AH65="CEP")*4+($AB65:$AH65="CP")*6+($AB65:$AH65="CRO")*6+($AB65:$AH65="M+")*6+($AB65:$AH65="T+")*6+($AB65:$AH65="D+")*12+($AB65:$AH65="N+")*12+($AB65:$AH65="Dm+")*12+($AB65:$AH65="Dt+")*12+($AB65:$AH65="Tm-")*6+($AB65:$AH65="Mt-")*6)</f>
        <v/>
      </c>
      <c r="BA65" s="118">
        <f>AZ65-MAX(0,IFERROR(INDEX(CADASTRO!$I$4:$I$80,MATCH($A65,CADASTRO!$A$4:$A$80,0)),$B65)-CONFIG!$B$50*(COUNTIF($AB65:$AH65,"AB")+COUNTIF($AB65:$AH65,"FE")+COUNTIF($AB65:$AH65,"LM")))</f>
        <v/>
      </c>
      <c r="BB65" s="117">
        <f>SUMPRODUCT(($AI65:$AM65="M")*6+($AI65:$AM65="T")*6+($AI65:$AM65="D")*12+($AI65:$AM65="N")*12+($AI65:$AM65="NT")*6+($AI65:$AM65="C")*10+($AI65:$AM65="A")*8+($AI65:$AM65="J")*5+($AI65:$AM65="CEP")*4+($AI65:$AM65="CP")*6+($AI65:$AM65="CRO")*6+($AI65:$AM65="M+")*6+($AI65:$AM65="T+")*6+($AI65:$AM65="D+")*12+($AI65:$AM65="N+")*12+($AI65:$AM65="Dm+")*12+($AI65:$AM65="Dt+")*12+($AI65:$AM65="Tm-")*6+($AI65:$AM65="Mt-")*6)+SUMPRODUCT(($AN65:$AO65="M")*6+($AN65:$AO65="T")*6+($AN65:$AO65="D")*12+($AN65:$AO65="N")*12+($AN65:$AO65="NT")*6+($AN65:$AO65="C")*10+($AN65:$AO65="A")*8+($AN65:$AO65="J")*5+($AN65:$AO65="CEP")*4+($AN65:$AO65="CP")*6+($AN65:$AO65="CRO")*6+($AN65:$AO65="M+")*6+($AN65:$AO65="T+")*6+($AN65:$AO65="D+")*12+($AN65:$AO65="N+")*12+($AN65:$AO65="Dm+")*12+($AN65:$AO65="Dt+")*12+($AN65:$AO65="Tm-")*6+($AN65:$AO65="Mt-")*6)</f>
        <v/>
      </c>
      <c r="BC65" s="118">
        <f>BB65-MAX(0,IFERROR(INDEX(CADASTRO!$I$4:$I$80,MATCH($A65,CADASTRO!$A$4:$A$80,0)),$B65)-CONFIG!$B$50*(COUNTIF($AI65:$AM65,"AB")+COUNTIF($AI65:$AM65,"FE")+COUNTIF($AI65:$AM65,"LM")+COUNTIF($AN65:$AO65,"AB")+COUNTIF($AN65:$AO65,"FE")+COUNTIF($AN65:$AO65,"LM")))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36">
        <f>IFERROR(INDEX(JUN!AK$8:AK$73,MATCH($A66,JUN!$A$8:$A$73,0))&amp;"","")</f>
        <v/>
      </c>
      <c r="H66" s="136">
        <f>IFERROR(INDEX(JUN!AL$8:AL$73,MATCH($A66,JUN!$A$8:$A$73,0))&amp;"","")</f>
        <v/>
      </c>
      <c r="I66" s="114" t="n"/>
      <c r="J66" s="114" t="n"/>
      <c r="K66" s="126" t="inlineStr">
        <is>
          <t>T</t>
        </is>
      </c>
      <c r="L66" s="125" t="inlineStr">
        <is>
          <t>N</t>
        </is>
      </c>
      <c r="M66" s="114" t="n"/>
      <c r="N66" s="125" t="inlineStr">
        <is>
          <t>N</t>
        </is>
      </c>
      <c r="O66" s="114" t="n"/>
      <c r="P66" s="114" t="n"/>
      <c r="Q66" s="114" t="n"/>
      <c r="R66" s="114" t="n"/>
      <c r="S66" s="114" t="n"/>
      <c r="T66" s="124" t="inlineStr">
        <is>
          <t>D</t>
        </is>
      </c>
      <c r="U66" s="125" t="inlineStr">
        <is>
          <t>N</t>
        </is>
      </c>
      <c r="V66" s="114" t="n"/>
      <c r="W66" s="114" t="n"/>
      <c r="X66" s="125" t="inlineStr">
        <is>
          <t>N</t>
        </is>
      </c>
      <c r="Y66" s="114" t="n"/>
      <c r="Z66" s="114" t="n"/>
      <c r="AA66" s="114" t="n"/>
      <c r="AB66" s="125" t="inlineStr">
        <is>
          <t>N</t>
        </is>
      </c>
      <c r="AC66" s="114" t="n"/>
      <c r="AD66" s="114" t="n"/>
      <c r="AE66" s="125" t="inlineStr">
        <is>
          <t>N</t>
        </is>
      </c>
      <c r="AF66" s="114" t="n"/>
      <c r="AG66" s="114" t="n"/>
      <c r="AH66" s="114" t="n"/>
      <c r="AI66" s="114" t="n"/>
      <c r="AJ66" s="114" t="n"/>
      <c r="AK66" s="114" t="n"/>
      <c r="AL66" s="125" t="inlineStr">
        <is>
          <t>N</t>
        </is>
      </c>
      <c r="AM66" s="114" t="n"/>
      <c r="AN66" s="116">
        <f>IFERROR(INDEX(AGO!I$8:I$73,MATCH($A66,AGO!$A$8:$A$73,0))&amp;"","")</f>
        <v/>
      </c>
      <c r="AO66" s="116">
        <f>IFERROR(INDEX(AGO!J$8:J$73,MATCH($A66,AGO!$A$8:$A$73,0))&amp;"","")</f>
        <v/>
      </c>
      <c r="AP66" s="100" t="n"/>
      <c r="AQ66" s="100" t="n"/>
      <c r="AR66" s="100" t="n"/>
      <c r="AS66" s="100" t="n"/>
      <c r="AT66" s="117">
        <f>SUMPRODUCT(($G66:$M66="M")*6+($G66:$M66="T")*6+($G66:$M66="D")*12+($G66:$M66="N")*12+($G66:$M66="NT")*6+($G66:$M66="C")*10+($G66:$M66="A")*8+($G66:$M66="J")*5+($G66:$M66="CEP")*4+($G66:$M66="CP")*6+($G66:$M66="CRO")*6+($G66:$M66="M+")*6+($G66:$M66="T+")*6+($G66:$M66="D+")*12+($G66:$M66="N+")*12+($G66:$M66="Dm+")*12+($G66:$M66="Dt+")*12+($G66:$M66="Tm-")*6+($G66:$M66="Mt-")*6)</f>
        <v/>
      </c>
      <c r="AU66" s="118">
        <f>AT66-MAX(0,IFERROR(INDEX(CADASTRO!$I$4:$I$80,MATCH($A66,CADASTRO!$A$4:$A$80,0)),$B66)-CONFIG!$B$50*(COUNTIF($G66:$M66,"AB")+COUNTIF($G66:$M66,"FE")+COUNTIF($G66:$M66,"LM")))</f>
        <v/>
      </c>
      <c r="AV66" s="117">
        <f>SUMPRODUCT(($N66:$T66="M")*6+($N66:$T66="T")*6+($N66:$T66="D")*12+($N66:$T66="N")*12+($N66:$T66="NT")*6+($N66:$T66="C")*10+($N66:$T66="A")*8+($N66:$T66="J")*5+($N66:$T66="CEP")*4+($N66:$T66="CP")*6+($N66:$T66="CRO")*6+($N66:$T66="M+")*6+($N66:$T66="T+")*6+($N66:$T66="D+")*12+($N66:$T66="N+")*12+($N66:$T66="Dm+")*12+($N66:$T66="Dt+")*12+($N66:$T66="Tm-")*6+($N66:$T66="Mt-")*6)</f>
        <v/>
      </c>
      <c r="AW66" s="118">
        <f>AV66-MAX(0,IFERROR(INDEX(CADASTRO!$I$4:$I$80,MATCH($A66,CADASTRO!$A$4:$A$80,0)),$B66)-CONFIG!$B$50*(COUNTIF($N66:$T66,"AB")+COUNTIF($N66:$T66,"FE")+COUNTIF($N66:$T66,"LM")))</f>
        <v/>
      </c>
      <c r="AX66" s="117">
        <f>SUMPRODUCT(($U66:$AA66="M")*6+($U66:$AA66="T")*6+($U66:$AA66="D")*12+($U66:$AA66="N")*12+($U66:$AA66="NT")*6+($U66:$AA66="C")*10+($U66:$AA66="A")*8+($U66:$AA66="J")*5+($U66:$AA66="CEP")*4+($U66:$AA66="CP")*6+($U66:$AA66="CRO")*6+($U66:$AA66="M+")*6+($U66:$AA66="T+")*6+($U66:$AA66="D+")*12+($U66:$AA66="N+")*12+($U66:$AA66="Dm+")*12+($U66:$AA66="Dt+")*12+($U66:$AA66="Tm-")*6+($U66:$AA66="Mt-")*6)</f>
        <v/>
      </c>
      <c r="AY66" s="118">
        <f>AX66-MAX(0,IFERROR(INDEX(CADASTRO!$I$4:$I$80,MATCH($A66,CADASTRO!$A$4:$A$80,0)),$B66)-CONFIG!$B$50*(COUNTIF($U66:$AA66,"AB")+COUNTIF($U66:$AA66,"FE")+COUNTIF($U66:$AA66,"LM")))</f>
        <v/>
      </c>
      <c r="AZ66" s="117">
        <f>SUMPRODUCT(($AB66:$AH66="M")*6+($AB66:$AH66="T")*6+($AB66:$AH66="D")*12+($AB66:$AH66="N")*12+($AB66:$AH66="NT")*6+($AB66:$AH66="C")*10+($AB66:$AH66="A")*8+($AB66:$AH66="J")*5+($AB66:$AH66="CEP")*4+($AB66:$AH66="CP")*6+($AB66:$AH66="CRO")*6+($AB66:$AH66="M+")*6+($AB66:$AH66="T+")*6+($AB66:$AH66="D+")*12+($AB66:$AH66="N+")*12+($AB66:$AH66="Dm+")*12+($AB66:$AH66="Dt+")*12+($AB66:$AH66="Tm-")*6+($AB66:$AH66="Mt-")*6)</f>
        <v/>
      </c>
      <c r="BA66" s="118">
        <f>AZ66-MAX(0,IFERROR(INDEX(CADASTRO!$I$4:$I$80,MATCH($A66,CADASTRO!$A$4:$A$80,0)),$B66)-CONFIG!$B$50*(COUNTIF($AB66:$AH66,"AB")+COUNTIF($AB66:$AH66,"FE")+COUNTIF($AB66:$AH66,"LM")))</f>
        <v/>
      </c>
      <c r="BB66" s="117">
        <f>SUMPRODUCT(($AI66:$AM66="M")*6+($AI66:$AM66="T")*6+($AI66:$AM66="D")*12+($AI66:$AM66="N")*12+($AI66:$AM66="NT")*6+($AI66:$AM66="C")*10+($AI66:$AM66="A")*8+($AI66:$AM66="J")*5+($AI66:$AM66="CEP")*4+($AI66:$AM66="CP")*6+($AI66:$AM66="CRO")*6+($AI66:$AM66="M+")*6+($AI66:$AM66="T+")*6+($AI66:$AM66="D+")*12+($AI66:$AM66="N+")*12+($AI66:$AM66="Dm+")*12+($AI66:$AM66="Dt+")*12+($AI66:$AM66="Tm-")*6+($AI66:$AM66="Mt-")*6)+SUMPRODUCT(($AN66:$AO66="M")*6+($AN66:$AO66="T")*6+($AN66:$AO66="D")*12+($AN66:$AO66="N")*12+($AN66:$AO66="NT")*6+($AN66:$AO66="C")*10+($AN66:$AO66="A")*8+($AN66:$AO66="J")*5+($AN66:$AO66="CEP")*4+($AN66:$AO66="CP")*6+($AN66:$AO66="CRO")*6+($AN66:$AO66="M+")*6+($AN66:$AO66="T+")*6+($AN66:$AO66="D+")*12+($AN66:$AO66="N+")*12+($AN66:$AO66="Dm+")*12+($AN66:$AO66="Dt+")*12+($AN66:$AO66="Tm-")*6+($AN66:$AO66="Mt-")*6)</f>
        <v/>
      </c>
      <c r="BC66" s="118">
        <f>BB66-MAX(0,IFERROR(INDEX(CADASTRO!$I$4:$I$80,MATCH($A66,CADASTRO!$A$4:$A$80,0)),$B66)-CONFIG!$B$50*(COUNTIF($AI66:$AM66,"AB")+COUNTIF($AI66:$AM66,"FE")+COUNTIF($AI66:$AM66,"LM")+COUNTIF($AN66:$AO66,"AB")+COUNTIF($AN66:$AO66,"FE")+COUNTIF($AN66:$AO66,"LM")))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36">
        <f>IFERROR(INDEX(JUN!AK$8:AK$73,MATCH($A67,JUN!$A$8:$A$73,0))&amp;"","")</f>
        <v/>
      </c>
      <c r="H67" s="136">
        <f>IFERROR(INDEX(JUN!AL$8:AL$73,MATCH($A67,JUN!$A$8:$A$73,0))&amp;"","")</f>
        <v/>
      </c>
      <c r="I67" s="131" t="inlineStr">
        <is>
          <t>CP</t>
        </is>
      </c>
      <c r="J67" s="114" t="n"/>
      <c r="K67" s="123" t="inlineStr">
        <is>
          <t>T+</t>
        </is>
      </c>
      <c r="L67" s="115" t="inlineStr">
        <is>
          <t>M</t>
        </is>
      </c>
      <c r="M67" s="125" t="inlineStr">
        <is>
          <t>N</t>
        </is>
      </c>
      <c r="N67" s="131" t="inlineStr">
        <is>
          <t>CP</t>
        </is>
      </c>
      <c r="O67" s="114" t="n"/>
      <c r="P67" s="131" t="inlineStr">
        <is>
          <t>CP</t>
        </is>
      </c>
      <c r="Q67" s="115" t="inlineStr">
        <is>
          <t>M</t>
        </is>
      </c>
      <c r="R67" s="115" t="inlineStr">
        <is>
          <t>M</t>
        </is>
      </c>
      <c r="S67" s="114" t="n"/>
      <c r="T67" s="114" t="n"/>
      <c r="U67" s="115" t="inlineStr">
        <is>
          <t>M</t>
        </is>
      </c>
      <c r="V67" s="131" t="inlineStr">
        <is>
          <t>CP</t>
        </is>
      </c>
      <c r="W67" s="131" t="inlineStr">
        <is>
          <t>CP</t>
        </is>
      </c>
      <c r="X67" s="114" t="n"/>
      <c r="Y67" s="115" t="inlineStr">
        <is>
          <t>M</t>
        </is>
      </c>
      <c r="Z67" s="114" t="n"/>
      <c r="AA67" s="114" t="n"/>
      <c r="AB67" s="131" t="inlineStr">
        <is>
          <t>CP</t>
        </is>
      </c>
      <c r="AC67" s="114" t="n"/>
      <c r="AD67" s="131" t="inlineStr">
        <is>
          <t>CP</t>
        </is>
      </c>
      <c r="AE67" s="114" t="n"/>
      <c r="AF67" s="114" t="n"/>
      <c r="AG67" s="125" t="inlineStr">
        <is>
          <t>N</t>
        </is>
      </c>
      <c r="AH67" s="114" t="n"/>
      <c r="AI67" s="131" t="inlineStr">
        <is>
          <t>CP</t>
        </is>
      </c>
      <c r="AJ67" s="114" t="n"/>
      <c r="AK67" s="131" t="inlineStr">
        <is>
          <t>CP</t>
        </is>
      </c>
      <c r="AL67" s="114" t="n"/>
      <c r="AM67" s="114" t="n"/>
      <c r="AN67" s="116">
        <f>IFERROR(INDEX(AGO!I$8:I$73,MATCH($A67,AGO!$A$8:$A$73,0))&amp;"","")</f>
        <v/>
      </c>
      <c r="AO67" s="116">
        <f>IFERROR(INDEX(AGO!J$8:J$73,MATCH($A67,AGO!$A$8:$A$73,0))&amp;"","")</f>
        <v/>
      </c>
      <c r="AP67" s="100" t="n"/>
      <c r="AQ67" s="100" t="n"/>
      <c r="AR67" s="100" t="n"/>
      <c r="AS67" s="100" t="n"/>
      <c r="AT67" s="117">
        <f>SUMPRODUCT(($G67:$M67="M")*6+($G67:$M67="T")*6+($G67:$M67="D")*12+($G67:$M67="N")*12+($G67:$M67="NT")*6+($G67:$M67="C")*10+($G67:$M67="A")*8+($G67:$M67="J")*5+($G67:$M67="CEP")*4+($G67:$M67="CP")*6+($G67:$M67="CRO")*6+($G67:$M67="M+")*6+($G67:$M67="T+")*6+($G67:$M67="D+")*12+($G67:$M67="N+")*12+($G67:$M67="Dm+")*12+($G67:$M67="Dt+")*12+($G67:$M67="Tm-")*6+($G67:$M67="Mt-")*6)</f>
        <v/>
      </c>
      <c r="AU67" s="118">
        <f>AT67-MAX(0,IFERROR(INDEX(CADASTRO!$I$4:$I$80,MATCH($A67,CADASTRO!$A$4:$A$80,0)),$B67)-CONFIG!$B$50*(COUNTIF($G67:$M67,"AB")+COUNTIF($G67:$M67,"FE")+COUNTIF($G67:$M67,"LM")))</f>
        <v/>
      </c>
      <c r="AV67" s="117">
        <f>SUMPRODUCT(($N67:$T67="M")*6+($N67:$T67="T")*6+($N67:$T67="D")*12+($N67:$T67="N")*12+($N67:$T67="NT")*6+($N67:$T67="C")*10+($N67:$T67="A")*8+($N67:$T67="J")*5+($N67:$T67="CEP")*4+($N67:$T67="CP")*6+($N67:$T67="CRO")*6+($N67:$T67="M+")*6+($N67:$T67="T+")*6+($N67:$T67="D+")*12+($N67:$T67="N+")*12+($N67:$T67="Dm+")*12+($N67:$T67="Dt+")*12+($N67:$T67="Tm-")*6+($N67:$T67="Mt-")*6)</f>
        <v/>
      </c>
      <c r="AW67" s="118">
        <f>AV67-MAX(0,IFERROR(INDEX(CADASTRO!$I$4:$I$80,MATCH($A67,CADASTRO!$A$4:$A$80,0)),$B67)-CONFIG!$B$50*(COUNTIF($N67:$T67,"AB")+COUNTIF($N67:$T67,"FE")+COUNTIF($N67:$T67,"LM")))</f>
        <v/>
      </c>
      <c r="AX67" s="117">
        <f>SUMPRODUCT(($U67:$AA67="M")*6+($U67:$AA67="T")*6+($U67:$AA67="D")*12+($U67:$AA67="N")*12+($U67:$AA67="NT")*6+($U67:$AA67="C")*10+($U67:$AA67="A")*8+($U67:$AA67="J")*5+($U67:$AA67="CEP")*4+($U67:$AA67="CP")*6+($U67:$AA67="CRO")*6+($U67:$AA67="M+")*6+($U67:$AA67="T+")*6+($U67:$AA67="D+")*12+($U67:$AA67="N+")*12+($U67:$AA67="Dm+")*12+($U67:$AA67="Dt+")*12+($U67:$AA67="Tm-")*6+($U67:$AA67="Mt-")*6)</f>
        <v/>
      </c>
      <c r="AY67" s="118">
        <f>AX67-MAX(0,IFERROR(INDEX(CADASTRO!$I$4:$I$80,MATCH($A67,CADASTRO!$A$4:$A$80,0)),$B67)-CONFIG!$B$50*(COUNTIF($U67:$AA67,"AB")+COUNTIF($U67:$AA67,"FE")+COUNTIF($U67:$AA67,"LM")))</f>
        <v/>
      </c>
      <c r="AZ67" s="117">
        <f>SUMPRODUCT(($AB67:$AH67="M")*6+($AB67:$AH67="T")*6+($AB67:$AH67="D")*12+($AB67:$AH67="N")*12+($AB67:$AH67="NT")*6+($AB67:$AH67="C")*10+($AB67:$AH67="A")*8+($AB67:$AH67="J")*5+($AB67:$AH67="CEP")*4+($AB67:$AH67="CP")*6+($AB67:$AH67="CRO")*6+($AB67:$AH67="M+")*6+($AB67:$AH67="T+")*6+($AB67:$AH67="D+")*12+($AB67:$AH67="N+")*12+($AB67:$AH67="Dm+")*12+($AB67:$AH67="Dt+")*12+($AB67:$AH67="Tm-")*6+($AB67:$AH67="Mt-")*6)</f>
        <v/>
      </c>
      <c r="BA67" s="118">
        <f>AZ67-MAX(0,IFERROR(INDEX(CADASTRO!$I$4:$I$80,MATCH($A67,CADASTRO!$A$4:$A$80,0)),$B67)-CONFIG!$B$50*(COUNTIF($AB67:$AH67,"AB")+COUNTIF($AB67:$AH67,"FE")+COUNTIF($AB67:$AH67,"LM")))</f>
        <v/>
      </c>
      <c r="BB67" s="117">
        <f>SUMPRODUCT(($AI67:$AM67="M")*6+($AI67:$AM67="T")*6+($AI67:$AM67="D")*12+($AI67:$AM67="N")*12+($AI67:$AM67="NT")*6+($AI67:$AM67="C")*10+($AI67:$AM67="A")*8+($AI67:$AM67="J")*5+($AI67:$AM67="CEP")*4+($AI67:$AM67="CP")*6+($AI67:$AM67="CRO")*6+($AI67:$AM67="M+")*6+($AI67:$AM67="T+")*6+($AI67:$AM67="D+")*12+($AI67:$AM67="N+")*12+($AI67:$AM67="Dm+")*12+($AI67:$AM67="Dt+")*12+($AI67:$AM67="Tm-")*6+($AI67:$AM67="Mt-")*6)+SUMPRODUCT(($AN67:$AO67="M")*6+($AN67:$AO67="T")*6+($AN67:$AO67="D")*12+($AN67:$AO67="N")*12+($AN67:$AO67="NT")*6+($AN67:$AO67="C")*10+($AN67:$AO67="A")*8+($AN67:$AO67="J")*5+($AN67:$AO67="CEP")*4+($AN67:$AO67="CP")*6+($AN67:$AO67="CRO")*6+($AN67:$AO67="M+")*6+($AN67:$AO67="T+")*6+($AN67:$AO67="D+")*12+($AN67:$AO67="N+")*12+($AN67:$AO67="Dm+")*12+($AN67:$AO67="Dt+")*12+($AN67:$AO67="Tm-")*6+($AN67:$AO67="Mt-")*6)</f>
        <v/>
      </c>
      <c r="BC67" s="118">
        <f>BB67-MAX(0,IFERROR(INDEX(CADASTRO!$I$4:$I$80,MATCH($A67,CADASTRO!$A$4:$A$80,0)),$B67)-CONFIG!$B$50*(COUNTIF($AI67:$AM67,"AB")+COUNTIF($AI67:$AM67,"FE")+COUNTIF($AI67:$AM67,"LM")+COUNTIF($AN67:$AO67,"AB")+COUNTIF($AN67:$AO67,"FE")+COUNTIF($AN67:$AO67,"LM")))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36">
        <f>IFERROR(INDEX(JUN!AK$8:AK$73,MATCH($A68,JUN!$A$8:$A$73,0))&amp;"","")</f>
        <v/>
      </c>
      <c r="H68" s="136">
        <f>IFERROR(INDEX(JUN!AL$8:AL$73,MATCH($A68,JUN!$A$8:$A$73,0))&amp;"","")</f>
        <v/>
      </c>
      <c r="I68" s="114" t="n"/>
      <c r="J68" s="114" t="n"/>
      <c r="K68" s="124" t="inlineStr">
        <is>
          <t>D</t>
        </is>
      </c>
      <c r="L68" s="124" t="inlineStr">
        <is>
          <t>D</t>
        </is>
      </c>
      <c r="M68" s="114" t="n"/>
      <c r="N68" s="124" t="inlineStr">
        <is>
          <t>D</t>
        </is>
      </c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24" t="inlineStr">
        <is>
          <t>D</t>
        </is>
      </c>
      <c r="Y68" s="125" t="inlineStr">
        <is>
          <t>N</t>
        </is>
      </c>
      <c r="Z68" s="114" t="n"/>
      <c r="AA68" s="124" t="inlineStr">
        <is>
          <t>D</t>
        </is>
      </c>
      <c r="AB68" s="115" t="inlineStr">
        <is>
          <t>M</t>
        </is>
      </c>
      <c r="AC68" s="114" t="n"/>
      <c r="AD68" s="114" t="n"/>
      <c r="AE68" s="114" t="n"/>
      <c r="AF68" s="124" t="inlineStr">
        <is>
          <t>D</t>
        </is>
      </c>
      <c r="AG68" s="126" t="inlineStr">
        <is>
          <t>T</t>
        </is>
      </c>
      <c r="AH68" s="114" t="n"/>
      <c r="AI68" s="114" t="n"/>
      <c r="AJ68" s="114" t="n"/>
      <c r="AK68" s="114" t="n"/>
      <c r="AL68" s="114" t="n"/>
      <c r="AM68" s="124" t="inlineStr">
        <is>
          <t>D</t>
        </is>
      </c>
      <c r="AN68" s="116">
        <f>IFERROR(INDEX(AGO!I$8:I$73,MATCH($A68,AGO!$A$8:$A$73,0))&amp;"","")</f>
        <v/>
      </c>
      <c r="AO68" s="116">
        <f>IFERROR(INDEX(AGO!J$8:J$73,MATCH($A68,AGO!$A$8:$A$73,0))&amp;"","")</f>
        <v/>
      </c>
      <c r="AP68" s="100" t="n"/>
      <c r="AQ68" s="100" t="n"/>
      <c r="AR68" s="100" t="n"/>
      <c r="AS68" s="100" t="n"/>
      <c r="AT68" s="117">
        <f>SUMPRODUCT(($G68:$M68="M")*6+($G68:$M68="T")*6+($G68:$M68="D")*12+($G68:$M68="N")*12+($G68:$M68="NT")*6+($G68:$M68="C")*10+($G68:$M68="A")*8+($G68:$M68="J")*5+($G68:$M68="CEP")*4+($G68:$M68="CP")*6+($G68:$M68="CRO")*6+($G68:$M68="M+")*6+($G68:$M68="T+")*6+($G68:$M68="D+")*12+($G68:$M68="N+")*12+($G68:$M68="Dm+")*12+($G68:$M68="Dt+")*12+($G68:$M68="Tm-")*6+($G68:$M68="Mt-")*6)</f>
        <v/>
      </c>
      <c r="AU68" s="118">
        <f>AT68-MAX(0,IFERROR(INDEX(CADASTRO!$I$4:$I$80,MATCH($A68,CADASTRO!$A$4:$A$80,0)),$B68)-CONFIG!$B$50*(COUNTIF($G68:$M68,"AB")+COUNTIF($G68:$M68,"FE")+COUNTIF($G68:$M68,"LM")))</f>
        <v/>
      </c>
      <c r="AV68" s="117">
        <f>SUMPRODUCT(($N68:$T68="M")*6+($N68:$T68="T")*6+($N68:$T68="D")*12+($N68:$T68="N")*12+($N68:$T68="NT")*6+($N68:$T68="C")*10+($N68:$T68="A")*8+($N68:$T68="J")*5+($N68:$T68="CEP")*4+($N68:$T68="CP")*6+($N68:$T68="CRO")*6+($N68:$T68="M+")*6+($N68:$T68="T+")*6+($N68:$T68="D+")*12+($N68:$T68="N+")*12+($N68:$T68="Dm+")*12+($N68:$T68="Dt+")*12+($N68:$T68="Tm-")*6+($N68:$T68="Mt-")*6)</f>
        <v/>
      </c>
      <c r="AW68" s="118">
        <f>AV68-MAX(0,IFERROR(INDEX(CADASTRO!$I$4:$I$80,MATCH($A68,CADASTRO!$A$4:$A$80,0)),$B68)-CONFIG!$B$50*(COUNTIF($N68:$T68,"AB")+COUNTIF($N68:$T68,"FE")+COUNTIF($N68:$T68,"LM")))</f>
        <v/>
      </c>
      <c r="AX68" s="117">
        <f>SUMPRODUCT(($U68:$AA68="M")*6+($U68:$AA68="T")*6+($U68:$AA68="D")*12+($U68:$AA68="N")*12+($U68:$AA68="NT")*6+($U68:$AA68="C")*10+($U68:$AA68="A")*8+($U68:$AA68="J")*5+($U68:$AA68="CEP")*4+($U68:$AA68="CP")*6+($U68:$AA68="CRO")*6+($U68:$AA68="M+")*6+($U68:$AA68="T+")*6+($U68:$AA68="D+")*12+($U68:$AA68="N+")*12+($U68:$AA68="Dm+")*12+($U68:$AA68="Dt+")*12+($U68:$AA68="Tm-")*6+($U68:$AA68="Mt-")*6)</f>
        <v/>
      </c>
      <c r="AY68" s="118">
        <f>AX68-MAX(0,IFERROR(INDEX(CADASTRO!$I$4:$I$80,MATCH($A68,CADASTRO!$A$4:$A$80,0)),$B68)-CONFIG!$B$50*(COUNTIF($U68:$AA68,"AB")+COUNTIF($U68:$AA68,"FE")+COUNTIF($U68:$AA68,"LM")))</f>
        <v/>
      </c>
      <c r="AZ68" s="117">
        <f>SUMPRODUCT(($AB68:$AH68="M")*6+($AB68:$AH68="T")*6+($AB68:$AH68="D")*12+($AB68:$AH68="N")*12+($AB68:$AH68="NT")*6+($AB68:$AH68="C")*10+($AB68:$AH68="A")*8+($AB68:$AH68="J")*5+($AB68:$AH68="CEP")*4+($AB68:$AH68="CP")*6+($AB68:$AH68="CRO")*6+($AB68:$AH68="M+")*6+($AB68:$AH68="T+")*6+($AB68:$AH68="D+")*12+($AB68:$AH68="N+")*12+($AB68:$AH68="Dm+")*12+($AB68:$AH68="Dt+")*12+($AB68:$AH68="Tm-")*6+($AB68:$AH68="Mt-")*6)</f>
        <v/>
      </c>
      <c r="BA68" s="118">
        <f>AZ68-MAX(0,IFERROR(INDEX(CADASTRO!$I$4:$I$80,MATCH($A68,CADASTRO!$A$4:$A$80,0)),$B68)-CONFIG!$B$50*(COUNTIF($AB68:$AH68,"AB")+COUNTIF($AB68:$AH68,"FE")+COUNTIF($AB68:$AH68,"LM")))</f>
        <v/>
      </c>
      <c r="BB68" s="117">
        <f>SUMPRODUCT(($AI68:$AM68="M")*6+($AI68:$AM68="T")*6+($AI68:$AM68="D")*12+($AI68:$AM68="N")*12+($AI68:$AM68="NT")*6+($AI68:$AM68="C")*10+($AI68:$AM68="A")*8+($AI68:$AM68="J")*5+($AI68:$AM68="CEP")*4+($AI68:$AM68="CP")*6+($AI68:$AM68="CRO")*6+($AI68:$AM68="M+")*6+($AI68:$AM68="T+")*6+($AI68:$AM68="D+")*12+($AI68:$AM68="N+")*12+($AI68:$AM68="Dm+")*12+($AI68:$AM68="Dt+")*12+($AI68:$AM68="Tm-")*6+($AI68:$AM68="Mt-")*6)+SUMPRODUCT(($AN68:$AO68="M")*6+($AN68:$AO68="T")*6+($AN68:$AO68="D")*12+($AN68:$AO68="N")*12+($AN68:$AO68="NT")*6+($AN68:$AO68="C")*10+($AN68:$AO68="A")*8+($AN68:$AO68="J")*5+($AN68:$AO68="CEP")*4+($AN68:$AO68="CP")*6+($AN68:$AO68="CRO")*6+($AN68:$AO68="M+")*6+($AN68:$AO68="T+")*6+($AN68:$AO68="D+")*12+($AN68:$AO68="N+")*12+($AN68:$AO68="Dm+")*12+($AN68:$AO68="Dt+")*12+($AN68:$AO68="Tm-")*6+($AN68:$AO68="Mt-")*6)</f>
        <v/>
      </c>
      <c r="BC68" s="118">
        <f>BB68-MAX(0,IFERROR(INDEX(CADASTRO!$I$4:$I$80,MATCH($A68,CADASTRO!$A$4:$A$80,0)),$B68)-CONFIG!$B$50*(COUNTIF($AI68:$AM68,"AB")+COUNTIF($AI68:$AM68,"FE")+COUNTIF($AI68:$AM68,"LM")+COUNTIF($AN68:$AO68,"AB")+COUNTIF($AN68:$AO68,"FE")+COUNTIF($AN68:$AO68,"LM")))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36">
        <f>IFERROR(INDEX(JUN!AK$8:AK$73,MATCH($A69,JUN!$A$8:$A$73,0))&amp;"","")</f>
        <v/>
      </c>
      <c r="H69" s="136">
        <f>IFERROR(INDEX(JUN!AL$8:AL$73,MATCH($A69,JUN!$A$8:$A$73,0))&amp;"","")</f>
        <v/>
      </c>
      <c r="I69" s="124" t="inlineStr">
        <is>
          <t>D</t>
        </is>
      </c>
      <c r="J69" s="114" t="n"/>
      <c r="K69" s="124" t="inlineStr">
        <is>
          <t>D</t>
        </is>
      </c>
      <c r="L69" s="114" t="n"/>
      <c r="M69" s="114" t="n"/>
      <c r="N69" s="114" t="n"/>
      <c r="O69" s="114" t="n"/>
      <c r="P69" s="124" t="inlineStr">
        <is>
          <t>D</t>
        </is>
      </c>
      <c r="Q69" s="114" t="n"/>
      <c r="R69" s="114" t="n"/>
      <c r="S69" s="125" t="inlineStr">
        <is>
          <t>N</t>
        </is>
      </c>
      <c r="T69" s="114" t="n"/>
      <c r="U69" s="114" t="n"/>
      <c r="V69" s="114" t="n"/>
      <c r="W69" s="124" t="inlineStr">
        <is>
          <t>D</t>
        </is>
      </c>
      <c r="X69" s="114" t="n"/>
      <c r="Y69" s="126" t="inlineStr">
        <is>
          <t>T</t>
        </is>
      </c>
      <c r="Z69" s="126" t="inlineStr">
        <is>
          <t>T</t>
        </is>
      </c>
      <c r="AA69" s="114" t="n"/>
      <c r="AB69" s="114" t="n"/>
      <c r="AC69" s="114" t="n"/>
      <c r="AD69" s="126" t="inlineStr">
        <is>
          <t>T</t>
        </is>
      </c>
      <c r="AE69" s="114" t="n"/>
      <c r="AF69" s="124" t="inlineStr">
        <is>
          <t>D</t>
        </is>
      </c>
      <c r="AG69" s="114" t="n"/>
      <c r="AH69" s="115" t="inlineStr">
        <is>
          <t>M</t>
        </is>
      </c>
      <c r="AI69" s="114" t="n"/>
      <c r="AJ69" s="114" t="n"/>
      <c r="AK69" s="124" t="inlineStr">
        <is>
          <t>D</t>
        </is>
      </c>
      <c r="AL69" s="114" t="n"/>
      <c r="AM69" s="114" t="n"/>
      <c r="AN69" s="116">
        <f>IFERROR(INDEX(AGO!I$8:I$73,MATCH($A69,AGO!$A$8:$A$73,0))&amp;"","")</f>
        <v/>
      </c>
      <c r="AO69" s="116">
        <f>IFERROR(INDEX(AGO!J$8:J$73,MATCH($A69,AGO!$A$8:$A$73,0))&amp;"","")</f>
        <v/>
      </c>
      <c r="AP69" s="100" t="n"/>
      <c r="AQ69" s="100" t="n"/>
      <c r="AR69" s="100" t="n"/>
      <c r="AS69" s="100" t="n"/>
      <c r="AT69" s="117">
        <f>SUMPRODUCT(($G69:$M69="M")*6+($G69:$M69="T")*6+($G69:$M69="D")*12+($G69:$M69="N")*12+($G69:$M69="NT")*6+($G69:$M69="C")*10+($G69:$M69="A")*8+($G69:$M69="J")*5+($G69:$M69="CEP")*4+($G69:$M69="CP")*6+($G69:$M69="CRO")*6+($G69:$M69="M+")*6+($G69:$M69="T+")*6+($G69:$M69="D+")*12+($G69:$M69="N+")*12+($G69:$M69="Dm+")*12+($G69:$M69="Dt+")*12+($G69:$M69="Tm-")*6+($G69:$M69="Mt-")*6)</f>
        <v/>
      </c>
      <c r="AU69" s="118">
        <f>AT69-MAX(0,IFERROR(INDEX(CADASTRO!$I$4:$I$80,MATCH($A69,CADASTRO!$A$4:$A$80,0)),$B69)-CONFIG!$B$50*(COUNTIF($G69:$M69,"AB")+COUNTIF($G69:$M69,"FE")+COUNTIF($G69:$M69,"LM")))</f>
        <v/>
      </c>
      <c r="AV69" s="117">
        <f>SUMPRODUCT(($N69:$T69="M")*6+($N69:$T69="T")*6+($N69:$T69="D")*12+($N69:$T69="N")*12+($N69:$T69="NT")*6+($N69:$T69="C")*10+($N69:$T69="A")*8+($N69:$T69="J")*5+($N69:$T69="CEP")*4+($N69:$T69="CP")*6+($N69:$T69="CRO")*6+($N69:$T69="M+")*6+($N69:$T69="T+")*6+($N69:$T69="D+")*12+($N69:$T69="N+")*12+($N69:$T69="Dm+")*12+($N69:$T69="Dt+")*12+($N69:$T69="Tm-")*6+($N69:$T69="Mt-")*6)</f>
        <v/>
      </c>
      <c r="AW69" s="118">
        <f>AV69-MAX(0,IFERROR(INDEX(CADASTRO!$I$4:$I$80,MATCH($A69,CADASTRO!$A$4:$A$80,0)),$B69)-CONFIG!$B$50*(COUNTIF($N69:$T69,"AB")+COUNTIF($N69:$T69,"FE")+COUNTIF($N69:$T69,"LM")))</f>
        <v/>
      </c>
      <c r="AX69" s="117">
        <f>SUMPRODUCT(($U69:$AA69="M")*6+($U69:$AA69="T")*6+($U69:$AA69="D")*12+($U69:$AA69="N")*12+($U69:$AA69="NT")*6+($U69:$AA69="C")*10+($U69:$AA69="A")*8+($U69:$AA69="J")*5+($U69:$AA69="CEP")*4+($U69:$AA69="CP")*6+($U69:$AA69="CRO")*6+($U69:$AA69="M+")*6+($U69:$AA69="T+")*6+($U69:$AA69="D+")*12+($U69:$AA69="N+")*12+($U69:$AA69="Dm+")*12+($U69:$AA69="Dt+")*12+($U69:$AA69="Tm-")*6+($U69:$AA69="Mt-")*6)</f>
        <v/>
      </c>
      <c r="AY69" s="118">
        <f>AX69-MAX(0,IFERROR(INDEX(CADASTRO!$I$4:$I$80,MATCH($A69,CADASTRO!$A$4:$A$80,0)),$B69)-CONFIG!$B$50*(COUNTIF($U69:$AA69,"AB")+COUNTIF($U69:$AA69,"FE")+COUNTIF($U69:$AA69,"LM")))</f>
        <v/>
      </c>
      <c r="AZ69" s="117">
        <f>SUMPRODUCT(($AB69:$AH69="M")*6+($AB69:$AH69="T")*6+($AB69:$AH69="D")*12+($AB69:$AH69="N")*12+($AB69:$AH69="NT")*6+($AB69:$AH69="C")*10+($AB69:$AH69="A")*8+($AB69:$AH69="J")*5+($AB69:$AH69="CEP")*4+($AB69:$AH69="CP")*6+($AB69:$AH69="CRO")*6+($AB69:$AH69="M+")*6+($AB69:$AH69="T+")*6+($AB69:$AH69="D+")*12+($AB69:$AH69="N+")*12+($AB69:$AH69="Dm+")*12+($AB69:$AH69="Dt+")*12+($AB69:$AH69="Tm-")*6+($AB69:$AH69="Mt-")*6)</f>
        <v/>
      </c>
      <c r="BA69" s="118">
        <f>AZ69-MAX(0,IFERROR(INDEX(CADASTRO!$I$4:$I$80,MATCH($A69,CADASTRO!$A$4:$A$80,0)),$B69)-CONFIG!$B$50*(COUNTIF($AB69:$AH69,"AB")+COUNTIF($AB69:$AH69,"FE")+COUNTIF($AB69:$AH69,"LM")))</f>
        <v/>
      </c>
      <c r="BB69" s="117">
        <f>SUMPRODUCT(($AI69:$AM69="M")*6+($AI69:$AM69="T")*6+($AI69:$AM69="D")*12+($AI69:$AM69="N")*12+($AI69:$AM69="NT")*6+($AI69:$AM69="C")*10+($AI69:$AM69="A")*8+($AI69:$AM69="J")*5+($AI69:$AM69="CEP")*4+($AI69:$AM69="CP")*6+($AI69:$AM69="CRO")*6+($AI69:$AM69="M+")*6+($AI69:$AM69="T+")*6+($AI69:$AM69="D+")*12+($AI69:$AM69="N+")*12+($AI69:$AM69="Dm+")*12+($AI69:$AM69="Dt+")*12+($AI69:$AM69="Tm-")*6+($AI69:$AM69="Mt-")*6)+SUMPRODUCT(($AN69:$AO69="M")*6+($AN69:$AO69="T")*6+($AN69:$AO69="D")*12+($AN69:$AO69="N")*12+($AN69:$AO69="NT")*6+($AN69:$AO69="C")*10+($AN69:$AO69="A")*8+($AN69:$AO69="J")*5+($AN69:$AO69="CEP")*4+($AN69:$AO69="CP")*6+($AN69:$AO69="CRO")*6+($AN69:$AO69="M+")*6+($AN69:$AO69="T+")*6+($AN69:$AO69="D+")*12+($AN69:$AO69="N+")*12+($AN69:$AO69="Dm+")*12+($AN69:$AO69="Dt+")*12+($AN69:$AO69="Tm-")*6+($AN69:$AO69="Mt-")*6)</f>
        <v/>
      </c>
      <c r="BC69" s="118">
        <f>BB69-MAX(0,IFERROR(INDEX(CADASTRO!$I$4:$I$80,MATCH($A69,CADASTRO!$A$4:$A$80,0)),$B69)-CONFIG!$B$50*(COUNTIF($AI69:$AM69,"AB")+COUNTIF($AI69:$AM69,"FE")+COUNTIF($AI69:$AM69,"LM")+COUNTIF($AN69:$AO69,"AB")+COUNTIF($AN69:$AO69,"FE")+COUNTIF($AN69:$AO69,"LM")))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36">
        <f>IFERROR(INDEX(JUN!AK$8:AK$73,MATCH($A70,JUN!$A$8:$A$73,0))&amp;"","")</f>
        <v/>
      </c>
      <c r="H70" s="136">
        <f>IFERROR(INDEX(JUN!AL$8:AL$73,MATCH($A70,JUN!$A$8:$A$73,0))&amp;"","")</f>
        <v/>
      </c>
      <c r="I70" s="125" t="inlineStr">
        <is>
          <t>N</t>
        </is>
      </c>
      <c r="J70" s="114" t="n"/>
      <c r="K70" s="114" t="n"/>
      <c r="L70" s="114" t="n"/>
      <c r="M70" s="125" t="inlineStr">
        <is>
          <t>N</t>
        </is>
      </c>
      <c r="N70" s="114" t="n"/>
      <c r="O70" s="125" t="inlineStr">
        <is>
          <t>N</t>
        </is>
      </c>
      <c r="P70" s="114" t="n"/>
      <c r="Q70" s="125" t="inlineStr">
        <is>
          <t>N</t>
        </is>
      </c>
      <c r="R70" s="114" t="n"/>
      <c r="S70" s="114" t="n"/>
      <c r="T70" s="114" t="n"/>
      <c r="U70" s="114" t="n"/>
      <c r="V70" s="126" t="inlineStr">
        <is>
          <t>T</t>
        </is>
      </c>
      <c r="W70" s="126" t="inlineStr">
        <is>
          <t>T</t>
        </is>
      </c>
      <c r="X70" s="114" t="n"/>
      <c r="Y70" s="114" t="n"/>
      <c r="Z70" s="114" t="n"/>
      <c r="AA70" s="124" t="inlineStr">
        <is>
          <t>D</t>
        </is>
      </c>
      <c r="AB70" s="114" t="n"/>
      <c r="AC70" s="126" t="inlineStr">
        <is>
          <t>T</t>
        </is>
      </c>
      <c r="AD70" s="124" t="inlineStr">
        <is>
          <t>D</t>
        </is>
      </c>
      <c r="AE70" s="126" t="inlineStr">
        <is>
          <t>T</t>
        </is>
      </c>
      <c r="AF70" s="114" t="n"/>
      <c r="AG70" s="114" t="n"/>
      <c r="AH70" s="114" t="n"/>
      <c r="AI70" s="114" t="n"/>
      <c r="AJ70" s="114" t="n"/>
      <c r="AK70" s="114" t="n"/>
      <c r="AL70" s="125" t="inlineStr">
        <is>
          <t>N</t>
        </is>
      </c>
      <c r="AM70" s="114" t="n"/>
      <c r="AN70" s="116">
        <f>IFERROR(INDEX(AGO!I$8:I$73,MATCH($A70,AGO!$A$8:$A$73,0))&amp;"","")</f>
        <v/>
      </c>
      <c r="AO70" s="116">
        <f>IFERROR(INDEX(AGO!J$8:J$73,MATCH($A70,AGO!$A$8:$A$73,0))&amp;"","")</f>
        <v/>
      </c>
      <c r="AP70" s="100" t="n"/>
      <c r="AQ70" s="100" t="n"/>
      <c r="AR70" s="100" t="n"/>
      <c r="AS70" s="100" t="n"/>
      <c r="AT70" s="117">
        <f>SUMPRODUCT(($G70:$M70="M")*6+($G70:$M70="T")*6+($G70:$M70="D")*12+($G70:$M70="N")*12+($G70:$M70="NT")*6+($G70:$M70="C")*10+($G70:$M70="A")*8+($G70:$M70="J")*5+($G70:$M70="CEP")*4+($G70:$M70="CP")*6+($G70:$M70="CRO")*6+($G70:$M70="M+")*6+($G70:$M70="T+")*6+($G70:$M70="D+")*12+($G70:$M70="N+")*12+($G70:$M70="Dm+")*12+($G70:$M70="Dt+")*12+($G70:$M70="Tm-")*6+($G70:$M70="Mt-")*6)</f>
        <v/>
      </c>
      <c r="AU70" s="118">
        <f>AT70-MAX(0,IFERROR(INDEX(CADASTRO!$I$4:$I$80,MATCH($A70,CADASTRO!$A$4:$A$80,0)),$B70)-CONFIG!$B$50*(COUNTIF($G70:$M70,"AB")+COUNTIF($G70:$M70,"FE")+COUNTIF($G70:$M70,"LM")))</f>
        <v/>
      </c>
      <c r="AV70" s="117">
        <f>SUMPRODUCT(($N70:$T70="M")*6+($N70:$T70="T")*6+($N70:$T70="D")*12+($N70:$T70="N")*12+($N70:$T70="NT")*6+($N70:$T70="C")*10+($N70:$T70="A")*8+($N70:$T70="J")*5+($N70:$T70="CEP")*4+($N70:$T70="CP")*6+($N70:$T70="CRO")*6+($N70:$T70="M+")*6+($N70:$T70="T+")*6+($N70:$T70="D+")*12+($N70:$T70="N+")*12+($N70:$T70="Dm+")*12+($N70:$T70="Dt+")*12+($N70:$T70="Tm-")*6+($N70:$T70="Mt-")*6)</f>
        <v/>
      </c>
      <c r="AW70" s="118">
        <f>AV70-MAX(0,IFERROR(INDEX(CADASTRO!$I$4:$I$80,MATCH($A70,CADASTRO!$A$4:$A$80,0)),$B70)-CONFIG!$B$50*(COUNTIF($N70:$T70,"AB")+COUNTIF($N70:$T70,"FE")+COUNTIF($N70:$T70,"LM")))</f>
        <v/>
      </c>
      <c r="AX70" s="117">
        <f>SUMPRODUCT(($U70:$AA70="M")*6+($U70:$AA70="T")*6+($U70:$AA70="D")*12+($U70:$AA70="N")*12+($U70:$AA70="NT")*6+($U70:$AA70="C")*10+($U70:$AA70="A")*8+($U70:$AA70="J")*5+($U70:$AA70="CEP")*4+($U70:$AA70="CP")*6+($U70:$AA70="CRO")*6+($U70:$AA70="M+")*6+($U70:$AA70="T+")*6+($U70:$AA70="D+")*12+($U70:$AA70="N+")*12+($U70:$AA70="Dm+")*12+($U70:$AA70="Dt+")*12+($U70:$AA70="Tm-")*6+($U70:$AA70="Mt-")*6)</f>
        <v/>
      </c>
      <c r="AY70" s="118">
        <f>AX70-MAX(0,IFERROR(INDEX(CADASTRO!$I$4:$I$80,MATCH($A70,CADASTRO!$A$4:$A$80,0)),$B70)-CONFIG!$B$50*(COUNTIF($U70:$AA70,"AB")+COUNTIF($U70:$AA70,"FE")+COUNTIF($U70:$AA70,"LM")))</f>
        <v/>
      </c>
      <c r="AZ70" s="117">
        <f>SUMPRODUCT(($AB70:$AH70="M")*6+($AB70:$AH70="T")*6+($AB70:$AH70="D")*12+($AB70:$AH70="N")*12+($AB70:$AH70="NT")*6+($AB70:$AH70="C")*10+($AB70:$AH70="A")*8+($AB70:$AH70="J")*5+($AB70:$AH70="CEP")*4+($AB70:$AH70="CP")*6+($AB70:$AH70="CRO")*6+($AB70:$AH70="M+")*6+($AB70:$AH70="T+")*6+($AB70:$AH70="D+")*12+($AB70:$AH70="N+")*12+($AB70:$AH70="Dm+")*12+($AB70:$AH70="Dt+")*12+($AB70:$AH70="Tm-")*6+($AB70:$AH70="Mt-")*6)</f>
        <v/>
      </c>
      <c r="BA70" s="118">
        <f>AZ70-MAX(0,IFERROR(INDEX(CADASTRO!$I$4:$I$80,MATCH($A70,CADASTRO!$A$4:$A$80,0)),$B70)-CONFIG!$B$50*(COUNTIF($AB70:$AH70,"AB")+COUNTIF($AB70:$AH70,"FE")+COUNTIF($AB70:$AH70,"LM")))</f>
        <v/>
      </c>
      <c r="BB70" s="117">
        <f>SUMPRODUCT(($AI70:$AM70="M")*6+($AI70:$AM70="T")*6+($AI70:$AM70="D")*12+($AI70:$AM70="N")*12+($AI70:$AM70="NT")*6+($AI70:$AM70="C")*10+($AI70:$AM70="A")*8+($AI70:$AM70="J")*5+($AI70:$AM70="CEP")*4+($AI70:$AM70="CP")*6+($AI70:$AM70="CRO")*6+($AI70:$AM70="M+")*6+($AI70:$AM70="T+")*6+($AI70:$AM70="D+")*12+($AI70:$AM70="N+")*12+($AI70:$AM70="Dm+")*12+($AI70:$AM70="Dt+")*12+($AI70:$AM70="Tm-")*6+($AI70:$AM70="Mt-")*6)+SUMPRODUCT(($AN70:$AO70="M")*6+($AN70:$AO70="T")*6+($AN70:$AO70="D")*12+($AN70:$AO70="N")*12+($AN70:$AO70="NT")*6+($AN70:$AO70="C")*10+($AN70:$AO70="A")*8+($AN70:$AO70="J")*5+($AN70:$AO70="CEP")*4+($AN70:$AO70="CP")*6+($AN70:$AO70="CRO")*6+($AN70:$AO70="M+")*6+($AN70:$AO70="T+")*6+($AN70:$AO70="D+")*12+($AN70:$AO70="N+")*12+($AN70:$AO70="Dm+")*12+($AN70:$AO70="Dt+")*12+($AN70:$AO70="Tm-")*6+($AN70:$AO70="Mt-")*6)</f>
        <v/>
      </c>
      <c r="BC70" s="118">
        <f>BB70-MAX(0,IFERROR(INDEX(CADASTRO!$I$4:$I$80,MATCH($A70,CADASTRO!$A$4:$A$80,0)),$B70)-CONFIG!$B$50*(COUNTIF($AI70:$AM70,"AB")+COUNTIF($AI70:$AM70,"FE")+COUNTIF($AI70:$AM70,"LM")+COUNTIF($AN70:$AO70,"AB")+COUNTIF($AN70:$AO70,"FE")+COUNTIF($AN70:$AO70,"LM")))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36">
        <f>IFERROR(INDEX(JUN!AK$8:AK$73,MATCH($A71,JUN!$A$8:$A$73,0))&amp;"","")</f>
        <v/>
      </c>
      <c r="H71" s="136">
        <f>IFERROR(INDEX(JUN!AL$8:AL$73,MATCH($A71,JUN!$A$8:$A$73,0))&amp;"","")</f>
        <v/>
      </c>
      <c r="I71" s="126" t="inlineStr">
        <is>
          <t>T</t>
        </is>
      </c>
      <c r="J71" s="114" t="n"/>
      <c r="K71" s="114" t="n"/>
      <c r="L71" s="114" t="n"/>
      <c r="M71" s="114" t="n"/>
      <c r="N71" s="114" t="n"/>
      <c r="O71" s="114" t="n"/>
      <c r="P71" s="126" t="inlineStr">
        <is>
          <t>T</t>
        </is>
      </c>
      <c r="Q71" s="114" t="n"/>
      <c r="R71" s="114" t="n"/>
      <c r="S71" s="125" t="inlineStr">
        <is>
          <t>N</t>
        </is>
      </c>
      <c r="T71" s="114" t="n"/>
      <c r="U71" s="124" t="inlineStr">
        <is>
          <t>D</t>
        </is>
      </c>
      <c r="V71" s="126" t="inlineStr">
        <is>
          <t>T</t>
        </is>
      </c>
      <c r="W71" s="114" t="n"/>
      <c r="X71" s="114" t="n"/>
      <c r="Y71" s="124" t="inlineStr">
        <is>
          <t>D</t>
        </is>
      </c>
      <c r="Z71" s="114" t="n"/>
      <c r="AA71" s="114" t="n"/>
      <c r="AB71" s="114" t="n"/>
      <c r="AC71" s="114" t="n"/>
      <c r="AD71" s="114" t="n"/>
      <c r="AE71" s="115" t="inlineStr">
        <is>
          <t>M</t>
        </is>
      </c>
      <c r="AF71" s="114" t="n"/>
      <c r="AG71" s="124" t="inlineStr">
        <is>
          <t>D</t>
        </is>
      </c>
      <c r="AH71" s="114" t="n"/>
      <c r="AI71" s="115" t="inlineStr">
        <is>
          <t>M</t>
        </is>
      </c>
      <c r="AJ71" s="114" t="n"/>
      <c r="AK71" s="114" t="n"/>
      <c r="AL71" s="124" t="inlineStr">
        <is>
          <t>D</t>
        </is>
      </c>
      <c r="AM71" s="124" t="inlineStr">
        <is>
          <t>D</t>
        </is>
      </c>
      <c r="AN71" s="116">
        <f>IFERROR(INDEX(AGO!I$8:I$73,MATCH($A71,AGO!$A$8:$A$73,0))&amp;"","")</f>
        <v/>
      </c>
      <c r="AO71" s="116">
        <f>IFERROR(INDEX(AGO!J$8:J$73,MATCH($A71,AGO!$A$8:$A$73,0))&amp;"","")</f>
        <v/>
      </c>
      <c r="AP71" s="100" t="n"/>
      <c r="AQ71" s="100" t="n"/>
      <c r="AR71" s="100" t="n"/>
      <c r="AS71" s="100" t="n"/>
      <c r="AT71" s="117">
        <f>SUMPRODUCT(($G71:$M71="M")*6+($G71:$M71="T")*6+($G71:$M71="D")*12+($G71:$M71="N")*12+($G71:$M71="NT")*6+($G71:$M71="C")*10+($G71:$M71="A")*8+($G71:$M71="J")*5+($G71:$M71="CEP")*4+($G71:$M71="CP")*6+($G71:$M71="CRO")*6+($G71:$M71="M+")*6+($G71:$M71="T+")*6+($G71:$M71="D+")*12+($G71:$M71="N+")*12+($G71:$M71="Dm+")*12+($G71:$M71="Dt+")*12+($G71:$M71="Tm-")*6+($G71:$M71="Mt-")*6)</f>
        <v/>
      </c>
      <c r="AU71" s="118">
        <f>AT71-MAX(0,IFERROR(INDEX(CADASTRO!$I$4:$I$80,MATCH($A71,CADASTRO!$A$4:$A$80,0)),$B71)-CONFIG!$B$50*(COUNTIF($G71:$M71,"AB")+COUNTIF($G71:$M71,"FE")+COUNTIF($G71:$M71,"LM")))</f>
        <v/>
      </c>
      <c r="AV71" s="117">
        <f>SUMPRODUCT(($N71:$T71="M")*6+($N71:$T71="T")*6+($N71:$T71="D")*12+($N71:$T71="N")*12+($N71:$T71="NT")*6+($N71:$T71="C")*10+($N71:$T71="A")*8+($N71:$T71="J")*5+($N71:$T71="CEP")*4+($N71:$T71="CP")*6+($N71:$T71="CRO")*6+($N71:$T71="M+")*6+($N71:$T71="T+")*6+($N71:$T71="D+")*12+($N71:$T71="N+")*12+($N71:$T71="Dm+")*12+($N71:$T71="Dt+")*12+($N71:$T71="Tm-")*6+($N71:$T71="Mt-")*6)</f>
        <v/>
      </c>
      <c r="AW71" s="118">
        <f>AV71-MAX(0,IFERROR(INDEX(CADASTRO!$I$4:$I$80,MATCH($A71,CADASTRO!$A$4:$A$80,0)),$B71)-CONFIG!$B$50*(COUNTIF($N71:$T71,"AB")+COUNTIF($N71:$T71,"FE")+COUNTIF($N71:$T71,"LM")))</f>
        <v/>
      </c>
      <c r="AX71" s="117">
        <f>SUMPRODUCT(($U71:$AA71="M")*6+($U71:$AA71="T")*6+($U71:$AA71="D")*12+($U71:$AA71="N")*12+($U71:$AA71="NT")*6+($U71:$AA71="C")*10+($U71:$AA71="A")*8+($U71:$AA71="J")*5+($U71:$AA71="CEP")*4+($U71:$AA71="CP")*6+($U71:$AA71="CRO")*6+($U71:$AA71="M+")*6+($U71:$AA71="T+")*6+($U71:$AA71="D+")*12+($U71:$AA71="N+")*12+($U71:$AA71="Dm+")*12+($U71:$AA71="Dt+")*12+($U71:$AA71="Tm-")*6+($U71:$AA71="Mt-")*6)</f>
        <v/>
      </c>
      <c r="AY71" s="118">
        <f>AX71-MAX(0,IFERROR(INDEX(CADASTRO!$I$4:$I$80,MATCH($A71,CADASTRO!$A$4:$A$80,0)),$B71)-CONFIG!$B$50*(COUNTIF($U71:$AA71,"AB")+COUNTIF($U71:$AA71,"FE")+COUNTIF($U71:$AA71,"LM")))</f>
        <v/>
      </c>
      <c r="AZ71" s="117">
        <f>SUMPRODUCT(($AB71:$AH71="M")*6+($AB71:$AH71="T")*6+($AB71:$AH71="D")*12+($AB71:$AH71="N")*12+($AB71:$AH71="NT")*6+($AB71:$AH71="C")*10+($AB71:$AH71="A")*8+($AB71:$AH71="J")*5+($AB71:$AH71="CEP")*4+($AB71:$AH71="CP")*6+($AB71:$AH71="CRO")*6+($AB71:$AH71="M+")*6+($AB71:$AH71="T+")*6+($AB71:$AH71="D+")*12+($AB71:$AH71="N+")*12+($AB71:$AH71="Dm+")*12+($AB71:$AH71="Dt+")*12+($AB71:$AH71="Tm-")*6+($AB71:$AH71="Mt-")*6)</f>
        <v/>
      </c>
      <c r="BA71" s="118">
        <f>AZ71-MAX(0,IFERROR(INDEX(CADASTRO!$I$4:$I$80,MATCH($A71,CADASTRO!$A$4:$A$80,0)),$B71)-CONFIG!$B$50*(COUNTIF($AB71:$AH71,"AB")+COUNTIF($AB71:$AH71,"FE")+COUNTIF($AB71:$AH71,"LM")))</f>
        <v/>
      </c>
      <c r="BB71" s="117">
        <f>SUMPRODUCT(($AI71:$AM71="M")*6+($AI71:$AM71="T")*6+($AI71:$AM71="D")*12+($AI71:$AM71="N")*12+($AI71:$AM71="NT")*6+($AI71:$AM71="C")*10+($AI71:$AM71="A")*8+($AI71:$AM71="J")*5+($AI71:$AM71="CEP")*4+($AI71:$AM71="CP")*6+($AI71:$AM71="CRO")*6+($AI71:$AM71="M+")*6+($AI71:$AM71="T+")*6+($AI71:$AM71="D+")*12+($AI71:$AM71="N+")*12+($AI71:$AM71="Dm+")*12+($AI71:$AM71="Dt+")*12+($AI71:$AM71="Tm-")*6+($AI71:$AM71="Mt-")*6)+SUMPRODUCT(($AN71:$AO71="M")*6+($AN71:$AO71="T")*6+($AN71:$AO71="D")*12+($AN71:$AO71="N")*12+($AN71:$AO71="NT")*6+($AN71:$AO71="C")*10+($AN71:$AO71="A")*8+($AN71:$AO71="J")*5+($AN71:$AO71="CEP")*4+($AN71:$AO71="CP")*6+($AN71:$AO71="CRO")*6+($AN71:$AO71="M+")*6+($AN71:$AO71="T+")*6+($AN71:$AO71="D+")*12+($AN71:$AO71="N+")*12+($AN71:$AO71="Dm+")*12+($AN71:$AO71="Dt+")*12+($AN71:$AO71="Tm-")*6+($AN71:$AO71="Mt-")*6)</f>
        <v/>
      </c>
      <c r="BC71" s="118">
        <f>BB71-MAX(0,IFERROR(INDEX(CADASTRO!$I$4:$I$80,MATCH($A71,CADASTRO!$A$4:$A$80,0)),$B71)-CONFIG!$B$50*(COUNTIF($AI71:$AM71,"AB")+COUNTIF($AI71:$AM71,"FE")+COUNTIF($AI71:$AM71,"LM")+COUNTIF($AN71:$AO71,"AB")+COUNTIF($AN71:$AO71,"FE")+COUNTIF($AN71:$AO71,"LM")))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36">
        <f>IFERROR(INDEX(JUN!AK$8:AK$73,MATCH($A72,JUN!$A$8:$A$73,0))&amp;"","")</f>
        <v/>
      </c>
      <c r="H72" s="136">
        <f>IFERROR(INDEX(JUN!AL$8:AL$73,MATCH($A72,JUN!$A$8:$A$73,0))&amp;"","")</f>
        <v/>
      </c>
      <c r="I72" s="114" t="n"/>
      <c r="J72" s="114" t="n"/>
      <c r="K72" s="126" t="inlineStr">
        <is>
          <t>T</t>
        </is>
      </c>
      <c r="L72" s="114" t="n"/>
      <c r="M72" s="126" t="inlineStr">
        <is>
          <t>T</t>
        </is>
      </c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  <c r="AD72" s="114" t="n"/>
      <c r="AE72" s="114" t="n"/>
      <c r="AF72" s="114" t="n"/>
      <c r="AG72" s="114" t="n"/>
      <c r="AH72" s="114" t="n"/>
      <c r="AI72" s="114" t="n"/>
      <c r="AJ72" s="114" t="n"/>
      <c r="AK72" s="114" t="n"/>
      <c r="AL72" s="114" t="n"/>
      <c r="AM72" s="114" t="n"/>
      <c r="AN72" s="116">
        <f>IFERROR(INDEX(AGO!I$8:I$73,MATCH($A72,AGO!$A$8:$A$73,0))&amp;"","")</f>
        <v/>
      </c>
      <c r="AO72" s="116">
        <f>IFERROR(INDEX(AGO!J$8:J$73,MATCH($A72,AGO!$A$8:$A$73,0))&amp;"","")</f>
        <v/>
      </c>
      <c r="AP72" s="100" t="n"/>
      <c r="AQ72" s="100" t="n"/>
      <c r="AR72" s="100" t="n"/>
      <c r="AS72" s="100" t="n"/>
      <c r="AT72" s="117">
        <f>SUMPRODUCT(($G72:$M72="M")*6+($G72:$M72="T")*6+($G72:$M72="D")*12+($G72:$M72="N")*12+($G72:$M72="NT")*6+($G72:$M72="C")*10+($G72:$M72="A")*8+($G72:$M72="J")*5+($G72:$M72="CEP")*4+($G72:$M72="CP")*6+($G72:$M72="CRO")*6+($G72:$M72="M+")*6+($G72:$M72="T+")*6+($G72:$M72="D+")*12+($G72:$M72="N+")*12+($G72:$M72="Dm+")*12+($G72:$M72="Dt+")*12+($G72:$M72="Tm-")*6+($G72:$M72="Mt-")*6)</f>
        <v/>
      </c>
      <c r="AU72" s="118">
        <f>AT72-MAX(0,IFERROR(INDEX(CADASTRO!$I$4:$I$80,MATCH($A72,CADASTRO!$A$4:$A$80,0)),$B72)-CONFIG!$B$50*(COUNTIF($G72:$M72,"AB")+COUNTIF($G72:$M72,"FE")+COUNTIF($G72:$M72,"LM")))</f>
        <v/>
      </c>
      <c r="AV72" s="117">
        <f>SUMPRODUCT(($N72:$T72="M")*6+($N72:$T72="T")*6+($N72:$T72="D")*12+($N72:$T72="N")*12+($N72:$T72="NT")*6+($N72:$T72="C")*10+($N72:$T72="A")*8+($N72:$T72="J")*5+($N72:$T72="CEP")*4+($N72:$T72="CP")*6+($N72:$T72="CRO")*6+($N72:$T72="M+")*6+($N72:$T72="T+")*6+($N72:$T72="D+")*12+($N72:$T72="N+")*12+($N72:$T72="Dm+")*12+($N72:$T72="Dt+")*12+($N72:$T72="Tm-")*6+($N72:$T72="Mt-")*6)</f>
        <v/>
      </c>
      <c r="AW72" s="118">
        <f>AV72-MAX(0,IFERROR(INDEX(CADASTRO!$I$4:$I$80,MATCH($A72,CADASTRO!$A$4:$A$80,0)),$B72)-CONFIG!$B$50*(COUNTIF($N72:$T72,"AB")+COUNTIF($N72:$T72,"FE")+COUNTIF($N72:$T72,"LM")))</f>
        <v/>
      </c>
      <c r="AX72" s="117">
        <f>SUMPRODUCT(($U72:$AA72="M")*6+($U72:$AA72="T")*6+($U72:$AA72="D")*12+($U72:$AA72="N")*12+($U72:$AA72="NT")*6+($U72:$AA72="C")*10+($U72:$AA72="A")*8+($U72:$AA72="J")*5+($U72:$AA72="CEP")*4+($U72:$AA72="CP")*6+($U72:$AA72="CRO")*6+($U72:$AA72="M+")*6+($U72:$AA72="T+")*6+($U72:$AA72="D+")*12+($U72:$AA72="N+")*12+($U72:$AA72="Dm+")*12+($U72:$AA72="Dt+")*12+($U72:$AA72="Tm-")*6+($U72:$AA72="Mt-")*6)</f>
        <v/>
      </c>
      <c r="AY72" s="118">
        <f>AX72-MAX(0,IFERROR(INDEX(CADASTRO!$I$4:$I$80,MATCH($A72,CADASTRO!$A$4:$A$80,0)),$B72)-CONFIG!$B$50*(COUNTIF($U72:$AA72,"AB")+COUNTIF($U72:$AA72,"FE")+COUNTIF($U72:$AA72,"LM")))</f>
        <v/>
      </c>
      <c r="AZ72" s="117">
        <f>SUMPRODUCT(($AB72:$AH72="M")*6+($AB72:$AH72="T")*6+($AB72:$AH72="D")*12+($AB72:$AH72="N")*12+($AB72:$AH72="NT")*6+($AB72:$AH72="C")*10+($AB72:$AH72="A")*8+($AB72:$AH72="J")*5+($AB72:$AH72="CEP")*4+($AB72:$AH72="CP")*6+($AB72:$AH72="CRO")*6+($AB72:$AH72="M+")*6+($AB72:$AH72="T+")*6+($AB72:$AH72="D+")*12+($AB72:$AH72="N+")*12+($AB72:$AH72="Dm+")*12+($AB72:$AH72="Dt+")*12+($AB72:$AH72="Tm-")*6+($AB72:$AH72="Mt-")*6)</f>
        <v/>
      </c>
      <c r="BA72" s="118">
        <f>AZ72-MAX(0,IFERROR(INDEX(CADASTRO!$I$4:$I$80,MATCH($A72,CADASTRO!$A$4:$A$80,0)),$B72)-CONFIG!$B$50*(COUNTIF($AB72:$AH72,"AB")+COUNTIF($AB72:$AH72,"FE")+COUNTIF($AB72:$AH72,"LM")))</f>
        <v/>
      </c>
      <c r="BB72" s="117">
        <f>SUMPRODUCT(($AI72:$AM72="M")*6+($AI72:$AM72="T")*6+($AI72:$AM72="D")*12+($AI72:$AM72="N")*12+($AI72:$AM72="NT")*6+($AI72:$AM72="C")*10+($AI72:$AM72="A")*8+($AI72:$AM72="J")*5+($AI72:$AM72="CEP")*4+($AI72:$AM72="CP")*6+($AI72:$AM72="CRO")*6+($AI72:$AM72="M+")*6+($AI72:$AM72="T+")*6+($AI72:$AM72="D+")*12+($AI72:$AM72="N+")*12+($AI72:$AM72="Dm+")*12+($AI72:$AM72="Dt+")*12+($AI72:$AM72="Tm-")*6+($AI72:$AM72="Mt-")*6)+SUMPRODUCT(($AN72:$AO72="M")*6+($AN72:$AO72="T")*6+($AN72:$AO72="D")*12+($AN72:$AO72="N")*12+($AN72:$AO72="NT")*6+($AN72:$AO72="C")*10+($AN72:$AO72="A")*8+($AN72:$AO72="J")*5+($AN72:$AO72="CEP")*4+($AN72:$AO72="CP")*6+($AN72:$AO72="CRO")*6+($AN72:$AO72="M+")*6+($AN72:$AO72="T+")*6+($AN72:$AO72="D+")*12+($AN72:$AO72="N+")*12+($AN72:$AO72="Dm+")*12+($AN72:$AO72="Dt+")*12+($AN72:$AO72="Tm-")*6+($AN72:$AO72="Mt-")*6)</f>
        <v/>
      </c>
      <c r="BC72" s="118">
        <f>BB72-MAX(0,IFERROR(INDEX(CADASTRO!$I$4:$I$80,MATCH($A72,CADASTRO!$A$4:$A$80,0)),$B72)-CONFIG!$B$50*(COUNTIF($AI72:$AM72,"AB")+COUNTIF($AI72:$AM72,"FE")+COUNTIF($AI72:$AM72,"LM")+COUNTIF($AN72:$AO72,"AB")+COUNTIF($AN72:$AO72,"FE")+COUNTIF($AN72:$AO72,"LM")))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36">
        <f>IFERROR(INDEX(JUN!AK$8:AK$73,MATCH($A73,JUN!$A$8:$A$73,0))&amp;"","")</f>
        <v/>
      </c>
      <c r="H73" s="136">
        <f>IFERROR(INDEX(JUN!AL$8:AL$73,MATCH($A73,JUN!$A$8:$A$73,0))&amp;"","")</f>
        <v/>
      </c>
      <c r="I73" s="114" t="n"/>
      <c r="J73" s="114" t="n"/>
      <c r="K73" s="114" t="n"/>
      <c r="L73" s="126" t="inlineStr">
        <is>
          <t>T</t>
        </is>
      </c>
      <c r="M73" s="124" t="inlineStr">
        <is>
          <t>D</t>
        </is>
      </c>
      <c r="N73" s="114" t="n"/>
      <c r="O73" s="114" t="n"/>
      <c r="P73" s="126" t="inlineStr">
        <is>
          <t>T</t>
        </is>
      </c>
      <c r="Q73" s="125" t="inlineStr">
        <is>
          <t>N</t>
        </is>
      </c>
      <c r="R73" s="126" t="inlineStr">
        <is>
          <t>T</t>
        </is>
      </c>
      <c r="S73" s="115" t="inlineStr">
        <is>
          <t>M</t>
        </is>
      </c>
      <c r="T73" s="114" t="n"/>
      <c r="U73" s="114" t="n"/>
      <c r="V73" s="114" t="n"/>
      <c r="W73" s="126" t="inlineStr">
        <is>
          <t>T</t>
        </is>
      </c>
      <c r="X73" s="125" t="inlineStr">
        <is>
          <t>N</t>
        </is>
      </c>
      <c r="Y73" s="114" t="n"/>
      <c r="Z73" s="114" t="n"/>
      <c r="AA73" s="125" t="inlineStr">
        <is>
          <t>N</t>
        </is>
      </c>
      <c r="AB73" s="114" t="n"/>
      <c r="AC73" s="125" t="inlineStr">
        <is>
          <t>N</t>
        </is>
      </c>
      <c r="AD73" s="114" t="n"/>
      <c r="AE73" s="126" t="inlineStr">
        <is>
          <t>T</t>
        </is>
      </c>
      <c r="AF73" s="124" t="inlineStr">
        <is>
          <t>D</t>
        </is>
      </c>
      <c r="AG73" s="114" t="n"/>
      <c r="AH73" s="114" t="n"/>
      <c r="AI73" s="114" t="n"/>
      <c r="AJ73" s="125" t="inlineStr">
        <is>
          <t>N</t>
        </is>
      </c>
      <c r="AK73" s="114" t="n"/>
      <c r="AL73" s="125" t="inlineStr">
        <is>
          <t>N</t>
        </is>
      </c>
      <c r="AM73" s="126" t="inlineStr">
        <is>
          <t>T</t>
        </is>
      </c>
      <c r="AN73" s="116">
        <f>IFERROR(INDEX(AGO!I$8:I$73,MATCH($A73,AGO!$A$8:$A$73,0))&amp;"","")</f>
        <v/>
      </c>
      <c r="AO73" s="116">
        <f>IFERROR(INDEX(AGO!J$8:J$73,MATCH($A73,AGO!$A$8:$A$73,0))&amp;"","")</f>
        <v/>
      </c>
      <c r="AP73" s="100" t="n"/>
      <c r="AQ73" s="100" t="n"/>
      <c r="AR73" s="100" t="n"/>
      <c r="AS73" s="100" t="n"/>
      <c r="AT73" s="117">
        <f>SUMPRODUCT(($G73:$M73="M")*6+($G73:$M73="T")*6+($G73:$M73="D")*12+($G73:$M73="N")*12+($G73:$M73="NT")*6+($G73:$M73="C")*10+($G73:$M73="A")*8+($G73:$M73="J")*5+($G73:$M73="CEP")*4+($G73:$M73="CP")*6+($G73:$M73="CRO")*6+($G73:$M73="M+")*6+($G73:$M73="T+")*6+($G73:$M73="D+")*12+($G73:$M73="N+")*12+($G73:$M73="Dm+")*12+($G73:$M73="Dt+")*12+($G73:$M73="Tm-")*6+($G73:$M73="Mt-")*6)</f>
        <v/>
      </c>
      <c r="AU73" s="118">
        <f>AT73-MAX(0,IFERROR(INDEX(CADASTRO!$I$4:$I$80,MATCH($A73,CADASTRO!$A$4:$A$80,0)),$B73)-CONFIG!$B$50*(COUNTIF($G73:$M73,"AB")+COUNTIF($G73:$M73,"FE")+COUNTIF($G73:$M73,"LM")))</f>
        <v/>
      </c>
      <c r="AV73" s="117">
        <f>SUMPRODUCT(($N73:$T73="M")*6+($N73:$T73="T")*6+($N73:$T73="D")*12+($N73:$T73="N")*12+($N73:$T73="NT")*6+($N73:$T73="C")*10+($N73:$T73="A")*8+($N73:$T73="J")*5+($N73:$T73="CEP")*4+($N73:$T73="CP")*6+($N73:$T73="CRO")*6+($N73:$T73="M+")*6+($N73:$T73="T+")*6+($N73:$T73="D+")*12+($N73:$T73="N+")*12+($N73:$T73="Dm+")*12+($N73:$T73="Dt+")*12+($N73:$T73="Tm-")*6+($N73:$T73="Mt-")*6)</f>
        <v/>
      </c>
      <c r="AW73" s="118">
        <f>AV73-MAX(0,IFERROR(INDEX(CADASTRO!$I$4:$I$80,MATCH($A73,CADASTRO!$A$4:$A$80,0)),$B73)-CONFIG!$B$50*(COUNTIF($N73:$T73,"AB")+COUNTIF($N73:$T73,"FE")+COUNTIF($N73:$T73,"LM")))</f>
        <v/>
      </c>
      <c r="AX73" s="117">
        <f>SUMPRODUCT(($U73:$AA73="M")*6+($U73:$AA73="T")*6+($U73:$AA73="D")*12+($U73:$AA73="N")*12+($U73:$AA73="NT")*6+($U73:$AA73="C")*10+($U73:$AA73="A")*8+($U73:$AA73="J")*5+($U73:$AA73="CEP")*4+($U73:$AA73="CP")*6+($U73:$AA73="CRO")*6+($U73:$AA73="M+")*6+($U73:$AA73="T+")*6+($U73:$AA73="D+")*12+($U73:$AA73="N+")*12+($U73:$AA73="Dm+")*12+($U73:$AA73="Dt+")*12+($U73:$AA73="Tm-")*6+($U73:$AA73="Mt-")*6)</f>
        <v/>
      </c>
      <c r="AY73" s="118">
        <f>AX73-MAX(0,IFERROR(INDEX(CADASTRO!$I$4:$I$80,MATCH($A73,CADASTRO!$A$4:$A$80,0)),$B73)-CONFIG!$B$50*(COUNTIF($U73:$AA73,"AB")+COUNTIF($U73:$AA73,"FE")+COUNTIF($U73:$AA73,"LM")))</f>
        <v/>
      </c>
      <c r="AZ73" s="117">
        <f>SUMPRODUCT(($AB73:$AH73="M")*6+($AB73:$AH73="T")*6+($AB73:$AH73="D")*12+($AB73:$AH73="N")*12+($AB73:$AH73="NT")*6+($AB73:$AH73="C")*10+($AB73:$AH73="A")*8+($AB73:$AH73="J")*5+($AB73:$AH73="CEP")*4+($AB73:$AH73="CP")*6+($AB73:$AH73="CRO")*6+($AB73:$AH73="M+")*6+($AB73:$AH73="T+")*6+($AB73:$AH73="D+")*12+($AB73:$AH73="N+")*12+($AB73:$AH73="Dm+")*12+($AB73:$AH73="Dt+")*12+($AB73:$AH73="Tm-")*6+($AB73:$AH73="Mt-")*6)</f>
        <v/>
      </c>
      <c r="BA73" s="118">
        <f>AZ73-MAX(0,IFERROR(INDEX(CADASTRO!$I$4:$I$80,MATCH($A73,CADASTRO!$A$4:$A$80,0)),$B73)-CONFIG!$B$50*(COUNTIF($AB73:$AH73,"AB")+COUNTIF($AB73:$AH73,"FE")+COUNTIF($AB73:$AH73,"LM")))</f>
        <v/>
      </c>
      <c r="BB73" s="117">
        <f>SUMPRODUCT(($AI73:$AM73="M")*6+($AI73:$AM73="T")*6+($AI73:$AM73="D")*12+($AI73:$AM73="N")*12+($AI73:$AM73="NT")*6+($AI73:$AM73="C")*10+($AI73:$AM73="A")*8+($AI73:$AM73="J")*5+($AI73:$AM73="CEP")*4+($AI73:$AM73="CP")*6+($AI73:$AM73="CRO")*6+($AI73:$AM73="M+")*6+($AI73:$AM73="T+")*6+($AI73:$AM73="D+")*12+($AI73:$AM73="N+")*12+($AI73:$AM73="Dm+")*12+($AI73:$AM73="Dt+")*12+($AI73:$AM73="Tm-")*6+($AI73:$AM73="Mt-")*6)+SUMPRODUCT(($AN73:$AO73="M")*6+($AN73:$AO73="T")*6+($AN73:$AO73="D")*12+($AN73:$AO73="N")*12+($AN73:$AO73="NT")*6+($AN73:$AO73="C")*10+($AN73:$AO73="A")*8+($AN73:$AO73="J")*5+($AN73:$AO73="CEP")*4+($AN73:$AO73="CP")*6+($AN73:$AO73="CRO")*6+($AN73:$AO73="M+")*6+($AN73:$AO73="T+")*6+($AN73:$AO73="D+")*12+($AN73:$AO73="N+")*12+($AN73:$AO73="Dm+")*12+($AN73:$AO73="Dt+")*12+($AN73:$AO73="Tm-")*6+($AN73:$AO73="Mt-")*6)</f>
        <v/>
      </c>
      <c r="BC73" s="118">
        <f>BB73-MAX(0,IFERROR(INDEX(CADASTRO!$I$4:$I$80,MATCH($A73,CADASTRO!$A$4:$A$80,0)),$B73)-CONFIG!$B$50*(COUNTIF($AI73:$AM73,"AB")+COUNTIF($AI73:$AM73,"FE")+COUNTIF($AI73:$AM73,"LM")+COUNTIF($AN73:$AO73,"AB")+COUNTIF($AN73:$AO73,"FE")+COUNTIF($AN73:$AO73,"LM")))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135">
        <f>MAX(0,CONFIG!$B$9-G75)</f>
        <v/>
      </c>
      <c r="H78" s="135">
        <f>MAX(0,CONFIG!$B$9-H75)</f>
        <v/>
      </c>
      <c r="I78" s="135">
        <f>MAX(0,CONFIG!$B$9-I75)</f>
        <v/>
      </c>
      <c r="J78" s="135">
        <f>MAX(0,CONFIG!$B$9-J75)</f>
        <v/>
      </c>
      <c r="K78" s="135">
        <f>MAX(0,CONFIG!$B$9-K75)</f>
        <v/>
      </c>
      <c r="L78" s="135">
        <f>MAX(0,CONFIG!$B$10-L75)</f>
        <v/>
      </c>
      <c r="M78" s="135">
        <f>MAX(0,CONFIG!$B$11-M75)</f>
        <v/>
      </c>
      <c r="N78" s="135">
        <f>MAX(0,CONFIG!$B$9-N75)</f>
        <v/>
      </c>
      <c r="O78" s="135">
        <f>MAX(0,CONFIG!$B$9-O75)</f>
        <v/>
      </c>
      <c r="P78" s="135">
        <f>MAX(0,CONFIG!$B$9-P75)</f>
        <v/>
      </c>
      <c r="Q78" s="135">
        <f>MAX(0,CONFIG!$B$9-Q75)</f>
        <v/>
      </c>
      <c r="R78" s="135">
        <f>MAX(0,CONFIG!$B$9-R75)</f>
        <v/>
      </c>
      <c r="S78" s="135">
        <f>MAX(0,CONFIG!$B$10-S75)</f>
        <v/>
      </c>
      <c r="T78" s="135">
        <f>MAX(0,CONFIG!$B$11-T75)</f>
        <v/>
      </c>
      <c r="U78" s="135">
        <f>MAX(0,CONFIG!$B$9-U75)</f>
        <v/>
      </c>
      <c r="V78" s="135">
        <f>MAX(0,CONFIG!$B$9-V75)</f>
        <v/>
      </c>
      <c r="W78" s="135">
        <f>MAX(0,CONFIG!$B$9-W75)</f>
        <v/>
      </c>
      <c r="X78" s="135">
        <f>MAX(0,CONFIG!$B$9-X75)</f>
        <v/>
      </c>
      <c r="Y78" s="135">
        <f>MAX(0,CONFIG!$B$9-Y75)</f>
        <v/>
      </c>
      <c r="Z78" s="135">
        <f>MAX(0,CONFIG!$B$10-Z75)</f>
        <v/>
      </c>
      <c r="AA78" s="135">
        <f>MAX(0,CONFIG!$B$11-AA75)</f>
        <v/>
      </c>
      <c r="AB78" s="135">
        <f>MAX(0,CONFIG!$B$9-AB75)</f>
        <v/>
      </c>
      <c r="AC78" s="135">
        <f>MAX(0,CONFIG!$B$9-AC75)</f>
        <v/>
      </c>
      <c r="AD78" s="135">
        <f>MAX(0,CONFIG!$B$9-AD75)</f>
        <v/>
      </c>
      <c r="AE78" s="135">
        <f>MAX(0,CONFIG!$B$9-AE75)</f>
        <v/>
      </c>
      <c r="AF78" s="135">
        <f>MAX(0,CONFIG!$B$9-AF75)</f>
        <v/>
      </c>
      <c r="AG78" s="135">
        <f>MAX(0,CONFIG!$B$10-AG75)</f>
        <v/>
      </c>
      <c r="AH78" s="135">
        <f>MAX(0,CONFIG!$B$11-AH75)</f>
        <v/>
      </c>
      <c r="AI78" s="135">
        <f>MAX(0,CONFIG!$B$9-AI75)</f>
        <v/>
      </c>
      <c r="AJ78" s="135">
        <f>MAX(0,CONFIG!$B$9-AJ75)</f>
        <v/>
      </c>
      <c r="AK78" s="135">
        <f>MAX(0,CONFIG!$B$9-AK75)</f>
        <v/>
      </c>
      <c r="AL78" s="135">
        <f>MAX(0,CONFIG!$B$9-AL75)</f>
        <v/>
      </c>
      <c r="AM78" s="135">
        <f>MAX(0,CONFIG!$B$9-AM75)</f>
        <v/>
      </c>
      <c r="AN78" s="135">
        <f>MAX(0,CONFIG!$B$10-AN75)</f>
        <v/>
      </c>
      <c r="AO78" s="135">
        <f>MAX(0,CONFIG!$B$11-AO75)</f>
        <v/>
      </c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135">
        <f>MAX(0,CONFIG!$C$9-G76)</f>
        <v/>
      </c>
      <c r="H79" s="135">
        <f>MAX(0,CONFIG!$C$9-H76)</f>
        <v/>
      </c>
      <c r="I79" s="135">
        <f>MAX(0,CONFIG!$C$9-I76)</f>
        <v/>
      </c>
      <c r="J79" s="135">
        <f>MAX(0,CONFIG!$C$9-J76)</f>
        <v/>
      </c>
      <c r="K79" s="135">
        <f>MAX(0,CONFIG!$C$9-K76)</f>
        <v/>
      </c>
      <c r="L79" s="135">
        <f>MAX(0,CONFIG!$C$10-L76)</f>
        <v/>
      </c>
      <c r="M79" s="135">
        <f>MAX(0,CONFIG!$C$11-M76)</f>
        <v/>
      </c>
      <c r="N79" s="135">
        <f>MAX(0,CONFIG!$C$9-N76)</f>
        <v/>
      </c>
      <c r="O79" s="135">
        <f>MAX(0,CONFIG!$C$9-O76)</f>
        <v/>
      </c>
      <c r="P79" s="135">
        <f>MAX(0,CONFIG!$C$9-P76)</f>
        <v/>
      </c>
      <c r="Q79" s="135">
        <f>MAX(0,CONFIG!$C$9-Q76)</f>
        <v/>
      </c>
      <c r="R79" s="135">
        <f>MAX(0,CONFIG!$C$9-R76)</f>
        <v/>
      </c>
      <c r="S79" s="135">
        <f>MAX(0,CONFIG!$C$10-S76)</f>
        <v/>
      </c>
      <c r="T79" s="135">
        <f>MAX(0,CONFIG!$C$11-T76)</f>
        <v/>
      </c>
      <c r="U79" s="135">
        <f>MAX(0,CONFIG!$C$9-U76)</f>
        <v/>
      </c>
      <c r="V79" s="135">
        <f>MAX(0,CONFIG!$C$9-V76)</f>
        <v/>
      </c>
      <c r="W79" s="135">
        <f>MAX(0,CONFIG!$C$9-W76)</f>
        <v/>
      </c>
      <c r="X79" s="135">
        <f>MAX(0,CONFIG!$C$9-X76)</f>
        <v/>
      </c>
      <c r="Y79" s="135">
        <f>MAX(0,CONFIG!$C$9-Y76)</f>
        <v/>
      </c>
      <c r="Z79" s="135">
        <f>MAX(0,CONFIG!$C$10-Z76)</f>
        <v/>
      </c>
      <c r="AA79" s="135">
        <f>MAX(0,CONFIG!$C$11-AA76)</f>
        <v/>
      </c>
      <c r="AB79" s="135">
        <f>MAX(0,CONFIG!$C$9-AB76)</f>
        <v/>
      </c>
      <c r="AC79" s="135">
        <f>MAX(0,CONFIG!$C$9-AC76)</f>
        <v/>
      </c>
      <c r="AD79" s="135">
        <f>MAX(0,CONFIG!$C$9-AD76)</f>
        <v/>
      </c>
      <c r="AE79" s="135">
        <f>MAX(0,CONFIG!$C$9-AE76)</f>
        <v/>
      </c>
      <c r="AF79" s="135">
        <f>MAX(0,CONFIG!$C$9-AF76)</f>
        <v/>
      </c>
      <c r="AG79" s="135">
        <f>MAX(0,CONFIG!$C$10-AG76)</f>
        <v/>
      </c>
      <c r="AH79" s="135">
        <f>MAX(0,CONFIG!$C$11-AH76)</f>
        <v/>
      </c>
      <c r="AI79" s="135">
        <f>MAX(0,CONFIG!$C$9-AI76)</f>
        <v/>
      </c>
      <c r="AJ79" s="135">
        <f>MAX(0,CONFIG!$C$9-AJ76)</f>
        <v/>
      </c>
      <c r="AK79" s="135">
        <f>MAX(0,CONFIG!$C$9-AK76)</f>
        <v/>
      </c>
      <c r="AL79" s="135">
        <f>MAX(0,CONFIG!$C$9-AL76)</f>
        <v/>
      </c>
      <c r="AM79" s="135">
        <f>MAX(0,CONFIG!$C$9-AM76)</f>
        <v/>
      </c>
      <c r="AN79" s="135">
        <f>MAX(0,CONFIG!$C$10-AN76)</f>
        <v/>
      </c>
      <c r="AO79" s="135">
        <f>MAX(0,CONFIG!$C$11-AO76)</f>
        <v/>
      </c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135">
        <f>MAX(0,CONFIG!$D$9-G77)</f>
        <v/>
      </c>
      <c r="H80" s="135">
        <f>MAX(0,CONFIG!$D$9-H77)</f>
        <v/>
      </c>
      <c r="I80" s="135">
        <f>MAX(0,CONFIG!$D$9-I77)</f>
        <v/>
      </c>
      <c r="J80" s="135">
        <f>MAX(0,CONFIG!$D$9-J77)</f>
        <v/>
      </c>
      <c r="K80" s="135">
        <f>MAX(0,CONFIG!$D$9-K77)</f>
        <v/>
      </c>
      <c r="L80" s="135">
        <f>MAX(0,CONFIG!$D$10-L77)</f>
        <v/>
      </c>
      <c r="M80" s="135">
        <f>MAX(0,CONFIG!$D$11-M77)</f>
        <v/>
      </c>
      <c r="N80" s="135">
        <f>MAX(0,CONFIG!$D$9-N77)</f>
        <v/>
      </c>
      <c r="O80" s="135">
        <f>MAX(0,CONFIG!$D$9-O77)</f>
        <v/>
      </c>
      <c r="P80" s="135">
        <f>MAX(0,CONFIG!$D$9-P77)</f>
        <v/>
      </c>
      <c r="Q80" s="135">
        <f>MAX(0,CONFIG!$D$9-Q77)</f>
        <v/>
      </c>
      <c r="R80" s="135">
        <f>MAX(0,CONFIG!$D$9-R77)</f>
        <v/>
      </c>
      <c r="S80" s="135">
        <f>MAX(0,CONFIG!$D$10-S77)</f>
        <v/>
      </c>
      <c r="T80" s="135">
        <f>MAX(0,CONFIG!$D$11-T77)</f>
        <v/>
      </c>
      <c r="U80" s="135">
        <f>MAX(0,CONFIG!$D$9-U77)</f>
        <v/>
      </c>
      <c r="V80" s="135">
        <f>MAX(0,CONFIG!$D$9-V77)</f>
        <v/>
      </c>
      <c r="W80" s="135">
        <f>MAX(0,CONFIG!$D$9-W77)</f>
        <v/>
      </c>
      <c r="X80" s="135">
        <f>MAX(0,CONFIG!$D$9-X77)</f>
        <v/>
      </c>
      <c r="Y80" s="135">
        <f>MAX(0,CONFIG!$D$9-Y77)</f>
        <v/>
      </c>
      <c r="Z80" s="135">
        <f>MAX(0,CONFIG!$D$10-Z77)</f>
        <v/>
      </c>
      <c r="AA80" s="135">
        <f>MAX(0,CONFIG!$D$11-AA77)</f>
        <v/>
      </c>
      <c r="AB80" s="135">
        <f>MAX(0,CONFIG!$D$9-AB77)</f>
        <v/>
      </c>
      <c r="AC80" s="135">
        <f>MAX(0,CONFIG!$D$9-AC77)</f>
        <v/>
      </c>
      <c r="AD80" s="135">
        <f>MAX(0,CONFIG!$D$9-AD77)</f>
        <v/>
      </c>
      <c r="AE80" s="135">
        <f>MAX(0,CONFIG!$D$9-AE77)</f>
        <v/>
      </c>
      <c r="AF80" s="135">
        <f>MAX(0,CONFIG!$D$9-AF77)</f>
        <v/>
      </c>
      <c r="AG80" s="135">
        <f>MAX(0,CONFIG!$D$10-AG77)</f>
        <v/>
      </c>
      <c r="AH80" s="135">
        <f>MAX(0,CONFIG!$D$11-AH77)</f>
        <v/>
      </c>
      <c r="AI80" s="135">
        <f>MAX(0,CONFIG!$D$9-AI77)</f>
        <v/>
      </c>
      <c r="AJ80" s="135">
        <f>MAX(0,CONFIG!$D$9-AJ77)</f>
        <v/>
      </c>
      <c r="AK80" s="135">
        <f>MAX(0,CONFIG!$D$9-AK77)</f>
        <v/>
      </c>
      <c r="AL80" s="135">
        <f>MAX(0,CONFIG!$D$9-AL77)</f>
        <v/>
      </c>
      <c r="AM80" s="135">
        <f>MAX(0,CONFIG!$D$9-AM77)</f>
        <v/>
      </c>
      <c r="AN80" s="135">
        <f>MAX(0,CONFIG!$D$10-AN77)</f>
        <v/>
      </c>
      <c r="AO80" s="135">
        <f>MAX(0,CONFIG!$D$11-AO77)</f>
        <v/>
      </c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5.3" customWidth="1" min="43" max="43"/>
    <col width="5.3" customWidth="1" min="44" max="44"/>
    <col width="5.3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Agosto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1" t="inlineStr">
        <is>
          <t>27/07</t>
        </is>
      </c>
      <c r="E2" s="101" t="inlineStr">
        <is>
          <t>28/07</t>
        </is>
      </c>
      <c r="F2" s="101" t="inlineStr">
        <is>
          <t>29/07</t>
        </is>
      </c>
      <c r="G2" s="101" t="inlineStr">
        <is>
          <t>30/07</t>
        </is>
      </c>
      <c r="H2" s="101" t="inlineStr">
        <is>
          <t>31/07</t>
        </is>
      </c>
      <c r="I2" s="104" t="n">
        <v>1</v>
      </c>
      <c r="J2" s="104" t="n">
        <v>2</v>
      </c>
      <c r="K2" s="103" t="n">
        <v>3</v>
      </c>
      <c r="L2" s="103" t="n">
        <v>4</v>
      </c>
      <c r="M2" s="103" t="n">
        <v>5</v>
      </c>
      <c r="N2" s="103" t="n">
        <v>6</v>
      </c>
      <c r="O2" s="103" t="n">
        <v>7</v>
      </c>
      <c r="P2" s="104" t="n">
        <v>8</v>
      </c>
      <c r="Q2" s="104" t="n">
        <v>9</v>
      </c>
      <c r="R2" s="103" t="n">
        <v>10</v>
      </c>
      <c r="S2" s="103" t="n">
        <v>11</v>
      </c>
      <c r="T2" s="103" t="n">
        <v>12</v>
      </c>
      <c r="U2" s="103" t="n">
        <v>13</v>
      </c>
      <c r="V2" s="103" t="n">
        <v>14</v>
      </c>
      <c r="W2" s="104" t="n">
        <v>15</v>
      </c>
      <c r="X2" s="104" t="n">
        <v>16</v>
      </c>
      <c r="Y2" s="103" t="n">
        <v>17</v>
      </c>
      <c r="Z2" s="103" t="n">
        <v>18</v>
      </c>
      <c r="AA2" s="103" t="n">
        <v>19</v>
      </c>
      <c r="AB2" s="103" t="n">
        <v>20</v>
      </c>
      <c r="AC2" s="103" t="n">
        <v>21</v>
      </c>
      <c r="AD2" s="104" t="n">
        <v>22</v>
      </c>
      <c r="AE2" s="104" t="n">
        <v>23</v>
      </c>
      <c r="AF2" s="103" t="n">
        <v>24</v>
      </c>
      <c r="AG2" s="103" t="n">
        <v>25</v>
      </c>
      <c r="AH2" s="103" t="n">
        <v>26</v>
      </c>
      <c r="AI2" s="103" t="n">
        <v>27</v>
      </c>
      <c r="AJ2" s="103" t="n">
        <v>28</v>
      </c>
      <c r="AK2" s="104" t="n">
        <v>29</v>
      </c>
      <c r="AL2" s="104" t="n">
        <v>30</v>
      </c>
      <c r="AM2" s="103" t="n">
        <v>31</v>
      </c>
      <c r="AN2" s="101" t="inlineStr">
        <is>
          <t>01/09</t>
        </is>
      </c>
      <c r="AO2" s="101" t="inlineStr">
        <is>
          <t>02/09</t>
        </is>
      </c>
      <c r="AP2" s="101" t="inlineStr">
        <is>
          <t>03/09</t>
        </is>
      </c>
      <c r="AQ2" s="101" t="inlineStr">
        <is>
          <t>04/09</t>
        </is>
      </c>
      <c r="AR2" s="105" t="inlineStr">
        <is>
          <t>05/09</t>
        </is>
      </c>
      <c r="AS2" s="105" t="inlineStr">
        <is>
          <t>06/09</t>
        </is>
      </c>
      <c r="AT2" s="106" t="inlineStr">
        <is>
          <t>27/07–02/08</t>
        </is>
      </c>
      <c r="AU2" s="39" t="n"/>
      <c r="AV2" s="106" t="inlineStr">
        <is>
          <t>03/08–09/08</t>
        </is>
      </c>
      <c r="AW2" s="39" t="n"/>
      <c r="AX2" s="106" t="inlineStr">
        <is>
          <t>10/08–16/08</t>
        </is>
      </c>
      <c r="AY2" s="39" t="n"/>
      <c r="AZ2" s="106" t="inlineStr">
        <is>
          <t>17/08–23/08</t>
        </is>
      </c>
      <c r="BA2" s="39" t="n"/>
      <c r="BB2" s="106" t="inlineStr">
        <is>
          <t>24/08–30/08</t>
        </is>
      </c>
      <c r="BC2" s="39" t="n"/>
      <c r="BD2" s="106" t="inlineStr">
        <is>
          <t>31/08–06/09</t>
        </is>
      </c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7" t="inlineStr">
        <is>
          <t>seg</t>
        </is>
      </c>
      <c r="E3" s="107" t="inlineStr">
        <is>
          <t>ter</t>
        </is>
      </c>
      <c r="F3" s="107" t="inlineStr">
        <is>
          <t>qua</t>
        </is>
      </c>
      <c r="G3" s="107" t="inlineStr">
        <is>
          <t>qui</t>
        </is>
      </c>
      <c r="H3" s="107" t="inlineStr">
        <is>
          <t>sex</t>
        </is>
      </c>
      <c r="I3" s="109" t="inlineStr">
        <is>
          <t>sáb</t>
        </is>
      </c>
      <c r="J3" s="109" t="inlineStr">
        <is>
          <t>dom</t>
        </is>
      </c>
      <c r="K3" s="107" t="inlineStr">
        <is>
          <t>seg</t>
        </is>
      </c>
      <c r="L3" s="107" t="inlineStr">
        <is>
          <t>ter</t>
        </is>
      </c>
      <c r="M3" s="107" t="inlineStr">
        <is>
          <t>qua</t>
        </is>
      </c>
      <c r="N3" s="107" t="inlineStr">
        <is>
          <t>qui</t>
        </is>
      </c>
      <c r="O3" s="107" t="inlineStr">
        <is>
          <t>sex</t>
        </is>
      </c>
      <c r="P3" s="109" t="inlineStr">
        <is>
          <t>sáb</t>
        </is>
      </c>
      <c r="Q3" s="109" t="inlineStr">
        <is>
          <t>dom</t>
        </is>
      </c>
      <c r="R3" s="107" t="inlineStr">
        <is>
          <t>seg</t>
        </is>
      </c>
      <c r="S3" s="107" t="inlineStr">
        <is>
          <t>ter</t>
        </is>
      </c>
      <c r="T3" s="107" t="inlineStr">
        <is>
          <t>qua</t>
        </is>
      </c>
      <c r="U3" s="107" t="inlineStr">
        <is>
          <t>qui</t>
        </is>
      </c>
      <c r="V3" s="107" t="inlineStr">
        <is>
          <t>sex</t>
        </is>
      </c>
      <c r="W3" s="109" t="inlineStr">
        <is>
          <t>sáb</t>
        </is>
      </c>
      <c r="X3" s="109" t="inlineStr">
        <is>
          <t>dom</t>
        </is>
      </c>
      <c r="Y3" s="107" t="inlineStr">
        <is>
          <t>seg</t>
        </is>
      </c>
      <c r="Z3" s="107" t="inlineStr">
        <is>
          <t>ter</t>
        </is>
      </c>
      <c r="AA3" s="107" t="inlineStr">
        <is>
          <t>qua</t>
        </is>
      </c>
      <c r="AB3" s="107" t="inlineStr">
        <is>
          <t>qui</t>
        </is>
      </c>
      <c r="AC3" s="107" t="inlineStr">
        <is>
          <t>sex</t>
        </is>
      </c>
      <c r="AD3" s="109" t="inlineStr">
        <is>
          <t>sáb</t>
        </is>
      </c>
      <c r="AE3" s="109" t="inlineStr">
        <is>
          <t>dom</t>
        </is>
      </c>
      <c r="AF3" s="107" t="inlineStr">
        <is>
          <t>seg</t>
        </is>
      </c>
      <c r="AG3" s="107" t="inlineStr">
        <is>
          <t>ter</t>
        </is>
      </c>
      <c r="AH3" s="107" t="inlineStr">
        <is>
          <t>qua</t>
        </is>
      </c>
      <c r="AI3" s="107" t="inlineStr">
        <is>
          <t>qui</t>
        </is>
      </c>
      <c r="AJ3" s="107" t="inlineStr">
        <is>
          <t>sex</t>
        </is>
      </c>
      <c r="AK3" s="109" t="inlineStr">
        <is>
          <t>sáb</t>
        </is>
      </c>
      <c r="AL3" s="109" t="inlineStr">
        <is>
          <t>dom</t>
        </is>
      </c>
      <c r="AM3" s="107" t="inlineStr">
        <is>
          <t>seg</t>
        </is>
      </c>
      <c r="AN3" s="107" t="inlineStr">
        <is>
          <t>ter</t>
        </is>
      </c>
      <c r="AO3" s="107" t="inlineStr">
        <is>
          <t>qua</t>
        </is>
      </c>
      <c r="AP3" s="107" t="inlineStr">
        <is>
          <t>qui</t>
        </is>
      </c>
      <c r="AQ3" s="107" t="inlineStr">
        <is>
          <t>sex</t>
        </is>
      </c>
      <c r="AR3" s="109" t="inlineStr">
        <is>
          <t>sáb</t>
        </is>
      </c>
      <c r="AS3" s="109" t="inlineStr">
        <is>
          <t>dom</t>
        </is>
      </c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110" t="inlineStr">
        <is>
          <t>semana civil</t>
        </is>
      </c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1</v>
      </c>
      <c r="J4" s="39" t="n">
        <v>1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0</v>
      </c>
      <c r="P4" s="39" t="n">
        <v>1</v>
      </c>
      <c r="Q4" s="39" t="n">
        <v>1</v>
      </c>
      <c r="R4" s="39" t="n">
        <v>0</v>
      </c>
      <c r="S4" s="39" t="n">
        <v>0</v>
      </c>
      <c r="T4" s="39" t="n">
        <v>0</v>
      </c>
      <c r="U4" s="39" t="n">
        <v>0</v>
      </c>
      <c r="V4" s="39" t="n">
        <v>0</v>
      </c>
      <c r="W4" s="39" t="n">
        <v>1</v>
      </c>
      <c r="X4" s="39" t="n">
        <v>1</v>
      </c>
      <c r="Y4" s="39" t="n">
        <v>0</v>
      </c>
      <c r="Z4" s="39" t="n">
        <v>0</v>
      </c>
      <c r="AA4" s="39" t="n">
        <v>0</v>
      </c>
      <c r="AB4" s="39" t="n">
        <v>0</v>
      </c>
      <c r="AC4" s="39" t="n">
        <v>0</v>
      </c>
      <c r="AD4" s="39" t="n">
        <v>1</v>
      </c>
      <c r="AE4" s="39" t="n">
        <v>1</v>
      </c>
      <c r="AF4" s="39" t="n">
        <v>0</v>
      </c>
      <c r="AG4" s="39" t="n">
        <v>0</v>
      </c>
      <c r="AH4" s="39" t="n">
        <v>0</v>
      </c>
      <c r="AI4" s="39" t="n">
        <v>0</v>
      </c>
      <c r="AJ4" s="39" t="n">
        <v>0</v>
      </c>
      <c r="AK4" s="39" t="n">
        <v>1</v>
      </c>
      <c r="AL4" s="39" t="n">
        <v>1</v>
      </c>
      <c r="AM4" s="39" t="n">
        <v>0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0</v>
      </c>
      <c r="O5" s="39" t="n">
        <v>1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1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</v>
      </c>
      <c r="AB5" s="39" t="n">
        <v>0</v>
      </c>
      <c r="AC5" s="39" t="n">
        <v>1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</v>
      </c>
      <c r="AI5" s="39" t="n">
        <v>0</v>
      </c>
      <c r="AJ5" s="39" t="n">
        <v>1</v>
      </c>
      <c r="AK5" s="39" t="n">
        <v>0</v>
      </c>
      <c r="AL5" s="39" t="n">
        <v>0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36">
        <f>IFERROR(INDEX(JUL!AI$8:AI$73,MATCH($A8,JUL!$A$8:$A$73,0))&amp;"","")</f>
        <v/>
      </c>
      <c r="E8" s="136">
        <f>IFERROR(INDEX(JUL!AJ$8:AJ$73,MATCH($A8,JUL!$A$8:$A$73,0))&amp;"","")</f>
        <v/>
      </c>
      <c r="F8" s="136">
        <f>IFERROR(INDEX(JUL!AK$8:AK$73,MATCH($A8,JUL!$A$8:$A$73,0))&amp;"","")</f>
        <v/>
      </c>
      <c r="G8" s="136">
        <f>IFERROR(INDEX(JUL!AL$8:AL$73,MATCH($A8,JUL!$A$8:$A$73,0))&amp;"","")</f>
        <v/>
      </c>
      <c r="H8" s="136">
        <f>IFERROR(INDEX(JUL!AM$8:AM$73,MATCH($A8,JUL!$A$8:$A$73,0))&amp;"","")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37" t="inlineStr">
        <is>
          <t>C</t>
        </is>
      </c>
      <c r="T8" s="115" t="inlineStr">
        <is>
          <t>M</t>
        </is>
      </c>
      <c r="U8" s="115" t="inlineStr">
        <is>
          <t>M</t>
        </is>
      </c>
      <c r="V8" s="115" t="inlineStr">
        <is>
          <t>M</t>
        </is>
      </c>
      <c r="W8" s="114" t="n"/>
      <c r="X8" s="114" t="n"/>
      <c r="Y8" s="137" t="inlineStr">
        <is>
          <t>C</t>
        </is>
      </c>
      <c r="Z8" s="137" t="inlineStr">
        <is>
          <t>C</t>
        </is>
      </c>
      <c r="AA8" s="115" t="inlineStr">
        <is>
          <t>M</t>
        </is>
      </c>
      <c r="AB8" s="115" t="inlineStr">
        <is>
          <t>M</t>
        </is>
      </c>
      <c r="AC8" s="137" t="inlineStr">
        <is>
          <t>C</t>
        </is>
      </c>
      <c r="AD8" s="114" t="n"/>
      <c r="AE8" s="114" t="n"/>
      <c r="AF8" s="137" t="inlineStr">
        <is>
          <t>C</t>
        </is>
      </c>
      <c r="AG8" s="137" t="inlineStr">
        <is>
          <t>C</t>
        </is>
      </c>
      <c r="AH8" s="115" t="inlineStr">
        <is>
          <t>M</t>
        </is>
      </c>
      <c r="AI8" s="114" t="n"/>
      <c r="AJ8" s="115" t="inlineStr">
        <is>
          <t>M</t>
        </is>
      </c>
      <c r="AK8" s="114" t="n"/>
      <c r="AL8" s="114" t="n"/>
      <c r="AM8" s="137" t="inlineStr">
        <is>
          <t>C</t>
        </is>
      </c>
      <c r="AN8" s="136">
        <f>IFERROR(INDEX(SET!I$8:I$73,MATCH($A8,SET!$A$8:$A$73,0))&amp;"","")</f>
        <v/>
      </c>
      <c r="AO8" s="136">
        <f>IFERROR(INDEX(SET!J$8:J$73,MATCH($A8,SET!$A$8:$A$73,0))&amp;"","")</f>
        <v/>
      </c>
      <c r="AP8" s="136">
        <f>IFERROR(INDEX(SET!K$8:K$73,MATCH($A8,SET!$A$8:$A$73,0))&amp;"","")</f>
        <v/>
      </c>
      <c r="AQ8" s="136">
        <f>IFERROR(INDEX(SET!L$8:L$73,MATCH($A8,SET!$A$8:$A$73,0))&amp;"","")</f>
        <v/>
      </c>
      <c r="AR8" s="116">
        <f>IFERROR(INDEX(SET!M$8:M$73,MATCH($A8,SET!$A$8:$A$73,0))&amp;"","")</f>
        <v/>
      </c>
      <c r="AS8" s="116">
        <f>IFERROR(INDEX(SET!N$8:N$73,MATCH($A8,SET!$A$8:$A$73,0))&amp;"","")</f>
        <v/>
      </c>
      <c r="AT8" s="117">
        <f>SUMPRODUCT(($D8:$J8="M")*6+($D8:$J8="T")*6+($D8:$J8="D")*12+($D8:$J8="N")*12+($D8:$J8="NT")*6+($D8:$J8="C")*10+($D8:$J8="A")*8+($D8:$J8="J")*5+($D8:$J8="CEP")*4+($D8:$J8="CP")*6+($D8:$J8="CRO")*6+($D8:$J8="M+")*6+($D8:$J8="T+")*6+($D8:$J8="D+")*12+($D8:$J8="N+")*12+($D8:$J8="Dm+")*12+($D8:$J8="Dt+")*12+($D8:$J8="Tm-")*6+($D8:$J8="Mt-")*6)</f>
        <v/>
      </c>
      <c r="AU8" s="118">
        <f>AT8-MAX(0,IFERROR(INDEX(CADASTRO!$I$4:$I$80,MATCH($A8,CADASTRO!$A$4:$A$80,0)),$B8)-CONFIG!$B$50*(COUNTIF($D8:$J8,"AB")+COUNTIF($D8:$J8,"FE")+COUNTIF($D8:$J8,"LM")))</f>
        <v/>
      </c>
      <c r="AV8" s="117">
        <f>SUMPRODUCT(($K8:$Q8="M")*6+($K8:$Q8="T")*6+($K8:$Q8="D")*12+($K8:$Q8="N")*12+($K8:$Q8="NT")*6+($K8:$Q8="C")*10+($K8:$Q8="A")*8+($K8:$Q8="J")*5+($K8:$Q8="CEP")*4+($K8:$Q8="CP")*6+($K8:$Q8="CRO")*6+($K8:$Q8="M+")*6+($K8:$Q8="T+")*6+($K8:$Q8="D+")*12+($K8:$Q8="N+")*12+($K8:$Q8="Dm+")*12+($K8:$Q8="Dt+")*12+($K8:$Q8="Tm-")*6+($K8:$Q8="Mt-")*6)</f>
        <v/>
      </c>
      <c r="AW8" s="118">
        <f>AV8-MAX(0,IFERROR(INDEX(CADASTRO!$I$4:$I$80,MATCH($A8,CADASTRO!$A$4:$A$80,0)),$B8)-CONFIG!$B$50*(COUNTIF($K8:$Q8,"AB")+COUNTIF($K8:$Q8,"FE")+COUNTIF($K8:$Q8,"LM")))</f>
        <v/>
      </c>
      <c r="AX8" s="117">
        <f>SUMPRODUCT(($R8:$X8="M")*6+($R8:$X8="T")*6+($R8:$X8="D")*12+($R8:$X8="N")*12+($R8:$X8="NT")*6+($R8:$X8="C")*10+($R8:$X8="A")*8+($R8:$X8="J")*5+($R8:$X8="CEP")*4+($R8:$X8="CP")*6+($R8:$X8="CRO")*6+($R8:$X8="M+")*6+($R8:$X8="T+")*6+($R8:$X8="D+")*12+($R8:$X8="N+")*12+($R8:$X8="Dm+")*12+($R8:$X8="Dt+")*12+($R8:$X8="Tm-")*6+($R8:$X8="Mt-")*6)</f>
        <v/>
      </c>
      <c r="AY8" s="118">
        <f>AX8-MAX(0,IFERROR(INDEX(CADASTRO!$I$4:$I$80,MATCH($A8,CADASTRO!$A$4:$A$80,0)),$B8)-CONFIG!$B$50*(COUNTIF($R8:$X8,"AB")+COUNTIF($R8:$X8,"FE")+COUNTIF($R8:$X8,"LM")))</f>
        <v/>
      </c>
      <c r="AZ8" s="117">
        <f>SUMPRODUCT(($Y8:$AE8="M")*6+($Y8:$AE8="T")*6+($Y8:$AE8="D")*12+($Y8:$AE8="N")*12+($Y8:$AE8="NT")*6+($Y8:$AE8="C")*10+($Y8:$AE8="A")*8+($Y8:$AE8="J")*5+($Y8:$AE8="CEP")*4+($Y8:$AE8="CP")*6+($Y8:$AE8="CRO")*6+($Y8:$AE8="M+")*6+($Y8:$AE8="T+")*6+($Y8:$AE8="D+")*12+($Y8:$AE8="N+")*12+($Y8:$AE8="Dm+")*12+($Y8:$AE8="Dt+")*12+($Y8:$AE8="Tm-")*6+($Y8:$AE8="Mt-")*6)</f>
        <v/>
      </c>
      <c r="BA8" s="118">
        <f>AZ8-MAX(0,IFERROR(INDEX(CADASTRO!$I$4:$I$80,MATCH($A8,CADASTRO!$A$4:$A$80,0)),$B8)-CONFIG!$B$50*(COUNTIF($Y8:$AE8,"AB")+COUNTIF($Y8:$AE8,"FE")+COUNTIF($Y8:$AE8,"LM")))</f>
        <v/>
      </c>
      <c r="BB8" s="117">
        <f>SUMPRODUCT(($AF8:$AL8="M")*6+($AF8:$AL8="T")*6+($AF8:$AL8="D")*12+($AF8:$AL8="N")*12+($AF8:$AL8="NT")*6+($AF8:$AL8="C")*10+($AF8:$AL8="A")*8+($AF8:$AL8="J")*5+($AF8:$AL8="CEP")*4+($AF8:$AL8="CP")*6+($AF8:$AL8="CRO")*6+($AF8:$AL8="M+")*6+($AF8:$AL8="T+")*6+($AF8:$AL8="D+")*12+($AF8:$AL8="N+")*12+($AF8:$AL8="Dm+")*12+($AF8:$AL8="Dt+")*12+($AF8:$AL8="Tm-")*6+($AF8:$AL8="Mt-")*6)</f>
        <v/>
      </c>
      <c r="BC8" s="118">
        <f>BB8-MAX(0,IFERROR(INDEX(CADASTRO!$I$4:$I$80,MATCH($A8,CADASTRO!$A$4:$A$80,0)),$B8)-CONFIG!$B$50*(COUNTIF($AF8:$AL8,"AB")+COUNTIF($AF8:$AL8,"FE")+COUNTIF($AF8:$AL8,"LM")))</f>
        <v/>
      </c>
      <c r="BD8" s="117">
        <f>SUMPRODUCT(($AM8:$AM8="M")*6+($AM8:$AM8="T")*6+($AM8:$AM8="D")*12+($AM8:$AM8="N")*12+($AM8:$AM8="NT")*6+($AM8:$AM8="C")*10+($AM8:$AM8="A")*8+($AM8:$AM8="J")*5+($AM8:$AM8="CEP")*4+($AM8:$AM8="CP")*6+($AM8:$AM8="CRO")*6+($AM8:$AM8="M+")*6+($AM8:$AM8="T+")*6+($AM8:$AM8="D+")*12+($AM8:$AM8="N+")*12+($AM8:$AM8="Dm+")*12+($AM8:$AM8="Dt+")*12+($AM8:$AM8="Tm-")*6+($AM8:$AM8="Mt-")*6)+SUMPRODUCT(($AN8:$AS8="M")*6+($AN8:$AS8="T")*6+($AN8:$AS8="D")*12+($AN8:$AS8="N")*12+($AN8:$AS8="NT")*6+($AN8:$AS8="C")*10+($AN8:$AS8="A")*8+($AN8:$AS8="J")*5+($AN8:$AS8="CEP")*4+($AN8:$AS8="CP")*6+($AN8:$AS8="CRO")*6+($AN8:$AS8="M+")*6+($AN8:$AS8="T+")*6+($AN8:$AS8="D+")*12+($AN8:$AS8="N+")*12+($AN8:$AS8="Dm+")*12+($AN8:$AS8="Dt+")*12+($AN8:$AS8="Tm-")*6+($AN8:$AS8="Mt-")*6)</f>
        <v/>
      </c>
      <c r="BE8" s="118">
        <f>BD8-MAX(0,IFERROR(INDEX(CADASTRO!$I$4:$I$80,MATCH($A8,CADASTRO!$A$4:$A$80,0)),$B8)-CONFIG!$B$50*(COUNTIF($AM8:$AM8,"AB")+COUNTIF($AM8:$AM8,"FE")+COUNTIF($AM8:$AM8,"LM")+COUNTIF($AN8:$AS8,"AB")+COUNTIF($AN8:$AS8,"FE")+COUNTIF($AN8:$AS8,"LM")))</f>
        <v/>
      </c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36">
        <f>IFERROR(INDEX(JUL!AI$8:AI$73,MATCH($A9,JUL!$A$8:$A$73,0))&amp;"","")</f>
        <v/>
      </c>
      <c r="E9" s="136">
        <f>IFERROR(INDEX(JUL!AJ$8:AJ$73,MATCH($A9,JUL!$A$8:$A$73,0))&amp;"","")</f>
        <v/>
      </c>
      <c r="F9" s="136">
        <f>IFERROR(INDEX(JUL!AK$8:AK$73,MATCH($A9,JUL!$A$8:$A$73,0))&amp;"","")</f>
        <v/>
      </c>
      <c r="G9" s="136">
        <f>IFERROR(INDEX(JUL!AL$8:AL$73,MATCH($A9,JUL!$A$8:$A$73,0))&amp;"","")</f>
        <v/>
      </c>
      <c r="H9" s="136">
        <f>IFERROR(INDEX(JUL!AM$8:AM$73,MATCH($A9,JUL!$A$8:$A$73,0))&amp;"","")</f>
        <v/>
      </c>
      <c r="I9" s="114" t="n"/>
      <c r="J9" s="114" t="n"/>
      <c r="K9" s="115" t="inlineStr">
        <is>
          <t>M</t>
        </is>
      </c>
      <c r="L9" s="115" t="inlineStr">
        <is>
          <t>M</t>
        </is>
      </c>
      <c r="M9" s="115" t="inlineStr">
        <is>
          <t>M</t>
        </is>
      </c>
      <c r="N9" s="137" t="inlineStr">
        <is>
          <t>C</t>
        </is>
      </c>
      <c r="O9" s="115" t="inlineStr">
        <is>
          <t>M</t>
        </is>
      </c>
      <c r="P9" s="114" t="n"/>
      <c r="Q9" s="114" t="n"/>
      <c r="R9" s="115" t="inlineStr">
        <is>
          <t>M</t>
        </is>
      </c>
      <c r="S9" s="115" t="inlineStr">
        <is>
          <t>M</t>
        </is>
      </c>
      <c r="T9" s="115" t="inlineStr">
        <is>
          <t>M</t>
        </is>
      </c>
      <c r="U9" s="137" t="inlineStr">
        <is>
          <t>C</t>
        </is>
      </c>
      <c r="V9" s="137" t="inlineStr">
        <is>
          <t>C</t>
        </is>
      </c>
      <c r="W9" s="114" t="n"/>
      <c r="X9" s="114" t="n"/>
      <c r="Y9" s="115" t="inlineStr">
        <is>
          <t>M</t>
        </is>
      </c>
      <c r="Z9" s="115" t="inlineStr">
        <is>
          <t>M</t>
        </is>
      </c>
      <c r="AA9" s="115" t="inlineStr">
        <is>
          <t>M</t>
        </is>
      </c>
      <c r="AB9" s="137" t="inlineStr">
        <is>
          <t>C</t>
        </is>
      </c>
      <c r="AC9" s="115" t="inlineStr">
        <is>
          <t>M</t>
        </is>
      </c>
      <c r="AD9" s="114" t="n"/>
      <c r="AE9" s="114" t="n"/>
      <c r="AF9" s="115" t="inlineStr">
        <is>
          <t>M</t>
        </is>
      </c>
      <c r="AG9" s="115" t="inlineStr">
        <is>
          <t>M</t>
        </is>
      </c>
      <c r="AH9" s="115" t="inlineStr">
        <is>
          <t>M</t>
        </is>
      </c>
      <c r="AI9" s="137" t="inlineStr">
        <is>
          <t>C</t>
        </is>
      </c>
      <c r="AJ9" s="115" t="inlineStr">
        <is>
          <t>M</t>
        </is>
      </c>
      <c r="AK9" s="114" t="n"/>
      <c r="AL9" s="114" t="n"/>
      <c r="AM9" s="115" t="inlineStr">
        <is>
          <t>M</t>
        </is>
      </c>
      <c r="AN9" s="136">
        <f>IFERROR(INDEX(SET!I$8:I$73,MATCH($A9,SET!$A$8:$A$73,0))&amp;"","")</f>
        <v/>
      </c>
      <c r="AO9" s="136">
        <f>IFERROR(INDEX(SET!J$8:J$73,MATCH($A9,SET!$A$8:$A$73,0))&amp;"","")</f>
        <v/>
      </c>
      <c r="AP9" s="136">
        <f>IFERROR(INDEX(SET!K$8:K$73,MATCH($A9,SET!$A$8:$A$73,0))&amp;"","")</f>
        <v/>
      </c>
      <c r="AQ9" s="136">
        <f>IFERROR(INDEX(SET!L$8:L$73,MATCH($A9,SET!$A$8:$A$73,0))&amp;"","")</f>
        <v/>
      </c>
      <c r="AR9" s="116">
        <f>IFERROR(INDEX(SET!M$8:M$73,MATCH($A9,SET!$A$8:$A$73,0))&amp;"","")</f>
        <v/>
      </c>
      <c r="AS9" s="116">
        <f>IFERROR(INDEX(SET!N$8:N$73,MATCH($A9,SET!$A$8:$A$73,0))&amp;"","")</f>
        <v/>
      </c>
      <c r="AT9" s="117">
        <f>SUMPRODUCT(($D9:$J9="M")*6+($D9:$J9="T")*6+($D9:$J9="D")*12+($D9:$J9="N")*12+($D9:$J9="NT")*6+($D9:$J9="C")*10+($D9:$J9="A")*8+($D9:$J9="J")*5+($D9:$J9="CEP")*4+($D9:$J9="CP")*6+($D9:$J9="CRO")*6+($D9:$J9="M+")*6+($D9:$J9="T+")*6+($D9:$J9="D+")*12+($D9:$J9="N+")*12+($D9:$J9="Dm+")*12+($D9:$J9="Dt+")*12+($D9:$J9="Tm-")*6+($D9:$J9="Mt-")*6)</f>
        <v/>
      </c>
      <c r="AU9" s="118">
        <f>AT9-MAX(0,IFERROR(INDEX(CADASTRO!$I$4:$I$80,MATCH($A9,CADASTRO!$A$4:$A$80,0)),$B9)-CONFIG!$B$50*(COUNTIF($D9:$J9,"AB")+COUNTIF($D9:$J9,"FE")+COUNTIF($D9:$J9,"LM")))</f>
        <v/>
      </c>
      <c r="AV9" s="117">
        <f>SUMPRODUCT(($K9:$Q9="M")*6+($K9:$Q9="T")*6+($K9:$Q9="D")*12+($K9:$Q9="N")*12+($K9:$Q9="NT")*6+($K9:$Q9="C")*10+($K9:$Q9="A")*8+($K9:$Q9="J")*5+($K9:$Q9="CEP")*4+($K9:$Q9="CP")*6+($K9:$Q9="CRO")*6+($K9:$Q9="M+")*6+($K9:$Q9="T+")*6+($K9:$Q9="D+")*12+($K9:$Q9="N+")*12+($K9:$Q9="Dm+")*12+($K9:$Q9="Dt+")*12+($K9:$Q9="Tm-")*6+($K9:$Q9="Mt-")*6)</f>
        <v/>
      </c>
      <c r="AW9" s="118">
        <f>AV9-MAX(0,IFERROR(INDEX(CADASTRO!$I$4:$I$80,MATCH($A9,CADASTRO!$A$4:$A$80,0)),$B9)-CONFIG!$B$50*(COUNTIF($K9:$Q9,"AB")+COUNTIF($K9:$Q9,"FE")+COUNTIF($K9:$Q9,"LM")))</f>
        <v/>
      </c>
      <c r="AX9" s="117">
        <f>SUMPRODUCT(($R9:$X9="M")*6+($R9:$X9="T")*6+($R9:$X9="D")*12+($R9:$X9="N")*12+($R9:$X9="NT")*6+($R9:$X9="C")*10+($R9:$X9="A")*8+($R9:$X9="J")*5+($R9:$X9="CEP")*4+($R9:$X9="CP")*6+($R9:$X9="CRO")*6+($R9:$X9="M+")*6+($R9:$X9="T+")*6+($R9:$X9="D+")*12+($R9:$X9="N+")*12+($R9:$X9="Dm+")*12+($R9:$X9="Dt+")*12+($R9:$X9="Tm-")*6+($R9:$X9="Mt-")*6)</f>
        <v/>
      </c>
      <c r="AY9" s="118">
        <f>AX9-MAX(0,IFERROR(INDEX(CADASTRO!$I$4:$I$80,MATCH($A9,CADASTRO!$A$4:$A$80,0)),$B9)-CONFIG!$B$50*(COUNTIF($R9:$X9,"AB")+COUNTIF($R9:$X9,"FE")+COUNTIF($R9:$X9,"LM")))</f>
        <v/>
      </c>
      <c r="AZ9" s="117">
        <f>SUMPRODUCT(($Y9:$AE9="M")*6+($Y9:$AE9="T")*6+($Y9:$AE9="D")*12+($Y9:$AE9="N")*12+($Y9:$AE9="NT")*6+($Y9:$AE9="C")*10+($Y9:$AE9="A")*8+($Y9:$AE9="J")*5+($Y9:$AE9="CEP")*4+($Y9:$AE9="CP")*6+($Y9:$AE9="CRO")*6+($Y9:$AE9="M+")*6+($Y9:$AE9="T+")*6+($Y9:$AE9="D+")*12+($Y9:$AE9="N+")*12+($Y9:$AE9="Dm+")*12+($Y9:$AE9="Dt+")*12+($Y9:$AE9="Tm-")*6+($Y9:$AE9="Mt-")*6)</f>
        <v/>
      </c>
      <c r="BA9" s="118">
        <f>AZ9-MAX(0,IFERROR(INDEX(CADASTRO!$I$4:$I$80,MATCH($A9,CADASTRO!$A$4:$A$80,0)),$B9)-CONFIG!$B$50*(COUNTIF($Y9:$AE9,"AB")+COUNTIF($Y9:$AE9,"FE")+COUNTIF($Y9:$AE9,"LM")))</f>
        <v/>
      </c>
      <c r="BB9" s="117">
        <f>SUMPRODUCT(($AF9:$AL9="M")*6+($AF9:$AL9="T")*6+($AF9:$AL9="D")*12+($AF9:$AL9="N")*12+($AF9:$AL9="NT")*6+($AF9:$AL9="C")*10+($AF9:$AL9="A")*8+($AF9:$AL9="J")*5+($AF9:$AL9="CEP")*4+($AF9:$AL9="CP")*6+($AF9:$AL9="CRO")*6+($AF9:$AL9="M+")*6+($AF9:$AL9="T+")*6+($AF9:$AL9="D+")*12+($AF9:$AL9="N+")*12+($AF9:$AL9="Dm+")*12+($AF9:$AL9="Dt+")*12+($AF9:$AL9="Tm-")*6+($AF9:$AL9="Mt-")*6)</f>
        <v/>
      </c>
      <c r="BC9" s="118">
        <f>BB9-MAX(0,IFERROR(INDEX(CADASTRO!$I$4:$I$80,MATCH($A9,CADASTRO!$A$4:$A$80,0)),$B9)-CONFIG!$B$50*(COUNTIF($AF9:$AL9,"AB")+COUNTIF($AF9:$AL9,"FE")+COUNTIF($AF9:$AL9,"LM")))</f>
        <v/>
      </c>
      <c r="BD9" s="117">
        <f>SUMPRODUCT(($AM9:$AM9="M")*6+($AM9:$AM9="T")*6+($AM9:$AM9="D")*12+($AM9:$AM9="N")*12+($AM9:$AM9="NT")*6+($AM9:$AM9="C")*10+($AM9:$AM9="A")*8+($AM9:$AM9="J")*5+($AM9:$AM9="CEP")*4+($AM9:$AM9="CP")*6+($AM9:$AM9="CRO")*6+($AM9:$AM9="M+")*6+($AM9:$AM9="T+")*6+($AM9:$AM9="D+")*12+($AM9:$AM9="N+")*12+($AM9:$AM9="Dm+")*12+($AM9:$AM9="Dt+")*12+($AM9:$AM9="Tm-")*6+($AM9:$AM9="Mt-")*6)+SUMPRODUCT(($AN9:$AS9="M")*6+($AN9:$AS9="T")*6+($AN9:$AS9="D")*12+($AN9:$AS9="N")*12+($AN9:$AS9="NT")*6+($AN9:$AS9="C")*10+($AN9:$AS9="A")*8+($AN9:$AS9="J")*5+($AN9:$AS9="CEP")*4+($AN9:$AS9="CP")*6+($AN9:$AS9="CRO")*6+($AN9:$AS9="M+")*6+($AN9:$AS9="T+")*6+($AN9:$AS9="D+")*12+($AN9:$AS9="N+")*12+($AN9:$AS9="Dm+")*12+($AN9:$AS9="Dt+")*12+($AN9:$AS9="Tm-")*6+($AN9:$AS9="Mt-")*6)</f>
        <v/>
      </c>
      <c r="BE9" s="118">
        <f>BD9-MAX(0,IFERROR(INDEX(CADASTRO!$I$4:$I$80,MATCH($A9,CADASTRO!$A$4:$A$80,0)),$B9)-CONFIG!$B$50*(COUNTIF($AM9:$AM9,"AB")+COUNTIF($AM9:$AM9,"FE")+COUNTIF($AM9:$AM9,"LM")+COUNTIF($AN9:$AS9,"AB")+COUNTIF($AN9:$AS9,"FE")+COUNTIF($AN9:$AS9,"LM")))</f>
        <v/>
      </c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36">
        <f>IFERROR(INDEX(JUL!AI$8:AI$73,MATCH($A10,JUL!$A$8:$A$73,0))&amp;"","")</f>
        <v/>
      </c>
      <c r="E10" s="136">
        <f>IFERROR(INDEX(JUL!AJ$8:AJ$73,MATCH($A10,JUL!$A$8:$A$73,0))&amp;"","")</f>
        <v/>
      </c>
      <c r="F10" s="136">
        <f>IFERROR(INDEX(JUL!AK$8:AK$73,MATCH($A10,JUL!$A$8:$A$73,0))&amp;"","")</f>
        <v/>
      </c>
      <c r="G10" s="136">
        <f>IFERROR(INDEX(JUL!AL$8:AL$73,MATCH($A10,JUL!$A$8:$A$73,0))&amp;"","")</f>
        <v/>
      </c>
      <c r="H10" s="136">
        <f>IFERROR(INDEX(JUL!AM$8:AM$73,MATCH($A10,JUL!$A$8:$A$73,0))&amp;"","")</f>
        <v/>
      </c>
      <c r="I10" s="114" t="n"/>
      <c r="J10" s="114" t="n"/>
      <c r="K10" s="115" t="inlineStr">
        <is>
          <t>M</t>
        </is>
      </c>
      <c r="L10" s="137" t="inlineStr">
        <is>
          <t>C</t>
        </is>
      </c>
      <c r="M10" s="115" t="inlineStr">
        <is>
          <t>M</t>
        </is>
      </c>
      <c r="N10" s="115" t="inlineStr">
        <is>
          <t>M</t>
        </is>
      </c>
      <c r="O10" s="137" t="inlineStr">
        <is>
          <t>C</t>
        </is>
      </c>
      <c r="P10" s="114" t="n"/>
      <c r="Q10" s="114" t="n"/>
      <c r="R10" s="115" t="inlineStr">
        <is>
          <t>M</t>
        </is>
      </c>
      <c r="S10" s="137" t="inlineStr">
        <is>
          <t>C</t>
        </is>
      </c>
      <c r="T10" s="115" t="inlineStr">
        <is>
          <t>M</t>
        </is>
      </c>
      <c r="U10" s="115" t="inlineStr">
        <is>
          <t>M</t>
        </is>
      </c>
      <c r="V10" s="115" t="inlineStr">
        <is>
          <t>M</t>
        </is>
      </c>
      <c r="W10" s="114" t="n"/>
      <c r="X10" s="114" t="n"/>
      <c r="Y10" s="115" t="inlineStr">
        <is>
          <t>M</t>
        </is>
      </c>
      <c r="Z10" s="137" t="inlineStr">
        <is>
          <t>C</t>
        </is>
      </c>
      <c r="AA10" s="115" t="inlineStr">
        <is>
          <t>M</t>
        </is>
      </c>
      <c r="AB10" s="115" t="inlineStr">
        <is>
          <t>M</t>
        </is>
      </c>
      <c r="AC10" s="115" t="inlineStr">
        <is>
          <t>M</t>
        </is>
      </c>
      <c r="AD10" s="114" t="n"/>
      <c r="AE10" s="114" t="n"/>
      <c r="AF10" s="115" t="inlineStr">
        <is>
          <t>M</t>
        </is>
      </c>
      <c r="AG10" s="137" t="inlineStr">
        <is>
          <t>C</t>
        </is>
      </c>
      <c r="AH10" s="115" t="inlineStr">
        <is>
          <t>M</t>
        </is>
      </c>
      <c r="AI10" s="115" t="inlineStr">
        <is>
          <t>M</t>
        </is>
      </c>
      <c r="AJ10" s="137" t="inlineStr">
        <is>
          <t>C</t>
        </is>
      </c>
      <c r="AK10" s="114" t="n"/>
      <c r="AL10" s="114" t="n"/>
      <c r="AM10" s="115" t="inlineStr">
        <is>
          <t>M</t>
        </is>
      </c>
      <c r="AN10" s="136">
        <f>IFERROR(INDEX(SET!I$8:I$73,MATCH($A10,SET!$A$8:$A$73,0))&amp;"","")</f>
        <v/>
      </c>
      <c r="AO10" s="136">
        <f>IFERROR(INDEX(SET!J$8:J$73,MATCH($A10,SET!$A$8:$A$73,0))&amp;"","")</f>
        <v/>
      </c>
      <c r="AP10" s="136">
        <f>IFERROR(INDEX(SET!K$8:K$73,MATCH($A10,SET!$A$8:$A$73,0))&amp;"","")</f>
        <v/>
      </c>
      <c r="AQ10" s="136">
        <f>IFERROR(INDEX(SET!L$8:L$73,MATCH($A10,SET!$A$8:$A$73,0))&amp;"","")</f>
        <v/>
      </c>
      <c r="AR10" s="116">
        <f>IFERROR(INDEX(SET!M$8:M$73,MATCH($A10,SET!$A$8:$A$73,0))&amp;"","")</f>
        <v/>
      </c>
      <c r="AS10" s="116">
        <f>IFERROR(INDEX(SET!N$8:N$73,MATCH($A10,SET!$A$8:$A$73,0))&amp;"","")</f>
        <v/>
      </c>
      <c r="AT10" s="117">
        <f>SUMPRODUCT(($D10:$J10="M")*6+($D10:$J10="T")*6+($D10:$J10="D")*12+($D10:$J10="N")*12+($D10:$J10="NT")*6+($D10:$J10="C")*10+($D10:$J10="A")*8+($D10:$J10="J")*5+($D10:$J10="CEP")*4+($D10:$J10="CP")*6+($D10:$J10="CRO")*6+($D10:$J10="M+")*6+($D10:$J10="T+")*6+($D10:$J10="D+")*12+($D10:$J10="N+")*12+($D10:$J10="Dm+")*12+($D10:$J10="Dt+")*12+($D10:$J10="Tm-")*6+($D10:$J10="Mt-")*6)</f>
        <v/>
      </c>
      <c r="AU10" s="118">
        <f>AT10-MAX(0,IFERROR(INDEX(CADASTRO!$I$4:$I$80,MATCH($A10,CADASTRO!$A$4:$A$80,0)),$B10)-CONFIG!$B$50*(COUNTIF($D10:$J10,"AB")+COUNTIF($D10:$J10,"FE")+COUNTIF($D10:$J10,"LM")))</f>
        <v/>
      </c>
      <c r="AV10" s="117">
        <f>SUMPRODUCT(($K10:$Q10="M")*6+($K10:$Q10="T")*6+($K10:$Q10="D")*12+($K10:$Q10="N")*12+($K10:$Q10="NT")*6+($K10:$Q10="C")*10+($K10:$Q10="A")*8+($K10:$Q10="J")*5+($K10:$Q10="CEP")*4+($K10:$Q10="CP")*6+($K10:$Q10="CRO")*6+($K10:$Q10="M+")*6+($K10:$Q10="T+")*6+($K10:$Q10="D+")*12+($K10:$Q10="N+")*12+($K10:$Q10="Dm+")*12+($K10:$Q10="Dt+")*12+($K10:$Q10="Tm-")*6+($K10:$Q10="Mt-")*6)</f>
        <v/>
      </c>
      <c r="AW10" s="118">
        <f>AV10-MAX(0,IFERROR(INDEX(CADASTRO!$I$4:$I$80,MATCH($A10,CADASTRO!$A$4:$A$80,0)),$B10)-CONFIG!$B$50*(COUNTIF($K10:$Q10,"AB")+COUNTIF($K10:$Q10,"FE")+COUNTIF($K10:$Q10,"LM")))</f>
        <v/>
      </c>
      <c r="AX10" s="117">
        <f>SUMPRODUCT(($R10:$X10="M")*6+($R10:$X10="T")*6+($R10:$X10="D")*12+($R10:$X10="N")*12+($R10:$X10="NT")*6+($R10:$X10="C")*10+($R10:$X10="A")*8+($R10:$X10="J")*5+($R10:$X10="CEP")*4+($R10:$X10="CP")*6+($R10:$X10="CRO")*6+($R10:$X10="M+")*6+($R10:$X10="T+")*6+($R10:$X10="D+")*12+($R10:$X10="N+")*12+($R10:$X10="Dm+")*12+($R10:$X10="Dt+")*12+($R10:$X10="Tm-")*6+($R10:$X10="Mt-")*6)</f>
        <v/>
      </c>
      <c r="AY10" s="118">
        <f>AX10-MAX(0,IFERROR(INDEX(CADASTRO!$I$4:$I$80,MATCH($A10,CADASTRO!$A$4:$A$80,0)),$B10)-CONFIG!$B$50*(COUNTIF($R10:$X10,"AB")+COUNTIF($R10:$X10,"FE")+COUNTIF($R10:$X10,"LM")))</f>
        <v/>
      </c>
      <c r="AZ10" s="117">
        <f>SUMPRODUCT(($Y10:$AE10="M")*6+($Y10:$AE10="T")*6+($Y10:$AE10="D")*12+($Y10:$AE10="N")*12+($Y10:$AE10="NT")*6+($Y10:$AE10="C")*10+($Y10:$AE10="A")*8+($Y10:$AE10="J")*5+($Y10:$AE10="CEP")*4+($Y10:$AE10="CP")*6+($Y10:$AE10="CRO")*6+($Y10:$AE10="M+")*6+($Y10:$AE10="T+")*6+($Y10:$AE10="D+")*12+($Y10:$AE10="N+")*12+($Y10:$AE10="Dm+")*12+($Y10:$AE10="Dt+")*12+($Y10:$AE10="Tm-")*6+($Y10:$AE10="Mt-")*6)</f>
        <v/>
      </c>
      <c r="BA10" s="118">
        <f>AZ10-MAX(0,IFERROR(INDEX(CADASTRO!$I$4:$I$80,MATCH($A10,CADASTRO!$A$4:$A$80,0)),$B10)-CONFIG!$B$50*(COUNTIF($Y10:$AE10,"AB")+COUNTIF($Y10:$AE10,"FE")+COUNTIF($Y10:$AE10,"LM")))</f>
        <v/>
      </c>
      <c r="BB10" s="117">
        <f>SUMPRODUCT(($AF10:$AL10="M")*6+($AF10:$AL10="T")*6+($AF10:$AL10="D")*12+($AF10:$AL10="N")*12+($AF10:$AL10="NT")*6+($AF10:$AL10="C")*10+($AF10:$AL10="A")*8+($AF10:$AL10="J")*5+($AF10:$AL10="CEP")*4+($AF10:$AL10="CP")*6+($AF10:$AL10="CRO")*6+($AF10:$AL10="M+")*6+($AF10:$AL10="T+")*6+($AF10:$AL10="D+")*12+($AF10:$AL10="N+")*12+($AF10:$AL10="Dm+")*12+($AF10:$AL10="Dt+")*12+($AF10:$AL10="Tm-")*6+($AF10:$AL10="Mt-")*6)</f>
        <v/>
      </c>
      <c r="BC10" s="118">
        <f>BB10-MAX(0,IFERROR(INDEX(CADASTRO!$I$4:$I$80,MATCH($A10,CADASTRO!$A$4:$A$80,0)),$B10)-CONFIG!$B$50*(COUNTIF($AF10:$AL10,"AB")+COUNTIF($AF10:$AL10,"FE")+COUNTIF($AF10:$AL10,"LM")))</f>
        <v/>
      </c>
      <c r="BD10" s="117">
        <f>SUMPRODUCT(($AM10:$AM10="M")*6+($AM10:$AM10="T")*6+($AM10:$AM10="D")*12+($AM10:$AM10="N")*12+($AM10:$AM10="NT")*6+($AM10:$AM10="C")*10+($AM10:$AM10="A")*8+($AM10:$AM10="J")*5+($AM10:$AM10="CEP")*4+($AM10:$AM10="CP")*6+($AM10:$AM10="CRO")*6+($AM10:$AM10="M+")*6+($AM10:$AM10="T+")*6+($AM10:$AM10="D+")*12+($AM10:$AM10="N+")*12+($AM10:$AM10="Dm+")*12+($AM10:$AM10="Dt+")*12+($AM10:$AM10="Tm-")*6+($AM10:$AM10="Mt-")*6)+SUMPRODUCT(($AN10:$AS10="M")*6+($AN10:$AS10="T")*6+($AN10:$AS10="D")*12+($AN10:$AS10="N")*12+($AN10:$AS10="NT")*6+($AN10:$AS10="C")*10+($AN10:$AS10="A")*8+($AN10:$AS10="J")*5+($AN10:$AS10="CEP")*4+($AN10:$AS10="CP")*6+($AN10:$AS10="CRO")*6+($AN10:$AS10="M+")*6+($AN10:$AS10="T+")*6+($AN10:$AS10="D+")*12+($AN10:$AS10="N+")*12+($AN10:$AS10="Dm+")*12+($AN10:$AS10="Dt+")*12+($AN10:$AS10="Tm-")*6+($AN10:$AS10="Mt-")*6)</f>
        <v/>
      </c>
      <c r="BE10" s="118">
        <f>BD10-MAX(0,IFERROR(INDEX(CADASTRO!$I$4:$I$80,MATCH($A10,CADASTRO!$A$4:$A$80,0)),$B10)-CONFIG!$B$50*(COUNTIF($AM10:$AM10,"AB")+COUNTIF($AM10:$AM10,"FE")+COUNTIF($AM10:$AM10,"LM")+COUNTIF($AN10:$AS10,"AB")+COUNTIF($AN10:$AS10,"FE")+COUNTIF($AN10:$AS10,"LM")))</f>
        <v/>
      </c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36">
        <f>IFERROR(INDEX(JUL!AI$8:AI$73,MATCH($A11,JUL!$A$8:$A$73,0))&amp;"","")</f>
        <v/>
      </c>
      <c r="E11" s="136">
        <f>IFERROR(INDEX(JUL!AJ$8:AJ$73,MATCH($A11,JUL!$A$8:$A$73,0))&amp;"","")</f>
        <v/>
      </c>
      <c r="F11" s="136">
        <f>IFERROR(INDEX(JUL!AK$8:AK$73,MATCH($A11,JUL!$A$8:$A$73,0))&amp;"","")</f>
        <v/>
      </c>
      <c r="G11" s="136">
        <f>IFERROR(INDEX(JUL!AL$8:AL$73,MATCH($A11,JUL!$A$8:$A$73,0))&amp;"","")</f>
        <v/>
      </c>
      <c r="H11" s="136">
        <f>IFERROR(INDEX(JUL!AM$8:AM$73,MATCH($A11,JUL!$A$8:$A$73,0))&amp;"","")</f>
        <v/>
      </c>
      <c r="I11" s="114" t="n"/>
      <c r="J11" s="125" t="inlineStr">
        <is>
          <t>N</t>
        </is>
      </c>
      <c r="K11" s="115" t="inlineStr">
        <is>
          <t>M</t>
        </is>
      </c>
      <c r="L11" s="115" t="inlineStr">
        <is>
          <t>M</t>
        </is>
      </c>
      <c r="M11" s="115" t="inlineStr">
        <is>
          <t>M</t>
        </is>
      </c>
      <c r="N11" s="115" t="inlineStr">
        <is>
          <t>M</t>
        </is>
      </c>
      <c r="O11" s="115" t="inlineStr">
        <is>
          <t>M</t>
        </is>
      </c>
      <c r="P11" s="125" t="inlineStr">
        <is>
          <t>N</t>
        </is>
      </c>
      <c r="Q11" s="114" t="n"/>
      <c r="R11" s="115" t="inlineStr">
        <is>
          <t>M</t>
        </is>
      </c>
      <c r="S11" s="124" t="inlineStr">
        <is>
          <t>D</t>
        </is>
      </c>
      <c r="T11" s="115" t="inlineStr">
        <is>
          <t>M</t>
        </is>
      </c>
      <c r="U11" s="115" t="inlineStr">
        <is>
          <t>M</t>
        </is>
      </c>
      <c r="V11" s="115" t="inlineStr">
        <is>
          <t>M</t>
        </is>
      </c>
      <c r="W11" s="114" t="n"/>
      <c r="X11" s="114" t="n"/>
      <c r="Y11" s="139" t="inlineStr">
        <is>
          <t>FE</t>
        </is>
      </c>
      <c r="Z11" s="139" t="inlineStr">
        <is>
          <t>FE</t>
        </is>
      </c>
      <c r="AA11" s="139" t="inlineStr">
        <is>
          <t>FE</t>
        </is>
      </c>
      <c r="AB11" s="139" t="inlineStr">
        <is>
          <t>FE</t>
        </is>
      </c>
      <c r="AC11" s="139" t="inlineStr">
        <is>
          <t>FE</t>
        </is>
      </c>
      <c r="AD11" s="139" t="inlineStr">
        <is>
          <t>FE</t>
        </is>
      </c>
      <c r="AE11" s="139" t="inlineStr">
        <is>
          <t>FE</t>
        </is>
      </c>
      <c r="AF11" s="139" t="inlineStr">
        <is>
          <t>FE</t>
        </is>
      </c>
      <c r="AG11" s="139" t="inlineStr">
        <is>
          <t>FE</t>
        </is>
      </c>
      <c r="AH11" s="139" t="inlineStr">
        <is>
          <t>FE</t>
        </is>
      </c>
      <c r="AI11" s="139" t="inlineStr">
        <is>
          <t>FE</t>
        </is>
      </c>
      <c r="AJ11" s="139" t="inlineStr">
        <is>
          <t>FE</t>
        </is>
      </c>
      <c r="AK11" s="139" t="inlineStr">
        <is>
          <t>FE</t>
        </is>
      </c>
      <c r="AL11" s="139" t="inlineStr">
        <is>
          <t>FE</t>
        </is>
      </c>
      <c r="AM11" s="139" t="inlineStr">
        <is>
          <t>FE</t>
        </is>
      </c>
      <c r="AN11" s="136">
        <f>IFERROR(INDEX(SET!I$8:I$73,MATCH($A11,SET!$A$8:$A$73,0))&amp;"","")</f>
        <v/>
      </c>
      <c r="AO11" s="136">
        <f>IFERROR(INDEX(SET!J$8:J$73,MATCH($A11,SET!$A$8:$A$73,0))&amp;"","")</f>
        <v/>
      </c>
      <c r="AP11" s="136">
        <f>IFERROR(INDEX(SET!K$8:K$73,MATCH($A11,SET!$A$8:$A$73,0))&amp;"","")</f>
        <v/>
      </c>
      <c r="AQ11" s="136">
        <f>IFERROR(INDEX(SET!L$8:L$73,MATCH($A11,SET!$A$8:$A$73,0))&amp;"","")</f>
        <v/>
      </c>
      <c r="AR11" s="116">
        <f>IFERROR(INDEX(SET!M$8:M$73,MATCH($A11,SET!$A$8:$A$73,0))&amp;"","")</f>
        <v/>
      </c>
      <c r="AS11" s="116">
        <f>IFERROR(INDEX(SET!N$8:N$73,MATCH($A11,SET!$A$8:$A$73,0))&amp;"","")</f>
        <v/>
      </c>
      <c r="AT11" s="117">
        <f>SUMPRODUCT(($D11:$J11="M")*6+($D11:$J11="T")*6+($D11:$J11="D")*12+($D11:$J11="N")*12+($D11:$J11="NT")*6+($D11:$J11="C")*10+($D11:$J11="A")*8+($D11:$J11="J")*5+($D11:$J11="CEP")*4+($D11:$J11="CP")*6+($D11:$J11="CRO")*6+($D11:$J11="M+")*6+($D11:$J11="T+")*6+($D11:$J11="D+")*12+($D11:$J11="N+")*12+($D11:$J11="Dm+")*12+($D11:$J11="Dt+")*12+($D11:$J11="Tm-")*6+($D11:$J11="Mt-")*6)</f>
        <v/>
      </c>
      <c r="AU11" s="118">
        <f>AT11-MAX(0,IFERROR(INDEX(CADASTRO!$I$4:$I$80,MATCH($A11,CADASTRO!$A$4:$A$80,0)),$B11)-CONFIG!$B$50*(COUNTIF($D11:$J11,"AB")+COUNTIF($D11:$J11,"FE")+COUNTIF($D11:$J11,"LM")))</f>
        <v/>
      </c>
      <c r="AV11" s="117">
        <f>SUMPRODUCT(($K11:$Q11="M")*6+($K11:$Q11="T")*6+($K11:$Q11="D")*12+($K11:$Q11="N")*12+($K11:$Q11="NT")*6+($K11:$Q11="C")*10+($K11:$Q11="A")*8+($K11:$Q11="J")*5+($K11:$Q11="CEP")*4+($K11:$Q11="CP")*6+($K11:$Q11="CRO")*6+($K11:$Q11="M+")*6+($K11:$Q11="T+")*6+($K11:$Q11="D+")*12+($K11:$Q11="N+")*12+($K11:$Q11="Dm+")*12+($K11:$Q11="Dt+")*12+($K11:$Q11="Tm-")*6+($K11:$Q11="Mt-")*6)</f>
        <v/>
      </c>
      <c r="AW11" s="118">
        <f>AV11-MAX(0,IFERROR(INDEX(CADASTRO!$I$4:$I$80,MATCH($A11,CADASTRO!$A$4:$A$80,0)),$B11)-CONFIG!$B$50*(COUNTIF($K11:$Q11,"AB")+COUNTIF($K11:$Q11,"FE")+COUNTIF($K11:$Q11,"LM")))</f>
        <v/>
      </c>
      <c r="AX11" s="117">
        <f>SUMPRODUCT(($R11:$X11="M")*6+($R11:$X11="T")*6+($R11:$X11="D")*12+($R11:$X11="N")*12+($R11:$X11="NT")*6+($R11:$X11="C")*10+($R11:$X11="A")*8+($R11:$X11="J")*5+($R11:$X11="CEP")*4+($R11:$X11="CP")*6+($R11:$X11="CRO")*6+($R11:$X11="M+")*6+($R11:$X11="T+")*6+($R11:$X11="D+")*12+($R11:$X11="N+")*12+($R11:$X11="Dm+")*12+($R11:$X11="Dt+")*12+($R11:$X11="Tm-")*6+($R11:$X11="Mt-")*6)</f>
        <v/>
      </c>
      <c r="AY11" s="118">
        <f>AX11-MAX(0,IFERROR(INDEX(CADASTRO!$I$4:$I$80,MATCH($A11,CADASTRO!$A$4:$A$80,0)),$B11)-CONFIG!$B$50*(COUNTIF($R11:$X11,"AB")+COUNTIF($R11:$X11,"FE")+COUNTIF($R11:$X11,"LM")))</f>
        <v/>
      </c>
      <c r="AZ11" s="117">
        <f>SUMPRODUCT(($Y11:$AE11="M")*6+($Y11:$AE11="T")*6+($Y11:$AE11="D")*12+($Y11:$AE11="N")*12+($Y11:$AE11="NT")*6+($Y11:$AE11="C")*10+($Y11:$AE11="A")*8+($Y11:$AE11="J")*5+($Y11:$AE11="CEP")*4+($Y11:$AE11="CP")*6+($Y11:$AE11="CRO")*6+($Y11:$AE11="M+")*6+($Y11:$AE11="T+")*6+($Y11:$AE11="D+")*12+($Y11:$AE11="N+")*12+($Y11:$AE11="Dm+")*12+($Y11:$AE11="Dt+")*12+($Y11:$AE11="Tm-")*6+($Y11:$AE11="Mt-")*6)</f>
        <v/>
      </c>
      <c r="BA11" s="118">
        <f>AZ11-MAX(0,IFERROR(INDEX(CADASTRO!$I$4:$I$80,MATCH($A11,CADASTRO!$A$4:$A$80,0)),$B11)-CONFIG!$B$50*(COUNTIF($Y11:$AE11,"AB")+COUNTIF($Y11:$AE11,"FE")+COUNTIF($Y11:$AE11,"LM")))</f>
        <v/>
      </c>
      <c r="BB11" s="117">
        <f>SUMPRODUCT(($AF11:$AL11="M")*6+($AF11:$AL11="T")*6+($AF11:$AL11="D")*12+($AF11:$AL11="N")*12+($AF11:$AL11="NT")*6+($AF11:$AL11="C")*10+($AF11:$AL11="A")*8+($AF11:$AL11="J")*5+($AF11:$AL11="CEP")*4+($AF11:$AL11="CP")*6+($AF11:$AL11="CRO")*6+($AF11:$AL11="M+")*6+($AF11:$AL11="T+")*6+($AF11:$AL11="D+")*12+($AF11:$AL11="N+")*12+($AF11:$AL11="Dm+")*12+($AF11:$AL11="Dt+")*12+($AF11:$AL11="Tm-")*6+($AF11:$AL11="Mt-")*6)</f>
        <v/>
      </c>
      <c r="BC11" s="118">
        <f>BB11-MAX(0,IFERROR(INDEX(CADASTRO!$I$4:$I$80,MATCH($A11,CADASTRO!$A$4:$A$80,0)),$B11)-CONFIG!$B$50*(COUNTIF($AF11:$AL11,"AB")+COUNTIF($AF11:$AL11,"FE")+COUNTIF($AF11:$AL11,"LM")))</f>
        <v/>
      </c>
      <c r="BD11" s="117">
        <f>SUMPRODUCT(($AM11:$AM11="M")*6+($AM11:$AM11="T")*6+($AM11:$AM11="D")*12+($AM11:$AM11="N")*12+($AM11:$AM11="NT")*6+($AM11:$AM11="C")*10+($AM11:$AM11="A")*8+($AM11:$AM11="J")*5+($AM11:$AM11="CEP")*4+($AM11:$AM11="CP")*6+($AM11:$AM11="CRO")*6+($AM11:$AM11="M+")*6+($AM11:$AM11="T+")*6+($AM11:$AM11="D+")*12+($AM11:$AM11="N+")*12+($AM11:$AM11="Dm+")*12+($AM11:$AM11="Dt+")*12+($AM11:$AM11="Tm-")*6+($AM11:$AM11="Mt-")*6)+SUMPRODUCT(($AN11:$AS11="M")*6+($AN11:$AS11="T")*6+($AN11:$AS11="D")*12+($AN11:$AS11="N")*12+($AN11:$AS11="NT")*6+($AN11:$AS11="C")*10+($AN11:$AS11="A")*8+($AN11:$AS11="J")*5+($AN11:$AS11="CEP")*4+($AN11:$AS11="CP")*6+($AN11:$AS11="CRO")*6+($AN11:$AS11="M+")*6+($AN11:$AS11="T+")*6+($AN11:$AS11="D+")*12+($AN11:$AS11="N+")*12+($AN11:$AS11="Dm+")*12+($AN11:$AS11="Dt+")*12+($AN11:$AS11="Tm-")*6+($AN11:$AS11="Mt-")*6)</f>
        <v/>
      </c>
      <c r="BE11" s="118">
        <f>BD11-MAX(0,IFERROR(INDEX(CADASTRO!$I$4:$I$80,MATCH($A11,CADASTRO!$A$4:$A$80,0)),$B11)-CONFIG!$B$50*(COUNTIF($AM11:$AM11,"AB")+COUNTIF($AM11:$AM11,"FE")+COUNTIF($AM11:$AM11,"LM")+COUNTIF($AN11:$AS11,"AB")+COUNTIF($AN11:$AS11,"FE")+COUNTIF($AN11:$AS11,"LM")))</f>
        <v/>
      </c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36">
        <f>IFERROR(INDEX(JUL!AI$8:AI$73,MATCH($A12,JUL!$A$8:$A$73,0))&amp;"","")</f>
        <v/>
      </c>
      <c r="E12" s="136">
        <f>IFERROR(INDEX(JUL!AJ$8:AJ$73,MATCH($A12,JUL!$A$8:$A$73,0))&amp;"","")</f>
        <v/>
      </c>
      <c r="F12" s="136">
        <f>IFERROR(INDEX(JUL!AK$8:AK$73,MATCH($A12,JUL!$A$8:$A$73,0))&amp;"","")</f>
        <v/>
      </c>
      <c r="G12" s="136">
        <f>IFERROR(INDEX(JUL!AL$8:AL$73,MATCH($A12,JUL!$A$8:$A$73,0))&amp;"","")</f>
        <v/>
      </c>
      <c r="H12" s="136">
        <f>IFERROR(INDEX(JUL!AM$8:AM$73,MATCH($A12,JUL!$A$8:$A$73,0))&amp;"","")</f>
        <v/>
      </c>
      <c r="I12" s="114" t="n"/>
      <c r="J12" s="114" t="n"/>
      <c r="K12" s="115" t="inlineStr">
        <is>
          <t>M</t>
        </is>
      </c>
      <c r="L12" s="115" t="inlineStr">
        <is>
          <t>M</t>
        </is>
      </c>
      <c r="M12" s="115" t="inlineStr">
        <is>
          <t>M</t>
        </is>
      </c>
      <c r="N12" s="115" t="inlineStr">
        <is>
          <t>M</t>
        </is>
      </c>
      <c r="O12" s="124" t="inlineStr">
        <is>
          <t>D</t>
        </is>
      </c>
      <c r="P12" s="115" t="inlineStr">
        <is>
          <t>M</t>
        </is>
      </c>
      <c r="Q12" s="114" t="n"/>
      <c r="R12" s="139" t="inlineStr">
        <is>
          <t>FE</t>
        </is>
      </c>
      <c r="S12" s="139" t="inlineStr">
        <is>
          <t>FE</t>
        </is>
      </c>
      <c r="T12" s="139" t="inlineStr">
        <is>
          <t>FE</t>
        </is>
      </c>
      <c r="U12" s="139" t="inlineStr">
        <is>
          <t>FE</t>
        </is>
      </c>
      <c r="V12" s="139" t="inlineStr">
        <is>
          <t>FE</t>
        </is>
      </c>
      <c r="W12" s="139" t="inlineStr">
        <is>
          <t>FE</t>
        </is>
      </c>
      <c r="X12" s="139" t="inlineStr">
        <is>
          <t>FE</t>
        </is>
      </c>
      <c r="Y12" s="139" t="inlineStr">
        <is>
          <t>FE</t>
        </is>
      </c>
      <c r="Z12" s="139" t="inlineStr">
        <is>
          <t>FE</t>
        </is>
      </c>
      <c r="AA12" s="139" t="inlineStr">
        <is>
          <t>FE</t>
        </is>
      </c>
      <c r="AB12" s="139" t="inlineStr">
        <is>
          <t>FE</t>
        </is>
      </c>
      <c r="AC12" s="139" t="inlineStr">
        <is>
          <t>FE</t>
        </is>
      </c>
      <c r="AD12" s="139" t="inlineStr">
        <is>
          <t>FE</t>
        </is>
      </c>
      <c r="AE12" s="139" t="inlineStr">
        <is>
          <t>FE</t>
        </is>
      </c>
      <c r="AF12" s="139" t="inlineStr">
        <is>
          <t>FE</t>
        </is>
      </c>
      <c r="AG12" s="115" t="inlineStr">
        <is>
          <t>M</t>
        </is>
      </c>
      <c r="AH12" s="115" t="inlineStr">
        <is>
          <t>M</t>
        </is>
      </c>
      <c r="AI12" s="115" t="inlineStr">
        <is>
          <t>M</t>
        </is>
      </c>
      <c r="AJ12" s="115" t="inlineStr">
        <is>
          <t>M</t>
        </is>
      </c>
      <c r="AK12" s="115" t="inlineStr">
        <is>
          <t>M</t>
        </is>
      </c>
      <c r="AL12" s="114" t="n"/>
      <c r="AM12" s="115" t="inlineStr">
        <is>
          <t>M</t>
        </is>
      </c>
      <c r="AN12" s="136">
        <f>IFERROR(INDEX(SET!I$8:I$73,MATCH($A12,SET!$A$8:$A$73,0))&amp;"","")</f>
        <v/>
      </c>
      <c r="AO12" s="136">
        <f>IFERROR(INDEX(SET!J$8:J$73,MATCH($A12,SET!$A$8:$A$73,0))&amp;"","")</f>
        <v/>
      </c>
      <c r="AP12" s="136">
        <f>IFERROR(INDEX(SET!K$8:K$73,MATCH($A12,SET!$A$8:$A$73,0))&amp;"","")</f>
        <v/>
      </c>
      <c r="AQ12" s="136">
        <f>IFERROR(INDEX(SET!L$8:L$73,MATCH($A12,SET!$A$8:$A$73,0))&amp;"","")</f>
        <v/>
      </c>
      <c r="AR12" s="116">
        <f>IFERROR(INDEX(SET!M$8:M$73,MATCH($A12,SET!$A$8:$A$73,0))&amp;"","")</f>
        <v/>
      </c>
      <c r="AS12" s="116">
        <f>IFERROR(INDEX(SET!N$8:N$73,MATCH($A12,SET!$A$8:$A$73,0))&amp;"","")</f>
        <v/>
      </c>
      <c r="AT12" s="117">
        <f>SUMPRODUCT(($D12:$J12="M")*6+($D12:$J12="T")*6+($D12:$J12="D")*12+($D12:$J12="N")*12+($D12:$J12="NT")*6+($D12:$J12="C")*10+($D12:$J12="A")*8+($D12:$J12="J")*5+($D12:$J12="CEP")*4+($D12:$J12="CP")*6+($D12:$J12="CRO")*6+($D12:$J12="M+")*6+($D12:$J12="T+")*6+($D12:$J12="D+")*12+($D12:$J12="N+")*12+($D12:$J12="Dm+")*12+($D12:$J12="Dt+")*12+($D12:$J12="Tm-")*6+($D12:$J12="Mt-")*6)</f>
        <v/>
      </c>
      <c r="AU12" s="118">
        <f>AT12-MAX(0,IFERROR(INDEX(CADASTRO!$I$4:$I$80,MATCH($A12,CADASTRO!$A$4:$A$80,0)),$B12)-CONFIG!$B$50*(COUNTIF($D12:$J12,"AB")+COUNTIF($D12:$J12,"FE")+COUNTIF($D12:$J12,"LM")))</f>
        <v/>
      </c>
      <c r="AV12" s="117">
        <f>SUMPRODUCT(($K12:$Q12="M")*6+($K12:$Q12="T")*6+($K12:$Q12="D")*12+($K12:$Q12="N")*12+($K12:$Q12="NT")*6+($K12:$Q12="C")*10+($K12:$Q12="A")*8+($K12:$Q12="J")*5+($K12:$Q12="CEP")*4+($K12:$Q12="CP")*6+($K12:$Q12="CRO")*6+($K12:$Q12="M+")*6+($K12:$Q12="T+")*6+($K12:$Q12="D+")*12+($K12:$Q12="N+")*12+($K12:$Q12="Dm+")*12+($K12:$Q12="Dt+")*12+($K12:$Q12="Tm-")*6+($K12:$Q12="Mt-")*6)</f>
        <v/>
      </c>
      <c r="AW12" s="118">
        <f>AV12-MAX(0,IFERROR(INDEX(CADASTRO!$I$4:$I$80,MATCH($A12,CADASTRO!$A$4:$A$80,0)),$B12)-CONFIG!$B$50*(COUNTIF($K12:$Q12,"AB")+COUNTIF($K12:$Q12,"FE")+COUNTIF($K12:$Q12,"LM")))</f>
        <v/>
      </c>
      <c r="AX12" s="117">
        <f>SUMPRODUCT(($R12:$X12="M")*6+($R12:$X12="T")*6+($R12:$X12="D")*12+($R12:$X12="N")*12+($R12:$X12="NT")*6+($R12:$X12="C")*10+($R12:$X12="A")*8+($R12:$X12="J")*5+($R12:$X12="CEP")*4+($R12:$X12="CP")*6+($R12:$X12="CRO")*6+($R12:$X12="M+")*6+($R12:$X12="T+")*6+($R12:$X12="D+")*12+($R12:$X12="N+")*12+($R12:$X12="Dm+")*12+($R12:$X12="Dt+")*12+($R12:$X12="Tm-")*6+($R12:$X12="Mt-")*6)</f>
        <v/>
      </c>
      <c r="AY12" s="118">
        <f>AX12-MAX(0,IFERROR(INDEX(CADASTRO!$I$4:$I$80,MATCH($A12,CADASTRO!$A$4:$A$80,0)),$B12)-CONFIG!$B$50*(COUNTIF($R12:$X12,"AB")+COUNTIF($R12:$X12,"FE")+COUNTIF($R12:$X12,"LM")))</f>
        <v/>
      </c>
      <c r="AZ12" s="117">
        <f>SUMPRODUCT(($Y12:$AE12="M")*6+($Y12:$AE12="T")*6+($Y12:$AE12="D")*12+($Y12:$AE12="N")*12+($Y12:$AE12="NT")*6+($Y12:$AE12="C")*10+($Y12:$AE12="A")*8+($Y12:$AE12="J")*5+($Y12:$AE12="CEP")*4+($Y12:$AE12="CP")*6+($Y12:$AE12="CRO")*6+($Y12:$AE12="M+")*6+($Y12:$AE12="T+")*6+($Y12:$AE12="D+")*12+($Y12:$AE12="N+")*12+($Y12:$AE12="Dm+")*12+($Y12:$AE12="Dt+")*12+($Y12:$AE12="Tm-")*6+($Y12:$AE12="Mt-")*6)</f>
        <v/>
      </c>
      <c r="BA12" s="118">
        <f>AZ12-MAX(0,IFERROR(INDEX(CADASTRO!$I$4:$I$80,MATCH($A12,CADASTRO!$A$4:$A$80,0)),$B12)-CONFIG!$B$50*(COUNTIF($Y12:$AE12,"AB")+COUNTIF($Y12:$AE12,"FE")+COUNTIF($Y12:$AE12,"LM")))</f>
        <v/>
      </c>
      <c r="BB12" s="117">
        <f>SUMPRODUCT(($AF12:$AL12="M")*6+($AF12:$AL12="T")*6+($AF12:$AL12="D")*12+($AF12:$AL12="N")*12+($AF12:$AL12="NT")*6+($AF12:$AL12="C")*10+($AF12:$AL12="A")*8+($AF12:$AL12="J")*5+($AF12:$AL12="CEP")*4+($AF12:$AL12="CP")*6+($AF12:$AL12="CRO")*6+($AF12:$AL12="M+")*6+($AF12:$AL12="T+")*6+($AF12:$AL12="D+")*12+($AF12:$AL12="N+")*12+($AF12:$AL12="Dm+")*12+($AF12:$AL12="Dt+")*12+($AF12:$AL12="Tm-")*6+($AF12:$AL12="Mt-")*6)</f>
        <v/>
      </c>
      <c r="BC12" s="118">
        <f>BB12-MAX(0,IFERROR(INDEX(CADASTRO!$I$4:$I$80,MATCH($A12,CADASTRO!$A$4:$A$80,0)),$B12)-CONFIG!$B$50*(COUNTIF($AF12:$AL12,"AB")+COUNTIF($AF12:$AL12,"FE")+COUNTIF($AF12:$AL12,"LM")))</f>
        <v/>
      </c>
      <c r="BD12" s="117">
        <f>SUMPRODUCT(($AM12:$AM12="M")*6+($AM12:$AM12="T")*6+($AM12:$AM12="D")*12+($AM12:$AM12="N")*12+($AM12:$AM12="NT")*6+($AM12:$AM12="C")*10+($AM12:$AM12="A")*8+($AM12:$AM12="J")*5+($AM12:$AM12="CEP")*4+($AM12:$AM12="CP")*6+($AM12:$AM12="CRO")*6+($AM12:$AM12="M+")*6+($AM12:$AM12="T+")*6+($AM12:$AM12="D+")*12+($AM12:$AM12="N+")*12+($AM12:$AM12="Dm+")*12+($AM12:$AM12="Dt+")*12+($AM12:$AM12="Tm-")*6+($AM12:$AM12="Mt-")*6)+SUMPRODUCT(($AN12:$AS12="M")*6+($AN12:$AS12="T")*6+($AN12:$AS12="D")*12+($AN12:$AS12="N")*12+($AN12:$AS12="NT")*6+($AN12:$AS12="C")*10+($AN12:$AS12="A")*8+($AN12:$AS12="J")*5+($AN12:$AS12="CEP")*4+($AN12:$AS12="CP")*6+($AN12:$AS12="CRO")*6+($AN12:$AS12="M+")*6+($AN12:$AS12="T+")*6+($AN12:$AS12="D+")*12+($AN12:$AS12="N+")*12+($AN12:$AS12="Dm+")*12+($AN12:$AS12="Dt+")*12+($AN12:$AS12="Tm-")*6+($AN12:$AS12="Mt-")*6)</f>
        <v/>
      </c>
      <c r="BE12" s="118">
        <f>BD12-MAX(0,IFERROR(INDEX(CADASTRO!$I$4:$I$80,MATCH($A12,CADASTRO!$A$4:$A$80,0)),$B12)-CONFIG!$B$50*(COUNTIF($AM12:$AM12,"AB")+COUNTIF($AM12:$AM12,"FE")+COUNTIF($AM12:$AM12,"LM")+COUNTIF($AN12:$AS12,"AB")+COUNTIF($AN12:$AS12,"FE")+COUNTIF($AN12:$AS12,"LM")))</f>
        <v/>
      </c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36">
        <f>IFERROR(INDEX(JUL!AI$8:AI$73,MATCH($A13,JUL!$A$8:$A$73,0))&amp;"","")</f>
        <v/>
      </c>
      <c r="E13" s="136">
        <f>IFERROR(INDEX(JUL!AJ$8:AJ$73,MATCH($A13,JUL!$A$8:$A$73,0))&amp;"","")</f>
        <v/>
      </c>
      <c r="F13" s="136">
        <f>IFERROR(INDEX(JUL!AK$8:AK$73,MATCH($A13,JUL!$A$8:$A$73,0))&amp;"","")</f>
        <v/>
      </c>
      <c r="G13" s="136">
        <f>IFERROR(INDEX(JUL!AL$8:AL$73,MATCH($A13,JUL!$A$8:$A$73,0))&amp;"","")</f>
        <v/>
      </c>
      <c r="H13" s="136">
        <f>IFERROR(INDEX(JUL!AM$8:AM$73,MATCH($A13,JUL!$A$8:$A$73,0))&amp;"","")</f>
        <v/>
      </c>
      <c r="I13" s="139" t="inlineStr">
        <is>
          <t>FE</t>
        </is>
      </c>
      <c r="J13" s="139" t="inlineStr">
        <is>
          <t>FE</t>
        </is>
      </c>
      <c r="K13" s="114" t="n"/>
      <c r="L13" s="115" t="inlineStr">
        <is>
          <t>M</t>
        </is>
      </c>
      <c r="M13" s="115" t="inlineStr">
        <is>
          <t>M</t>
        </is>
      </c>
      <c r="N13" s="115" t="inlineStr">
        <is>
          <t>M</t>
        </is>
      </c>
      <c r="O13" s="115" t="inlineStr">
        <is>
          <t>M</t>
        </is>
      </c>
      <c r="P13" s="125" t="inlineStr">
        <is>
          <t>N</t>
        </is>
      </c>
      <c r="Q13" s="114" t="n"/>
      <c r="R13" s="115" t="inlineStr">
        <is>
          <t>M</t>
        </is>
      </c>
      <c r="S13" s="115" t="inlineStr">
        <is>
          <t>M</t>
        </is>
      </c>
      <c r="T13" s="115" t="inlineStr">
        <is>
          <t>M</t>
        </is>
      </c>
      <c r="U13" s="115" t="inlineStr">
        <is>
          <t>M</t>
        </is>
      </c>
      <c r="V13" s="115" t="inlineStr">
        <is>
          <t>M</t>
        </is>
      </c>
      <c r="W13" s="114" t="n"/>
      <c r="X13" s="114" t="n"/>
      <c r="Y13" s="115" t="inlineStr">
        <is>
          <t>M</t>
        </is>
      </c>
      <c r="Z13" s="115" t="inlineStr">
        <is>
          <t>M</t>
        </is>
      </c>
      <c r="AA13" s="115" t="inlineStr">
        <is>
          <t>M</t>
        </is>
      </c>
      <c r="AB13" s="115" t="inlineStr">
        <is>
          <t>M</t>
        </is>
      </c>
      <c r="AC13" s="115" t="inlineStr">
        <is>
          <t>M</t>
        </is>
      </c>
      <c r="AD13" s="125" t="inlineStr">
        <is>
          <t>N</t>
        </is>
      </c>
      <c r="AE13" s="114" t="n"/>
      <c r="AF13" s="115" t="inlineStr">
        <is>
          <t>M</t>
        </is>
      </c>
      <c r="AG13" s="115" t="inlineStr">
        <is>
          <t>M</t>
        </is>
      </c>
      <c r="AH13" s="115" t="inlineStr">
        <is>
          <t>M</t>
        </is>
      </c>
      <c r="AI13" s="115" t="inlineStr">
        <is>
          <t>M</t>
        </is>
      </c>
      <c r="AJ13" s="115" t="inlineStr">
        <is>
          <t>M</t>
        </is>
      </c>
      <c r="AK13" s="114" t="n"/>
      <c r="AL13" s="114" t="n"/>
      <c r="AM13" s="115" t="inlineStr">
        <is>
          <t>M</t>
        </is>
      </c>
      <c r="AN13" s="136">
        <f>IFERROR(INDEX(SET!I$8:I$73,MATCH($A13,SET!$A$8:$A$73,0))&amp;"","")</f>
        <v/>
      </c>
      <c r="AO13" s="136">
        <f>IFERROR(INDEX(SET!J$8:J$73,MATCH($A13,SET!$A$8:$A$73,0))&amp;"","")</f>
        <v/>
      </c>
      <c r="AP13" s="136">
        <f>IFERROR(INDEX(SET!K$8:K$73,MATCH($A13,SET!$A$8:$A$73,0))&amp;"","")</f>
        <v/>
      </c>
      <c r="AQ13" s="136">
        <f>IFERROR(INDEX(SET!L$8:L$73,MATCH($A13,SET!$A$8:$A$73,0))&amp;"","")</f>
        <v/>
      </c>
      <c r="AR13" s="116">
        <f>IFERROR(INDEX(SET!M$8:M$73,MATCH($A13,SET!$A$8:$A$73,0))&amp;"","")</f>
        <v/>
      </c>
      <c r="AS13" s="116">
        <f>IFERROR(INDEX(SET!N$8:N$73,MATCH($A13,SET!$A$8:$A$73,0))&amp;"","")</f>
        <v/>
      </c>
      <c r="AT13" s="117">
        <f>SUMPRODUCT(($D13:$J13="M")*6+($D13:$J13="T")*6+($D13:$J13="D")*12+($D13:$J13="N")*12+($D13:$J13="NT")*6+($D13:$J13="C")*10+($D13:$J13="A")*8+($D13:$J13="J")*5+($D13:$J13="CEP")*4+($D13:$J13="CP")*6+($D13:$J13="CRO")*6+($D13:$J13="M+")*6+($D13:$J13="T+")*6+($D13:$J13="D+")*12+($D13:$J13="N+")*12+($D13:$J13="Dm+")*12+($D13:$J13="Dt+")*12+($D13:$J13="Tm-")*6+($D13:$J13="Mt-")*6)</f>
        <v/>
      </c>
      <c r="AU13" s="118">
        <f>AT13-MAX(0,IFERROR(INDEX(CADASTRO!$I$4:$I$80,MATCH($A13,CADASTRO!$A$4:$A$80,0)),$B13)-CONFIG!$B$50*(COUNTIF($D13:$J13,"AB")+COUNTIF($D13:$J13,"FE")+COUNTIF($D13:$J13,"LM")))</f>
        <v/>
      </c>
      <c r="AV13" s="117">
        <f>SUMPRODUCT(($K13:$Q13="M")*6+($K13:$Q13="T")*6+($K13:$Q13="D")*12+($K13:$Q13="N")*12+($K13:$Q13="NT")*6+($K13:$Q13="C")*10+($K13:$Q13="A")*8+($K13:$Q13="J")*5+($K13:$Q13="CEP")*4+($K13:$Q13="CP")*6+($K13:$Q13="CRO")*6+($K13:$Q13="M+")*6+($K13:$Q13="T+")*6+($K13:$Q13="D+")*12+($K13:$Q13="N+")*12+($K13:$Q13="Dm+")*12+($K13:$Q13="Dt+")*12+($K13:$Q13="Tm-")*6+($K13:$Q13="Mt-")*6)</f>
        <v/>
      </c>
      <c r="AW13" s="118">
        <f>AV13-MAX(0,IFERROR(INDEX(CADASTRO!$I$4:$I$80,MATCH($A13,CADASTRO!$A$4:$A$80,0)),$B13)-CONFIG!$B$50*(COUNTIF($K13:$Q13,"AB")+COUNTIF($K13:$Q13,"FE")+COUNTIF($K13:$Q13,"LM")))</f>
        <v/>
      </c>
      <c r="AX13" s="117">
        <f>SUMPRODUCT(($R13:$X13="M")*6+($R13:$X13="T")*6+($R13:$X13="D")*12+($R13:$X13="N")*12+($R13:$X13="NT")*6+($R13:$X13="C")*10+($R13:$X13="A")*8+($R13:$X13="J")*5+($R13:$X13="CEP")*4+($R13:$X13="CP")*6+($R13:$X13="CRO")*6+($R13:$X13="M+")*6+($R13:$X13="T+")*6+($R13:$X13="D+")*12+($R13:$X13="N+")*12+($R13:$X13="Dm+")*12+($R13:$X13="Dt+")*12+($R13:$X13="Tm-")*6+($R13:$X13="Mt-")*6)</f>
        <v/>
      </c>
      <c r="AY13" s="118">
        <f>AX13-MAX(0,IFERROR(INDEX(CADASTRO!$I$4:$I$80,MATCH($A13,CADASTRO!$A$4:$A$80,0)),$B13)-CONFIG!$B$50*(COUNTIF($R13:$X13,"AB")+COUNTIF($R13:$X13,"FE")+COUNTIF($R13:$X13,"LM")))</f>
        <v/>
      </c>
      <c r="AZ13" s="117">
        <f>SUMPRODUCT(($Y13:$AE13="M")*6+($Y13:$AE13="T")*6+($Y13:$AE13="D")*12+($Y13:$AE13="N")*12+($Y13:$AE13="NT")*6+($Y13:$AE13="C")*10+($Y13:$AE13="A")*8+($Y13:$AE13="J")*5+($Y13:$AE13="CEP")*4+($Y13:$AE13="CP")*6+($Y13:$AE13="CRO")*6+($Y13:$AE13="M+")*6+($Y13:$AE13="T+")*6+($Y13:$AE13="D+")*12+($Y13:$AE13="N+")*12+($Y13:$AE13="Dm+")*12+($Y13:$AE13="Dt+")*12+($Y13:$AE13="Tm-")*6+($Y13:$AE13="Mt-")*6)</f>
        <v/>
      </c>
      <c r="BA13" s="118">
        <f>AZ13-MAX(0,IFERROR(INDEX(CADASTRO!$I$4:$I$80,MATCH($A13,CADASTRO!$A$4:$A$80,0)),$B13)-CONFIG!$B$50*(COUNTIF($Y13:$AE13,"AB")+COUNTIF($Y13:$AE13,"FE")+COUNTIF($Y13:$AE13,"LM")))</f>
        <v/>
      </c>
      <c r="BB13" s="117">
        <f>SUMPRODUCT(($AF13:$AL13="M")*6+($AF13:$AL13="T")*6+($AF13:$AL13="D")*12+($AF13:$AL13="N")*12+($AF13:$AL13="NT")*6+($AF13:$AL13="C")*10+($AF13:$AL13="A")*8+($AF13:$AL13="J")*5+($AF13:$AL13="CEP")*4+($AF13:$AL13="CP")*6+($AF13:$AL13="CRO")*6+($AF13:$AL13="M+")*6+($AF13:$AL13="T+")*6+($AF13:$AL13="D+")*12+($AF13:$AL13="N+")*12+($AF13:$AL13="Dm+")*12+($AF13:$AL13="Dt+")*12+($AF13:$AL13="Tm-")*6+($AF13:$AL13="Mt-")*6)</f>
        <v/>
      </c>
      <c r="BC13" s="118">
        <f>BB13-MAX(0,IFERROR(INDEX(CADASTRO!$I$4:$I$80,MATCH($A13,CADASTRO!$A$4:$A$80,0)),$B13)-CONFIG!$B$50*(COUNTIF($AF13:$AL13,"AB")+COUNTIF($AF13:$AL13,"FE")+COUNTIF($AF13:$AL13,"LM")))</f>
        <v/>
      </c>
      <c r="BD13" s="117">
        <f>SUMPRODUCT(($AM13:$AM13="M")*6+($AM13:$AM13="T")*6+($AM13:$AM13="D")*12+($AM13:$AM13="N")*12+($AM13:$AM13="NT")*6+($AM13:$AM13="C")*10+($AM13:$AM13="A")*8+($AM13:$AM13="J")*5+($AM13:$AM13="CEP")*4+($AM13:$AM13="CP")*6+($AM13:$AM13="CRO")*6+($AM13:$AM13="M+")*6+($AM13:$AM13="T+")*6+($AM13:$AM13="D+")*12+($AM13:$AM13="N+")*12+($AM13:$AM13="Dm+")*12+($AM13:$AM13="Dt+")*12+($AM13:$AM13="Tm-")*6+($AM13:$AM13="Mt-")*6)+SUMPRODUCT(($AN13:$AS13="M")*6+($AN13:$AS13="T")*6+($AN13:$AS13="D")*12+($AN13:$AS13="N")*12+($AN13:$AS13="NT")*6+($AN13:$AS13="C")*10+($AN13:$AS13="A")*8+($AN13:$AS13="J")*5+($AN13:$AS13="CEP")*4+($AN13:$AS13="CP")*6+($AN13:$AS13="CRO")*6+($AN13:$AS13="M+")*6+($AN13:$AS13="T+")*6+($AN13:$AS13="D+")*12+($AN13:$AS13="N+")*12+($AN13:$AS13="Dm+")*12+($AN13:$AS13="Dt+")*12+($AN13:$AS13="Tm-")*6+($AN13:$AS13="Mt-")*6)</f>
        <v/>
      </c>
      <c r="BE13" s="118">
        <f>BD13-MAX(0,IFERROR(INDEX(CADASTRO!$I$4:$I$80,MATCH($A13,CADASTRO!$A$4:$A$80,0)),$B13)-CONFIG!$B$50*(COUNTIF($AM13:$AM13,"AB")+COUNTIF($AM13:$AM13,"FE")+COUNTIF($AM13:$AM13,"LM")+COUNTIF($AN13:$AS13,"AB")+COUNTIF($AN13:$AS13,"FE")+COUNTIF($AN13:$AS13,"LM")))</f>
        <v/>
      </c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36">
        <f>IFERROR(INDEX(JUL!AI$8:AI$73,MATCH($A14,JUL!$A$8:$A$73,0))&amp;"","")</f>
        <v/>
      </c>
      <c r="E14" s="136">
        <f>IFERROR(INDEX(JUL!AJ$8:AJ$73,MATCH($A14,JUL!$A$8:$A$73,0))&amp;"","")</f>
        <v/>
      </c>
      <c r="F14" s="136">
        <f>IFERROR(INDEX(JUL!AK$8:AK$73,MATCH($A14,JUL!$A$8:$A$73,0))&amp;"","")</f>
        <v/>
      </c>
      <c r="G14" s="136">
        <f>IFERROR(INDEX(JUL!AL$8:AL$73,MATCH($A14,JUL!$A$8:$A$73,0))&amp;"","")</f>
        <v/>
      </c>
      <c r="H14" s="136">
        <f>IFERROR(INDEX(JUL!AM$8:AM$73,MATCH($A14,JUL!$A$8:$A$73,0))&amp;"","")</f>
        <v/>
      </c>
      <c r="I14" s="115" t="inlineStr">
        <is>
          <t>M</t>
        </is>
      </c>
      <c r="J14" s="115" t="inlineStr">
        <is>
          <t>M</t>
        </is>
      </c>
      <c r="K14" s="115" t="inlineStr">
        <is>
          <t>M</t>
        </is>
      </c>
      <c r="L14" s="115" t="inlineStr">
        <is>
          <t>M</t>
        </is>
      </c>
      <c r="M14" s="115" t="inlineStr">
        <is>
          <t>M</t>
        </is>
      </c>
      <c r="N14" s="115" t="inlineStr">
        <is>
          <t>M</t>
        </is>
      </c>
      <c r="O14" s="115" t="inlineStr">
        <is>
          <t>M</t>
        </is>
      </c>
      <c r="P14" s="124" t="inlineStr">
        <is>
          <t>D</t>
        </is>
      </c>
      <c r="Q14" s="114" t="n"/>
      <c r="R14" s="115" t="inlineStr">
        <is>
          <t>M</t>
        </is>
      </c>
      <c r="S14" s="115" t="inlineStr">
        <is>
          <t>M</t>
        </is>
      </c>
      <c r="T14" s="115" t="inlineStr">
        <is>
          <t>M</t>
        </is>
      </c>
      <c r="U14" s="115" t="inlineStr">
        <is>
          <t>M</t>
        </is>
      </c>
      <c r="V14" s="115" t="inlineStr">
        <is>
          <t>M</t>
        </is>
      </c>
      <c r="W14" s="114" t="n"/>
      <c r="X14" s="114" t="n"/>
      <c r="Y14" s="115" t="inlineStr">
        <is>
          <t>M</t>
        </is>
      </c>
      <c r="Z14" s="114" t="n"/>
      <c r="AA14" s="115" t="inlineStr">
        <is>
          <t>M</t>
        </is>
      </c>
      <c r="AB14" s="115" t="inlineStr">
        <is>
          <t>M</t>
        </is>
      </c>
      <c r="AC14" s="126" t="inlineStr">
        <is>
          <t>T</t>
        </is>
      </c>
      <c r="AD14" s="124" t="inlineStr">
        <is>
          <t>D</t>
        </is>
      </c>
      <c r="AE14" s="114" t="n"/>
      <c r="AF14" s="115" t="inlineStr">
        <is>
          <t>M</t>
        </is>
      </c>
      <c r="AG14" s="115" t="inlineStr">
        <is>
          <t>M</t>
        </is>
      </c>
      <c r="AH14" s="115" t="inlineStr">
        <is>
          <t>M</t>
        </is>
      </c>
      <c r="AI14" s="115" t="inlineStr">
        <is>
          <t>M</t>
        </is>
      </c>
      <c r="AJ14" s="114" t="n"/>
      <c r="AK14" s="124" t="inlineStr">
        <is>
          <t>D</t>
        </is>
      </c>
      <c r="AL14" s="114" t="n"/>
      <c r="AM14" s="114" t="n"/>
      <c r="AN14" s="136">
        <f>IFERROR(INDEX(SET!I$8:I$73,MATCH($A14,SET!$A$8:$A$73,0))&amp;"","")</f>
        <v/>
      </c>
      <c r="AO14" s="136">
        <f>IFERROR(INDEX(SET!J$8:J$73,MATCH($A14,SET!$A$8:$A$73,0))&amp;"","")</f>
        <v/>
      </c>
      <c r="AP14" s="136">
        <f>IFERROR(INDEX(SET!K$8:K$73,MATCH($A14,SET!$A$8:$A$73,0))&amp;"","")</f>
        <v/>
      </c>
      <c r="AQ14" s="136">
        <f>IFERROR(INDEX(SET!L$8:L$73,MATCH($A14,SET!$A$8:$A$73,0))&amp;"","")</f>
        <v/>
      </c>
      <c r="AR14" s="116">
        <f>IFERROR(INDEX(SET!M$8:M$73,MATCH($A14,SET!$A$8:$A$73,0))&amp;"","")</f>
        <v/>
      </c>
      <c r="AS14" s="116">
        <f>IFERROR(INDEX(SET!N$8:N$73,MATCH($A14,SET!$A$8:$A$73,0))&amp;"","")</f>
        <v/>
      </c>
      <c r="AT14" s="117">
        <f>SUMPRODUCT(($D14:$J14="M")*6+($D14:$J14="T")*6+($D14:$J14="D")*12+($D14:$J14="N")*12+($D14:$J14="NT")*6+($D14:$J14="C")*10+($D14:$J14="A")*8+($D14:$J14="J")*5+($D14:$J14="CEP")*4+($D14:$J14="CP")*6+($D14:$J14="CRO")*6+($D14:$J14="M+")*6+($D14:$J14="T+")*6+($D14:$J14="D+")*12+($D14:$J14="N+")*12+($D14:$J14="Dm+")*12+($D14:$J14="Dt+")*12+($D14:$J14="Tm-")*6+($D14:$J14="Mt-")*6)</f>
        <v/>
      </c>
      <c r="AU14" s="118">
        <f>AT14-MAX(0,IFERROR(INDEX(CADASTRO!$I$4:$I$80,MATCH($A14,CADASTRO!$A$4:$A$80,0)),$B14)-CONFIG!$B$50*(COUNTIF($D14:$J14,"AB")+COUNTIF($D14:$J14,"FE")+COUNTIF($D14:$J14,"LM")))</f>
        <v/>
      </c>
      <c r="AV14" s="117">
        <f>SUMPRODUCT(($K14:$Q14="M")*6+($K14:$Q14="T")*6+($K14:$Q14="D")*12+($K14:$Q14="N")*12+($K14:$Q14="NT")*6+($K14:$Q14="C")*10+($K14:$Q14="A")*8+($K14:$Q14="J")*5+($K14:$Q14="CEP")*4+($K14:$Q14="CP")*6+($K14:$Q14="CRO")*6+($K14:$Q14="M+")*6+($K14:$Q14="T+")*6+($K14:$Q14="D+")*12+($K14:$Q14="N+")*12+($K14:$Q14="Dm+")*12+($K14:$Q14="Dt+")*12+($K14:$Q14="Tm-")*6+($K14:$Q14="Mt-")*6)</f>
        <v/>
      </c>
      <c r="AW14" s="118">
        <f>AV14-MAX(0,IFERROR(INDEX(CADASTRO!$I$4:$I$80,MATCH($A14,CADASTRO!$A$4:$A$80,0)),$B14)-CONFIG!$B$50*(COUNTIF($K14:$Q14,"AB")+COUNTIF($K14:$Q14,"FE")+COUNTIF($K14:$Q14,"LM")))</f>
        <v/>
      </c>
      <c r="AX14" s="117">
        <f>SUMPRODUCT(($R14:$X14="M")*6+($R14:$X14="T")*6+($R14:$X14="D")*12+($R14:$X14="N")*12+($R14:$X14="NT")*6+($R14:$X14="C")*10+($R14:$X14="A")*8+($R14:$X14="J")*5+($R14:$X14="CEP")*4+($R14:$X14="CP")*6+($R14:$X14="CRO")*6+($R14:$X14="M+")*6+($R14:$X14="T+")*6+($R14:$X14="D+")*12+($R14:$X14="N+")*12+($R14:$X14="Dm+")*12+($R14:$X14="Dt+")*12+($R14:$X14="Tm-")*6+($R14:$X14="Mt-")*6)</f>
        <v/>
      </c>
      <c r="AY14" s="118">
        <f>AX14-MAX(0,IFERROR(INDEX(CADASTRO!$I$4:$I$80,MATCH($A14,CADASTRO!$A$4:$A$80,0)),$B14)-CONFIG!$B$50*(COUNTIF($R14:$X14,"AB")+COUNTIF($R14:$X14,"FE")+COUNTIF($R14:$X14,"LM")))</f>
        <v/>
      </c>
      <c r="AZ14" s="117">
        <f>SUMPRODUCT(($Y14:$AE14="M")*6+($Y14:$AE14="T")*6+($Y14:$AE14="D")*12+($Y14:$AE14="N")*12+($Y14:$AE14="NT")*6+($Y14:$AE14="C")*10+($Y14:$AE14="A")*8+($Y14:$AE14="J")*5+($Y14:$AE14="CEP")*4+($Y14:$AE14="CP")*6+($Y14:$AE14="CRO")*6+($Y14:$AE14="M+")*6+($Y14:$AE14="T+")*6+($Y14:$AE14="D+")*12+($Y14:$AE14="N+")*12+($Y14:$AE14="Dm+")*12+($Y14:$AE14="Dt+")*12+($Y14:$AE14="Tm-")*6+($Y14:$AE14="Mt-")*6)</f>
        <v/>
      </c>
      <c r="BA14" s="118">
        <f>AZ14-MAX(0,IFERROR(INDEX(CADASTRO!$I$4:$I$80,MATCH($A14,CADASTRO!$A$4:$A$80,0)),$B14)-CONFIG!$B$50*(COUNTIF($Y14:$AE14,"AB")+COUNTIF($Y14:$AE14,"FE")+COUNTIF($Y14:$AE14,"LM")))</f>
        <v/>
      </c>
      <c r="BB14" s="117">
        <f>SUMPRODUCT(($AF14:$AL14="M")*6+($AF14:$AL14="T")*6+($AF14:$AL14="D")*12+($AF14:$AL14="N")*12+($AF14:$AL14="NT")*6+($AF14:$AL14="C")*10+($AF14:$AL14="A")*8+($AF14:$AL14="J")*5+($AF14:$AL14="CEP")*4+($AF14:$AL14="CP")*6+($AF14:$AL14="CRO")*6+($AF14:$AL14="M+")*6+($AF14:$AL14="T+")*6+($AF14:$AL14="D+")*12+($AF14:$AL14="N+")*12+($AF14:$AL14="Dm+")*12+($AF14:$AL14="Dt+")*12+($AF14:$AL14="Tm-")*6+($AF14:$AL14="Mt-")*6)</f>
        <v/>
      </c>
      <c r="BC14" s="118">
        <f>BB14-MAX(0,IFERROR(INDEX(CADASTRO!$I$4:$I$80,MATCH($A14,CADASTRO!$A$4:$A$80,0)),$B14)-CONFIG!$B$50*(COUNTIF($AF14:$AL14,"AB")+COUNTIF($AF14:$AL14,"FE")+COUNTIF($AF14:$AL14,"LM")))</f>
        <v/>
      </c>
      <c r="BD14" s="117">
        <f>SUMPRODUCT(($AM14:$AM14="M")*6+($AM14:$AM14="T")*6+($AM14:$AM14="D")*12+($AM14:$AM14="N")*12+($AM14:$AM14="NT")*6+($AM14:$AM14="C")*10+($AM14:$AM14="A")*8+($AM14:$AM14="J")*5+($AM14:$AM14="CEP")*4+($AM14:$AM14="CP")*6+($AM14:$AM14="CRO")*6+($AM14:$AM14="M+")*6+($AM14:$AM14="T+")*6+($AM14:$AM14="D+")*12+($AM14:$AM14="N+")*12+($AM14:$AM14="Dm+")*12+($AM14:$AM14="Dt+")*12+($AM14:$AM14="Tm-")*6+($AM14:$AM14="Mt-")*6)+SUMPRODUCT(($AN14:$AS14="M")*6+($AN14:$AS14="T")*6+($AN14:$AS14="D")*12+($AN14:$AS14="N")*12+($AN14:$AS14="NT")*6+($AN14:$AS14="C")*10+($AN14:$AS14="A")*8+($AN14:$AS14="J")*5+($AN14:$AS14="CEP")*4+($AN14:$AS14="CP")*6+($AN14:$AS14="CRO")*6+($AN14:$AS14="M+")*6+($AN14:$AS14="T+")*6+($AN14:$AS14="D+")*12+($AN14:$AS14="N+")*12+($AN14:$AS14="Dm+")*12+($AN14:$AS14="Dt+")*12+($AN14:$AS14="Tm-")*6+($AN14:$AS14="Mt-")*6)</f>
        <v/>
      </c>
      <c r="BE14" s="118">
        <f>BD14-MAX(0,IFERROR(INDEX(CADASTRO!$I$4:$I$80,MATCH($A14,CADASTRO!$A$4:$A$80,0)),$B14)-CONFIG!$B$50*(COUNTIF($AM14:$AM14,"AB")+COUNTIF($AM14:$AM14,"FE")+COUNTIF($AM14:$AM14,"LM")+COUNTIF($AN14:$AS14,"AB")+COUNTIF($AN14:$AS14,"FE")+COUNTIF($AN14:$AS14,"LM")))</f>
        <v/>
      </c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36">
        <f>IFERROR(INDEX(JUL!AI$8:AI$73,MATCH($A15,JUL!$A$8:$A$73,0))&amp;"","")</f>
        <v/>
      </c>
      <c r="E15" s="136">
        <f>IFERROR(INDEX(JUL!AJ$8:AJ$73,MATCH($A15,JUL!$A$8:$A$73,0))&amp;"","")</f>
        <v/>
      </c>
      <c r="F15" s="136">
        <f>IFERROR(INDEX(JUL!AK$8:AK$73,MATCH($A15,JUL!$A$8:$A$73,0))&amp;"","")</f>
        <v/>
      </c>
      <c r="G15" s="136">
        <f>IFERROR(INDEX(JUL!AL$8:AL$73,MATCH($A15,JUL!$A$8:$A$73,0))&amp;"","")</f>
        <v/>
      </c>
      <c r="H15" s="136">
        <f>IFERROR(INDEX(JUL!AM$8:AM$73,MATCH($A15,JUL!$A$8:$A$73,0))&amp;"","")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  <c r="AH15" s="114" t="n"/>
      <c r="AI15" s="114" t="n"/>
      <c r="AJ15" s="114" t="n"/>
      <c r="AK15" s="114" t="n"/>
      <c r="AL15" s="114" t="n"/>
      <c r="AM15" s="138" t="inlineStr">
        <is>
          <t>LM</t>
        </is>
      </c>
      <c r="AN15" s="136">
        <f>IFERROR(INDEX(SET!I$8:I$73,MATCH($A15,SET!$A$8:$A$73,0))&amp;"","")</f>
        <v/>
      </c>
      <c r="AO15" s="136">
        <f>IFERROR(INDEX(SET!J$8:J$73,MATCH($A15,SET!$A$8:$A$73,0))&amp;"","")</f>
        <v/>
      </c>
      <c r="AP15" s="136">
        <f>IFERROR(INDEX(SET!K$8:K$73,MATCH($A15,SET!$A$8:$A$73,0))&amp;"","")</f>
        <v/>
      </c>
      <c r="AQ15" s="136">
        <f>IFERROR(INDEX(SET!L$8:L$73,MATCH($A15,SET!$A$8:$A$73,0))&amp;"","")</f>
        <v/>
      </c>
      <c r="AR15" s="116">
        <f>IFERROR(INDEX(SET!M$8:M$73,MATCH($A15,SET!$A$8:$A$73,0))&amp;"","")</f>
        <v/>
      </c>
      <c r="AS15" s="116">
        <f>IFERROR(INDEX(SET!N$8:N$73,MATCH($A15,SET!$A$8:$A$73,0))&amp;"","")</f>
        <v/>
      </c>
      <c r="AT15" s="117">
        <f>SUMPRODUCT(($D15:$J15="M")*6+($D15:$J15="T")*6+($D15:$J15="D")*12+($D15:$J15="N")*12+($D15:$J15="NT")*6+($D15:$J15="C")*10+($D15:$J15="A")*8+($D15:$J15="J")*5+($D15:$J15="CEP")*4+($D15:$J15="CP")*6+($D15:$J15="CRO")*6+($D15:$J15="M+")*6+($D15:$J15="T+")*6+($D15:$J15="D+")*12+($D15:$J15="N+")*12+($D15:$J15="Dm+")*12+($D15:$J15="Dt+")*12+($D15:$J15="Tm-")*6+($D15:$J15="Mt-")*6)</f>
        <v/>
      </c>
      <c r="AU15" s="118">
        <f>AT15-MAX(0,IFERROR(INDEX(CADASTRO!$I$4:$I$80,MATCH($A15,CADASTRO!$A$4:$A$80,0)),$B15)-CONFIG!$B$50*(COUNTIF($D15:$J15,"AB")+COUNTIF($D15:$J15,"FE")+COUNTIF($D15:$J15,"LM")))</f>
        <v/>
      </c>
      <c r="AV15" s="117">
        <f>SUMPRODUCT(($K15:$Q15="M")*6+($K15:$Q15="T")*6+($K15:$Q15="D")*12+($K15:$Q15="N")*12+($K15:$Q15="NT")*6+($K15:$Q15="C")*10+($K15:$Q15="A")*8+($K15:$Q15="J")*5+($K15:$Q15="CEP")*4+($K15:$Q15="CP")*6+($K15:$Q15="CRO")*6+($K15:$Q15="M+")*6+($K15:$Q15="T+")*6+($K15:$Q15="D+")*12+($K15:$Q15="N+")*12+($K15:$Q15="Dm+")*12+($K15:$Q15="Dt+")*12+($K15:$Q15="Tm-")*6+($K15:$Q15="Mt-")*6)</f>
        <v/>
      </c>
      <c r="AW15" s="118">
        <f>AV15-MAX(0,IFERROR(INDEX(CADASTRO!$I$4:$I$80,MATCH($A15,CADASTRO!$A$4:$A$80,0)),$B15)-CONFIG!$B$50*(COUNTIF($K15:$Q15,"AB")+COUNTIF($K15:$Q15,"FE")+COUNTIF($K15:$Q15,"LM")))</f>
        <v/>
      </c>
      <c r="AX15" s="117">
        <f>SUMPRODUCT(($R15:$X15="M")*6+($R15:$X15="T")*6+($R15:$X15="D")*12+($R15:$X15="N")*12+($R15:$X15="NT")*6+($R15:$X15="C")*10+($R15:$X15="A")*8+($R15:$X15="J")*5+($R15:$X15="CEP")*4+($R15:$X15="CP")*6+($R15:$X15="CRO")*6+($R15:$X15="M+")*6+($R15:$X15="T+")*6+($R15:$X15="D+")*12+($R15:$X15="N+")*12+($R15:$X15="Dm+")*12+($R15:$X15="Dt+")*12+($R15:$X15="Tm-")*6+($R15:$X15="Mt-")*6)</f>
        <v/>
      </c>
      <c r="AY15" s="118">
        <f>AX15-MAX(0,IFERROR(INDEX(CADASTRO!$I$4:$I$80,MATCH($A15,CADASTRO!$A$4:$A$80,0)),$B15)-CONFIG!$B$50*(COUNTIF($R15:$X15,"AB")+COUNTIF($R15:$X15,"FE")+COUNTIF($R15:$X15,"LM")))</f>
        <v/>
      </c>
      <c r="AZ15" s="117">
        <f>SUMPRODUCT(($Y15:$AE15="M")*6+($Y15:$AE15="T")*6+($Y15:$AE15="D")*12+($Y15:$AE15="N")*12+($Y15:$AE15="NT")*6+($Y15:$AE15="C")*10+($Y15:$AE15="A")*8+($Y15:$AE15="J")*5+($Y15:$AE15="CEP")*4+($Y15:$AE15="CP")*6+($Y15:$AE15="CRO")*6+($Y15:$AE15="M+")*6+($Y15:$AE15="T+")*6+($Y15:$AE15="D+")*12+($Y15:$AE15="N+")*12+($Y15:$AE15="Dm+")*12+($Y15:$AE15="Dt+")*12+($Y15:$AE15="Tm-")*6+($Y15:$AE15="Mt-")*6)</f>
        <v/>
      </c>
      <c r="BA15" s="118">
        <f>AZ15-MAX(0,IFERROR(INDEX(CADASTRO!$I$4:$I$80,MATCH($A15,CADASTRO!$A$4:$A$80,0)),$B15)-CONFIG!$B$50*(COUNTIF($Y15:$AE15,"AB")+COUNTIF($Y15:$AE15,"FE")+COUNTIF($Y15:$AE15,"LM")))</f>
        <v/>
      </c>
      <c r="BB15" s="117">
        <f>SUMPRODUCT(($AF15:$AL15="M")*6+($AF15:$AL15="T")*6+($AF15:$AL15="D")*12+($AF15:$AL15="N")*12+($AF15:$AL15="NT")*6+($AF15:$AL15="C")*10+($AF15:$AL15="A")*8+($AF15:$AL15="J")*5+($AF15:$AL15="CEP")*4+($AF15:$AL15="CP")*6+($AF15:$AL15="CRO")*6+($AF15:$AL15="M+")*6+($AF15:$AL15="T+")*6+($AF15:$AL15="D+")*12+($AF15:$AL15="N+")*12+($AF15:$AL15="Dm+")*12+($AF15:$AL15="Dt+")*12+($AF15:$AL15="Tm-")*6+($AF15:$AL15="Mt-")*6)</f>
        <v/>
      </c>
      <c r="BC15" s="118">
        <f>BB15-MAX(0,IFERROR(INDEX(CADASTRO!$I$4:$I$80,MATCH($A15,CADASTRO!$A$4:$A$80,0)),$B15)-CONFIG!$B$50*(COUNTIF($AF15:$AL15,"AB")+COUNTIF($AF15:$AL15,"FE")+COUNTIF($AF15:$AL15,"LM")))</f>
        <v/>
      </c>
      <c r="BD15" s="117">
        <f>SUMPRODUCT(($AM15:$AM15="M")*6+($AM15:$AM15="T")*6+($AM15:$AM15="D")*12+($AM15:$AM15="N")*12+($AM15:$AM15="NT")*6+($AM15:$AM15="C")*10+($AM15:$AM15="A")*8+($AM15:$AM15="J")*5+($AM15:$AM15="CEP")*4+($AM15:$AM15="CP")*6+($AM15:$AM15="CRO")*6+($AM15:$AM15="M+")*6+($AM15:$AM15="T+")*6+($AM15:$AM15="D+")*12+($AM15:$AM15="N+")*12+($AM15:$AM15="Dm+")*12+($AM15:$AM15="Dt+")*12+($AM15:$AM15="Tm-")*6+($AM15:$AM15="Mt-")*6)+SUMPRODUCT(($AN15:$AS15="M")*6+($AN15:$AS15="T")*6+($AN15:$AS15="D")*12+($AN15:$AS15="N")*12+($AN15:$AS15="NT")*6+($AN15:$AS15="C")*10+($AN15:$AS15="A")*8+($AN15:$AS15="J")*5+($AN15:$AS15="CEP")*4+($AN15:$AS15="CP")*6+($AN15:$AS15="CRO")*6+($AN15:$AS15="M+")*6+($AN15:$AS15="T+")*6+($AN15:$AS15="D+")*12+($AN15:$AS15="N+")*12+($AN15:$AS15="Dm+")*12+($AN15:$AS15="Dt+")*12+($AN15:$AS15="Tm-")*6+($AN15:$AS15="Mt-")*6)</f>
        <v/>
      </c>
      <c r="BE15" s="118">
        <f>BD15-MAX(0,IFERROR(INDEX(CADASTRO!$I$4:$I$80,MATCH($A15,CADASTRO!$A$4:$A$80,0)),$B15)-CONFIG!$B$50*(COUNTIF($AM15:$AM15,"AB")+COUNTIF($AM15:$AM15,"FE")+COUNTIF($AM15:$AM15,"LM")+COUNTIF($AN15:$AS15,"AB")+COUNTIF($AN15:$AS15,"FE")+COUNTIF($AN15:$AS15,"LM")))</f>
        <v/>
      </c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36">
        <f>IFERROR(INDEX(JUL!AI$8:AI$73,MATCH($A16,JUL!$A$8:$A$73,0))&amp;"","")</f>
        <v/>
      </c>
      <c r="E16" s="136">
        <f>IFERROR(INDEX(JUL!AJ$8:AJ$73,MATCH($A16,JUL!$A$8:$A$73,0))&amp;"","")</f>
        <v/>
      </c>
      <c r="F16" s="136">
        <f>IFERROR(INDEX(JUL!AK$8:AK$73,MATCH($A16,JUL!$A$8:$A$73,0))&amp;"","")</f>
        <v/>
      </c>
      <c r="G16" s="136">
        <f>IFERROR(INDEX(JUL!AL$8:AL$73,MATCH($A16,JUL!$A$8:$A$73,0))&amp;"","")</f>
        <v/>
      </c>
      <c r="H16" s="136">
        <f>IFERROR(INDEX(JUL!AM$8:AM$73,MATCH($A16,JUL!$A$8:$A$73,0))&amp;"","")</f>
        <v/>
      </c>
      <c r="I16" s="114" t="n"/>
      <c r="J16" s="115" t="inlineStr">
        <is>
          <t>M</t>
        </is>
      </c>
      <c r="K16" s="140" t="inlineStr">
        <is>
          <t>J</t>
        </is>
      </c>
      <c r="L16" s="140" t="inlineStr">
        <is>
          <t>J</t>
        </is>
      </c>
      <c r="M16" s="140" t="inlineStr">
        <is>
          <t>J</t>
        </is>
      </c>
      <c r="N16" s="140" t="inlineStr">
        <is>
          <t>J</t>
        </is>
      </c>
      <c r="O16" s="140" t="inlineStr">
        <is>
          <t>J</t>
        </is>
      </c>
      <c r="P16" s="140" t="inlineStr">
        <is>
          <t>J</t>
        </is>
      </c>
      <c r="Q16" s="114" t="n"/>
      <c r="R16" s="140" t="inlineStr">
        <is>
          <t>J</t>
        </is>
      </c>
      <c r="S16" s="140" t="inlineStr">
        <is>
          <t>J</t>
        </is>
      </c>
      <c r="T16" s="140" t="inlineStr">
        <is>
          <t>J</t>
        </is>
      </c>
      <c r="U16" s="140" t="inlineStr">
        <is>
          <t>J</t>
        </is>
      </c>
      <c r="V16" s="140" t="inlineStr">
        <is>
          <t>J</t>
        </is>
      </c>
      <c r="W16" s="140" t="inlineStr">
        <is>
          <t>J</t>
        </is>
      </c>
      <c r="X16" s="114" t="n"/>
      <c r="Y16" s="140" t="inlineStr">
        <is>
          <t>J</t>
        </is>
      </c>
      <c r="Z16" s="140" t="inlineStr">
        <is>
          <t>J</t>
        </is>
      </c>
      <c r="AA16" s="140" t="inlineStr">
        <is>
          <t>J</t>
        </is>
      </c>
      <c r="AB16" s="140" t="inlineStr">
        <is>
          <t>J</t>
        </is>
      </c>
      <c r="AC16" s="140" t="inlineStr">
        <is>
          <t>J</t>
        </is>
      </c>
      <c r="AD16" s="140" t="inlineStr">
        <is>
          <t>J</t>
        </is>
      </c>
      <c r="AE16" s="114" t="n"/>
      <c r="AF16" s="140" t="inlineStr">
        <is>
          <t>J</t>
        </is>
      </c>
      <c r="AG16" s="140" t="inlineStr">
        <is>
          <t>J</t>
        </is>
      </c>
      <c r="AH16" s="140" t="inlineStr">
        <is>
          <t>J</t>
        </is>
      </c>
      <c r="AI16" s="140" t="inlineStr">
        <is>
          <t>J</t>
        </is>
      </c>
      <c r="AJ16" s="140" t="inlineStr">
        <is>
          <t>J</t>
        </is>
      </c>
      <c r="AK16" s="140" t="inlineStr">
        <is>
          <t>J</t>
        </is>
      </c>
      <c r="AL16" s="114" t="n"/>
      <c r="AM16" s="140" t="inlineStr">
        <is>
          <t>J</t>
        </is>
      </c>
      <c r="AN16" s="136">
        <f>IFERROR(INDEX(SET!I$8:I$73,MATCH($A16,SET!$A$8:$A$73,0))&amp;"","")</f>
        <v/>
      </c>
      <c r="AO16" s="136">
        <f>IFERROR(INDEX(SET!J$8:J$73,MATCH($A16,SET!$A$8:$A$73,0))&amp;"","")</f>
        <v/>
      </c>
      <c r="AP16" s="136">
        <f>IFERROR(INDEX(SET!K$8:K$73,MATCH($A16,SET!$A$8:$A$73,0))&amp;"","")</f>
        <v/>
      </c>
      <c r="AQ16" s="136">
        <f>IFERROR(INDEX(SET!L$8:L$73,MATCH($A16,SET!$A$8:$A$73,0))&amp;"","")</f>
        <v/>
      </c>
      <c r="AR16" s="116">
        <f>IFERROR(INDEX(SET!M$8:M$73,MATCH($A16,SET!$A$8:$A$73,0))&amp;"","")</f>
        <v/>
      </c>
      <c r="AS16" s="116">
        <f>IFERROR(INDEX(SET!N$8:N$73,MATCH($A16,SET!$A$8:$A$73,0))&amp;"","")</f>
        <v/>
      </c>
      <c r="AT16" s="117">
        <f>SUMPRODUCT(($D16:$J16="M")*6+($D16:$J16="T")*6+($D16:$J16="D")*12+($D16:$J16="N")*12+($D16:$J16="NT")*6+($D16:$J16="C")*10+($D16:$J16="A")*8+($D16:$J16="J")*5+($D16:$J16="CEP")*4+($D16:$J16="CP")*6+($D16:$J16="CRO")*6+($D16:$J16="M+")*6+($D16:$J16="T+")*6+($D16:$J16="D+")*12+($D16:$J16="N+")*12+($D16:$J16="Dm+")*12+($D16:$J16="Dt+")*12+($D16:$J16="Tm-")*6+($D16:$J16="Mt-")*6)</f>
        <v/>
      </c>
      <c r="AU16" s="118">
        <f>AT16-MAX(0,IFERROR(INDEX(CADASTRO!$I$4:$I$80,MATCH($A16,CADASTRO!$A$4:$A$80,0)),$B16)-CONFIG!$B$50*(COUNTIF($D16:$J16,"AB")+COUNTIF($D16:$J16,"FE")+COUNTIF($D16:$J16,"LM")))</f>
        <v/>
      </c>
      <c r="AV16" s="117">
        <f>SUMPRODUCT(($K16:$Q16="M")*6+($K16:$Q16="T")*6+($K16:$Q16="D")*12+($K16:$Q16="N")*12+($K16:$Q16="NT")*6+($K16:$Q16="C")*10+($K16:$Q16="A")*8+($K16:$Q16="J")*5+($K16:$Q16="CEP")*4+($K16:$Q16="CP")*6+($K16:$Q16="CRO")*6+($K16:$Q16="M+")*6+($K16:$Q16="T+")*6+($K16:$Q16="D+")*12+($K16:$Q16="N+")*12+($K16:$Q16="Dm+")*12+($K16:$Q16="Dt+")*12+($K16:$Q16="Tm-")*6+($K16:$Q16="Mt-")*6)</f>
        <v/>
      </c>
      <c r="AW16" s="118">
        <f>AV16-MAX(0,IFERROR(INDEX(CADASTRO!$I$4:$I$80,MATCH($A16,CADASTRO!$A$4:$A$80,0)),$B16)-CONFIG!$B$50*(COUNTIF($K16:$Q16,"AB")+COUNTIF($K16:$Q16,"FE")+COUNTIF($K16:$Q16,"LM")))</f>
        <v/>
      </c>
      <c r="AX16" s="117">
        <f>SUMPRODUCT(($R16:$X16="M")*6+($R16:$X16="T")*6+($R16:$X16="D")*12+($R16:$X16="N")*12+($R16:$X16="NT")*6+($R16:$X16="C")*10+($R16:$X16="A")*8+($R16:$X16="J")*5+($R16:$X16="CEP")*4+($R16:$X16="CP")*6+($R16:$X16="CRO")*6+($R16:$X16="M+")*6+($R16:$X16="T+")*6+($R16:$X16="D+")*12+($R16:$X16="N+")*12+($R16:$X16="Dm+")*12+($R16:$X16="Dt+")*12+($R16:$X16="Tm-")*6+($R16:$X16="Mt-")*6)</f>
        <v/>
      </c>
      <c r="AY16" s="118">
        <f>AX16-MAX(0,IFERROR(INDEX(CADASTRO!$I$4:$I$80,MATCH($A16,CADASTRO!$A$4:$A$80,0)),$B16)-CONFIG!$B$50*(COUNTIF($R16:$X16,"AB")+COUNTIF($R16:$X16,"FE")+COUNTIF($R16:$X16,"LM")))</f>
        <v/>
      </c>
      <c r="AZ16" s="117">
        <f>SUMPRODUCT(($Y16:$AE16="M")*6+($Y16:$AE16="T")*6+($Y16:$AE16="D")*12+($Y16:$AE16="N")*12+($Y16:$AE16="NT")*6+($Y16:$AE16="C")*10+($Y16:$AE16="A")*8+($Y16:$AE16="J")*5+($Y16:$AE16="CEP")*4+($Y16:$AE16="CP")*6+($Y16:$AE16="CRO")*6+($Y16:$AE16="M+")*6+($Y16:$AE16="T+")*6+($Y16:$AE16="D+")*12+($Y16:$AE16="N+")*12+($Y16:$AE16="Dm+")*12+($Y16:$AE16="Dt+")*12+($Y16:$AE16="Tm-")*6+($Y16:$AE16="Mt-")*6)</f>
        <v/>
      </c>
      <c r="BA16" s="118">
        <f>AZ16-MAX(0,IFERROR(INDEX(CADASTRO!$I$4:$I$80,MATCH($A16,CADASTRO!$A$4:$A$80,0)),$B16)-CONFIG!$B$50*(COUNTIF($Y16:$AE16,"AB")+COUNTIF($Y16:$AE16,"FE")+COUNTIF($Y16:$AE16,"LM")))</f>
        <v/>
      </c>
      <c r="BB16" s="117">
        <f>SUMPRODUCT(($AF16:$AL16="M")*6+($AF16:$AL16="T")*6+($AF16:$AL16="D")*12+($AF16:$AL16="N")*12+($AF16:$AL16="NT")*6+($AF16:$AL16="C")*10+($AF16:$AL16="A")*8+($AF16:$AL16="J")*5+($AF16:$AL16="CEP")*4+($AF16:$AL16="CP")*6+($AF16:$AL16="CRO")*6+($AF16:$AL16="M+")*6+($AF16:$AL16="T+")*6+($AF16:$AL16="D+")*12+($AF16:$AL16="N+")*12+($AF16:$AL16="Dm+")*12+($AF16:$AL16="Dt+")*12+($AF16:$AL16="Tm-")*6+($AF16:$AL16="Mt-")*6)</f>
        <v/>
      </c>
      <c r="BC16" s="118">
        <f>BB16-MAX(0,IFERROR(INDEX(CADASTRO!$I$4:$I$80,MATCH($A16,CADASTRO!$A$4:$A$80,0)),$B16)-CONFIG!$B$50*(COUNTIF($AF16:$AL16,"AB")+COUNTIF($AF16:$AL16,"FE")+COUNTIF($AF16:$AL16,"LM")))</f>
        <v/>
      </c>
      <c r="BD16" s="117">
        <f>SUMPRODUCT(($AM16:$AM16="M")*6+($AM16:$AM16="T")*6+($AM16:$AM16="D")*12+($AM16:$AM16="N")*12+($AM16:$AM16="NT")*6+($AM16:$AM16="C")*10+($AM16:$AM16="A")*8+($AM16:$AM16="J")*5+($AM16:$AM16="CEP")*4+($AM16:$AM16="CP")*6+($AM16:$AM16="CRO")*6+($AM16:$AM16="M+")*6+($AM16:$AM16="T+")*6+($AM16:$AM16="D+")*12+($AM16:$AM16="N+")*12+($AM16:$AM16="Dm+")*12+($AM16:$AM16="Dt+")*12+($AM16:$AM16="Tm-")*6+($AM16:$AM16="Mt-")*6)+SUMPRODUCT(($AN16:$AS16="M")*6+($AN16:$AS16="T")*6+($AN16:$AS16="D")*12+($AN16:$AS16="N")*12+($AN16:$AS16="NT")*6+($AN16:$AS16="C")*10+($AN16:$AS16="A")*8+($AN16:$AS16="J")*5+($AN16:$AS16="CEP")*4+($AN16:$AS16="CP")*6+($AN16:$AS16="CRO")*6+($AN16:$AS16="M+")*6+($AN16:$AS16="T+")*6+($AN16:$AS16="D+")*12+($AN16:$AS16="N+")*12+($AN16:$AS16="Dm+")*12+($AN16:$AS16="Dt+")*12+($AN16:$AS16="Tm-")*6+($AN16:$AS16="Mt-")*6)</f>
        <v/>
      </c>
      <c r="BE16" s="118">
        <f>BD16-MAX(0,IFERROR(INDEX(CADASTRO!$I$4:$I$80,MATCH($A16,CADASTRO!$A$4:$A$80,0)),$B16)-CONFIG!$B$50*(COUNTIF($AM16:$AM16,"AB")+COUNTIF($AM16:$AM16,"FE")+COUNTIF($AM16:$AM16,"LM")+COUNTIF($AN16:$AS16,"AB")+COUNTIF($AN16:$AS16,"FE")+COUNTIF($AN16:$AS16,"LM")))</f>
        <v/>
      </c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36">
        <f>IFERROR(INDEX(JUL!AI$8:AI$73,MATCH($A17,JUL!$A$8:$A$73,0))&amp;"","")</f>
        <v/>
      </c>
      <c r="E17" s="136">
        <f>IFERROR(INDEX(JUL!AJ$8:AJ$73,MATCH($A17,JUL!$A$8:$A$73,0))&amp;"","")</f>
        <v/>
      </c>
      <c r="F17" s="136">
        <f>IFERROR(INDEX(JUL!AK$8:AK$73,MATCH($A17,JUL!$A$8:$A$73,0))&amp;"","")</f>
        <v/>
      </c>
      <c r="G17" s="136">
        <f>IFERROR(INDEX(JUL!AL$8:AL$73,MATCH($A17,JUL!$A$8:$A$73,0))&amp;"","")</f>
        <v/>
      </c>
      <c r="H17" s="136">
        <f>IFERROR(INDEX(JUL!AM$8:AM$73,MATCH($A17,JUL!$A$8:$A$73,0))&amp;"","")</f>
        <v/>
      </c>
      <c r="I17" s="114" t="n"/>
      <c r="J17" s="114" t="n"/>
      <c r="K17" s="126" t="inlineStr">
        <is>
          <t>T</t>
        </is>
      </c>
      <c r="L17" s="129" t="inlineStr">
        <is>
          <t>CEP</t>
        </is>
      </c>
      <c r="M17" s="126" t="inlineStr">
        <is>
          <t>T</t>
        </is>
      </c>
      <c r="N17" s="125" t="inlineStr">
        <is>
          <t>N</t>
        </is>
      </c>
      <c r="O17" s="125" t="inlineStr">
        <is>
          <t>N</t>
        </is>
      </c>
      <c r="P17" s="114" t="n"/>
      <c r="Q17" s="114" t="n"/>
      <c r="R17" s="125" t="inlineStr">
        <is>
          <t>N</t>
        </is>
      </c>
      <c r="S17" s="129" t="inlineStr">
        <is>
          <t>CEP</t>
        </is>
      </c>
      <c r="T17" s="114" t="n"/>
      <c r="U17" s="114" t="n"/>
      <c r="V17" s="126" t="inlineStr">
        <is>
          <t>T</t>
        </is>
      </c>
      <c r="W17" s="126" t="inlineStr">
        <is>
          <t>T</t>
        </is>
      </c>
      <c r="X17" s="125" t="inlineStr">
        <is>
          <t>N</t>
        </is>
      </c>
      <c r="Y17" s="126" t="inlineStr">
        <is>
          <t>T</t>
        </is>
      </c>
      <c r="Z17" s="129" t="inlineStr">
        <is>
          <t>CEP</t>
        </is>
      </c>
      <c r="AA17" s="124" t="inlineStr">
        <is>
          <t>D</t>
        </is>
      </c>
      <c r="AB17" s="125" t="inlineStr">
        <is>
          <t>N</t>
        </is>
      </c>
      <c r="AC17" s="114" t="n"/>
      <c r="AD17" s="114" t="n"/>
      <c r="AE17" s="114" t="n"/>
      <c r="AF17" s="125" t="inlineStr">
        <is>
          <t>N</t>
        </is>
      </c>
      <c r="AG17" s="129" t="inlineStr">
        <is>
          <t>CEP</t>
        </is>
      </c>
      <c r="AH17" s="114" t="n"/>
      <c r="AI17" s="114" t="n"/>
      <c r="AJ17" s="126" t="inlineStr">
        <is>
          <t>T</t>
        </is>
      </c>
      <c r="AK17" s="126" t="inlineStr">
        <is>
          <t>T</t>
        </is>
      </c>
      <c r="AL17" s="125" t="inlineStr">
        <is>
          <t>N</t>
        </is>
      </c>
      <c r="AM17" s="114" t="n"/>
      <c r="AN17" s="136">
        <f>IFERROR(INDEX(SET!I$8:I$73,MATCH($A17,SET!$A$8:$A$73,0))&amp;"","")</f>
        <v/>
      </c>
      <c r="AO17" s="136">
        <f>IFERROR(INDEX(SET!J$8:J$73,MATCH($A17,SET!$A$8:$A$73,0))&amp;"","")</f>
        <v/>
      </c>
      <c r="AP17" s="136">
        <f>IFERROR(INDEX(SET!K$8:K$73,MATCH($A17,SET!$A$8:$A$73,0))&amp;"","")</f>
        <v/>
      </c>
      <c r="AQ17" s="136">
        <f>IFERROR(INDEX(SET!L$8:L$73,MATCH($A17,SET!$A$8:$A$73,0))&amp;"","")</f>
        <v/>
      </c>
      <c r="AR17" s="116">
        <f>IFERROR(INDEX(SET!M$8:M$73,MATCH($A17,SET!$A$8:$A$73,0))&amp;"","")</f>
        <v/>
      </c>
      <c r="AS17" s="116">
        <f>IFERROR(INDEX(SET!N$8:N$73,MATCH($A17,SET!$A$8:$A$73,0))&amp;"","")</f>
        <v/>
      </c>
      <c r="AT17" s="117">
        <f>SUMPRODUCT(($D17:$J17="M")*6+($D17:$J17="T")*6+($D17:$J17="D")*12+($D17:$J17="N")*12+($D17:$J17="NT")*6+($D17:$J17="C")*10+($D17:$J17="A")*8+($D17:$J17="J")*5+($D17:$J17="CEP")*4+($D17:$J17="CP")*6+($D17:$J17="CRO")*6+($D17:$J17="M+")*6+($D17:$J17="T+")*6+($D17:$J17="D+")*12+($D17:$J17="N+")*12+($D17:$J17="Dm+")*12+($D17:$J17="Dt+")*12+($D17:$J17="Tm-")*6+($D17:$J17="Mt-")*6)</f>
        <v/>
      </c>
      <c r="AU17" s="118">
        <f>AT17-MAX(0,IFERROR(INDEX(CADASTRO!$I$4:$I$80,MATCH($A17,CADASTRO!$A$4:$A$80,0)),$B17)-CONFIG!$B$50*(COUNTIF($D17:$J17,"AB")+COUNTIF($D17:$J17,"FE")+COUNTIF($D17:$J17,"LM")))</f>
        <v/>
      </c>
      <c r="AV17" s="117">
        <f>SUMPRODUCT(($K17:$Q17="M")*6+($K17:$Q17="T")*6+($K17:$Q17="D")*12+($K17:$Q17="N")*12+($K17:$Q17="NT")*6+($K17:$Q17="C")*10+($K17:$Q17="A")*8+($K17:$Q17="J")*5+($K17:$Q17="CEP")*4+($K17:$Q17="CP")*6+($K17:$Q17="CRO")*6+($K17:$Q17="M+")*6+($K17:$Q17="T+")*6+($K17:$Q17="D+")*12+($K17:$Q17="N+")*12+($K17:$Q17="Dm+")*12+($K17:$Q17="Dt+")*12+($K17:$Q17="Tm-")*6+($K17:$Q17="Mt-")*6)</f>
        <v/>
      </c>
      <c r="AW17" s="118">
        <f>AV17-MAX(0,IFERROR(INDEX(CADASTRO!$I$4:$I$80,MATCH($A17,CADASTRO!$A$4:$A$80,0)),$B17)-CONFIG!$B$50*(COUNTIF($K17:$Q17,"AB")+COUNTIF($K17:$Q17,"FE")+COUNTIF($K17:$Q17,"LM")))</f>
        <v/>
      </c>
      <c r="AX17" s="117">
        <f>SUMPRODUCT(($R17:$X17="M")*6+($R17:$X17="T")*6+($R17:$X17="D")*12+($R17:$X17="N")*12+($R17:$X17="NT")*6+($R17:$X17="C")*10+($R17:$X17="A")*8+($R17:$X17="J")*5+($R17:$X17="CEP")*4+($R17:$X17="CP")*6+($R17:$X17="CRO")*6+($R17:$X17="M+")*6+($R17:$X17="T+")*6+($R17:$X17="D+")*12+($R17:$X17="N+")*12+($R17:$X17="Dm+")*12+($R17:$X17="Dt+")*12+($R17:$X17="Tm-")*6+($R17:$X17="Mt-")*6)</f>
        <v/>
      </c>
      <c r="AY17" s="118">
        <f>AX17-MAX(0,IFERROR(INDEX(CADASTRO!$I$4:$I$80,MATCH($A17,CADASTRO!$A$4:$A$80,0)),$B17)-CONFIG!$B$50*(COUNTIF($R17:$X17,"AB")+COUNTIF($R17:$X17,"FE")+COUNTIF($R17:$X17,"LM")))</f>
        <v/>
      </c>
      <c r="AZ17" s="117">
        <f>SUMPRODUCT(($Y17:$AE17="M")*6+($Y17:$AE17="T")*6+($Y17:$AE17="D")*12+($Y17:$AE17="N")*12+($Y17:$AE17="NT")*6+($Y17:$AE17="C")*10+($Y17:$AE17="A")*8+($Y17:$AE17="J")*5+($Y17:$AE17="CEP")*4+($Y17:$AE17="CP")*6+($Y17:$AE17="CRO")*6+($Y17:$AE17="M+")*6+($Y17:$AE17="T+")*6+($Y17:$AE17="D+")*12+($Y17:$AE17="N+")*12+($Y17:$AE17="Dm+")*12+($Y17:$AE17="Dt+")*12+($Y17:$AE17="Tm-")*6+($Y17:$AE17="Mt-")*6)</f>
        <v/>
      </c>
      <c r="BA17" s="118">
        <f>AZ17-MAX(0,IFERROR(INDEX(CADASTRO!$I$4:$I$80,MATCH($A17,CADASTRO!$A$4:$A$80,0)),$B17)-CONFIG!$B$50*(COUNTIF($Y17:$AE17,"AB")+COUNTIF($Y17:$AE17,"FE")+COUNTIF($Y17:$AE17,"LM")))</f>
        <v/>
      </c>
      <c r="BB17" s="117">
        <f>SUMPRODUCT(($AF17:$AL17="M")*6+($AF17:$AL17="T")*6+($AF17:$AL17="D")*12+($AF17:$AL17="N")*12+($AF17:$AL17="NT")*6+($AF17:$AL17="C")*10+($AF17:$AL17="A")*8+($AF17:$AL17="J")*5+($AF17:$AL17="CEP")*4+($AF17:$AL17="CP")*6+($AF17:$AL17="CRO")*6+($AF17:$AL17="M+")*6+($AF17:$AL17="T+")*6+($AF17:$AL17="D+")*12+($AF17:$AL17="N+")*12+($AF17:$AL17="Dm+")*12+($AF17:$AL17="Dt+")*12+($AF17:$AL17="Tm-")*6+($AF17:$AL17="Mt-")*6)</f>
        <v/>
      </c>
      <c r="BC17" s="118">
        <f>BB17-MAX(0,IFERROR(INDEX(CADASTRO!$I$4:$I$80,MATCH($A17,CADASTRO!$A$4:$A$80,0)),$B17)-CONFIG!$B$50*(COUNTIF($AF17:$AL17,"AB")+COUNTIF($AF17:$AL17,"FE")+COUNTIF($AF17:$AL17,"LM")))</f>
        <v/>
      </c>
      <c r="BD17" s="117">
        <f>SUMPRODUCT(($AM17:$AM17="M")*6+($AM17:$AM17="T")*6+($AM17:$AM17="D")*12+($AM17:$AM17="N")*12+($AM17:$AM17="NT")*6+($AM17:$AM17="C")*10+($AM17:$AM17="A")*8+($AM17:$AM17="J")*5+($AM17:$AM17="CEP")*4+($AM17:$AM17="CP")*6+($AM17:$AM17="CRO")*6+($AM17:$AM17="M+")*6+($AM17:$AM17="T+")*6+($AM17:$AM17="D+")*12+($AM17:$AM17="N+")*12+($AM17:$AM17="Dm+")*12+($AM17:$AM17="Dt+")*12+($AM17:$AM17="Tm-")*6+($AM17:$AM17="Mt-")*6)+SUMPRODUCT(($AN17:$AS17="M")*6+($AN17:$AS17="T")*6+($AN17:$AS17="D")*12+($AN17:$AS17="N")*12+($AN17:$AS17="NT")*6+($AN17:$AS17="C")*10+($AN17:$AS17="A")*8+($AN17:$AS17="J")*5+($AN17:$AS17="CEP")*4+($AN17:$AS17="CP")*6+($AN17:$AS17="CRO")*6+($AN17:$AS17="M+")*6+($AN17:$AS17="T+")*6+($AN17:$AS17="D+")*12+($AN17:$AS17="N+")*12+($AN17:$AS17="Dm+")*12+($AN17:$AS17="Dt+")*12+($AN17:$AS17="Tm-")*6+($AN17:$AS17="Mt-")*6)</f>
        <v/>
      </c>
      <c r="BE17" s="118">
        <f>BD17-MAX(0,IFERROR(INDEX(CADASTRO!$I$4:$I$80,MATCH($A17,CADASTRO!$A$4:$A$80,0)),$B17)-CONFIG!$B$50*(COUNTIF($AM17:$AM17,"AB")+COUNTIF($AM17:$AM17,"FE")+COUNTIF($AM17:$AM17,"LM")+COUNTIF($AN17:$AS17,"AB")+COUNTIF($AN17:$AS17,"FE")+COUNTIF($AN17:$AS17,"LM")))</f>
        <v/>
      </c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36">
        <f>IFERROR(INDEX(JUL!AI$8:AI$73,MATCH($A18,JUL!$A$8:$A$73,0))&amp;"","")</f>
        <v/>
      </c>
      <c r="E18" s="136">
        <f>IFERROR(INDEX(JUL!AJ$8:AJ$73,MATCH($A18,JUL!$A$8:$A$73,0))&amp;"","")</f>
        <v/>
      </c>
      <c r="F18" s="136">
        <f>IFERROR(INDEX(JUL!AK$8:AK$73,MATCH($A18,JUL!$A$8:$A$73,0))&amp;"","")</f>
        <v/>
      </c>
      <c r="G18" s="136">
        <f>IFERROR(INDEX(JUL!AL$8:AL$73,MATCH($A18,JUL!$A$8:$A$73,0))&amp;"","")</f>
        <v/>
      </c>
      <c r="H18" s="136">
        <f>IFERROR(INDEX(JUL!AM$8:AM$73,MATCH($A18,JUL!$A$8:$A$73,0))&amp;"","")</f>
        <v/>
      </c>
      <c r="I18" s="114" t="n"/>
      <c r="J18" s="124" t="inlineStr">
        <is>
          <t>D</t>
        </is>
      </c>
      <c r="K18" s="124" t="inlineStr">
        <is>
          <t>D</t>
        </is>
      </c>
      <c r="L18" s="126" t="inlineStr">
        <is>
          <t>T</t>
        </is>
      </c>
      <c r="M18" s="124" t="inlineStr">
        <is>
          <t>D</t>
        </is>
      </c>
      <c r="N18" s="114" t="n"/>
      <c r="O18" s="126" t="inlineStr">
        <is>
          <t>T</t>
        </is>
      </c>
      <c r="P18" s="114" t="n"/>
      <c r="Q18" s="114" t="n"/>
      <c r="R18" s="124" t="inlineStr">
        <is>
          <t>D</t>
        </is>
      </c>
      <c r="S18" s="114" t="n"/>
      <c r="T18" s="126" t="inlineStr">
        <is>
          <t>T</t>
        </is>
      </c>
      <c r="U18" s="114" t="n"/>
      <c r="V18" s="114" t="n"/>
      <c r="W18" s="124" t="inlineStr">
        <is>
          <t>D</t>
        </is>
      </c>
      <c r="X18" s="126" t="inlineStr">
        <is>
          <t>T</t>
        </is>
      </c>
      <c r="Y18" s="124" t="inlineStr">
        <is>
          <t>D</t>
        </is>
      </c>
      <c r="Z18" s="114" t="n"/>
      <c r="AA18" s="126" t="inlineStr">
        <is>
          <t>T</t>
        </is>
      </c>
      <c r="AB18" s="114" t="n"/>
      <c r="AC18" s="126" t="inlineStr">
        <is>
          <t>T</t>
        </is>
      </c>
      <c r="AD18" s="125" t="inlineStr">
        <is>
          <t>N</t>
        </is>
      </c>
      <c r="AE18" s="114" t="n"/>
      <c r="AF18" s="124" t="inlineStr">
        <is>
          <t>D</t>
        </is>
      </c>
      <c r="AG18" s="125" t="inlineStr">
        <is>
          <t>N</t>
        </is>
      </c>
      <c r="AH18" s="114" t="n"/>
      <c r="AI18" s="114" t="n"/>
      <c r="AJ18" s="124" t="inlineStr">
        <is>
          <t>D</t>
        </is>
      </c>
      <c r="AK18" s="114" t="n"/>
      <c r="AL18" s="114" t="n"/>
      <c r="AM18" s="124" t="inlineStr">
        <is>
          <t>D</t>
        </is>
      </c>
      <c r="AN18" s="136">
        <f>IFERROR(INDEX(SET!I$8:I$73,MATCH($A18,SET!$A$8:$A$73,0))&amp;"","")</f>
        <v/>
      </c>
      <c r="AO18" s="136">
        <f>IFERROR(INDEX(SET!J$8:J$73,MATCH($A18,SET!$A$8:$A$73,0))&amp;"","")</f>
        <v/>
      </c>
      <c r="AP18" s="136">
        <f>IFERROR(INDEX(SET!K$8:K$73,MATCH($A18,SET!$A$8:$A$73,0))&amp;"","")</f>
        <v/>
      </c>
      <c r="AQ18" s="136">
        <f>IFERROR(INDEX(SET!L$8:L$73,MATCH($A18,SET!$A$8:$A$73,0))&amp;"","")</f>
        <v/>
      </c>
      <c r="AR18" s="116">
        <f>IFERROR(INDEX(SET!M$8:M$73,MATCH($A18,SET!$A$8:$A$73,0))&amp;"","")</f>
        <v/>
      </c>
      <c r="AS18" s="116">
        <f>IFERROR(INDEX(SET!N$8:N$73,MATCH($A18,SET!$A$8:$A$73,0))&amp;"","")</f>
        <v/>
      </c>
      <c r="AT18" s="117">
        <f>SUMPRODUCT(($D18:$J18="M")*6+($D18:$J18="T")*6+($D18:$J18="D")*12+($D18:$J18="N")*12+($D18:$J18="NT")*6+($D18:$J18="C")*10+($D18:$J18="A")*8+($D18:$J18="J")*5+($D18:$J18="CEP")*4+($D18:$J18="CP")*6+($D18:$J18="CRO")*6+($D18:$J18="M+")*6+($D18:$J18="T+")*6+($D18:$J18="D+")*12+($D18:$J18="N+")*12+($D18:$J18="Dm+")*12+($D18:$J18="Dt+")*12+($D18:$J18="Tm-")*6+($D18:$J18="Mt-")*6)</f>
        <v/>
      </c>
      <c r="AU18" s="118">
        <f>AT18-MAX(0,IFERROR(INDEX(CADASTRO!$I$4:$I$80,MATCH($A18,CADASTRO!$A$4:$A$80,0)),$B18)-CONFIG!$B$50*(COUNTIF($D18:$J18,"AB")+COUNTIF($D18:$J18,"FE")+COUNTIF($D18:$J18,"LM")))</f>
        <v/>
      </c>
      <c r="AV18" s="117">
        <f>SUMPRODUCT(($K18:$Q18="M")*6+($K18:$Q18="T")*6+($K18:$Q18="D")*12+($K18:$Q18="N")*12+($K18:$Q18="NT")*6+($K18:$Q18="C")*10+($K18:$Q18="A")*8+($K18:$Q18="J")*5+($K18:$Q18="CEP")*4+($K18:$Q18="CP")*6+($K18:$Q18="CRO")*6+($K18:$Q18="M+")*6+($K18:$Q18="T+")*6+($K18:$Q18="D+")*12+($K18:$Q18="N+")*12+($K18:$Q18="Dm+")*12+($K18:$Q18="Dt+")*12+($K18:$Q18="Tm-")*6+($K18:$Q18="Mt-")*6)</f>
        <v/>
      </c>
      <c r="AW18" s="118">
        <f>AV18-MAX(0,IFERROR(INDEX(CADASTRO!$I$4:$I$80,MATCH($A18,CADASTRO!$A$4:$A$80,0)),$B18)-CONFIG!$B$50*(COUNTIF($K18:$Q18,"AB")+COUNTIF($K18:$Q18,"FE")+COUNTIF($K18:$Q18,"LM")))</f>
        <v/>
      </c>
      <c r="AX18" s="117">
        <f>SUMPRODUCT(($R18:$X18="M")*6+($R18:$X18="T")*6+($R18:$X18="D")*12+($R18:$X18="N")*12+($R18:$X18="NT")*6+($R18:$X18="C")*10+($R18:$X18="A")*8+($R18:$X18="J")*5+($R18:$X18="CEP")*4+($R18:$X18="CP")*6+($R18:$X18="CRO")*6+($R18:$X18="M+")*6+($R18:$X18="T+")*6+($R18:$X18="D+")*12+($R18:$X18="N+")*12+($R18:$X18="Dm+")*12+($R18:$X18="Dt+")*12+($R18:$X18="Tm-")*6+($R18:$X18="Mt-")*6)</f>
        <v/>
      </c>
      <c r="AY18" s="118">
        <f>AX18-MAX(0,IFERROR(INDEX(CADASTRO!$I$4:$I$80,MATCH($A18,CADASTRO!$A$4:$A$80,0)),$B18)-CONFIG!$B$50*(COUNTIF($R18:$X18,"AB")+COUNTIF($R18:$X18,"FE")+COUNTIF($R18:$X18,"LM")))</f>
        <v/>
      </c>
      <c r="AZ18" s="117">
        <f>SUMPRODUCT(($Y18:$AE18="M")*6+($Y18:$AE18="T")*6+($Y18:$AE18="D")*12+($Y18:$AE18="N")*12+($Y18:$AE18="NT")*6+($Y18:$AE18="C")*10+($Y18:$AE18="A")*8+($Y18:$AE18="J")*5+($Y18:$AE18="CEP")*4+($Y18:$AE18="CP")*6+($Y18:$AE18="CRO")*6+($Y18:$AE18="M+")*6+($Y18:$AE18="T+")*6+($Y18:$AE18="D+")*12+($Y18:$AE18="N+")*12+($Y18:$AE18="Dm+")*12+($Y18:$AE18="Dt+")*12+($Y18:$AE18="Tm-")*6+($Y18:$AE18="Mt-")*6)</f>
        <v/>
      </c>
      <c r="BA18" s="118">
        <f>AZ18-MAX(0,IFERROR(INDEX(CADASTRO!$I$4:$I$80,MATCH($A18,CADASTRO!$A$4:$A$80,0)),$B18)-CONFIG!$B$50*(COUNTIF($Y18:$AE18,"AB")+COUNTIF($Y18:$AE18,"FE")+COUNTIF($Y18:$AE18,"LM")))</f>
        <v/>
      </c>
      <c r="BB18" s="117">
        <f>SUMPRODUCT(($AF18:$AL18="M")*6+($AF18:$AL18="T")*6+($AF18:$AL18="D")*12+($AF18:$AL18="N")*12+($AF18:$AL18="NT")*6+($AF18:$AL18="C")*10+($AF18:$AL18="A")*8+($AF18:$AL18="J")*5+($AF18:$AL18="CEP")*4+($AF18:$AL18="CP")*6+($AF18:$AL18="CRO")*6+($AF18:$AL18="M+")*6+($AF18:$AL18="T+")*6+($AF18:$AL18="D+")*12+($AF18:$AL18="N+")*12+($AF18:$AL18="Dm+")*12+($AF18:$AL18="Dt+")*12+($AF18:$AL18="Tm-")*6+($AF18:$AL18="Mt-")*6)</f>
        <v/>
      </c>
      <c r="BC18" s="118">
        <f>BB18-MAX(0,IFERROR(INDEX(CADASTRO!$I$4:$I$80,MATCH($A18,CADASTRO!$A$4:$A$80,0)),$B18)-CONFIG!$B$50*(COUNTIF($AF18:$AL18,"AB")+COUNTIF($AF18:$AL18,"FE")+COUNTIF($AF18:$AL18,"LM")))</f>
        <v/>
      </c>
      <c r="BD18" s="117">
        <f>SUMPRODUCT(($AM18:$AM18="M")*6+($AM18:$AM18="T")*6+($AM18:$AM18="D")*12+($AM18:$AM18="N")*12+($AM18:$AM18="NT")*6+($AM18:$AM18="C")*10+($AM18:$AM18="A")*8+($AM18:$AM18="J")*5+($AM18:$AM18="CEP")*4+($AM18:$AM18="CP")*6+($AM18:$AM18="CRO")*6+($AM18:$AM18="M+")*6+($AM18:$AM18="T+")*6+($AM18:$AM18="D+")*12+($AM18:$AM18="N+")*12+($AM18:$AM18="Dm+")*12+($AM18:$AM18="Dt+")*12+($AM18:$AM18="Tm-")*6+($AM18:$AM18="Mt-")*6)+SUMPRODUCT(($AN18:$AS18="M")*6+($AN18:$AS18="T")*6+($AN18:$AS18="D")*12+($AN18:$AS18="N")*12+($AN18:$AS18="NT")*6+($AN18:$AS18="C")*10+($AN18:$AS18="A")*8+($AN18:$AS18="J")*5+($AN18:$AS18="CEP")*4+($AN18:$AS18="CP")*6+($AN18:$AS18="CRO")*6+($AN18:$AS18="M+")*6+($AN18:$AS18="T+")*6+($AN18:$AS18="D+")*12+($AN18:$AS18="N+")*12+($AN18:$AS18="Dm+")*12+($AN18:$AS18="Dt+")*12+($AN18:$AS18="Tm-")*6+($AN18:$AS18="Mt-")*6)</f>
        <v/>
      </c>
      <c r="BE18" s="118">
        <f>BD18-MAX(0,IFERROR(INDEX(CADASTRO!$I$4:$I$80,MATCH($A18,CADASTRO!$A$4:$A$80,0)),$B18)-CONFIG!$B$50*(COUNTIF($AM18:$AM18,"AB")+COUNTIF($AM18:$AM18,"FE")+COUNTIF($AM18:$AM18,"LM")+COUNTIF($AN18:$AS18,"AB")+COUNTIF($AN18:$AS18,"FE")+COUNTIF($AN18:$AS18,"LM")))</f>
        <v/>
      </c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36">
        <f>IFERROR(INDEX(JUL!AI$8:AI$73,MATCH($A19,JUL!$A$8:$A$73,0))&amp;"","")</f>
        <v/>
      </c>
      <c r="E19" s="136">
        <f>IFERROR(INDEX(JUL!AJ$8:AJ$73,MATCH($A19,JUL!$A$8:$A$73,0))&amp;"","")</f>
        <v/>
      </c>
      <c r="F19" s="136">
        <f>IFERROR(INDEX(JUL!AK$8:AK$73,MATCH($A19,JUL!$A$8:$A$73,0))&amp;"","")</f>
        <v/>
      </c>
      <c r="G19" s="136">
        <f>IFERROR(INDEX(JUL!AL$8:AL$73,MATCH($A19,JUL!$A$8:$A$73,0))&amp;"","")</f>
        <v/>
      </c>
      <c r="H19" s="136">
        <f>IFERROR(INDEX(JUL!AM$8:AM$73,MATCH($A19,JUL!$A$8:$A$73,0))&amp;"","")</f>
        <v/>
      </c>
      <c r="I19" s="114" t="n"/>
      <c r="J19" s="114" t="n"/>
      <c r="K19" s="114" t="n"/>
      <c r="L19" s="114" t="n"/>
      <c r="M19" s="125" t="inlineStr">
        <is>
          <t>N</t>
        </is>
      </c>
      <c r="N19" s="125" t="inlineStr">
        <is>
          <t>N</t>
        </is>
      </c>
      <c r="O19" s="114" t="n"/>
      <c r="P19" s="114" t="n"/>
      <c r="Q19" s="125" t="inlineStr">
        <is>
          <t>N</t>
        </is>
      </c>
      <c r="R19" s="114" t="n"/>
      <c r="S19" s="114" t="n"/>
      <c r="T19" s="114" t="n"/>
      <c r="U19" s="125" t="inlineStr">
        <is>
          <t>N</t>
        </is>
      </c>
      <c r="V19" s="126" t="inlineStr">
        <is>
          <t>T</t>
        </is>
      </c>
      <c r="W19" s="125" t="inlineStr">
        <is>
          <t>N</t>
        </is>
      </c>
      <c r="X19" s="126" t="inlineStr">
        <is>
          <t>T</t>
        </is>
      </c>
      <c r="Y19" s="139" t="inlineStr">
        <is>
          <t>FE</t>
        </is>
      </c>
      <c r="Z19" s="139" t="inlineStr">
        <is>
          <t>FE</t>
        </is>
      </c>
      <c r="AA19" s="139" t="inlineStr">
        <is>
          <t>FE</t>
        </is>
      </c>
      <c r="AB19" s="139" t="inlineStr">
        <is>
          <t>FE</t>
        </is>
      </c>
      <c r="AC19" s="139" t="inlineStr">
        <is>
          <t>FE</t>
        </is>
      </c>
      <c r="AD19" s="139" t="inlineStr">
        <is>
          <t>FE</t>
        </is>
      </c>
      <c r="AE19" s="139" t="inlineStr">
        <is>
          <t>FE</t>
        </is>
      </c>
      <c r="AF19" s="139" t="inlineStr">
        <is>
          <t>FE</t>
        </is>
      </c>
      <c r="AG19" s="139" t="inlineStr">
        <is>
          <t>FE</t>
        </is>
      </c>
      <c r="AH19" s="139" t="inlineStr">
        <is>
          <t>FE</t>
        </is>
      </c>
      <c r="AI19" s="139" t="inlineStr">
        <is>
          <t>FE</t>
        </is>
      </c>
      <c r="AJ19" s="139" t="inlineStr">
        <is>
          <t>FE</t>
        </is>
      </c>
      <c r="AK19" s="139" t="inlineStr">
        <is>
          <t>FE</t>
        </is>
      </c>
      <c r="AL19" s="139" t="inlineStr">
        <is>
          <t>FE</t>
        </is>
      </c>
      <c r="AM19" s="139" t="inlineStr">
        <is>
          <t>FE</t>
        </is>
      </c>
      <c r="AN19" s="136">
        <f>IFERROR(INDEX(SET!I$8:I$73,MATCH($A19,SET!$A$8:$A$73,0))&amp;"","")</f>
        <v/>
      </c>
      <c r="AO19" s="136">
        <f>IFERROR(INDEX(SET!J$8:J$73,MATCH($A19,SET!$A$8:$A$73,0))&amp;"","")</f>
        <v/>
      </c>
      <c r="AP19" s="136">
        <f>IFERROR(INDEX(SET!K$8:K$73,MATCH($A19,SET!$A$8:$A$73,0))&amp;"","")</f>
        <v/>
      </c>
      <c r="AQ19" s="136">
        <f>IFERROR(INDEX(SET!L$8:L$73,MATCH($A19,SET!$A$8:$A$73,0))&amp;"","")</f>
        <v/>
      </c>
      <c r="AR19" s="116">
        <f>IFERROR(INDEX(SET!M$8:M$73,MATCH($A19,SET!$A$8:$A$73,0))&amp;"","")</f>
        <v/>
      </c>
      <c r="AS19" s="116">
        <f>IFERROR(INDEX(SET!N$8:N$73,MATCH($A19,SET!$A$8:$A$73,0))&amp;"","")</f>
        <v/>
      </c>
      <c r="AT19" s="117">
        <f>SUMPRODUCT(($D19:$J19="M")*6+($D19:$J19="T")*6+($D19:$J19="D")*12+($D19:$J19="N")*12+($D19:$J19="NT")*6+($D19:$J19="C")*10+($D19:$J19="A")*8+($D19:$J19="J")*5+($D19:$J19="CEP")*4+($D19:$J19="CP")*6+($D19:$J19="CRO")*6+($D19:$J19="M+")*6+($D19:$J19="T+")*6+($D19:$J19="D+")*12+($D19:$J19="N+")*12+($D19:$J19="Dm+")*12+($D19:$J19="Dt+")*12+($D19:$J19="Tm-")*6+($D19:$J19="Mt-")*6)</f>
        <v/>
      </c>
      <c r="AU19" s="118">
        <f>AT19-MAX(0,IFERROR(INDEX(CADASTRO!$I$4:$I$80,MATCH($A19,CADASTRO!$A$4:$A$80,0)),$B19)-CONFIG!$B$50*(COUNTIF($D19:$J19,"AB")+COUNTIF($D19:$J19,"FE")+COUNTIF($D19:$J19,"LM")))</f>
        <v/>
      </c>
      <c r="AV19" s="117">
        <f>SUMPRODUCT(($K19:$Q19="M")*6+($K19:$Q19="T")*6+($K19:$Q19="D")*12+($K19:$Q19="N")*12+($K19:$Q19="NT")*6+($K19:$Q19="C")*10+($K19:$Q19="A")*8+($K19:$Q19="J")*5+($K19:$Q19="CEP")*4+($K19:$Q19="CP")*6+($K19:$Q19="CRO")*6+($K19:$Q19="M+")*6+($K19:$Q19="T+")*6+($K19:$Q19="D+")*12+($K19:$Q19="N+")*12+($K19:$Q19="Dm+")*12+($K19:$Q19="Dt+")*12+($K19:$Q19="Tm-")*6+($K19:$Q19="Mt-")*6)</f>
        <v/>
      </c>
      <c r="AW19" s="118">
        <f>AV19-MAX(0,IFERROR(INDEX(CADASTRO!$I$4:$I$80,MATCH($A19,CADASTRO!$A$4:$A$80,0)),$B19)-CONFIG!$B$50*(COUNTIF($K19:$Q19,"AB")+COUNTIF($K19:$Q19,"FE")+COUNTIF($K19:$Q19,"LM")))</f>
        <v/>
      </c>
      <c r="AX19" s="117">
        <f>SUMPRODUCT(($R19:$X19="M")*6+($R19:$X19="T")*6+($R19:$X19="D")*12+($R19:$X19="N")*12+($R19:$X19="NT")*6+($R19:$X19="C")*10+($R19:$X19="A")*8+($R19:$X19="J")*5+($R19:$X19="CEP")*4+($R19:$X19="CP")*6+($R19:$X19="CRO")*6+($R19:$X19="M+")*6+($R19:$X19="T+")*6+($R19:$X19="D+")*12+($R19:$X19="N+")*12+($R19:$X19="Dm+")*12+($R19:$X19="Dt+")*12+($R19:$X19="Tm-")*6+($R19:$X19="Mt-")*6)</f>
        <v/>
      </c>
      <c r="AY19" s="118">
        <f>AX19-MAX(0,IFERROR(INDEX(CADASTRO!$I$4:$I$80,MATCH($A19,CADASTRO!$A$4:$A$80,0)),$B19)-CONFIG!$B$50*(COUNTIF($R19:$X19,"AB")+COUNTIF($R19:$X19,"FE")+COUNTIF($R19:$X19,"LM")))</f>
        <v/>
      </c>
      <c r="AZ19" s="117">
        <f>SUMPRODUCT(($Y19:$AE19="M")*6+($Y19:$AE19="T")*6+($Y19:$AE19="D")*12+($Y19:$AE19="N")*12+($Y19:$AE19="NT")*6+($Y19:$AE19="C")*10+($Y19:$AE19="A")*8+($Y19:$AE19="J")*5+($Y19:$AE19="CEP")*4+($Y19:$AE19="CP")*6+($Y19:$AE19="CRO")*6+($Y19:$AE19="M+")*6+($Y19:$AE19="T+")*6+($Y19:$AE19="D+")*12+($Y19:$AE19="N+")*12+($Y19:$AE19="Dm+")*12+($Y19:$AE19="Dt+")*12+($Y19:$AE19="Tm-")*6+($Y19:$AE19="Mt-")*6)</f>
        <v/>
      </c>
      <c r="BA19" s="118">
        <f>AZ19-MAX(0,IFERROR(INDEX(CADASTRO!$I$4:$I$80,MATCH($A19,CADASTRO!$A$4:$A$80,0)),$B19)-CONFIG!$B$50*(COUNTIF($Y19:$AE19,"AB")+COUNTIF($Y19:$AE19,"FE")+COUNTIF($Y19:$AE19,"LM")))</f>
        <v/>
      </c>
      <c r="BB19" s="117">
        <f>SUMPRODUCT(($AF19:$AL19="M")*6+($AF19:$AL19="T")*6+($AF19:$AL19="D")*12+($AF19:$AL19="N")*12+($AF19:$AL19="NT")*6+($AF19:$AL19="C")*10+($AF19:$AL19="A")*8+($AF19:$AL19="J")*5+($AF19:$AL19="CEP")*4+($AF19:$AL19="CP")*6+($AF19:$AL19="CRO")*6+($AF19:$AL19="M+")*6+($AF19:$AL19="T+")*6+($AF19:$AL19="D+")*12+($AF19:$AL19="N+")*12+($AF19:$AL19="Dm+")*12+($AF19:$AL19="Dt+")*12+($AF19:$AL19="Tm-")*6+($AF19:$AL19="Mt-")*6)</f>
        <v/>
      </c>
      <c r="BC19" s="118">
        <f>BB19-MAX(0,IFERROR(INDEX(CADASTRO!$I$4:$I$80,MATCH($A19,CADASTRO!$A$4:$A$80,0)),$B19)-CONFIG!$B$50*(COUNTIF($AF19:$AL19,"AB")+COUNTIF($AF19:$AL19,"FE")+COUNTIF($AF19:$AL19,"LM")))</f>
        <v/>
      </c>
      <c r="BD19" s="117">
        <f>SUMPRODUCT(($AM19:$AM19="M")*6+($AM19:$AM19="T")*6+($AM19:$AM19="D")*12+($AM19:$AM19="N")*12+($AM19:$AM19="NT")*6+($AM19:$AM19="C")*10+($AM19:$AM19="A")*8+($AM19:$AM19="J")*5+($AM19:$AM19="CEP")*4+($AM19:$AM19="CP")*6+($AM19:$AM19="CRO")*6+($AM19:$AM19="M+")*6+($AM19:$AM19="T+")*6+($AM19:$AM19="D+")*12+($AM19:$AM19="N+")*12+($AM19:$AM19="Dm+")*12+($AM19:$AM19="Dt+")*12+($AM19:$AM19="Tm-")*6+($AM19:$AM19="Mt-")*6)+SUMPRODUCT(($AN19:$AS19="M")*6+($AN19:$AS19="T")*6+($AN19:$AS19="D")*12+($AN19:$AS19="N")*12+($AN19:$AS19="NT")*6+($AN19:$AS19="C")*10+($AN19:$AS19="A")*8+($AN19:$AS19="J")*5+($AN19:$AS19="CEP")*4+($AN19:$AS19="CP")*6+($AN19:$AS19="CRO")*6+($AN19:$AS19="M+")*6+($AN19:$AS19="T+")*6+($AN19:$AS19="D+")*12+($AN19:$AS19="N+")*12+($AN19:$AS19="Dm+")*12+($AN19:$AS19="Dt+")*12+($AN19:$AS19="Tm-")*6+($AN19:$AS19="Mt-")*6)</f>
        <v/>
      </c>
      <c r="BE19" s="118">
        <f>BD19-MAX(0,IFERROR(INDEX(CADASTRO!$I$4:$I$80,MATCH($A19,CADASTRO!$A$4:$A$80,0)),$B19)-CONFIG!$B$50*(COUNTIF($AM19:$AM19,"AB")+COUNTIF($AM19:$AM19,"FE")+COUNTIF($AM19:$AM19,"LM")+COUNTIF($AN19:$AS19,"AB")+COUNTIF($AN19:$AS19,"FE")+COUNTIF($AN19:$AS19,"LM")))</f>
        <v/>
      </c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36">
        <f>IFERROR(INDEX(JUL!AI$8:AI$73,MATCH($A20,JUL!$A$8:$A$73,0))&amp;"","")</f>
        <v/>
      </c>
      <c r="E20" s="136">
        <f>IFERROR(INDEX(JUL!AJ$8:AJ$73,MATCH($A20,JUL!$A$8:$A$73,0))&amp;"","")</f>
        <v/>
      </c>
      <c r="F20" s="136">
        <f>IFERROR(INDEX(JUL!AK$8:AK$73,MATCH($A20,JUL!$A$8:$A$73,0))&amp;"","")</f>
        <v/>
      </c>
      <c r="G20" s="136">
        <f>IFERROR(INDEX(JUL!AL$8:AL$73,MATCH($A20,JUL!$A$8:$A$73,0))&amp;"","")</f>
        <v/>
      </c>
      <c r="H20" s="136">
        <f>IFERROR(INDEX(JUL!AM$8:AM$73,MATCH($A20,JUL!$A$8:$A$73,0))&amp;"","")</f>
        <v/>
      </c>
      <c r="I20" s="114" t="n"/>
      <c r="J20" s="114" t="n"/>
      <c r="K20" s="114" t="n"/>
      <c r="L20" s="125" t="inlineStr">
        <is>
          <t>N</t>
        </is>
      </c>
      <c r="M20" s="114" t="n"/>
      <c r="N20" s="125" t="inlineStr">
        <is>
          <t>N</t>
        </is>
      </c>
      <c r="O20" s="114" t="n"/>
      <c r="P20" s="114" t="n"/>
      <c r="Q20" s="125" t="inlineStr">
        <is>
          <t>N</t>
        </is>
      </c>
      <c r="R20" s="114" t="n"/>
      <c r="S20" s="114" t="n"/>
      <c r="T20" s="114" t="n"/>
      <c r="U20" s="125" t="inlineStr">
        <is>
          <t>N</t>
        </is>
      </c>
      <c r="V20" s="125" t="inlineStr">
        <is>
          <t>N</t>
        </is>
      </c>
      <c r="W20" s="114" t="n"/>
      <c r="X20" s="125" t="inlineStr">
        <is>
          <t>N</t>
        </is>
      </c>
      <c r="Y20" s="114" t="n"/>
      <c r="Z20" s="125" t="inlineStr">
        <is>
          <t>N</t>
        </is>
      </c>
      <c r="AA20" s="125" t="inlineStr">
        <is>
          <t>N</t>
        </is>
      </c>
      <c r="AB20" s="114" t="n"/>
      <c r="AC20" s="114" t="n"/>
      <c r="AD20" s="114" t="n"/>
      <c r="AE20" s="125" t="inlineStr">
        <is>
          <t>N</t>
        </is>
      </c>
      <c r="AF20" s="114" t="n"/>
      <c r="AG20" s="125" t="inlineStr">
        <is>
          <t>N</t>
        </is>
      </c>
      <c r="AH20" s="114" t="n"/>
      <c r="AI20" s="125" t="inlineStr">
        <is>
          <t>N</t>
        </is>
      </c>
      <c r="AJ20" s="114" t="n"/>
      <c r="AK20" s="114" t="n"/>
      <c r="AL20" s="125" t="inlineStr">
        <is>
          <t>N</t>
        </is>
      </c>
      <c r="AM20" s="114" t="n"/>
      <c r="AN20" s="136">
        <f>IFERROR(INDEX(SET!I$8:I$73,MATCH($A20,SET!$A$8:$A$73,0))&amp;"","")</f>
        <v/>
      </c>
      <c r="AO20" s="136">
        <f>IFERROR(INDEX(SET!J$8:J$73,MATCH($A20,SET!$A$8:$A$73,0))&amp;"","")</f>
        <v/>
      </c>
      <c r="AP20" s="136">
        <f>IFERROR(INDEX(SET!K$8:K$73,MATCH($A20,SET!$A$8:$A$73,0))&amp;"","")</f>
        <v/>
      </c>
      <c r="AQ20" s="136">
        <f>IFERROR(INDEX(SET!L$8:L$73,MATCH($A20,SET!$A$8:$A$73,0))&amp;"","")</f>
        <v/>
      </c>
      <c r="AR20" s="116">
        <f>IFERROR(INDEX(SET!M$8:M$73,MATCH($A20,SET!$A$8:$A$73,0))&amp;"","")</f>
        <v/>
      </c>
      <c r="AS20" s="116">
        <f>IFERROR(INDEX(SET!N$8:N$73,MATCH($A20,SET!$A$8:$A$73,0))&amp;"","")</f>
        <v/>
      </c>
      <c r="AT20" s="117">
        <f>SUMPRODUCT(($D20:$J20="M")*6+($D20:$J20="T")*6+($D20:$J20="D")*12+($D20:$J20="N")*12+($D20:$J20="NT")*6+($D20:$J20="C")*10+($D20:$J20="A")*8+($D20:$J20="J")*5+($D20:$J20="CEP")*4+($D20:$J20="CP")*6+($D20:$J20="CRO")*6+($D20:$J20="M+")*6+($D20:$J20="T+")*6+($D20:$J20="D+")*12+($D20:$J20="N+")*12+($D20:$J20="Dm+")*12+($D20:$J20="Dt+")*12+($D20:$J20="Tm-")*6+($D20:$J20="Mt-")*6)</f>
        <v/>
      </c>
      <c r="AU20" s="118">
        <f>AT20-MAX(0,IFERROR(INDEX(CADASTRO!$I$4:$I$80,MATCH($A20,CADASTRO!$A$4:$A$80,0)),$B20)-CONFIG!$B$50*(COUNTIF($D20:$J20,"AB")+COUNTIF($D20:$J20,"FE")+COUNTIF($D20:$J20,"LM")))</f>
        <v/>
      </c>
      <c r="AV20" s="117">
        <f>SUMPRODUCT(($K20:$Q20="M")*6+($K20:$Q20="T")*6+($K20:$Q20="D")*12+($K20:$Q20="N")*12+($K20:$Q20="NT")*6+($K20:$Q20="C")*10+($K20:$Q20="A")*8+($K20:$Q20="J")*5+($K20:$Q20="CEP")*4+($K20:$Q20="CP")*6+($K20:$Q20="CRO")*6+($K20:$Q20="M+")*6+($K20:$Q20="T+")*6+($K20:$Q20="D+")*12+($K20:$Q20="N+")*12+($K20:$Q20="Dm+")*12+($K20:$Q20="Dt+")*12+($K20:$Q20="Tm-")*6+($K20:$Q20="Mt-")*6)</f>
        <v/>
      </c>
      <c r="AW20" s="118">
        <f>AV20-MAX(0,IFERROR(INDEX(CADASTRO!$I$4:$I$80,MATCH($A20,CADASTRO!$A$4:$A$80,0)),$B20)-CONFIG!$B$50*(COUNTIF($K20:$Q20,"AB")+COUNTIF($K20:$Q20,"FE")+COUNTIF($K20:$Q20,"LM")))</f>
        <v/>
      </c>
      <c r="AX20" s="117">
        <f>SUMPRODUCT(($R20:$X20="M")*6+($R20:$X20="T")*6+($R20:$X20="D")*12+($R20:$X20="N")*12+($R20:$X20="NT")*6+($R20:$X20="C")*10+($R20:$X20="A")*8+($R20:$X20="J")*5+($R20:$X20="CEP")*4+($R20:$X20="CP")*6+($R20:$X20="CRO")*6+($R20:$X20="M+")*6+($R20:$X20="T+")*6+($R20:$X20="D+")*12+($R20:$X20="N+")*12+($R20:$X20="Dm+")*12+($R20:$X20="Dt+")*12+($R20:$X20="Tm-")*6+($R20:$X20="Mt-")*6)</f>
        <v/>
      </c>
      <c r="AY20" s="118">
        <f>AX20-MAX(0,IFERROR(INDEX(CADASTRO!$I$4:$I$80,MATCH($A20,CADASTRO!$A$4:$A$80,0)),$B20)-CONFIG!$B$50*(COUNTIF($R20:$X20,"AB")+COUNTIF($R20:$X20,"FE")+COUNTIF($R20:$X20,"LM")))</f>
        <v/>
      </c>
      <c r="AZ20" s="117">
        <f>SUMPRODUCT(($Y20:$AE20="M")*6+($Y20:$AE20="T")*6+($Y20:$AE20="D")*12+($Y20:$AE20="N")*12+($Y20:$AE20="NT")*6+($Y20:$AE20="C")*10+($Y20:$AE20="A")*8+($Y20:$AE20="J")*5+($Y20:$AE20="CEP")*4+($Y20:$AE20="CP")*6+($Y20:$AE20="CRO")*6+($Y20:$AE20="M+")*6+($Y20:$AE20="T+")*6+($Y20:$AE20="D+")*12+($Y20:$AE20="N+")*12+($Y20:$AE20="Dm+")*12+($Y20:$AE20="Dt+")*12+($Y20:$AE20="Tm-")*6+($Y20:$AE20="Mt-")*6)</f>
        <v/>
      </c>
      <c r="BA20" s="118">
        <f>AZ20-MAX(0,IFERROR(INDEX(CADASTRO!$I$4:$I$80,MATCH($A20,CADASTRO!$A$4:$A$80,0)),$B20)-CONFIG!$B$50*(COUNTIF($Y20:$AE20,"AB")+COUNTIF($Y20:$AE20,"FE")+COUNTIF($Y20:$AE20,"LM")))</f>
        <v/>
      </c>
      <c r="BB20" s="117">
        <f>SUMPRODUCT(($AF20:$AL20="M")*6+($AF20:$AL20="T")*6+($AF20:$AL20="D")*12+($AF20:$AL20="N")*12+($AF20:$AL20="NT")*6+($AF20:$AL20="C")*10+($AF20:$AL20="A")*8+($AF20:$AL20="J")*5+($AF20:$AL20="CEP")*4+($AF20:$AL20="CP")*6+($AF20:$AL20="CRO")*6+($AF20:$AL20="M+")*6+($AF20:$AL20="T+")*6+($AF20:$AL20="D+")*12+($AF20:$AL20="N+")*12+($AF20:$AL20="Dm+")*12+($AF20:$AL20="Dt+")*12+($AF20:$AL20="Tm-")*6+($AF20:$AL20="Mt-")*6)</f>
        <v/>
      </c>
      <c r="BC20" s="118">
        <f>BB20-MAX(0,IFERROR(INDEX(CADASTRO!$I$4:$I$80,MATCH($A20,CADASTRO!$A$4:$A$80,0)),$B20)-CONFIG!$B$50*(COUNTIF($AF20:$AL20,"AB")+COUNTIF($AF20:$AL20,"FE")+COUNTIF($AF20:$AL20,"LM")))</f>
        <v/>
      </c>
      <c r="BD20" s="117">
        <f>SUMPRODUCT(($AM20:$AM20="M")*6+($AM20:$AM20="T")*6+($AM20:$AM20="D")*12+($AM20:$AM20="N")*12+($AM20:$AM20="NT")*6+($AM20:$AM20="C")*10+($AM20:$AM20="A")*8+($AM20:$AM20="J")*5+($AM20:$AM20="CEP")*4+($AM20:$AM20="CP")*6+($AM20:$AM20="CRO")*6+($AM20:$AM20="M+")*6+($AM20:$AM20="T+")*6+($AM20:$AM20="D+")*12+($AM20:$AM20="N+")*12+($AM20:$AM20="Dm+")*12+($AM20:$AM20="Dt+")*12+($AM20:$AM20="Tm-")*6+($AM20:$AM20="Mt-")*6)+SUMPRODUCT(($AN20:$AS20="M")*6+($AN20:$AS20="T")*6+($AN20:$AS20="D")*12+($AN20:$AS20="N")*12+($AN20:$AS20="NT")*6+($AN20:$AS20="C")*10+($AN20:$AS20="A")*8+($AN20:$AS20="J")*5+($AN20:$AS20="CEP")*4+($AN20:$AS20="CP")*6+($AN20:$AS20="CRO")*6+($AN20:$AS20="M+")*6+($AN20:$AS20="T+")*6+($AN20:$AS20="D+")*12+($AN20:$AS20="N+")*12+($AN20:$AS20="Dm+")*12+($AN20:$AS20="Dt+")*12+($AN20:$AS20="Tm-")*6+($AN20:$AS20="Mt-")*6)</f>
        <v/>
      </c>
      <c r="BE20" s="118">
        <f>BD20-MAX(0,IFERROR(INDEX(CADASTRO!$I$4:$I$80,MATCH($A20,CADASTRO!$A$4:$A$80,0)),$B20)-CONFIG!$B$50*(COUNTIF($AM20:$AM20,"AB")+COUNTIF($AM20:$AM20,"FE")+COUNTIF($AM20:$AM20,"LM")+COUNTIF($AN20:$AS20,"AB")+COUNTIF($AN20:$AS20,"FE")+COUNTIF($AN20:$AS20,"LM")))</f>
        <v/>
      </c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36">
        <f>IFERROR(INDEX(JUL!AI$8:AI$73,MATCH($A21,JUL!$A$8:$A$73,0))&amp;"","")</f>
        <v/>
      </c>
      <c r="E21" s="136">
        <f>IFERROR(INDEX(JUL!AJ$8:AJ$73,MATCH($A21,JUL!$A$8:$A$73,0))&amp;"","")</f>
        <v/>
      </c>
      <c r="F21" s="136">
        <f>IFERROR(INDEX(JUL!AK$8:AK$73,MATCH($A21,JUL!$A$8:$A$73,0))&amp;"","")</f>
        <v/>
      </c>
      <c r="G21" s="136">
        <f>IFERROR(INDEX(JUL!AL$8:AL$73,MATCH($A21,JUL!$A$8:$A$73,0))&amp;"","")</f>
        <v/>
      </c>
      <c r="H21" s="136">
        <f>IFERROR(INDEX(JUL!AM$8:AM$73,MATCH($A21,JUL!$A$8:$A$73,0))&amp;"","")</f>
        <v/>
      </c>
      <c r="I21" s="114" t="n"/>
      <c r="J21" s="114" t="n"/>
      <c r="K21" s="126" t="inlineStr">
        <is>
          <t>T</t>
        </is>
      </c>
      <c r="L21" s="124" t="inlineStr">
        <is>
          <t>D</t>
        </is>
      </c>
      <c r="M21" s="124" t="inlineStr">
        <is>
          <t>D</t>
        </is>
      </c>
      <c r="N21" s="126" t="inlineStr">
        <is>
          <t>T</t>
        </is>
      </c>
      <c r="O21" s="114" t="n"/>
      <c r="P21" s="114" t="n"/>
      <c r="Q21" s="114" t="n"/>
      <c r="R21" s="126" t="inlineStr">
        <is>
          <t>T</t>
        </is>
      </c>
      <c r="S21" s="124" t="inlineStr">
        <is>
          <t>D</t>
        </is>
      </c>
      <c r="T21" s="124" t="inlineStr">
        <is>
          <t>D</t>
        </is>
      </c>
      <c r="U21" s="126" t="inlineStr">
        <is>
          <t>T</t>
        </is>
      </c>
      <c r="V21" s="114" t="n"/>
      <c r="W21" s="114" t="n"/>
      <c r="X21" s="114" t="n"/>
      <c r="Y21" s="114" t="n"/>
      <c r="Z21" s="114" t="n"/>
      <c r="AA21" s="115" t="inlineStr">
        <is>
          <t>M</t>
        </is>
      </c>
      <c r="AB21" s="126" t="inlineStr">
        <is>
          <t>T</t>
        </is>
      </c>
      <c r="AC21" s="125" t="inlineStr">
        <is>
          <t>N</t>
        </is>
      </c>
      <c r="AD21" s="114" t="n"/>
      <c r="AE21" s="125" t="inlineStr">
        <is>
          <t>N</t>
        </is>
      </c>
      <c r="AF21" s="126" t="inlineStr">
        <is>
          <t>T</t>
        </is>
      </c>
      <c r="AG21" s="114" t="n"/>
      <c r="AH21" s="124" t="inlineStr">
        <is>
          <t>D</t>
        </is>
      </c>
      <c r="AI21" s="126" t="inlineStr">
        <is>
          <t>T</t>
        </is>
      </c>
      <c r="AJ21" s="114" t="n"/>
      <c r="AK21" s="114" t="n"/>
      <c r="AL21" s="125" t="inlineStr">
        <is>
          <t>N</t>
        </is>
      </c>
      <c r="AM21" s="126" t="inlineStr">
        <is>
          <t>T</t>
        </is>
      </c>
      <c r="AN21" s="136">
        <f>IFERROR(INDEX(SET!I$8:I$73,MATCH($A21,SET!$A$8:$A$73,0))&amp;"","")</f>
        <v/>
      </c>
      <c r="AO21" s="136">
        <f>IFERROR(INDEX(SET!J$8:J$73,MATCH($A21,SET!$A$8:$A$73,0))&amp;"","")</f>
        <v/>
      </c>
      <c r="AP21" s="136">
        <f>IFERROR(INDEX(SET!K$8:K$73,MATCH($A21,SET!$A$8:$A$73,0))&amp;"","")</f>
        <v/>
      </c>
      <c r="AQ21" s="136">
        <f>IFERROR(INDEX(SET!L$8:L$73,MATCH($A21,SET!$A$8:$A$73,0))&amp;"","")</f>
        <v/>
      </c>
      <c r="AR21" s="116">
        <f>IFERROR(INDEX(SET!M$8:M$73,MATCH($A21,SET!$A$8:$A$73,0))&amp;"","")</f>
        <v/>
      </c>
      <c r="AS21" s="116">
        <f>IFERROR(INDEX(SET!N$8:N$73,MATCH($A21,SET!$A$8:$A$73,0))&amp;"","")</f>
        <v/>
      </c>
      <c r="AT21" s="117">
        <f>SUMPRODUCT(($D21:$J21="M")*6+($D21:$J21="T")*6+($D21:$J21="D")*12+($D21:$J21="N")*12+($D21:$J21="NT")*6+($D21:$J21="C")*10+($D21:$J21="A")*8+($D21:$J21="J")*5+($D21:$J21="CEP")*4+($D21:$J21="CP")*6+($D21:$J21="CRO")*6+($D21:$J21="M+")*6+($D21:$J21="T+")*6+($D21:$J21="D+")*12+($D21:$J21="N+")*12+($D21:$J21="Dm+")*12+($D21:$J21="Dt+")*12+($D21:$J21="Tm-")*6+($D21:$J21="Mt-")*6)</f>
        <v/>
      </c>
      <c r="AU21" s="118">
        <f>AT21-MAX(0,IFERROR(INDEX(CADASTRO!$I$4:$I$80,MATCH($A21,CADASTRO!$A$4:$A$80,0)),$B21)-CONFIG!$B$50*(COUNTIF($D21:$J21,"AB")+COUNTIF($D21:$J21,"FE")+COUNTIF($D21:$J21,"LM")))</f>
        <v/>
      </c>
      <c r="AV21" s="117">
        <f>SUMPRODUCT(($K21:$Q21="M")*6+($K21:$Q21="T")*6+($K21:$Q21="D")*12+($K21:$Q21="N")*12+($K21:$Q21="NT")*6+($K21:$Q21="C")*10+($K21:$Q21="A")*8+($K21:$Q21="J")*5+($K21:$Q21="CEP")*4+($K21:$Q21="CP")*6+($K21:$Q21="CRO")*6+($K21:$Q21="M+")*6+($K21:$Q21="T+")*6+($K21:$Q21="D+")*12+($K21:$Q21="N+")*12+($K21:$Q21="Dm+")*12+($K21:$Q21="Dt+")*12+($K21:$Q21="Tm-")*6+($K21:$Q21="Mt-")*6)</f>
        <v/>
      </c>
      <c r="AW21" s="118">
        <f>AV21-MAX(0,IFERROR(INDEX(CADASTRO!$I$4:$I$80,MATCH($A21,CADASTRO!$A$4:$A$80,0)),$B21)-CONFIG!$B$50*(COUNTIF($K21:$Q21,"AB")+COUNTIF($K21:$Q21,"FE")+COUNTIF($K21:$Q21,"LM")))</f>
        <v/>
      </c>
      <c r="AX21" s="117">
        <f>SUMPRODUCT(($R21:$X21="M")*6+($R21:$X21="T")*6+($R21:$X21="D")*12+($R21:$X21="N")*12+($R21:$X21="NT")*6+($R21:$X21="C")*10+($R21:$X21="A")*8+($R21:$X21="J")*5+($R21:$X21="CEP")*4+($R21:$X21="CP")*6+($R21:$X21="CRO")*6+($R21:$X21="M+")*6+($R21:$X21="T+")*6+($R21:$X21="D+")*12+($R21:$X21="N+")*12+($R21:$X21="Dm+")*12+($R21:$X21="Dt+")*12+($R21:$X21="Tm-")*6+($R21:$X21="Mt-")*6)</f>
        <v/>
      </c>
      <c r="AY21" s="118">
        <f>AX21-MAX(0,IFERROR(INDEX(CADASTRO!$I$4:$I$80,MATCH($A21,CADASTRO!$A$4:$A$80,0)),$B21)-CONFIG!$B$50*(COUNTIF($R21:$X21,"AB")+COUNTIF($R21:$X21,"FE")+COUNTIF($R21:$X21,"LM")))</f>
        <v/>
      </c>
      <c r="AZ21" s="117">
        <f>SUMPRODUCT(($Y21:$AE21="M")*6+($Y21:$AE21="T")*6+($Y21:$AE21="D")*12+($Y21:$AE21="N")*12+($Y21:$AE21="NT")*6+($Y21:$AE21="C")*10+($Y21:$AE21="A")*8+($Y21:$AE21="J")*5+($Y21:$AE21="CEP")*4+($Y21:$AE21="CP")*6+($Y21:$AE21="CRO")*6+($Y21:$AE21="M+")*6+($Y21:$AE21="T+")*6+($Y21:$AE21="D+")*12+($Y21:$AE21="N+")*12+($Y21:$AE21="Dm+")*12+($Y21:$AE21="Dt+")*12+($Y21:$AE21="Tm-")*6+($Y21:$AE21="Mt-")*6)</f>
        <v/>
      </c>
      <c r="BA21" s="118">
        <f>AZ21-MAX(0,IFERROR(INDEX(CADASTRO!$I$4:$I$80,MATCH($A21,CADASTRO!$A$4:$A$80,0)),$B21)-CONFIG!$B$50*(COUNTIF($Y21:$AE21,"AB")+COUNTIF($Y21:$AE21,"FE")+COUNTIF($Y21:$AE21,"LM")))</f>
        <v/>
      </c>
      <c r="BB21" s="117">
        <f>SUMPRODUCT(($AF21:$AL21="M")*6+($AF21:$AL21="T")*6+($AF21:$AL21="D")*12+($AF21:$AL21="N")*12+($AF21:$AL21="NT")*6+($AF21:$AL21="C")*10+($AF21:$AL21="A")*8+($AF21:$AL21="J")*5+($AF21:$AL21="CEP")*4+($AF21:$AL21="CP")*6+($AF21:$AL21="CRO")*6+($AF21:$AL21="M+")*6+($AF21:$AL21="T+")*6+($AF21:$AL21="D+")*12+($AF21:$AL21="N+")*12+($AF21:$AL21="Dm+")*12+($AF21:$AL21="Dt+")*12+($AF21:$AL21="Tm-")*6+($AF21:$AL21="Mt-")*6)</f>
        <v/>
      </c>
      <c r="BC21" s="118">
        <f>BB21-MAX(0,IFERROR(INDEX(CADASTRO!$I$4:$I$80,MATCH($A21,CADASTRO!$A$4:$A$80,0)),$B21)-CONFIG!$B$50*(COUNTIF($AF21:$AL21,"AB")+COUNTIF($AF21:$AL21,"FE")+COUNTIF($AF21:$AL21,"LM")))</f>
        <v/>
      </c>
      <c r="BD21" s="117">
        <f>SUMPRODUCT(($AM21:$AM21="M")*6+($AM21:$AM21="T")*6+($AM21:$AM21="D")*12+($AM21:$AM21="N")*12+($AM21:$AM21="NT")*6+($AM21:$AM21="C")*10+($AM21:$AM21="A")*8+($AM21:$AM21="J")*5+($AM21:$AM21="CEP")*4+($AM21:$AM21="CP")*6+($AM21:$AM21="CRO")*6+($AM21:$AM21="M+")*6+($AM21:$AM21="T+")*6+($AM21:$AM21="D+")*12+($AM21:$AM21="N+")*12+($AM21:$AM21="Dm+")*12+($AM21:$AM21="Dt+")*12+($AM21:$AM21="Tm-")*6+($AM21:$AM21="Mt-")*6)+SUMPRODUCT(($AN21:$AS21="M")*6+($AN21:$AS21="T")*6+($AN21:$AS21="D")*12+($AN21:$AS21="N")*12+($AN21:$AS21="NT")*6+($AN21:$AS21="C")*10+($AN21:$AS21="A")*8+($AN21:$AS21="J")*5+($AN21:$AS21="CEP")*4+($AN21:$AS21="CP")*6+($AN21:$AS21="CRO")*6+($AN21:$AS21="M+")*6+($AN21:$AS21="T+")*6+($AN21:$AS21="D+")*12+($AN21:$AS21="N+")*12+($AN21:$AS21="Dm+")*12+($AN21:$AS21="Dt+")*12+($AN21:$AS21="Tm-")*6+($AN21:$AS21="Mt-")*6)</f>
        <v/>
      </c>
      <c r="BE21" s="118">
        <f>BD21-MAX(0,IFERROR(INDEX(CADASTRO!$I$4:$I$80,MATCH($A21,CADASTRO!$A$4:$A$80,0)),$B21)-CONFIG!$B$50*(COUNTIF($AM21:$AM21,"AB")+COUNTIF($AM21:$AM21,"FE")+COUNTIF($AM21:$AM21,"LM")+COUNTIF($AN21:$AS21,"AB")+COUNTIF($AN21:$AS21,"FE")+COUNTIF($AN21:$AS21,"LM")))</f>
        <v/>
      </c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36">
        <f>IFERROR(INDEX(JUL!AI$8:AI$73,MATCH($A22,JUL!$A$8:$A$73,0))&amp;"","")</f>
        <v/>
      </c>
      <c r="E22" s="136">
        <f>IFERROR(INDEX(JUL!AJ$8:AJ$73,MATCH($A22,JUL!$A$8:$A$73,0))&amp;"","")</f>
        <v/>
      </c>
      <c r="F22" s="136">
        <f>IFERROR(INDEX(JUL!AK$8:AK$73,MATCH($A22,JUL!$A$8:$A$73,0))&amp;"","")</f>
        <v/>
      </c>
      <c r="G22" s="136">
        <f>IFERROR(INDEX(JUL!AL$8:AL$73,MATCH($A22,JUL!$A$8:$A$73,0))&amp;"","")</f>
        <v/>
      </c>
      <c r="H22" s="136">
        <f>IFERROR(INDEX(JUL!AM$8:AM$73,MATCH($A22,JUL!$A$8:$A$73,0))&amp;"","")</f>
        <v/>
      </c>
      <c r="I22" s="124" t="inlineStr">
        <is>
          <t>D</t>
        </is>
      </c>
      <c r="J22" s="114" t="n"/>
      <c r="K22" s="123" t="inlineStr">
        <is>
          <t>D+</t>
        </is>
      </c>
      <c r="L22" s="124" t="inlineStr">
        <is>
          <t>D</t>
        </is>
      </c>
      <c r="M22" s="115" t="inlineStr">
        <is>
          <t>M</t>
        </is>
      </c>
      <c r="N22" s="124" t="inlineStr">
        <is>
          <t>D</t>
        </is>
      </c>
      <c r="O22" s="115" t="inlineStr">
        <is>
          <t>M</t>
        </is>
      </c>
      <c r="P22" s="114" t="n"/>
      <c r="Q22" s="114" t="n"/>
      <c r="R22" s="114" t="n"/>
      <c r="S22" s="124" t="inlineStr">
        <is>
          <t>D</t>
        </is>
      </c>
      <c r="T22" s="115" t="inlineStr">
        <is>
          <t>M</t>
        </is>
      </c>
      <c r="U22" s="114" t="n"/>
      <c r="V22" s="126" t="inlineStr">
        <is>
          <t>T</t>
        </is>
      </c>
      <c r="W22" s="114" t="n"/>
      <c r="X22" s="124" t="inlineStr">
        <is>
          <t>D</t>
        </is>
      </c>
      <c r="Y22" s="114" t="n"/>
      <c r="Z22" s="127" t="inlineStr">
        <is>
          <t>D-</t>
        </is>
      </c>
      <c r="AA22" s="114" t="n"/>
      <c r="AB22" s="124" t="inlineStr">
        <is>
          <t>D</t>
        </is>
      </c>
      <c r="AC22" s="124" t="inlineStr">
        <is>
          <t>D</t>
        </is>
      </c>
      <c r="AD22" s="114" t="n"/>
      <c r="AE22" s="114" t="n"/>
      <c r="AF22" s="114" t="n"/>
      <c r="AG22" s="124" t="inlineStr">
        <is>
          <t>D</t>
        </is>
      </c>
      <c r="AH22" s="114" t="n"/>
      <c r="AI22" s="115" t="inlineStr">
        <is>
          <t>M</t>
        </is>
      </c>
      <c r="AJ22" s="115" t="inlineStr">
        <is>
          <t>M</t>
        </is>
      </c>
      <c r="AK22" s="114" t="n"/>
      <c r="AL22" s="124" t="inlineStr">
        <is>
          <t>D</t>
        </is>
      </c>
      <c r="AM22" s="114" t="n"/>
      <c r="AN22" s="136">
        <f>IFERROR(INDEX(SET!I$8:I$73,MATCH($A22,SET!$A$8:$A$73,0))&amp;"","")</f>
        <v/>
      </c>
      <c r="AO22" s="136">
        <f>IFERROR(INDEX(SET!J$8:J$73,MATCH($A22,SET!$A$8:$A$73,0))&amp;"","")</f>
        <v/>
      </c>
      <c r="AP22" s="136">
        <f>IFERROR(INDEX(SET!K$8:K$73,MATCH($A22,SET!$A$8:$A$73,0))&amp;"","")</f>
        <v/>
      </c>
      <c r="AQ22" s="136">
        <f>IFERROR(INDEX(SET!L$8:L$73,MATCH($A22,SET!$A$8:$A$73,0))&amp;"","")</f>
        <v/>
      </c>
      <c r="AR22" s="116">
        <f>IFERROR(INDEX(SET!M$8:M$73,MATCH($A22,SET!$A$8:$A$73,0))&amp;"","")</f>
        <v/>
      </c>
      <c r="AS22" s="116">
        <f>IFERROR(INDEX(SET!N$8:N$73,MATCH($A22,SET!$A$8:$A$73,0))&amp;"","")</f>
        <v/>
      </c>
      <c r="AT22" s="117">
        <f>SUMPRODUCT(($D22:$J22="M")*6+($D22:$J22="T")*6+($D22:$J22="D")*12+($D22:$J22="N")*12+($D22:$J22="NT")*6+($D22:$J22="C")*10+($D22:$J22="A")*8+($D22:$J22="J")*5+($D22:$J22="CEP")*4+($D22:$J22="CP")*6+($D22:$J22="CRO")*6+($D22:$J22="M+")*6+($D22:$J22="T+")*6+($D22:$J22="D+")*12+($D22:$J22="N+")*12+($D22:$J22="Dm+")*12+($D22:$J22="Dt+")*12+($D22:$J22="Tm-")*6+($D22:$J22="Mt-")*6)</f>
        <v/>
      </c>
      <c r="AU22" s="118">
        <f>AT22-MAX(0,IFERROR(INDEX(CADASTRO!$I$4:$I$80,MATCH($A22,CADASTRO!$A$4:$A$80,0)),$B22)-CONFIG!$B$50*(COUNTIF($D22:$J22,"AB")+COUNTIF($D22:$J22,"FE")+COUNTIF($D22:$J22,"LM")))</f>
        <v/>
      </c>
      <c r="AV22" s="117">
        <f>SUMPRODUCT(($K22:$Q22="M")*6+($K22:$Q22="T")*6+($K22:$Q22="D")*12+($K22:$Q22="N")*12+($K22:$Q22="NT")*6+($K22:$Q22="C")*10+($K22:$Q22="A")*8+($K22:$Q22="J")*5+($K22:$Q22="CEP")*4+($K22:$Q22="CP")*6+($K22:$Q22="CRO")*6+($K22:$Q22="M+")*6+($K22:$Q22="T+")*6+($K22:$Q22="D+")*12+($K22:$Q22="N+")*12+($K22:$Q22="Dm+")*12+($K22:$Q22="Dt+")*12+($K22:$Q22="Tm-")*6+($K22:$Q22="Mt-")*6)</f>
        <v/>
      </c>
      <c r="AW22" s="118">
        <f>AV22-MAX(0,IFERROR(INDEX(CADASTRO!$I$4:$I$80,MATCH($A22,CADASTRO!$A$4:$A$80,0)),$B22)-CONFIG!$B$50*(COUNTIF($K22:$Q22,"AB")+COUNTIF($K22:$Q22,"FE")+COUNTIF($K22:$Q22,"LM")))</f>
        <v/>
      </c>
      <c r="AX22" s="117">
        <f>SUMPRODUCT(($R22:$X22="M")*6+($R22:$X22="T")*6+($R22:$X22="D")*12+($R22:$X22="N")*12+($R22:$X22="NT")*6+($R22:$X22="C")*10+($R22:$X22="A")*8+($R22:$X22="J")*5+($R22:$X22="CEP")*4+($R22:$X22="CP")*6+($R22:$X22="CRO")*6+($R22:$X22="M+")*6+($R22:$X22="T+")*6+($R22:$X22="D+")*12+($R22:$X22="N+")*12+($R22:$X22="Dm+")*12+($R22:$X22="Dt+")*12+($R22:$X22="Tm-")*6+($R22:$X22="Mt-")*6)</f>
        <v/>
      </c>
      <c r="AY22" s="118">
        <f>AX22-MAX(0,IFERROR(INDEX(CADASTRO!$I$4:$I$80,MATCH($A22,CADASTRO!$A$4:$A$80,0)),$B22)-CONFIG!$B$50*(COUNTIF($R22:$X22,"AB")+COUNTIF($R22:$X22,"FE")+COUNTIF($R22:$X22,"LM")))</f>
        <v/>
      </c>
      <c r="AZ22" s="117">
        <f>SUMPRODUCT(($Y22:$AE22="M")*6+($Y22:$AE22="T")*6+($Y22:$AE22="D")*12+($Y22:$AE22="N")*12+($Y22:$AE22="NT")*6+($Y22:$AE22="C")*10+($Y22:$AE22="A")*8+($Y22:$AE22="J")*5+($Y22:$AE22="CEP")*4+($Y22:$AE22="CP")*6+($Y22:$AE22="CRO")*6+($Y22:$AE22="M+")*6+($Y22:$AE22="T+")*6+($Y22:$AE22="D+")*12+($Y22:$AE22="N+")*12+($Y22:$AE22="Dm+")*12+($Y22:$AE22="Dt+")*12+($Y22:$AE22="Tm-")*6+($Y22:$AE22="Mt-")*6)</f>
        <v/>
      </c>
      <c r="BA22" s="118">
        <f>AZ22-MAX(0,IFERROR(INDEX(CADASTRO!$I$4:$I$80,MATCH($A22,CADASTRO!$A$4:$A$80,0)),$B22)-CONFIG!$B$50*(COUNTIF($Y22:$AE22,"AB")+COUNTIF($Y22:$AE22,"FE")+COUNTIF($Y22:$AE22,"LM")))</f>
        <v/>
      </c>
      <c r="BB22" s="117">
        <f>SUMPRODUCT(($AF22:$AL22="M")*6+($AF22:$AL22="T")*6+($AF22:$AL22="D")*12+($AF22:$AL22="N")*12+($AF22:$AL22="NT")*6+($AF22:$AL22="C")*10+($AF22:$AL22="A")*8+($AF22:$AL22="J")*5+($AF22:$AL22="CEP")*4+($AF22:$AL22="CP")*6+($AF22:$AL22="CRO")*6+($AF22:$AL22="M+")*6+($AF22:$AL22="T+")*6+($AF22:$AL22="D+")*12+($AF22:$AL22="N+")*12+($AF22:$AL22="Dm+")*12+($AF22:$AL22="Dt+")*12+($AF22:$AL22="Tm-")*6+($AF22:$AL22="Mt-")*6)</f>
        <v/>
      </c>
      <c r="BC22" s="118">
        <f>BB22-MAX(0,IFERROR(INDEX(CADASTRO!$I$4:$I$80,MATCH($A22,CADASTRO!$A$4:$A$80,0)),$B22)-CONFIG!$B$50*(COUNTIF($AF22:$AL22,"AB")+COUNTIF($AF22:$AL22,"FE")+COUNTIF($AF22:$AL22,"LM")))</f>
        <v/>
      </c>
      <c r="BD22" s="117">
        <f>SUMPRODUCT(($AM22:$AM22="M")*6+($AM22:$AM22="T")*6+($AM22:$AM22="D")*12+($AM22:$AM22="N")*12+($AM22:$AM22="NT")*6+($AM22:$AM22="C")*10+($AM22:$AM22="A")*8+($AM22:$AM22="J")*5+($AM22:$AM22="CEP")*4+($AM22:$AM22="CP")*6+($AM22:$AM22="CRO")*6+($AM22:$AM22="M+")*6+($AM22:$AM22="T+")*6+($AM22:$AM22="D+")*12+($AM22:$AM22="N+")*12+($AM22:$AM22="Dm+")*12+($AM22:$AM22="Dt+")*12+($AM22:$AM22="Tm-")*6+($AM22:$AM22="Mt-")*6)+SUMPRODUCT(($AN22:$AS22="M")*6+($AN22:$AS22="T")*6+($AN22:$AS22="D")*12+($AN22:$AS22="N")*12+($AN22:$AS22="NT")*6+($AN22:$AS22="C")*10+($AN22:$AS22="A")*8+($AN22:$AS22="J")*5+($AN22:$AS22="CEP")*4+($AN22:$AS22="CP")*6+($AN22:$AS22="CRO")*6+($AN22:$AS22="M+")*6+($AN22:$AS22="T+")*6+($AN22:$AS22="D+")*12+($AN22:$AS22="N+")*12+($AN22:$AS22="Dm+")*12+($AN22:$AS22="Dt+")*12+($AN22:$AS22="Tm-")*6+($AN22:$AS22="Mt-")*6)</f>
        <v/>
      </c>
      <c r="BE22" s="118">
        <f>BD22-MAX(0,IFERROR(INDEX(CADASTRO!$I$4:$I$80,MATCH($A22,CADASTRO!$A$4:$A$80,0)),$B22)-CONFIG!$B$50*(COUNTIF($AM22:$AM22,"AB")+COUNTIF($AM22:$AM22,"FE")+COUNTIF($AM22:$AM22,"LM")+COUNTIF($AN22:$AS22,"AB")+COUNTIF($AN22:$AS22,"FE")+COUNTIF($AN22:$AS22,"LM")))</f>
        <v/>
      </c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36">
        <f>IFERROR(INDEX(JUL!AI$8:AI$73,MATCH($A23,JUL!$A$8:$A$73,0))&amp;"","")</f>
        <v/>
      </c>
      <c r="E23" s="136">
        <f>IFERROR(INDEX(JUL!AJ$8:AJ$73,MATCH($A23,JUL!$A$8:$A$73,0))&amp;"","")</f>
        <v/>
      </c>
      <c r="F23" s="136">
        <f>IFERROR(INDEX(JUL!AK$8:AK$73,MATCH($A23,JUL!$A$8:$A$73,0))&amp;"","")</f>
        <v/>
      </c>
      <c r="G23" s="136">
        <f>IFERROR(INDEX(JUL!AL$8:AL$73,MATCH($A23,JUL!$A$8:$A$73,0))&amp;"","")</f>
        <v/>
      </c>
      <c r="H23" s="136">
        <f>IFERROR(INDEX(JUL!AM$8:AM$73,MATCH($A23,JUL!$A$8:$A$73,0))&amp;"","")</f>
        <v/>
      </c>
      <c r="I23" s="124" t="inlineStr">
        <is>
          <t>D</t>
        </is>
      </c>
      <c r="J23" s="124" t="inlineStr">
        <is>
          <t>D</t>
        </is>
      </c>
      <c r="K23" s="124" t="inlineStr">
        <is>
          <t>D</t>
        </is>
      </c>
      <c r="L23" s="124" t="inlineStr">
        <is>
          <t>D</t>
        </is>
      </c>
      <c r="M23" s="114" t="n"/>
      <c r="N23" s="124" t="inlineStr">
        <is>
          <t>D</t>
        </is>
      </c>
      <c r="O23" s="114" t="n"/>
      <c r="P23" s="114" t="n"/>
      <c r="Q23" s="114" t="n"/>
      <c r="R23" s="124" t="inlineStr">
        <is>
          <t>D</t>
        </is>
      </c>
      <c r="S23" s="124" t="inlineStr">
        <is>
          <t>D</t>
        </is>
      </c>
      <c r="T23" s="114" t="n"/>
      <c r="U23" s="124" t="inlineStr">
        <is>
          <t>D</t>
        </is>
      </c>
      <c r="V23" s="114" t="n"/>
      <c r="W23" s="114" t="n"/>
      <c r="X23" s="114" t="n"/>
      <c r="Y23" s="124" t="inlineStr">
        <is>
          <t>D</t>
        </is>
      </c>
      <c r="Z23" s="114" t="n"/>
      <c r="AA23" s="114" t="n"/>
      <c r="AB23" s="124" t="inlineStr">
        <is>
          <t>D</t>
        </is>
      </c>
      <c r="AC23" s="114" t="n"/>
      <c r="AD23" s="124" t="inlineStr">
        <is>
          <t>D</t>
        </is>
      </c>
      <c r="AE23" s="126" t="inlineStr">
        <is>
          <t>T</t>
        </is>
      </c>
      <c r="AF23" s="126" t="inlineStr">
        <is>
          <t>T</t>
        </is>
      </c>
      <c r="AG23" s="124" t="inlineStr">
        <is>
          <t>D</t>
        </is>
      </c>
      <c r="AH23" s="114" t="n"/>
      <c r="AI23" s="124" t="inlineStr">
        <is>
          <t>D</t>
        </is>
      </c>
      <c r="AJ23" s="114" t="n"/>
      <c r="AK23" s="114" t="n"/>
      <c r="AL23" s="114" t="n"/>
      <c r="AM23" s="124" t="inlineStr">
        <is>
          <t>D</t>
        </is>
      </c>
      <c r="AN23" s="136">
        <f>IFERROR(INDEX(SET!I$8:I$73,MATCH($A23,SET!$A$8:$A$73,0))&amp;"","")</f>
        <v/>
      </c>
      <c r="AO23" s="136">
        <f>IFERROR(INDEX(SET!J$8:J$73,MATCH($A23,SET!$A$8:$A$73,0))&amp;"","")</f>
        <v/>
      </c>
      <c r="AP23" s="136">
        <f>IFERROR(INDEX(SET!K$8:K$73,MATCH($A23,SET!$A$8:$A$73,0))&amp;"","")</f>
        <v/>
      </c>
      <c r="AQ23" s="136">
        <f>IFERROR(INDEX(SET!L$8:L$73,MATCH($A23,SET!$A$8:$A$73,0))&amp;"","")</f>
        <v/>
      </c>
      <c r="AR23" s="116">
        <f>IFERROR(INDEX(SET!M$8:M$73,MATCH($A23,SET!$A$8:$A$73,0))&amp;"","")</f>
        <v/>
      </c>
      <c r="AS23" s="116">
        <f>IFERROR(INDEX(SET!N$8:N$73,MATCH($A23,SET!$A$8:$A$73,0))&amp;"","")</f>
        <v/>
      </c>
      <c r="AT23" s="117">
        <f>SUMPRODUCT(($D23:$J23="M")*6+($D23:$J23="T")*6+($D23:$J23="D")*12+($D23:$J23="N")*12+($D23:$J23="NT")*6+($D23:$J23="C")*10+($D23:$J23="A")*8+($D23:$J23="J")*5+($D23:$J23="CEP")*4+($D23:$J23="CP")*6+($D23:$J23="CRO")*6+($D23:$J23="M+")*6+($D23:$J23="T+")*6+($D23:$J23="D+")*12+($D23:$J23="N+")*12+($D23:$J23="Dm+")*12+($D23:$J23="Dt+")*12+($D23:$J23="Tm-")*6+($D23:$J23="Mt-")*6)</f>
        <v/>
      </c>
      <c r="AU23" s="118">
        <f>AT23-MAX(0,IFERROR(INDEX(CADASTRO!$I$4:$I$80,MATCH($A23,CADASTRO!$A$4:$A$80,0)),$B23)-CONFIG!$B$50*(COUNTIF($D23:$J23,"AB")+COUNTIF($D23:$J23,"FE")+COUNTIF($D23:$J23,"LM")))</f>
        <v/>
      </c>
      <c r="AV23" s="117">
        <f>SUMPRODUCT(($K23:$Q23="M")*6+($K23:$Q23="T")*6+($K23:$Q23="D")*12+($K23:$Q23="N")*12+($K23:$Q23="NT")*6+($K23:$Q23="C")*10+($K23:$Q23="A")*8+($K23:$Q23="J")*5+($K23:$Q23="CEP")*4+($K23:$Q23="CP")*6+($K23:$Q23="CRO")*6+($K23:$Q23="M+")*6+($K23:$Q23="T+")*6+($K23:$Q23="D+")*12+($K23:$Q23="N+")*12+($K23:$Q23="Dm+")*12+($K23:$Q23="Dt+")*12+($K23:$Q23="Tm-")*6+($K23:$Q23="Mt-")*6)</f>
        <v/>
      </c>
      <c r="AW23" s="118">
        <f>AV23-MAX(0,IFERROR(INDEX(CADASTRO!$I$4:$I$80,MATCH($A23,CADASTRO!$A$4:$A$80,0)),$B23)-CONFIG!$B$50*(COUNTIF($K23:$Q23,"AB")+COUNTIF($K23:$Q23,"FE")+COUNTIF($K23:$Q23,"LM")))</f>
        <v/>
      </c>
      <c r="AX23" s="117">
        <f>SUMPRODUCT(($R23:$X23="M")*6+($R23:$X23="T")*6+($R23:$X23="D")*12+($R23:$X23="N")*12+($R23:$X23="NT")*6+($R23:$X23="C")*10+($R23:$X23="A")*8+($R23:$X23="J")*5+($R23:$X23="CEP")*4+($R23:$X23="CP")*6+($R23:$X23="CRO")*6+($R23:$X23="M+")*6+($R23:$X23="T+")*6+($R23:$X23="D+")*12+($R23:$X23="N+")*12+($R23:$X23="Dm+")*12+($R23:$X23="Dt+")*12+($R23:$X23="Tm-")*6+($R23:$X23="Mt-")*6)</f>
        <v/>
      </c>
      <c r="AY23" s="118">
        <f>AX23-MAX(0,IFERROR(INDEX(CADASTRO!$I$4:$I$80,MATCH($A23,CADASTRO!$A$4:$A$80,0)),$B23)-CONFIG!$B$50*(COUNTIF($R23:$X23,"AB")+COUNTIF($R23:$X23,"FE")+COUNTIF($R23:$X23,"LM")))</f>
        <v/>
      </c>
      <c r="AZ23" s="117">
        <f>SUMPRODUCT(($Y23:$AE23="M")*6+($Y23:$AE23="T")*6+($Y23:$AE23="D")*12+($Y23:$AE23="N")*12+($Y23:$AE23="NT")*6+($Y23:$AE23="C")*10+($Y23:$AE23="A")*8+($Y23:$AE23="J")*5+($Y23:$AE23="CEP")*4+($Y23:$AE23="CP")*6+($Y23:$AE23="CRO")*6+($Y23:$AE23="M+")*6+($Y23:$AE23="T+")*6+($Y23:$AE23="D+")*12+($Y23:$AE23="N+")*12+($Y23:$AE23="Dm+")*12+($Y23:$AE23="Dt+")*12+($Y23:$AE23="Tm-")*6+($Y23:$AE23="Mt-")*6)</f>
        <v/>
      </c>
      <c r="BA23" s="118">
        <f>AZ23-MAX(0,IFERROR(INDEX(CADASTRO!$I$4:$I$80,MATCH($A23,CADASTRO!$A$4:$A$80,0)),$B23)-CONFIG!$B$50*(COUNTIF($Y23:$AE23,"AB")+COUNTIF($Y23:$AE23,"FE")+COUNTIF($Y23:$AE23,"LM")))</f>
        <v/>
      </c>
      <c r="BB23" s="117">
        <f>SUMPRODUCT(($AF23:$AL23="M")*6+($AF23:$AL23="T")*6+($AF23:$AL23="D")*12+($AF23:$AL23="N")*12+($AF23:$AL23="NT")*6+($AF23:$AL23="C")*10+($AF23:$AL23="A")*8+($AF23:$AL23="J")*5+($AF23:$AL23="CEP")*4+($AF23:$AL23="CP")*6+($AF23:$AL23="CRO")*6+($AF23:$AL23="M+")*6+($AF23:$AL23="T+")*6+($AF23:$AL23="D+")*12+($AF23:$AL23="N+")*12+($AF23:$AL23="Dm+")*12+($AF23:$AL23="Dt+")*12+($AF23:$AL23="Tm-")*6+($AF23:$AL23="Mt-")*6)</f>
        <v/>
      </c>
      <c r="BC23" s="118">
        <f>BB23-MAX(0,IFERROR(INDEX(CADASTRO!$I$4:$I$80,MATCH($A23,CADASTRO!$A$4:$A$80,0)),$B23)-CONFIG!$B$50*(COUNTIF($AF23:$AL23,"AB")+COUNTIF($AF23:$AL23,"FE")+COUNTIF($AF23:$AL23,"LM")))</f>
        <v/>
      </c>
      <c r="BD23" s="117">
        <f>SUMPRODUCT(($AM23:$AM23="M")*6+($AM23:$AM23="T")*6+($AM23:$AM23="D")*12+($AM23:$AM23="N")*12+($AM23:$AM23="NT")*6+($AM23:$AM23="C")*10+($AM23:$AM23="A")*8+($AM23:$AM23="J")*5+($AM23:$AM23="CEP")*4+($AM23:$AM23="CP")*6+($AM23:$AM23="CRO")*6+($AM23:$AM23="M+")*6+($AM23:$AM23="T+")*6+($AM23:$AM23="D+")*12+($AM23:$AM23="N+")*12+($AM23:$AM23="Dm+")*12+($AM23:$AM23="Dt+")*12+($AM23:$AM23="Tm-")*6+($AM23:$AM23="Mt-")*6)+SUMPRODUCT(($AN23:$AS23="M")*6+($AN23:$AS23="T")*6+($AN23:$AS23="D")*12+($AN23:$AS23="N")*12+($AN23:$AS23="NT")*6+($AN23:$AS23="C")*10+($AN23:$AS23="A")*8+($AN23:$AS23="J")*5+($AN23:$AS23="CEP")*4+($AN23:$AS23="CP")*6+($AN23:$AS23="CRO")*6+($AN23:$AS23="M+")*6+($AN23:$AS23="T+")*6+($AN23:$AS23="D+")*12+($AN23:$AS23="N+")*12+($AN23:$AS23="Dm+")*12+($AN23:$AS23="Dt+")*12+($AN23:$AS23="Tm-")*6+($AN23:$AS23="Mt-")*6)</f>
        <v/>
      </c>
      <c r="BE23" s="118">
        <f>BD23-MAX(0,IFERROR(INDEX(CADASTRO!$I$4:$I$80,MATCH($A23,CADASTRO!$A$4:$A$80,0)),$B23)-CONFIG!$B$50*(COUNTIF($AM23:$AM23,"AB")+COUNTIF($AM23:$AM23,"FE")+COUNTIF($AM23:$AM23,"LM")+COUNTIF($AN23:$AS23,"AB")+COUNTIF($AN23:$AS23,"FE")+COUNTIF($AN23:$AS23,"LM")))</f>
        <v/>
      </c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36">
        <f>IFERROR(INDEX(JUL!AI$8:AI$73,MATCH($A24,JUL!$A$8:$A$73,0))&amp;"","")</f>
        <v/>
      </c>
      <c r="E24" s="136">
        <f>IFERROR(INDEX(JUL!AJ$8:AJ$73,MATCH($A24,JUL!$A$8:$A$73,0))&amp;"","")</f>
        <v/>
      </c>
      <c r="F24" s="136">
        <f>IFERROR(INDEX(JUL!AK$8:AK$73,MATCH($A24,JUL!$A$8:$A$73,0))&amp;"","")</f>
        <v/>
      </c>
      <c r="G24" s="136">
        <f>IFERROR(INDEX(JUL!AL$8:AL$73,MATCH($A24,JUL!$A$8:$A$73,0))&amp;"","")</f>
        <v/>
      </c>
      <c r="H24" s="136">
        <f>IFERROR(INDEX(JUL!AM$8:AM$73,MATCH($A24,JUL!$A$8:$A$73,0))&amp;"","")</f>
        <v/>
      </c>
      <c r="I24" s="114" t="n"/>
      <c r="J24" s="114" t="n"/>
      <c r="K24" s="139" t="inlineStr">
        <is>
          <t>FE</t>
        </is>
      </c>
      <c r="L24" s="139" t="inlineStr">
        <is>
          <t>FE</t>
        </is>
      </c>
      <c r="M24" s="139" t="inlineStr">
        <is>
          <t>FE</t>
        </is>
      </c>
      <c r="N24" s="139" t="inlineStr">
        <is>
          <t>FE</t>
        </is>
      </c>
      <c r="O24" s="139" t="inlineStr">
        <is>
          <t>FE</t>
        </is>
      </c>
      <c r="P24" s="139" t="inlineStr">
        <is>
          <t>FE</t>
        </is>
      </c>
      <c r="Q24" s="139" t="inlineStr">
        <is>
          <t>FE</t>
        </is>
      </c>
      <c r="R24" s="139" t="inlineStr">
        <is>
          <t>FE</t>
        </is>
      </c>
      <c r="S24" s="139" t="inlineStr">
        <is>
          <t>FE</t>
        </is>
      </c>
      <c r="T24" s="139" t="inlineStr">
        <is>
          <t>FE</t>
        </is>
      </c>
      <c r="U24" s="139" t="inlineStr">
        <is>
          <t>FE</t>
        </is>
      </c>
      <c r="V24" s="139" t="inlineStr">
        <is>
          <t>FE</t>
        </is>
      </c>
      <c r="W24" s="139" t="inlineStr">
        <is>
          <t>FE</t>
        </is>
      </c>
      <c r="X24" s="139" t="inlineStr">
        <is>
          <t>FE</t>
        </is>
      </c>
      <c r="Y24" s="114" t="n"/>
      <c r="Z24" s="124" t="inlineStr">
        <is>
          <t>D</t>
        </is>
      </c>
      <c r="AA24" s="114" t="n"/>
      <c r="AB24" s="115" t="inlineStr">
        <is>
          <t>M</t>
        </is>
      </c>
      <c r="AC24" s="114" t="n"/>
      <c r="AD24" s="125" t="inlineStr">
        <is>
          <t>N</t>
        </is>
      </c>
      <c r="AE24" s="114" t="n"/>
      <c r="AF24" s="114" t="n"/>
      <c r="AG24" s="126" t="inlineStr">
        <is>
          <t>T</t>
        </is>
      </c>
      <c r="AH24" s="114" t="n"/>
      <c r="AI24" s="124" t="inlineStr">
        <is>
          <t>D</t>
        </is>
      </c>
      <c r="AJ24" s="114" t="n"/>
      <c r="AK24" s="125" t="inlineStr">
        <is>
          <t>N</t>
        </is>
      </c>
      <c r="AL24" s="126" t="inlineStr">
        <is>
          <t>T</t>
        </is>
      </c>
      <c r="AM24" s="124" t="inlineStr">
        <is>
          <t>D</t>
        </is>
      </c>
      <c r="AN24" s="136">
        <f>IFERROR(INDEX(SET!I$8:I$73,MATCH($A24,SET!$A$8:$A$73,0))&amp;"","")</f>
        <v/>
      </c>
      <c r="AO24" s="136">
        <f>IFERROR(INDEX(SET!J$8:J$73,MATCH($A24,SET!$A$8:$A$73,0))&amp;"","")</f>
        <v/>
      </c>
      <c r="AP24" s="136">
        <f>IFERROR(INDEX(SET!K$8:K$73,MATCH($A24,SET!$A$8:$A$73,0))&amp;"","")</f>
        <v/>
      </c>
      <c r="AQ24" s="136">
        <f>IFERROR(INDEX(SET!L$8:L$73,MATCH($A24,SET!$A$8:$A$73,0))&amp;"","")</f>
        <v/>
      </c>
      <c r="AR24" s="116">
        <f>IFERROR(INDEX(SET!M$8:M$73,MATCH($A24,SET!$A$8:$A$73,0))&amp;"","")</f>
        <v/>
      </c>
      <c r="AS24" s="116">
        <f>IFERROR(INDEX(SET!N$8:N$73,MATCH($A24,SET!$A$8:$A$73,0))&amp;"","")</f>
        <v/>
      </c>
      <c r="AT24" s="117">
        <f>SUMPRODUCT(($D24:$J24="M")*6+($D24:$J24="T")*6+($D24:$J24="D")*12+($D24:$J24="N")*12+($D24:$J24="NT")*6+($D24:$J24="C")*10+($D24:$J24="A")*8+($D24:$J24="J")*5+($D24:$J24="CEP")*4+($D24:$J24="CP")*6+($D24:$J24="CRO")*6+($D24:$J24="M+")*6+($D24:$J24="T+")*6+($D24:$J24="D+")*12+($D24:$J24="N+")*12+($D24:$J24="Dm+")*12+($D24:$J24="Dt+")*12+($D24:$J24="Tm-")*6+($D24:$J24="Mt-")*6)</f>
        <v/>
      </c>
      <c r="AU24" s="118">
        <f>AT24-MAX(0,IFERROR(INDEX(CADASTRO!$I$4:$I$80,MATCH($A24,CADASTRO!$A$4:$A$80,0)),$B24)-CONFIG!$B$50*(COUNTIF($D24:$J24,"AB")+COUNTIF($D24:$J24,"FE")+COUNTIF($D24:$J24,"LM")))</f>
        <v/>
      </c>
      <c r="AV24" s="117">
        <f>SUMPRODUCT(($K24:$Q24="M")*6+($K24:$Q24="T")*6+($K24:$Q24="D")*12+($K24:$Q24="N")*12+($K24:$Q24="NT")*6+($K24:$Q24="C")*10+($K24:$Q24="A")*8+($K24:$Q24="J")*5+($K24:$Q24="CEP")*4+($K24:$Q24="CP")*6+($K24:$Q24="CRO")*6+($K24:$Q24="M+")*6+($K24:$Q24="T+")*6+($K24:$Q24="D+")*12+($K24:$Q24="N+")*12+($K24:$Q24="Dm+")*12+($K24:$Q24="Dt+")*12+($K24:$Q24="Tm-")*6+($K24:$Q24="Mt-")*6)</f>
        <v/>
      </c>
      <c r="AW24" s="118">
        <f>AV24-MAX(0,IFERROR(INDEX(CADASTRO!$I$4:$I$80,MATCH($A24,CADASTRO!$A$4:$A$80,0)),$B24)-CONFIG!$B$50*(COUNTIF($K24:$Q24,"AB")+COUNTIF($K24:$Q24,"FE")+COUNTIF($K24:$Q24,"LM")))</f>
        <v/>
      </c>
      <c r="AX24" s="117">
        <f>SUMPRODUCT(($R24:$X24="M")*6+($R24:$X24="T")*6+($R24:$X24="D")*12+($R24:$X24="N")*12+($R24:$X24="NT")*6+($R24:$X24="C")*10+($R24:$X24="A")*8+($R24:$X24="J")*5+($R24:$X24="CEP")*4+($R24:$X24="CP")*6+($R24:$X24="CRO")*6+($R24:$X24="M+")*6+($R24:$X24="T+")*6+($R24:$X24="D+")*12+($R24:$X24="N+")*12+($R24:$X24="Dm+")*12+($R24:$X24="Dt+")*12+($R24:$X24="Tm-")*6+($R24:$X24="Mt-")*6)</f>
        <v/>
      </c>
      <c r="AY24" s="118">
        <f>AX24-MAX(0,IFERROR(INDEX(CADASTRO!$I$4:$I$80,MATCH($A24,CADASTRO!$A$4:$A$80,0)),$B24)-CONFIG!$B$50*(COUNTIF($R24:$X24,"AB")+COUNTIF($R24:$X24,"FE")+COUNTIF($R24:$X24,"LM")))</f>
        <v/>
      </c>
      <c r="AZ24" s="117">
        <f>SUMPRODUCT(($Y24:$AE24="M")*6+($Y24:$AE24="T")*6+($Y24:$AE24="D")*12+($Y24:$AE24="N")*12+($Y24:$AE24="NT")*6+($Y24:$AE24="C")*10+($Y24:$AE24="A")*8+($Y24:$AE24="J")*5+($Y24:$AE24="CEP")*4+($Y24:$AE24="CP")*6+($Y24:$AE24="CRO")*6+($Y24:$AE24="M+")*6+($Y24:$AE24="T+")*6+($Y24:$AE24="D+")*12+($Y24:$AE24="N+")*12+($Y24:$AE24="Dm+")*12+($Y24:$AE24="Dt+")*12+($Y24:$AE24="Tm-")*6+($Y24:$AE24="Mt-")*6)</f>
        <v/>
      </c>
      <c r="BA24" s="118">
        <f>AZ24-MAX(0,IFERROR(INDEX(CADASTRO!$I$4:$I$80,MATCH($A24,CADASTRO!$A$4:$A$80,0)),$B24)-CONFIG!$B$50*(COUNTIF($Y24:$AE24,"AB")+COUNTIF($Y24:$AE24,"FE")+COUNTIF($Y24:$AE24,"LM")))</f>
        <v/>
      </c>
      <c r="BB24" s="117">
        <f>SUMPRODUCT(($AF24:$AL24="M")*6+($AF24:$AL24="T")*6+($AF24:$AL24="D")*12+($AF24:$AL24="N")*12+($AF24:$AL24="NT")*6+($AF24:$AL24="C")*10+($AF24:$AL24="A")*8+($AF24:$AL24="J")*5+($AF24:$AL24="CEP")*4+($AF24:$AL24="CP")*6+($AF24:$AL24="CRO")*6+($AF24:$AL24="M+")*6+($AF24:$AL24="T+")*6+($AF24:$AL24="D+")*12+($AF24:$AL24="N+")*12+($AF24:$AL24="Dm+")*12+($AF24:$AL24="Dt+")*12+($AF24:$AL24="Tm-")*6+($AF24:$AL24="Mt-")*6)</f>
        <v/>
      </c>
      <c r="BC24" s="118">
        <f>BB24-MAX(0,IFERROR(INDEX(CADASTRO!$I$4:$I$80,MATCH($A24,CADASTRO!$A$4:$A$80,0)),$B24)-CONFIG!$B$50*(COUNTIF($AF24:$AL24,"AB")+COUNTIF($AF24:$AL24,"FE")+COUNTIF($AF24:$AL24,"LM")))</f>
        <v/>
      </c>
      <c r="BD24" s="117">
        <f>SUMPRODUCT(($AM24:$AM24="M")*6+($AM24:$AM24="T")*6+($AM24:$AM24="D")*12+($AM24:$AM24="N")*12+($AM24:$AM24="NT")*6+($AM24:$AM24="C")*10+($AM24:$AM24="A")*8+($AM24:$AM24="J")*5+($AM24:$AM24="CEP")*4+($AM24:$AM24="CP")*6+($AM24:$AM24="CRO")*6+($AM24:$AM24="M+")*6+($AM24:$AM24="T+")*6+($AM24:$AM24="D+")*12+($AM24:$AM24="N+")*12+($AM24:$AM24="Dm+")*12+($AM24:$AM24="Dt+")*12+($AM24:$AM24="Tm-")*6+($AM24:$AM24="Mt-")*6)+SUMPRODUCT(($AN24:$AS24="M")*6+($AN24:$AS24="T")*6+($AN24:$AS24="D")*12+($AN24:$AS24="N")*12+($AN24:$AS24="NT")*6+($AN24:$AS24="C")*10+($AN24:$AS24="A")*8+($AN24:$AS24="J")*5+($AN24:$AS24="CEP")*4+($AN24:$AS24="CP")*6+($AN24:$AS24="CRO")*6+($AN24:$AS24="M+")*6+($AN24:$AS24="T+")*6+($AN24:$AS24="D+")*12+($AN24:$AS24="N+")*12+($AN24:$AS24="Dm+")*12+($AN24:$AS24="Dt+")*12+($AN24:$AS24="Tm-")*6+($AN24:$AS24="Mt-")*6)</f>
        <v/>
      </c>
      <c r="BE24" s="118">
        <f>BD24-MAX(0,IFERROR(INDEX(CADASTRO!$I$4:$I$80,MATCH($A24,CADASTRO!$A$4:$A$80,0)),$B24)-CONFIG!$B$50*(COUNTIF($AM24:$AM24,"AB")+COUNTIF($AM24:$AM24,"FE")+COUNTIF($AM24:$AM24,"LM")+COUNTIF($AN24:$AS24,"AB")+COUNTIF($AN24:$AS24,"FE")+COUNTIF($AN24:$AS24,"LM")))</f>
        <v/>
      </c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36">
        <f>IFERROR(INDEX(JUL!AI$8:AI$73,MATCH($A25,JUL!$A$8:$A$73,0))&amp;"","")</f>
        <v/>
      </c>
      <c r="E25" s="136">
        <f>IFERROR(INDEX(JUL!AJ$8:AJ$73,MATCH($A25,JUL!$A$8:$A$73,0))&amp;"","")</f>
        <v/>
      </c>
      <c r="F25" s="136">
        <f>IFERROR(INDEX(JUL!AK$8:AK$73,MATCH($A25,JUL!$A$8:$A$73,0))&amp;"","")</f>
        <v/>
      </c>
      <c r="G25" s="136">
        <f>IFERROR(INDEX(JUL!AL$8:AL$73,MATCH($A25,JUL!$A$8:$A$73,0))&amp;"","")</f>
        <v/>
      </c>
      <c r="H25" s="136">
        <f>IFERROR(INDEX(JUL!AM$8:AM$73,MATCH($A25,JUL!$A$8:$A$73,0))&amp;"","")</f>
        <v/>
      </c>
      <c r="I25" s="114" t="n"/>
      <c r="J25" s="114" t="n"/>
      <c r="K25" s="114" t="n"/>
      <c r="L25" s="125" t="inlineStr">
        <is>
          <t>N</t>
        </is>
      </c>
      <c r="M25" s="125" t="inlineStr">
        <is>
          <t>N</t>
        </is>
      </c>
      <c r="N25" s="114" t="n"/>
      <c r="O25" s="114" t="n"/>
      <c r="P25" s="114" t="n"/>
      <c r="Q25" s="125" t="inlineStr">
        <is>
          <t>N</t>
        </is>
      </c>
      <c r="R25" s="114" t="n"/>
      <c r="S25" s="125" t="inlineStr">
        <is>
          <t>N</t>
        </is>
      </c>
      <c r="T25" s="125" t="inlineStr">
        <is>
          <t>N</t>
        </is>
      </c>
      <c r="U25" s="114" t="n"/>
      <c r="V25" s="114" t="n"/>
      <c r="W25" s="114" t="n"/>
      <c r="X25" s="125" t="inlineStr">
        <is>
          <t>N</t>
        </is>
      </c>
      <c r="Y25" s="125" t="inlineStr">
        <is>
          <t>N</t>
        </is>
      </c>
      <c r="Z25" s="125" t="inlineStr">
        <is>
          <t>N</t>
        </is>
      </c>
      <c r="AA25" s="125" t="inlineStr">
        <is>
          <t>N</t>
        </is>
      </c>
      <c r="AB25" s="114" t="n"/>
      <c r="AC25" s="114" t="n"/>
      <c r="AD25" s="114" t="n"/>
      <c r="AE25" s="114" t="n"/>
      <c r="AF25" s="125" t="inlineStr">
        <is>
          <t>N</t>
        </is>
      </c>
      <c r="AG25" s="125" t="inlineStr">
        <is>
          <t>N</t>
        </is>
      </c>
      <c r="AH25" s="125" t="inlineStr">
        <is>
          <t>N</t>
        </is>
      </c>
      <c r="AI25" s="114" t="n"/>
      <c r="AJ25" s="114" t="n"/>
      <c r="AK25" s="114" t="n"/>
      <c r="AL25" s="114" t="n"/>
      <c r="AM25" s="114" t="n"/>
      <c r="AN25" s="136">
        <f>IFERROR(INDEX(SET!I$8:I$73,MATCH($A25,SET!$A$8:$A$73,0))&amp;"","")</f>
        <v/>
      </c>
      <c r="AO25" s="136">
        <f>IFERROR(INDEX(SET!J$8:J$73,MATCH($A25,SET!$A$8:$A$73,0))&amp;"","")</f>
        <v/>
      </c>
      <c r="AP25" s="136">
        <f>IFERROR(INDEX(SET!K$8:K$73,MATCH($A25,SET!$A$8:$A$73,0))&amp;"","")</f>
        <v/>
      </c>
      <c r="AQ25" s="136">
        <f>IFERROR(INDEX(SET!L$8:L$73,MATCH($A25,SET!$A$8:$A$73,0))&amp;"","")</f>
        <v/>
      </c>
      <c r="AR25" s="116">
        <f>IFERROR(INDEX(SET!M$8:M$73,MATCH($A25,SET!$A$8:$A$73,0))&amp;"","")</f>
        <v/>
      </c>
      <c r="AS25" s="116">
        <f>IFERROR(INDEX(SET!N$8:N$73,MATCH($A25,SET!$A$8:$A$73,0))&amp;"","")</f>
        <v/>
      </c>
      <c r="AT25" s="117">
        <f>SUMPRODUCT(($D25:$J25="M")*6+($D25:$J25="T")*6+($D25:$J25="D")*12+($D25:$J25="N")*12+($D25:$J25="NT")*6+($D25:$J25="C")*10+($D25:$J25="A")*8+($D25:$J25="J")*5+($D25:$J25="CEP")*4+($D25:$J25="CP")*6+($D25:$J25="CRO")*6+($D25:$J25="M+")*6+($D25:$J25="T+")*6+($D25:$J25="D+")*12+($D25:$J25="N+")*12+($D25:$J25="Dm+")*12+($D25:$J25="Dt+")*12+($D25:$J25="Tm-")*6+($D25:$J25="Mt-")*6)</f>
        <v/>
      </c>
      <c r="AU25" s="118">
        <f>AT25-MAX(0,IFERROR(INDEX(CADASTRO!$I$4:$I$80,MATCH($A25,CADASTRO!$A$4:$A$80,0)),$B25)-CONFIG!$B$50*(COUNTIF($D25:$J25,"AB")+COUNTIF($D25:$J25,"FE")+COUNTIF($D25:$J25,"LM")))</f>
        <v/>
      </c>
      <c r="AV25" s="117">
        <f>SUMPRODUCT(($K25:$Q25="M")*6+($K25:$Q25="T")*6+($K25:$Q25="D")*12+($K25:$Q25="N")*12+($K25:$Q25="NT")*6+($K25:$Q25="C")*10+($K25:$Q25="A")*8+($K25:$Q25="J")*5+($K25:$Q25="CEP")*4+($K25:$Q25="CP")*6+($K25:$Q25="CRO")*6+($K25:$Q25="M+")*6+($K25:$Q25="T+")*6+($K25:$Q25="D+")*12+($K25:$Q25="N+")*12+($K25:$Q25="Dm+")*12+($K25:$Q25="Dt+")*12+($K25:$Q25="Tm-")*6+($K25:$Q25="Mt-")*6)</f>
        <v/>
      </c>
      <c r="AW25" s="118">
        <f>AV25-MAX(0,IFERROR(INDEX(CADASTRO!$I$4:$I$80,MATCH($A25,CADASTRO!$A$4:$A$80,0)),$B25)-CONFIG!$B$50*(COUNTIF($K25:$Q25,"AB")+COUNTIF($K25:$Q25,"FE")+COUNTIF($K25:$Q25,"LM")))</f>
        <v/>
      </c>
      <c r="AX25" s="117">
        <f>SUMPRODUCT(($R25:$X25="M")*6+($R25:$X25="T")*6+($R25:$X25="D")*12+($R25:$X25="N")*12+($R25:$X25="NT")*6+($R25:$X25="C")*10+($R25:$X25="A")*8+($R25:$X25="J")*5+($R25:$X25="CEP")*4+($R25:$X25="CP")*6+($R25:$X25="CRO")*6+($R25:$X25="M+")*6+($R25:$X25="T+")*6+($R25:$X25="D+")*12+($R25:$X25="N+")*12+($R25:$X25="Dm+")*12+($R25:$X25="Dt+")*12+($R25:$X25="Tm-")*6+($R25:$X25="Mt-")*6)</f>
        <v/>
      </c>
      <c r="AY25" s="118">
        <f>AX25-MAX(0,IFERROR(INDEX(CADASTRO!$I$4:$I$80,MATCH($A25,CADASTRO!$A$4:$A$80,0)),$B25)-CONFIG!$B$50*(COUNTIF($R25:$X25,"AB")+COUNTIF($R25:$X25,"FE")+COUNTIF($R25:$X25,"LM")))</f>
        <v/>
      </c>
      <c r="AZ25" s="117">
        <f>SUMPRODUCT(($Y25:$AE25="M")*6+($Y25:$AE25="T")*6+($Y25:$AE25="D")*12+($Y25:$AE25="N")*12+($Y25:$AE25="NT")*6+($Y25:$AE25="C")*10+($Y25:$AE25="A")*8+($Y25:$AE25="J")*5+($Y25:$AE25="CEP")*4+($Y25:$AE25="CP")*6+($Y25:$AE25="CRO")*6+($Y25:$AE25="M+")*6+($Y25:$AE25="T+")*6+($Y25:$AE25="D+")*12+($Y25:$AE25="N+")*12+($Y25:$AE25="Dm+")*12+($Y25:$AE25="Dt+")*12+($Y25:$AE25="Tm-")*6+($Y25:$AE25="Mt-")*6)</f>
        <v/>
      </c>
      <c r="BA25" s="118">
        <f>AZ25-MAX(0,IFERROR(INDEX(CADASTRO!$I$4:$I$80,MATCH($A25,CADASTRO!$A$4:$A$80,0)),$B25)-CONFIG!$B$50*(COUNTIF($Y25:$AE25,"AB")+COUNTIF($Y25:$AE25,"FE")+COUNTIF($Y25:$AE25,"LM")))</f>
        <v/>
      </c>
      <c r="BB25" s="117">
        <f>SUMPRODUCT(($AF25:$AL25="M")*6+($AF25:$AL25="T")*6+($AF25:$AL25="D")*12+($AF25:$AL25="N")*12+($AF25:$AL25="NT")*6+($AF25:$AL25="C")*10+($AF25:$AL25="A")*8+($AF25:$AL25="J")*5+($AF25:$AL25="CEP")*4+($AF25:$AL25="CP")*6+($AF25:$AL25="CRO")*6+($AF25:$AL25="M+")*6+($AF25:$AL25="T+")*6+($AF25:$AL25="D+")*12+($AF25:$AL25="N+")*12+($AF25:$AL25="Dm+")*12+($AF25:$AL25="Dt+")*12+($AF25:$AL25="Tm-")*6+($AF25:$AL25="Mt-")*6)</f>
        <v/>
      </c>
      <c r="BC25" s="118">
        <f>BB25-MAX(0,IFERROR(INDEX(CADASTRO!$I$4:$I$80,MATCH($A25,CADASTRO!$A$4:$A$80,0)),$B25)-CONFIG!$B$50*(COUNTIF($AF25:$AL25,"AB")+COUNTIF($AF25:$AL25,"FE")+COUNTIF($AF25:$AL25,"LM")))</f>
        <v/>
      </c>
      <c r="BD25" s="117">
        <f>SUMPRODUCT(($AM25:$AM25="M")*6+($AM25:$AM25="T")*6+($AM25:$AM25="D")*12+($AM25:$AM25="N")*12+($AM25:$AM25="NT")*6+($AM25:$AM25="C")*10+($AM25:$AM25="A")*8+($AM25:$AM25="J")*5+($AM25:$AM25="CEP")*4+($AM25:$AM25="CP")*6+($AM25:$AM25="CRO")*6+($AM25:$AM25="M+")*6+($AM25:$AM25="T+")*6+($AM25:$AM25="D+")*12+($AM25:$AM25="N+")*12+($AM25:$AM25="Dm+")*12+($AM25:$AM25="Dt+")*12+($AM25:$AM25="Tm-")*6+($AM25:$AM25="Mt-")*6)+SUMPRODUCT(($AN25:$AS25="M")*6+($AN25:$AS25="T")*6+($AN25:$AS25="D")*12+($AN25:$AS25="N")*12+($AN25:$AS25="NT")*6+($AN25:$AS25="C")*10+($AN25:$AS25="A")*8+($AN25:$AS25="J")*5+($AN25:$AS25="CEP")*4+($AN25:$AS25="CP")*6+($AN25:$AS25="CRO")*6+($AN25:$AS25="M+")*6+($AN25:$AS25="T+")*6+($AN25:$AS25="D+")*12+($AN25:$AS25="N+")*12+($AN25:$AS25="Dm+")*12+($AN25:$AS25="Dt+")*12+($AN25:$AS25="Tm-")*6+($AN25:$AS25="Mt-")*6)</f>
        <v/>
      </c>
      <c r="BE25" s="118">
        <f>BD25-MAX(0,IFERROR(INDEX(CADASTRO!$I$4:$I$80,MATCH($A25,CADASTRO!$A$4:$A$80,0)),$B25)-CONFIG!$B$50*(COUNTIF($AM25:$AM25,"AB")+COUNTIF($AM25:$AM25,"FE")+COUNTIF($AM25:$AM25,"LM")+COUNTIF($AN25:$AS25,"AB")+COUNTIF($AN25:$AS25,"FE")+COUNTIF($AN25:$AS25,"LM")))</f>
        <v/>
      </c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36">
        <f>IFERROR(INDEX(JUL!AI$8:AI$73,MATCH($A26,JUL!$A$8:$A$73,0))&amp;"","")</f>
        <v/>
      </c>
      <c r="E26" s="136">
        <f>IFERROR(INDEX(JUL!AJ$8:AJ$73,MATCH($A26,JUL!$A$8:$A$73,0))&amp;"","")</f>
        <v/>
      </c>
      <c r="F26" s="136">
        <f>IFERROR(INDEX(JUL!AK$8:AK$73,MATCH($A26,JUL!$A$8:$A$73,0))&amp;"","")</f>
        <v/>
      </c>
      <c r="G26" s="136">
        <f>IFERROR(INDEX(JUL!AL$8:AL$73,MATCH($A26,JUL!$A$8:$A$73,0))&amp;"","")</f>
        <v/>
      </c>
      <c r="H26" s="136">
        <f>IFERROR(INDEX(JUL!AM$8:AM$73,MATCH($A26,JUL!$A$8:$A$73,0))&amp;"","")</f>
        <v/>
      </c>
      <c r="I26" s="115" t="inlineStr">
        <is>
          <t>M</t>
        </is>
      </c>
      <c r="J26" s="126" t="inlineStr">
        <is>
          <t>T</t>
        </is>
      </c>
      <c r="K26" s="123" t="inlineStr">
        <is>
          <t>M+</t>
        </is>
      </c>
      <c r="L26" s="114" t="n"/>
      <c r="M26" s="124" t="inlineStr">
        <is>
          <t>D</t>
        </is>
      </c>
      <c r="N26" s="114" t="n"/>
      <c r="O26" s="125" t="inlineStr">
        <is>
          <t>N</t>
        </is>
      </c>
      <c r="P26" s="114" t="n"/>
      <c r="Q26" s="125" t="inlineStr">
        <is>
          <t>N</t>
        </is>
      </c>
      <c r="R26" s="126" t="inlineStr">
        <is>
          <t>T</t>
        </is>
      </c>
      <c r="S26" s="114" t="n"/>
      <c r="T26" s="127" t="inlineStr">
        <is>
          <t>Mt-</t>
        </is>
      </c>
      <c r="U26" s="125" t="inlineStr">
        <is>
          <t>N</t>
        </is>
      </c>
      <c r="V26" s="114" t="n"/>
      <c r="W26" s="114" t="n"/>
      <c r="X26" s="115" t="inlineStr">
        <is>
          <t>M</t>
        </is>
      </c>
      <c r="Y26" s="125" t="inlineStr">
        <is>
          <t>N</t>
        </is>
      </c>
      <c r="Z26" s="114" t="n"/>
      <c r="AA26" s="124" t="inlineStr">
        <is>
          <t>D</t>
        </is>
      </c>
      <c r="AB26" s="114" t="n"/>
      <c r="AC26" s="124" t="inlineStr">
        <is>
          <t>D</t>
        </is>
      </c>
      <c r="AD26" s="114" t="n"/>
      <c r="AE26" s="114" t="n"/>
      <c r="AF26" s="114" t="n"/>
      <c r="AG26" s="125" t="inlineStr">
        <is>
          <t>N</t>
        </is>
      </c>
      <c r="AH26" s="114" t="n"/>
      <c r="AI26" s="114" t="n"/>
      <c r="AJ26" s="124" t="inlineStr">
        <is>
          <t>D</t>
        </is>
      </c>
      <c r="AK26" s="114" t="n"/>
      <c r="AL26" s="125" t="inlineStr">
        <is>
          <t>N</t>
        </is>
      </c>
      <c r="AM26" s="114" t="n"/>
      <c r="AN26" s="136">
        <f>IFERROR(INDEX(SET!I$8:I$73,MATCH($A26,SET!$A$8:$A$73,0))&amp;"","")</f>
        <v/>
      </c>
      <c r="AO26" s="136">
        <f>IFERROR(INDEX(SET!J$8:J$73,MATCH($A26,SET!$A$8:$A$73,0))&amp;"","")</f>
        <v/>
      </c>
      <c r="AP26" s="136">
        <f>IFERROR(INDEX(SET!K$8:K$73,MATCH($A26,SET!$A$8:$A$73,0))&amp;"","")</f>
        <v/>
      </c>
      <c r="AQ26" s="136">
        <f>IFERROR(INDEX(SET!L$8:L$73,MATCH($A26,SET!$A$8:$A$73,0))&amp;"","")</f>
        <v/>
      </c>
      <c r="AR26" s="116">
        <f>IFERROR(INDEX(SET!M$8:M$73,MATCH($A26,SET!$A$8:$A$73,0))&amp;"","")</f>
        <v/>
      </c>
      <c r="AS26" s="116">
        <f>IFERROR(INDEX(SET!N$8:N$73,MATCH($A26,SET!$A$8:$A$73,0))&amp;"","")</f>
        <v/>
      </c>
      <c r="AT26" s="117">
        <f>SUMPRODUCT(($D26:$J26="M")*6+($D26:$J26="T")*6+($D26:$J26="D")*12+($D26:$J26="N")*12+($D26:$J26="NT")*6+($D26:$J26="C")*10+($D26:$J26="A")*8+($D26:$J26="J")*5+($D26:$J26="CEP")*4+($D26:$J26="CP")*6+($D26:$J26="CRO")*6+($D26:$J26="M+")*6+($D26:$J26="T+")*6+($D26:$J26="D+")*12+($D26:$J26="N+")*12+($D26:$J26="Dm+")*12+($D26:$J26="Dt+")*12+($D26:$J26="Tm-")*6+($D26:$J26="Mt-")*6)</f>
        <v/>
      </c>
      <c r="AU26" s="118">
        <f>AT26-MAX(0,IFERROR(INDEX(CADASTRO!$I$4:$I$80,MATCH($A26,CADASTRO!$A$4:$A$80,0)),$B26)-CONFIG!$B$50*(COUNTIF($D26:$J26,"AB")+COUNTIF($D26:$J26,"FE")+COUNTIF($D26:$J26,"LM")))</f>
        <v/>
      </c>
      <c r="AV26" s="117">
        <f>SUMPRODUCT(($K26:$Q26="M")*6+($K26:$Q26="T")*6+($K26:$Q26="D")*12+($K26:$Q26="N")*12+($K26:$Q26="NT")*6+($K26:$Q26="C")*10+($K26:$Q26="A")*8+($K26:$Q26="J")*5+($K26:$Q26="CEP")*4+($K26:$Q26="CP")*6+($K26:$Q26="CRO")*6+($K26:$Q26="M+")*6+($K26:$Q26="T+")*6+($K26:$Q26="D+")*12+($K26:$Q26="N+")*12+($K26:$Q26="Dm+")*12+($K26:$Q26="Dt+")*12+($K26:$Q26="Tm-")*6+($K26:$Q26="Mt-")*6)</f>
        <v/>
      </c>
      <c r="AW26" s="118">
        <f>AV26-MAX(0,IFERROR(INDEX(CADASTRO!$I$4:$I$80,MATCH($A26,CADASTRO!$A$4:$A$80,0)),$B26)-CONFIG!$B$50*(COUNTIF($K26:$Q26,"AB")+COUNTIF($K26:$Q26,"FE")+COUNTIF($K26:$Q26,"LM")))</f>
        <v/>
      </c>
      <c r="AX26" s="117">
        <f>SUMPRODUCT(($R26:$X26="M")*6+($R26:$X26="T")*6+($R26:$X26="D")*12+($R26:$X26="N")*12+($R26:$X26="NT")*6+($R26:$X26="C")*10+($R26:$X26="A")*8+($R26:$X26="J")*5+($R26:$X26="CEP")*4+($R26:$X26="CP")*6+($R26:$X26="CRO")*6+($R26:$X26="M+")*6+($R26:$X26="T+")*6+($R26:$X26="D+")*12+($R26:$X26="N+")*12+($R26:$X26="Dm+")*12+($R26:$X26="Dt+")*12+($R26:$X26="Tm-")*6+($R26:$X26="Mt-")*6)</f>
        <v/>
      </c>
      <c r="AY26" s="118">
        <f>AX26-MAX(0,IFERROR(INDEX(CADASTRO!$I$4:$I$80,MATCH($A26,CADASTRO!$A$4:$A$80,0)),$B26)-CONFIG!$B$50*(COUNTIF($R26:$X26,"AB")+COUNTIF($R26:$X26,"FE")+COUNTIF($R26:$X26,"LM")))</f>
        <v/>
      </c>
      <c r="AZ26" s="117">
        <f>SUMPRODUCT(($Y26:$AE26="M")*6+($Y26:$AE26="T")*6+($Y26:$AE26="D")*12+($Y26:$AE26="N")*12+($Y26:$AE26="NT")*6+($Y26:$AE26="C")*10+($Y26:$AE26="A")*8+($Y26:$AE26="J")*5+($Y26:$AE26="CEP")*4+($Y26:$AE26="CP")*6+($Y26:$AE26="CRO")*6+($Y26:$AE26="M+")*6+($Y26:$AE26="T+")*6+($Y26:$AE26="D+")*12+($Y26:$AE26="N+")*12+($Y26:$AE26="Dm+")*12+($Y26:$AE26="Dt+")*12+($Y26:$AE26="Tm-")*6+($Y26:$AE26="Mt-")*6)</f>
        <v/>
      </c>
      <c r="BA26" s="118">
        <f>AZ26-MAX(0,IFERROR(INDEX(CADASTRO!$I$4:$I$80,MATCH($A26,CADASTRO!$A$4:$A$80,0)),$B26)-CONFIG!$B$50*(COUNTIF($Y26:$AE26,"AB")+COUNTIF($Y26:$AE26,"FE")+COUNTIF($Y26:$AE26,"LM")))</f>
        <v/>
      </c>
      <c r="BB26" s="117">
        <f>SUMPRODUCT(($AF26:$AL26="M")*6+($AF26:$AL26="T")*6+($AF26:$AL26="D")*12+($AF26:$AL26="N")*12+($AF26:$AL26="NT")*6+($AF26:$AL26="C")*10+($AF26:$AL26="A")*8+($AF26:$AL26="J")*5+($AF26:$AL26="CEP")*4+($AF26:$AL26="CP")*6+($AF26:$AL26="CRO")*6+($AF26:$AL26="M+")*6+($AF26:$AL26="T+")*6+($AF26:$AL26="D+")*12+($AF26:$AL26="N+")*12+($AF26:$AL26="Dm+")*12+($AF26:$AL26="Dt+")*12+($AF26:$AL26="Tm-")*6+($AF26:$AL26="Mt-")*6)</f>
        <v/>
      </c>
      <c r="BC26" s="118">
        <f>BB26-MAX(0,IFERROR(INDEX(CADASTRO!$I$4:$I$80,MATCH($A26,CADASTRO!$A$4:$A$80,0)),$B26)-CONFIG!$B$50*(COUNTIF($AF26:$AL26,"AB")+COUNTIF($AF26:$AL26,"FE")+COUNTIF($AF26:$AL26,"LM")))</f>
        <v/>
      </c>
      <c r="BD26" s="117">
        <f>SUMPRODUCT(($AM26:$AM26="M")*6+($AM26:$AM26="T")*6+($AM26:$AM26="D")*12+($AM26:$AM26="N")*12+($AM26:$AM26="NT")*6+($AM26:$AM26="C")*10+($AM26:$AM26="A")*8+($AM26:$AM26="J")*5+($AM26:$AM26="CEP")*4+($AM26:$AM26="CP")*6+($AM26:$AM26="CRO")*6+($AM26:$AM26="M+")*6+($AM26:$AM26="T+")*6+($AM26:$AM26="D+")*12+($AM26:$AM26="N+")*12+($AM26:$AM26="Dm+")*12+($AM26:$AM26="Dt+")*12+($AM26:$AM26="Tm-")*6+($AM26:$AM26="Mt-")*6)+SUMPRODUCT(($AN26:$AS26="M")*6+($AN26:$AS26="T")*6+($AN26:$AS26="D")*12+($AN26:$AS26="N")*12+($AN26:$AS26="NT")*6+($AN26:$AS26="C")*10+($AN26:$AS26="A")*8+($AN26:$AS26="J")*5+($AN26:$AS26="CEP")*4+($AN26:$AS26="CP")*6+($AN26:$AS26="CRO")*6+($AN26:$AS26="M+")*6+($AN26:$AS26="T+")*6+($AN26:$AS26="D+")*12+($AN26:$AS26="N+")*12+($AN26:$AS26="Dm+")*12+($AN26:$AS26="Dt+")*12+($AN26:$AS26="Tm-")*6+($AN26:$AS26="Mt-")*6)</f>
        <v/>
      </c>
      <c r="BE26" s="118">
        <f>BD26-MAX(0,IFERROR(INDEX(CADASTRO!$I$4:$I$80,MATCH($A26,CADASTRO!$A$4:$A$80,0)),$B26)-CONFIG!$B$50*(COUNTIF($AM26:$AM26,"AB")+COUNTIF($AM26:$AM26,"FE")+COUNTIF($AM26:$AM26,"LM")+COUNTIF($AN26:$AS26,"AB")+COUNTIF($AN26:$AS26,"FE")+COUNTIF($AN26:$AS26,"LM")))</f>
        <v/>
      </c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36">
        <f>IFERROR(INDEX(JUL!AI$8:AI$73,MATCH($A27,JUL!$A$8:$A$73,0))&amp;"","")</f>
        <v/>
      </c>
      <c r="E27" s="136">
        <f>IFERROR(INDEX(JUL!AJ$8:AJ$73,MATCH($A27,JUL!$A$8:$A$73,0))&amp;"","")</f>
        <v/>
      </c>
      <c r="F27" s="136">
        <f>IFERROR(INDEX(JUL!AK$8:AK$73,MATCH($A27,JUL!$A$8:$A$73,0))&amp;"","")</f>
        <v/>
      </c>
      <c r="G27" s="136">
        <f>IFERROR(INDEX(JUL!AL$8:AL$73,MATCH($A27,JUL!$A$8:$A$73,0))&amp;"","")</f>
        <v/>
      </c>
      <c r="H27" s="136">
        <f>IFERROR(INDEX(JUL!AM$8:AM$73,MATCH($A27,JUL!$A$8:$A$73,0))&amp;"","")</f>
        <v/>
      </c>
      <c r="I27" s="114" t="n"/>
      <c r="J27" s="114" t="n"/>
      <c r="K27" s="114" t="n"/>
      <c r="L27" s="125" t="inlineStr">
        <is>
          <t>N</t>
        </is>
      </c>
      <c r="M27" s="114" t="n"/>
      <c r="N27" s="125" t="inlineStr">
        <is>
          <t>N</t>
        </is>
      </c>
      <c r="O27" s="114" t="n"/>
      <c r="P27" s="125" t="inlineStr">
        <is>
          <t>N</t>
        </is>
      </c>
      <c r="Q27" s="114" t="n"/>
      <c r="R27" s="114" t="n"/>
      <c r="S27" s="125" t="inlineStr">
        <is>
          <t>N</t>
        </is>
      </c>
      <c r="T27" s="114" t="n"/>
      <c r="U27" s="125" t="inlineStr">
        <is>
          <t>N</t>
        </is>
      </c>
      <c r="V27" s="114" t="n"/>
      <c r="W27" s="125" t="inlineStr">
        <is>
          <t>N</t>
        </is>
      </c>
      <c r="X27" s="114" t="n"/>
      <c r="Y27" s="114" t="n"/>
      <c r="Z27" s="125" t="inlineStr">
        <is>
          <t>N</t>
        </is>
      </c>
      <c r="AA27" s="114" t="n"/>
      <c r="AB27" s="125" t="inlineStr">
        <is>
          <t>N</t>
        </is>
      </c>
      <c r="AC27" s="114" t="n"/>
      <c r="AD27" s="125" t="inlineStr">
        <is>
          <t>N</t>
        </is>
      </c>
      <c r="AE27" s="114" t="n"/>
      <c r="AF27" s="114" t="n"/>
      <c r="AG27" s="125" t="inlineStr">
        <is>
          <t>N</t>
        </is>
      </c>
      <c r="AH27" s="130" t="inlineStr">
        <is>
          <t>CRO</t>
        </is>
      </c>
      <c r="AI27" s="125" t="inlineStr">
        <is>
          <t>N</t>
        </is>
      </c>
      <c r="AJ27" s="130" t="inlineStr">
        <is>
          <t>CRO</t>
        </is>
      </c>
      <c r="AK27" s="114" t="n"/>
      <c r="AL27" s="114" t="n"/>
      <c r="AM27" s="114" t="n"/>
      <c r="AN27" s="136">
        <f>IFERROR(INDEX(SET!I$8:I$73,MATCH($A27,SET!$A$8:$A$73,0))&amp;"","")</f>
        <v/>
      </c>
      <c r="AO27" s="136">
        <f>IFERROR(INDEX(SET!J$8:J$73,MATCH($A27,SET!$A$8:$A$73,0))&amp;"","")</f>
        <v/>
      </c>
      <c r="AP27" s="136">
        <f>IFERROR(INDEX(SET!K$8:K$73,MATCH($A27,SET!$A$8:$A$73,0))&amp;"","")</f>
        <v/>
      </c>
      <c r="AQ27" s="136">
        <f>IFERROR(INDEX(SET!L$8:L$73,MATCH($A27,SET!$A$8:$A$73,0))&amp;"","")</f>
        <v/>
      </c>
      <c r="AR27" s="116">
        <f>IFERROR(INDEX(SET!M$8:M$73,MATCH($A27,SET!$A$8:$A$73,0))&amp;"","")</f>
        <v/>
      </c>
      <c r="AS27" s="116">
        <f>IFERROR(INDEX(SET!N$8:N$73,MATCH($A27,SET!$A$8:$A$73,0))&amp;"","")</f>
        <v/>
      </c>
      <c r="AT27" s="117">
        <f>SUMPRODUCT(($D27:$J27="M")*6+($D27:$J27="T")*6+($D27:$J27="D")*12+($D27:$J27="N")*12+($D27:$J27="NT")*6+($D27:$J27="C")*10+($D27:$J27="A")*8+($D27:$J27="J")*5+($D27:$J27="CEP")*4+($D27:$J27="CP")*6+($D27:$J27="CRO")*6+($D27:$J27="M+")*6+($D27:$J27="T+")*6+($D27:$J27="D+")*12+($D27:$J27="N+")*12+($D27:$J27="Dm+")*12+($D27:$J27="Dt+")*12+($D27:$J27="Tm-")*6+($D27:$J27="Mt-")*6)</f>
        <v/>
      </c>
      <c r="AU27" s="118">
        <f>AT27-MAX(0,IFERROR(INDEX(CADASTRO!$I$4:$I$80,MATCH($A27,CADASTRO!$A$4:$A$80,0)),$B27)-CONFIG!$B$50*(COUNTIF($D27:$J27,"AB")+COUNTIF($D27:$J27,"FE")+COUNTIF($D27:$J27,"LM")))</f>
        <v/>
      </c>
      <c r="AV27" s="117">
        <f>SUMPRODUCT(($K27:$Q27="M")*6+($K27:$Q27="T")*6+($K27:$Q27="D")*12+($K27:$Q27="N")*12+($K27:$Q27="NT")*6+($K27:$Q27="C")*10+($K27:$Q27="A")*8+($K27:$Q27="J")*5+($K27:$Q27="CEP")*4+($K27:$Q27="CP")*6+($K27:$Q27="CRO")*6+($K27:$Q27="M+")*6+($K27:$Q27="T+")*6+($K27:$Q27="D+")*12+($K27:$Q27="N+")*12+($K27:$Q27="Dm+")*12+($K27:$Q27="Dt+")*12+($K27:$Q27="Tm-")*6+($K27:$Q27="Mt-")*6)</f>
        <v/>
      </c>
      <c r="AW27" s="118">
        <f>AV27-MAX(0,IFERROR(INDEX(CADASTRO!$I$4:$I$80,MATCH($A27,CADASTRO!$A$4:$A$80,0)),$B27)-CONFIG!$B$50*(COUNTIF($K27:$Q27,"AB")+COUNTIF($K27:$Q27,"FE")+COUNTIF($K27:$Q27,"LM")))</f>
        <v/>
      </c>
      <c r="AX27" s="117">
        <f>SUMPRODUCT(($R27:$X27="M")*6+($R27:$X27="T")*6+($R27:$X27="D")*12+($R27:$X27="N")*12+($R27:$X27="NT")*6+($R27:$X27="C")*10+($R27:$X27="A")*8+($R27:$X27="J")*5+($R27:$X27="CEP")*4+($R27:$X27="CP")*6+($R27:$X27="CRO")*6+($R27:$X27="M+")*6+($R27:$X27="T+")*6+($R27:$X27="D+")*12+($R27:$X27="N+")*12+($R27:$X27="Dm+")*12+($R27:$X27="Dt+")*12+($R27:$X27="Tm-")*6+($R27:$X27="Mt-")*6)</f>
        <v/>
      </c>
      <c r="AY27" s="118">
        <f>AX27-MAX(0,IFERROR(INDEX(CADASTRO!$I$4:$I$80,MATCH($A27,CADASTRO!$A$4:$A$80,0)),$B27)-CONFIG!$B$50*(COUNTIF($R27:$X27,"AB")+COUNTIF($R27:$X27,"FE")+COUNTIF($R27:$X27,"LM")))</f>
        <v/>
      </c>
      <c r="AZ27" s="117">
        <f>SUMPRODUCT(($Y27:$AE27="M")*6+($Y27:$AE27="T")*6+($Y27:$AE27="D")*12+($Y27:$AE27="N")*12+($Y27:$AE27="NT")*6+($Y27:$AE27="C")*10+($Y27:$AE27="A")*8+($Y27:$AE27="J")*5+($Y27:$AE27="CEP")*4+($Y27:$AE27="CP")*6+($Y27:$AE27="CRO")*6+($Y27:$AE27="M+")*6+($Y27:$AE27="T+")*6+($Y27:$AE27="D+")*12+($Y27:$AE27="N+")*12+($Y27:$AE27="Dm+")*12+($Y27:$AE27="Dt+")*12+($Y27:$AE27="Tm-")*6+($Y27:$AE27="Mt-")*6)</f>
        <v/>
      </c>
      <c r="BA27" s="118">
        <f>AZ27-MAX(0,IFERROR(INDEX(CADASTRO!$I$4:$I$80,MATCH($A27,CADASTRO!$A$4:$A$80,0)),$B27)-CONFIG!$B$50*(COUNTIF($Y27:$AE27,"AB")+COUNTIF($Y27:$AE27,"FE")+COUNTIF($Y27:$AE27,"LM")))</f>
        <v/>
      </c>
      <c r="BB27" s="117">
        <f>SUMPRODUCT(($AF27:$AL27="M")*6+($AF27:$AL27="T")*6+($AF27:$AL27="D")*12+($AF27:$AL27="N")*12+($AF27:$AL27="NT")*6+($AF27:$AL27="C")*10+($AF27:$AL27="A")*8+($AF27:$AL27="J")*5+($AF27:$AL27="CEP")*4+($AF27:$AL27="CP")*6+($AF27:$AL27="CRO")*6+($AF27:$AL27="M+")*6+($AF27:$AL27="T+")*6+($AF27:$AL27="D+")*12+($AF27:$AL27="N+")*12+($AF27:$AL27="Dm+")*12+($AF27:$AL27="Dt+")*12+($AF27:$AL27="Tm-")*6+($AF27:$AL27="Mt-")*6)</f>
        <v/>
      </c>
      <c r="BC27" s="118">
        <f>BB27-MAX(0,IFERROR(INDEX(CADASTRO!$I$4:$I$80,MATCH($A27,CADASTRO!$A$4:$A$80,0)),$B27)-CONFIG!$B$50*(COUNTIF($AF27:$AL27,"AB")+COUNTIF($AF27:$AL27,"FE")+COUNTIF($AF27:$AL27,"LM")))</f>
        <v/>
      </c>
      <c r="BD27" s="117">
        <f>SUMPRODUCT(($AM27:$AM27="M")*6+($AM27:$AM27="T")*6+($AM27:$AM27="D")*12+($AM27:$AM27="N")*12+($AM27:$AM27="NT")*6+($AM27:$AM27="C")*10+($AM27:$AM27="A")*8+($AM27:$AM27="J")*5+($AM27:$AM27="CEP")*4+($AM27:$AM27="CP")*6+($AM27:$AM27="CRO")*6+($AM27:$AM27="M+")*6+($AM27:$AM27="T+")*6+($AM27:$AM27="D+")*12+($AM27:$AM27="N+")*12+($AM27:$AM27="Dm+")*12+($AM27:$AM27="Dt+")*12+($AM27:$AM27="Tm-")*6+($AM27:$AM27="Mt-")*6)+SUMPRODUCT(($AN27:$AS27="M")*6+($AN27:$AS27="T")*6+($AN27:$AS27="D")*12+($AN27:$AS27="N")*12+($AN27:$AS27="NT")*6+($AN27:$AS27="C")*10+($AN27:$AS27="A")*8+($AN27:$AS27="J")*5+($AN27:$AS27="CEP")*4+($AN27:$AS27="CP")*6+($AN27:$AS27="CRO")*6+($AN27:$AS27="M+")*6+($AN27:$AS27="T+")*6+($AN27:$AS27="D+")*12+($AN27:$AS27="N+")*12+($AN27:$AS27="Dm+")*12+($AN27:$AS27="Dt+")*12+($AN27:$AS27="Tm-")*6+($AN27:$AS27="Mt-")*6)</f>
        <v/>
      </c>
      <c r="BE27" s="118">
        <f>BD27-MAX(0,IFERROR(INDEX(CADASTRO!$I$4:$I$80,MATCH($A27,CADASTRO!$A$4:$A$80,0)),$B27)-CONFIG!$B$50*(COUNTIF($AM27:$AM27,"AB")+COUNTIF($AM27:$AM27,"FE")+COUNTIF($AM27:$AM27,"LM")+COUNTIF($AN27:$AS27,"AB")+COUNTIF($AN27:$AS27,"FE")+COUNTIF($AN27:$AS27,"LM")))</f>
        <v/>
      </c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36">
        <f>IFERROR(INDEX(JUL!AI$8:AI$73,MATCH($A28,JUL!$A$8:$A$73,0))&amp;"","")</f>
        <v/>
      </c>
      <c r="E28" s="136">
        <f>IFERROR(INDEX(JUL!AJ$8:AJ$73,MATCH($A28,JUL!$A$8:$A$73,0))&amp;"","")</f>
        <v/>
      </c>
      <c r="F28" s="136">
        <f>IFERROR(INDEX(JUL!AK$8:AK$73,MATCH($A28,JUL!$A$8:$A$73,0))&amp;"","")</f>
        <v/>
      </c>
      <c r="G28" s="136">
        <f>IFERROR(INDEX(JUL!AL$8:AL$73,MATCH($A28,JUL!$A$8:$A$73,0))&amp;"","")</f>
        <v/>
      </c>
      <c r="H28" s="136">
        <f>IFERROR(INDEX(JUL!AM$8:AM$73,MATCH($A28,JUL!$A$8:$A$73,0))&amp;"","")</f>
        <v/>
      </c>
      <c r="I28" s="114" t="n"/>
      <c r="J28" s="126" t="inlineStr">
        <is>
          <t>T</t>
        </is>
      </c>
      <c r="K28" s="124" t="inlineStr">
        <is>
          <t>D</t>
        </is>
      </c>
      <c r="L28" s="126" t="inlineStr">
        <is>
          <t>T</t>
        </is>
      </c>
      <c r="M28" s="114" t="n"/>
      <c r="N28" s="125" t="inlineStr">
        <is>
          <t>N</t>
        </is>
      </c>
      <c r="O28" s="114" t="n"/>
      <c r="P28" s="114" t="n"/>
      <c r="Q28" s="114" t="n"/>
      <c r="R28" s="126" t="inlineStr">
        <is>
          <t>T</t>
        </is>
      </c>
      <c r="S28" s="126" t="inlineStr">
        <is>
          <t>T</t>
        </is>
      </c>
      <c r="T28" s="126" t="inlineStr">
        <is>
          <t>T</t>
        </is>
      </c>
      <c r="U28" s="114" t="n"/>
      <c r="V28" s="125" t="inlineStr">
        <is>
          <t>N</t>
        </is>
      </c>
      <c r="W28" s="114" t="n"/>
      <c r="X28" s="114" t="n"/>
      <c r="Y28" s="114" t="n"/>
      <c r="Z28" s="114" t="n"/>
      <c r="AA28" s="114" t="n"/>
      <c r="AB28" s="125" t="inlineStr">
        <is>
          <t>N</t>
        </is>
      </c>
      <c r="AC28" s="114" t="n"/>
      <c r="AD28" s="126" t="inlineStr">
        <is>
          <t>T</t>
        </is>
      </c>
      <c r="AE28" s="125" t="inlineStr">
        <is>
          <t>N</t>
        </is>
      </c>
      <c r="AF28" s="114" t="n"/>
      <c r="AG28" s="124" t="inlineStr">
        <is>
          <t>D</t>
        </is>
      </c>
      <c r="AH28" s="125" t="inlineStr">
        <is>
          <t>N</t>
        </is>
      </c>
      <c r="AI28" s="114" t="n"/>
      <c r="AJ28" s="114" t="n"/>
      <c r="AK28" s="114" t="n"/>
      <c r="AL28" s="115" t="inlineStr">
        <is>
          <t>M</t>
        </is>
      </c>
      <c r="AM28" s="114" t="n"/>
      <c r="AN28" s="136">
        <f>IFERROR(INDEX(SET!I$8:I$73,MATCH($A28,SET!$A$8:$A$73,0))&amp;"","")</f>
        <v/>
      </c>
      <c r="AO28" s="136">
        <f>IFERROR(INDEX(SET!J$8:J$73,MATCH($A28,SET!$A$8:$A$73,0))&amp;"","")</f>
        <v/>
      </c>
      <c r="AP28" s="136">
        <f>IFERROR(INDEX(SET!K$8:K$73,MATCH($A28,SET!$A$8:$A$73,0))&amp;"","")</f>
        <v/>
      </c>
      <c r="AQ28" s="136">
        <f>IFERROR(INDEX(SET!L$8:L$73,MATCH($A28,SET!$A$8:$A$73,0))&amp;"","")</f>
        <v/>
      </c>
      <c r="AR28" s="116">
        <f>IFERROR(INDEX(SET!M$8:M$73,MATCH($A28,SET!$A$8:$A$73,0))&amp;"","")</f>
        <v/>
      </c>
      <c r="AS28" s="116">
        <f>IFERROR(INDEX(SET!N$8:N$73,MATCH($A28,SET!$A$8:$A$73,0))&amp;"","")</f>
        <v/>
      </c>
      <c r="AT28" s="117">
        <f>SUMPRODUCT(($D28:$J28="M")*6+($D28:$J28="T")*6+($D28:$J28="D")*12+($D28:$J28="N")*12+($D28:$J28="NT")*6+($D28:$J28="C")*10+($D28:$J28="A")*8+($D28:$J28="J")*5+($D28:$J28="CEP")*4+($D28:$J28="CP")*6+($D28:$J28="CRO")*6+($D28:$J28="M+")*6+($D28:$J28="T+")*6+($D28:$J28="D+")*12+($D28:$J28="N+")*12+($D28:$J28="Dm+")*12+($D28:$J28="Dt+")*12+($D28:$J28="Tm-")*6+($D28:$J28="Mt-")*6)</f>
        <v/>
      </c>
      <c r="AU28" s="118">
        <f>AT28-MAX(0,IFERROR(INDEX(CADASTRO!$I$4:$I$80,MATCH($A28,CADASTRO!$A$4:$A$80,0)),$B28)-CONFIG!$B$50*(COUNTIF($D28:$J28,"AB")+COUNTIF($D28:$J28,"FE")+COUNTIF($D28:$J28,"LM")))</f>
        <v/>
      </c>
      <c r="AV28" s="117">
        <f>SUMPRODUCT(($K28:$Q28="M")*6+($K28:$Q28="T")*6+($K28:$Q28="D")*12+($K28:$Q28="N")*12+($K28:$Q28="NT")*6+($K28:$Q28="C")*10+($K28:$Q28="A")*8+($K28:$Q28="J")*5+($K28:$Q28="CEP")*4+($K28:$Q28="CP")*6+($K28:$Q28="CRO")*6+($K28:$Q28="M+")*6+($K28:$Q28="T+")*6+($K28:$Q28="D+")*12+($K28:$Q28="N+")*12+($K28:$Q28="Dm+")*12+($K28:$Q28="Dt+")*12+($K28:$Q28="Tm-")*6+($K28:$Q28="Mt-")*6)</f>
        <v/>
      </c>
      <c r="AW28" s="118">
        <f>AV28-MAX(0,IFERROR(INDEX(CADASTRO!$I$4:$I$80,MATCH($A28,CADASTRO!$A$4:$A$80,0)),$B28)-CONFIG!$B$50*(COUNTIF($K28:$Q28,"AB")+COUNTIF($K28:$Q28,"FE")+COUNTIF($K28:$Q28,"LM")))</f>
        <v/>
      </c>
      <c r="AX28" s="117">
        <f>SUMPRODUCT(($R28:$X28="M")*6+($R28:$X28="T")*6+($R28:$X28="D")*12+($R28:$X28="N")*12+($R28:$X28="NT")*6+($R28:$X28="C")*10+($R28:$X28="A")*8+($R28:$X28="J")*5+($R28:$X28="CEP")*4+($R28:$X28="CP")*6+($R28:$X28="CRO")*6+($R28:$X28="M+")*6+($R28:$X28="T+")*6+($R28:$X28="D+")*12+($R28:$X28="N+")*12+($R28:$X28="Dm+")*12+($R28:$X28="Dt+")*12+($R28:$X28="Tm-")*6+($R28:$X28="Mt-")*6)</f>
        <v/>
      </c>
      <c r="AY28" s="118">
        <f>AX28-MAX(0,IFERROR(INDEX(CADASTRO!$I$4:$I$80,MATCH($A28,CADASTRO!$A$4:$A$80,0)),$B28)-CONFIG!$B$50*(COUNTIF($R28:$X28,"AB")+COUNTIF($R28:$X28,"FE")+COUNTIF($R28:$X28,"LM")))</f>
        <v/>
      </c>
      <c r="AZ28" s="117">
        <f>SUMPRODUCT(($Y28:$AE28="M")*6+($Y28:$AE28="T")*6+($Y28:$AE28="D")*12+($Y28:$AE28="N")*12+($Y28:$AE28="NT")*6+($Y28:$AE28="C")*10+($Y28:$AE28="A")*8+($Y28:$AE28="J")*5+($Y28:$AE28="CEP")*4+($Y28:$AE28="CP")*6+($Y28:$AE28="CRO")*6+($Y28:$AE28="M+")*6+($Y28:$AE28="T+")*6+($Y28:$AE28="D+")*12+($Y28:$AE28="N+")*12+($Y28:$AE28="Dm+")*12+($Y28:$AE28="Dt+")*12+($Y28:$AE28="Tm-")*6+($Y28:$AE28="Mt-")*6)</f>
        <v/>
      </c>
      <c r="BA28" s="118">
        <f>AZ28-MAX(0,IFERROR(INDEX(CADASTRO!$I$4:$I$80,MATCH($A28,CADASTRO!$A$4:$A$80,0)),$B28)-CONFIG!$B$50*(COUNTIF($Y28:$AE28,"AB")+COUNTIF($Y28:$AE28,"FE")+COUNTIF($Y28:$AE28,"LM")))</f>
        <v/>
      </c>
      <c r="BB28" s="117">
        <f>SUMPRODUCT(($AF28:$AL28="M")*6+($AF28:$AL28="T")*6+($AF28:$AL28="D")*12+($AF28:$AL28="N")*12+($AF28:$AL28="NT")*6+($AF28:$AL28="C")*10+($AF28:$AL28="A")*8+($AF28:$AL28="J")*5+($AF28:$AL28="CEP")*4+($AF28:$AL28="CP")*6+($AF28:$AL28="CRO")*6+($AF28:$AL28="M+")*6+($AF28:$AL28="T+")*6+($AF28:$AL28="D+")*12+($AF28:$AL28="N+")*12+($AF28:$AL28="Dm+")*12+($AF28:$AL28="Dt+")*12+($AF28:$AL28="Tm-")*6+($AF28:$AL28="Mt-")*6)</f>
        <v/>
      </c>
      <c r="BC28" s="118">
        <f>BB28-MAX(0,IFERROR(INDEX(CADASTRO!$I$4:$I$80,MATCH($A28,CADASTRO!$A$4:$A$80,0)),$B28)-CONFIG!$B$50*(COUNTIF($AF28:$AL28,"AB")+COUNTIF($AF28:$AL28,"FE")+COUNTIF($AF28:$AL28,"LM")))</f>
        <v/>
      </c>
      <c r="BD28" s="117">
        <f>SUMPRODUCT(($AM28:$AM28="M")*6+($AM28:$AM28="T")*6+($AM28:$AM28="D")*12+($AM28:$AM28="N")*12+($AM28:$AM28="NT")*6+($AM28:$AM28="C")*10+($AM28:$AM28="A")*8+($AM28:$AM28="J")*5+($AM28:$AM28="CEP")*4+($AM28:$AM28="CP")*6+($AM28:$AM28="CRO")*6+($AM28:$AM28="M+")*6+($AM28:$AM28="T+")*6+($AM28:$AM28="D+")*12+($AM28:$AM28="N+")*12+($AM28:$AM28="Dm+")*12+($AM28:$AM28="Dt+")*12+($AM28:$AM28="Tm-")*6+($AM28:$AM28="Mt-")*6)+SUMPRODUCT(($AN28:$AS28="M")*6+($AN28:$AS28="T")*6+($AN28:$AS28="D")*12+($AN28:$AS28="N")*12+($AN28:$AS28="NT")*6+($AN28:$AS28="C")*10+($AN28:$AS28="A")*8+($AN28:$AS28="J")*5+($AN28:$AS28="CEP")*4+($AN28:$AS28="CP")*6+($AN28:$AS28="CRO")*6+($AN28:$AS28="M+")*6+($AN28:$AS28="T+")*6+($AN28:$AS28="D+")*12+($AN28:$AS28="N+")*12+($AN28:$AS28="Dm+")*12+($AN28:$AS28="Dt+")*12+($AN28:$AS28="Tm-")*6+($AN28:$AS28="Mt-")*6)</f>
        <v/>
      </c>
      <c r="BE28" s="118">
        <f>BD28-MAX(0,IFERROR(INDEX(CADASTRO!$I$4:$I$80,MATCH($A28,CADASTRO!$A$4:$A$80,0)),$B28)-CONFIG!$B$50*(COUNTIF($AM28:$AM28,"AB")+COUNTIF($AM28:$AM28,"FE")+COUNTIF($AM28:$AM28,"LM")+COUNTIF($AN28:$AS28,"AB")+COUNTIF($AN28:$AS28,"FE")+COUNTIF($AN28:$AS28,"LM")))</f>
        <v/>
      </c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36">
        <f>IFERROR(INDEX(JUL!AI$8:AI$73,MATCH($A29,JUL!$A$8:$A$73,0))&amp;"","")</f>
        <v/>
      </c>
      <c r="E29" s="136">
        <f>IFERROR(INDEX(JUL!AJ$8:AJ$73,MATCH($A29,JUL!$A$8:$A$73,0))&amp;"","")</f>
        <v/>
      </c>
      <c r="F29" s="136">
        <f>IFERROR(INDEX(JUL!AK$8:AK$73,MATCH($A29,JUL!$A$8:$A$73,0))&amp;"","")</f>
        <v/>
      </c>
      <c r="G29" s="136">
        <f>IFERROR(INDEX(JUL!AL$8:AL$73,MATCH($A29,JUL!$A$8:$A$73,0))&amp;"","")</f>
        <v/>
      </c>
      <c r="H29" s="136">
        <f>IFERROR(INDEX(JUL!AM$8:AM$73,MATCH($A29,JUL!$A$8:$A$73,0))&amp;"","")</f>
        <v/>
      </c>
      <c r="I29" s="114" t="n"/>
      <c r="J29" s="115" t="inlineStr">
        <is>
          <t>M</t>
        </is>
      </c>
      <c r="K29" s="125" t="inlineStr">
        <is>
          <t>N</t>
        </is>
      </c>
      <c r="L29" s="114" t="n"/>
      <c r="M29" s="115" t="inlineStr">
        <is>
          <t>M</t>
        </is>
      </c>
      <c r="N29" s="115" t="inlineStr">
        <is>
          <t>M</t>
        </is>
      </c>
      <c r="O29" s="114" t="n"/>
      <c r="P29" s="114" t="n"/>
      <c r="Q29" s="115" t="inlineStr">
        <is>
          <t>M</t>
        </is>
      </c>
      <c r="R29" s="125" t="inlineStr">
        <is>
          <t>N</t>
        </is>
      </c>
      <c r="S29" s="114" t="n"/>
      <c r="T29" s="115" t="inlineStr">
        <is>
          <t>M</t>
        </is>
      </c>
      <c r="U29" s="115" t="inlineStr">
        <is>
          <t>M</t>
        </is>
      </c>
      <c r="V29" s="114" t="n"/>
      <c r="W29" s="114" t="n"/>
      <c r="X29" s="115" t="inlineStr">
        <is>
          <t>M</t>
        </is>
      </c>
      <c r="Y29" s="114" t="n"/>
      <c r="Z29" s="114" t="n"/>
      <c r="AA29" s="114" t="n"/>
      <c r="AB29" s="114" t="n"/>
      <c r="AC29" s="125" t="inlineStr">
        <is>
          <t>N</t>
        </is>
      </c>
      <c r="AD29" s="114" t="n"/>
      <c r="AE29" s="115" t="inlineStr">
        <is>
          <t>M</t>
        </is>
      </c>
      <c r="AF29" s="125" t="inlineStr">
        <is>
          <t>N</t>
        </is>
      </c>
      <c r="AG29" s="114" t="n"/>
      <c r="AH29" s="115" t="inlineStr">
        <is>
          <t>M</t>
        </is>
      </c>
      <c r="AI29" s="126" t="inlineStr">
        <is>
          <t>T</t>
        </is>
      </c>
      <c r="AJ29" s="114" t="n"/>
      <c r="AK29" s="114" t="n"/>
      <c r="AL29" s="115" t="inlineStr">
        <is>
          <t>M</t>
        </is>
      </c>
      <c r="AM29" s="125" t="inlineStr">
        <is>
          <t>N</t>
        </is>
      </c>
      <c r="AN29" s="136">
        <f>IFERROR(INDEX(SET!I$8:I$73,MATCH($A29,SET!$A$8:$A$73,0))&amp;"","")</f>
        <v/>
      </c>
      <c r="AO29" s="136">
        <f>IFERROR(INDEX(SET!J$8:J$73,MATCH($A29,SET!$A$8:$A$73,0))&amp;"","")</f>
        <v/>
      </c>
      <c r="AP29" s="136">
        <f>IFERROR(INDEX(SET!K$8:K$73,MATCH($A29,SET!$A$8:$A$73,0))&amp;"","")</f>
        <v/>
      </c>
      <c r="AQ29" s="136">
        <f>IFERROR(INDEX(SET!L$8:L$73,MATCH($A29,SET!$A$8:$A$73,0))&amp;"","")</f>
        <v/>
      </c>
      <c r="AR29" s="116">
        <f>IFERROR(INDEX(SET!M$8:M$73,MATCH($A29,SET!$A$8:$A$73,0))&amp;"","")</f>
        <v/>
      </c>
      <c r="AS29" s="116">
        <f>IFERROR(INDEX(SET!N$8:N$73,MATCH($A29,SET!$A$8:$A$73,0))&amp;"","")</f>
        <v/>
      </c>
      <c r="AT29" s="117">
        <f>SUMPRODUCT(($D29:$J29="M")*6+($D29:$J29="T")*6+($D29:$J29="D")*12+($D29:$J29="N")*12+($D29:$J29="NT")*6+($D29:$J29="C")*10+($D29:$J29="A")*8+($D29:$J29="J")*5+($D29:$J29="CEP")*4+($D29:$J29="CP")*6+($D29:$J29="CRO")*6+($D29:$J29="M+")*6+($D29:$J29="T+")*6+($D29:$J29="D+")*12+($D29:$J29="N+")*12+($D29:$J29="Dm+")*12+($D29:$J29="Dt+")*12+($D29:$J29="Tm-")*6+($D29:$J29="Mt-")*6)</f>
        <v/>
      </c>
      <c r="AU29" s="118">
        <f>AT29-MAX(0,IFERROR(INDEX(CADASTRO!$I$4:$I$80,MATCH($A29,CADASTRO!$A$4:$A$80,0)),$B29)-CONFIG!$B$50*(COUNTIF($D29:$J29,"AB")+COUNTIF($D29:$J29,"FE")+COUNTIF($D29:$J29,"LM")))</f>
        <v/>
      </c>
      <c r="AV29" s="117">
        <f>SUMPRODUCT(($K29:$Q29="M")*6+($K29:$Q29="T")*6+($K29:$Q29="D")*12+($K29:$Q29="N")*12+($K29:$Q29="NT")*6+($K29:$Q29="C")*10+($K29:$Q29="A")*8+($K29:$Q29="J")*5+($K29:$Q29="CEP")*4+($K29:$Q29="CP")*6+($K29:$Q29="CRO")*6+($K29:$Q29="M+")*6+($K29:$Q29="T+")*6+($K29:$Q29="D+")*12+($K29:$Q29="N+")*12+($K29:$Q29="Dm+")*12+($K29:$Q29="Dt+")*12+($K29:$Q29="Tm-")*6+($K29:$Q29="Mt-")*6)</f>
        <v/>
      </c>
      <c r="AW29" s="118">
        <f>AV29-MAX(0,IFERROR(INDEX(CADASTRO!$I$4:$I$80,MATCH($A29,CADASTRO!$A$4:$A$80,0)),$B29)-CONFIG!$B$50*(COUNTIF($K29:$Q29,"AB")+COUNTIF($K29:$Q29,"FE")+COUNTIF($K29:$Q29,"LM")))</f>
        <v/>
      </c>
      <c r="AX29" s="117">
        <f>SUMPRODUCT(($R29:$X29="M")*6+($R29:$X29="T")*6+($R29:$X29="D")*12+($R29:$X29="N")*12+($R29:$X29="NT")*6+($R29:$X29="C")*10+($R29:$X29="A")*8+($R29:$X29="J")*5+($R29:$X29="CEP")*4+($R29:$X29="CP")*6+($R29:$X29="CRO")*6+($R29:$X29="M+")*6+($R29:$X29="T+")*6+($R29:$X29="D+")*12+($R29:$X29="N+")*12+($R29:$X29="Dm+")*12+($R29:$X29="Dt+")*12+($R29:$X29="Tm-")*6+($R29:$X29="Mt-")*6)</f>
        <v/>
      </c>
      <c r="AY29" s="118">
        <f>AX29-MAX(0,IFERROR(INDEX(CADASTRO!$I$4:$I$80,MATCH($A29,CADASTRO!$A$4:$A$80,0)),$B29)-CONFIG!$B$50*(COUNTIF($R29:$X29,"AB")+COUNTIF($R29:$X29,"FE")+COUNTIF($R29:$X29,"LM")))</f>
        <v/>
      </c>
      <c r="AZ29" s="117">
        <f>SUMPRODUCT(($Y29:$AE29="M")*6+($Y29:$AE29="T")*6+($Y29:$AE29="D")*12+($Y29:$AE29="N")*12+($Y29:$AE29="NT")*6+($Y29:$AE29="C")*10+($Y29:$AE29="A")*8+($Y29:$AE29="J")*5+($Y29:$AE29="CEP")*4+($Y29:$AE29="CP")*6+($Y29:$AE29="CRO")*6+($Y29:$AE29="M+")*6+($Y29:$AE29="T+")*6+($Y29:$AE29="D+")*12+($Y29:$AE29="N+")*12+($Y29:$AE29="Dm+")*12+($Y29:$AE29="Dt+")*12+($Y29:$AE29="Tm-")*6+($Y29:$AE29="Mt-")*6)</f>
        <v/>
      </c>
      <c r="BA29" s="118">
        <f>AZ29-MAX(0,IFERROR(INDEX(CADASTRO!$I$4:$I$80,MATCH($A29,CADASTRO!$A$4:$A$80,0)),$B29)-CONFIG!$B$50*(COUNTIF($Y29:$AE29,"AB")+COUNTIF($Y29:$AE29,"FE")+COUNTIF($Y29:$AE29,"LM")))</f>
        <v/>
      </c>
      <c r="BB29" s="117">
        <f>SUMPRODUCT(($AF29:$AL29="M")*6+($AF29:$AL29="T")*6+($AF29:$AL29="D")*12+($AF29:$AL29="N")*12+($AF29:$AL29="NT")*6+($AF29:$AL29="C")*10+($AF29:$AL29="A")*8+($AF29:$AL29="J")*5+($AF29:$AL29="CEP")*4+($AF29:$AL29="CP")*6+($AF29:$AL29="CRO")*6+($AF29:$AL29="M+")*6+($AF29:$AL29="T+")*6+($AF29:$AL29="D+")*12+($AF29:$AL29="N+")*12+($AF29:$AL29="Dm+")*12+($AF29:$AL29="Dt+")*12+($AF29:$AL29="Tm-")*6+($AF29:$AL29="Mt-")*6)</f>
        <v/>
      </c>
      <c r="BC29" s="118">
        <f>BB29-MAX(0,IFERROR(INDEX(CADASTRO!$I$4:$I$80,MATCH($A29,CADASTRO!$A$4:$A$80,0)),$B29)-CONFIG!$B$50*(COUNTIF($AF29:$AL29,"AB")+COUNTIF($AF29:$AL29,"FE")+COUNTIF($AF29:$AL29,"LM")))</f>
        <v/>
      </c>
      <c r="BD29" s="117">
        <f>SUMPRODUCT(($AM29:$AM29="M")*6+($AM29:$AM29="T")*6+($AM29:$AM29="D")*12+($AM29:$AM29="N")*12+($AM29:$AM29="NT")*6+($AM29:$AM29="C")*10+($AM29:$AM29="A")*8+($AM29:$AM29="J")*5+($AM29:$AM29="CEP")*4+($AM29:$AM29="CP")*6+($AM29:$AM29="CRO")*6+($AM29:$AM29="M+")*6+($AM29:$AM29="T+")*6+($AM29:$AM29="D+")*12+($AM29:$AM29="N+")*12+($AM29:$AM29="Dm+")*12+($AM29:$AM29="Dt+")*12+($AM29:$AM29="Tm-")*6+($AM29:$AM29="Mt-")*6)+SUMPRODUCT(($AN29:$AS29="M")*6+($AN29:$AS29="T")*6+($AN29:$AS29="D")*12+($AN29:$AS29="N")*12+($AN29:$AS29="NT")*6+($AN29:$AS29="C")*10+($AN29:$AS29="A")*8+($AN29:$AS29="J")*5+($AN29:$AS29="CEP")*4+($AN29:$AS29="CP")*6+($AN29:$AS29="CRO")*6+($AN29:$AS29="M+")*6+($AN29:$AS29="T+")*6+($AN29:$AS29="D+")*12+($AN29:$AS29="N+")*12+($AN29:$AS29="Dm+")*12+($AN29:$AS29="Dt+")*12+($AN29:$AS29="Tm-")*6+($AN29:$AS29="Mt-")*6)</f>
        <v/>
      </c>
      <c r="BE29" s="118">
        <f>BD29-MAX(0,IFERROR(INDEX(CADASTRO!$I$4:$I$80,MATCH($A29,CADASTRO!$A$4:$A$80,0)),$B29)-CONFIG!$B$50*(COUNTIF($AM29:$AM29,"AB")+COUNTIF($AM29:$AM29,"FE")+COUNTIF($AM29:$AM29,"LM")+COUNTIF($AN29:$AS29,"AB")+COUNTIF($AN29:$AS29,"FE")+COUNTIF($AN29:$AS29,"LM")))</f>
        <v/>
      </c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36">
        <f>IFERROR(INDEX(JUL!AI$8:AI$73,MATCH($A30,JUL!$A$8:$A$73,0))&amp;"","")</f>
        <v/>
      </c>
      <c r="E30" s="136">
        <f>IFERROR(INDEX(JUL!AJ$8:AJ$73,MATCH($A30,JUL!$A$8:$A$73,0))&amp;"","")</f>
        <v/>
      </c>
      <c r="F30" s="136">
        <f>IFERROR(INDEX(JUL!AK$8:AK$73,MATCH($A30,JUL!$A$8:$A$73,0))&amp;"","")</f>
        <v/>
      </c>
      <c r="G30" s="136">
        <f>IFERROR(INDEX(JUL!AL$8:AL$73,MATCH($A30,JUL!$A$8:$A$73,0))&amp;"","")</f>
        <v/>
      </c>
      <c r="H30" s="136">
        <f>IFERROR(INDEX(JUL!AM$8:AM$73,MATCH($A30,JUL!$A$8:$A$73,0))&amp;"","")</f>
        <v/>
      </c>
      <c r="I30" s="114" t="n"/>
      <c r="J30" s="125" t="inlineStr">
        <is>
          <t>N</t>
        </is>
      </c>
      <c r="K30" s="114" t="n"/>
      <c r="L30" s="114" t="n"/>
      <c r="M30" s="125" t="inlineStr">
        <is>
          <t>N</t>
        </is>
      </c>
      <c r="N30" s="114" t="n"/>
      <c r="O30" s="115" t="inlineStr">
        <is>
          <t>M</t>
        </is>
      </c>
      <c r="P30" s="114" t="n"/>
      <c r="Q30" s="125" t="inlineStr">
        <is>
          <t>N</t>
        </is>
      </c>
      <c r="R30" s="114" t="n"/>
      <c r="S30" s="124" t="inlineStr">
        <is>
          <t>D</t>
        </is>
      </c>
      <c r="T30" s="114" t="n"/>
      <c r="U30" s="126" t="inlineStr">
        <is>
          <t>T</t>
        </is>
      </c>
      <c r="V30" s="114" t="n"/>
      <c r="W30" s="125" t="inlineStr">
        <is>
          <t>N</t>
        </is>
      </c>
      <c r="X30" s="114" t="n"/>
      <c r="Y30" s="114" t="n"/>
      <c r="Z30" s="126" t="inlineStr">
        <is>
          <t>T</t>
        </is>
      </c>
      <c r="AA30" s="125" t="inlineStr">
        <is>
          <t>N</t>
        </is>
      </c>
      <c r="AB30" s="126" t="inlineStr">
        <is>
          <t>T</t>
        </is>
      </c>
      <c r="AC30" s="126" t="inlineStr">
        <is>
          <t>T</t>
        </is>
      </c>
      <c r="AD30" s="114" t="n"/>
      <c r="AE30" s="114" t="n"/>
      <c r="AF30" s="114" t="n"/>
      <c r="AG30" s="114" t="n"/>
      <c r="AH30" s="126" t="inlineStr">
        <is>
          <t>T</t>
        </is>
      </c>
      <c r="AI30" s="125" t="inlineStr">
        <is>
          <t>N</t>
        </is>
      </c>
      <c r="AJ30" s="114" t="n"/>
      <c r="AK30" s="125" t="inlineStr">
        <is>
          <t>N</t>
        </is>
      </c>
      <c r="AL30" s="114" t="n"/>
      <c r="AM30" s="114" t="n"/>
      <c r="AN30" s="136">
        <f>IFERROR(INDEX(SET!I$8:I$73,MATCH($A30,SET!$A$8:$A$73,0))&amp;"","")</f>
        <v/>
      </c>
      <c r="AO30" s="136">
        <f>IFERROR(INDEX(SET!J$8:J$73,MATCH($A30,SET!$A$8:$A$73,0))&amp;"","")</f>
        <v/>
      </c>
      <c r="AP30" s="136">
        <f>IFERROR(INDEX(SET!K$8:K$73,MATCH($A30,SET!$A$8:$A$73,0))&amp;"","")</f>
        <v/>
      </c>
      <c r="AQ30" s="136">
        <f>IFERROR(INDEX(SET!L$8:L$73,MATCH($A30,SET!$A$8:$A$73,0))&amp;"","")</f>
        <v/>
      </c>
      <c r="AR30" s="116">
        <f>IFERROR(INDEX(SET!M$8:M$73,MATCH($A30,SET!$A$8:$A$73,0))&amp;"","")</f>
        <v/>
      </c>
      <c r="AS30" s="116">
        <f>IFERROR(INDEX(SET!N$8:N$73,MATCH($A30,SET!$A$8:$A$73,0))&amp;"","")</f>
        <v/>
      </c>
      <c r="AT30" s="117">
        <f>SUMPRODUCT(($D30:$J30="M")*6+($D30:$J30="T")*6+($D30:$J30="D")*12+($D30:$J30="N")*12+($D30:$J30="NT")*6+($D30:$J30="C")*10+($D30:$J30="A")*8+($D30:$J30="J")*5+($D30:$J30="CEP")*4+($D30:$J30="CP")*6+($D30:$J30="CRO")*6+($D30:$J30="M+")*6+($D30:$J30="T+")*6+($D30:$J30="D+")*12+($D30:$J30="N+")*12+($D30:$J30="Dm+")*12+($D30:$J30="Dt+")*12+($D30:$J30="Tm-")*6+($D30:$J30="Mt-")*6)</f>
        <v/>
      </c>
      <c r="AU30" s="118">
        <f>AT30-MAX(0,IFERROR(INDEX(CADASTRO!$I$4:$I$80,MATCH($A30,CADASTRO!$A$4:$A$80,0)),$B30)-CONFIG!$B$50*(COUNTIF($D30:$J30,"AB")+COUNTIF($D30:$J30,"FE")+COUNTIF($D30:$J30,"LM")))</f>
        <v/>
      </c>
      <c r="AV30" s="117">
        <f>SUMPRODUCT(($K30:$Q30="M")*6+($K30:$Q30="T")*6+($K30:$Q30="D")*12+($K30:$Q30="N")*12+($K30:$Q30="NT")*6+($K30:$Q30="C")*10+($K30:$Q30="A")*8+($K30:$Q30="J")*5+($K30:$Q30="CEP")*4+($K30:$Q30="CP")*6+($K30:$Q30="CRO")*6+($K30:$Q30="M+")*6+($K30:$Q30="T+")*6+($K30:$Q30="D+")*12+($K30:$Q30="N+")*12+($K30:$Q30="Dm+")*12+($K30:$Q30="Dt+")*12+($K30:$Q30="Tm-")*6+($K30:$Q30="Mt-")*6)</f>
        <v/>
      </c>
      <c r="AW30" s="118">
        <f>AV30-MAX(0,IFERROR(INDEX(CADASTRO!$I$4:$I$80,MATCH($A30,CADASTRO!$A$4:$A$80,0)),$B30)-CONFIG!$B$50*(COUNTIF($K30:$Q30,"AB")+COUNTIF($K30:$Q30,"FE")+COUNTIF($K30:$Q30,"LM")))</f>
        <v/>
      </c>
      <c r="AX30" s="117">
        <f>SUMPRODUCT(($R30:$X30="M")*6+($R30:$X30="T")*6+($R30:$X30="D")*12+($R30:$X30="N")*12+($R30:$X30="NT")*6+($R30:$X30="C")*10+($R30:$X30="A")*8+($R30:$X30="J")*5+($R30:$X30="CEP")*4+($R30:$X30="CP")*6+($R30:$X30="CRO")*6+($R30:$X30="M+")*6+($R30:$X30="T+")*6+($R30:$X30="D+")*12+($R30:$X30="N+")*12+($R30:$X30="Dm+")*12+($R30:$X30="Dt+")*12+($R30:$X30="Tm-")*6+($R30:$X30="Mt-")*6)</f>
        <v/>
      </c>
      <c r="AY30" s="118">
        <f>AX30-MAX(0,IFERROR(INDEX(CADASTRO!$I$4:$I$80,MATCH($A30,CADASTRO!$A$4:$A$80,0)),$B30)-CONFIG!$B$50*(COUNTIF($R30:$X30,"AB")+COUNTIF($R30:$X30,"FE")+COUNTIF($R30:$X30,"LM")))</f>
        <v/>
      </c>
      <c r="AZ30" s="117">
        <f>SUMPRODUCT(($Y30:$AE30="M")*6+($Y30:$AE30="T")*6+($Y30:$AE30="D")*12+($Y30:$AE30="N")*12+($Y30:$AE30="NT")*6+($Y30:$AE30="C")*10+($Y30:$AE30="A")*8+($Y30:$AE30="J")*5+($Y30:$AE30="CEP")*4+($Y30:$AE30="CP")*6+($Y30:$AE30="CRO")*6+($Y30:$AE30="M+")*6+($Y30:$AE30="T+")*6+($Y30:$AE30="D+")*12+($Y30:$AE30="N+")*12+($Y30:$AE30="Dm+")*12+($Y30:$AE30="Dt+")*12+($Y30:$AE30="Tm-")*6+($Y30:$AE30="Mt-")*6)</f>
        <v/>
      </c>
      <c r="BA30" s="118">
        <f>AZ30-MAX(0,IFERROR(INDEX(CADASTRO!$I$4:$I$80,MATCH($A30,CADASTRO!$A$4:$A$80,0)),$B30)-CONFIG!$B$50*(COUNTIF($Y30:$AE30,"AB")+COUNTIF($Y30:$AE30,"FE")+COUNTIF($Y30:$AE30,"LM")))</f>
        <v/>
      </c>
      <c r="BB30" s="117">
        <f>SUMPRODUCT(($AF30:$AL30="M")*6+($AF30:$AL30="T")*6+($AF30:$AL30="D")*12+($AF30:$AL30="N")*12+($AF30:$AL30="NT")*6+($AF30:$AL30="C")*10+($AF30:$AL30="A")*8+($AF30:$AL30="J")*5+($AF30:$AL30="CEP")*4+($AF30:$AL30="CP")*6+($AF30:$AL30="CRO")*6+($AF30:$AL30="M+")*6+($AF30:$AL30="T+")*6+($AF30:$AL30="D+")*12+($AF30:$AL30="N+")*12+($AF30:$AL30="Dm+")*12+($AF30:$AL30="Dt+")*12+($AF30:$AL30="Tm-")*6+($AF30:$AL30="Mt-")*6)</f>
        <v/>
      </c>
      <c r="BC30" s="118">
        <f>BB30-MAX(0,IFERROR(INDEX(CADASTRO!$I$4:$I$80,MATCH($A30,CADASTRO!$A$4:$A$80,0)),$B30)-CONFIG!$B$50*(COUNTIF($AF30:$AL30,"AB")+COUNTIF($AF30:$AL30,"FE")+COUNTIF($AF30:$AL30,"LM")))</f>
        <v/>
      </c>
      <c r="BD30" s="117">
        <f>SUMPRODUCT(($AM30:$AM30="M")*6+($AM30:$AM30="T")*6+($AM30:$AM30="D")*12+($AM30:$AM30="N")*12+($AM30:$AM30="NT")*6+($AM30:$AM30="C")*10+($AM30:$AM30="A")*8+($AM30:$AM30="J")*5+($AM30:$AM30="CEP")*4+($AM30:$AM30="CP")*6+($AM30:$AM30="CRO")*6+($AM30:$AM30="M+")*6+($AM30:$AM30="T+")*6+($AM30:$AM30="D+")*12+($AM30:$AM30="N+")*12+($AM30:$AM30="Dm+")*12+($AM30:$AM30="Dt+")*12+($AM30:$AM30="Tm-")*6+($AM30:$AM30="Mt-")*6)+SUMPRODUCT(($AN30:$AS30="M")*6+($AN30:$AS30="T")*6+($AN30:$AS30="D")*12+($AN30:$AS30="N")*12+($AN30:$AS30="NT")*6+($AN30:$AS30="C")*10+($AN30:$AS30="A")*8+($AN30:$AS30="J")*5+($AN30:$AS30="CEP")*4+($AN30:$AS30="CP")*6+($AN30:$AS30="CRO")*6+($AN30:$AS30="M+")*6+($AN30:$AS30="T+")*6+($AN30:$AS30="D+")*12+($AN30:$AS30="N+")*12+($AN30:$AS30="Dm+")*12+($AN30:$AS30="Dt+")*12+($AN30:$AS30="Tm-")*6+($AN30:$AS30="Mt-")*6)</f>
        <v/>
      </c>
      <c r="BE30" s="118">
        <f>BD30-MAX(0,IFERROR(INDEX(CADASTRO!$I$4:$I$80,MATCH($A30,CADASTRO!$A$4:$A$80,0)),$B30)-CONFIG!$B$50*(COUNTIF($AM30:$AM30,"AB")+COUNTIF($AM30:$AM30,"FE")+COUNTIF($AM30:$AM30,"LM")+COUNTIF($AN30:$AS30,"AB")+COUNTIF($AN30:$AS30,"FE")+COUNTIF($AN30:$AS30,"LM")))</f>
        <v/>
      </c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36">
        <f>IFERROR(INDEX(JUL!AI$8:AI$73,MATCH($A31,JUL!$A$8:$A$73,0))&amp;"","")</f>
        <v/>
      </c>
      <c r="E31" s="136">
        <f>IFERROR(INDEX(JUL!AJ$8:AJ$73,MATCH($A31,JUL!$A$8:$A$73,0))&amp;"","")</f>
        <v/>
      </c>
      <c r="F31" s="136">
        <f>IFERROR(INDEX(JUL!AK$8:AK$73,MATCH($A31,JUL!$A$8:$A$73,0))&amp;"","")</f>
        <v/>
      </c>
      <c r="G31" s="136">
        <f>IFERROR(INDEX(JUL!AL$8:AL$73,MATCH($A31,JUL!$A$8:$A$73,0))&amp;"","")</f>
        <v/>
      </c>
      <c r="H31" s="136">
        <f>IFERROR(INDEX(JUL!AM$8:AM$73,MATCH($A31,JUL!$A$8:$A$73,0))&amp;"","")</f>
        <v/>
      </c>
      <c r="I31" s="114" t="n"/>
      <c r="J31" s="114" t="n"/>
      <c r="K31" s="114" t="n"/>
      <c r="L31" s="115" t="inlineStr">
        <is>
          <t>M</t>
        </is>
      </c>
      <c r="M31" s="115" t="inlineStr">
        <is>
          <t>M</t>
        </is>
      </c>
      <c r="N31" s="114" t="n"/>
      <c r="O31" s="115" t="inlineStr">
        <is>
          <t>M</t>
        </is>
      </c>
      <c r="P31" s="114" t="n"/>
      <c r="Q31" s="114" t="n"/>
      <c r="R31" s="115" t="inlineStr">
        <is>
          <t>M</t>
        </is>
      </c>
      <c r="S31" s="114" t="n"/>
      <c r="T31" s="115" t="inlineStr">
        <is>
          <t>M</t>
        </is>
      </c>
      <c r="U31" s="114" t="n"/>
      <c r="V31" s="114" t="n"/>
      <c r="W31" s="115" t="inlineStr">
        <is>
          <t>M</t>
        </is>
      </c>
      <c r="X31" s="125" t="inlineStr">
        <is>
          <t>N</t>
        </is>
      </c>
      <c r="Y31" s="114" t="n"/>
      <c r="Z31" s="115" t="inlineStr">
        <is>
          <t>M</t>
        </is>
      </c>
      <c r="AA31" s="124" t="inlineStr">
        <is>
          <t>D</t>
        </is>
      </c>
      <c r="AB31" s="115" t="inlineStr">
        <is>
          <t>M</t>
        </is>
      </c>
      <c r="AC31" s="115" t="inlineStr">
        <is>
          <t>M</t>
        </is>
      </c>
      <c r="AD31" s="114" t="n"/>
      <c r="AE31" s="114" t="n"/>
      <c r="AF31" s="114" t="n"/>
      <c r="AG31" s="115" t="inlineStr">
        <is>
          <t>M</t>
        </is>
      </c>
      <c r="AH31" s="115" t="inlineStr">
        <is>
          <t>M</t>
        </is>
      </c>
      <c r="AI31" s="114" t="n"/>
      <c r="AJ31" s="115" t="inlineStr">
        <is>
          <t>M</t>
        </is>
      </c>
      <c r="AK31" s="114" t="n"/>
      <c r="AL31" s="125" t="inlineStr">
        <is>
          <t>N</t>
        </is>
      </c>
      <c r="AM31" s="114" t="n"/>
      <c r="AN31" s="136">
        <f>IFERROR(INDEX(SET!I$8:I$73,MATCH($A31,SET!$A$8:$A$73,0))&amp;"","")</f>
        <v/>
      </c>
      <c r="AO31" s="136">
        <f>IFERROR(INDEX(SET!J$8:J$73,MATCH($A31,SET!$A$8:$A$73,0))&amp;"","")</f>
        <v/>
      </c>
      <c r="AP31" s="136">
        <f>IFERROR(INDEX(SET!K$8:K$73,MATCH($A31,SET!$A$8:$A$73,0))&amp;"","")</f>
        <v/>
      </c>
      <c r="AQ31" s="136">
        <f>IFERROR(INDEX(SET!L$8:L$73,MATCH($A31,SET!$A$8:$A$73,0))&amp;"","")</f>
        <v/>
      </c>
      <c r="AR31" s="116">
        <f>IFERROR(INDEX(SET!M$8:M$73,MATCH($A31,SET!$A$8:$A$73,0))&amp;"","")</f>
        <v/>
      </c>
      <c r="AS31" s="116">
        <f>IFERROR(INDEX(SET!N$8:N$73,MATCH($A31,SET!$A$8:$A$73,0))&amp;"","")</f>
        <v/>
      </c>
      <c r="AT31" s="117">
        <f>SUMPRODUCT(($D31:$J31="M")*6+($D31:$J31="T")*6+($D31:$J31="D")*12+($D31:$J31="N")*12+($D31:$J31="NT")*6+($D31:$J31="C")*10+($D31:$J31="A")*8+($D31:$J31="J")*5+($D31:$J31="CEP")*4+($D31:$J31="CP")*6+($D31:$J31="CRO")*6+($D31:$J31="M+")*6+($D31:$J31="T+")*6+($D31:$J31="D+")*12+($D31:$J31="N+")*12+($D31:$J31="Dm+")*12+($D31:$J31="Dt+")*12+($D31:$J31="Tm-")*6+($D31:$J31="Mt-")*6)</f>
        <v/>
      </c>
      <c r="AU31" s="118">
        <f>AT31-MAX(0,IFERROR(INDEX(CADASTRO!$I$4:$I$80,MATCH($A31,CADASTRO!$A$4:$A$80,0)),$B31)-CONFIG!$B$50*(COUNTIF($D31:$J31,"AB")+COUNTIF($D31:$J31,"FE")+COUNTIF($D31:$J31,"LM")))</f>
        <v/>
      </c>
      <c r="AV31" s="117">
        <f>SUMPRODUCT(($K31:$Q31="M")*6+($K31:$Q31="T")*6+($K31:$Q31="D")*12+($K31:$Q31="N")*12+($K31:$Q31="NT")*6+($K31:$Q31="C")*10+($K31:$Q31="A")*8+($K31:$Q31="J")*5+($K31:$Q31="CEP")*4+($K31:$Q31="CP")*6+($K31:$Q31="CRO")*6+($K31:$Q31="M+")*6+($K31:$Q31="T+")*6+($K31:$Q31="D+")*12+($K31:$Q31="N+")*12+($K31:$Q31="Dm+")*12+($K31:$Q31="Dt+")*12+($K31:$Q31="Tm-")*6+($K31:$Q31="Mt-")*6)</f>
        <v/>
      </c>
      <c r="AW31" s="118">
        <f>AV31-MAX(0,IFERROR(INDEX(CADASTRO!$I$4:$I$80,MATCH($A31,CADASTRO!$A$4:$A$80,0)),$B31)-CONFIG!$B$50*(COUNTIF($K31:$Q31,"AB")+COUNTIF($K31:$Q31,"FE")+COUNTIF($K31:$Q31,"LM")))</f>
        <v/>
      </c>
      <c r="AX31" s="117">
        <f>SUMPRODUCT(($R31:$X31="M")*6+($R31:$X31="T")*6+($R31:$X31="D")*12+($R31:$X31="N")*12+($R31:$X31="NT")*6+($R31:$X31="C")*10+($R31:$X31="A")*8+($R31:$X31="J")*5+($R31:$X31="CEP")*4+($R31:$X31="CP")*6+($R31:$X31="CRO")*6+($R31:$X31="M+")*6+($R31:$X31="T+")*6+($R31:$X31="D+")*12+($R31:$X31="N+")*12+($R31:$X31="Dm+")*12+($R31:$X31="Dt+")*12+($R31:$X31="Tm-")*6+($R31:$X31="Mt-")*6)</f>
        <v/>
      </c>
      <c r="AY31" s="118">
        <f>AX31-MAX(0,IFERROR(INDEX(CADASTRO!$I$4:$I$80,MATCH($A31,CADASTRO!$A$4:$A$80,0)),$B31)-CONFIG!$B$50*(COUNTIF($R31:$X31,"AB")+COUNTIF($R31:$X31,"FE")+COUNTIF($R31:$X31,"LM")))</f>
        <v/>
      </c>
      <c r="AZ31" s="117">
        <f>SUMPRODUCT(($Y31:$AE31="M")*6+($Y31:$AE31="T")*6+($Y31:$AE31="D")*12+($Y31:$AE31="N")*12+($Y31:$AE31="NT")*6+($Y31:$AE31="C")*10+($Y31:$AE31="A")*8+($Y31:$AE31="J")*5+($Y31:$AE31="CEP")*4+($Y31:$AE31="CP")*6+($Y31:$AE31="CRO")*6+($Y31:$AE31="M+")*6+($Y31:$AE31="T+")*6+($Y31:$AE31="D+")*12+($Y31:$AE31="N+")*12+($Y31:$AE31="Dm+")*12+($Y31:$AE31="Dt+")*12+($Y31:$AE31="Tm-")*6+($Y31:$AE31="Mt-")*6)</f>
        <v/>
      </c>
      <c r="BA31" s="118">
        <f>AZ31-MAX(0,IFERROR(INDEX(CADASTRO!$I$4:$I$80,MATCH($A31,CADASTRO!$A$4:$A$80,0)),$B31)-CONFIG!$B$50*(COUNTIF($Y31:$AE31,"AB")+COUNTIF($Y31:$AE31,"FE")+COUNTIF($Y31:$AE31,"LM")))</f>
        <v/>
      </c>
      <c r="BB31" s="117">
        <f>SUMPRODUCT(($AF31:$AL31="M")*6+($AF31:$AL31="T")*6+($AF31:$AL31="D")*12+($AF31:$AL31="N")*12+($AF31:$AL31="NT")*6+($AF31:$AL31="C")*10+($AF31:$AL31="A")*8+($AF31:$AL31="J")*5+($AF31:$AL31="CEP")*4+($AF31:$AL31="CP")*6+($AF31:$AL31="CRO")*6+($AF31:$AL31="M+")*6+($AF31:$AL31="T+")*6+($AF31:$AL31="D+")*12+($AF31:$AL31="N+")*12+($AF31:$AL31="Dm+")*12+($AF31:$AL31="Dt+")*12+($AF31:$AL31="Tm-")*6+($AF31:$AL31="Mt-")*6)</f>
        <v/>
      </c>
      <c r="BC31" s="118">
        <f>BB31-MAX(0,IFERROR(INDEX(CADASTRO!$I$4:$I$80,MATCH($A31,CADASTRO!$A$4:$A$80,0)),$B31)-CONFIG!$B$50*(COUNTIF($AF31:$AL31,"AB")+COUNTIF($AF31:$AL31,"FE")+COUNTIF($AF31:$AL31,"LM")))</f>
        <v/>
      </c>
      <c r="BD31" s="117">
        <f>SUMPRODUCT(($AM31:$AM31="M")*6+($AM31:$AM31="T")*6+($AM31:$AM31="D")*12+($AM31:$AM31="N")*12+($AM31:$AM31="NT")*6+($AM31:$AM31="C")*10+($AM31:$AM31="A")*8+($AM31:$AM31="J")*5+($AM31:$AM31="CEP")*4+($AM31:$AM31="CP")*6+($AM31:$AM31="CRO")*6+($AM31:$AM31="M+")*6+($AM31:$AM31="T+")*6+($AM31:$AM31="D+")*12+($AM31:$AM31="N+")*12+($AM31:$AM31="Dm+")*12+($AM31:$AM31="Dt+")*12+($AM31:$AM31="Tm-")*6+($AM31:$AM31="Mt-")*6)+SUMPRODUCT(($AN31:$AS31="M")*6+($AN31:$AS31="T")*6+($AN31:$AS31="D")*12+($AN31:$AS31="N")*12+($AN31:$AS31="NT")*6+($AN31:$AS31="C")*10+($AN31:$AS31="A")*8+($AN31:$AS31="J")*5+($AN31:$AS31="CEP")*4+($AN31:$AS31="CP")*6+($AN31:$AS31="CRO")*6+($AN31:$AS31="M+")*6+($AN31:$AS31="T+")*6+($AN31:$AS31="D+")*12+($AN31:$AS31="N+")*12+($AN31:$AS31="Dm+")*12+($AN31:$AS31="Dt+")*12+($AN31:$AS31="Tm-")*6+($AN31:$AS31="Mt-")*6)</f>
        <v/>
      </c>
      <c r="BE31" s="118">
        <f>BD31-MAX(0,IFERROR(INDEX(CADASTRO!$I$4:$I$80,MATCH($A31,CADASTRO!$A$4:$A$80,0)),$B31)-CONFIG!$B$50*(COUNTIF($AM31:$AM31,"AB")+COUNTIF($AM31:$AM31,"FE")+COUNTIF($AM31:$AM31,"LM")+COUNTIF($AN31:$AS31,"AB")+COUNTIF($AN31:$AS31,"FE")+COUNTIF($AN31:$AS31,"LM")))</f>
        <v/>
      </c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36">
        <f>IFERROR(INDEX(JUL!AI$8:AI$73,MATCH($A32,JUL!$A$8:$A$73,0))&amp;"","")</f>
        <v/>
      </c>
      <c r="E32" s="136">
        <f>IFERROR(INDEX(JUL!AJ$8:AJ$73,MATCH($A32,JUL!$A$8:$A$73,0))&amp;"","")</f>
        <v/>
      </c>
      <c r="F32" s="136">
        <f>IFERROR(INDEX(JUL!AK$8:AK$73,MATCH($A32,JUL!$A$8:$A$73,0))&amp;"","")</f>
        <v/>
      </c>
      <c r="G32" s="136">
        <f>IFERROR(INDEX(JUL!AL$8:AL$73,MATCH($A32,JUL!$A$8:$A$73,0))&amp;"","")</f>
        <v/>
      </c>
      <c r="H32" s="136">
        <f>IFERROR(INDEX(JUL!AM$8:AM$73,MATCH($A32,JUL!$A$8:$A$73,0))&amp;"","")</f>
        <v/>
      </c>
      <c r="I32" s="114" t="n"/>
      <c r="J32" s="124" t="inlineStr">
        <is>
          <t>D</t>
        </is>
      </c>
      <c r="K32" s="125" t="inlineStr">
        <is>
          <t>N</t>
        </is>
      </c>
      <c r="L32" s="114" t="n"/>
      <c r="M32" s="114" t="n"/>
      <c r="N32" s="114" t="n"/>
      <c r="O32" s="115" t="inlineStr">
        <is>
          <t>M</t>
        </is>
      </c>
      <c r="P32" s="114" t="n"/>
      <c r="Q32" s="124" t="inlineStr">
        <is>
          <t>D</t>
        </is>
      </c>
      <c r="R32" s="124" t="inlineStr">
        <is>
          <t>D</t>
        </is>
      </c>
      <c r="S32" s="114" t="n"/>
      <c r="T32" s="114" t="n"/>
      <c r="U32" s="126" t="inlineStr">
        <is>
          <t>T</t>
        </is>
      </c>
      <c r="V32" s="124" t="inlineStr">
        <is>
          <t>D</t>
        </is>
      </c>
      <c r="W32" s="114" t="n"/>
      <c r="X32" s="114" t="n"/>
      <c r="Y32" s="124" t="inlineStr">
        <is>
          <t>D</t>
        </is>
      </c>
      <c r="Z32" s="124" t="inlineStr">
        <is>
          <t>D</t>
        </is>
      </c>
      <c r="AA32" s="126" t="inlineStr">
        <is>
          <t>T</t>
        </is>
      </c>
      <c r="AB32" s="114" t="n"/>
      <c r="AC32" s="114" t="n"/>
      <c r="AD32" s="114" t="n"/>
      <c r="AE32" s="114" t="n"/>
      <c r="AF32" s="114" t="n"/>
      <c r="AG32" s="114" t="n"/>
      <c r="AH32" s="114" t="n"/>
      <c r="AI32" s="124" t="inlineStr">
        <is>
          <t>D</t>
        </is>
      </c>
      <c r="AJ32" s="124" t="inlineStr">
        <is>
          <t>D</t>
        </is>
      </c>
      <c r="AK32" s="115" t="inlineStr">
        <is>
          <t>M</t>
        </is>
      </c>
      <c r="AL32" s="114" t="n"/>
      <c r="AM32" s="125" t="inlineStr">
        <is>
          <t>N</t>
        </is>
      </c>
      <c r="AN32" s="136">
        <f>IFERROR(INDEX(SET!I$8:I$73,MATCH($A32,SET!$A$8:$A$73,0))&amp;"","")</f>
        <v/>
      </c>
      <c r="AO32" s="136">
        <f>IFERROR(INDEX(SET!J$8:J$73,MATCH($A32,SET!$A$8:$A$73,0))&amp;"","")</f>
        <v/>
      </c>
      <c r="AP32" s="136">
        <f>IFERROR(INDEX(SET!K$8:K$73,MATCH($A32,SET!$A$8:$A$73,0))&amp;"","")</f>
        <v/>
      </c>
      <c r="AQ32" s="136">
        <f>IFERROR(INDEX(SET!L$8:L$73,MATCH($A32,SET!$A$8:$A$73,0))&amp;"","")</f>
        <v/>
      </c>
      <c r="AR32" s="116">
        <f>IFERROR(INDEX(SET!M$8:M$73,MATCH($A32,SET!$A$8:$A$73,0))&amp;"","")</f>
        <v/>
      </c>
      <c r="AS32" s="116">
        <f>IFERROR(INDEX(SET!N$8:N$73,MATCH($A32,SET!$A$8:$A$73,0))&amp;"","")</f>
        <v/>
      </c>
      <c r="AT32" s="117">
        <f>SUMPRODUCT(($D32:$J32="M")*6+($D32:$J32="T")*6+($D32:$J32="D")*12+($D32:$J32="N")*12+($D32:$J32="NT")*6+($D32:$J32="C")*10+($D32:$J32="A")*8+($D32:$J32="J")*5+($D32:$J32="CEP")*4+($D32:$J32="CP")*6+($D32:$J32="CRO")*6+($D32:$J32="M+")*6+($D32:$J32="T+")*6+($D32:$J32="D+")*12+($D32:$J32="N+")*12+($D32:$J32="Dm+")*12+($D32:$J32="Dt+")*12+($D32:$J32="Tm-")*6+($D32:$J32="Mt-")*6)</f>
        <v/>
      </c>
      <c r="AU32" s="118">
        <f>AT32-MAX(0,IFERROR(INDEX(CADASTRO!$I$4:$I$80,MATCH($A32,CADASTRO!$A$4:$A$80,0)),$B32)-CONFIG!$B$50*(COUNTIF($D32:$J32,"AB")+COUNTIF($D32:$J32,"FE")+COUNTIF($D32:$J32,"LM")))</f>
        <v/>
      </c>
      <c r="AV32" s="117">
        <f>SUMPRODUCT(($K32:$Q32="M")*6+($K32:$Q32="T")*6+($K32:$Q32="D")*12+($K32:$Q32="N")*12+($K32:$Q32="NT")*6+($K32:$Q32="C")*10+($K32:$Q32="A")*8+($K32:$Q32="J")*5+($K32:$Q32="CEP")*4+($K32:$Q32="CP")*6+($K32:$Q32="CRO")*6+($K32:$Q32="M+")*6+($K32:$Q32="T+")*6+($K32:$Q32="D+")*12+($K32:$Q32="N+")*12+($K32:$Q32="Dm+")*12+($K32:$Q32="Dt+")*12+($K32:$Q32="Tm-")*6+($K32:$Q32="Mt-")*6)</f>
        <v/>
      </c>
      <c r="AW32" s="118">
        <f>AV32-MAX(0,IFERROR(INDEX(CADASTRO!$I$4:$I$80,MATCH($A32,CADASTRO!$A$4:$A$80,0)),$B32)-CONFIG!$B$50*(COUNTIF($K32:$Q32,"AB")+COUNTIF($K32:$Q32,"FE")+COUNTIF($K32:$Q32,"LM")))</f>
        <v/>
      </c>
      <c r="AX32" s="117">
        <f>SUMPRODUCT(($R32:$X32="M")*6+($R32:$X32="T")*6+($R32:$X32="D")*12+($R32:$X32="N")*12+($R32:$X32="NT")*6+($R32:$X32="C")*10+($R32:$X32="A")*8+($R32:$X32="J")*5+($R32:$X32="CEP")*4+($R32:$X32="CP")*6+($R32:$X32="CRO")*6+($R32:$X32="M+")*6+($R32:$X32="T+")*6+($R32:$X32="D+")*12+($R32:$X32="N+")*12+($R32:$X32="Dm+")*12+($R32:$X32="Dt+")*12+($R32:$X32="Tm-")*6+($R32:$X32="Mt-")*6)</f>
        <v/>
      </c>
      <c r="AY32" s="118">
        <f>AX32-MAX(0,IFERROR(INDEX(CADASTRO!$I$4:$I$80,MATCH($A32,CADASTRO!$A$4:$A$80,0)),$B32)-CONFIG!$B$50*(COUNTIF($R32:$X32,"AB")+COUNTIF($R32:$X32,"FE")+COUNTIF($R32:$X32,"LM")))</f>
        <v/>
      </c>
      <c r="AZ32" s="117">
        <f>SUMPRODUCT(($Y32:$AE32="M")*6+($Y32:$AE32="T")*6+($Y32:$AE32="D")*12+($Y32:$AE32="N")*12+($Y32:$AE32="NT")*6+($Y32:$AE32="C")*10+($Y32:$AE32="A")*8+($Y32:$AE32="J")*5+($Y32:$AE32="CEP")*4+($Y32:$AE32="CP")*6+($Y32:$AE32="CRO")*6+($Y32:$AE32="M+")*6+($Y32:$AE32="T+")*6+($Y32:$AE32="D+")*12+($Y32:$AE32="N+")*12+($Y32:$AE32="Dm+")*12+($Y32:$AE32="Dt+")*12+($Y32:$AE32="Tm-")*6+($Y32:$AE32="Mt-")*6)</f>
        <v/>
      </c>
      <c r="BA32" s="118">
        <f>AZ32-MAX(0,IFERROR(INDEX(CADASTRO!$I$4:$I$80,MATCH($A32,CADASTRO!$A$4:$A$80,0)),$B32)-CONFIG!$B$50*(COUNTIF($Y32:$AE32,"AB")+COUNTIF($Y32:$AE32,"FE")+COUNTIF($Y32:$AE32,"LM")))</f>
        <v/>
      </c>
      <c r="BB32" s="117">
        <f>SUMPRODUCT(($AF32:$AL32="M")*6+($AF32:$AL32="T")*6+($AF32:$AL32="D")*12+($AF32:$AL32="N")*12+($AF32:$AL32="NT")*6+($AF32:$AL32="C")*10+($AF32:$AL32="A")*8+($AF32:$AL32="J")*5+($AF32:$AL32="CEP")*4+($AF32:$AL32="CP")*6+($AF32:$AL32="CRO")*6+($AF32:$AL32="M+")*6+($AF32:$AL32="T+")*6+($AF32:$AL32="D+")*12+($AF32:$AL32="N+")*12+($AF32:$AL32="Dm+")*12+($AF32:$AL32="Dt+")*12+($AF32:$AL32="Tm-")*6+($AF32:$AL32="Mt-")*6)</f>
        <v/>
      </c>
      <c r="BC32" s="118">
        <f>BB32-MAX(0,IFERROR(INDEX(CADASTRO!$I$4:$I$80,MATCH($A32,CADASTRO!$A$4:$A$80,0)),$B32)-CONFIG!$B$50*(COUNTIF($AF32:$AL32,"AB")+COUNTIF($AF32:$AL32,"FE")+COUNTIF($AF32:$AL32,"LM")))</f>
        <v/>
      </c>
      <c r="BD32" s="117">
        <f>SUMPRODUCT(($AM32:$AM32="M")*6+($AM32:$AM32="T")*6+($AM32:$AM32="D")*12+($AM32:$AM32="N")*12+($AM32:$AM32="NT")*6+($AM32:$AM32="C")*10+($AM32:$AM32="A")*8+($AM32:$AM32="J")*5+($AM32:$AM32="CEP")*4+($AM32:$AM32="CP")*6+($AM32:$AM32="CRO")*6+($AM32:$AM32="M+")*6+($AM32:$AM32="T+")*6+($AM32:$AM32="D+")*12+($AM32:$AM32="N+")*12+($AM32:$AM32="Dm+")*12+($AM32:$AM32="Dt+")*12+($AM32:$AM32="Tm-")*6+($AM32:$AM32="Mt-")*6)+SUMPRODUCT(($AN32:$AS32="M")*6+($AN32:$AS32="T")*6+($AN32:$AS32="D")*12+($AN32:$AS32="N")*12+($AN32:$AS32="NT")*6+($AN32:$AS32="C")*10+($AN32:$AS32="A")*8+($AN32:$AS32="J")*5+($AN32:$AS32="CEP")*4+($AN32:$AS32="CP")*6+($AN32:$AS32="CRO")*6+($AN32:$AS32="M+")*6+($AN32:$AS32="T+")*6+($AN32:$AS32="D+")*12+($AN32:$AS32="N+")*12+($AN32:$AS32="Dm+")*12+($AN32:$AS32="Dt+")*12+($AN32:$AS32="Tm-")*6+($AN32:$AS32="Mt-")*6)</f>
        <v/>
      </c>
      <c r="BE32" s="118">
        <f>BD32-MAX(0,IFERROR(INDEX(CADASTRO!$I$4:$I$80,MATCH($A32,CADASTRO!$A$4:$A$80,0)),$B32)-CONFIG!$B$50*(COUNTIF($AM32:$AM32,"AB")+COUNTIF($AM32:$AM32,"FE")+COUNTIF($AM32:$AM32,"LM")+COUNTIF($AN32:$AS32,"AB")+COUNTIF($AN32:$AS32,"FE")+COUNTIF($AN32:$AS32,"LM")))</f>
        <v/>
      </c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36">
        <f>IFERROR(INDEX(JUL!AI$8:AI$73,MATCH($A33,JUL!$A$8:$A$73,0))&amp;"","")</f>
        <v/>
      </c>
      <c r="E33" s="136">
        <f>IFERROR(INDEX(JUL!AJ$8:AJ$73,MATCH($A33,JUL!$A$8:$A$73,0))&amp;"","")</f>
        <v/>
      </c>
      <c r="F33" s="136">
        <f>IFERROR(INDEX(JUL!AK$8:AK$73,MATCH($A33,JUL!$A$8:$A$73,0))&amp;"","")</f>
        <v/>
      </c>
      <c r="G33" s="136">
        <f>IFERROR(INDEX(JUL!AL$8:AL$73,MATCH($A33,JUL!$A$8:$A$73,0))&amp;"","")</f>
        <v/>
      </c>
      <c r="H33" s="136">
        <f>IFERROR(INDEX(JUL!AM$8:AM$73,MATCH($A33,JUL!$A$8:$A$73,0))&amp;"","")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24" t="inlineStr">
        <is>
          <t>D</t>
        </is>
      </c>
      <c r="Q33" s="124" t="inlineStr">
        <is>
          <t>D</t>
        </is>
      </c>
      <c r="R33" s="115" t="inlineStr">
        <is>
          <t>M</t>
        </is>
      </c>
      <c r="S33" s="114" t="n"/>
      <c r="T33" s="114" t="n"/>
      <c r="U33" s="114" t="n"/>
      <c r="V33" s="124" t="inlineStr">
        <is>
          <t>D</t>
        </is>
      </c>
      <c r="W33" s="115" t="inlineStr">
        <is>
          <t>M</t>
        </is>
      </c>
      <c r="X33" s="114" t="n"/>
      <c r="Y33" s="124" t="inlineStr">
        <is>
          <t>D</t>
        </is>
      </c>
      <c r="Z33" s="114" t="n"/>
      <c r="AA33" s="114" t="n"/>
      <c r="AB33" s="114" t="n"/>
      <c r="AC33" s="125" t="inlineStr">
        <is>
          <t>N</t>
        </is>
      </c>
      <c r="AD33" s="114" t="n"/>
      <c r="AE33" s="114" t="n"/>
      <c r="AF33" s="124" t="inlineStr">
        <is>
          <t>D</t>
        </is>
      </c>
      <c r="AG33" s="114" t="n"/>
      <c r="AH33" s="114" t="n"/>
      <c r="AI33" s="114" t="n"/>
      <c r="AJ33" s="125" t="inlineStr">
        <is>
          <t>N</t>
        </is>
      </c>
      <c r="AK33" s="114" t="n"/>
      <c r="AL33" s="114" t="n"/>
      <c r="AM33" s="124" t="inlineStr">
        <is>
          <t>D</t>
        </is>
      </c>
      <c r="AN33" s="136">
        <f>IFERROR(INDEX(SET!I$8:I$73,MATCH($A33,SET!$A$8:$A$73,0))&amp;"","")</f>
        <v/>
      </c>
      <c r="AO33" s="136">
        <f>IFERROR(INDEX(SET!J$8:J$73,MATCH($A33,SET!$A$8:$A$73,0))&amp;"","")</f>
        <v/>
      </c>
      <c r="AP33" s="136">
        <f>IFERROR(INDEX(SET!K$8:K$73,MATCH($A33,SET!$A$8:$A$73,0))&amp;"","")</f>
        <v/>
      </c>
      <c r="AQ33" s="136">
        <f>IFERROR(INDEX(SET!L$8:L$73,MATCH($A33,SET!$A$8:$A$73,0))&amp;"","")</f>
        <v/>
      </c>
      <c r="AR33" s="116">
        <f>IFERROR(INDEX(SET!M$8:M$73,MATCH($A33,SET!$A$8:$A$73,0))&amp;"","")</f>
        <v/>
      </c>
      <c r="AS33" s="116">
        <f>IFERROR(INDEX(SET!N$8:N$73,MATCH($A33,SET!$A$8:$A$73,0))&amp;"","")</f>
        <v/>
      </c>
      <c r="AT33" s="117">
        <f>SUMPRODUCT(($D33:$J33="M")*6+($D33:$J33="T")*6+($D33:$J33="D")*12+($D33:$J33="N")*12+($D33:$J33="NT")*6+($D33:$J33="C")*10+($D33:$J33="A")*8+($D33:$J33="J")*5+($D33:$J33="CEP")*4+($D33:$J33="CP")*6+($D33:$J33="CRO")*6+($D33:$J33="M+")*6+($D33:$J33="T+")*6+($D33:$J33="D+")*12+($D33:$J33="N+")*12+($D33:$J33="Dm+")*12+($D33:$J33="Dt+")*12+($D33:$J33="Tm-")*6+($D33:$J33="Mt-")*6)</f>
        <v/>
      </c>
      <c r="AU33" s="118">
        <f>AT33-MAX(0,IFERROR(INDEX(CADASTRO!$I$4:$I$80,MATCH($A33,CADASTRO!$A$4:$A$80,0)),$B33)-CONFIG!$B$50*(COUNTIF($D33:$J33,"AB")+COUNTIF($D33:$J33,"FE")+COUNTIF($D33:$J33,"LM")))</f>
        <v/>
      </c>
      <c r="AV33" s="117">
        <f>SUMPRODUCT(($K33:$Q33="M")*6+($K33:$Q33="T")*6+($K33:$Q33="D")*12+($K33:$Q33="N")*12+($K33:$Q33="NT")*6+($K33:$Q33="C")*10+($K33:$Q33="A")*8+($K33:$Q33="J")*5+($K33:$Q33="CEP")*4+($K33:$Q33="CP")*6+($K33:$Q33="CRO")*6+($K33:$Q33="M+")*6+($K33:$Q33="T+")*6+($K33:$Q33="D+")*12+($K33:$Q33="N+")*12+($K33:$Q33="Dm+")*12+($K33:$Q33="Dt+")*12+($K33:$Q33="Tm-")*6+($K33:$Q33="Mt-")*6)</f>
        <v/>
      </c>
      <c r="AW33" s="118">
        <f>AV33-MAX(0,IFERROR(INDEX(CADASTRO!$I$4:$I$80,MATCH($A33,CADASTRO!$A$4:$A$80,0)),$B33)-CONFIG!$B$50*(COUNTIF($K33:$Q33,"AB")+COUNTIF($K33:$Q33,"FE")+COUNTIF($K33:$Q33,"LM")))</f>
        <v/>
      </c>
      <c r="AX33" s="117">
        <f>SUMPRODUCT(($R33:$X33="M")*6+($R33:$X33="T")*6+($R33:$X33="D")*12+($R33:$X33="N")*12+($R33:$X33="NT")*6+($R33:$X33="C")*10+($R33:$X33="A")*8+($R33:$X33="J")*5+($R33:$X33="CEP")*4+($R33:$X33="CP")*6+($R33:$X33="CRO")*6+($R33:$X33="M+")*6+($R33:$X33="T+")*6+($R33:$X33="D+")*12+($R33:$X33="N+")*12+($R33:$X33="Dm+")*12+($R33:$X33="Dt+")*12+($R33:$X33="Tm-")*6+($R33:$X33="Mt-")*6)</f>
        <v/>
      </c>
      <c r="AY33" s="118">
        <f>AX33-MAX(0,IFERROR(INDEX(CADASTRO!$I$4:$I$80,MATCH($A33,CADASTRO!$A$4:$A$80,0)),$B33)-CONFIG!$B$50*(COUNTIF($R33:$X33,"AB")+COUNTIF($R33:$X33,"FE")+COUNTIF($R33:$X33,"LM")))</f>
        <v/>
      </c>
      <c r="AZ33" s="117">
        <f>SUMPRODUCT(($Y33:$AE33="M")*6+($Y33:$AE33="T")*6+($Y33:$AE33="D")*12+($Y33:$AE33="N")*12+($Y33:$AE33="NT")*6+($Y33:$AE33="C")*10+($Y33:$AE33="A")*8+($Y33:$AE33="J")*5+($Y33:$AE33="CEP")*4+($Y33:$AE33="CP")*6+($Y33:$AE33="CRO")*6+($Y33:$AE33="M+")*6+($Y33:$AE33="T+")*6+($Y33:$AE33="D+")*12+($Y33:$AE33="N+")*12+($Y33:$AE33="Dm+")*12+($Y33:$AE33="Dt+")*12+($Y33:$AE33="Tm-")*6+($Y33:$AE33="Mt-")*6)</f>
        <v/>
      </c>
      <c r="BA33" s="118">
        <f>AZ33-MAX(0,IFERROR(INDEX(CADASTRO!$I$4:$I$80,MATCH($A33,CADASTRO!$A$4:$A$80,0)),$B33)-CONFIG!$B$50*(COUNTIF($Y33:$AE33,"AB")+COUNTIF($Y33:$AE33,"FE")+COUNTIF($Y33:$AE33,"LM")))</f>
        <v/>
      </c>
      <c r="BB33" s="117">
        <f>SUMPRODUCT(($AF33:$AL33="M")*6+($AF33:$AL33="T")*6+($AF33:$AL33="D")*12+($AF33:$AL33="N")*12+($AF33:$AL33="NT")*6+($AF33:$AL33="C")*10+($AF33:$AL33="A")*8+($AF33:$AL33="J")*5+($AF33:$AL33="CEP")*4+($AF33:$AL33="CP")*6+($AF33:$AL33="CRO")*6+($AF33:$AL33="M+")*6+($AF33:$AL33="T+")*6+($AF33:$AL33="D+")*12+($AF33:$AL33="N+")*12+($AF33:$AL33="Dm+")*12+($AF33:$AL33="Dt+")*12+($AF33:$AL33="Tm-")*6+($AF33:$AL33="Mt-")*6)</f>
        <v/>
      </c>
      <c r="BC33" s="118">
        <f>BB33-MAX(0,IFERROR(INDEX(CADASTRO!$I$4:$I$80,MATCH($A33,CADASTRO!$A$4:$A$80,0)),$B33)-CONFIG!$B$50*(COUNTIF($AF33:$AL33,"AB")+COUNTIF($AF33:$AL33,"FE")+COUNTIF($AF33:$AL33,"LM")))</f>
        <v/>
      </c>
      <c r="BD33" s="117">
        <f>SUMPRODUCT(($AM33:$AM33="M")*6+($AM33:$AM33="T")*6+($AM33:$AM33="D")*12+($AM33:$AM33="N")*12+($AM33:$AM33="NT")*6+($AM33:$AM33="C")*10+($AM33:$AM33="A")*8+($AM33:$AM33="J")*5+($AM33:$AM33="CEP")*4+($AM33:$AM33="CP")*6+($AM33:$AM33="CRO")*6+($AM33:$AM33="M+")*6+($AM33:$AM33="T+")*6+($AM33:$AM33="D+")*12+($AM33:$AM33="N+")*12+($AM33:$AM33="Dm+")*12+($AM33:$AM33="Dt+")*12+($AM33:$AM33="Tm-")*6+($AM33:$AM33="Mt-")*6)+SUMPRODUCT(($AN33:$AS33="M")*6+($AN33:$AS33="T")*6+($AN33:$AS33="D")*12+($AN33:$AS33="N")*12+($AN33:$AS33="NT")*6+($AN33:$AS33="C")*10+($AN33:$AS33="A")*8+($AN33:$AS33="J")*5+($AN33:$AS33="CEP")*4+($AN33:$AS33="CP")*6+($AN33:$AS33="CRO")*6+($AN33:$AS33="M+")*6+($AN33:$AS33="T+")*6+($AN33:$AS33="D+")*12+($AN33:$AS33="N+")*12+($AN33:$AS33="Dm+")*12+($AN33:$AS33="Dt+")*12+($AN33:$AS33="Tm-")*6+($AN33:$AS33="Mt-")*6)</f>
        <v/>
      </c>
      <c r="BE33" s="118">
        <f>BD33-MAX(0,IFERROR(INDEX(CADASTRO!$I$4:$I$80,MATCH($A33,CADASTRO!$A$4:$A$80,0)),$B33)-CONFIG!$B$50*(COUNTIF($AM33:$AM33,"AB")+COUNTIF($AM33:$AM33,"FE")+COUNTIF($AM33:$AM33,"LM")+COUNTIF($AN33:$AS33,"AB")+COUNTIF($AN33:$AS33,"FE")+COUNTIF($AN33:$AS33,"LM")))</f>
        <v/>
      </c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36">
        <f>IFERROR(INDEX(JUL!AI$8:AI$73,MATCH($A34,JUL!$A$8:$A$73,0))&amp;"","")</f>
        <v/>
      </c>
      <c r="E34" s="136">
        <f>IFERROR(INDEX(JUL!AJ$8:AJ$73,MATCH($A34,JUL!$A$8:$A$73,0))&amp;"","")</f>
        <v/>
      </c>
      <c r="F34" s="136">
        <f>IFERROR(INDEX(JUL!AK$8:AK$73,MATCH($A34,JUL!$A$8:$A$73,0))&amp;"","")</f>
        <v/>
      </c>
      <c r="G34" s="136">
        <f>IFERROR(INDEX(JUL!AL$8:AL$73,MATCH($A34,JUL!$A$8:$A$73,0))&amp;"","")</f>
        <v/>
      </c>
      <c r="H34" s="136">
        <f>IFERROR(INDEX(JUL!AM$8:AM$73,MATCH($A34,JUL!$A$8:$A$73,0))&amp;"","")</f>
        <v/>
      </c>
      <c r="I34" s="114" t="n"/>
      <c r="J34" s="114" t="n"/>
      <c r="K34" s="124" t="inlineStr">
        <is>
          <t>D</t>
        </is>
      </c>
      <c r="L34" s="124" t="inlineStr">
        <is>
          <t>D</t>
        </is>
      </c>
      <c r="M34" s="126" t="inlineStr">
        <is>
          <t>T</t>
        </is>
      </c>
      <c r="N34" s="114" t="n"/>
      <c r="O34" s="114" t="n"/>
      <c r="P34" s="114" t="n"/>
      <c r="Q34" s="114" t="n"/>
      <c r="R34" s="114" t="n"/>
      <c r="S34" s="114" t="n"/>
      <c r="T34" s="125" t="inlineStr">
        <is>
          <t>N</t>
        </is>
      </c>
      <c r="U34" s="114" t="n"/>
      <c r="V34" s="114" t="n"/>
      <c r="W34" s="124" t="inlineStr">
        <is>
          <t>D</t>
        </is>
      </c>
      <c r="X34" s="115" t="inlineStr">
        <is>
          <t>M</t>
        </is>
      </c>
      <c r="Y34" s="114" t="n"/>
      <c r="Z34" s="124" t="inlineStr">
        <is>
          <t>D</t>
        </is>
      </c>
      <c r="AA34" s="114" t="n"/>
      <c r="AB34" s="114" t="n"/>
      <c r="AC34" s="114" t="n"/>
      <c r="AD34" s="124" t="inlineStr">
        <is>
          <t>D</t>
        </is>
      </c>
      <c r="AE34" s="115" t="inlineStr">
        <is>
          <t>M</t>
        </is>
      </c>
      <c r="AF34" s="124" t="inlineStr">
        <is>
          <t>D</t>
        </is>
      </c>
      <c r="AG34" s="114" t="n"/>
      <c r="AH34" s="115" t="inlineStr">
        <is>
          <t>M</t>
        </is>
      </c>
      <c r="AI34" s="124" t="inlineStr">
        <is>
          <t>D</t>
        </is>
      </c>
      <c r="AJ34" s="114" t="n"/>
      <c r="AK34" s="114" t="n"/>
      <c r="AL34" s="114" t="n"/>
      <c r="AM34" s="114" t="n"/>
      <c r="AN34" s="136">
        <f>IFERROR(INDEX(SET!I$8:I$73,MATCH($A34,SET!$A$8:$A$73,0))&amp;"","")</f>
        <v/>
      </c>
      <c r="AO34" s="136">
        <f>IFERROR(INDEX(SET!J$8:J$73,MATCH($A34,SET!$A$8:$A$73,0))&amp;"","")</f>
        <v/>
      </c>
      <c r="AP34" s="136">
        <f>IFERROR(INDEX(SET!K$8:K$73,MATCH($A34,SET!$A$8:$A$73,0))&amp;"","")</f>
        <v/>
      </c>
      <c r="AQ34" s="136">
        <f>IFERROR(INDEX(SET!L$8:L$73,MATCH($A34,SET!$A$8:$A$73,0))&amp;"","")</f>
        <v/>
      </c>
      <c r="AR34" s="116">
        <f>IFERROR(INDEX(SET!M$8:M$73,MATCH($A34,SET!$A$8:$A$73,0))&amp;"","")</f>
        <v/>
      </c>
      <c r="AS34" s="116">
        <f>IFERROR(INDEX(SET!N$8:N$73,MATCH($A34,SET!$A$8:$A$73,0))&amp;"","")</f>
        <v/>
      </c>
      <c r="AT34" s="117">
        <f>SUMPRODUCT(($D34:$J34="M")*6+($D34:$J34="T")*6+($D34:$J34="D")*12+($D34:$J34="N")*12+($D34:$J34="NT")*6+($D34:$J34="C")*10+($D34:$J34="A")*8+($D34:$J34="J")*5+($D34:$J34="CEP")*4+($D34:$J34="CP")*6+($D34:$J34="CRO")*6+($D34:$J34="M+")*6+($D34:$J34="T+")*6+($D34:$J34="D+")*12+($D34:$J34="N+")*12+($D34:$J34="Dm+")*12+($D34:$J34="Dt+")*12+($D34:$J34="Tm-")*6+($D34:$J34="Mt-")*6)</f>
        <v/>
      </c>
      <c r="AU34" s="118">
        <f>AT34-MAX(0,IFERROR(INDEX(CADASTRO!$I$4:$I$80,MATCH($A34,CADASTRO!$A$4:$A$80,0)),$B34)-CONFIG!$B$50*(COUNTIF($D34:$J34,"AB")+COUNTIF($D34:$J34,"FE")+COUNTIF($D34:$J34,"LM")))</f>
        <v/>
      </c>
      <c r="AV34" s="117">
        <f>SUMPRODUCT(($K34:$Q34="M")*6+($K34:$Q34="T")*6+($K34:$Q34="D")*12+($K34:$Q34="N")*12+($K34:$Q34="NT")*6+($K34:$Q34="C")*10+($K34:$Q34="A")*8+($K34:$Q34="J")*5+($K34:$Q34="CEP")*4+($K34:$Q34="CP")*6+($K34:$Q34="CRO")*6+($K34:$Q34="M+")*6+($K34:$Q34="T+")*6+($K34:$Q34="D+")*12+($K34:$Q34="N+")*12+($K34:$Q34="Dm+")*12+($K34:$Q34="Dt+")*12+($K34:$Q34="Tm-")*6+($K34:$Q34="Mt-")*6)</f>
        <v/>
      </c>
      <c r="AW34" s="118">
        <f>AV34-MAX(0,IFERROR(INDEX(CADASTRO!$I$4:$I$80,MATCH($A34,CADASTRO!$A$4:$A$80,0)),$B34)-CONFIG!$B$50*(COUNTIF($K34:$Q34,"AB")+COUNTIF($K34:$Q34,"FE")+COUNTIF($K34:$Q34,"LM")))</f>
        <v/>
      </c>
      <c r="AX34" s="117">
        <f>SUMPRODUCT(($R34:$X34="M")*6+($R34:$X34="T")*6+($R34:$X34="D")*12+($R34:$X34="N")*12+($R34:$X34="NT")*6+($R34:$X34="C")*10+($R34:$X34="A")*8+($R34:$X34="J")*5+($R34:$X34="CEP")*4+($R34:$X34="CP")*6+($R34:$X34="CRO")*6+($R34:$X34="M+")*6+($R34:$X34="T+")*6+($R34:$X34="D+")*12+($R34:$X34="N+")*12+($R34:$X34="Dm+")*12+($R34:$X34="Dt+")*12+($R34:$X34="Tm-")*6+($R34:$X34="Mt-")*6)</f>
        <v/>
      </c>
      <c r="AY34" s="118">
        <f>AX34-MAX(0,IFERROR(INDEX(CADASTRO!$I$4:$I$80,MATCH($A34,CADASTRO!$A$4:$A$80,0)),$B34)-CONFIG!$B$50*(COUNTIF($R34:$X34,"AB")+COUNTIF($R34:$X34,"FE")+COUNTIF($R34:$X34,"LM")))</f>
        <v/>
      </c>
      <c r="AZ34" s="117">
        <f>SUMPRODUCT(($Y34:$AE34="M")*6+($Y34:$AE34="T")*6+($Y34:$AE34="D")*12+($Y34:$AE34="N")*12+($Y34:$AE34="NT")*6+($Y34:$AE34="C")*10+($Y34:$AE34="A")*8+($Y34:$AE34="J")*5+($Y34:$AE34="CEP")*4+($Y34:$AE34="CP")*6+($Y34:$AE34="CRO")*6+($Y34:$AE34="M+")*6+($Y34:$AE34="T+")*6+($Y34:$AE34="D+")*12+($Y34:$AE34="N+")*12+($Y34:$AE34="Dm+")*12+($Y34:$AE34="Dt+")*12+($Y34:$AE34="Tm-")*6+($Y34:$AE34="Mt-")*6)</f>
        <v/>
      </c>
      <c r="BA34" s="118">
        <f>AZ34-MAX(0,IFERROR(INDEX(CADASTRO!$I$4:$I$80,MATCH($A34,CADASTRO!$A$4:$A$80,0)),$B34)-CONFIG!$B$50*(COUNTIF($Y34:$AE34,"AB")+COUNTIF($Y34:$AE34,"FE")+COUNTIF($Y34:$AE34,"LM")))</f>
        <v/>
      </c>
      <c r="BB34" s="117">
        <f>SUMPRODUCT(($AF34:$AL34="M")*6+($AF34:$AL34="T")*6+($AF34:$AL34="D")*12+($AF34:$AL34="N")*12+($AF34:$AL34="NT")*6+($AF34:$AL34="C")*10+($AF34:$AL34="A")*8+($AF34:$AL34="J")*5+($AF34:$AL34="CEP")*4+($AF34:$AL34="CP")*6+($AF34:$AL34="CRO")*6+($AF34:$AL34="M+")*6+($AF34:$AL34="T+")*6+($AF34:$AL34="D+")*12+($AF34:$AL34="N+")*12+($AF34:$AL34="Dm+")*12+($AF34:$AL34="Dt+")*12+($AF34:$AL34="Tm-")*6+($AF34:$AL34="Mt-")*6)</f>
        <v/>
      </c>
      <c r="BC34" s="118">
        <f>BB34-MAX(0,IFERROR(INDEX(CADASTRO!$I$4:$I$80,MATCH($A34,CADASTRO!$A$4:$A$80,0)),$B34)-CONFIG!$B$50*(COUNTIF($AF34:$AL34,"AB")+COUNTIF($AF34:$AL34,"FE")+COUNTIF($AF34:$AL34,"LM")))</f>
        <v/>
      </c>
      <c r="BD34" s="117">
        <f>SUMPRODUCT(($AM34:$AM34="M")*6+($AM34:$AM34="T")*6+($AM34:$AM34="D")*12+($AM34:$AM34="N")*12+($AM34:$AM34="NT")*6+($AM34:$AM34="C")*10+($AM34:$AM34="A")*8+($AM34:$AM34="J")*5+($AM34:$AM34="CEP")*4+($AM34:$AM34="CP")*6+($AM34:$AM34="CRO")*6+($AM34:$AM34="M+")*6+($AM34:$AM34="T+")*6+($AM34:$AM34="D+")*12+($AM34:$AM34="N+")*12+($AM34:$AM34="Dm+")*12+($AM34:$AM34="Dt+")*12+($AM34:$AM34="Tm-")*6+($AM34:$AM34="Mt-")*6)+SUMPRODUCT(($AN34:$AS34="M")*6+($AN34:$AS34="T")*6+($AN34:$AS34="D")*12+($AN34:$AS34="N")*12+($AN34:$AS34="NT")*6+($AN34:$AS34="C")*10+($AN34:$AS34="A")*8+($AN34:$AS34="J")*5+($AN34:$AS34="CEP")*4+($AN34:$AS34="CP")*6+($AN34:$AS34="CRO")*6+($AN34:$AS34="M+")*6+($AN34:$AS34="T+")*6+($AN34:$AS34="D+")*12+($AN34:$AS34="N+")*12+($AN34:$AS34="Dm+")*12+($AN34:$AS34="Dt+")*12+($AN34:$AS34="Tm-")*6+($AN34:$AS34="Mt-")*6)</f>
        <v/>
      </c>
      <c r="BE34" s="118">
        <f>BD34-MAX(0,IFERROR(INDEX(CADASTRO!$I$4:$I$80,MATCH($A34,CADASTRO!$A$4:$A$80,0)),$B34)-CONFIG!$B$50*(COUNTIF($AM34:$AM34,"AB")+COUNTIF($AM34:$AM34,"FE")+COUNTIF($AM34:$AM34,"LM")+COUNTIF($AN34:$AS34,"AB")+COUNTIF($AN34:$AS34,"FE")+COUNTIF($AN34:$AS34,"LM")))</f>
        <v/>
      </c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36">
        <f>IFERROR(INDEX(JUL!AI$8:AI$73,MATCH($A35,JUL!$A$8:$A$73,0))&amp;"","")</f>
        <v/>
      </c>
      <c r="E35" s="136">
        <f>IFERROR(INDEX(JUL!AJ$8:AJ$73,MATCH($A35,JUL!$A$8:$A$73,0))&amp;"","")</f>
        <v/>
      </c>
      <c r="F35" s="136">
        <f>IFERROR(INDEX(JUL!AK$8:AK$73,MATCH($A35,JUL!$A$8:$A$73,0))&amp;"","")</f>
        <v/>
      </c>
      <c r="G35" s="136">
        <f>IFERROR(INDEX(JUL!AL$8:AL$73,MATCH($A35,JUL!$A$8:$A$73,0))&amp;"","")</f>
        <v/>
      </c>
      <c r="H35" s="136">
        <f>IFERROR(INDEX(JUL!AM$8:AM$73,MATCH($A35,JUL!$A$8:$A$73,0))&amp;"","")</f>
        <v/>
      </c>
      <c r="I35" s="114" t="n"/>
      <c r="J35" s="124" t="inlineStr">
        <is>
          <t>D</t>
        </is>
      </c>
      <c r="K35" s="125" t="inlineStr">
        <is>
          <t>N</t>
        </is>
      </c>
      <c r="L35" s="114" t="n"/>
      <c r="M35" s="114" t="n"/>
      <c r="N35" s="126" t="inlineStr">
        <is>
          <t>T</t>
        </is>
      </c>
      <c r="O35" s="114" t="n"/>
      <c r="P35" s="114" t="n"/>
      <c r="Q35" s="124" t="inlineStr">
        <is>
          <t>D</t>
        </is>
      </c>
      <c r="R35" s="125" t="inlineStr">
        <is>
          <t>N</t>
        </is>
      </c>
      <c r="S35" s="114" t="n"/>
      <c r="T35" s="126" t="inlineStr">
        <is>
          <t>T</t>
        </is>
      </c>
      <c r="U35" s="125" t="inlineStr">
        <is>
          <t>N</t>
        </is>
      </c>
      <c r="V35" s="114" t="n"/>
      <c r="W35" s="114" t="n"/>
      <c r="X35" s="114" t="n"/>
      <c r="Y35" s="114" t="n"/>
      <c r="Z35" s="114" t="n"/>
      <c r="AA35" s="114" t="n"/>
      <c r="AB35" s="126" t="inlineStr">
        <is>
          <t>T</t>
        </is>
      </c>
      <c r="AC35" s="125" t="inlineStr">
        <is>
          <t>N</t>
        </is>
      </c>
      <c r="AD35" s="114" t="n"/>
      <c r="AE35" s="124" t="inlineStr">
        <is>
          <t>D</t>
        </is>
      </c>
      <c r="AF35" s="125" t="inlineStr">
        <is>
          <t>N</t>
        </is>
      </c>
      <c r="AG35" s="126" t="inlineStr">
        <is>
          <t>T</t>
        </is>
      </c>
      <c r="AH35" s="125" t="inlineStr">
        <is>
          <t>N</t>
        </is>
      </c>
      <c r="AI35" s="114" t="n"/>
      <c r="AJ35" s="114" t="n"/>
      <c r="AK35" s="114" t="n"/>
      <c r="AL35" s="114" t="n"/>
      <c r="AM35" s="125" t="inlineStr">
        <is>
          <t>N</t>
        </is>
      </c>
      <c r="AN35" s="136">
        <f>IFERROR(INDEX(SET!I$8:I$73,MATCH($A35,SET!$A$8:$A$73,0))&amp;"","")</f>
        <v/>
      </c>
      <c r="AO35" s="136">
        <f>IFERROR(INDEX(SET!J$8:J$73,MATCH($A35,SET!$A$8:$A$73,0))&amp;"","")</f>
        <v/>
      </c>
      <c r="AP35" s="136">
        <f>IFERROR(INDEX(SET!K$8:K$73,MATCH($A35,SET!$A$8:$A$73,0))&amp;"","")</f>
        <v/>
      </c>
      <c r="AQ35" s="136">
        <f>IFERROR(INDEX(SET!L$8:L$73,MATCH($A35,SET!$A$8:$A$73,0))&amp;"","")</f>
        <v/>
      </c>
      <c r="AR35" s="116">
        <f>IFERROR(INDEX(SET!M$8:M$73,MATCH($A35,SET!$A$8:$A$73,0))&amp;"","")</f>
        <v/>
      </c>
      <c r="AS35" s="116">
        <f>IFERROR(INDEX(SET!N$8:N$73,MATCH($A35,SET!$A$8:$A$73,0))&amp;"","")</f>
        <v/>
      </c>
      <c r="AT35" s="117">
        <f>SUMPRODUCT(($D35:$J35="M")*6+($D35:$J35="T")*6+($D35:$J35="D")*12+($D35:$J35="N")*12+($D35:$J35="NT")*6+($D35:$J35="C")*10+($D35:$J35="A")*8+($D35:$J35="J")*5+($D35:$J35="CEP")*4+($D35:$J35="CP")*6+($D35:$J35="CRO")*6+($D35:$J35="M+")*6+($D35:$J35="T+")*6+($D35:$J35="D+")*12+($D35:$J35="N+")*12+($D35:$J35="Dm+")*12+($D35:$J35="Dt+")*12+($D35:$J35="Tm-")*6+($D35:$J35="Mt-")*6)</f>
        <v/>
      </c>
      <c r="AU35" s="118">
        <f>AT35-MAX(0,IFERROR(INDEX(CADASTRO!$I$4:$I$80,MATCH($A35,CADASTRO!$A$4:$A$80,0)),$B35)-CONFIG!$B$50*(COUNTIF($D35:$J35,"AB")+COUNTIF($D35:$J35,"FE")+COUNTIF($D35:$J35,"LM")))</f>
        <v/>
      </c>
      <c r="AV35" s="117">
        <f>SUMPRODUCT(($K35:$Q35="M")*6+($K35:$Q35="T")*6+($K35:$Q35="D")*12+($K35:$Q35="N")*12+($K35:$Q35="NT")*6+($K35:$Q35="C")*10+($K35:$Q35="A")*8+($K35:$Q35="J")*5+($K35:$Q35="CEP")*4+($K35:$Q35="CP")*6+($K35:$Q35="CRO")*6+($K35:$Q35="M+")*6+($K35:$Q35="T+")*6+($K35:$Q35="D+")*12+($K35:$Q35="N+")*12+($K35:$Q35="Dm+")*12+($K35:$Q35="Dt+")*12+($K35:$Q35="Tm-")*6+($K35:$Q35="Mt-")*6)</f>
        <v/>
      </c>
      <c r="AW35" s="118">
        <f>AV35-MAX(0,IFERROR(INDEX(CADASTRO!$I$4:$I$80,MATCH($A35,CADASTRO!$A$4:$A$80,0)),$B35)-CONFIG!$B$50*(COUNTIF($K35:$Q35,"AB")+COUNTIF($K35:$Q35,"FE")+COUNTIF($K35:$Q35,"LM")))</f>
        <v/>
      </c>
      <c r="AX35" s="117">
        <f>SUMPRODUCT(($R35:$X35="M")*6+($R35:$X35="T")*6+($R35:$X35="D")*12+($R35:$X35="N")*12+($R35:$X35="NT")*6+($R35:$X35="C")*10+($R35:$X35="A")*8+($R35:$X35="J")*5+($R35:$X35="CEP")*4+($R35:$X35="CP")*6+($R35:$X35="CRO")*6+($R35:$X35="M+")*6+($R35:$X35="T+")*6+($R35:$X35="D+")*12+($R35:$X35="N+")*12+($R35:$X35="Dm+")*12+($R35:$X35="Dt+")*12+($R35:$X35="Tm-")*6+($R35:$X35="Mt-")*6)</f>
        <v/>
      </c>
      <c r="AY35" s="118">
        <f>AX35-MAX(0,IFERROR(INDEX(CADASTRO!$I$4:$I$80,MATCH($A35,CADASTRO!$A$4:$A$80,0)),$B35)-CONFIG!$B$50*(COUNTIF($R35:$X35,"AB")+COUNTIF($R35:$X35,"FE")+COUNTIF($R35:$X35,"LM")))</f>
        <v/>
      </c>
      <c r="AZ35" s="117">
        <f>SUMPRODUCT(($Y35:$AE35="M")*6+($Y35:$AE35="T")*6+($Y35:$AE35="D")*12+($Y35:$AE35="N")*12+($Y35:$AE35="NT")*6+($Y35:$AE35="C")*10+($Y35:$AE35="A")*8+($Y35:$AE35="J")*5+($Y35:$AE35="CEP")*4+($Y35:$AE35="CP")*6+($Y35:$AE35="CRO")*6+($Y35:$AE35="M+")*6+($Y35:$AE35="T+")*6+($Y35:$AE35="D+")*12+($Y35:$AE35="N+")*12+($Y35:$AE35="Dm+")*12+($Y35:$AE35="Dt+")*12+($Y35:$AE35="Tm-")*6+($Y35:$AE35="Mt-")*6)</f>
        <v/>
      </c>
      <c r="BA35" s="118">
        <f>AZ35-MAX(0,IFERROR(INDEX(CADASTRO!$I$4:$I$80,MATCH($A35,CADASTRO!$A$4:$A$80,0)),$B35)-CONFIG!$B$50*(COUNTIF($Y35:$AE35,"AB")+COUNTIF($Y35:$AE35,"FE")+COUNTIF($Y35:$AE35,"LM")))</f>
        <v/>
      </c>
      <c r="BB35" s="117">
        <f>SUMPRODUCT(($AF35:$AL35="M")*6+($AF35:$AL35="T")*6+($AF35:$AL35="D")*12+($AF35:$AL35="N")*12+($AF35:$AL35="NT")*6+($AF35:$AL35="C")*10+($AF35:$AL35="A")*8+($AF35:$AL35="J")*5+($AF35:$AL35="CEP")*4+($AF35:$AL35="CP")*6+($AF35:$AL35="CRO")*6+($AF35:$AL35="M+")*6+($AF35:$AL35="T+")*6+($AF35:$AL35="D+")*12+($AF35:$AL35="N+")*12+($AF35:$AL35="Dm+")*12+($AF35:$AL35="Dt+")*12+($AF35:$AL35="Tm-")*6+($AF35:$AL35="Mt-")*6)</f>
        <v/>
      </c>
      <c r="BC35" s="118">
        <f>BB35-MAX(0,IFERROR(INDEX(CADASTRO!$I$4:$I$80,MATCH($A35,CADASTRO!$A$4:$A$80,0)),$B35)-CONFIG!$B$50*(COUNTIF($AF35:$AL35,"AB")+COUNTIF($AF35:$AL35,"FE")+COUNTIF($AF35:$AL35,"LM")))</f>
        <v/>
      </c>
      <c r="BD35" s="117">
        <f>SUMPRODUCT(($AM35:$AM35="M")*6+($AM35:$AM35="T")*6+($AM35:$AM35="D")*12+($AM35:$AM35="N")*12+($AM35:$AM35="NT")*6+($AM35:$AM35="C")*10+($AM35:$AM35="A")*8+($AM35:$AM35="J")*5+($AM35:$AM35="CEP")*4+($AM35:$AM35="CP")*6+($AM35:$AM35="CRO")*6+($AM35:$AM35="M+")*6+($AM35:$AM35="T+")*6+($AM35:$AM35="D+")*12+($AM35:$AM35="N+")*12+($AM35:$AM35="Dm+")*12+($AM35:$AM35="Dt+")*12+($AM35:$AM35="Tm-")*6+($AM35:$AM35="Mt-")*6)+SUMPRODUCT(($AN35:$AS35="M")*6+($AN35:$AS35="T")*6+($AN35:$AS35="D")*12+($AN35:$AS35="N")*12+($AN35:$AS35="NT")*6+($AN35:$AS35="C")*10+($AN35:$AS35="A")*8+($AN35:$AS35="J")*5+($AN35:$AS35="CEP")*4+($AN35:$AS35="CP")*6+($AN35:$AS35="CRO")*6+($AN35:$AS35="M+")*6+($AN35:$AS35="T+")*6+($AN35:$AS35="D+")*12+($AN35:$AS35="N+")*12+($AN35:$AS35="Dm+")*12+($AN35:$AS35="Dt+")*12+($AN35:$AS35="Tm-")*6+($AN35:$AS35="Mt-")*6)</f>
        <v/>
      </c>
      <c r="BE35" s="118">
        <f>BD35-MAX(0,IFERROR(INDEX(CADASTRO!$I$4:$I$80,MATCH($A35,CADASTRO!$A$4:$A$80,0)),$B35)-CONFIG!$B$50*(COUNTIF($AM35:$AM35,"AB")+COUNTIF($AM35:$AM35,"FE")+COUNTIF($AM35:$AM35,"LM")+COUNTIF($AN35:$AS35,"AB")+COUNTIF($AN35:$AS35,"FE")+COUNTIF($AN35:$AS35,"LM")))</f>
        <v/>
      </c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36">
        <f>IFERROR(INDEX(JUL!AI$8:AI$73,MATCH($A36,JUL!$A$8:$A$73,0))&amp;"","")</f>
        <v/>
      </c>
      <c r="E36" s="136">
        <f>IFERROR(INDEX(JUL!AJ$8:AJ$73,MATCH($A36,JUL!$A$8:$A$73,0))&amp;"","")</f>
        <v/>
      </c>
      <c r="F36" s="136">
        <f>IFERROR(INDEX(JUL!AK$8:AK$73,MATCH($A36,JUL!$A$8:$A$73,0))&amp;"","")</f>
        <v/>
      </c>
      <c r="G36" s="136">
        <f>IFERROR(INDEX(JUL!AL$8:AL$73,MATCH($A36,JUL!$A$8:$A$73,0))&amp;"","")</f>
        <v/>
      </c>
      <c r="H36" s="136">
        <f>IFERROR(INDEX(JUL!AM$8:AM$73,MATCH($A36,JUL!$A$8:$A$73,0))&amp;"","")</f>
        <v/>
      </c>
      <c r="I36" s="125" t="inlineStr">
        <is>
          <t>N</t>
        </is>
      </c>
      <c r="J36" s="114" t="n"/>
      <c r="K36" s="114" t="n"/>
      <c r="L36" s="125" t="inlineStr">
        <is>
          <t>N</t>
        </is>
      </c>
      <c r="M36" s="114" t="n"/>
      <c r="N36" s="124" t="inlineStr">
        <is>
          <t>D</t>
        </is>
      </c>
      <c r="O36" s="126" t="inlineStr">
        <is>
          <t>T</t>
        </is>
      </c>
      <c r="P36" s="114" t="n"/>
      <c r="Q36" s="114" t="n"/>
      <c r="R36" s="124" t="inlineStr">
        <is>
          <t>D</t>
        </is>
      </c>
      <c r="S36" s="125" t="inlineStr">
        <is>
          <t>N</t>
        </is>
      </c>
      <c r="T36" s="126" t="inlineStr">
        <is>
          <t>T</t>
        </is>
      </c>
      <c r="U36" s="114" t="n"/>
      <c r="V36" s="114" t="n"/>
      <c r="W36" s="114" t="n"/>
      <c r="X36" s="114" t="n"/>
      <c r="Y36" s="114" t="n"/>
      <c r="Z36" s="125" t="inlineStr">
        <is>
          <t>N</t>
        </is>
      </c>
      <c r="AA36" s="114" t="n"/>
      <c r="AB36" s="114" t="n"/>
      <c r="AC36" s="114" t="n"/>
      <c r="AD36" s="124" t="inlineStr">
        <is>
          <t>D</t>
        </is>
      </c>
      <c r="AE36" s="126" t="inlineStr">
        <is>
          <t>T</t>
        </is>
      </c>
      <c r="AF36" s="114" t="n"/>
      <c r="AG36" s="124" t="inlineStr">
        <is>
          <t>D</t>
        </is>
      </c>
      <c r="AH36" s="126" t="inlineStr">
        <is>
          <t>T</t>
        </is>
      </c>
      <c r="AI36" s="114" t="n"/>
      <c r="AJ36" s="125" t="inlineStr">
        <is>
          <t>N</t>
        </is>
      </c>
      <c r="AK36" s="114" t="n"/>
      <c r="AL36" s="114" t="n"/>
      <c r="AM36" s="139" t="inlineStr">
        <is>
          <t>FE</t>
        </is>
      </c>
      <c r="AN36" s="136">
        <f>IFERROR(INDEX(SET!I$8:I$73,MATCH($A36,SET!$A$8:$A$73,0))&amp;"","")</f>
        <v/>
      </c>
      <c r="AO36" s="136">
        <f>IFERROR(INDEX(SET!J$8:J$73,MATCH($A36,SET!$A$8:$A$73,0))&amp;"","")</f>
        <v/>
      </c>
      <c r="AP36" s="136">
        <f>IFERROR(INDEX(SET!K$8:K$73,MATCH($A36,SET!$A$8:$A$73,0))&amp;"","")</f>
        <v/>
      </c>
      <c r="AQ36" s="136">
        <f>IFERROR(INDEX(SET!L$8:L$73,MATCH($A36,SET!$A$8:$A$73,0))&amp;"","")</f>
        <v/>
      </c>
      <c r="AR36" s="116">
        <f>IFERROR(INDEX(SET!M$8:M$73,MATCH($A36,SET!$A$8:$A$73,0))&amp;"","")</f>
        <v/>
      </c>
      <c r="AS36" s="116">
        <f>IFERROR(INDEX(SET!N$8:N$73,MATCH($A36,SET!$A$8:$A$73,0))&amp;"","")</f>
        <v/>
      </c>
      <c r="AT36" s="117">
        <f>SUMPRODUCT(($D36:$J36="M")*6+($D36:$J36="T")*6+($D36:$J36="D")*12+($D36:$J36="N")*12+($D36:$J36="NT")*6+($D36:$J36="C")*10+($D36:$J36="A")*8+($D36:$J36="J")*5+($D36:$J36="CEP")*4+($D36:$J36="CP")*6+($D36:$J36="CRO")*6+($D36:$J36="M+")*6+($D36:$J36="T+")*6+($D36:$J36="D+")*12+($D36:$J36="N+")*12+($D36:$J36="Dm+")*12+($D36:$J36="Dt+")*12+($D36:$J36="Tm-")*6+($D36:$J36="Mt-")*6)</f>
        <v/>
      </c>
      <c r="AU36" s="118">
        <f>AT36-MAX(0,IFERROR(INDEX(CADASTRO!$I$4:$I$80,MATCH($A36,CADASTRO!$A$4:$A$80,0)),$B36)-CONFIG!$B$50*(COUNTIF($D36:$J36,"AB")+COUNTIF($D36:$J36,"FE")+COUNTIF($D36:$J36,"LM")))</f>
        <v/>
      </c>
      <c r="AV36" s="117">
        <f>SUMPRODUCT(($K36:$Q36="M")*6+($K36:$Q36="T")*6+($K36:$Q36="D")*12+($K36:$Q36="N")*12+($K36:$Q36="NT")*6+($K36:$Q36="C")*10+($K36:$Q36="A")*8+($K36:$Q36="J")*5+($K36:$Q36="CEP")*4+($K36:$Q36="CP")*6+($K36:$Q36="CRO")*6+($K36:$Q36="M+")*6+($K36:$Q36="T+")*6+($K36:$Q36="D+")*12+($K36:$Q36="N+")*12+($K36:$Q36="Dm+")*12+($K36:$Q36="Dt+")*12+($K36:$Q36="Tm-")*6+($K36:$Q36="Mt-")*6)</f>
        <v/>
      </c>
      <c r="AW36" s="118">
        <f>AV36-MAX(0,IFERROR(INDEX(CADASTRO!$I$4:$I$80,MATCH($A36,CADASTRO!$A$4:$A$80,0)),$B36)-CONFIG!$B$50*(COUNTIF($K36:$Q36,"AB")+COUNTIF($K36:$Q36,"FE")+COUNTIF($K36:$Q36,"LM")))</f>
        <v/>
      </c>
      <c r="AX36" s="117">
        <f>SUMPRODUCT(($R36:$X36="M")*6+($R36:$X36="T")*6+($R36:$X36="D")*12+($R36:$X36="N")*12+($R36:$X36="NT")*6+($R36:$X36="C")*10+($R36:$X36="A")*8+($R36:$X36="J")*5+($R36:$X36="CEP")*4+($R36:$X36="CP")*6+($R36:$X36="CRO")*6+($R36:$X36="M+")*6+($R36:$X36="T+")*6+($R36:$X36="D+")*12+($R36:$X36="N+")*12+($R36:$X36="Dm+")*12+($R36:$X36="Dt+")*12+($R36:$X36="Tm-")*6+($R36:$X36="Mt-")*6)</f>
        <v/>
      </c>
      <c r="AY36" s="118">
        <f>AX36-MAX(0,IFERROR(INDEX(CADASTRO!$I$4:$I$80,MATCH($A36,CADASTRO!$A$4:$A$80,0)),$B36)-CONFIG!$B$50*(COUNTIF($R36:$X36,"AB")+COUNTIF($R36:$X36,"FE")+COUNTIF($R36:$X36,"LM")))</f>
        <v/>
      </c>
      <c r="AZ36" s="117">
        <f>SUMPRODUCT(($Y36:$AE36="M")*6+($Y36:$AE36="T")*6+($Y36:$AE36="D")*12+($Y36:$AE36="N")*12+($Y36:$AE36="NT")*6+($Y36:$AE36="C")*10+($Y36:$AE36="A")*8+($Y36:$AE36="J")*5+($Y36:$AE36="CEP")*4+($Y36:$AE36="CP")*6+($Y36:$AE36="CRO")*6+($Y36:$AE36="M+")*6+($Y36:$AE36="T+")*6+($Y36:$AE36="D+")*12+($Y36:$AE36="N+")*12+($Y36:$AE36="Dm+")*12+($Y36:$AE36="Dt+")*12+($Y36:$AE36="Tm-")*6+($Y36:$AE36="Mt-")*6)</f>
        <v/>
      </c>
      <c r="BA36" s="118">
        <f>AZ36-MAX(0,IFERROR(INDEX(CADASTRO!$I$4:$I$80,MATCH($A36,CADASTRO!$A$4:$A$80,0)),$B36)-CONFIG!$B$50*(COUNTIF($Y36:$AE36,"AB")+COUNTIF($Y36:$AE36,"FE")+COUNTIF($Y36:$AE36,"LM")))</f>
        <v/>
      </c>
      <c r="BB36" s="117">
        <f>SUMPRODUCT(($AF36:$AL36="M")*6+($AF36:$AL36="T")*6+($AF36:$AL36="D")*12+($AF36:$AL36="N")*12+($AF36:$AL36="NT")*6+($AF36:$AL36="C")*10+($AF36:$AL36="A")*8+($AF36:$AL36="J")*5+($AF36:$AL36="CEP")*4+($AF36:$AL36="CP")*6+($AF36:$AL36="CRO")*6+($AF36:$AL36="M+")*6+($AF36:$AL36="T+")*6+($AF36:$AL36="D+")*12+($AF36:$AL36="N+")*12+($AF36:$AL36="Dm+")*12+($AF36:$AL36="Dt+")*12+($AF36:$AL36="Tm-")*6+($AF36:$AL36="Mt-")*6)</f>
        <v/>
      </c>
      <c r="BC36" s="118">
        <f>BB36-MAX(0,IFERROR(INDEX(CADASTRO!$I$4:$I$80,MATCH($A36,CADASTRO!$A$4:$A$80,0)),$B36)-CONFIG!$B$50*(COUNTIF($AF36:$AL36,"AB")+COUNTIF($AF36:$AL36,"FE")+COUNTIF($AF36:$AL36,"LM")))</f>
        <v/>
      </c>
      <c r="BD36" s="117">
        <f>SUMPRODUCT(($AM36:$AM36="M")*6+($AM36:$AM36="T")*6+($AM36:$AM36="D")*12+($AM36:$AM36="N")*12+($AM36:$AM36="NT")*6+($AM36:$AM36="C")*10+($AM36:$AM36="A")*8+($AM36:$AM36="J")*5+($AM36:$AM36="CEP")*4+($AM36:$AM36="CP")*6+($AM36:$AM36="CRO")*6+($AM36:$AM36="M+")*6+($AM36:$AM36="T+")*6+($AM36:$AM36="D+")*12+($AM36:$AM36="N+")*12+($AM36:$AM36="Dm+")*12+($AM36:$AM36="Dt+")*12+($AM36:$AM36="Tm-")*6+($AM36:$AM36="Mt-")*6)+SUMPRODUCT(($AN36:$AS36="M")*6+($AN36:$AS36="T")*6+($AN36:$AS36="D")*12+($AN36:$AS36="N")*12+($AN36:$AS36="NT")*6+($AN36:$AS36="C")*10+($AN36:$AS36="A")*8+($AN36:$AS36="J")*5+($AN36:$AS36="CEP")*4+($AN36:$AS36="CP")*6+($AN36:$AS36="CRO")*6+($AN36:$AS36="M+")*6+($AN36:$AS36="T+")*6+($AN36:$AS36="D+")*12+($AN36:$AS36="N+")*12+($AN36:$AS36="Dm+")*12+($AN36:$AS36="Dt+")*12+($AN36:$AS36="Tm-")*6+($AN36:$AS36="Mt-")*6)</f>
        <v/>
      </c>
      <c r="BE36" s="118">
        <f>BD36-MAX(0,IFERROR(INDEX(CADASTRO!$I$4:$I$80,MATCH($A36,CADASTRO!$A$4:$A$80,0)),$B36)-CONFIG!$B$50*(COUNTIF($AM36:$AM36,"AB")+COUNTIF($AM36:$AM36,"FE")+COUNTIF($AM36:$AM36,"LM")+COUNTIF($AN36:$AS36,"AB")+COUNTIF($AN36:$AS36,"FE")+COUNTIF($AN36:$AS36,"LM")))</f>
        <v/>
      </c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36">
        <f>IFERROR(INDEX(JUL!AI$8:AI$73,MATCH($A37,JUL!$A$8:$A$73,0))&amp;"","")</f>
        <v/>
      </c>
      <c r="E37" s="136">
        <f>IFERROR(INDEX(JUL!AJ$8:AJ$73,MATCH($A37,JUL!$A$8:$A$73,0))&amp;"","")</f>
        <v/>
      </c>
      <c r="F37" s="136">
        <f>IFERROR(INDEX(JUL!AK$8:AK$73,MATCH($A37,JUL!$A$8:$A$73,0))&amp;"","")</f>
        <v/>
      </c>
      <c r="G37" s="136">
        <f>IFERROR(INDEX(JUL!AL$8:AL$73,MATCH($A37,JUL!$A$8:$A$73,0))&amp;"","")</f>
        <v/>
      </c>
      <c r="H37" s="136">
        <f>IFERROR(INDEX(JUL!AM$8:AM$73,MATCH($A37,JUL!$A$8:$A$73,0))&amp;"","")</f>
        <v/>
      </c>
      <c r="I37" s="114" t="n"/>
      <c r="J37" s="114" t="n"/>
      <c r="K37" s="126" t="inlineStr">
        <is>
          <t>T</t>
        </is>
      </c>
      <c r="L37" s="114" t="n"/>
      <c r="M37" s="125" t="inlineStr">
        <is>
          <t>N</t>
        </is>
      </c>
      <c r="N37" s="114" t="n"/>
      <c r="O37" s="124" t="inlineStr">
        <is>
          <t>D</t>
        </is>
      </c>
      <c r="P37" s="114" t="n"/>
      <c r="Q37" s="114" t="n"/>
      <c r="R37" s="114" t="n"/>
      <c r="S37" s="114" t="n"/>
      <c r="T37" s="114" t="n"/>
      <c r="U37" s="126" t="inlineStr">
        <is>
          <t>T</t>
        </is>
      </c>
      <c r="V37" s="125" t="inlineStr">
        <is>
          <t>N</t>
        </is>
      </c>
      <c r="W37" s="114" t="n"/>
      <c r="X37" s="125" t="inlineStr">
        <is>
          <t>N</t>
        </is>
      </c>
      <c r="Y37" s="114" t="n"/>
      <c r="Z37" s="115" t="inlineStr">
        <is>
          <t>M</t>
        </is>
      </c>
      <c r="AA37" s="114" t="n"/>
      <c r="AB37" s="114" t="n"/>
      <c r="AC37" s="115" t="inlineStr">
        <is>
          <t>M</t>
        </is>
      </c>
      <c r="AD37" s="115" t="inlineStr">
        <is>
          <t>M</t>
        </is>
      </c>
      <c r="AE37" s="125" t="inlineStr">
        <is>
          <t>N</t>
        </is>
      </c>
      <c r="AF37" s="114" t="n"/>
      <c r="AG37" s="124" t="inlineStr">
        <is>
          <t>D</t>
        </is>
      </c>
      <c r="AH37" s="125" t="inlineStr">
        <is>
          <t>N</t>
        </is>
      </c>
      <c r="AI37" s="114" t="n"/>
      <c r="AJ37" s="114" t="n"/>
      <c r="AK37" s="126" t="inlineStr">
        <is>
          <t>T</t>
        </is>
      </c>
      <c r="AL37" s="114" t="n"/>
      <c r="AM37" s="115" t="inlineStr">
        <is>
          <t>M</t>
        </is>
      </c>
      <c r="AN37" s="136">
        <f>IFERROR(INDEX(SET!I$8:I$73,MATCH($A37,SET!$A$8:$A$73,0))&amp;"","")</f>
        <v/>
      </c>
      <c r="AO37" s="136">
        <f>IFERROR(INDEX(SET!J$8:J$73,MATCH($A37,SET!$A$8:$A$73,0))&amp;"","")</f>
        <v/>
      </c>
      <c r="AP37" s="136">
        <f>IFERROR(INDEX(SET!K$8:K$73,MATCH($A37,SET!$A$8:$A$73,0))&amp;"","")</f>
        <v/>
      </c>
      <c r="AQ37" s="136">
        <f>IFERROR(INDEX(SET!L$8:L$73,MATCH($A37,SET!$A$8:$A$73,0))&amp;"","")</f>
        <v/>
      </c>
      <c r="AR37" s="116">
        <f>IFERROR(INDEX(SET!M$8:M$73,MATCH($A37,SET!$A$8:$A$73,0))&amp;"","")</f>
        <v/>
      </c>
      <c r="AS37" s="116">
        <f>IFERROR(INDEX(SET!N$8:N$73,MATCH($A37,SET!$A$8:$A$73,0))&amp;"","")</f>
        <v/>
      </c>
      <c r="AT37" s="117">
        <f>SUMPRODUCT(($D37:$J37="M")*6+($D37:$J37="T")*6+($D37:$J37="D")*12+($D37:$J37="N")*12+($D37:$J37="NT")*6+($D37:$J37="C")*10+($D37:$J37="A")*8+($D37:$J37="J")*5+($D37:$J37="CEP")*4+($D37:$J37="CP")*6+($D37:$J37="CRO")*6+($D37:$J37="M+")*6+($D37:$J37="T+")*6+($D37:$J37="D+")*12+($D37:$J37="N+")*12+($D37:$J37="Dm+")*12+($D37:$J37="Dt+")*12+($D37:$J37="Tm-")*6+($D37:$J37="Mt-")*6)</f>
        <v/>
      </c>
      <c r="AU37" s="118">
        <f>AT37-MAX(0,IFERROR(INDEX(CADASTRO!$I$4:$I$80,MATCH($A37,CADASTRO!$A$4:$A$80,0)),$B37)-CONFIG!$B$50*(COUNTIF($D37:$J37,"AB")+COUNTIF($D37:$J37,"FE")+COUNTIF($D37:$J37,"LM")))</f>
        <v/>
      </c>
      <c r="AV37" s="117">
        <f>SUMPRODUCT(($K37:$Q37="M")*6+($K37:$Q37="T")*6+($K37:$Q37="D")*12+($K37:$Q37="N")*12+($K37:$Q37="NT")*6+($K37:$Q37="C")*10+($K37:$Q37="A")*8+($K37:$Q37="J")*5+($K37:$Q37="CEP")*4+($K37:$Q37="CP")*6+($K37:$Q37="CRO")*6+($K37:$Q37="M+")*6+($K37:$Q37="T+")*6+($K37:$Q37="D+")*12+($K37:$Q37="N+")*12+($K37:$Q37="Dm+")*12+($K37:$Q37="Dt+")*12+($K37:$Q37="Tm-")*6+($K37:$Q37="Mt-")*6)</f>
        <v/>
      </c>
      <c r="AW37" s="118">
        <f>AV37-MAX(0,IFERROR(INDEX(CADASTRO!$I$4:$I$80,MATCH($A37,CADASTRO!$A$4:$A$80,0)),$B37)-CONFIG!$B$50*(COUNTIF($K37:$Q37,"AB")+COUNTIF($K37:$Q37,"FE")+COUNTIF($K37:$Q37,"LM")))</f>
        <v/>
      </c>
      <c r="AX37" s="117">
        <f>SUMPRODUCT(($R37:$X37="M")*6+($R37:$X37="T")*6+($R37:$X37="D")*12+($R37:$X37="N")*12+($R37:$X37="NT")*6+($R37:$X37="C")*10+($R37:$X37="A")*8+($R37:$X37="J")*5+($R37:$X37="CEP")*4+($R37:$X37="CP")*6+($R37:$X37="CRO")*6+($R37:$X37="M+")*6+($R37:$X37="T+")*6+($R37:$X37="D+")*12+($R37:$X37="N+")*12+($R37:$X37="Dm+")*12+($R37:$X37="Dt+")*12+($R37:$X37="Tm-")*6+($R37:$X37="Mt-")*6)</f>
        <v/>
      </c>
      <c r="AY37" s="118">
        <f>AX37-MAX(0,IFERROR(INDEX(CADASTRO!$I$4:$I$80,MATCH($A37,CADASTRO!$A$4:$A$80,0)),$B37)-CONFIG!$B$50*(COUNTIF($R37:$X37,"AB")+COUNTIF($R37:$X37,"FE")+COUNTIF($R37:$X37,"LM")))</f>
        <v/>
      </c>
      <c r="AZ37" s="117">
        <f>SUMPRODUCT(($Y37:$AE37="M")*6+($Y37:$AE37="T")*6+($Y37:$AE37="D")*12+($Y37:$AE37="N")*12+($Y37:$AE37="NT")*6+($Y37:$AE37="C")*10+($Y37:$AE37="A")*8+($Y37:$AE37="J")*5+($Y37:$AE37="CEP")*4+($Y37:$AE37="CP")*6+($Y37:$AE37="CRO")*6+($Y37:$AE37="M+")*6+($Y37:$AE37="T+")*6+($Y37:$AE37="D+")*12+($Y37:$AE37="N+")*12+($Y37:$AE37="Dm+")*12+($Y37:$AE37="Dt+")*12+($Y37:$AE37="Tm-")*6+($Y37:$AE37="Mt-")*6)</f>
        <v/>
      </c>
      <c r="BA37" s="118">
        <f>AZ37-MAX(0,IFERROR(INDEX(CADASTRO!$I$4:$I$80,MATCH($A37,CADASTRO!$A$4:$A$80,0)),$B37)-CONFIG!$B$50*(COUNTIF($Y37:$AE37,"AB")+COUNTIF($Y37:$AE37,"FE")+COUNTIF($Y37:$AE37,"LM")))</f>
        <v/>
      </c>
      <c r="BB37" s="117">
        <f>SUMPRODUCT(($AF37:$AL37="M")*6+($AF37:$AL37="T")*6+($AF37:$AL37="D")*12+($AF37:$AL37="N")*12+($AF37:$AL37="NT")*6+($AF37:$AL37="C")*10+($AF37:$AL37="A")*8+($AF37:$AL37="J")*5+($AF37:$AL37="CEP")*4+($AF37:$AL37="CP")*6+($AF37:$AL37="CRO")*6+($AF37:$AL37="M+")*6+($AF37:$AL37="T+")*6+($AF37:$AL37="D+")*12+($AF37:$AL37="N+")*12+($AF37:$AL37="Dm+")*12+($AF37:$AL37="Dt+")*12+($AF37:$AL37="Tm-")*6+($AF37:$AL37="Mt-")*6)</f>
        <v/>
      </c>
      <c r="BC37" s="118">
        <f>BB37-MAX(0,IFERROR(INDEX(CADASTRO!$I$4:$I$80,MATCH($A37,CADASTRO!$A$4:$A$80,0)),$B37)-CONFIG!$B$50*(COUNTIF($AF37:$AL37,"AB")+COUNTIF($AF37:$AL37,"FE")+COUNTIF($AF37:$AL37,"LM")))</f>
        <v/>
      </c>
      <c r="BD37" s="117">
        <f>SUMPRODUCT(($AM37:$AM37="M")*6+($AM37:$AM37="T")*6+($AM37:$AM37="D")*12+($AM37:$AM37="N")*12+($AM37:$AM37="NT")*6+($AM37:$AM37="C")*10+($AM37:$AM37="A")*8+($AM37:$AM37="J")*5+($AM37:$AM37="CEP")*4+($AM37:$AM37="CP")*6+($AM37:$AM37="CRO")*6+($AM37:$AM37="M+")*6+($AM37:$AM37="T+")*6+($AM37:$AM37="D+")*12+($AM37:$AM37="N+")*12+($AM37:$AM37="Dm+")*12+($AM37:$AM37="Dt+")*12+($AM37:$AM37="Tm-")*6+($AM37:$AM37="Mt-")*6)+SUMPRODUCT(($AN37:$AS37="M")*6+($AN37:$AS37="T")*6+($AN37:$AS37="D")*12+($AN37:$AS37="N")*12+($AN37:$AS37="NT")*6+($AN37:$AS37="C")*10+($AN37:$AS37="A")*8+($AN37:$AS37="J")*5+($AN37:$AS37="CEP")*4+($AN37:$AS37="CP")*6+($AN37:$AS37="CRO")*6+($AN37:$AS37="M+")*6+($AN37:$AS37="T+")*6+($AN37:$AS37="D+")*12+($AN37:$AS37="N+")*12+($AN37:$AS37="Dm+")*12+($AN37:$AS37="Dt+")*12+($AN37:$AS37="Tm-")*6+($AN37:$AS37="Mt-")*6)</f>
        <v/>
      </c>
      <c r="BE37" s="118">
        <f>BD37-MAX(0,IFERROR(INDEX(CADASTRO!$I$4:$I$80,MATCH($A37,CADASTRO!$A$4:$A$80,0)),$B37)-CONFIG!$B$50*(COUNTIF($AM37:$AM37,"AB")+COUNTIF($AM37:$AM37,"FE")+COUNTIF($AM37:$AM37,"LM")+COUNTIF($AN37:$AS37,"AB")+COUNTIF($AN37:$AS37,"FE")+COUNTIF($AN37:$AS37,"LM")))</f>
        <v/>
      </c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36">
        <f>IFERROR(INDEX(JUL!AI$8:AI$73,MATCH($A38,JUL!$A$8:$A$73,0))&amp;"","")</f>
        <v/>
      </c>
      <c r="E38" s="136">
        <f>IFERROR(INDEX(JUL!AJ$8:AJ$73,MATCH($A38,JUL!$A$8:$A$73,0))&amp;"","")</f>
        <v/>
      </c>
      <c r="F38" s="136">
        <f>IFERROR(INDEX(JUL!AK$8:AK$73,MATCH($A38,JUL!$A$8:$A$73,0))&amp;"","")</f>
        <v/>
      </c>
      <c r="G38" s="136">
        <f>IFERROR(INDEX(JUL!AL$8:AL$73,MATCH($A38,JUL!$A$8:$A$73,0))&amp;"","")</f>
        <v/>
      </c>
      <c r="H38" s="136">
        <f>IFERROR(INDEX(JUL!AM$8:AM$73,MATCH($A38,JUL!$A$8:$A$73,0))&amp;"","")</f>
        <v/>
      </c>
      <c r="I38" s="125" t="inlineStr">
        <is>
          <t>N</t>
        </is>
      </c>
      <c r="J38" s="114" t="n"/>
      <c r="K38" s="114" t="n"/>
      <c r="L38" s="114" t="n"/>
      <c r="M38" s="114" t="n"/>
      <c r="N38" s="125" t="inlineStr">
        <is>
          <t>N</t>
        </is>
      </c>
      <c r="O38" s="114" t="n"/>
      <c r="P38" s="125" t="inlineStr">
        <is>
          <t>N</t>
        </is>
      </c>
      <c r="Q38" s="114" t="n"/>
      <c r="R38" s="124" t="inlineStr">
        <is>
          <t>D</t>
        </is>
      </c>
      <c r="S38" s="114" t="n"/>
      <c r="T38" s="114" t="n"/>
      <c r="U38" s="125" t="inlineStr">
        <is>
          <t>N</t>
        </is>
      </c>
      <c r="V38" s="114" t="n"/>
      <c r="W38" s="114" t="n"/>
      <c r="X38" s="114" t="n"/>
      <c r="Y38" s="124" t="inlineStr">
        <is>
          <t>D</t>
        </is>
      </c>
      <c r="Z38" s="115" t="inlineStr">
        <is>
          <t>M</t>
        </is>
      </c>
      <c r="AA38" s="114" t="n"/>
      <c r="AB38" s="114" t="n"/>
      <c r="AC38" s="114" t="n"/>
      <c r="AD38" s="114" t="n"/>
      <c r="AE38" s="126" t="inlineStr">
        <is>
          <t>T</t>
        </is>
      </c>
      <c r="AF38" s="124" t="inlineStr">
        <is>
          <t>D</t>
        </is>
      </c>
      <c r="AG38" s="114" t="n"/>
      <c r="AH38" s="114" t="n"/>
      <c r="AI38" s="114" t="n"/>
      <c r="AJ38" s="125" t="inlineStr">
        <is>
          <t>N</t>
        </is>
      </c>
      <c r="AK38" s="114" t="n"/>
      <c r="AL38" s="114" t="n"/>
      <c r="AM38" s="114" t="n"/>
      <c r="AN38" s="136">
        <f>IFERROR(INDEX(SET!I$8:I$73,MATCH($A38,SET!$A$8:$A$73,0))&amp;"","")</f>
        <v/>
      </c>
      <c r="AO38" s="136">
        <f>IFERROR(INDEX(SET!J$8:J$73,MATCH($A38,SET!$A$8:$A$73,0))&amp;"","")</f>
        <v/>
      </c>
      <c r="AP38" s="136">
        <f>IFERROR(INDEX(SET!K$8:K$73,MATCH($A38,SET!$A$8:$A$73,0))&amp;"","")</f>
        <v/>
      </c>
      <c r="AQ38" s="136">
        <f>IFERROR(INDEX(SET!L$8:L$73,MATCH($A38,SET!$A$8:$A$73,0))&amp;"","")</f>
        <v/>
      </c>
      <c r="AR38" s="116">
        <f>IFERROR(INDEX(SET!M$8:M$73,MATCH($A38,SET!$A$8:$A$73,0))&amp;"","")</f>
        <v/>
      </c>
      <c r="AS38" s="116">
        <f>IFERROR(INDEX(SET!N$8:N$73,MATCH($A38,SET!$A$8:$A$73,0))&amp;"","")</f>
        <v/>
      </c>
      <c r="AT38" s="117">
        <f>SUMPRODUCT(($D38:$J38="M")*6+($D38:$J38="T")*6+($D38:$J38="D")*12+($D38:$J38="N")*12+($D38:$J38="NT")*6+($D38:$J38="C")*10+($D38:$J38="A")*8+($D38:$J38="J")*5+($D38:$J38="CEP")*4+($D38:$J38="CP")*6+($D38:$J38="CRO")*6+($D38:$J38="M+")*6+($D38:$J38="T+")*6+($D38:$J38="D+")*12+($D38:$J38="N+")*12+($D38:$J38="Dm+")*12+($D38:$J38="Dt+")*12+($D38:$J38="Tm-")*6+($D38:$J38="Mt-")*6)</f>
        <v/>
      </c>
      <c r="AU38" s="118">
        <f>AT38-MAX(0,IFERROR(INDEX(CADASTRO!$I$4:$I$80,MATCH($A38,CADASTRO!$A$4:$A$80,0)),$B38)-CONFIG!$B$50*(COUNTIF($D38:$J38,"AB")+COUNTIF($D38:$J38,"FE")+COUNTIF($D38:$J38,"LM")))</f>
        <v/>
      </c>
      <c r="AV38" s="117">
        <f>SUMPRODUCT(($K38:$Q38="M")*6+($K38:$Q38="T")*6+($K38:$Q38="D")*12+($K38:$Q38="N")*12+($K38:$Q38="NT")*6+($K38:$Q38="C")*10+($K38:$Q38="A")*8+($K38:$Q38="J")*5+($K38:$Q38="CEP")*4+($K38:$Q38="CP")*6+($K38:$Q38="CRO")*6+($K38:$Q38="M+")*6+($K38:$Q38="T+")*6+($K38:$Q38="D+")*12+($K38:$Q38="N+")*12+($K38:$Q38="Dm+")*12+($K38:$Q38="Dt+")*12+($K38:$Q38="Tm-")*6+($K38:$Q38="Mt-")*6)</f>
        <v/>
      </c>
      <c r="AW38" s="118">
        <f>AV38-MAX(0,IFERROR(INDEX(CADASTRO!$I$4:$I$80,MATCH($A38,CADASTRO!$A$4:$A$80,0)),$B38)-CONFIG!$B$50*(COUNTIF($K38:$Q38,"AB")+COUNTIF($K38:$Q38,"FE")+COUNTIF($K38:$Q38,"LM")))</f>
        <v/>
      </c>
      <c r="AX38" s="117">
        <f>SUMPRODUCT(($R38:$X38="M")*6+($R38:$X38="T")*6+($R38:$X38="D")*12+($R38:$X38="N")*12+($R38:$X38="NT")*6+($R38:$X38="C")*10+($R38:$X38="A")*8+($R38:$X38="J")*5+($R38:$X38="CEP")*4+($R38:$X38="CP")*6+($R38:$X38="CRO")*6+($R38:$X38="M+")*6+($R38:$X38="T+")*6+($R38:$X38="D+")*12+($R38:$X38="N+")*12+($R38:$X38="Dm+")*12+($R38:$X38="Dt+")*12+($R38:$X38="Tm-")*6+($R38:$X38="Mt-")*6)</f>
        <v/>
      </c>
      <c r="AY38" s="118">
        <f>AX38-MAX(0,IFERROR(INDEX(CADASTRO!$I$4:$I$80,MATCH($A38,CADASTRO!$A$4:$A$80,0)),$B38)-CONFIG!$B$50*(COUNTIF($R38:$X38,"AB")+COUNTIF($R38:$X38,"FE")+COUNTIF($R38:$X38,"LM")))</f>
        <v/>
      </c>
      <c r="AZ38" s="117">
        <f>SUMPRODUCT(($Y38:$AE38="M")*6+($Y38:$AE38="T")*6+($Y38:$AE38="D")*12+($Y38:$AE38="N")*12+($Y38:$AE38="NT")*6+($Y38:$AE38="C")*10+($Y38:$AE38="A")*8+($Y38:$AE38="J")*5+($Y38:$AE38="CEP")*4+($Y38:$AE38="CP")*6+($Y38:$AE38="CRO")*6+($Y38:$AE38="M+")*6+($Y38:$AE38="T+")*6+($Y38:$AE38="D+")*12+($Y38:$AE38="N+")*12+($Y38:$AE38="Dm+")*12+($Y38:$AE38="Dt+")*12+($Y38:$AE38="Tm-")*6+($Y38:$AE38="Mt-")*6)</f>
        <v/>
      </c>
      <c r="BA38" s="118">
        <f>AZ38-MAX(0,IFERROR(INDEX(CADASTRO!$I$4:$I$80,MATCH($A38,CADASTRO!$A$4:$A$80,0)),$B38)-CONFIG!$B$50*(COUNTIF($Y38:$AE38,"AB")+COUNTIF($Y38:$AE38,"FE")+COUNTIF($Y38:$AE38,"LM")))</f>
        <v/>
      </c>
      <c r="BB38" s="117">
        <f>SUMPRODUCT(($AF38:$AL38="M")*6+($AF38:$AL38="T")*6+($AF38:$AL38="D")*12+($AF38:$AL38="N")*12+($AF38:$AL38="NT")*6+($AF38:$AL38="C")*10+($AF38:$AL38="A")*8+($AF38:$AL38="J")*5+($AF38:$AL38="CEP")*4+($AF38:$AL38="CP")*6+($AF38:$AL38="CRO")*6+($AF38:$AL38="M+")*6+($AF38:$AL38="T+")*6+($AF38:$AL38="D+")*12+($AF38:$AL38="N+")*12+($AF38:$AL38="Dm+")*12+($AF38:$AL38="Dt+")*12+($AF38:$AL38="Tm-")*6+($AF38:$AL38="Mt-")*6)</f>
        <v/>
      </c>
      <c r="BC38" s="118">
        <f>BB38-MAX(0,IFERROR(INDEX(CADASTRO!$I$4:$I$80,MATCH($A38,CADASTRO!$A$4:$A$80,0)),$B38)-CONFIG!$B$50*(COUNTIF($AF38:$AL38,"AB")+COUNTIF($AF38:$AL38,"FE")+COUNTIF($AF38:$AL38,"LM")))</f>
        <v/>
      </c>
      <c r="BD38" s="117">
        <f>SUMPRODUCT(($AM38:$AM38="M")*6+($AM38:$AM38="T")*6+($AM38:$AM38="D")*12+($AM38:$AM38="N")*12+($AM38:$AM38="NT")*6+($AM38:$AM38="C")*10+($AM38:$AM38="A")*8+($AM38:$AM38="J")*5+($AM38:$AM38="CEP")*4+($AM38:$AM38="CP")*6+($AM38:$AM38="CRO")*6+($AM38:$AM38="M+")*6+($AM38:$AM38="T+")*6+($AM38:$AM38="D+")*12+($AM38:$AM38="N+")*12+($AM38:$AM38="Dm+")*12+($AM38:$AM38="Dt+")*12+($AM38:$AM38="Tm-")*6+($AM38:$AM38="Mt-")*6)+SUMPRODUCT(($AN38:$AS38="M")*6+($AN38:$AS38="T")*6+($AN38:$AS38="D")*12+($AN38:$AS38="N")*12+($AN38:$AS38="NT")*6+($AN38:$AS38="C")*10+($AN38:$AS38="A")*8+($AN38:$AS38="J")*5+($AN38:$AS38="CEP")*4+($AN38:$AS38="CP")*6+($AN38:$AS38="CRO")*6+($AN38:$AS38="M+")*6+($AN38:$AS38="T+")*6+($AN38:$AS38="D+")*12+($AN38:$AS38="N+")*12+($AN38:$AS38="Dm+")*12+($AN38:$AS38="Dt+")*12+($AN38:$AS38="Tm-")*6+($AN38:$AS38="Mt-")*6)</f>
        <v/>
      </c>
      <c r="BE38" s="118">
        <f>BD38-MAX(0,IFERROR(INDEX(CADASTRO!$I$4:$I$80,MATCH($A38,CADASTRO!$A$4:$A$80,0)),$B38)-CONFIG!$B$50*(COUNTIF($AM38:$AM38,"AB")+COUNTIF($AM38:$AM38,"FE")+COUNTIF($AM38:$AM38,"LM")+COUNTIF($AN38:$AS38,"AB")+COUNTIF($AN38:$AS38,"FE")+COUNTIF($AN38:$AS38,"LM")))</f>
        <v/>
      </c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36">
        <f>IFERROR(INDEX(JUL!AI$8:AI$73,MATCH($A39,JUL!$A$8:$A$73,0))&amp;"","")</f>
        <v/>
      </c>
      <c r="E39" s="136">
        <f>IFERROR(INDEX(JUL!AJ$8:AJ$73,MATCH($A39,JUL!$A$8:$A$73,0))&amp;"","")</f>
        <v/>
      </c>
      <c r="F39" s="136">
        <f>IFERROR(INDEX(JUL!AK$8:AK$73,MATCH($A39,JUL!$A$8:$A$73,0))&amp;"","")</f>
        <v/>
      </c>
      <c r="G39" s="136">
        <f>IFERROR(INDEX(JUL!AL$8:AL$73,MATCH($A39,JUL!$A$8:$A$73,0))&amp;"","")</f>
        <v/>
      </c>
      <c r="H39" s="136">
        <f>IFERROR(INDEX(JUL!AM$8:AM$73,MATCH($A39,JUL!$A$8:$A$73,0))&amp;"","")</f>
        <v/>
      </c>
      <c r="I39" s="126" t="inlineStr">
        <is>
          <t>T</t>
        </is>
      </c>
      <c r="J39" s="114" t="n"/>
      <c r="K39" s="114" t="n"/>
      <c r="L39" s="114" t="n"/>
      <c r="M39" s="125" t="inlineStr">
        <is>
          <t>N</t>
        </is>
      </c>
      <c r="N39" s="114" t="n"/>
      <c r="O39" s="114" t="n"/>
      <c r="P39" s="124" t="inlineStr">
        <is>
          <t>D</t>
        </is>
      </c>
      <c r="Q39" s="114" t="n"/>
      <c r="R39" s="114" t="n"/>
      <c r="S39" s="115" t="inlineStr">
        <is>
          <t>M</t>
        </is>
      </c>
      <c r="T39" s="124" t="inlineStr">
        <is>
          <t>D</t>
        </is>
      </c>
      <c r="U39" s="114" t="n"/>
      <c r="V39" s="115" t="inlineStr">
        <is>
          <t>M</t>
        </is>
      </c>
      <c r="W39" s="114" t="n"/>
      <c r="X39" s="114" t="n"/>
      <c r="Y39" s="126" t="inlineStr">
        <is>
          <t>T</t>
        </is>
      </c>
      <c r="Z39" s="114" t="n"/>
      <c r="AA39" s="126" t="inlineStr">
        <is>
          <t>T</t>
        </is>
      </c>
      <c r="AB39" s="114" t="n"/>
      <c r="AC39" s="114" t="n"/>
      <c r="AD39" s="125" t="inlineStr">
        <is>
          <t>N</t>
        </is>
      </c>
      <c r="AE39" s="114" t="n"/>
      <c r="AF39" s="126" t="inlineStr">
        <is>
          <t>T</t>
        </is>
      </c>
      <c r="AG39" s="114" t="n"/>
      <c r="AH39" s="124" t="inlineStr">
        <is>
          <t>D</t>
        </is>
      </c>
      <c r="AI39" s="114" t="n"/>
      <c r="AJ39" s="115" t="inlineStr">
        <is>
          <t>M</t>
        </is>
      </c>
      <c r="AK39" s="114" t="n"/>
      <c r="AL39" s="114" t="n"/>
      <c r="AM39" s="126" t="inlineStr">
        <is>
          <t>T</t>
        </is>
      </c>
      <c r="AN39" s="136">
        <f>IFERROR(INDEX(SET!I$8:I$73,MATCH($A39,SET!$A$8:$A$73,0))&amp;"","")</f>
        <v/>
      </c>
      <c r="AO39" s="136">
        <f>IFERROR(INDEX(SET!J$8:J$73,MATCH($A39,SET!$A$8:$A$73,0))&amp;"","")</f>
        <v/>
      </c>
      <c r="AP39" s="136">
        <f>IFERROR(INDEX(SET!K$8:K$73,MATCH($A39,SET!$A$8:$A$73,0))&amp;"","")</f>
        <v/>
      </c>
      <c r="AQ39" s="136">
        <f>IFERROR(INDEX(SET!L$8:L$73,MATCH($A39,SET!$A$8:$A$73,0))&amp;"","")</f>
        <v/>
      </c>
      <c r="AR39" s="116">
        <f>IFERROR(INDEX(SET!M$8:M$73,MATCH($A39,SET!$A$8:$A$73,0))&amp;"","")</f>
        <v/>
      </c>
      <c r="AS39" s="116">
        <f>IFERROR(INDEX(SET!N$8:N$73,MATCH($A39,SET!$A$8:$A$73,0))&amp;"","")</f>
        <v/>
      </c>
      <c r="AT39" s="117">
        <f>SUMPRODUCT(($D39:$J39="M")*6+($D39:$J39="T")*6+($D39:$J39="D")*12+($D39:$J39="N")*12+($D39:$J39="NT")*6+($D39:$J39="C")*10+($D39:$J39="A")*8+($D39:$J39="J")*5+($D39:$J39="CEP")*4+($D39:$J39="CP")*6+($D39:$J39="CRO")*6+($D39:$J39="M+")*6+($D39:$J39="T+")*6+($D39:$J39="D+")*12+($D39:$J39="N+")*12+($D39:$J39="Dm+")*12+($D39:$J39="Dt+")*12+($D39:$J39="Tm-")*6+($D39:$J39="Mt-")*6)</f>
        <v/>
      </c>
      <c r="AU39" s="118">
        <f>AT39-MAX(0,IFERROR(INDEX(CADASTRO!$I$4:$I$80,MATCH($A39,CADASTRO!$A$4:$A$80,0)),$B39)-CONFIG!$B$50*(COUNTIF($D39:$J39,"AB")+COUNTIF($D39:$J39,"FE")+COUNTIF($D39:$J39,"LM")))</f>
        <v/>
      </c>
      <c r="AV39" s="117">
        <f>SUMPRODUCT(($K39:$Q39="M")*6+($K39:$Q39="T")*6+($K39:$Q39="D")*12+($K39:$Q39="N")*12+($K39:$Q39="NT")*6+($K39:$Q39="C")*10+($K39:$Q39="A")*8+($K39:$Q39="J")*5+($K39:$Q39="CEP")*4+($K39:$Q39="CP")*6+($K39:$Q39="CRO")*6+($K39:$Q39="M+")*6+($K39:$Q39="T+")*6+($K39:$Q39="D+")*12+($K39:$Q39="N+")*12+($K39:$Q39="Dm+")*12+($K39:$Q39="Dt+")*12+($K39:$Q39="Tm-")*6+($K39:$Q39="Mt-")*6)</f>
        <v/>
      </c>
      <c r="AW39" s="118">
        <f>AV39-MAX(0,IFERROR(INDEX(CADASTRO!$I$4:$I$80,MATCH($A39,CADASTRO!$A$4:$A$80,0)),$B39)-CONFIG!$B$50*(COUNTIF($K39:$Q39,"AB")+COUNTIF($K39:$Q39,"FE")+COUNTIF($K39:$Q39,"LM")))</f>
        <v/>
      </c>
      <c r="AX39" s="117">
        <f>SUMPRODUCT(($R39:$X39="M")*6+($R39:$X39="T")*6+($R39:$X39="D")*12+($R39:$X39="N")*12+($R39:$X39="NT")*6+($R39:$X39="C")*10+($R39:$X39="A")*8+($R39:$X39="J")*5+($R39:$X39="CEP")*4+($R39:$X39="CP")*6+($R39:$X39="CRO")*6+($R39:$X39="M+")*6+($R39:$X39="T+")*6+($R39:$X39="D+")*12+($R39:$X39="N+")*12+($R39:$X39="Dm+")*12+($R39:$X39="Dt+")*12+($R39:$X39="Tm-")*6+($R39:$X39="Mt-")*6)</f>
        <v/>
      </c>
      <c r="AY39" s="118">
        <f>AX39-MAX(0,IFERROR(INDEX(CADASTRO!$I$4:$I$80,MATCH($A39,CADASTRO!$A$4:$A$80,0)),$B39)-CONFIG!$B$50*(COUNTIF($R39:$X39,"AB")+COUNTIF($R39:$X39,"FE")+COUNTIF($R39:$X39,"LM")))</f>
        <v/>
      </c>
      <c r="AZ39" s="117">
        <f>SUMPRODUCT(($Y39:$AE39="M")*6+($Y39:$AE39="T")*6+($Y39:$AE39="D")*12+($Y39:$AE39="N")*12+($Y39:$AE39="NT")*6+($Y39:$AE39="C")*10+($Y39:$AE39="A")*8+($Y39:$AE39="J")*5+($Y39:$AE39="CEP")*4+($Y39:$AE39="CP")*6+($Y39:$AE39="CRO")*6+($Y39:$AE39="M+")*6+($Y39:$AE39="T+")*6+($Y39:$AE39="D+")*12+($Y39:$AE39="N+")*12+($Y39:$AE39="Dm+")*12+($Y39:$AE39="Dt+")*12+($Y39:$AE39="Tm-")*6+($Y39:$AE39="Mt-")*6)</f>
        <v/>
      </c>
      <c r="BA39" s="118">
        <f>AZ39-MAX(0,IFERROR(INDEX(CADASTRO!$I$4:$I$80,MATCH($A39,CADASTRO!$A$4:$A$80,0)),$B39)-CONFIG!$B$50*(COUNTIF($Y39:$AE39,"AB")+COUNTIF($Y39:$AE39,"FE")+COUNTIF($Y39:$AE39,"LM")))</f>
        <v/>
      </c>
      <c r="BB39" s="117">
        <f>SUMPRODUCT(($AF39:$AL39="M")*6+($AF39:$AL39="T")*6+($AF39:$AL39="D")*12+($AF39:$AL39="N")*12+($AF39:$AL39="NT")*6+($AF39:$AL39="C")*10+($AF39:$AL39="A")*8+($AF39:$AL39="J")*5+($AF39:$AL39="CEP")*4+($AF39:$AL39="CP")*6+($AF39:$AL39="CRO")*6+($AF39:$AL39="M+")*6+($AF39:$AL39="T+")*6+($AF39:$AL39="D+")*12+($AF39:$AL39="N+")*12+($AF39:$AL39="Dm+")*12+($AF39:$AL39="Dt+")*12+($AF39:$AL39="Tm-")*6+($AF39:$AL39="Mt-")*6)</f>
        <v/>
      </c>
      <c r="BC39" s="118">
        <f>BB39-MAX(0,IFERROR(INDEX(CADASTRO!$I$4:$I$80,MATCH($A39,CADASTRO!$A$4:$A$80,0)),$B39)-CONFIG!$B$50*(COUNTIF($AF39:$AL39,"AB")+COUNTIF($AF39:$AL39,"FE")+COUNTIF($AF39:$AL39,"LM")))</f>
        <v/>
      </c>
      <c r="BD39" s="117">
        <f>SUMPRODUCT(($AM39:$AM39="M")*6+($AM39:$AM39="T")*6+($AM39:$AM39="D")*12+($AM39:$AM39="N")*12+($AM39:$AM39="NT")*6+($AM39:$AM39="C")*10+($AM39:$AM39="A")*8+($AM39:$AM39="J")*5+($AM39:$AM39="CEP")*4+($AM39:$AM39="CP")*6+($AM39:$AM39="CRO")*6+($AM39:$AM39="M+")*6+($AM39:$AM39="T+")*6+($AM39:$AM39="D+")*12+($AM39:$AM39="N+")*12+($AM39:$AM39="Dm+")*12+($AM39:$AM39="Dt+")*12+($AM39:$AM39="Tm-")*6+($AM39:$AM39="Mt-")*6)+SUMPRODUCT(($AN39:$AS39="M")*6+($AN39:$AS39="T")*6+($AN39:$AS39="D")*12+($AN39:$AS39="N")*12+($AN39:$AS39="NT")*6+($AN39:$AS39="C")*10+($AN39:$AS39="A")*8+($AN39:$AS39="J")*5+($AN39:$AS39="CEP")*4+($AN39:$AS39="CP")*6+($AN39:$AS39="CRO")*6+($AN39:$AS39="M+")*6+($AN39:$AS39="T+")*6+($AN39:$AS39="D+")*12+($AN39:$AS39="N+")*12+($AN39:$AS39="Dm+")*12+($AN39:$AS39="Dt+")*12+($AN39:$AS39="Tm-")*6+($AN39:$AS39="Mt-")*6)</f>
        <v/>
      </c>
      <c r="BE39" s="118">
        <f>BD39-MAX(0,IFERROR(INDEX(CADASTRO!$I$4:$I$80,MATCH($A39,CADASTRO!$A$4:$A$80,0)),$B39)-CONFIG!$B$50*(COUNTIF($AM39:$AM39,"AB")+COUNTIF($AM39:$AM39,"FE")+COUNTIF($AM39:$AM39,"LM")+COUNTIF($AN39:$AS39,"AB")+COUNTIF($AN39:$AS39,"FE")+COUNTIF($AN39:$AS39,"LM")))</f>
        <v/>
      </c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36">
        <f>IFERROR(INDEX(JUL!AI$8:AI$73,MATCH($A40,JUL!$A$8:$A$73,0))&amp;"","")</f>
        <v/>
      </c>
      <c r="E40" s="136">
        <f>IFERROR(INDEX(JUL!AJ$8:AJ$73,MATCH($A40,JUL!$A$8:$A$73,0))&amp;"","")</f>
        <v/>
      </c>
      <c r="F40" s="136">
        <f>IFERROR(INDEX(JUL!AK$8:AK$73,MATCH($A40,JUL!$A$8:$A$73,0))&amp;"","")</f>
        <v/>
      </c>
      <c r="G40" s="136">
        <f>IFERROR(INDEX(JUL!AL$8:AL$73,MATCH($A40,JUL!$A$8:$A$73,0))&amp;"","")</f>
        <v/>
      </c>
      <c r="H40" s="136">
        <f>IFERROR(INDEX(JUL!AM$8:AM$73,MATCH($A40,JUL!$A$8:$A$73,0))&amp;"","")</f>
        <v/>
      </c>
      <c r="I40" s="138" t="inlineStr">
        <is>
          <t>LM</t>
        </is>
      </c>
      <c r="J40" s="138" t="inlineStr">
        <is>
          <t>LM</t>
        </is>
      </c>
      <c r="K40" s="138" t="inlineStr">
        <is>
          <t>LM</t>
        </is>
      </c>
      <c r="L40" s="138" t="inlineStr">
        <is>
          <t>LM</t>
        </is>
      </c>
      <c r="M40" s="138" t="inlineStr">
        <is>
          <t>LM</t>
        </is>
      </c>
      <c r="N40" s="138" t="inlineStr">
        <is>
          <t>LM</t>
        </is>
      </c>
      <c r="O40" s="138" t="inlineStr">
        <is>
          <t>LM</t>
        </is>
      </c>
      <c r="P40" s="138" t="inlineStr">
        <is>
          <t>LM</t>
        </is>
      </c>
      <c r="Q40" s="138" t="inlineStr">
        <is>
          <t>LM</t>
        </is>
      </c>
      <c r="R40" s="138" t="inlineStr">
        <is>
          <t>LM</t>
        </is>
      </c>
      <c r="S40" s="138" t="inlineStr">
        <is>
          <t>LM</t>
        </is>
      </c>
      <c r="T40" s="138" t="inlineStr">
        <is>
          <t>LM</t>
        </is>
      </c>
      <c r="U40" s="138" t="inlineStr">
        <is>
          <t>LM</t>
        </is>
      </c>
      <c r="V40" s="138" t="inlineStr">
        <is>
          <t>LM</t>
        </is>
      </c>
      <c r="W40" s="138" t="inlineStr">
        <is>
          <t>LM</t>
        </is>
      </c>
      <c r="X40" s="138" t="inlineStr">
        <is>
          <t>LM</t>
        </is>
      </c>
      <c r="Y40" s="138" t="inlineStr">
        <is>
          <t>LM</t>
        </is>
      </c>
      <c r="Z40" s="138" t="inlineStr">
        <is>
          <t>LM</t>
        </is>
      </c>
      <c r="AA40" s="138" t="inlineStr">
        <is>
          <t>LM</t>
        </is>
      </c>
      <c r="AB40" s="138" t="inlineStr">
        <is>
          <t>LM</t>
        </is>
      </c>
      <c r="AC40" s="138" t="inlineStr">
        <is>
          <t>LM</t>
        </is>
      </c>
      <c r="AD40" s="138" t="inlineStr">
        <is>
          <t>LM</t>
        </is>
      </c>
      <c r="AE40" s="138" t="inlineStr">
        <is>
          <t>LM</t>
        </is>
      </c>
      <c r="AF40" s="138" t="inlineStr">
        <is>
          <t>LM</t>
        </is>
      </c>
      <c r="AG40" s="138" t="inlineStr">
        <is>
          <t>LM</t>
        </is>
      </c>
      <c r="AH40" s="138" t="inlineStr">
        <is>
          <t>LM</t>
        </is>
      </c>
      <c r="AI40" s="138" t="inlineStr">
        <is>
          <t>LM</t>
        </is>
      </c>
      <c r="AJ40" s="138" t="inlineStr">
        <is>
          <t>LM</t>
        </is>
      </c>
      <c r="AK40" s="138" t="inlineStr">
        <is>
          <t>LM</t>
        </is>
      </c>
      <c r="AL40" s="138" t="inlineStr">
        <is>
          <t>LM</t>
        </is>
      </c>
      <c r="AM40" s="138" t="inlineStr">
        <is>
          <t>LM</t>
        </is>
      </c>
      <c r="AN40" s="136">
        <f>IFERROR(INDEX(SET!I$8:I$73,MATCH($A40,SET!$A$8:$A$73,0))&amp;"","")</f>
        <v/>
      </c>
      <c r="AO40" s="136">
        <f>IFERROR(INDEX(SET!J$8:J$73,MATCH($A40,SET!$A$8:$A$73,0))&amp;"","")</f>
        <v/>
      </c>
      <c r="AP40" s="136">
        <f>IFERROR(INDEX(SET!K$8:K$73,MATCH($A40,SET!$A$8:$A$73,0))&amp;"","")</f>
        <v/>
      </c>
      <c r="AQ40" s="136">
        <f>IFERROR(INDEX(SET!L$8:L$73,MATCH($A40,SET!$A$8:$A$73,0))&amp;"","")</f>
        <v/>
      </c>
      <c r="AR40" s="116">
        <f>IFERROR(INDEX(SET!M$8:M$73,MATCH($A40,SET!$A$8:$A$73,0))&amp;"","")</f>
        <v/>
      </c>
      <c r="AS40" s="116">
        <f>IFERROR(INDEX(SET!N$8:N$73,MATCH($A40,SET!$A$8:$A$73,0))&amp;"","")</f>
        <v/>
      </c>
      <c r="AT40" s="117">
        <f>SUMPRODUCT(($D40:$J40="M")*6+($D40:$J40="T")*6+($D40:$J40="D")*12+($D40:$J40="N")*12+($D40:$J40="NT")*6+($D40:$J40="C")*10+($D40:$J40="A")*8+($D40:$J40="J")*5+($D40:$J40="CEP")*4+($D40:$J40="CP")*6+($D40:$J40="CRO")*6+($D40:$J40="M+")*6+($D40:$J40="T+")*6+($D40:$J40="D+")*12+($D40:$J40="N+")*12+($D40:$J40="Dm+")*12+($D40:$J40="Dt+")*12+($D40:$J40="Tm-")*6+($D40:$J40="Mt-")*6)</f>
        <v/>
      </c>
      <c r="AU40" s="118">
        <f>AT40-MAX(0,IFERROR(INDEX(CADASTRO!$I$4:$I$80,MATCH($A40,CADASTRO!$A$4:$A$80,0)),$B40)-CONFIG!$B$50*(COUNTIF($D40:$J40,"AB")+COUNTIF($D40:$J40,"FE")+COUNTIF($D40:$J40,"LM")))</f>
        <v/>
      </c>
      <c r="AV40" s="117">
        <f>SUMPRODUCT(($K40:$Q40="M")*6+($K40:$Q40="T")*6+($K40:$Q40="D")*12+($K40:$Q40="N")*12+($K40:$Q40="NT")*6+($K40:$Q40="C")*10+($K40:$Q40="A")*8+($K40:$Q40="J")*5+($K40:$Q40="CEP")*4+($K40:$Q40="CP")*6+($K40:$Q40="CRO")*6+($K40:$Q40="M+")*6+($K40:$Q40="T+")*6+($K40:$Q40="D+")*12+($K40:$Q40="N+")*12+($K40:$Q40="Dm+")*12+($K40:$Q40="Dt+")*12+($K40:$Q40="Tm-")*6+($K40:$Q40="Mt-")*6)</f>
        <v/>
      </c>
      <c r="AW40" s="118">
        <f>AV40-MAX(0,IFERROR(INDEX(CADASTRO!$I$4:$I$80,MATCH($A40,CADASTRO!$A$4:$A$80,0)),$B40)-CONFIG!$B$50*(COUNTIF($K40:$Q40,"AB")+COUNTIF($K40:$Q40,"FE")+COUNTIF($K40:$Q40,"LM")))</f>
        <v/>
      </c>
      <c r="AX40" s="117">
        <f>SUMPRODUCT(($R40:$X40="M")*6+($R40:$X40="T")*6+($R40:$X40="D")*12+($R40:$X40="N")*12+($R40:$X40="NT")*6+($R40:$X40="C")*10+($R40:$X40="A")*8+($R40:$X40="J")*5+($R40:$X40="CEP")*4+($R40:$X40="CP")*6+($R40:$X40="CRO")*6+($R40:$X40="M+")*6+($R40:$X40="T+")*6+($R40:$X40="D+")*12+($R40:$X40="N+")*12+($R40:$X40="Dm+")*12+($R40:$X40="Dt+")*12+($R40:$X40="Tm-")*6+($R40:$X40="Mt-")*6)</f>
        <v/>
      </c>
      <c r="AY40" s="118">
        <f>AX40-MAX(0,IFERROR(INDEX(CADASTRO!$I$4:$I$80,MATCH($A40,CADASTRO!$A$4:$A$80,0)),$B40)-CONFIG!$B$50*(COUNTIF($R40:$X40,"AB")+COUNTIF($R40:$X40,"FE")+COUNTIF($R40:$X40,"LM")))</f>
        <v/>
      </c>
      <c r="AZ40" s="117">
        <f>SUMPRODUCT(($Y40:$AE40="M")*6+($Y40:$AE40="T")*6+($Y40:$AE40="D")*12+($Y40:$AE40="N")*12+($Y40:$AE40="NT")*6+($Y40:$AE40="C")*10+($Y40:$AE40="A")*8+($Y40:$AE40="J")*5+($Y40:$AE40="CEP")*4+($Y40:$AE40="CP")*6+($Y40:$AE40="CRO")*6+($Y40:$AE40="M+")*6+($Y40:$AE40="T+")*6+($Y40:$AE40="D+")*12+($Y40:$AE40="N+")*12+($Y40:$AE40="Dm+")*12+($Y40:$AE40="Dt+")*12+($Y40:$AE40="Tm-")*6+($Y40:$AE40="Mt-")*6)</f>
        <v/>
      </c>
      <c r="BA40" s="118">
        <f>AZ40-MAX(0,IFERROR(INDEX(CADASTRO!$I$4:$I$80,MATCH($A40,CADASTRO!$A$4:$A$80,0)),$B40)-CONFIG!$B$50*(COUNTIF($Y40:$AE40,"AB")+COUNTIF($Y40:$AE40,"FE")+COUNTIF($Y40:$AE40,"LM")))</f>
        <v/>
      </c>
      <c r="BB40" s="117">
        <f>SUMPRODUCT(($AF40:$AL40="M")*6+($AF40:$AL40="T")*6+($AF40:$AL40="D")*12+($AF40:$AL40="N")*12+($AF40:$AL40="NT")*6+($AF40:$AL40="C")*10+($AF40:$AL40="A")*8+($AF40:$AL40="J")*5+($AF40:$AL40="CEP")*4+($AF40:$AL40="CP")*6+($AF40:$AL40="CRO")*6+($AF40:$AL40="M+")*6+($AF40:$AL40="T+")*6+($AF40:$AL40="D+")*12+($AF40:$AL40="N+")*12+($AF40:$AL40="Dm+")*12+($AF40:$AL40="Dt+")*12+($AF40:$AL40="Tm-")*6+($AF40:$AL40="Mt-")*6)</f>
        <v/>
      </c>
      <c r="BC40" s="118">
        <f>BB40-MAX(0,IFERROR(INDEX(CADASTRO!$I$4:$I$80,MATCH($A40,CADASTRO!$A$4:$A$80,0)),$B40)-CONFIG!$B$50*(COUNTIF($AF40:$AL40,"AB")+COUNTIF($AF40:$AL40,"FE")+COUNTIF($AF40:$AL40,"LM")))</f>
        <v/>
      </c>
      <c r="BD40" s="117">
        <f>SUMPRODUCT(($AM40:$AM40="M")*6+($AM40:$AM40="T")*6+($AM40:$AM40="D")*12+($AM40:$AM40="N")*12+($AM40:$AM40="NT")*6+($AM40:$AM40="C")*10+($AM40:$AM40="A")*8+($AM40:$AM40="J")*5+($AM40:$AM40="CEP")*4+($AM40:$AM40="CP")*6+($AM40:$AM40="CRO")*6+($AM40:$AM40="M+")*6+($AM40:$AM40="T+")*6+($AM40:$AM40="D+")*12+($AM40:$AM40="N+")*12+($AM40:$AM40="Dm+")*12+($AM40:$AM40="Dt+")*12+($AM40:$AM40="Tm-")*6+($AM40:$AM40="Mt-")*6)+SUMPRODUCT(($AN40:$AS40="M")*6+($AN40:$AS40="T")*6+($AN40:$AS40="D")*12+($AN40:$AS40="N")*12+($AN40:$AS40="NT")*6+($AN40:$AS40="C")*10+($AN40:$AS40="A")*8+($AN40:$AS40="J")*5+($AN40:$AS40="CEP")*4+($AN40:$AS40="CP")*6+($AN40:$AS40="CRO")*6+($AN40:$AS40="M+")*6+($AN40:$AS40="T+")*6+($AN40:$AS40="D+")*12+($AN40:$AS40="N+")*12+($AN40:$AS40="Dm+")*12+($AN40:$AS40="Dt+")*12+($AN40:$AS40="Tm-")*6+($AN40:$AS40="Mt-")*6)</f>
        <v/>
      </c>
      <c r="BE40" s="118">
        <f>BD40-MAX(0,IFERROR(INDEX(CADASTRO!$I$4:$I$80,MATCH($A40,CADASTRO!$A$4:$A$80,0)),$B40)-CONFIG!$B$50*(COUNTIF($AM40:$AM40,"AB")+COUNTIF($AM40:$AM40,"FE")+COUNTIF($AM40:$AM40,"LM")+COUNTIF($AN40:$AS40,"AB")+COUNTIF($AN40:$AS40,"FE")+COUNTIF($AN40:$AS40,"LM")))</f>
        <v/>
      </c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36">
        <f>IFERROR(INDEX(JUL!AI$8:AI$73,MATCH($A41,JUL!$A$8:$A$73,0))&amp;"","")</f>
        <v/>
      </c>
      <c r="E41" s="136">
        <f>IFERROR(INDEX(JUL!AJ$8:AJ$73,MATCH($A41,JUL!$A$8:$A$73,0))&amp;"","")</f>
        <v/>
      </c>
      <c r="F41" s="136">
        <f>IFERROR(INDEX(JUL!AK$8:AK$73,MATCH($A41,JUL!$A$8:$A$73,0))&amp;"","")</f>
        <v/>
      </c>
      <c r="G41" s="136">
        <f>IFERROR(INDEX(JUL!AL$8:AL$73,MATCH($A41,JUL!$A$8:$A$73,0))&amp;"","")</f>
        <v/>
      </c>
      <c r="H41" s="136">
        <f>IFERROR(INDEX(JUL!AM$8:AM$73,MATCH($A41,JUL!$A$8:$A$73,0))&amp;"","")</f>
        <v/>
      </c>
      <c r="I41" s="114" t="n"/>
      <c r="J41" s="125" t="inlineStr">
        <is>
          <t>N</t>
        </is>
      </c>
      <c r="K41" s="126" t="inlineStr">
        <is>
          <t>T</t>
        </is>
      </c>
      <c r="L41" s="114" t="n"/>
      <c r="M41" s="114" t="n"/>
      <c r="N41" s="114" t="n"/>
      <c r="O41" s="126" t="inlineStr">
        <is>
          <t>T</t>
        </is>
      </c>
      <c r="P41" s="114" t="n"/>
      <c r="Q41" s="124" t="inlineStr">
        <is>
          <t>D</t>
        </is>
      </c>
      <c r="R41" s="124" t="inlineStr">
        <is>
          <t>D</t>
        </is>
      </c>
      <c r="S41" s="127" t="inlineStr">
        <is>
          <t>T-</t>
        </is>
      </c>
      <c r="T41" s="114" t="n"/>
      <c r="U41" s="114" t="n"/>
      <c r="V41" s="124" t="inlineStr">
        <is>
          <t>D</t>
        </is>
      </c>
      <c r="W41" s="114" t="n"/>
      <c r="X41" s="114" t="n"/>
      <c r="Y41" s="124" t="inlineStr">
        <is>
          <t>D</t>
        </is>
      </c>
      <c r="Z41" s="124" t="inlineStr">
        <is>
          <t>D</t>
        </is>
      </c>
      <c r="AA41" s="114" t="n"/>
      <c r="AB41" s="114" t="n"/>
      <c r="AC41" s="114" t="n"/>
      <c r="AD41" s="114" t="n"/>
      <c r="AE41" s="114" t="n"/>
      <c r="AF41" s="126" t="inlineStr">
        <is>
          <t>T</t>
        </is>
      </c>
      <c r="AG41" s="114" t="n"/>
      <c r="AH41" s="114" t="n"/>
      <c r="AI41" s="125" t="inlineStr">
        <is>
          <t>N</t>
        </is>
      </c>
      <c r="AJ41" s="114" t="n"/>
      <c r="AK41" s="126" t="inlineStr">
        <is>
          <t>T</t>
        </is>
      </c>
      <c r="AL41" s="114" t="n"/>
      <c r="AM41" s="124" t="inlineStr">
        <is>
          <t>D</t>
        </is>
      </c>
      <c r="AN41" s="136">
        <f>IFERROR(INDEX(SET!I$8:I$73,MATCH($A41,SET!$A$8:$A$73,0))&amp;"","")</f>
        <v/>
      </c>
      <c r="AO41" s="136">
        <f>IFERROR(INDEX(SET!J$8:J$73,MATCH($A41,SET!$A$8:$A$73,0))&amp;"","")</f>
        <v/>
      </c>
      <c r="AP41" s="136">
        <f>IFERROR(INDEX(SET!K$8:K$73,MATCH($A41,SET!$A$8:$A$73,0))&amp;"","")</f>
        <v/>
      </c>
      <c r="AQ41" s="136">
        <f>IFERROR(INDEX(SET!L$8:L$73,MATCH($A41,SET!$A$8:$A$73,0))&amp;"","")</f>
        <v/>
      </c>
      <c r="AR41" s="116">
        <f>IFERROR(INDEX(SET!M$8:M$73,MATCH($A41,SET!$A$8:$A$73,0))&amp;"","")</f>
        <v/>
      </c>
      <c r="AS41" s="116">
        <f>IFERROR(INDEX(SET!N$8:N$73,MATCH($A41,SET!$A$8:$A$73,0))&amp;"","")</f>
        <v/>
      </c>
      <c r="AT41" s="117">
        <f>SUMPRODUCT(($D41:$J41="M")*6+($D41:$J41="T")*6+($D41:$J41="D")*12+($D41:$J41="N")*12+($D41:$J41="NT")*6+($D41:$J41="C")*10+($D41:$J41="A")*8+($D41:$J41="J")*5+($D41:$J41="CEP")*4+($D41:$J41="CP")*6+($D41:$J41="CRO")*6+($D41:$J41="M+")*6+($D41:$J41="T+")*6+($D41:$J41="D+")*12+($D41:$J41="N+")*12+($D41:$J41="Dm+")*12+($D41:$J41="Dt+")*12+($D41:$J41="Tm-")*6+($D41:$J41="Mt-")*6)</f>
        <v/>
      </c>
      <c r="AU41" s="118">
        <f>AT41-MAX(0,IFERROR(INDEX(CADASTRO!$I$4:$I$80,MATCH($A41,CADASTRO!$A$4:$A$80,0)),$B41)-CONFIG!$B$50*(COUNTIF($D41:$J41,"AB")+COUNTIF($D41:$J41,"FE")+COUNTIF($D41:$J41,"LM")))</f>
        <v/>
      </c>
      <c r="AV41" s="117">
        <f>SUMPRODUCT(($K41:$Q41="M")*6+($K41:$Q41="T")*6+($K41:$Q41="D")*12+($K41:$Q41="N")*12+($K41:$Q41="NT")*6+($K41:$Q41="C")*10+($K41:$Q41="A")*8+($K41:$Q41="J")*5+($K41:$Q41="CEP")*4+($K41:$Q41="CP")*6+($K41:$Q41="CRO")*6+($K41:$Q41="M+")*6+($K41:$Q41="T+")*6+($K41:$Q41="D+")*12+($K41:$Q41="N+")*12+($K41:$Q41="Dm+")*12+($K41:$Q41="Dt+")*12+($K41:$Q41="Tm-")*6+($K41:$Q41="Mt-")*6)</f>
        <v/>
      </c>
      <c r="AW41" s="118">
        <f>AV41-MAX(0,IFERROR(INDEX(CADASTRO!$I$4:$I$80,MATCH($A41,CADASTRO!$A$4:$A$80,0)),$B41)-CONFIG!$B$50*(COUNTIF($K41:$Q41,"AB")+COUNTIF($K41:$Q41,"FE")+COUNTIF($K41:$Q41,"LM")))</f>
        <v/>
      </c>
      <c r="AX41" s="117">
        <f>SUMPRODUCT(($R41:$X41="M")*6+($R41:$X41="T")*6+($R41:$X41="D")*12+($R41:$X41="N")*12+($R41:$X41="NT")*6+($R41:$X41="C")*10+($R41:$X41="A")*8+($R41:$X41="J")*5+($R41:$X41="CEP")*4+($R41:$X41="CP")*6+($R41:$X41="CRO")*6+($R41:$X41="M+")*6+($R41:$X41="T+")*6+($R41:$X41="D+")*12+($R41:$X41="N+")*12+($R41:$X41="Dm+")*12+($R41:$X41="Dt+")*12+($R41:$X41="Tm-")*6+($R41:$X41="Mt-")*6)</f>
        <v/>
      </c>
      <c r="AY41" s="118">
        <f>AX41-MAX(0,IFERROR(INDEX(CADASTRO!$I$4:$I$80,MATCH($A41,CADASTRO!$A$4:$A$80,0)),$B41)-CONFIG!$B$50*(COUNTIF($R41:$X41,"AB")+COUNTIF($R41:$X41,"FE")+COUNTIF($R41:$X41,"LM")))</f>
        <v/>
      </c>
      <c r="AZ41" s="117">
        <f>SUMPRODUCT(($Y41:$AE41="M")*6+($Y41:$AE41="T")*6+($Y41:$AE41="D")*12+($Y41:$AE41="N")*12+($Y41:$AE41="NT")*6+($Y41:$AE41="C")*10+($Y41:$AE41="A")*8+($Y41:$AE41="J")*5+($Y41:$AE41="CEP")*4+($Y41:$AE41="CP")*6+($Y41:$AE41="CRO")*6+($Y41:$AE41="M+")*6+($Y41:$AE41="T+")*6+($Y41:$AE41="D+")*12+($Y41:$AE41="N+")*12+($Y41:$AE41="Dm+")*12+($Y41:$AE41="Dt+")*12+($Y41:$AE41="Tm-")*6+($Y41:$AE41="Mt-")*6)</f>
        <v/>
      </c>
      <c r="BA41" s="118">
        <f>AZ41-MAX(0,IFERROR(INDEX(CADASTRO!$I$4:$I$80,MATCH($A41,CADASTRO!$A$4:$A$80,0)),$B41)-CONFIG!$B$50*(COUNTIF($Y41:$AE41,"AB")+COUNTIF($Y41:$AE41,"FE")+COUNTIF($Y41:$AE41,"LM")))</f>
        <v/>
      </c>
      <c r="BB41" s="117">
        <f>SUMPRODUCT(($AF41:$AL41="M")*6+($AF41:$AL41="T")*6+($AF41:$AL41="D")*12+($AF41:$AL41="N")*12+($AF41:$AL41="NT")*6+($AF41:$AL41="C")*10+($AF41:$AL41="A")*8+($AF41:$AL41="J")*5+($AF41:$AL41="CEP")*4+($AF41:$AL41="CP")*6+($AF41:$AL41="CRO")*6+($AF41:$AL41="M+")*6+($AF41:$AL41="T+")*6+($AF41:$AL41="D+")*12+($AF41:$AL41="N+")*12+($AF41:$AL41="Dm+")*12+($AF41:$AL41="Dt+")*12+($AF41:$AL41="Tm-")*6+($AF41:$AL41="Mt-")*6)</f>
        <v/>
      </c>
      <c r="BC41" s="118">
        <f>BB41-MAX(0,IFERROR(INDEX(CADASTRO!$I$4:$I$80,MATCH($A41,CADASTRO!$A$4:$A$80,0)),$B41)-CONFIG!$B$50*(COUNTIF($AF41:$AL41,"AB")+COUNTIF($AF41:$AL41,"FE")+COUNTIF($AF41:$AL41,"LM")))</f>
        <v/>
      </c>
      <c r="BD41" s="117">
        <f>SUMPRODUCT(($AM41:$AM41="M")*6+($AM41:$AM41="T")*6+($AM41:$AM41="D")*12+($AM41:$AM41="N")*12+($AM41:$AM41="NT")*6+($AM41:$AM41="C")*10+($AM41:$AM41="A")*8+($AM41:$AM41="J")*5+($AM41:$AM41="CEP")*4+($AM41:$AM41="CP")*6+($AM41:$AM41="CRO")*6+($AM41:$AM41="M+")*6+($AM41:$AM41="T+")*6+($AM41:$AM41="D+")*12+($AM41:$AM41="N+")*12+($AM41:$AM41="Dm+")*12+($AM41:$AM41="Dt+")*12+($AM41:$AM41="Tm-")*6+($AM41:$AM41="Mt-")*6)+SUMPRODUCT(($AN41:$AS41="M")*6+($AN41:$AS41="T")*6+($AN41:$AS41="D")*12+($AN41:$AS41="N")*12+($AN41:$AS41="NT")*6+($AN41:$AS41="C")*10+($AN41:$AS41="A")*8+($AN41:$AS41="J")*5+($AN41:$AS41="CEP")*4+($AN41:$AS41="CP")*6+($AN41:$AS41="CRO")*6+($AN41:$AS41="M+")*6+($AN41:$AS41="T+")*6+($AN41:$AS41="D+")*12+($AN41:$AS41="N+")*12+($AN41:$AS41="Dm+")*12+($AN41:$AS41="Dt+")*12+($AN41:$AS41="Tm-")*6+($AN41:$AS41="Mt-")*6)</f>
        <v/>
      </c>
      <c r="BE41" s="118">
        <f>BD41-MAX(0,IFERROR(INDEX(CADASTRO!$I$4:$I$80,MATCH($A41,CADASTRO!$A$4:$A$80,0)),$B41)-CONFIG!$B$50*(COUNTIF($AM41:$AM41,"AB")+COUNTIF($AM41:$AM41,"FE")+COUNTIF($AM41:$AM41,"LM")+COUNTIF($AN41:$AS41,"AB")+COUNTIF($AN41:$AS41,"FE")+COUNTIF($AN41:$AS41,"LM")))</f>
        <v/>
      </c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36">
        <f>IFERROR(INDEX(JUL!AI$8:AI$73,MATCH($A42,JUL!$A$8:$A$73,0))&amp;"","")</f>
        <v/>
      </c>
      <c r="E42" s="136">
        <f>IFERROR(INDEX(JUL!AJ$8:AJ$73,MATCH($A42,JUL!$A$8:$A$73,0))&amp;"","")</f>
        <v/>
      </c>
      <c r="F42" s="136">
        <f>IFERROR(INDEX(JUL!AK$8:AK$73,MATCH($A42,JUL!$A$8:$A$73,0))&amp;"","")</f>
        <v/>
      </c>
      <c r="G42" s="136">
        <f>IFERROR(INDEX(JUL!AL$8:AL$73,MATCH($A42,JUL!$A$8:$A$73,0))&amp;"","")</f>
        <v/>
      </c>
      <c r="H42" s="136">
        <f>IFERROR(INDEX(JUL!AM$8:AM$73,MATCH($A42,JUL!$A$8:$A$73,0))&amp;"","")</f>
        <v/>
      </c>
      <c r="I42" s="114" t="n"/>
      <c r="J42" s="114" t="n"/>
      <c r="K42" s="114" t="n"/>
      <c r="L42" s="124" t="inlineStr">
        <is>
          <t>D</t>
        </is>
      </c>
      <c r="M42" s="114" t="n"/>
      <c r="N42" s="114" t="n"/>
      <c r="O42" s="125" t="inlineStr">
        <is>
          <t>N</t>
        </is>
      </c>
      <c r="P42" s="114" t="n"/>
      <c r="Q42" s="114" t="n"/>
      <c r="R42" s="114" t="n"/>
      <c r="S42" s="114" t="n"/>
      <c r="T42" s="126" t="inlineStr">
        <is>
          <t>T</t>
        </is>
      </c>
      <c r="U42" s="114" t="n"/>
      <c r="V42" s="114" t="n"/>
      <c r="W42" s="126" t="inlineStr">
        <is>
          <t>T</t>
        </is>
      </c>
      <c r="X42" s="124" t="inlineStr">
        <is>
          <t>D</t>
        </is>
      </c>
      <c r="Y42" s="124" t="inlineStr">
        <is>
          <t>D</t>
        </is>
      </c>
      <c r="Z42" s="114" t="n"/>
      <c r="AA42" s="114" t="n"/>
      <c r="AB42" s="114" t="n"/>
      <c r="AC42" s="114" t="n"/>
      <c r="AD42" s="114" t="n"/>
      <c r="AE42" s="124" t="inlineStr">
        <is>
          <t>D</t>
        </is>
      </c>
      <c r="AF42" s="114" t="n"/>
      <c r="AG42" s="124" t="inlineStr">
        <is>
          <t>D</t>
        </is>
      </c>
      <c r="AH42" s="114" t="n"/>
      <c r="AI42" s="124" t="inlineStr">
        <is>
          <t>D</t>
        </is>
      </c>
      <c r="AJ42" s="114" t="n"/>
      <c r="AK42" s="114" t="n"/>
      <c r="AL42" s="114" t="n"/>
      <c r="AM42" s="114" t="n"/>
      <c r="AN42" s="136">
        <f>IFERROR(INDEX(SET!I$8:I$73,MATCH($A42,SET!$A$8:$A$73,0))&amp;"","")</f>
        <v/>
      </c>
      <c r="AO42" s="136">
        <f>IFERROR(INDEX(SET!J$8:J$73,MATCH($A42,SET!$A$8:$A$73,0))&amp;"","")</f>
        <v/>
      </c>
      <c r="AP42" s="136">
        <f>IFERROR(INDEX(SET!K$8:K$73,MATCH($A42,SET!$A$8:$A$73,0))&amp;"","")</f>
        <v/>
      </c>
      <c r="AQ42" s="136">
        <f>IFERROR(INDEX(SET!L$8:L$73,MATCH($A42,SET!$A$8:$A$73,0))&amp;"","")</f>
        <v/>
      </c>
      <c r="AR42" s="116">
        <f>IFERROR(INDEX(SET!M$8:M$73,MATCH($A42,SET!$A$8:$A$73,0))&amp;"","")</f>
        <v/>
      </c>
      <c r="AS42" s="116">
        <f>IFERROR(INDEX(SET!N$8:N$73,MATCH($A42,SET!$A$8:$A$73,0))&amp;"","")</f>
        <v/>
      </c>
      <c r="AT42" s="117">
        <f>SUMPRODUCT(($D42:$J42="M")*6+($D42:$J42="T")*6+($D42:$J42="D")*12+($D42:$J42="N")*12+($D42:$J42="NT")*6+($D42:$J42="C")*10+($D42:$J42="A")*8+($D42:$J42="J")*5+($D42:$J42="CEP")*4+($D42:$J42="CP")*6+($D42:$J42="CRO")*6+($D42:$J42="M+")*6+($D42:$J42="T+")*6+($D42:$J42="D+")*12+($D42:$J42="N+")*12+($D42:$J42="Dm+")*12+($D42:$J42="Dt+")*12+($D42:$J42="Tm-")*6+($D42:$J42="Mt-")*6)</f>
        <v/>
      </c>
      <c r="AU42" s="118">
        <f>AT42-MAX(0,IFERROR(INDEX(CADASTRO!$I$4:$I$80,MATCH($A42,CADASTRO!$A$4:$A$80,0)),$B42)-CONFIG!$B$50*(COUNTIF($D42:$J42,"AB")+COUNTIF($D42:$J42,"FE")+COUNTIF($D42:$J42,"LM")))</f>
        <v/>
      </c>
      <c r="AV42" s="117">
        <f>SUMPRODUCT(($K42:$Q42="M")*6+($K42:$Q42="T")*6+($K42:$Q42="D")*12+($K42:$Q42="N")*12+($K42:$Q42="NT")*6+($K42:$Q42="C")*10+($K42:$Q42="A")*8+($K42:$Q42="J")*5+($K42:$Q42="CEP")*4+($K42:$Q42="CP")*6+($K42:$Q42="CRO")*6+($K42:$Q42="M+")*6+($K42:$Q42="T+")*6+($K42:$Q42="D+")*12+($K42:$Q42="N+")*12+($K42:$Q42="Dm+")*12+($K42:$Q42="Dt+")*12+($K42:$Q42="Tm-")*6+($K42:$Q42="Mt-")*6)</f>
        <v/>
      </c>
      <c r="AW42" s="118">
        <f>AV42-MAX(0,IFERROR(INDEX(CADASTRO!$I$4:$I$80,MATCH($A42,CADASTRO!$A$4:$A$80,0)),$B42)-CONFIG!$B$50*(COUNTIF($K42:$Q42,"AB")+COUNTIF($K42:$Q42,"FE")+COUNTIF($K42:$Q42,"LM")))</f>
        <v/>
      </c>
      <c r="AX42" s="117">
        <f>SUMPRODUCT(($R42:$X42="M")*6+($R42:$X42="T")*6+($R42:$X42="D")*12+($R42:$X42="N")*12+($R42:$X42="NT")*6+($R42:$X42="C")*10+($R42:$X42="A")*8+($R42:$X42="J")*5+($R42:$X42="CEP")*4+($R42:$X42="CP")*6+($R42:$X42="CRO")*6+($R42:$X42="M+")*6+($R42:$X42="T+")*6+($R42:$X42="D+")*12+($R42:$X42="N+")*12+($R42:$X42="Dm+")*12+($R42:$X42="Dt+")*12+($R42:$X42="Tm-")*6+($R42:$X42="Mt-")*6)</f>
        <v/>
      </c>
      <c r="AY42" s="118">
        <f>AX42-MAX(0,IFERROR(INDEX(CADASTRO!$I$4:$I$80,MATCH($A42,CADASTRO!$A$4:$A$80,0)),$B42)-CONFIG!$B$50*(COUNTIF($R42:$X42,"AB")+COUNTIF($R42:$X42,"FE")+COUNTIF($R42:$X42,"LM")))</f>
        <v/>
      </c>
      <c r="AZ42" s="117">
        <f>SUMPRODUCT(($Y42:$AE42="M")*6+($Y42:$AE42="T")*6+($Y42:$AE42="D")*12+($Y42:$AE42="N")*12+($Y42:$AE42="NT")*6+($Y42:$AE42="C")*10+($Y42:$AE42="A")*8+($Y42:$AE42="J")*5+($Y42:$AE42="CEP")*4+($Y42:$AE42="CP")*6+($Y42:$AE42="CRO")*6+($Y42:$AE42="M+")*6+($Y42:$AE42="T+")*6+($Y42:$AE42="D+")*12+($Y42:$AE42="N+")*12+($Y42:$AE42="Dm+")*12+($Y42:$AE42="Dt+")*12+($Y42:$AE42="Tm-")*6+($Y42:$AE42="Mt-")*6)</f>
        <v/>
      </c>
      <c r="BA42" s="118">
        <f>AZ42-MAX(0,IFERROR(INDEX(CADASTRO!$I$4:$I$80,MATCH($A42,CADASTRO!$A$4:$A$80,0)),$B42)-CONFIG!$B$50*(COUNTIF($Y42:$AE42,"AB")+COUNTIF($Y42:$AE42,"FE")+COUNTIF($Y42:$AE42,"LM")))</f>
        <v/>
      </c>
      <c r="BB42" s="117">
        <f>SUMPRODUCT(($AF42:$AL42="M")*6+($AF42:$AL42="T")*6+($AF42:$AL42="D")*12+($AF42:$AL42="N")*12+($AF42:$AL42="NT")*6+($AF42:$AL42="C")*10+($AF42:$AL42="A")*8+($AF42:$AL42="J")*5+($AF42:$AL42="CEP")*4+($AF42:$AL42="CP")*6+($AF42:$AL42="CRO")*6+($AF42:$AL42="M+")*6+($AF42:$AL42="T+")*6+($AF42:$AL42="D+")*12+($AF42:$AL42="N+")*12+($AF42:$AL42="Dm+")*12+($AF42:$AL42="Dt+")*12+($AF42:$AL42="Tm-")*6+($AF42:$AL42="Mt-")*6)</f>
        <v/>
      </c>
      <c r="BC42" s="118">
        <f>BB42-MAX(0,IFERROR(INDEX(CADASTRO!$I$4:$I$80,MATCH($A42,CADASTRO!$A$4:$A$80,0)),$B42)-CONFIG!$B$50*(COUNTIF($AF42:$AL42,"AB")+COUNTIF($AF42:$AL42,"FE")+COUNTIF($AF42:$AL42,"LM")))</f>
        <v/>
      </c>
      <c r="BD42" s="117">
        <f>SUMPRODUCT(($AM42:$AM42="M")*6+($AM42:$AM42="T")*6+($AM42:$AM42="D")*12+($AM42:$AM42="N")*12+($AM42:$AM42="NT")*6+($AM42:$AM42="C")*10+($AM42:$AM42="A")*8+($AM42:$AM42="J")*5+($AM42:$AM42="CEP")*4+($AM42:$AM42="CP")*6+($AM42:$AM42="CRO")*6+($AM42:$AM42="M+")*6+($AM42:$AM42="T+")*6+($AM42:$AM42="D+")*12+($AM42:$AM42="N+")*12+($AM42:$AM42="Dm+")*12+($AM42:$AM42="Dt+")*12+($AM42:$AM42="Tm-")*6+($AM42:$AM42="Mt-")*6)+SUMPRODUCT(($AN42:$AS42="M")*6+($AN42:$AS42="T")*6+($AN42:$AS42="D")*12+($AN42:$AS42="N")*12+($AN42:$AS42="NT")*6+($AN42:$AS42="C")*10+($AN42:$AS42="A")*8+($AN42:$AS42="J")*5+($AN42:$AS42="CEP")*4+($AN42:$AS42="CP")*6+($AN42:$AS42="CRO")*6+($AN42:$AS42="M+")*6+($AN42:$AS42="T+")*6+($AN42:$AS42="D+")*12+($AN42:$AS42="N+")*12+($AN42:$AS42="Dm+")*12+($AN42:$AS42="Dt+")*12+($AN42:$AS42="Tm-")*6+($AN42:$AS42="Mt-")*6)</f>
        <v/>
      </c>
      <c r="BE42" s="118">
        <f>BD42-MAX(0,IFERROR(INDEX(CADASTRO!$I$4:$I$80,MATCH($A42,CADASTRO!$A$4:$A$80,0)),$B42)-CONFIG!$B$50*(COUNTIF($AM42:$AM42,"AB")+COUNTIF($AM42:$AM42,"FE")+COUNTIF($AM42:$AM42,"LM")+COUNTIF($AN42:$AS42,"AB")+COUNTIF($AN42:$AS42,"FE")+COUNTIF($AN42:$AS42,"LM")))</f>
        <v/>
      </c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36">
        <f>IFERROR(INDEX(JUL!AI$8:AI$73,MATCH($A43,JUL!$A$8:$A$73,0))&amp;"","")</f>
        <v/>
      </c>
      <c r="E43" s="136">
        <f>IFERROR(INDEX(JUL!AJ$8:AJ$73,MATCH($A43,JUL!$A$8:$A$73,0))&amp;"","")</f>
        <v/>
      </c>
      <c r="F43" s="136">
        <f>IFERROR(INDEX(JUL!AK$8:AK$73,MATCH($A43,JUL!$A$8:$A$73,0))&amp;"","")</f>
        <v/>
      </c>
      <c r="G43" s="136">
        <f>IFERROR(INDEX(JUL!AL$8:AL$73,MATCH($A43,JUL!$A$8:$A$73,0))&amp;"","")</f>
        <v/>
      </c>
      <c r="H43" s="136">
        <f>IFERROR(INDEX(JUL!AM$8:AM$73,MATCH($A43,JUL!$A$8:$A$73,0))&amp;"","")</f>
        <v/>
      </c>
      <c r="I43" s="114" t="n"/>
      <c r="J43" s="114" t="n"/>
      <c r="K43" s="125" t="inlineStr">
        <is>
          <t>N</t>
        </is>
      </c>
      <c r="L43" s="114" t="n"/>
      <c r="M43" s="114" t="n"/>
      <c r="N43" s="114" t="n"/>
      <c r="O43" s="114" t="n"/>
      <c r="P43" s="114" t="n"/>
      <c r="Q43" s="125" t="inlineStr">
        <is>
          <t>N</t>
        </is>
      </c>
      <c r="R43" s="114" t="n"/>
      <c r="S43" s="125" t="inlineStr">
        <is>
          <t>N</t>
        </is>
      </c>
      <c r="T43" s="114" t="n"/>
      <c r="U43" s="114" t="n"/>
      <c r="V43" s="114" t="n"/>
      <c r="W43" s="125" t="inlineStr">
        <is>
          <t>N</t>
        </is>
      </c>
      <c r="X43" s="114" t="n"/>
      <c r="Y43" s="125" t="inlineStr">
        <is>
          <t>N</t>
        </is>
      </c>
      <c r="Z43" s="114" t="n"/>
      <c r="AA43" s="114" t="n"/>
      <c r="AB43" s="125" t="inlineStr">
        <is>
          <t>N</t>
        </is>
      </c>
      <c r="AC43" s="114" t="n"/>
      <c r="AD43" s="114" t="n"/>
      <c r="AE43" s="114" t="n"/>
      <c r="AF43" s="125" t="inlineStr">
        <is>
          <t>N</t>
        </is>
      </c>
      <c r="AG43" s="114" t="n"/>
      <c r="AH43" s="114" t="n"/>
      <c r="AI43" s="114" t="n"/>
      <c r="AJ43" s="114" t="n"/>
      <c r="AK43" s="125" t="inlineStr">
        <is>
          <t>N</t>
        </is>
      </c>
      <c r="AL43" s="114" t="n"/>
      <c r="AM43" s="125" t="inlineStr">
        <is>
          <t>N</t>
        </is>
      </c>
      <c r="AN43" s="136">
        <f>IFERROR(INDEX(SET!I$8:I$73,MATCH($A43,SET!$A$8:$A$73,0))&amp;"","")</f>
        <v/>
      </c>
      <c r="AO43" s="136">
        <f>IFERROR(INDEX(SET!J$8:J$73,MATCH($A43,SET!$A$8:$A$73,0))&amp;"","")</f>
        <v/>
      </c>
      <c r="AP43" s="136">
        <f>IFERROR(INDEX(SET!K$8:K$73,MATCH($A43,SET!$A$8:$A$73,0))&amp;"","")</f>
        <v/>
      </c>
      <c r="AQ43" s="136">
        <f>IFERROR(INDEX(SET!L$8:L$73,MATCH($A43,SET!$A$8:$A$73,0))&amp;"","")</f>
        <v/>
      </c>
      <c r="AR43" s="116">
        <f>IFERROR(INDEX(SET!M$8:M$73,MATCH($A43,SET!$A$8:$A$73,0))&amp;"","")</f>
        <v/>
      </c>
      <c r="AS43" s="116">
        <f>IFERROR(INDEX(SET!N$8:N$73,MATCH($A43,SET!$A$8:$A$73,0))&amp;"","")</f>
        <v/>
      </c>
      <c r="AT43" s="117">
        <f>SUMPRODUCT(($D43:$J43="M")*6+($D43:$J43="T")*6+($D43:$J43="D")*12+($D43:$J43="N")*12+($D43:$J43="NT")*6+($D43:$J43="C")*10+($D43:$J43="A")*8+($D43:$J43="J")*5+($D43:$J43="CEP")*4+($D43:$J43="CP")*6+($D43:$J43="CRO")*6+($D43:$J43="M+")*6+($D43:$J43="T+")*6+($D43:$J43="D+")*12+($D43:$J43="N+")*12+($D43:$J43="Dm+")*12+($D43:$J43="Dt+")*12+($D43:$J43="Tm-")*6+($D43:$J43="Mt-")*6)</f>
        <v/>
      </c>
      <c r="AU43" s="118">
        <f>AT43-MAX(0,IFERROR(INDEX(CADASTRO!$I$4:$I$80,MATCH($A43,CADASTRO!$A$4:$A$80,0)),$B43)-CONFIG!$B$50*(COUNTIF($D43:$J43,"AB")+COUNTIF($D43:$J43,"FE")+COUNTIF($D43:$J43,"LM")))</f>
        <v/>
      </c>
      <c r="AV43" s="117">
        <f>SUMPRODUCT(($K43:$Q43="M")*6+($K43:$Q43="T")*6+($K43:$Q43="D")*12+($K43:$Q43="N")*12+($K43:$Q43="NT")*6+($K43:$Q43="C")*10+($K43:$Q43="A")*8+($K43:$Q43="J")*5+($K43:$Q43="CEP")*4+($K43:$Q43="CP")*6+($K43:$Q43="CRO")*6+($K43:$Q43="M+")*6+($K43:$Q43="T+")*6+($K43:$Q43="D+")*12+($K43:$Q43="N+")*12+($K43:$Q43="Dm+")*12+($K43:$Q43="Dt+")*12+($K43:$Q43="Tm-")*6+($K43:$Q43="Mt-")*6)</f>
        <v/>
      </c>
      <c r="AW43" s="118">
        <f>AV43-MAX(0,IFERROR(INDEX(CADASTRO!$I$4:$I$80,MATCH($A43,CADASTRO!$A$4:$A$80,0)),$B43)-CONFIG!$B$50*(COUNTIF($K43:$Q43,"AB")+COUNTIF($K43:$Q43,"FE")+COUNTIF($K43:$Q43,"LM")))</f>
        <v/>
      </c>
      <c r="AX43" s="117">
        <f>SUMPRODUCT(($R43:$X43="M")*6+($R43:$X43="T")*6+($R43:$X43="D")*12+($R43:$X43="N")*12+($R43:$X43="NT")*6+($R43:$X43="C")*10+($R43:$X43="A")*8+($R43:$X43="J")*5+($R43:$X43="CEP")*4+($R43:$X43="CP")*6+($R43:$X43="CRO")*6+($R43:$X43="M+")*6+($R43:$X43="T+")*6+($R43:$X43="D+")*12+($R43:$X43="N+")*12+($R43:$X43="Dm+")*12+($R43:$X43="Dt+")*12+($R43:$X43="Tm-")*6+($R43:$X43="Mt-")*6)</f>
        <v/>
      </c>
      <c r="AY43" s="118">
        <f>AX43-MAX(0,IFERROR(INDEX(CADASTRO!$I$4:$I$80,MATCH($A43,CADASTRO!$A$4:$A$80,0)),$B43)-CONFIG!$B$50*(COUNTIF($R43:$X43,"AB")+COUNTIF($R43:$X43,"FE")+COUNTIF($R43:$X43,"LM")))</f>
        <v/>
      </c>
      <c r="AZ43" s="117">
        <f>SUMPRODUCT(($Y43:$AE43="M")*6+($Y43:$AE43="T")*6+($Y43:$AE43="D")*12+($Y43:$AE43="N")*12+($Y43:$AE43="NT")*6+($Y43:$AE43="C")*10+($Y43:$AE43="A")*8+($Y43:$AE43="J")*5+($Y43:$AE43="CEP")*4+($Y43:$AE43="CP")*6+($Y43:$AE43="CRO")*6+($Y43:$AE43="M+")*6+($Y43:$AE43="T+")*6+($Y43:$AE43="D+")*12+($Y43:$AE43="N+")*12+($Y43:$AE43="Dm+")*12+($Y43:$AE43="Dt+")*12+($Y43:$AE43="Tm-")*6+($Y43:$AE43="Mt-")*6)</f>
        <v/>
      </c>
      <c r="BA43" s="118">
        <f>AZ43-MAX(0,IFERROR(INDEX(CADASTRO!$I$4:$I$80,MATCH($A43,CADASTRO!$A$4:$A$80,0)),$B43)-CONFIG!$B$50*(COUNTIF($Y43:$AE43,"AB")+COUNTIF($Y43:$AE43,"FE")+COUNTIF($Y43:$AE43,"LM")))</f>
        <v/>
      </c>
      <c r="BB43" s="117">
        <f>SUMPRODUCT(($AF43:$AL43="M")*6+($AF43:$AL43="T")*6+($AF43:$AL43="D")*12+($AF43:$AL43="N")*12+($AF43:$AL43="NT")*6+($AF43:$AL43="C")*10+($AF43:$AL43="A")*8+($AF43:$AL43="J")*5+($AF43:$AL43="CEP")*4+($AF43:$AL43="CP")*6+($AF43:$AL43="CRO")*6+($AF43:$AL43="M+")*6+($AF43:$AL43="T+")*6+($AF43:$AL43="D+")*12+($AF43:$AL43="N+")*12+($AF43:$AL43="Dm+")*12+($AF43:$AL43="Dt+")*12+($AF43:$AL43="Tm-")*6+($AF43:$AL43="Mt-")*6)</f>
        <v/>
      </c>
      <c r="BC43" s="118">
        <f>BB43-MAX(0,IFERROR(INDEX(CADASTRO!$I$4:$I$80,MATCH($A43,CADASTRO!$A$4:$A$80,0)),$B43)-CONFIG!$B$50*(COUNTIF($AF43:$AL43,"AB")+COUNTIF($AF43:$AL43,"FE")+COUNTIF($AF43:$AL43,"LM")))</f>
        <v/>
      </c>
      <c r="BD43" s="117">
        <f>SUMPRODUCT(($AM43:$AM43="M")*6+($AM43:$AM43="T")*6+($AM43:$AM43="D")*12+($AM43:$AM43="N")*12+($AM43:$AM43="NT")*6+($AM43:$AM43="C")*10+($AM43:$AM43="A")*8+($AM43:$AM43="J")*5+($AM43:$AM43="CEP")*4+($AM43:$AM43="CP")*6+($AM43:$AM43="CRO")*6+($AM43:$AM43="M+")*6+($AM43:$AM43="T+")*6+($AM43:$AM43="D+")*12+($AM43:$AM43="N+")*12+($AM43:$AM43="Dm+")*12+($AM43:$AM43="Dt+")*12+($AM43:$AM43="Tm-")*6+($AM43:$AM43="Mt-")*6)+SUMPRODUCT(($AN43:$AS43="M")*6+($AN43:$AS43="T")*6+($AN43:$AS43="D")*12+($AN43:$AS43="N")*12+($AN43:$AS43="NT")*6+($AN43:$AS43="C")*10+($AN43:$AS43="A")*8+($AN43:$AS43="J")*5+($AN43:$AS43="CEP")*4+($AN43:$AS43="CP")*6+($AN43:$AS43="CRO")*6+($AN43:$AS43="M+")*6+($AN43:$AS43="T+")*6+($AN43:$AS43="D+")*12+($AN43:$AS43="N+")*12+($AN43:$AS43="Dm+")*12+($AN43:$AS43="Dt+")*12+($AN43:$AS43="Tm-")*6+($AN43:$AS43="Mt-")*6)</f>
        <v/>
      </c>
      <c r="BE43" s="118">
        <f>BD43-MAX(0,IFERROR(INDEX(CADASTRO!$I$4:$I$80,MATCH($A43,CADASTRO!$A$4:$A$80,0)),$B43)-CONFIG!$B$50*(COUNTIF($AM43:$AM43,"AB")+COUNTIF($AM43:$AM43,"FE")+COUNTIF($AM43:$AM43,"LM")+COUNTIF($AN43:$AS43,"AB")+COUNTIF($AN43:$AS43,"FE")+COUNTIF($AN43:$AS43,"LM")))</f>
        <v/>
      </c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36">
        <f>IFERROR(INDEX(JUL!AI$8:AI$73,MATCH($A44,JUL!$A$8:$A$73,0))&amp;"","")</f>
        <v/>
      </c>
      <c r="E44" s="136">
        <f>IFERROR(INDEX(JUL!AJ$8:AJ$73,MATCH($A44,JUL!$A$8:$A$73,0))&amp;"","")</f>
        <v/>
      </c>
      <c r="F44" s="136">
        <f>IFERROR(INDEX(JUL!AK$8:AK$73,MATCH($A44,JUL!$A$8:$A$73,0))&amp;"","")</f>
        <v/>
      </c>
      <c r="G44" s="136">
        <f>IFERROR(INDEX(JUL!AL$8:AL$73,MATCH($A44,JUL!$A$8:$A$73,0))&amp;"","")</f>
        <v/>
      </c>
      <c r="H44" s="136">
        <f>IFERROR(INDEX(JUL!AM$8:AM$73,MATCH($A44,JUL!$A$8:$A$73,0))&amp;"","")</f>
        <v/>
      </c>
      <c r="I44" s="114" t="n"/>
      <c r="J44" s="114" t="n"/>
      <c r="K44" s="114" t="n"/>
      <c r="L44" s="114" t="n"/>
      <c r="M44" s="114" t="n"/>
      <c r="N44" s="114" t="n"/>
      <c r="O44" s="124" t="inlineStr">
        <is>
          <t>D</t>
        </is>
      </c>
      <c r="P44" s="124" t="inlineStr">
        <is>
          <t>D</t>
        </is>
      </c>
      <c r="Q44" s="114" t="n"/>
      <c r="R44" s="114" t="n"/>
      <c r="S44" s="124" t="inlineStr">
        <is>
          <t>D</t>
        </is>
      </c>
      <c r="T44" s="124" t="inlineStr">
        <is>
          <t>D</t>
        </is>
      </c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24" t="inlineStr">
        <is>
          <t>D</t>
        </is>
      </c>
      <c r="AD44" s="124" t="inlineStr">
        <is>
          <t>D</t>
        </is>
      </c>
      <c r="AE44" s="114" t="n"/>
      <c r="AF44" s="114" t="n"/>
      <c r="AG44" s="124" t="inlineStr">
        <is>
          <t>D</t>
        </is>
      </c>
      <c r="AH44" s="126" t="inlineStr">
        <is>
          <t>T</t>
        </is>
      </c>
      <c r="AI44" s="114" t="n"/>
      <c r="AJ44" s="126" t="inlineStr">
        <is>
          <t>T</t>
        </is>
      </c>
      <c r="AK44" s="114" t="n"/>
      <c r="AL44" s="114" t="n"/>
      <c r="AM44" s="114" t="n"/>
      <c r="AN44" s="136">
        <f>IFERROR(INDEX(SET!I$8:I$73,MATCH($A44,SET!$A$8:$A$73,0))&amp;"","")</f>
        <v/>
      </c>
      <c r="AO44" s="136">
        <f>IFERROR(INDEX(SET!J$8:J$73,MATCH($A44,SET!$A$8:$A$73,0))&amp;"","")</f>
        <v/>
      </c>
      <c r="AP44" s="136">
        <f>IFERROR(INDEX(SET!K$8:K$73,MATCH($A44,SET!$A$8:$A$73,0))&amp;"","")</f>
        <v/>
      </c>
      <c r="AQ44" s="136">
        <f>IFERROR(INDEX(SET!L$8:L$73,MATCH($A44,SET!$A$8:$A$73,0))&amp;"","")</f>
        <v/>
      </c>
      <c r="AR44" s="116">
        <f>IFERROR(INDEX(SET!M$8:M$73,MATCH($A44,SET!$A$8:$A$73,0))&amp;"","")</f>
        <v/>
      </c>
      <c r="AS44" s="116">
        <f>IFERROR(INDEX(SET!N$8:N$73,MATCH($A44,SET!$A$8:$A$73,0))&amp;"","")</f>
        <v/>
      </c>
      <c r="AT44" s="117">
        <f>SUMPRODUCT(($D44:$J44="M")*6+($D44:$J44="T")*6+($D44:$J44="D")*12+($D44:$J44="N")*12+($D44:$J44="NT")*6+($D44:$J44="C")*10+($D44:$J44="A")*8+($D44:$J44="J")*5+($D44:$J44="CEP")*4+($D44:$J44="CP")*6+($D44:$J44="CRO")*6+($D44:$J44="M+")*6+($D44:$J44="T+")*6+($D44:$J44="D+")*12+($D44:$J44="N+")*12+($D44:$J44="Dm+")*12+($D44:$J44="Dt+")*12+($D44:$J44="Tm-")*6+($D44:$J44="Mt-")*6)</f>
        <v/>
      </c>
      <c r="AU44" s="118">
        <f>AT44-MAX(0,IFERROR(INDEX(CADASTRO!$I$4:$I$80,MATCH($A44,CADASTRO!$A$4:$A$80,0)),$B44)-CONFIG!$B$50*(COUNTIF($D44:$J44,"AB")+COUNTIF($D44:$J44,"FE")+COUNTIF($D44:$J44,"LM")))</f>
        <v/>
      </c>
      <c r="AV44" s="117">
        <f>SUMPRODUCT(($K44:$Q44="M")*6+($K44:$Q44="T")*6+($K44:$Q44="D")*12+($K44:$Q44="N")*12+($K44:$Q44="NT")*6+($K44:$Q44="C")*10+($K44:$Q44="A")*8+($K44:$Q44="J")*5+($K44:$Q44="CEP")*4+($K44:$Q44="CP")*6+($K44:$Q44="CRO")*6+($K44:$Q44="M+")*6+($K44:$Q44="T+")*6+($K44:$Q44="D+")*12+($K44:$Q44="N+")*12+($K44:$Q44="Dm+")*12+($K44:$Q44="Dt+")*12+($K44:$Q44="Tm-")*6+($K44:$Q44="Mt-")*6)</f>
        <v/>
      </c>
      <c r="AW44" s="118">
        <f>AV44-MAX(0,IFERROR(INDEX(CADASTRO!$I$4:$I$80,MATCH($A44,CADASTRO!$A$4:$A$80,0)),$B44)-CONFIG!$B$50*(COUNTIF($K44:$Q44,"AB")+COUNTIF($K44:$Q44,"FE")+COUNTIF($K44:$Q44,"LM")))</f>
        <v/>
      </c>
      <c r="AX44" s="117">
        <f>SUMPRODUCT(($R44:$X44="M")*6+($R44:$X44="T")*6+($R44:$X44="D")*12+($R44:$X44="N")*12+($R44:$X44="NT")*6+($R44:$X44="C")*10+($R44:$X44="A")*8+($R44:$X44="J")*5+($R44:$X44="CEP")*4+($R44:$X44="CP")*6+($R44:$X44="CRO")*6+($R44:$X44="M+")*6+($R44:$X44="T+")*6+($R44:$X44="D+")*12+($R44:$X44="N+")*12+($R44:$X44="Dm+")*12+($R44:$X44="Dt+")*12+($R44:$X44="Tm-")*6+($R44:$X44="Mt-")*6)</f>
        <v/>
      </c>
      <c r="AY44" s="118">
        <f>AX44-MAX(0,IFERROR(INDEX(CADASTRO!$I$4:$I$80,MATCH($A44,CADASTRO!$A$4:$A$80,0)),$B44)-CONFIG!$B$50*(COUNTIF($R44:$X44,"AB")+COUNTIF($R44:$X44,"FE")+COUNTIF($R44:$X44,"LM")))</f>
        <v/>
      </c>
      <c r="AZ44" s="117">
        <f>SUMPRODUCT(($Y44:$AE44="M")*6+($Y44:$AE44="T")*6+($Y44:$AE44="D")*12+($Y44:$AE44="N")*12+($Y44:$AE44="NT")*6+($Y44:$AE44="C")*10+($Y44:$AE44="A")*8+($Y44:$AE44="J")*5+($Y44:$AE44="CEP")*4+($Y44:$AE44="CP")*6+($Y44:$AE44="CRO")*6+($Y44:$AE44="M+")*6+($Y44:$AE44="T+")*6+($Y44:$AE44="D+")*12+($Y44:$AE44="N+")*12+($Y44:$AE44="Dm+")*12+($Y44:$AE44="Dt+")*12+($Y44:$AE44="Tm-")*6+($Y44:$AE44="Mt-")*6)</f>
        <v/>
      </c>
      <c r="BA44" s="118">
        <f>AZ44-MAX(0,IFERROR(INDEX(CADASTRO!$I$4:$I$80,MATCH($A44,CADASTRO!$A$4:$A$80,0)),$B44)-CONFIG!$B$50*(COUNTIF($Y44:$AE44,"AB")+COUNTIF($Y44:$AE44,"FE")+COUNTIF($Y44:$AE44,"LM")))</f>
        <v/>
      </c>
      <c r="BB44" s="117">
        <f>SUMPRODUCT(($AF44:$AL44="M")*6+($AF44:$AL44="T")*6+($AF44:$AL44="D")*12+($AF44:$AL44="N")*12+($AF44:$AL44="NT")*6+($AF44:$AL44="C")*10+($AF44:$AL44="A")*8+($AF44:$AL44="J")*5+($AF44:$AL44="CEP")*4+($AF44:$AL44="CP")*6+($AF44:$AL44="CRO")*6+($AF44:$AL44="M+")*6+($AF44:$AL44="T+")*6+($AF44:$AL44="D+")*12+($AF44:$AL44="N+")*12+($AF44:$AL44="Dm+")*12+($AF44:$AL44="Dt+")*12+($AF44:$AL44="Tm-")*6+($AF44:$AL44="Mt-")*6)</f>
        <v/>
      </c>
      <c r="BC44" s="118">
        <f>BB44-MAX(0,IFERROR(INDEX(CADASTRO!$I$4:$I$80,MATCH($A44,CADASTRO!$A$4:$A$80,0)),$B44)-CONFIG!$B$50*(COUNTIF($AF44:$AL44,"AB")+COUNTIF($AF44:$AL44,"FE")+COUNTIF($AF44:$AL44,"LM")))</f>
        <v/>
      </c>
      <c r="BD44" s="117">
        <f>SUMPRODUCT(($AM44:$AM44="M")*6+($AM44:$AM44="T")*6+($AM44:$AM44="D")*12+($AM44:$AM44="N")*12+($AM44:$AM44="NT")*6+($AM44:$AM44="C")*10+($AM44:$AM44="A")*8+($AM44:$AM44="J")*5+($AM44:$AM44="CEP")*4+($AM44:$AM44="CP")*6+($AM44:$AM44="CRO")*6+($AM44:$AM44="M+")*6+($AM44:$AM44="T+")*6+($AM44:$AM44="D+")*12+($AM44:$AM44="N+")*12+($AM44:$AM44="Dm+")*12+($AM44:$AM44="Dt+")*12+($AM44:$AM44="Tm-")*6+($AM44:$AM44="Mt-")*6)+SUMPRODUCT(($AN44:$AS44="M")*6+($AN44:$AS44="T")*6+($AN44:$AS44="D")*12+($AN44:$AS44="N")*12+($AN44:$AS44="NT")*6+($AN44:$AS44="C")*10+($AN44:$AS44="A")*8+($AN44:$AS44="J")*5+($AN44:$AS44="CEP")*4+($AN44:$AS44="CP")*6+($AN44:$AS44="CRO")*6+($AN44:$AS44="M+")*6+($AN44:$AS44="T+")*6+($AN44:$AS44="D+")*12+($AN44:$AS44="N+")*12+($AN44:$AS44="Dm+")*12+($AN44:$AS44="Dt+")*12+($AN44:$AS44="Tm-")*6+($AN44:$AS44="Mt-")*6)</f>
        <v/>
      </c>
      <c r="BE44" s="118">
        <f>BD44-MAX(0,IFERROR(INDEX(CADASTRO!$I$4:$I$80,MATCH($A44,CADASTRO!$A$4:$A$80,0)),$B44)-CONFIG!$B$50*(COUNTIF($AM44:$AM44,"AB")+COUNTIF($AM44:$AM44,"FE")+COUNTIF($AM44:$AM44,"LM")+COUNTIF($AN44:$AS44,"AB")+COUNTIF($AN44:$AS44,"FE")+COUNTIF($AN44:$AS44,"LM")))</f>
        <v/>
      </c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36">
        <f>IFERROR(INDEX(JUL!AI$8:AI$73,MATCH($A45,JUL!$A$8:$A$73,0))&amp;"","")</f>
        <v/>
      </c>
      <c r="E45" s="136">
        <f>IFERROR(INDEX(JUL!AJ$8:AJ$73,MATCH($A45,JUL!$A$8:$A$73,0))&amp;"","")</f>
        <v/>
      </c>
      <c r="F45" s="136">
        <f>IFERROR(INDEX(JUL!AK$8:AK$73,MATCH($A45,JUL!$A$8:$A$73,0))&amp;"","")</f>
        <v/>
      </c>
      <c r="G45" s="136">
        <f>IFERROR(INDEX(JUL!AL$8:AL$73,MATCH($A45,JUL!$A$8:$A$73,0))&amp;"","")</f>
        <v/>
      </c>
      <c r="H45" s="136">
        <f>IFERROR(INDEX(JUL!AM$8:AM$73,MATCH($A45,JUL!$A$8:$A$73,0))&amp;"","")</f>
        <v/>
      </c>
      <c r="I45" s="139" t="inlineStr">
        <is>
          <t>FE</t>
        </is>
      </c>
      <c r="J45" s="139" t="inlineStr">
        <is>
          <t>FE</t>
        </is>
      </c>
      <c r="K45" s="139" t="inlineStr">
        <is>
          <t>FE</t>
        </is>
      </c>
      <c r="L45" s="139" t="inlineStr">
        <is>
          <t>FE</t>
        </is>
      </c>
      <c r="M45" s="139" t="inlineStr">
        <is>
          <t>FE</t>
        </is>
      </c>
      <c r="N45" s="139" t="inlineStr">
        <is>
          <t>FE</t>
        </is>
      </c>
      <c r="O45" s="139" t="inlineStr">
        <is>
          <t>FE</t>
        </is>
      </c>
      <c r="P45" s="139" t="inlineStr">
        <is>
          <t>FE</t>
        </is>
      </c>
      <c r="Q45" s="139" t="inlineStr">
        <is>
          <t>FE</t>
        </is>
      </c>
      <c r="R45" s="139" t="inlineStr">
        <is>
          <t>FE</t>
        </is>
      </c>
      <c r="S45" s="114" t="n"/>
      <c r="T45" s="114" t="n"/>
      <c r="U45" s="115" t="inlineStr">
        <is>
          <t>M</t>
        </is>
      </c>
      <c r="V45" s="114" t="n"/>
      <c r="W45" s="125" t="inlineStr">
        <is>
          <t>N</t>
        </is>
      </c>
      <c r="X45" s="114" t="n"/>
      <c r="Y45" s="115" t="inlineStr">
        <is>
          <t>M</t>
        </is>
      </c>
      <c r="Z45" s="115" t="inlineStr">
        <is>
          <t>M</t>
        </is>
      </c>
      <c r="AA45" s="114" t="n"/>
      <c r="AB45" s="115" t="inlineStr">
        <is>
          <t>M</t>
        </is>
      </c>
      <c r="AC45" s="115" t="inlineStr">
        <is>
          <t>M</t>
        </is>
      </c>
      <c r="AD45" s="114" t="n"/>
      <c r="AE45" s="114" t="n"/>
      <c r="AF45" s="115" t="inlineStr">
        <is>
          <t>M</t>
        </is>
      </c>
      <c r="AG45" s="115" t="inlineStr">
        <is>
          <t>M</t>
        </is>
      </c>
      <c r="AH45" s="114" t="n"/>
      <c r="AI45" s="115" t="inlineStr">
        <is>
          <t>M</t>
        </is>
      </c>
      <c r="AJ45" s="115" t="inlineStr">
        <is>
          <t>M</t>
        </is>
      </c>
      <c r="AK45" s="114" t="n"/>
      <c r="AL45" s="114" t="n"/>
      <c r="AM45" s="115" t="inlineStr">
        <is>
          <t>M</t>
        </is>
      </c>
      <c r="AN45" s="136">
        <f>IFERROR(INDEX(SET!I$8:I$73,MATCH($A45,SET!$A$8:$A$73,0))&amp;"","")</f>
        <v/>
      </c>
      <c r="AO45" s="136">
        <f>IFERROR(INDEX(SET!J$8:J$73,MATCH($A45,SET!$A$8:$A$73,0))&amp;"","")</f>
        <v/>
      </c>
      <c r="AP45" s="136">
        <f>IFERROR(INDEX(SET!K$8:K$73,MATCH($A45,SET!$A$8:$A$73,0))&amp;"","")</f>
        <v/>
      </c>
      <c r="AQ45" s="136">
        <f>IFERROR(INDEX(SET!L$8:L$73,MATCH($A45,SET!$A$8:$A$73,0))&amp;"","")</f>
        <v/>
      </c>
      <c r="AR45" s="116">
        <f>IFERROR(INDEX(SET!M$8:M$73,MATCH($A45,SET!$A$8:$A$73,0))&amp;"","")</f>
        <v/>
      </c>
      <c r="AS45" s="116">
        <f>IFERROR(INDEX(SET!N$8:N$73,MATCH($A45,SET!$A$8:$A$73,0))&amp;"","")</f>
        <v/>
      </c>
      <c r="AT45" s="117">
        <f>SUMPRODUCT(($D45:$J45="M")*6+($D45:$J45="T")*6+($D45:$J45="D")*12+($D45:$J45="N")*12+($D45:$J45="NT")*6+($D45:$J45="C")*10+($D45:$J45="A")*8+($D45:$J45="J")*5+($D45:$J45="CEP")*4+($D45:$J45="CP")*6+($D45:$J45="CRO")*6+($D45:$J45="M+")*6+($D45:$J45="T+")*6+($D45:$J45="D+")*12+($D45:$J45="N+")*12+($D45:$J45="Dm+")*12+($D45:$J45="Dt+")*12+($D45:$J45="Tm-")*6+($D45:$J45="Mt-")*6)</f>
        <v/>
      </c>
      <c r="AU45" s="118">
        <f>AT45-MAX(0,IFERROR(INDEX(CADASTRO!$I$4:$I$80,MATCH($A45,CADASTRO!$A$4:$A$80,0)),$B45)-CONFIG!$B$50*(COUNTIF($D45:$J45,"AB")+COUNTIF($D45:$J45,"FE")+COUNTIF($D45:$J45,"LM")))</f>
        <v/>
      </c>
      <c r="AV45" s="117">
        <f>SUMPRODUCT(($K45:$Q45="M")*6+($K45:$Q45="T")*6+($K45:$Q45="D")*12+($K45:$Q45="N")*12+($K45:$Q45="NT")*6+($K45:$Q45="C")*10+($K45:$Q45="A")*8+($K45:$Q45="J")*5+($K45:$Q45="CEP")*4+($K45:$Q45="CP")*6+($K45:$Q45="CRO")*6+($K45:$Q45="M+")*6+($K45:$Q45="T+")*6+($K45:$Q45="D+")*12+($K45:$Q45="N+")*12+($K45:$Q45="Dm+")*12+($K45:$Q45="Dt+")*12+($K45:$Q45="Tm-")*6+($K45:$Q45="Mt-")*6)</f>
        <v/>
      </c>
      <c r="AW45" s="118">
        <f>AV45-MAX(0,IFERROR(INDEX(CADASTRO!$I$4:$I$80,MATCH($A45,CADASTRO!$A$4:$A$80,0)),$B45)-CONFIG!$B$50*(COUNTIF($K45:$Q45,"AB")+COUNTIF($K45:$Q45,"FE")+COUNTIF($K45:$Q45,"LM")))</f>
        <v/>
      </c>
      <c r="AX45" s="117">
        <f>SUMPRODUCT(($R45:$X45="M")*6+($R45:$X45="T")*6+($R45:$X45="D")*12+($R45:$X45="N")*12+($R45:$X45="NT")*6+($R45:$X45="C")*10+($R45:$X45="A")*8+($R45:$X45="J")*5+($R45:$X45="CEP")*4+($R45:$X45="CP")*6+($R45:$X45="CRO")*6+($R45:$X45="M+")*6+($R45:$X45="T+")*6+($R45:$X45="D+")*12+($R45:$X45="N+")*12+($R45:$X45="Dm+")*12+($R45:$X45="Dt+")*12+($R45:$X45="Tm-")*6+($R45:$X45="Mt-")*6)</f>
        <v/>
      </c>
      <c r="AY45" s="118">
        <f>AX45-MAX(0,IFERROR(INDEX(CADASTRO!$I$4:$I$80,MATCH($A45,CADASTRO!$A$4:$A$80,0)),$B45)-CONFIG!$B$50*(COUNTIF($R45:$X45,"AB")+COUNTIF($R45:$X45,"FE")+COUNTIF($R45:$X45,"LM")))</f>
        <v/>
      </c>
      <c r="AZ45" s="117">
        <f>SUMPRODUCT(($Y45:$AE45="M")*6+($Y45:$AE45="T")*6+($Y45:$AE45="D")*12+($Y45:$AE45="N")*12+($Y45:$AE45="NT")*6+($Y45:$AE45="C")*10+($Y45:$AE45="A")*8+($Y45:$AE45="J")*5+($Y45:$AE45="CEP")*4+($Y45:$AE45="CP")*6+($Y45:$AE45="CRO")*6+($Y45:$AE45="M+")*6+($Y45:$AE45="T+")*6+($Y45:$AE45="D+")*12+($Y45:$AE45="N+")*12+($Y45:$AE45="Dm+")*12+($Y45:$AE45="Dt+")*12+($Y45:$AE45="Tm-")*6+($Y45:$AE45="Mt-")*6)</f>
        <v/>
      </c>
      <c r="BA45" s="118">
        <f>AZ45-MAX(0,IFERROR(INDEX(CADASTRO!$I$4:$I$80,MATCH($A45,CADASTRO!$A$4:$A$80,0)),$B45)-CONFIG!$B$50*(COUNTIF($Y45:$AE45,"AB")+COUNTIF($Y45:$AE45,"FE")+COUNTIF($Y45:$AE45,"LM")))</f>
        <v/>
      </c>
      <c r="BB45" s="117">
        <f>SUMPRODUCT(($AF45:$AL45="M")*6+($AF45:$AL45="T")*6+($AF45:$AL45="D")*12+($AF45:$AL45="N")*12+($AF45:$AL45="NT")*6+($AF45:$AL45="C")*10+($AF45:$AL45="A")*8+($AF45:$AL45="J")*5+($AF45:$AL45="CEP")*4+($AF45:$AL45="CP")*6+($AF45:$AL45="CRO")*6+($AF45:$AL45="M+")*6+($AF45:$AL45="T+")*6+($AF45:$AL45="D+")*12+($AF45:$AL45="N+")*12+($AF45:$AL45="Dm+")*12+($AF45:$AL45="Dt+")*12+($AF45:$AL45="Tm-")*6+($AF45:$AL45="Mt-")*6)</f>
        <v/>
      </c>
      <c r="BC45" s="118">
        <f>BB45-MAX(0,IFERROR(INDEX(CADASTRO!$I$4:$I$80,MATCH($A45,CADASTRO!$A$4:$A$80,0)),$B45)-CONFIG!$B$50*(COUNTIF($AF45:$AL45,"AB")+COUNTIF($AF45:$AL45,"FE")+COUNTIF($AF45:$AL45,"LM")))</f>
        <v/>
      </c>
      <c r="BD45" s="117">
        <f>SUMPRODUCT(($AM45:$AM45="M")*6+($AM45:$AM45="T")*6+($AM45:$AM45="D")*12+($AM45:$AM45="N")*12+($AM45:$AM45="NT")*6+($AM45:$AM45="C")*10+($AM45:$AM45="A")*8+($AM45:$AM45="J")*5+($AM45:$AM45="CEP")*4+($AM45:$AM45="CP")*6+($AM45:$AM45="CRO")*6+($AM45:$AM45="M+")*6+($AM45:$AM45="T+")*6+($AM45:$AM45="D+")*12+($AM45:$AM45="N+")*12+($AM45:$AM45="Dm+")*12+($AM45:$AM45="Dt+")*12+($AM45:$AM45="Tm-")*6+($AM45:$AM45="Mt-")*6)+SUMPRODUCT(($AN45:$AS45="M")*6+($AN45:$AS45="T")*6+($AN45:$AS45="D")*12+($AN45:$AS45="N")*12+($AN45:$AS45="NT")*6+($AN45:$AS45="C")*10+($AN45:$AS45="A")*8+($AN45:$AS45="J")*5+($AN45:$AS45="CEP")*4+($AN45:$AS45="CP")*6+($AN45:$AS45="CRO")*6+($AN45:$AS45="M+")*6+($AN45:$AS45="T+")*6+($AN45:$AS45="D+")*12+($AN45:$AS45="N+")*12+($AN45:$AS45="Dm+")*12+($AN45:$AS45="Dt+")*12+($AN45:$AS45="Tm-")*6+($AN45:$AS45="Mt-")*6)</f>
        <v/>
      </c>
      <c r="BE45" s="118">
        <f>BD45-MAX(0,IFERROR(INDEX(CADASTRO!$I$4:$I$80,MATCH($A45,CADASTRO!$A$4:$A$80,0)),$B45)-CONFIG!$B$50*(COUNTIF($AM45:$AM45,"AB")+COUNTIF($AM45:$AM45,"FE")+COUNTIF($AM45:$AM45,"LM")+COUNTIF($AN45:$AS45,"AB")+COUNTIF($AN45:$AS45,"FE")+COUNTIF($AN45:$AS45,"LM")))</f>
        <v/>
      </c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36">
        <f>IFERROR(INDEX(JUL!AI$8:AI$73,MATCH($A46,JUL!$A$8:$A$73,0))&amp;"","")</f>
        <v/>
      </c>
      <c r="E46" s="136">
        <f>IFERROR(INDEX(JUL!AJ$8:AJ$73,MATCH($A46,JUL!$A$8:$A$73,0))&amp;"","")</f>
        <v/>
      </c>
      <c r="F46" s="136">
        <f>IFERROR(INDEX(JUL!AK$8:AK$73,MATCH($A46,JUL!$A$8:$A$73,0))&amp;"","")</f>
        <v/>
      </c>
      <c r="G46" s="136">
        <f>IFERROR(INDEX(JUL!AL$8:AL$73,MATCH($A46,JUL!$A$8:$A$73,0))&amp;"","")</f>
        <v/>
      </c>
      <c r="H46" s="136">
        <f>IFERROR(INDEX(JUL!AM$8:AM$73,MATCH($A46,JUL!$A$8:$A$73,0))&amp;"","")</f>
        <v/>
      </c>
      <c r="I46" s="114" t="n"/>
      <c r="J46" s="114" t="n"/>
      <c r="K46" s="114" t="n"/>
      <c r="L46" s="114" t="n"/>
      <c r="M46" s="124" t="inlineStr">
        <is>
          <t>D</t>
        </is>
      </c>
      <c r="N46" s="114" t="n"/>
      <c r="O46" s="114" t="n"/>
      <c r="P46" s="114" t="n"/>
      <c r="Q46" s="125" t="inlineStr">
        <is>
          <t>N</t>
        </is>
      </c>
      <c r="R46" s="114" t="n"/>
      <c r="S46" s="114" t="n"/>
      <c r="T46" s="124" t="inlineStr">
        <is>
          <t>D</t>
        </is>
      </c>
      <c r="U46" s="114" t="n"/>
      <c r="V46" s="125" t="inlineStr">
        <is>
          <t>N</t>
        </is>
      </c>
      <c r="W46" s="114" t="n"/>
      <c r="X46" s="114" t="n"/>
      <c r="Y46" s="114" t="n"/>
      <c r="Z46" s="114" t="n"/>
      <c r="AA46" s="124" t="inlineStr">
        <is>
          <t>D</t>
        </is>
      </c>
      <c r="AB46" s="114" t="n"/>
      <c r="AC46" s="114" t="n"/>
      <c r="AD46" s="114" t="n"/>
      <c r="AE46" s="125" t="inlineStr">
        <is>
          <t>N</t>
        </is>
      </c>
      <c r="AF46" s="114" t="n"/>
      <c r="AG46" s="114" t="n"/>
      <c r="AH46" s="126" t="inlineStr">
        <is>
          <t>T</t>
        </is>
      </c>
      <c r="AI46" s="114" t="n"/>
      <c r="AJ46" s="125" t="inlineStr">
        <is>
          <t>N</t>
        </is>
      </c>
      <c r="AK46" s="114" t="n"/>
      <c r="AL46" s="126" t="inlineStr">
        <is>
          <t>T</t>
        </is>
      </c>
      <c r="AM46" s="114" t="n"/>
      <c r="AN46" s="136">
        <f>IFERROR(INDEX(SET!I$8:I$73,MATCH($A46,SET!$A$8:$A$73,0))&amp;"","")</f>
        <v/>
      </c>
      <c r="AO46" s="136">
        <f>IFERROR(INDEX(SET!J$8:J$73,MATCH($A46,SET!$A$8:$A$73,0))&amp;"","")</f>
        <v/>
      </c>
      <c r="AP46" s="136">
        <f>IFERROR(INDEX(SET!K$8:K$73,MATCH($A46,SET!$A$8:$A$73,0))&amp;"","")</f>
        <v/>
      </c>
      <c r="AQ46" s="136">
        <f>IFERROR(INDEX(SET!L$8:L$73,MATCH($A46,SET!$A$8:$A$73,0))&amp;"","")</f>
        <v/>
      </c>
      <c r="AR46" s="116">
        <f>IFERROR(INDEX(SET!M$8:M$73,MATCH($A46,SET!$A$8:$A$73,0))&amp;"","")</f>
        <v/>
      </c>
      <c r="AS46" s="116">
        <f>IFERROR(INDEX(SET!N$8:N$73,MATCH($A46,SET!$A$8:$A$73,0))&amp;"","")</f>
        <v/>
      </c>
      <c r="AT46" s="117">
        <f>SUMPRODUCT(($D46:$J46="M")*6+($D46:$J46="T")*6+($D46:$J46="D")*12+($D46:$J46="N")*12+($D46:$J46="NT")*6+($D46:$J46="C")*10+($D46:$J46="A")*8+($D46:$J46="J")*5+($D46:$J46="CEP")*4+($D46:$J46="CP")*6+($D46:$J46="CRO")*6+($D46:$J46="M+")*6+($D46:$J46="T+")*6+($D46:$J46="D+")*12+($D46:$J46="N+")*12+($D46:$J46="Dm+")*12+($D46:$J46="Dt+")*12+($D46:$J46="Tm-")*6+($D46:$J46="Mt-")*6)</f>
        <v/>
      </c>
      <c r="AU46" s="118">
        <f>AT46-MAX(0,IFERROR(INDEX(CADASTRO!$I$4:$I$80,MATCH($A46,CADASTRO!$A$4:$A$80,0)),$B46)-CONFIG!$B$50*(COUNTIF($D46:$J46,"AB")+COUNTIF($D46:$J46,"FE")+COUNTIF($D46:$J46,"LM")))</f>
        <v/>
      </c>
      <c r="AV46" s="117">
        <f>SUMPRODUCT(($K46:$Q46="M")*6+($K46:$Q46="T")*6+($K46:$Q46="D")*12+($K46:$Q46="N")*12+($K46:$Q46="NT")*6+($K46:$Q46="C")*10+($K46:$Q46="A")*8+($K46:$Q46="J")*5+($K46:$Q46="CEP")*4+($K46:$Q46="CP")*6+($K46:$Q46="CRO")*6+($K46:$Q46="M+")*6+($K46:$Q46="T+")*6+($K46:$Q46="D+")*12+($K46:$Q46="N+")*12+($K46:$Q46="Dm+")*12+($K46:$Q46="Dt+")*12+($K46:$Q46="Tm-")*6+($K46:$Q46="Mt-")*6)</f>
        <v/>
      </c>
      <c r="AW46" s="118">
        <f>AV46-MAX(0,IFERROR(INDEX(CADASTRO!$I$4:$I$80,MATCH($A46,CADASTRO!$A$4:$A$80,0)),$B46)-CONFIG!$B$50*(COUNTIF($K46:$Q46,"AB")+COUNTIF($K46:$Q46,"FE")+COUNTIF($K46:$Q46,"LM")))</f>
        <v/>
      </c>
      <c r="AX46" s="117">
        <f>SUMPRODUCT(($R46:$X46="M")*6+($R46:$X46="T")*6+($R46:$X46="D")*12+($R46:$X46="N")*12+($R46:$X46="NT")*6+($R46:$X46="C")*10+($R46:$X46="A")*8+($R46:$X46="J")*5+($R46:$X46="CEP")*4+($R46:$X46="CP")*6+($R46:$X46="CRO")*6+($R46:$X46="M+")*6+($R46:$X46="T+")*6+($R46:$X46="D+")*12+($R46:$X46="N+")*12+($R46:$X46="Dm+")*12+($R46:$X46="Dt+")*12+($R46:$X46="Tm-")*6+($R46:$X46="Mt-")*6)</f>
        <v/>
      </c>
      <c r="AY46" s="118">
        <f>AX46-MAX(0,IFERROR(INDEX(CADASTRO!$I$4:$I$80,MATCH($A46,CADASTRO!$A$4:$A$80,0)),$B46)-CONFIG!$B$50*(COUNTIF($R46:$X46,"AB")+COUNTIF($R46:$X46,"FE")+COUNTIF($R46:$X46,"LM")))</f>
        <v/>
      </c>
      <c r="AZ46" s="117">
        <f>SUMPRODUCT(($Y46:$AE46="M")*6+($Y46:$AE46="T")*6+($Y46:$AE46="D")*12+($Y46:$AE46="N")*12+($Y46:$AE46="NT")*6+($Y46:$AE46="C")*10+($Y46:$AE46="A")*8+($Y46:$AE46="J")*5+($Y46:$AE46="CEP")*4+($Y46:$AE46="CP")*6+($Y46:$AE46="CRO")*6+($Y46:$AE46="M+")*6+($Y46:$AE46="T+")*6+($Y46:$AE46="D+")*12+($Y46:$AE46="N+")*12+($Y46:$AE46="Dm+")*12+($Y46:$AE46="Dt+")*12+($Y46:$AE46="Tm-")*6+($Y46:$AE46="Mt-")*6)</f>
        <v/>
      </c>
      <c r="BA46" s="118">
        <f>AZ46-MAX(0,IFERROR(INDEX(CADASTRO!$I$4:$I$80,MATCH($A46,CADASTRO!$A$4:$A$80,0)),$B46)-CONFIG!$B$50*(COUNTIF($Y46:$AE46,"AB")+COUNTIF($Y46:$AE46,"FE")+COUNTIF($Y46:$AE46,"LM")))</f>
        <v/>
      </c>
      <c r="BB46" s="117">
        <f>SUMPRODUCT(($AF46:$AL46="M")*6+($AF46:$AL46="T")*6+($AF46:$AL46="D")*12+($AF46:$AL46="N")*12+($AF46:$AL46="NT")*6+($AF46:$AL46="C")*10+($AF46:$AL46="A")*8+($AF46:$AL46="J")*5+($AF46:$AL46="CEP")*4+($AF46:$AL46="CP")*6+($AF46:$AL46="CRO")*6+($AF46:$AL46="M+")*6+($AF46:$AL46="T+")*6+($AF46:$AL46="D+")*12+($AF46:$AL46="N+")*12+($AF46:$AL46="Dm+")*12+($AF46:$AL46="Dt+")*12+($AF46:$AL46="Tm-")*6+($AF46:$AL46="Mt-")*6)</f>
        <v/>
      </c>
      <c r="BC46" s="118">
        <f>BB46-MAX(0,IFERROR(INDEX(CADASTRO!$I$4:$I$80,MATCH($A46,CADASTRO!$A$4:$A$80,0)),$B46)-CONFIG!$B$50*(COUNTIF($AF46:$AL46,"AB")+COUNTIF($AF46:$AL46,"FE")+COUNTIF($AF46:$AL46,"LM")))</f>
        <v/>
      </c>
      <c r="BD46" s="117">
        <f>SUMPRODUCT(($AM46:$AM46="M")*6+($AM46:$AM46="T")*6+($AM46:$AM46="D")*12+($AM46:$AM46="N")*12+($AM46:$AM46="NT")*6+($AM46:$AM46="C")*10+($AM46:$AM46="A")*8+($AM46:$AM46="J")*5+($AM46:$AM46="CEP")*4+($AM46:$AM46="CP")*6+($AM46:$AM46="CRO")*6+($AM46:$AM46="M+")*6+($AM46:$AM46="T+")*6+($AM46:$AM46="D+")*12+($AM46:$AM46="N+")*12+($AM46:$AM46="Dm+")*12+($AM46:$AM46="Dt+")*12+($AM46:$AM46="Tm-")*6+($AM46:$AM46="Mt-")*6)+SUMPRODUCT(($AN46:$AS46="M")*6+($AN46:$AS46="T")*6+($AN46:$AS46="D")*12+($AN46:$AS46="N")*12+($AN46:$AS46="NT")*6+($AN46:$AS46="C")*10+($AN46:$AS46="A")*8+($AN46:$AS46="J")*5+($AN46:$AS46="CEP")*4+($AN46:$AS46="CP")*6+($AN46:$AS46="CRO")*6+($AN46:$AS46="M+")*6+($AN46:$AS46="T+")*6+($AN46:$AS46="D+")*12+($AN46:$AS46="N+")*12+($AN46:$AS46="Dm+")*12+($AN46:$AS46="Dt+")*12+($AN46:$AS46="Tm-")*6+($AN46:$AS46="Mt-")*6)</f>
        <v/>
      </c>
      <c r="BE46" s="118">
        <f>BD46-MAX(0,IFERROR(INDEX(CADASTRO!$I$4:$I$80,MATCH($A46,CADASTRO!$A$4:$A$80,0)),$B46)-CONFIG!$B$50*(COUNTIF($AM46:$AM46,"AB")+COUNTIF($AM46:$AM46,"FE")+COUNTIF($AM46:$AM46,"LM")+COUNTIF($AN46:$AS46,"AB")+COUNTIF($AN46:$AS46,"FE")+COUNTIF($AN46:$AS46,"LM")))</f>
        <v/>
      </c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36">
        <f>IFERROR(INDEX(JUL!AI$8:AI$73,MATCH($A47,JUL!$A$8:$A$73,0))&amp;"","")</f>
        <v/>
      </c>
      <c r="E47" s="136">
        <f>IFERROR(INDEX(JUL!AJ$8:AJ$73,MATCH($A47,JUL!$A$8:$A$73,0))&amp;"","")</f>
        <v/>
      </c>
      <c r="F47" s="136">
        <f>IFERROR(INDEX(JUL!AK$8:AK$73,MATCH($A47,JUL!$A$8:$A$73,0))&amp;"","")</f>
        <v/>
      </c>
      <c r="G47" s="136">
        <f>IFERROR(INDEX(JUL!AL$8:AL$73,MATCH($A47,JUL!$A$8:$A$73,0))&amp;"","")</f>
        <v/>
      </c>
      <c r="H47" s="136">
        <f>IFERROR(INDEX(JUL!AM$8:AM$73,MATCH($A47,JUL!$A$8:$A$73,0))&amp;"","")</f>
        <v/>
      </c>
      <c r="I47" s="124" t="inlineStr">
        <is>
          <t>D</t>
        </is>
      </c>
      <c r="J47" s="114" t="n"/>
      <c r="K47" s="114" t="n"/>
      <c r="L47" s="125" t="inlineStr">
        <is>
          <t>N</t>
        </is>
      </c>
      <c r="M47" s="114" t="n"/>
      <c r="N47" s="124" t="inlineStr">
        <is>
          <t>D</t>
        </is>
      </c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24" t="inlineStr">
        <is>
          <t>D</t>
        </is>
      </c>
      <c r="X47" s="124" t="inlineStr">
        <is>
          <t>D</t>
        </is>
      </c>
      <c r="Y47" s="114" t="n"/>
      <c r="Z47" s="125" t="inlineStr">
        <is>
          <t>N</t>
        </is>
      </c>
      <c r="AA47" s="114" t="n"/>
      <c r="AB47" s="125" t="inlineStr">
        <is>
          <t>N</t>
        </is>
      </c>
      <c r="AC47" s="114" t="n"/>
      <c r="AD47" s="114" t="n"/>
      <c r="AE47" s="114" t="n"/>
      <c r="AF47" s="125" t="inlineStr">
        <is>
          <t>N</t>
        </is>
      </c>
      <c r="AG47" s="114" t="n"/>
      <c r="AH47" s="114" t="n"/>
      <c r="AI47" s="114" t="n"/>
      <c r="AJ47" s="126" t="inlineStr">
        <is>
          <t>T</t>
        </is>
      </c>
      <c r="AK47" s="114" t="n"/>
      <c r="AL47" s="126" t="inlineStr">
        <is>
          <t>T</t>
        </is>
      </c>
      <c r="AM47" s="114" t="n"/>
      <c r="AN47" s="136">
        <f>IFERROR(INDEX(SET!I$8:I$73,MATCH($A47,SET!$A$8:$A$73,0))&amp;"","")</f>
        <v/>
      </c>
      <c r="AO47" s="136">
        <f>IFERROR(INDEX(SET!J$8:J$73,MATCH($A47,SET!$A$8:$A$73,0))&amp;"","")</f>
        <v/>
      </c>
      <c r="AP47" s="136">
        <f>IFERROR(INDEX(SET!K$8:K$73,MATCH($A47,SET!$A$8:$A$73,0))&amp;"","")</f>
        <v/>
      </c>
      <c r="AQ47" s="136">
        <f>IFERROR(INDEX(SET!L$8:L$73,MATCH($A47,SET!$A$8:$A$73,0))&amp;"","")</f>
        <v/>
      </c>
      <c r="AR47" s="116">
        <f>IFERROR(INDEX(SET!M$8:M$73,MATCH($A47,SET!$A$8:$A$73,0))&amp;"","")</f>
        <v/>
      </c>
      <c r="AS47" s="116">
        <f>IFERROR(INDEX(SET!N$8:N$73,MATCH($A47,SET!$A$8:$A$73,0))&amp;"","")</f>
        <v/>
      </c>
      <c r="AT47" s="117">
        <f>SUMPRODUCT(($D47:$J47="M")*6+($D47:$J47="T")*6+($D47:$J47="D")*12+($D47:$J47="N")*12+($D47:$J47="NT")*6+($D47:$J47="C")*10+($D47:$J47="A")*8+($D47:$J47="J")*5+($D47:$J47="CEP")*4+($D47:$J47="CP")*6+($D47:$J47="CRO")*6+($D47:$J47="M+")*6+($D47:$J47="T+")*6+($D47:$J47="D+")*12+($D47:$J47="N+")*12+($D47:$J47="Dm+")*12+($D47:$J47="Dt+")*12+($D47:$J47="Tm-")*6+($D47:$J47="Mt-")*6)</f>
        <v/>
      </c>
      <c r="AU47" s="118">
        <f>AT47-MAX(0,IFERROR(INDEX(CADASTRO!$I$4:$I$80,MATCH($A47,CADASTRO!$A$4:$A$80,0)),$B47)-CONFIG!$B$50*(COUNTIF($D47:$J47,"AB")+COUNTIF($D47:$J47,"FE")+COUNTIF($D47:$J47,"LM")))</f>
        <v/>
      </c>
      <c r="AV47" s="117">
        <f>SUMPRODUCT(($K47:$Q47="M")*6+($K47:$Q47="T")*6+($K47:$Q47="D")*12+($K47:$Q47="N")*12+($K47:$Q47="NT")*6+($K47:$Q47="C")*10+($K47:$Q47="A")*8+($K47:$Q47="J")*5+($K47:$Q47="CEP")*4+($K47:$Q47="CP")*6+($K47:$Q47="CRO")*6+($K47:$Q47="M+")*6+($K47:$Q47="T+")*6+($K47:$Q47="D+")*12+($K47:$Q47="N+")*12+($K47:$Q47="Dm+")*12+($K47:$Q47="Dt+")*12+($K47:$Q47="Tm-")*6+($K47:$Q47="Mt-")*6)</f>
        <v/>
      </c>
      <c r="AW47" s="118">
        <f>AV47-MAX(0,IFERROR(INDEX(CADASTRO!$I$4:$I$80,MATCH($A47,CADASTRO!$A$4:$A$80,0)),$B47)-CONFIG!$B$50*(COUNTIF($K47:$Q47,"AB")+COUNTIF($K47:$Q47,"FE")+COUNTIF($K47:$Q47,"LM")))</f>
        <v/>
      </c>
      <c r="AX47" s="117">
        <f>SUMPRODUCT(($R47:$X47="M")*6+($R47:$X47="T")*6+($R47:$X47="D")*12+($R47:$X47="N")*12+($R47:$X47="NT")*6+($R47:$X47="C")*10+($R47:$X47="A")*8+($R47:$X47="J")*5+($R47:$X47="CEP")*4+($R47:$X47="CP")*6+($R47:$X47="CRO")*6+($R47:$X47="M+")*6+($R47:$X47="T+")*6+($R47:$X47="D+")*12+($R47:$X47="N+")*12+($R47:$X47="Dm+")*12+($R47:$X47="Dt+")*12+($R47:$X47="Tm-")*6+($R47:$X47="Mt-")*6)</f>
        <v/>
      </c>
      <c r="AY47" s="118">
        <f>AX47-MAX(0,IFERROR(INDEX(CADASTRO!$I$4:$I$80,MATCH($A47,CADASTRO!$A$4:$A$80,0)),$B47)-CONFIG!$B$50*(COUNTIF($R47:$X47,"AB")+COUNTIF($R47:$X47,"FE")+COUNTIF($R47:$X47,"LM")))</f>
        <v/>
      </c>
      <c r="AZ47" s="117">
        <f>SUMPRODUCT(($Y47:$AE47="M")*6+($Y47:$AE47="T")*6+($Y47:$AE47="D")*12+($Y47:$AE47="N")*12+($Y47:$AE47="NT")*6+($Y47:$AE47="C")*10+($Y47:$AE47="A")*8+($Y47:$AE47="J")*5+($Y47:$AE47="CEP")*4+($Y47:$AE47="CP")*6+($Y47:$AE47="CRO")*6+($Y47:$AE47="M+")*6+($Y47:$AE47="T+")*6+($Y47:$AE47="D+")*12+($Y47:$AE47="N+")*12+($Y47:$AE47="Dm+")*12+($Y47:$AE47="Dt+")*12+($Y47:$AE47="Tm-")*6+($Y47:$AE47="Mt-")*6)</f>
        <v/>
      </c>
      <c r="BA47" s="118">
        <f>AZ47-MAX(0,IFERROR(INDEX(CADASTRO!$I$4:$I$80,MATCH($A47,CADASTRO!$A$4:$A$80,0)),$B47)-CONFIG!$B$50*(COUNTIF($Y47:$AE47,"AB")+COUNTIF($Y47:$AE47,"FE")+COUNTIF($Y47:$AE47,"LM")))</f>
        <v/>
      </c>
      <c r="BB47" s="117">
        <f>SUMPRODUCT(($AF47:$AL47="M")*6+($AF47:$AL47="T")*6+($AF47:$AL47="D")*12+($AF47:$AL47="N")*12+($AF47:$AL47="NT")*6+($AF47:$AL47="C")*10+($AF47:$AL47="A")*8+($AF47:$AL47="J")*5+($AF47:$AL47="CEP")*4+($AF47:$AL47="CP")*6+($AF47:$AL47="CRO")*6+($AF47:$AL47="M+")*6+($AF47:$AL47="T+")*6+($AF47:$AL47="D+")*12+($AF47:$AL47="N+")*12+($AF47:$AL47="Dm+")*12+($AF47:$AL47="Dt+")*12+($AF47:$AL47="Tm-")*6+($AF47:$AL47="Mt-")*6)</f>
        <v/>
      </c>
      <c r="BC47" s="118">
        <f>BB47-MAX(0,IFERROR(INDEX(CADASTRO!$I$4:$I$80,MATCH($A47,CADASTRO!$A$4:$A$80,0)),$B47)-CONFIG!$B$50*(COUNTIF($AF47:$AL47,"AB")+COUNTIF($AF47:$AL47,"FE")+COUNTIF($AF47:$AL47,"LM")))</f>
        <v/>
      </c>
      <c r="BD47" s="117">
        <f>SUMPRODUCT(($AM47:$AM47="M")*6+($AM47:$AM47="T")*6+($AM47:$AM47="D")*12+($AM47:$AM47="N")*12+($AM47:$AM47="NT")*6+($AM47:$AM47="C")*10+($AM47:$AM47="A")*8+($AM47:$AM47="J")*5+($AM47:$AM47="CEP")*4+($AM47:$AM47="CP")*6+($AM47:$AM47="CRO")*6+($AM47:$AM47="M+")*6+($AM47:$AM47="T+")*6+($AM47:$AM47="D+")*12+($AM47:$AM47="N+")*12+($AM47:$AM47="Dm+")*12+($AM47:$AM47="Dt+")*12+($AM47:$AM47="Tm-")*6+($AM47:$AM47="Mt-")*6)+SUMPRODUCT(($AN47:$AS47="M")*6+($AN47:$AS47="T")*6+($AN47:$AS47="D")*12+($AN47:$AS47="N")*12+($AN47:$AS47="NT")*6+($AN47:$AS47="C")*10+($AN47:$AS47="A")*8+($AN47:$AS47="J")*5+($AN47:$AS47="CEP")*4+($AN47:$AS47="CP")*6+($AN47:$AS47="CRO")*6+($AN47:$AS47="M+")*6+($AN47:$AS47="T+")*6+($AN47:$AS47="D+")*12+($AN47:$AS47="N+")*12+($AN47:$AS47="Dm+")*12+($AN47:$AS47="Dt+")*12+($AN47:$AS47="Tm-")*6+($AN47:$AS47="Mt-")*6)</f>
        <v/>
      </c>
      <c r="BE47" s="118">
        <f>BD47-MAX(0,IFERROR(INDEX(CADASTRO!$I$4:$I$80,MATCH($A47,CADASTRO!$A$4:$A$80,0)),$B47)-CONFIG!$B$50*(COUNTIF($AM47:$AM47,"AB")+COUNTIF($AM47:$AM47,"FE")+COUNTIF($AM47:$AM47,"LM")+COUNTIF($AN47:$AS47,"AB")+COUNTIF($AN47:$AS47,"FE")+COUNTIF($AN47:$AS47,"LM")))</f>
        <v/>
      </c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36">
        <f>IFERROR(INDEX(JUL!AI$8:AI$73,MATCH($A48,JUL!$A$8:$A$73,0))&amp;"","")</f>
        <v/>
      </c>
      <c r="E48" s="136">
        <f>IFERROR(INDEX(JUL!AJ$8:AJ$73,MATCH($A48,JUL!$A$8:$A$73,0))&amp;"","")</f>
        <v/>
      </c>
      <c r="F48" s="136">
        <f>IFERROR(INDEX(JUL!AK$8:AK$73,MATCH($A48,JUL!$A$8:$A$73,0))&amp;"","")</f>
        <v/>
      </c>
      <c r="G48" s="136">
        <f>IFERROR(INDEX(JUL!AL$8:AL$73,MATCH($A48,JUL!$A$8:$A$73,0))&amp;"","")</f>
        <v/>
      </c>
      <c r="H48" s="136">
        <f>IFERROR(INDEX(JUL!AM$8:AM$73,MATCH($A48,JUL!$A$8:$A$73,0))&amp;"","")</f>
        <v/>
      </c>
      <c r="I48" s="114" t="n"/>
      <c r="J48" s="138" t="inlineStr">
        <is>
          <t>LM</t>
        </is>
      </c>
      <c r="K48" s="114" t="n"/>
      <c r="L48" s="126" t="inlineStr">
        <is>
          <t>T</t>
        </is>
      </c>
      <c r="M48" s="114" t="n"/>
      <c r="N48" s="126" t="inlineStr">
        <is>
          <t>T</t>
        </is>
      </c>
      <c r="O48" s="126" t="inlineStr">
        <is>
          <t>T</t>
        </is>
      </c>
      <c r="P48" s="115" t="inlineStr">
        <is>
          <t>M</t>
        </is>
      </c>
      <c r="Q48" s="114" t="n"/>
      <c r="R48" s="114" t="n"/>
      <c r="S48" s="126" t="inlineStr">
        <is>
          <t>T</t>
        </is>
      </c>
      <c r="T48" s="114" t="n"/>
      <c r="U48" s="115" t="inlineStr">
        <is>
          <t>M</t>
        </is>
      </c>
      <c r="V48" s="126" t="inlineStr">
        <is>
          <t>T</t>
        </is>
      </c>
      <c r="W48" s="115" t="inlineStr">
        <is>
          <t>M</t>
        </is>
      </c>
      <c r="X48" s="114" t="n"/>
      <c r="Y48" s="114" t="n"/>
      <c r="Z48" s="126" t="inlineStr">
        <is>
          <t>T</t>
        </is>
      </c>
      <c r="AA48" s="114" t="n"/>
      <c r="AB48" s="126" t="inlineStr">
        <is>
          <t>T</t>
        </is>
      </c>
      <c r="AC48" s="126" t="inlineStr">
        <is>
          <t>T</t>
        </is>
      </c>
      <c r="AD48" s="115" t="inlineStr">
        <is>
          <t>M</t>
        </is>
      </c>
      <c r="AE48" s="114" t="n"/>
      <c r="AF48" s="114" t="n"/>
      <c r="AG48" s="114" t="n"/>
      <c r="AH48" s="114" t="n"/>
      <c r="AI48" s="115" t="inlineStr">
        <is>
          <t>M</t>
        </is>
      </c>
      <c r="AJ48" s="125" t="inlineStr">
        <is>
          <t>N</t>
        </is>
      </c>
      <c r="AK48" s="114" t="n"/>
      <c r="AL48" s="115" t="inlineStr">
        <is>
          <t>M</t>
        </is>
      </c>
      <c r="AM48" s="139" t="inlineStr">
        <is>
          <t>FE</t>
        </is>
      </c>
      <c r="AN48" s="136">
        <f>IFERROR(INDEX(SET!I$8:I$73,MATCH($A48,SET!$A$8:$A$73,0))&amp;"","")</f>
        <v/>
      </c>
      <c r="AO48" s="136">
        <f>IFERROR(INDEX(SET!J$8:J$73,MATCH($A48,SET!$A$8:$A$73,0))&amp;"","")</f>
        <v/>
      </c>
      <c r="AP48" s="136">
        <f>IFERROR(INDEX(SET!K$8:K$73,MATCH($A48,SET!$A$8:$A$73,0))&amp;"","")</f>
        <v/>
      </c>
      <c r="AQ48" s="136">
        <f>IFERROR(INDEX(SET!L$8:L$73,MATCH($A48,SET!$A$8:$A$73,0))&amp;"","")</f>
        <v/>
      </c>
      <c r="AR48" s="116">
        <f>IFERROR(INDEX(SET!M$8:M$73,MATCH($A48,SET!$A$8:$A$73,0))&amp;"","")</f>
        <v/>
      </c>
      <c r="AS48" s="116">
        <f>IFERROR(INDEX(SET!N$8:N$73,MATCH($A48,SET!$A$8:$A$73,0))&amp;"","")</f>
        <v/>
      </c>
      <c r="AT48" s="117">
        <f>SUMPRODUCT(($D48:$J48="M")*6+($D48:$J48="T")*6+($D48:$J48="D")*12+($D48:$J48="N")*12+($D48:$J48="NT")*6+($D48:$J48="C")*10+($D48:$J48="A")*8+($D48:$J48="J")*5+($D48:$J48="CEP")*4+($D48:$J48="CP")*6+($D48:$J48="CRO")*6+($D48:$J48="M+")*6+($D48:$J48="T+")*6+($D48:$J48="D+")*12+($D48:$J48="N+")*12+($D48:$J48="Dm+")*12+($D48:$J48="Dt+")*12+($D48:$J48="Tm-")*6+($D48:$J48="Mt-")*6)</f>
        <v/>
      </c>
      <c r="AU48" s="118">
        <f>AT48-MAX(0,IFERROR(INDEX(CADASTRO!$I$4:$I$80,MATCH($A48,CADASTRO!$A$4:$A$80,0)),$B48)-CONFIG!$B$50*(COUNTIF($D48:$J48,"AB")+COUNTIF($D48:$J48,"FE")+COUNTIF($D48:$J48,"LM")))</f>
        <v/>
      </c>
      <c r="AV48" s="117">
        <f>SUMPRODUCT(($K48:$Q48="M")*6+($K48:$Q48="T")*6+($K48:$Q48="D")*12+($K48:$Q48="N")*12+($K48:$Q48="NT")*6+($K48:$Q48="C")*10+($K48:$Q48="A")*8+($K48:$Q48="J")*5+($K48:$Q48="CEP")*4+($K48:$Q48="CP")*6+($K48:$Q48="CRO")*6+($K48:$Q48="M+")*6+($K48:$Q48="T+")*6+($K48:$Q48="D+")*12+($K48:$Q48="N+")*12+($K48:$Q48="Dm+")*12+($K48:$Q48="Dt+")*12+($K48:$Q48="Tm-")*6+($K48:$Q48="Mt-")*6)</f>
        <v/>
      </c>
      <c r="AW48" s="118">
        <f>AV48-MAX(0,IFERROR(INDEX(CADASTRO!$I$4:$I$80,MATCH($A48,CADASTRO!$A$4:$A$80,0)),$B48)-CONFIG!$B$50*(COUNTIF($K48:$Q48,"AB")+COUNTIF($K48:$Q48,"FE")+COUNTIF($K48:$Q48,"LM")))</f>
        <v/>
      </c>
      <c r="AX48" s="117">
        <f>SUMPRODUCT(($R48:$X48="M")*6+($R48:$X48="T")*6+($R48:$X48="D")*12+($R48:$X48="N")*12+($R48:$X48="NT")*6+($R48:$X48="C")*10+($R48:$X48="A")*8+($R48:$X48="J")*5+($R48:$X48="CEP")*4+($R48:$X48="CP")*6+($R48:$X48="CRO")*6+($R48:$X48="M+")*6+($R48:$X48="T+")*6+($R48:$X48="D+")*12+($R48:$X48="N+")*12+($R48:$X48="Dm+")*12+($R48:$X48="Dt+")*12+($R48:$X48="Tm-")*6+($R48:$X48="Mt-")*6)</f>
        <v/>
      </c>
      <c r="AY48" s="118">
        <f>AX48-MAX(0,IFERROR(INDEX(CADASTRO!$I$4:$I$80,MATCH($A48,CADASTRO!$A$4:$A$80,0)),$B48)-CONFIG!$B$50*(COUNTIF($R48:$X48,"AB")+COUNTIF($R48:$X48,"FE")+COUNTIF($R48:$X48,"LM")))</f>
        <v/>
      </c>
      <c r="AZ48" s="117">
        <f>SUMPRODUCT(($Y48:$AE48="M")*6+($Y48:$AE48="T")*6+($Y48:$AE48="D")*12+($Y48:$AE48="N")*12+($Y48:$AE48="NT")*6+($Y48:$AE48="C")*10+($Y48:$AE48="A")*8+($Y48:$AE48="J")*5+($Y48:$AE48="CEP")*4+($Y48:$AE48="CP")*6+($Y48:$AE48="CRO")*6+($Y48:$AE48="M+")*6+($Y48:$AE48="T+")*6+($Y48:$AE48="D+")*12+($Y48:$AE48="N+")*12+($Y48:$AE48="Dm+")*12+($Y48:$AE48="Dt+")*12+($Y48:$AE48="Tm-")*6+($Y48:$AE48="Mt-")*6)</f>
        <v/>
      </c>
      <c r="BA48" s="118">
        <f>AZ48-MAX(0,IFERROR(INDEX(CADASTRO!$I$4:$I$80,MATCH($A48,CADASTRO!$A$4:$A$80,0)),$B48)-CONFIG!$B$50*(COUNTIF($Y48:$AE48,"AB")+COUNTIF($Y48:$AE48,"FE")+COUNTIF($Y48:$AE48,"LM")))</f>
        <v/>
      </c>
      <c r="BB48" s="117">
        <f>SUMPRODUCT(($AF48:$AL48="M")*6+($AF48:$AL48="T")*6+($AF48:$AL48="D")*12+($AF48:$AL48="N")*12+($AF48:$AL48="NT")*6+($AF48:$AL48="C")*10+($AF48:$AL48="A")*8+($AF48:$AL48="J")*5+($AF48:$AL48="CEP")*4+($AF48:$AL48="CP")*6+($AF48:$AL48="CRO")*6+($AF48:$AL48="M+")*6+($AF48:$AL48="T+")*6+($AF48:$AL48="D+")*12+($AF48:$AL48="N+")*12+($AF48:$AL48="Dm+")*12+($AF48:$AL48="Dt+")*12+($AF48:$AL48="Tm-")*6+($AF48:$AL48="Mt-")*6)</f>
        <v/>
      </c>
      <c r="BC48" s="118">
        <f>BB48-MAX(0,IFERROR(INDEX(CADASTRO!$I$4:$I$80,MATCH($A48,CADASTRO!$A$4:$A$80,0)),$B48)-CONFIG!$B$50*(COUNTIF($AF48:$AL48,"AB")+COUNTIF($AF48:$AL48,"FE")+COUNTIF($AF48:$AL48,"LM")))</f>
        <v/>
      </c>
      <c r="BD48" s="117">
        <f>SUMPRODUCT(($AM48:$AM48="M")*6+($AM48:$AM48="T")*6+($AM48:$AM48="D")*12+($AM48:$AM48="N")*12+($AM48:$AM48="NT")*6+($AM48:$AM48="C")*10+($AM48:$AM48="A")*8+($AM48:$AM48="J")*5+($AM48:$AM48="CEP")*4+($AM48:$AM48="CP")*6+($AM48:$AM48="CRO")*6+($AM48:$AM48="M+")*6+($AM48:$AM48="T+")*6+($AM48:$AM48="D+")*12+($AM48:$AM48="N+")*12+($AM48:$AM48="Dm+")*12+($AM48:$AM48="Dt+")*12+($AM48:$AM48="Tm-")*6+($AM48:$AM48="Mt-")*6)+SUMPRODUCT(($AN48:$AS48="M")*6+($AN48:$AS48="T")*6+($AN48:$AS48="D")*12+($AN48:$AS48="N")*12+($AN48:$AS48="NT")*6+($AN48:$AS48="C")*10+($AN48:$AS48="A")*8+($AN48:$AS48="J")*5+($AN48:$AS48="CEP")*4+($AN48:$AS48="CP")*6+($AN48:$AS48="CRO")*6+($AN48:$AS48="M+")*6+($AN48:$AS48="T+")*6+($AN48:$AS48="D+")*12+($AN48:$AS48="N+")*12+($AN48:$AS48="Dm+")*12+($AN48:$AS48="Dt+")*12+($AN48:$AS48="Tm-")*6+($AN48:$AS48="Mt-")*6)</f>
        <v/>
      </c>
      <c r="BE48" s="118">
        <f>BD48-MAX(0,IFERROR(INDEX(CADASTRO!$I$4:$I$80,MATCH($A48,CADASTRO!$A$4:$A$80,0)),$B48)-CONFIG!$B$50*(COUNTIF($AM48:$AM48,"AB")+COUNTIF($AM48:$AM48,"FE")+COUNTIF($AM48:$AM48,"LM")+COUNTIF($AN48:$AS48,"AB")+COUNTIF($AN48:$AS48,"FE")+COUNTIF($AN48:$AS48,"LM")))</f>
        <v/>
      </c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36">
        <f>IFERROR(INDEX(JUL!AI$8:AI$73,MATCH($A49,JUL!$A$8:$A$73,0))&amp;"","")</f>
        <v/>
      </c>
      <c r="E49" s="136">
        <f>IFERROR(INDEX(JUL!AJ$8:AJ$73,MATCH($A49,JUL!$A$8:$A$73,0))&amp;"","")</f>
        <v/>
      </c>
      <c r="F49" s="136">
        <f>IFERROR(INDEX(JUL!AK$8:AK$73,MATCH($A49,JUL!$A$8:$A$73,0))&amp;"","")</f>
        <v/>
      </c>
      <c r="G49" s="136">
        <f>IFERROR(INDEX(JUL!AL$8:AL$73,MATCH($A49,JUL!$A$8:$A$73,0))&amp;"","")</f>
        <v/>
      </c>
      <c r="H49" s="136">
        <f>IFERROR(INDEX(JUL!AM$8:AM$73,MATCH($A49,JUL!$A$8:$A$73,0))&amp;"","")</f>
        <v/>
      </c>
      <c r="I49" s="114" t="n"/>
      <c r="J49" s="114" t="n"/>
      <c r="K49" s="114" t="n"/>
      <c r="L49" s="114" t="n"/>
      <c r="M49" s="124" t="inlineStr">
        <is>
          <t>D</t>
        </is>
      </c>
      <c r="N49" s="114" t="n"/>
      <c r="O49" s="114" t="n"/>
      <c r="P49" s="114" t="n"/>
      <c r="Q49" s="124" t="inlineStr">
        <is>
          <t>D</t>
        </is>
      </c>
      <c r="R49" s="114" t="n"/>
      <c r="S49" s="114" t="n"/>
      <c r="T49" s="114" t="n"/>
      <c r="U49" s="126" t="inlineStr">
        <is>
          <t>T</t>
        </is>
      </c>
      <c r="V49" s="114" t="n"/>
      <c r="W49" s="124" t="inlineStr">
        <is>
          <t>D</t>
        </is>
      </c>
      <c r="X49" s="126" t="inlineStr">
        <is>
          <t>T</t>
        </is>
      </c>
      <c r="Y49" s="114" t="n"/>
      <c r="Z49" s="114" t="n"/>
      <c r="AA49" s="124" t="inlineStr">
        <is>
          <t>D</t>
        </is>
      </c>
      <c r="AB49" s="114" t="n"/>
      <c r="AC49" s="125" t="inlineStr">
        <is>
          <t>N</t>
        </is>
      </c>
      <c r="AD49" s="114" t="n"/>
      <c r="AE49" s="114" t="n"/>
      <c r="AF49" s="124" t="inlineStr">
        <is>
          <t>D</t>
        </is>
      </c>
      <c r="AG49" s="114" t="n"/>
      <c r="AH49" s="124" t="inlineStr">
        <is>
          <t>D</t>
        </is>
      </c>
      <c r="AI49" s="114" t="n"/>
      <c r="AJ49" s="114" t="n"/>
      <c r="AK49" s="114" t="n"/>
      <c r="AL49" s="114" t="n"/>
      <c r="AM49" s="114" t="n"/>
      <c r="AN49" s="136">
        <f>IFERROR(INDEX(SET!I$8:I$73,MATCH($A49,SET!$A$8:$A$73,0))&amp;"","")</f>
        <v/>
      </c>
      <c r="AO49" s="136">
        <f>IFERROR(INDEX(SET!J$8:J$73,MATCH($A49,SET!$A$8:$A$73,0))&amp;"","")</f>
        <v/>
      </c>
      <c r="AP49" s="136">
        <f>IFERROR(INDEX(SET!K$8:K$73,MATCH($A49,SET!$A$8:$A$73,0))&amp;"","")</f>
        <v/>
      </c>
      <c r="AQ49" s="136">
        <f>IFERROR(INDEX(SET!L$8:L$73,MATCH($A49,SET!$A$8:$A$73,0))&amp;"","")</f>
        <v/>
      </c>
      <c r="AR49" s="116">
        <f>IFERROR(INDEX(SET!M$8:M$73,MATCH($A49,SET!$A$8:$A$73,0))&amp;"","")</f>
        <v/>
      </c>
      <c r="AS49" s="116">
        <f>IFERROR(INDEX(SET!N$8:N$73,MATCH($A49,SET!$A$8:$A$73,0))&amp;"","")</f>
        <v/>
      </c>
      <c r="AT49" s="117">
        <f>SUMPRODUCT(($D49:$J49="M")*6+($D49:$J49="T")*6+($D49:$J49="D")*12+($D49:$J49="N")*12+($D49:$J49="NT")*6+($D49:$J49="C")*10+($D49:$J49="A")*8+($D49:$J49="J")*5+($D49:$J49="CEP")*4+($D49:$J49="CP")*6+($D49:$J49="CRO")*6+($D49:$J49="M+")*6+($D49:$J49="T+")*6+($D49:$J49="D+")*12+($D49:$J49="N+")*12+($D49:$J49="Dm+")*12+($D49:$J49="Dt+")*12+($D49:$J49="Tm-")*6+($D49:$J49="Mt-")*6)</f>
        <v/>
      </c>
      <c r="AU49" s="118">
        <f>AT49-MAX(0,IFERROR(INDEX(CADASTRO!$I$4:$I$80,MATCH($A49,CADASTRO!$A$4:$A$80,0)),$B49)-CONFIG!$B$50*(COUNTIF($D49:$J49,"AB")+COUNTIF($D49:$J49,"FE")+COUNTIF($D49:$J49,"LM")))</f>
        <v/>
      </c>
      <c r="AV49" s="117">
        <f>SUMPRODUCT(($K49:$Q49="M")*6+($K49:$Q49="T")*6+($K49:$Q49="D")*12+($K49:$Q49="N")*12+($K49:$Q49="NT")*6+($K49:$Q49="C")*10+($K49:$Q49="A")*8+($K49:$Q49="J")*5+($K49:$Q49="CEP")*4+($K49:$Q49="CP")*6+($K49:$Q49="CRO")*6+($K49:$Q49="M+")*6+($K49:$Q49="T+")*6+($K49:$Q49="D+")*12+($K49:$Q49="N+")*12+($K49:$Q49="Dm+")*12+($K49:$Q49="Dt+")*12+($K49:$Q49="Tm-")*6+($K49:$Q49="Mt-")*6)</f>
        <v/>
      </c>
      <c r="AW49" s="118">
        <f>AV49-MAX(0,IFERROR(INDEX(CADASTRO!$I$4:$I$80,MATCH($A49,CADASTRO!$A$4:$A$80,0)),$B49)-CONFIG!$B$50*(COUNTIF($K49:$Q49,"AB")+COUNTIF($K49:$Q49,"FE")+COUNTIF($K49:$Q49,"LM")))</f>
        <v/>
      </c>
      <c r="AX49" s="117">
        <f>SUMPRODUCT(($R49:$X49="M")*6+($R49:$X49="T")*6+($R49:$X49="D")*12+($R49:$X49="N")*12+($R49:$X49="NT")*6+($R49:$X49="C")*10+($R49:$X49="A")*8+($R49:$X49="J")*5+($R49:$X49="CEP")*4+($R49:$X49="CP")*6+($R49:$X49="CRO")*6+($R49:$X49="M+")*6+($R49:$X49="T+")*6+($R49:$X49="D+")*12+($R49:$X49="N+")*12+($R49:$X49="Dm+")*12+($R49:$X49="Dt+")*12+($R49:$X49="Tm-")*6+($R49:$X49="Mt-")*6)</f>
        <v/>
      </c>
      <c r="AY49" s="118">
        <f>AX49-MAX(0,IFERROR(INDEX(CADASTRO!$I$4:$I$80,MATCH($A49,CADASTRO!$A$4:$A$80,0)),$B49)-CONFIG!$B$50*(COUNTIF($R49:$X49,"AB")+COUNTIF($R49:$X49,"FE")+COUNTIF($R49:$X49,"LM")))</f>
        <v/>
      </c>
      <c r="AZ49" s="117">
        <f>SUMPRODUCT(($Y49:$AE49="M")*6+($Y49:$AE49="T")*6+($Y49:$AE49="D")*12+($Y49:$AE49="N")*12+($Y49:$AE49="NT")*6+($Y49:$AE49="C")*10+($Y49:$AE49="A")*8+($Y49:$AE49="J")*5+($Y49:$AE49="CEP")*4+($Y49:$AE49="CP")*6+($Y49:$AE49="CRO")*6+($Y49:$AE49="M+")*6+($Y49:$AE49="T+")*6+($Y49:$AE49="D+")*12+($Y49:$AE49="N+")*12+($Y49:$AE49="Dm+")*12+($Y49:$AE49="Dt+")*12+($Y49:$AE49="Tm-")*6+($Y49:$AE49="Mt-")*6)</f>
        <v/>
      </c>
      <c r="BA49" s="118">
        <f>AZ49-MAX(0,IFERROR(INDEX(CADASTRO!$I$4:$I$80,MATCH($A49,CADASTRO!$A$4:$A$80,0)),$B49)-CONFIG!$B$50*(COUNTIF($Y49:$AE49,"AB")+COUNTIF($Y49:$AE49,"FE")+COUNTIF($Y49:$AE49,"LM")))</f>
        <v/>
      </c>
      <c r="BB49" s="117">
        <f>SUMPRODUCT(($AF49:$AL49="M")*6+($AF49:$AL49="T")*6+($AF49:$AL49="D")*12+($AF49:$AL49="N")*12+($AF49:$AL49="NT")*6+($AF49:$AL49="C")*10+($AF49:$AL49="A")*8+($AF49:$AL49="J")*5+($AF49:$AL49="CEP")*4+($AF49:$AL49="CP")*6+($AF49:$AL49="CRO")*6+($AF49:$AL49="M+")*6+($AF49:$AL49="T+")*6+($AF49:$AL49="D+")*12+($AF49:$AL49="N+")*12+($AF49:$AL49="Dm+")*12+($AF49:$AL49="Dt+")*12+($AF49:$AL49="Tm-")*6+($AF49:$AL49="Mt-")*6)</f>
        <v/>
      </c>
      <c r="BC49" s="118">
        <f>BB49-MAX(0,IFERROR(INDEX(CADASTRO!$I$4:$I$80,MATCH($A49,CADASTRO!$A$4:$A$80,0)),$B49)-CONFIG!$B$50*(COUNTIF($AF49:$AL49,"AB")+COUNTIF($AF49:$AL49,"FE")+COUNTIF($AF49:$AL49,"LM")))</f>
        <v/>
      </c>
      <c r="BD49" s="117">
        <f>SUMPRODUCT(($AM49:$AM49="M")*6+($AM49:$AM49="T")*6+($AM49:$AM49="D")*12+($AM49:$AM49="N")*12+($AM49:$AM49="NT")*6+($AM49:$AM49="C")*10+($AM49:$AM49="A")*8+($AM49:$AM49="J")*5+($AM49:$AM49="CEP")*4+($AM49:$AM49="CP")*6+($AM49:$AM49="CRO")*6+($AM49:$AM49="M+")*6+($AM49:$AM49="T+")*6+($AM49:$AM49="D+")*12+($AM49:$AM49="N+")*12+($AM49:$AM49="Dm+")*12+($AM49:$AM49="Dt+")*12+($AM49:$AM49="Tm-")*6+($AM49:$AM49="Mt-")*6)+SUMPRODUCT(($AN49:$AS49="M")*6+($AN49:$AS49="T")*6+($AN49:$AS49="D")*12+($AN49:$AS49="N")*12+($AN49:$AS49="NT")*6+($AN49:$AS49="C")*10+($AN49:$AS49="A")*8+($AN49:$AS49="J")*5+($AN49:$AS49="CEP")*4+($AN49:$AS49="CP")*6+($AN49:$AS49="CRO")*6+($AN49:$AS49="M+")*6+($AN49:$AS49="T+")*6+($AN49:$AS49="D+")*12+($AN49:$AS49="N+")*12+($AN49:$AS49="Dm+")*12+($AN49:$AS49="Dt+")*12+($AN49:$AS49="Tm-")*6+($AN49:$AS49="Mt-")*6)</f>
        <v/>
      </c>
      <c r="BE49" s="118">
        <f>BD49-MAX(0,IFERROR(INDEX(CADASTRO!$I$4:$I$80,MATCH($A49,CADASTRO!$A$4:$A$80,0)),$B49)-CONFIG!$B$50*(COUNTIF($AM49:$AM49,"AB")+COUNTIF($AM49:$AM49,"FE")+COUNTIF($AM49:$AM49,"LM")+COUNTIF($AN49:$AS49,"AB")+COUNTIF($AN49:$AS49,"FE")+COUNTIF($AN49:$AS49,"LM")))</f>
        <v/>
      </c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36">
        <f>IFERROR(INDEX(JUL!AI$8:AI$73,MATCH($A50,JUL!$A$8:$A$73,0))&amp;"","")</f>
        <v/>
      </c>
      <c r="E50" s="136">
        <f>IFERROR(INDEX(JUL!AJ$8:AJ$73,MATCH($A50,JUL!$A$8:$A$73,0))&amp;"","")</f>
        <v/>
      </c>
      <c r="F50" s="136">
        <f>IFERROR(INDEX(JUL!AK$8:AK$73,MATCH($A50,JUL!$A$8:$A$73,0))&amp;"","")</f>
        <v/>
      </c>
      <c r="G50" s="136">
        <f>IFERROR(INDEX(JUL!AL$8:AL$73,MATCH($A50,JUL!$A$8:$A$73,0))&amp;"","")</f>
        <v/>
      </c>
      <c r="H50" s="136">
        <f>IFERROR(INDEX(JUL!AM$8:AM$73,MATCH($A50,JUL!$A$8:$A$73,0))&amp;"","")</f>
        <v/>
      </c>
      <c r="I50" s="114" t="n"/>
      <c r="J50" s="114" t="n"/>
      <c r="K50" s="139" t="inlineStr">
        <is>
          <t>FE</t>
        </is>
      </c>
      <c r="L50" s="139" t="inlineStr">
        <is>
          <t>FE</t>
        </is>
      </c>
      <c r="M50" s="139" t="inlineStr">
        <is>
          <t>FE</t>
        </is>
      </c>
      <c r="N50" s="139" t="inlineStr">
        <is>
          <t>FE</t>
        </is>
      </c>
      <c r="O50" s="139" t="inlineStr">
        <is>
          <t>FE</t>
        </is>
      </c>
      <c r="P50" s="139" t="inlineStr">
        <is>
          <t>FE</t>
        </is>
      </c>
      <c r="Q50" s="139" t="inlineStr">
        <is>
          <t>FE</t>
        </is>
      </c>
      <c r="R50" s="139" t="inlineStr">
        <is>
          <t>FE</t>
        </is>
      </c>
      <c r="S50" s="139" t="inlineStr">
        <is>
          <t>FE</t>
        </is>
      </c>
      <c r="T50" s="139" t="inlineStr">
        <is>
          <t>FE</t>
        </is>
      </c>
      <c r="U50" s="139" t="inlineStr">
        <is>
          <t>FE</t>
        </is>
      </c>
      <c r="V50" s="139" t="inlineStr">
        <is>
          <t>FE</t>
        </is>
      </c>
      <c r="W50" s="139" t="inlineStr">
        <is>
          <t>FE</t>
        </is>
      </c>
      <c r="X50" s="139" t="inlineStr">
        <is>
          <t>FE</t>
        </is>
      </c>
      <c r="Y50" s="139" t="inlineStr">
        <is>
          <t>FE</t>
        </is>
      </c>
      <c r="Z50" s="124" t="inlineStr">
        <is>
          <t>D</t>
        </is>
      </c>
      <c r="AA50" s="125" t="inlineStr">
        <is>
          <t>N</t>
        </is>
      </c>
      <c r="AB50" s="114" t="n"/>
      <c r="AC50" s="114" t="n"/>
      <c r="AD50" s="114" t="n"/>
      <c r="AE50" s="114" t="n"/>
      <c r="AF50" s="114" t="n"/>
      <c r="AG50" s="114" t="n"/>
      <c r="AH50" s="114" t="n"/>
      <c r="AI50" s="114" t="n"/>
      <c r="AJ50" s="114" t="n"/>
      <c r="AK50" s="124" t="inlineStr">
        <is>
          <t>D</t>
        </is>
      </c>
      <c r="AL50" s="125" t="inlineStr">
        <is>
          <t>N</t>
        </is>
      </c>
      <c r="AM50" s="114" t="n"/>
      <c r="AN50" s="136">
        <f>IFERROR(INDEX(SET!I$8:I$73,MATCH($A50,SET!$A$8:$A$73,0))&amp;"","")</f>
        <v/>
      </c>
      <c r="AO50" s="136">
        <f>IFERROR(INDEX(SET!J$8:J$73,MATCH($A50,SET!$A$8:$A$73,0))&amp;"","")</f>
        <v/>
      </c>
      <c r="AP50" s="136">
        <f>IFERROR(INDEX(SET!K$8:K$73,MATCH($A50,SET!$A$8:$A$73,0))&amp;"","")</f>
        <v/>
      </c>
      <c r="AQ50" s="136">
        <f>IFERROR(INDEX(SET!L$8:L$73,MATCH($A50,SET!$A$8:$A$73,0))&amp;"","")</f>
        <v/>
      </c>
      <c r="AR50" s="116">
        <f>IFERROR(INDEX(SET!M$8:M$73,MATCH($A50,SET!$A$8:$A$73,0))&amp;"","")</f>
        <v/>
      </c>
      <c r="AS50" s="116">
        <f>IFERROR(INDEX(SET!N$8:N$73,MATCH($A50,SET!$A$8:$A$73,0))&amp;"","")</f>
        <v/>
      </c>
      <c r="AT50" s="117">
        <f>SUMPRODUCT(($D50:$J50="M")*6+($D50:$J50="T")*6+($D50:$J50="D")*12+($D50:$J50="N")*12+($D50:$J50="NT")*6+($D50:$J50="C")*10+($D50:$J50="A")*8+($D50:$J50="J")*5+($D50:$J50="CEP")*4+($D50:$J50="CP")*6+($D50:$J50="CRO")*6+($D50:$J50="M+")*6+($D50:$J50="T+")*6+($D50:$J50="D+")*12+($D50:$J50="N+")*12+($D50:$J50="Dm+")*12+($D50:$J50="Dt+")*12+($D50:$J50="Tm-")*6+($D50:$J50="Mt-")*6)</f>
        <v/>
      </c>
      <c r="AU50" s="118">
        <f>AT50-MAX(0,IFERROR(INDEX(CADASTRO!$I$4:$I$80,MATCH($A50,CADASTRO!$A$4:$A$80,0)),$B50)-CONFIG!$B$50*(COUNTIF($D50:$J50,"AB")+COUNTIF($D50:$J50,"FE")+COUNTIF($D50:$J50,"LM")))</f>
        <v/>
      </c>
      <c r="AV50" s="117">
        <f>SUMPRODUCT(($K50:$Q50="M")*6+($K50:$Q50="T")*6+($K50:$Q50="D")*12+($K50:$Q50="N")*12+($K50:$Q50="NT")*6+($K50:$Q50="C")*10+($K50:$Q50="A")*8+($K50:$Q50="J")*5+($K50:$Q50="CEP")*4+($K50:$Q50="CP")*6+($K50:$Q50="CRO")*6+($K50:$Q50="M+")*6+($K50:$Q50="T+")*6+($K50:$Q50="D+")*12+($K50:$Q50="N+")*12+($K50:$Q50="Dm+")*12+($K50:$Q50="Dt+")*12+($K50:$Q50="Tm-")*6+($K50:$Q50="Mt-")*6)</f>
        <v/>
      </c>
      <c r="AW50" s="118">
        <f>AV50-MAX(0,IFERROR(INDEX(CADASTRO!$I$4:$I$80,MATCH($A50,CADASTRO!$A$4:$A$80,0)),$B50)-CONFIG!$B$50*(COUNTIF($K50:$Q50,"AB")+COUNTIF($K50:$Q50,"FE")+COUNTIF($K50:$Q50,"LM")))</f>
        <v/>
      </c>
      <c r="AX50" s="117">
        <f>SUMPRODUCT(($R50:$X50="M")*6+($R50:$X50="T")*6+($R50:$X50="D")*12+($R50:$X50="N")*12+($R50:$X50="NT")*6+($R50:$X50="C")*10+($R50:$X50="A")*8+($R50:$X50="J")*5+($R50:$X50="CEP")*4+($R50:$X50="CP")*6+($R50:$X50="CRO")*6+($R50:$X50="M+")*6+($R50:$X50="T+")*6+($R50:$X50="D+")*12+($R50:$X50="N+")*12+($R50:$X50="Dm+")*12+($R50:$X50="Dt+")*12+($R50:$X50="Tm-")*6+($R50:$X50="Mt-")*6)</f>
        <v/>
      </c>
      <c r="AY50" s="118">
        <f>AX50-MAX(0,IFERROR(INDEX(CADASTRO!$I$4:$I$80,MATCH($A50,CADASTRO!$A$4:$A$80,0)),$B50)-CONFIG!$B$50*(COUNTIF($R50:$X50,"AB")+COUNTIF($R50:$X50,"FE")+COUNTIF($R50:$X50,"LM")))</f>
        <v/>
      </c>
      <c r="AZ50" s="117">
        <f>SUMPRODUCT(($Y50:$AE50="M")*6+($Y50:$AE50="T")*6+($Y50:$AE50="D")*12+($Y50:$AE50="N")*12+($Y50:$AE50="NT")*6+($Y50:$AE50="C")*10+($Y50:$AE50="A")*8+($Y50:$AE50="J")*5+($Y50:$AE50="CEP")*4+($Y50:$AE50="CP")*6+($Y50:$AE50="CRO")*6+($Y50:$AE50="M+")*6+($Y50:$AE50="T+")*6+($Y50:$AE50="D+")*12+($Y50:$AE50="N+")*12+($Y50:$AE50="Dm+")*12+($Y50:$AE50="Dt+")*12+($Y50:$AE50="Tm-")*6+($Y50:$AE50="Mt-")*6)</f>
        <v/>
      </c>
      <c r="BA50" s="118">
        <f>AZ50-MAX(0,IFERROR(INDEX(CADASTRO!$I$4:$I$80,MATCH($A50,CADASTRO!$A$4:$A$80,0)),$B50)-CONFIG!$B$50*(COUNTIF($Y50:$AE50,"AB")+COUNTIF($Y50:$AE50,"FE")+COUNTIF($Y50:$AE50,"LM")))</f>
        <v/>
      </c>
      <c r="BB50" s="117">
        <f>SUMPRODUCT(($AF50:$AL50="M")*6+($AF50:$AL50="T")*6+($AF50:$AL50="D")*12+($AF50:$AL50="N")*12+($AF50:$AL50="NT")*6+($AF50:$AL50="C")*10+($AF50:$AL50="A")*8+($AF50:$AL50="J")*5+($AF50:$AL50="CEP")*4+($AF50:$AL50="CP")*6+($AF50:$AL50="CRO")*6+($AF50:$AL50="M+")*6+($AF50:$AL50="T+")*6+($AF50:$AL50="D+")*12+($AF50:$AL50="N+")*12+($AF50:$AL50="Dm+")*12+($AF50:$AL50="Dt+")*12+($AF50:$AL50="Tm-")*6+($AF50:$AL50="Mt-")*6)</f>
        <v/>
      </c>
      <c r="BC50" s="118">
        <f>BB50-MAX(0,IFERROR(INDEX(CADASTRO!$I$4:$I$80,MATCH($A50,CADASTRO!$A$4:$A$80,0)),$B50)-CONFIG!$B$50*(COUNTIF($AF50:$AL50,"AB")+COUNTIF($AF50:$AL50,"FE")+COUNTIF($AF50:$AL50,"LM")))</f>
        <v/>
      </c>
      <c r="BD50" s="117">
        <f>SUMPRODUCT(($AM50:$AM50="M")*6+($AM50:$AM50="T")*6+($AM50:$AM50="D")*12+($AM50:$AM50="N")*12+($AM50:$AM50="NT")*6+($AM50:$AM50="C")*10+($AM50:$AM50="A")*8+($AM50:$AM50="J")*5+($AM50:$AM50="CEP")*4+($AM50:$AM50="CP")*6+($AM50:$AM50="CRO")*6+($AM50:$AM50="M+")*6+($AM50:$AM50="T+")*6+($AM50:$AM50="D+")*12+($AM50:$AM50="N+")*12+($AM50:$AM50="Dm+")*12+($AM50:$AM50="Dt+")*12+($AM50:$AM50="Tm-")*6+($AM50:$AM50="Mt-")*6)+SUMPRODUCT(($AN50:$AS50="M")*6+($AN50:$AS50="T")*6+($AN50:$AS50="D")*12+($AN50:$AS50="N")*12+($AN50:$AS50="NT")*6+($AN50:$AS50="C")*10+($AN50:$AS50="A")*8+($AN50:$AS50="J")*5+($AN50:$AS50="CEP")*4+($AN50:$AS50="CP")*6+($AN50:$AS50="CRO")*6+($AN50:$AS50="M+")*6+($AN50:$AS50="T+")*6+($AN50:$AS50="D+")*12+($AN50:$AS50="N+")*12+($AN50:$AS50="Dm+")*12+($AN50:$AS50="Dt+")*12+($AN50:$AS50="Tm-")*6+($AN50:$AS50="Mt-")*6)</f>
        <v/>
      </c>
      <c r="BE50" s="118">
        <f>BD50-MAX(0,IFERROR(INDEX(CADASTRO!$I$4:$I$80,MATCH($A50,CADASTRO!$A$4:$A$80,0)),$B50)-CONFIG!$B$50*(COUNTIF($AM50:$AM50,"AB")+COUNTIF($AM50:$AM50,"FE")+COUNTIF($AM50:$AM50,"LM")+COUNTIF($AN50:$AS50,"AB")+COUNTIF($AN50:$AS50,"FE")+COUNTIF($AN50:$AS50,"LM")))</f>
        <v/>
      </c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36">
        <f>IFERROR(INDEX(JUL!AI$8:AI$73,MATCH($A51,JUL!$A$8:$A$73,0))&amp;"","")</f>
        <v/>
      </c>
      <c r="E51" s="136">
        <f>IFERROR(INDEX(JUL!AJ$8:AJ$73,MATCH($A51,JUL!$A$8:$A$73,0))&amp;"","")</f>
        <v/>
      </c>
      <c r="F51" s="136">
        <f>IFERROR(INDEX(JUL!AK$8:AK$73,MATCH($A51,JUL!$A$8:$A$73,0))&amp;"","")</f>
        <v/>
      </c>
      <c r="G51" s="136">
        <f>IFERROR(INDEX(JUL!AL$8:AL$73,MATCH($A51,JUL!$A$8:$A$73,0))&amp;"","")</f>
        <v/>
      </c>
      <c r="H51" s="136">
        <f>IFERROR(INDEX(JUL!AM$8:AM$73,MATCH($A51,JUL!$A$8:$A$73,0))&amp;"","")</f>
        <v/>
      </c>
      <c r="I51" s="138" t="inlineStr">
        <is>
          <t>LM</t>
        </is>
      </c>
      <c r="J51" s="138" t="inlineStr">
        <is>
          <t>LM</t>
        </is>
      </c>
      <c r="K51" s="138" t="inlineStr">
        <is>
          <t>LM</t>
        </is>
      </c>
      <c r="L51" s="138" t="inlineStr">
        <is>
          <t>LM</t>
        </is>
      </c>
      <c r="M51" s="138" t="inlineStr">
        <is>
          <t>LM</t>
        </is>
      </c>
      <c r="N51" s="138" t="inlineStr">
        <is>
          <t>LM</t>
        </is>
      </c>
      <c r="O51" s="138" t="inlineStr">
        <is>
          <t>LM</t>
        </is>
      </c>
      <c r="P51" s="138" t="inlineStr">
        <is>
          <t>LM</t>
        </is>
      </c>
      <c r="Q51" s="138" t="inlineStr">
        <is>
          <t>LM</t>
        </is>
      </c>
      <c r="R51" s="138" t="inlineStr">
        <is>
          <t>LM</t>
        </is>
      </c>
      <c r="S51" s="138" t="inlineStr">
        <is>
          <t>LM</t>
        </is>
      </c>
      <c r="T51" s="138" t="inlineStr">
        <is>
          <t>LM</t>
        </is>
      </c>
      <c r="U51" s="138" t="inlineStr">
        <is>
          <t>LM</t>
        </is>
      </c>
      <c r="V51" s="138" t="inlineStr">
        <is>
          <t>LM</t>
        </is>
      </c>
      <c r="W51" s="138" t="inlineStr">
        <is>
          <t>LM</t>
        </is>
      </c>
      <c r="X51" s="138" t="inlineStr">
        <is>
          <t>LM</t>
        </is>
      </c>
      <c r="Y51" s="138" t="inlineStr">
        <is>
          <t>LM</t>
        </is>
      </c>
      <c r="Z51" s="138" t="inlineStr">
        <is>
          <t>LM</t>
        </is>
      </c>
      <c r="AA51" s="138" t="inlineStr">
        <is>
          <t>LM</t>
        </is>
      </c>
      <c r="AB51" s="138" t="inlineStr">
        <is>
          <t>LM</t>
        </is>
      </c>
      <c r="AC51" s="138" t="inlineStr">
        <is>
          <t>LM</t>
        </is>
      </c>
      <c r="AD51" s="138" t="inlineStr">
        <is>
          <t>LM</t>
        </is>
      </c>
      <c r="AE51" s="138" t="inlineStr">
        <is>
          <t>LM</t>
        </is>
      </c>
      <c r="AF51" s="138" t="inlineStr">
        <is>
          <t>LM</t>
        </is>
      </c>
      <c r="AG51" s="138" t="inlineStr">
        <is>
          <t>LM</t>
        </is>
      </c>
      <c r="AH51" s="138" t="inlineStr">
        <is>
          <t>LM</t>
        </is>
      </c>
      <c r="AI51" s="138" t="inlineStr">
        <is>
          <t>LM</t>
        </is>
      </c>
      <c r="AJ51" s="138" t="inlineStr">
        <is>
          <t>LM</t>
        </is>
      </c>
      <c r="AK51" s="138" t="inlineStr">
        <is>
          <t>LM</t>
        </is>
      </c>
      <c r="AL51" s="138" t="inlineStr">
        <is>
          <t>LM</t>
        </is>
      </c>
      <c r="AM51" s="138" t="inlineStr">
        <is>
          <t>LM</t>
        </is>
      </c>
      <c r="AN51" s="136">
        <f>IFERROR(INDEX(SET!I$8:I$73,MATCH($A51,SET!$A$8:$A$73,0))&amp;"","")</f>
        <v/>
      </c>
      <c r="AO51" s="136">
        <f>IFERROR(INDEX(SET!J$8:J$73,MATCH($A51,SET!$A$8:$A$73,0))&amp;"","")</f>
        <v/>
      </c>
      <c r="AP51" s="136">
        <f>IFERROR(INDEX(SET!K$8:K$73,MATCH($A51,SET!$A$8:$A$73,0))&amp;"","")</f>
        <v/>
      </c>
      <c r="AQ51" s="136">
        <f>IFERROR(INDEX(SET!L$8:L$73,MATCH($A51,SET!$A$8:$A$73,0))&amp;"","")</f>
        <v/>
      </c>
      <c r="AR51" s="116">
        <f>IFERROR(INDEX(SET!M$8:M$73,MATCH($A51,SET!$A$8:$A$73,0))&amp;"","")</f>
        <v/>
      </c>
      <c r="AS51" s="116">
        <f>IFERROR(INDEX(SET!N$8:N$73,MATCH($A51,SET!$A$8:$A$73,0))&amp;"","")</f>
        <v/>
      </c>
      <c r="AT51" s="117">
        <f>SUMPRODUCT(($D51:$J51="M")*6+($D51:$J51="T")*6+($D51:$J51="D")*12+($D51:$J51="N")*12+($D51:$J51="NT")*6+($D51:$J51="C")*10+($D51:$J51="A")*8+($D51:$J51="J")*5+($D51:$J51="CEP")*4+($D51:$J51="CP")*6+($D51:$J51="CRO")*6+($D51:$J51="M+")*6+($D51:$J51="T+")*6+($D51:$J51="D+")*12+($D51:$J51="N+")*12+($D51:$J51="Dm+")*12+($D51:$J51="Dt+")*12+($D51:$J51="Tm-")*6+($D51:$J51="Mt-")*6)</f>
        <v/>
      </c>
      <c r="AU51" s="118">
        <f>AT51-MAX(0,IFERROR(INDEX(CADASTRO!$I$4:$I$80,MATCH($A51,CADASTRO!$A$4:$A$80,0)),$B51)-CONFIG!$B$50*(COUNTIF($D51:$J51,"AB")+COUNTIF($D51:$J51,"FE")+COUNTIF($D51:$J51,"LM")))</f>
        <v/>
      </c>
      <c r="AV51" s="117">
        <f>SUMPRODUCT(($K51:$Q51="M")*6+($K51:$Q51="T")*6+($K51:$Q51="D")*12+($K51:$Q51="N")*12+($K51:$Q51="NT")*6+($K51:$Q51="C")*10+($K51:$Q51="A")*8+($K51:$Q51="J")*5+($K51:$Q51="CEP")*4+($K51:$Q51="CP")*6+($K51:$Q51="CRO")*6+($K51:$Q51="M+")*6+($K51:$Q51="T+")*6+($K51:$Q51="D+")*12+($K51:$Q51="N+")*12+($K51:$Q51="Dm+")*12+($K51:$Q51="Dt+")*12+($K51:$Q51="Tm-")*6+($K51:$Q51="Mt-")*6)</f>
        <v/>
      </c>
      <c r="AW51" s="118">
        <f>AV51-MAX(0,IFERROR(INDEX(CADASTRO!$I$4:$I$80,MATCH($A51,CADASTRO!$A$4:$A$80,0)),$B51)-CONFIG!$B$50*(COUNTIF($K51:$Q51,"AB")+COUNTIF($K51:$Q51,"FE")+COUNTIF($K51:$Q51,"LM")))</f>
        <v/>
      </c>
      <c r="AX51" s="117">
        <f>SUMPRODUCT(($R51:$X51="M")*6+($R51:$X51="T")*6+($R51:$X51="D")*12+($R51:$X51="N")*12+($R51:$X51="NT")*6+($R51:$X51="C")*10+($R51:$X51="A")*8+($R51:$X51="J")*5+($R51:$X51="CEP")*4+($R51:$X51="CP")*6+($R51:$X51="CRO")*6+($R51:$X51="M+")*6+($R51:$X51="T+")*6+($R51:$X51="D+")*12+($R51:$X51="N+")*12+($R51:$X51="Dm+")*12+($R51:$X51="Dt+")*12+($R51:$X51="Tm-")*6+($R51:$X51="Mt-")*6)</f>
        <v/>
      </c>
      <c r="AY51" s="118">
        <f>AX51-MAX(0,IFERROR(INDEX(CADASTRO!$I$4:$I$80,MATCH($A51,CADASTRO!$A$4:$A$80,0)),$B51)-CONFIG!$B$50*(COUNTIF($R51:$X51,"AB")+COUNTIF($R51:$X51,"FE")+COUNTIF($R51:$X51,"LM")))</f>
        <v/>
      </c>
      <c r="AZ51" s="117">
        <f>SUMPRODUCT(($Y51:$AE51="M")*6+($Y51:$AE51="T")*6+($Y51:$AE51="D")*12+($Y51:$AE51="N")*12+($Y51:$AE51="NT")*6+($Y51:$AE51="C")*10+($Y51:$AE51="A")*8+($Y51:$AE51="J")*5+($Y51:$AE51="CEP")*4+($Y51:$AE51="CP")*6+($Y51:$AE51="CRO")*6+($Y51:$AE51="M+")*6+($Y51:$AE51="T+")*6+($Y51:$AE51="D+")*12+($Y51:$AE51="N+")*12+($Y51:$AE51="Dm+")*12+($Y51:$AE51="Dt+")*12+($Y51:$AE51="Tm-")*6+($Y51:$AE51="Mt-")*6)</f>
        <v/>
      </c>
      <c r="BA51" s="118">
        <f>AZ51-MAX(0,IFERROR(INDEX(CADASTRO!$I$4:$I$80,MATCH($A51,CADASTRO!$A$4:$A$80,0)),$B51)-CONFIG!$B$50*(COUNTIF($Y51:$AE51,"AB")+COUNTIF($Y51:$AE51,"FE")+COUNTIF($Y51:$AE51,"LM")))</f>
        <v/>
      </c>
      <c r="BB51" s="117">
        <f>SUMPRODUCT(($AF51:$AL51="M")*6+($AF51:$AL51="T")*6+($AF51:$AL51="D")*12+($AF51:$AL51="N")*12+($AF51:$AL51="NT")*6+($AF51:$AL51="C")*10+($AF51:$AL51="A")*8+($AF51:$AL51="J")*5+($AF51:$AL51="CEP")*4+($AF51:$AL51="CP")*6+($AF51:$AL51="CRO")*6+($AF51:$AL51="M+")*6+($AF51:$AL51="T+")*6+($AF51:$AL51="D+")*12+($AF51:$AL51="N+")*12+($AF51:$AL51="Dm+")*12+($AF51:$AL51="Dt+")*12+($AF51:$AL51="Tm-")*6+($AF51:$AL51="Mt-")*6)</f>
        <v/>
      </c>
      <c r="BC51" s="118">
        <f>BB51-MAX(0,IFERROR(INDEX(CADASTRO!$I$4:$I$80,MATCH($A51,CADASTRO!$A$4:$A$80,0)),$B51)-CONFIG!$B$50*(COUNTIF($AF51:$AL51,"AB")+COUNTIF($AF51:$AL51,"FE")+COUNTIF($AF51:$AL51,"LM")))</f>
        <v/>
      </c>
      <c r="BD51" s="117">
        <f>SUMPRODUCT(($AM51:$AM51="M")*6+($AM51:$AM51="T")*6+($AM51:$AM51="D")*12+($AM51:$AM51="N")*12+($AM51:$AM51="NT")*6+($AM51:$AM51="C")*10+($AM51:$AM51="A")*8+($AM51:$AM51="J")*5+($AM51:$AM51="CEP")*4+($AM51:$AM51="CP")*6+($AM51:$AM51="CRO")*6+($AM51:$AM51="M+")*6+($AM51:$AM51="T+")*6+($AM51:$AM51="D+")*12+($AM51:$AM51="N+")*12+($AM51:$AM51="Dm+")*12+($AM51:$AM51="Dt+")*12+($AM51:$AM51="Tm-")*6+($AM51:$AM51="Mt-")*6)+SUMPRODUCT(($AN51:$AS51="M")*6+($AN51:$AS51="T")*6+($AN51:$AS51="D")*12+($AN51:$AS51="N")*12+($AN51:$AS51="NT")*6+($AN51:$AS51="C")*10+($AN51:$AS51="A")*8+($AN51:$AS51="J")*5+($AN51:$AS51="CEP")*4+($AN51:$AS51="CP")*6+($AN51:$AS51="CRO")*6+($AN51:$AS51="M+")*6+($AN51:$AS51="T+")*6+($AN51:$AS51="D+")*12+($AN51:$AS51="N+")*12+($AN51:$AS51="Dm+")*12+($AN51:$AS51="Dt+")*12+($AN51:$AS51="Tm-")*6+($AN51:$AS51="Mt-")*6)</f>
        <v/>
      </c>
      <c r="BE51" s="118">
        <f>BD51-MAX(0,IFERROR(INDEX(CADASTRO!$I$4:$I$80,MATCH($A51,CADASTRO!$A$4:$A$80,0)),$B51)-CONFIG!$B$50*(COUNTIF($AM51:$AM51,"AB")+COUNTIF($AM51:$AM51,"FE")+COUNTIF($AM51:$AM51,"LM")+COUNTIF($AN51:$AS51,"AB")+COUNTIF($AN51:$AS51,"FE")+COUNTIF($AN51:$AS51,"LM")))</f>
        <v/>
      </c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36">
        <f>IFERROR(INDEX(JUL!AI$8:AI$73,MATCH($A52,JUL!$A$8:$A$73,0))&amp;"","")</f>
        <v/>
      </c>
      <c r="E52" s="136">
        <f>IFERROR(INDEX(JUL!AJ$8:AJ$73,MATCH($A52,JUL!$A$8:$A$73,0))&amp;"","")</f>
        <v/>
      </c>
      <c r="F52" s="136">
        <f>IFERROR(INDEX(JUL!AK$8:AK$73,MATCH($A52,JUL!$A$8:$A$73,0))&amp;"","")</f>
        <v/>
      </c>
      <c r="G52" s="136">
        <f>IFERROR(INDEX(JUL!AL$8:AL$73,MATCH($A52,JUL!$A$8:$A$73,0))&amp;"","")</f>
        <v/>
      </c>
      <c r="H52" s="136">
        <f>IFERROR(INDEX(JUL!AM$8:AM$73,MATCH($A52,JUL!$A$8:$A$73,0))&amp;"","")</f>
        <v/>
      </c>
      <c r="I52" s="125" t="inlineStr">
        <is>
          <t>N</t>
        </is>
      </c>
      <c r="J52" s="114" t="n"/>
      <c r="K52" s="125" t="inlineStr">
        <is>
          <t>N</t>
        </is>
      </c>
      <c r="L52" s="114" t="n"/>
      <c r="M52" s="114" t="n"/>
      <c r="N52" s="114" t="n"/>
      <c r="O52" s="114" t="n"/>
      <c r="P52" s="125" t="inlineStr">
        <is>
          <t>N</t>
        </is>
      </c>
      <c r="Q52" s="114" t="n"/>
      <c r="R52" s="114" t="n"/>
      <c r="S52" s="114" t="n"/>
      <c r="T52" s="125" t="inlineStr">
        <is>
          <t>N</t>
        </is>
      </c>
      <c r="U52" s="114" t="n"/>
      <c r="V52" s="125" t="inlineStr">
        <is>
          <t>N</t>
        </is>
      </c>
      <c r="W52" s="114" t="n"/>
      <c r="X52" s="114" t="n"/>
      <c r="Y52" s="139" t="inlineStr">
        <is>
          <t>FE</t>
        </is>
      </c>
      <c r="Z52" s="139" t="inlineStr">
        <is>
          <t>FE</t>
        </is>
      </c>
      <c r="AA52" s="139" t="inlineStr">
        <is>
          <t>FE</t>
        </is>
      </c>
      <c r="AB52" s="139" t="inlineStr">
        <is>
          <t>FE</t>
        </is>
      </c>
      <c r="AC52" s="139" t="inlineStr">
        <is>
          <t>FE</t>
        </is>
      </c>
      <c r="AD52" s="139" t="inlineStr">
        <is>
          <t>FE</t>
        </is>
      </c>
      <c r="AE52" s="139" t="inlineStr">
        <is>
          <t>FE</t>
        </is>
      </c>
      <c r="AF52" s="139" t="inlineStr">
        <is>
          <t>FE</t>
        </is>
      </c>
      <c r="AG52" s="139" t="inlineStr">
        <is>
          <t>FE</t>
        </is>
      </c>
      <c r="AH52" s="139" t="inlineStr">
        <is>
          <t>FE</t>
        </is>
      </c>
      <c r="AI52" s="139" t="inlineStr">
        <is>
          <t>FE</t>
        </is>
      </c>
      <c r="AJ52" s="139" t="inlineStr">
        <is>
          <t>FE</t>
        </is>
      </c>
      <c r="AK52" s="139" t="inlineStr">
        <is>
          <t>FE</t>
        </is>
      </c>
      <c r="AL52" s="139" t="inlineStr">
        <is>
          <t>FE</t>
        </is>
      </c>
      <c r="AM52" s="139" t="inlineStr">
        <is>
          <t>FE</t>
        </is>
      </c>
      <c r="AN52" s="136">
        <f>IFERROR(INDEX(SET!I$8:I$73,MATCH($A52,SET!$A$8:$A$73,0))&amp;"","")</f>
        <v/>
      </c>
      <c r="AO52" s="136">
        <f>IFERROR(INDEX(SET!J$8:J$73,MATCH($A52,SET!$A$8:$A$73,0))&amp;"","")</f>
        <v/>
      </c>
      <c r="AP52" s="136">
        <f>IFERROR(INDEX(SET!K$8:K$73,MATCH($A52,SET!$A$8:$A$73,0))&amp;"","")</f>
        <v/>
      </c>
      <c r="AQ52" s="136">
        <f>IFERROR(INDEX(SET!L$8:L$73,MATCH($A52,SET!$A$8:$A$73,0))&amp;"","")</f>
        <v/>
      </c>
      <c r="AR52" s="116">
        <f>IFERROR(INDEX(SET!M$8:M$73,MATCH($A52,SET!$A$8:$A$73,0))&amp;"","")</f>
        <v/>
      </c>
      <c r="AS52" s="116">
        <f>IFERROR(INDEX(SET!N$8:N$73,MATCH($A52,SET!$A$8:$A$73,0))&amp;"","")</f>
        <v/>
      </c>
      <c r="AT52" s="117">
        <f>SUMPRODUCT(($D52:$J52="M")*6+($D52:$J52="T")*6+($D52:$J52="D")*12+($D52:$J52="N")*12+($D52:$J52="NT")*6+($D52:$J52="C")*10+($D52:$J52="A")*8+($D52:$J52="J")*5+($D52:$J52="CEP")*4+($D52:$J52="CP")*6+($D52:$J52="CRO")*6+($D52:$J52="M+")*6+($D52:$J52="T+")*6+($D52:$J52="D+")*12+($D52:$J52="N+")*12+($D52:$J52="Dm+")*12+($D52:$J52="Dt+")*12+($D52:$J52="Tm-")*6+($D52:$J52="Mt-")*6)</f>
        <v/>
      </c>
      <c r="AU52" s="118">
        <f>AT52-MAX(0,IFERROR(INDEX(CADASTRO!$I$4:$I$80,MATCH($A52,CADASTRO!$A$4:$A$80,0)),$B52)-CONFIG!$B$50*(COUNTIF($D52:$J52,"AB")+COUNTIF($D52:$J52,"FE")+COUNTIF($D52:$J52,"LM")))</f>
        <v/>
      </c>
      <c r="AV52" s="117">
        <f>SUMPRODUCT(($K52:$Q52="M")*6+($K52:$Q52="T")*6+($K52:$Q52="D")*12+($K52:$Q52="N")*12+($K52:$Q52="NT")*6+($K52:$Q52="C")*10+($K52:$Q52="A")*8+($K52:$Q52="J")*5+($K52:$Q52="CEP")*4+($K52:$Q52="CP")*6+($K52:$Q52="CRO")*6+($K52:$Q52="M+")*6+($K52:$Q52="T+")*6+($K52:$Q52="D+")*12+($K52:$Q52="N+")*12+($K52:$Q52="Dm+")*12+($K52:$Q52="Dt+")*12+($K52:$Q52="Tm-")*6+($K52:$Q52="Mt-")*6)</f>
        <v/>
      </c>
      <c r="AW52" s="118">
        <f>AV52-MAX(0,IFERROR(INDEX(CADASTRO!$I$4:$I$80,MATCH($A52,CADASTRO!$A$4:$A$80,0)),$B52)-CONFIG!$B$50*(COUNTIF($K52:$Q52,"AB")+COUNTIF($K52:$Q52,"FE")+COUNTIF($K52:$Q52,"LM")))</f>
        <v/>
      </c>
      <c r="AX52" s="117">
        <f>SUMPRODUCT(($R52:$X52="M")*6+($R52:$X52="T")*6+($R52:$X52="D")*12+($R52:$X52="N")*12+($R52:$X52="NT")*6+($R52:$X52="C")*10+($R52:$X52="A")*8+($R52:$X52="J")*5+($R52:$X52="CEP")*4+($R52:$X52="CP")*6+($R52:$X52="CRO")*6+($R52:$X52="M+")*6+($R52:$X52="T+")*6+($R52:$X52="D+")*12+($R52:$X52="N+")*12+($R52:$X52="Dm+")*12+($R52:$X52="Dt+")*12+($R52:$X52="Tm-")*6+($R52:$X52="Mt-")*6)</f>
        <v/>
      </c>
      <c r="AY52" s="118">
        <f>AX52-MAX(0,IFERROR(INDEX(CADASTRO!$I$4:$I$80,MATCH($A52,CADASTRO!$A$4:$A$80,0)),$B52)-CONFIG!$B$50*(COUNTIF($R52:$X52,"AB")+COUNTIF($R52:$X52,"FE")+COUNTIF($R52:$X52,"LM")))</f>
        <v/>
      </c>
      <c r="AZ52" s="117">
        <f>SUMPRODUCT(($Y52:$AE52="M")*6+($Y52:$AE52="T")*6+($Y52:$AE52="D")*12+($Y52:$AE52="N")*12+($Y52:$AE52="NT")*6+($Y52:$AE52="C")*10+($Y52:$AE52="A")*8+($Y52:$AE52="J")*5+($Y52:$AE52="CEP")*4+($Y52:$AE52="CP")*6+($Y52:$AE52="CRO")*6+($Y52:$AE52="M+")*6+($Y52:$AE52="T+")*6+($Y52:$AE52="D+")*12+($Y52:$AE52="N+")*12+($Y52:$AE52="Dm+")*12+($Y52:$AE52="Dt+")*12+($Y52:$AE52="Tm-")*6+($Y52:$AE52="Mt-")*6)</f>
        <v/>
      </c>
      <c r="BA52" s="118">
        <f>AZ52-MAX(0,IFERROR(INDEX(CADASTRO!$I$4:$I$80,MATCH($A52,CADASTRO!$A$4:$A$80,0)),$B52)-CONFIG!$B$50*(COUNTIF($Y52:$AE52,"AB")+COUNTIF($Y52:$AE52,"FE")+COUNTIF($Y52:$AE52,"LM")))</f>
        <v/>
      </c>
      <c r="BB52" s="117">
        <f>SUMPRODUCT(($AF52:$AL52="M")*6+($AF52:$AL52="T")*6+($AF52:$AL52="D")*12+($AF52:$AL52="N")*12+($AF52:$AL52="NT")*6+($AF52:$AL52="C")*10+($AF52:$AL52="A")*8+($AF52:$AL52="J")*5+($AF52:$AL52="CEP")*4+($AF52:$AL52="CP")*6+($AF52:$AL52="CRO")*6+($AF52:$AL52="M+")*6+($AF52:$AL52="T+")*6+($AF52:$AL52="D+")*12+($AF52:$AL52="N+")*12+($AF52:$AL52="Dm+")*12+($AF52:$AL52="Dt+")*12+($AF52:$AL52="Tm-")*6+($AF52:$AL52="Mt-")*6)</f>
        <v/>
      </c>
      <c r="BC52" s="118">
        <f>BB52-MAX(0,IFERROR(INDEX(CADASTRO!$I$4:$I$80,MATCH($A52,CADASTRO!$A$4:$A$80,0)),$B52)-CONFIG!$B$50*(COUNTIF($AF52:$AL52,"AB")+COUNTIF($AF52:$AL52,"FE")+COUNTIF($AF52:$AL52,"LM")))</f>
        <v/>
      </c>
      <c r="BD52" s="117">
        <f>SUMPRODUCT(($AM52:$AM52="M")*6+($AM52:$AM52="T")*6+($AM52:$AM52="D")*12+($AM52:$AM52="N")*12+($AM52:$AM52="NT")*6+($AM52:$AM52="C")*10+($AM52:$AM52="A")*8+($AM52:$AM52="J")*5+($AM52:$AM52="CEP")*4+($AM52:$AM52="CP")*6+($AM52:$AM52="CRO")*6+($AM52:$AM52="M+")*6+($AM52:$AM52="T+")*6+($AM52:$AM52="D+")*12+($AM52:$AM52="N+")*12+($AM52:$AM52="Dm+")*12+($AM52:$AM52="Dt+")*12+($AM52:$AM52="Tm-")*6+($AM52:$AM52="Mt-")*6)+SUMPRODUCT(($AN52:$AS52="M")*6+($AN52:$AS52="T")*6+($AN52:$AS52="D")*12+($AN52:$AS52="N")*12+($AN52:$AS52="NT")*6+($AN52:$AS52="C")*10+($AN52:$AS52="A")*8+($AN52:$AS52="J")*5+($AN52:$AS52="CEP")*4+($AN52:$AS52="CP")*6+($AN52:$AS52="CRO")*6+($AN52:$AS52="M+")*6+($AN52:$AS52="T+")*6+($AN52:$AS52="D+")*12+($AN52:$AS52="N+")*12+($AN52:$AS52="Dm+")*12+($AN52:$AS52="Dt+")*12+($AN52:$AS52="Tm-")*6+($AN52:$AS52="Mt-")*6)</f>
        <v/>
      </c>
      <c r="BE52" s="118">
        <f>BD52-MAX(0,IFERROR(INDEX(CADASTRO!$I$4:$I$80,MATCH($A52,CADASTRO!$A$4:$A$80,0)),$B52)-CONFIG!$B$50*(COUNTIF($AM52:$AM52,"AB")+COUNTIF($AM52:$AM52,"FE")+COUNTIF($AM52:$AM52,"LM")+COUNTIF($AN52:$AS52,"AB")+COUNTIF($AN52:$AS52,"FE")+COUNTIF($AN52:$AS52,"LM")))</f>
        <v/>
      </c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36">
        <f>IFERROR(INDEX(JUL!AI$8:AI$73,MATCH($A53,JUL!$A$8:$A$73,0))&amp;"","")</f>
        <v/>
      </c>
      <c r="E53" s="136">
        <f>IFERROR(INDEX(JUL!AJ$8:AJ$73,MATCH($A53,JUL!$A$8:$A$73,0))&amp;"","")</f>
        <v/>
      </c>
      <c r="F53" s="136">
        <f>IFERROR(INDEX(JUL!AK$8:AK$73,MATCH($A53,JUL!$A$8:$A$73,0))&amp;"","")</f>
        <v/>
      </c>
      <c r="G53" s="136">
        <f>IFERROR(INDEX(JUL!AL$8:AL$73,MATCH($A53,JUL!$A$8:$A$73,0))&amp;"","")</f>
        <v/>
      </c>
      <c r="H53" s="136">
        <f>IFERROR(INDEX(JUL!AM$8:AM$73,MATCH($A53,JUL!$A$8:$A$73,0))&amp;"","")</f>
        <v/>
      </c>
      <c r="I53" s="114" t="n"/>
      <c r="J53" s="125" t="inlineStr">
        <is>
          <t>N</t>
        </is>
      </c>
      <c r="K53" s="114" t="n"/>
      <c r="L53" s="125" t="inlineStr">
        <is>
          <t>N</t>
        </is>
      </c>
      <c r="M53" s="114" t="n"/>
      <c r="N53" s="114" t="n"/>
      <c r="O53" s="114" t="n"/>
      <c r="P53" s="125" t="inlineStr">
        <is>
          <t>N</t>
        </is>
      </c>
      <c r="Q53" s="114" t="n"/>
      <c r="R53" s="125" t="inlineStr">
        <is>
          <t>N</t>
        </is>
      </c>
      <c r="S53" s="125" t="inlineStr">
        <is>
          <t>N</t>
        </is>
      </c>
      <c r="T53" s="114" t="n"/>
      <c r="U53" s="114" t="n"/>
      <c r="V53" s="114" t="n"/>
      <c r="W53" s="114" t="n"/>
      <c r="X53" s="114" t="n"/>
      <c r="Y53" s="125" t="inlineStr">
        <is>
          <t>N</t>
        </is>
      </c>
      <c r="Z53" s="114" t="n"/>
      <c r="AA53" s="114" t="n"/>
      <c r="AB53" s="114" t="n"/>
      <c r="AC53" s="125" t="inlineStr">
        <is>
          <t>N</t>
        </is>
      </c>
      <c r="AD53" s="114" t="n"/>
      <c r="AE53" s="114" t="n"/>
      <c r="AF53" s="115" t="inlineStr">
        <is>
          <t>M</t>
        </is>
      </c>
      <c r="AG53" s="125" t="inlineStr">
        <is>
          <t>N</t>
        </is>
      </c>
      <c r="AH53" s="114" t="n"/>
      <c r="AI53" s="114" t="n"/>
      <c r="AJ53" s="114" t="n"/>
      <c r="AK53" s="115" t="inlineStr">
        <is>
          <t>M</t>
        </is>
      </c>
      <c r="AL53" s="114" t="n"/>
      <c r="AM53" s="114" t="n"/>
      <c r="AN53" s="136">
        <f>IFERROR(INDEX(SET!I$8:I$73,MATCH($A53,SET!$A$8:$A$73,0))&amp;"","")</f>
        <v/>
      </c>
      <c r="AO53" s="136">
        <f>IFERROR(INDEX(SET!J$8:J$73,MATCH($A53,SET!$A$8:$A$73,0))&amp;"","")</f>
        <v/>
      </c>
      <c r="AP53" s="136">
        <f>IFERROR(INDEX(SET!K$8:K$73,MATCH($A53,SET!$A$8:$A$73,0))&amp;"","")</f>
        <v/>
      </c>
      <c r="AQ53" s="136">
        <f>IFERROR(INDEX(SET!L$8:L$73,MATCH($A53,SET!$A$8:$A$73,0))&amp;"","")</f>
        <v/>
      </c>
      <c r="AR53" s="116">
        <f>IFERROR(INDEX(SET!M$8:M$73,MATCH($A53,SET!$A$8:$A$73,0))&amp;"","")</f>
        <v/>
      </c>
      <c r="AS53" s="116">
        <f>IFERROR(INDEX(SET!N$8:N$73,MATCH($A53,SET!$A$8:$A$73,0))&amp;"","")</f>
        <v/>
      </c>
      <c r="AT53" s="117">
        <f>SUMPRODUCT(($D53:$J53="M")*6+($D53:$J53="T")*6+($D53:$J53="D")*12+($D53:$J53="N")*12+($D53:$J53="NT")*6+($D53:$J53="C")*10+($D53:$J53="A")*8+($D53:$J53="J")*5+($D53:$J53="CEP")*4+($D53:$J53="CP")*6+($D53:$J53="CRO")*6+($D53:$J53="M+")*6+($D53:$J53="T+")*6+($D53:$J53="D+")*12+($D53:$J53="N+")*12+($D53:$J53="Dm+")*12+($D53:$J53="Dt+")*12+($D53:$J53="Tm-")*6+($D53:$J53="Mt-")*6)</f>
        <v/>
      </c>
      <c r="AU53" s="118">
        <f>AT53-MAX(0,IFERROR(INDEX(CADASTRO!$I$4:$I$80,MATCH($A53,CADASTRO!$A$4:$A$80,0)),$B53)-CONFIG!$B$50*(COUNTIF($D53:$J53,"AB")+COUNTIF($D53:$J53,"FE")+COUNTIF($D53:$J53,"LM")))</f>
        <v/>
      </c>
      <c r="AV53" s="117">
        <f>SUMPRODUCT(($K53:$Q53="M")*6+($K53:$Q53="T")*6+($K53:$Q53="D")*12+($K53:$Q53="N")*12+($K53:$Q53="NT")*6+($K53:$Q53="C")*10+($K53:$Q53="A")*8+($K53:$Q53="J")*5+($K53:$Q53="CEP")*4+($K53:$Q53="CP")*6+($K53:$Q53="CRO")*6+($K53:$Q53="M+")*6+($K53:$Q53="T+")*6+($K53:$Q53="D+")*12+($K53:$Q53="N+")*12+($K53:$Q53="Dm+")*12+($K53:$Q53="Dt+")*12+($K53:$Q53="Tm-")*6+($K53:$Q53="Mt-")*6)</f>
        <v/>
      </c>
      <c r="AW53" s="118">
        <f>AV53-MAX(0,IFERROR(INDEX(CADASTRO!$I$4:$I$80,MATCH($A53,CADASTRO!$A$4:$A$80,0)),$B53)-CONFIG!$B$50*(COUNTIF($K53:$Q53,"AB")+COUNTIF($K53:$Q53,"FE")+COUNTIF($K53:$Q53,"LM")))</f>
        <v/>
      </c>
      <c r="AX53" s="117">
        <f>SUMPRODUCT(($R53:$X53="M")*6+($R53:$X53="T")*6+($R53:$X53="D")*12+($R53:$X53="N")*12+($R53:$X53="NT")*6+($R53:$X53="C")*10+($R53:$X53="A")*8+($R53:$X53="J")*5+($R53:$X53="CEP")*4+($R53:$X53="CP")*6+($R53:$X53="CRO")*6+($R53:$X53="M+")*6+($R53:$X53="T+")*6+($R53:$X53="D+")*12+($R53:$X53="N+")*12+($R53:$X53="Dm+")*12+($R53:$X53="Dt+")*12+($R53:$X53="Tm-")*6+($R53:$X53="Mt-")*6)</f>
        <v/>
      </c>
      <c r="AY53" s="118">
        <f>AX53-MAX(0,IFERROR(INDEX(CADASTRO!$I$4:$I$80,MATCH($A53,CADASTRO!$A$4:$A$80,0)),$B53)-CONFIG!$B$50*(COUNTIF($R53:$X53,"AB")+COUNTIF($R53:$X53,"FE")+COUNTIF($R53:$X53,"LM")))</f>
        <v/>
      </c>
      <c r="AZ53" s="117">
        <f>SUMPRODUCT(($Y53:$AE53="M")*6+($Y53:$AE53="T")*6+($Y53:$AE53="D")*12+($Y53:$AE53="N")*12+($Y53:$AE53="NT")*6+($Y53:$AE53="C")*10+($Y53:$AE53="A")*8+($Y53:$AE53="J")*5+($Y53:$AE53="CEP")*4+($Y53:$AE53="CP")*6+($Y53:$AE53="CRO")*6+($Y53:$AE53="M+")*6+($Y53:$AE53="T+")*6+($Y53:$AE53="D+")*12+($Y53:$AE53="N+")*12+($Y53:$AE53="Dm+")*12+($Y53:$AE53="Dt+")*12+($Y53:$AE53="Tm-")*6+($Y53:$AE53="Mt-")*6)</f>
        <v/>
      </c>
      <c r="BA53" s="118">
        <f>AZ53-MAX(0,IFERROR(INDEX(CADASTRO!$I$4:$I$80,MATCH($A53,CADASTRO!$A$4:$A$80,0)),$B53)-CONFIG!$B$50*(COUNTIF($Y53:$AE53,"AB")+COUNTIF($Y53:$AE53,"FE")+COUNTIF($Y53:$AE53,"LM")))</f>
        <v/>
      </c>
      <c r="BB53" s="117">
        <f>SUMPRODUCT(($AF53:$AL53="M")*6+($AF53:$AL53="T")*6+($AF53:$AL53="D")*12+($AF53:$AL53="N")*12+($AF53:$AL53="NT")*6+($AF53:$AL53="C")*10+($AF53:$AL53="A")*8+($AF53:$AL53="J")*5+($AF53:$AL53="CEP")*4+($AF53:$AL53="CP")*6+($AF53:$AL53="CRO")*6+($AF53:$AL53="M+")*6+($AF53:$AL53="T+")*6+($AF53:$AL53="D+")*12+($AF53:$AL53="N+")*12+($AF53:$AL53="Dm+")*12+($AF53:$AL53="Dt+")*12+($AF53:$AL53="Tm-")*6+($AF53:$AL53="Mt-")*6)</f>
        <v/>
      </c>
      <c r="BC53" s="118">
        <f>BB53-MAX(0,IFERROR(INDEX(CADASTRO!$I$4:$I$80,MATCH($A53,CADASTRO!$A$4:$A$80,0)),$B53)-CONFIG!$B$50*(COUNTIF($AF53:$AL53,"AB")+COUNTIF($AF53:$AL53,"FE")+COUNTIF($AF53:$AL53,"LM")))</f>
        <v/>
      </c>
      <c r="BD53" s="117">
        <f>SUMPRODUCT(($AM53:$AM53="M")*6+($AM53:$AM53="T")*6+($AM53:$AM53="D")*12+($AM53:$AM53="N")*12+($AM53:$AM53="NT")*6+($AM53:$AM53="C")*10+($AM53:$AM53="A")*8+($AM53:$AM53="J")*5+($AM53:$AM53="CEP")*4+($AM53:$AM53="CP")*6+($AM53:$AM53="CRO")*6+($AM53:$AM53="M+")*6+($AM53:$AM53="T+")*6+($AM53:$AM53="D+")*12+($AM53:$AM53="N+")*12+($AM53:$AM53="Dm+")*12+($AM53:$AM53="Dt+")*12+($AM53:$AM53="Tm-")*6+($AM53:$AM53="Mt-")*6)+SUMPRODUCT(($AN53:$AS53="M")*6+($AN53:$AS53="T")*6+($AN53:$AS53="D")*12+($AN53:$AS53="N")*12+($AN53:$AS53="NT")*6+($AN53:$AS53="C")*10+($AN53:$AS53="A")*8+($AN53:$AS53="J")*5+($AN53:$AS53="CEP")*4+($AN53:$AS53="CP")*6+($AN53:$AS53="CRO")*6+($AN53:$AS53="M+")*6+($AN53:$AS53="T+")*6+($AN53:$AS53="D+")*12+($AN53:$AS53="N+")*12+($AN53:$AS53="Dm+")*12+($AN53:$AS53="Dt+")*12+($AN53:$AS53="Tm-")*6+($AN53:$AS53="Mt-")*6)</f>
        <v/>
      </c>
      <c r="BE53" s="118">
        <f>BD53-MAX(0,IFERROR(INDEX(CADASTRO!$I$4:$I$80,MATCH($A53,CADASTRO!$A$4:$A$80,0)),$B53)-CONFIG!$B$50*(COUNTIF($AM53:$AM53,"AB")+COUNTIF($AM53:$AM53,"FE")+COUNTIF($AM53:$AM53,"LM")+COUNTIF($AN53:$AS53,"AB")+COUNTIF($AN53:$AS53,"FE")+COUNTIF($AN53:$AS53,"LM")))</f>
        <v/>
      </c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36">
        <f>IFERROR(INDEX(JUL!AI$8:AI$73,MATCH($A54,JUL!$A$8:$A$73,0))&amp;"","")</f>
        <v/>
      </c>
      <c r="E54" s="136">
        <f>IFERROR(INDEX(JUL!AJ$8:AJ$73,MATCH($A54,JUL!$A$8:$A$73,0))&amp;"","")</f>
        <v/>
      </c>
      <c r="F54" s="136">
        <f>IFERROR(INDEX(JUL!AK$8:AK$73,MATCH($A54,JUL!$A$8:$A$73,0))&amp;"","")</f>
        <v/>
      </c>
      <c r="G54" s="136">
        <f>IFERROR(INDEX(JUL!AL$8:AL$73,MATCH($A54,JUL!$A$8:$A$73,0))&amp;"","")</f>
        <v/>
      </c>
      <c r="H54" s="136">
        <f>IFERROR(INDEX(JUL!AM$8:AM$73,MATCH($A54,JUL!$A$8:$A$73,0))&amp;"","")</f>
        <v/>
      </c>
      <c r="I54" s="125" t="inlineStr">
        <is>
          <t>N</t>
        </is>
      </c>
      <c r="J54" s="114" t="n"/>
      <c r="K54" s="114" t="n"/>
      <c r="L54" s="114" t="n"/>
      <c r="M54" s="114" t="n"/>
      <c r="N54" s="125" t="inlineStr">
        <is>
          <t>N</t>
        </is>
      </c>
      <c r="O54" s="114" t="n"/>
      <c r="P54" s="125" t="inlineStr">
        <is>
          <t>N</t>
        </is>
      </c>
      <c r="Q54" s="114" t="n"/>
      <c r="R54" s="114" t="n"/>
      <c r="S54" s="114" t="n"/>
      <c r="T54" s="114" t="n"/>
      <c r="U54" s="125" t="inlineStr">
        <is>
          <t>N</t>
        </is>
      </c>
      <c r="V54" s="114" t="n"/>
      <c r="W54" s="125" t="inlineStr">
        <is>
          <t>N</t>
        </is>
      </c>
      <c r="X54" s="114" t="n"/>
      <c r="Y54" s="114" t="n"/>
      <c r="Z54" s="114" t="n"/>
      <c r="AA54" s="114" t="n"/>
      <c r="AB54" s="125" t="inlineStr">
        <is>
          <t>N</t>
        </is>
      </c>
      <c r="AC54" s="114" t="n"/>
      <c r="AD54" s="125" t="inlineStr">
        <is>
          <t>N</t>
        </is>
      </c>
      <c r="AE54" s="114" t="n"/>
      <c r="AF54" s="114" t="n"/>
      <c r="AG54" s="114" t="n"/>
      <c r="AH54" s="114" t="n"/>
      <c r="AI54" s="125" t="inlineStr">
        <is>
          <t>N</t>
        </is>
      </c>
      <c r="AJ54" s="114" t="n"/>
      <c r="AK54" s="125" t="inlineStr">
        <is>
          <t>N</t>
        </is>
      </c>
      <c r="AL54" s="114" t="n"/>
      <c r="AM54" s="114" t="n"/>
      <c r="AN54" s="136">
        <f>IFERROR(INDEX(SET!I$8:I$73,MATCH($A54,SET!$A$8:$A$73,0))&amp;"","")</f>
        <v/>
      </c>
      <c r="AO54" s="136">
        <f>IFERROR(INDEX(SET!J$8:J$73,MATCH($A54,SET!$A$8:$A$73,0))&amp;"","")</f>
        <v/>
      </c>
      <c r="AP54" s="136">
        <f>IFERROR(INDEX(SET!K$8:K$73,MATCH($A54,SET!$A$8:$A$73,0))&amp;"","")</f>
        <v/>
      </c>
      <c r="AQ54" s="136">
        <f>IFERROR(INDEX(SET!L$8:L$73,MATCH($A54,SET!$A$8:$A$73,0))&amp;"","")</f>
        <v/>
      </c>
      <c r="AR54" s="116">
        <f>IFERROR(INDEX(SET!M$8:M$73,MATCH($A54,SET!$A$8:$A$73,0))&amp;"","")</f>
        <v/>
      </c>
      <c r="AS54" s="116">
        <f>IFERROR(INDEX(SET!N$8:N$73,MATCH($A54,SET!$A$8:$A$73,0))&amp;"","")</f>
        <v/>
      </c>
      <c r="AT54" s="117">
        <f>SUMPRODUCT(($D54:$J54="M")*6+($D54:$J54="T")*6+($D54:$J54="D")*12+($D54:$J54="N")*12+($D54:$J54="NT")*6+($D54:$J54="C")*10+($D54:$J54="A")*8+($D54:$J54="J")*5+($D54:$J54="CEP")*4+($D54:$J54="CP")*6+($D54:$J54="CRO")*6+($D54:$J54="M+")*6+($D54:$J54="T+")*6+($D54:$J54="D+")*12+($D54:$J54="N+")*12+($D54:$J54="Dm+")*12+($D54:$J54="Dt+")*12+($D54:$J54="Tm-")*6+($D54:$J54="Mt-")*6)</f>
        <v/>
      </c>
      <c r="AU54" s="118">
        <f>AT54-MAX(0,IFERROR(INDEX(CADASTRO!$I$4:$I$80,MATCH($A54,CADASTRO!$A$4:$A$80,0)),$B54)-CONFIG!$B$50*(COUNTIF($D54:$J54,"AB")+COUNTIF($D54:$J54,"FE")+COUNTIF($D54:$J54,"LM")))</f>
        <v/>
      </c>
      <c r="AV54" s="117">
        <f>SUMPRODUCT(($K54:$Q54="M")*6+($K54:$Q54="T")*6+($K54:$Q54="D")*12+($K54:$Q54="N")*12+($K54:$Q54="NT")*6+($K54:$Q54="C")*10+($K54:$Q54="A")*8+($K54:$Q54="J")*5+($K54:$Q54="CEP")*4+($K54:$Q54="CP")*6+($K54:$Q54="CRO")*6+($K54:$Q54="M+")*6+($K54:$Q54="T+")*6+($K54:$Q54="D+")*12+($K54:$Q54="N+")*12+($K54:$Q54="Dm+")*12+($K54:$Q54="Dt+")*12+($K54:$Q54="Tm-")*6+($K54:$Q54="Mt-")*6)</f>
        <v/>
      </c>
      <c r="AW54" s="118">
        <f>AV54-MAX(0,IFERROR(INDEX(CADASTRO!$I$4:$I$80,MATCH($A54,CADASTRO!$A$4:$A$80,0)),$B54)-CONFIG!$B$50*(COUNTIF($K54:$Q54,"AB")+COUNTIF($K54:$Q54,"FE")+COUNTIF($K54:$Q54,"LM")))</f>
        <v/>
      </c>
      <c r="AX54" s="117">
        <f>SUMPRODUCT(($R54:$X54="M")*6+($R54:$X54="T")*6+($R54:$X54="D")*12+($R54:$X54="N")*12+($R54:$X54="NT")*6+($R54:$X54="C")*10+($R54:$X54="A")*8+($R54:$X54="J")*5+($R54:$X54="CEP")*4+($R54:$X54="CP")*6+($R54:$X54="CRO")*6+($R54:$X54="M+")*6+($R54:$X54="T+")*6+($R54:$X54="D+")*12+($R54:$X54="N+")*12+($R54:$X54="Dm+")*12+($R54:$X54="Dt+")*12+($R54:$X54="Tm-")*6+($R54:$X54="Mt-")*6)</f>
        <v/>
      </c>
      <c r="AY54" s="118">
        <f>AX54-MAX(0,IFERROR(INDEX(CADASTRO!$I$4:$I$80,MATCH($A54,CADASTRO!$A$4:$A$80,0)),$B54)-CONFIG!$B$50*(COUNTIF($R54:$X54,"AB")+COUNTIF($R54:$X54,"FE")+COUNTIF($R54:$X54,"LM")))</f>
        <v/>
      </c>
      <c r="AZ54" s="117">
        <f>SUMPRODUCT(($Y54:$AE54="M")*6+($Y54:$AE54="T")*6+($Y54:$AE54="D")*12+($Y54:$AE54="N")*12+($Y54:$AE54="NT")*6+($Y54:$AE54="C")*10+($Y54:$AE54="A")*8+($Y54:$AE54="J")*5+($Y54:$AE54="CEP")*4+($Y54:$AE54="CP")*6+($Y54:$AE54="CRO")*6+($Y54:$AE54="M+")*6+($Y54:$AE54="T+")*6+($Y54:$AE54="D+")*12+($Y54:$AE54="N+")*12+($Y54:$AE54="Dm+")*12+($Y54:$AE54="Dt+")*12+($Y54:$AE54="Tm-")*6+($Y54:$AE54="Mt-")*6)</f>
        <v/>
      </c>
      <c r="BA54" s="118">
        <f>AZ54-MAX(0,IFERROR(INDEX(CADASTRO!$I$4:$I$80,MATCH($A54,CADASTRO!$A$4:$A$80,0)),$B54)-CONFIG!$B$50*(COUNTIF($Y54:$AE54,"AB")+COUNTIF($Y54:$AE54,"FE")+COUNTIF($Y54:$AE54,"LM")))</f>
        <v/>
      </c>
      <c r="BB54" s="117">
        <f>SUMPRODUCT(($AF54:$AL54="M")*6+($AF54:$AL54="T")*6+($AF54:$AL54="D")*12+($AF54:$AL54="N")*12+($AF54:$AL54="NT")*6+($AF54:$AL54="C")*10+($AF54:$AL54="A")*8+($AF54:$AL54="J")*5+($AF54:$AL54="CEP")*4+($AF54:$AL54="CP")*6+($AF54:$AL54="CRO")*6+($AF54:$AL54="M+")*6+($AF54:$AL54="T+")*6+($AF54:$AL54="D+")*12+($AF54:$AL54="N+")*12+($AF54:$AL54="Dm+")*12+($AF54:$AL54="Dt+")*12+($AF54:$AL54="Tm-")*6+($AF54:$AL54="Mt-")*6)</f>
        <v/>
      </c>
      <c r="BC54" s="118">
        <f>BB54-MAX(0,IFERROR(INDEX(CADASTRO!$I$4:$I$80,MATCH($A54,CADASTRO!$A$4:$A$80,0)),$B54)-CONFIG!$B$50*(COUNTIF($AF54:$AL54,"AB")+COUNTIF($AF54:$AL54,"FE")+COUNTIF($AF54:$AL54,"LM")))</f>
        <v/>
      </c>
      <c r="BD54" s="117">
        <f>SUMPRODUCT(($AM54:$AM54="M")*6+($AM54:$AM54="T")*6+($AM54:$AM54="D")*12+($AM54:$AM54="N")*12+($AM54:$AM54="NT")*6+($AM54:$AM54="C")*10+($AM54:$AM54="A")*8+($AM54:$AM54="J")*5+($AM54:$AM54="CEP")*4+($AM54:$AM54="CP")*6+($AM54:$AM54="CRO")*6+($AM54:$AM54="M+")*6+($AM54:$AM54="T+")*6+($AM54:$AM54="D+")*12+($AM54:$AM54="N+")*12+($AM54:$AM54="Dm+")*12+($AM54:$AM54="Dt+")*12+($AM54:$AM54="Tm-")*6+($AM54:$AM54="Mt-")*6)+SUMPRODUCT(($AN54:$AS54="M")*6+($AN54:$AS54="T")*6+($AN54:$AS54="D")*12+($AN54:$AS54="N")*12+($AN54:$AS54="NT")*6+($AN54:$AS54="C")*10+($AN54:$AS54="A")*8+($AN54:$AS54="J")*5+($AN54:$AS54="CEP")*4+($AN54:$AS54="CP")*6+($AN54:$AS54="CRO")*6+($AN54:$AS54="M+")*6+($AN54:$AS54="T+")*6+($AN54:$AS54="D+")*12+($AN54:$AS54="N+")*12+($AN54:$AS54="Dm+")*12+($AN54:$AS54="Dt+")*12+($AN54:$AS54="Tm-")*6+($AN54:$AS54="Mt-")*6)</f>
        <v/>
      </c>
      <c r="BE54" s="118">
        <f>BD54-MAX(0,IFERROR(INDEX(CADASTRO!$I$4:$I$80,MATCH($A54,CADASTRO!$A$4:$A$80,0)),$B54)-CONFIG!$B$50*(COUNTIF($AM54:$AM54,"AB")+COUNTIF($AM54:$AM54,"FE")+COUNTIF($AM54:$AM54,"LM")+COUNTIF($AN54:$AS54,"AB")+COUNTIF($AN54:$AS54,"FE")+COUNTIF($AN54:$AS54,"LM")))</f>
        <v/>
      </c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36">
        <f>IFERROR(INDEX(JUL!AI$8:AI$73,MATCH($A55,JUL!$A$8:$A$73,0))&amp;"","")</f>
        <v/>
      </c>
      <c r="E55" s="136">
        <f>IFERROR(INDEX(JUL!AJ$8:AJ$73,MATCH($A55,JUL!$A$8:$A$73,0))&amp;"","")</f>
        <v/>
      </c>
      <c r="F55" s="136">
        <f>IFERROR(INDEX(JUL!AK$8:AK$73,MATCH($A55,JUL!$A$8:$A$73,0))&amp;"","")</f>
        <v/>
      </c>
      <c r="G55" s="136">
        <f>IFERROR(INDEX(JUL!AL$8:AL$73,MATCH($A55,JUL!$A$8:$A$73,0))&amp;"","")</f>
        <v/>
      </c>
      <c r="H55" s="136">
        <f>IFERROR(INDEX(JUL!AM$8:AM$73,MATCH($A55,JUL!$A$8:$A$73,0))&amp;"","")</f>
        <v/>
      </c>
      <c r="I55" s="115" t="inlineStr">
        <is>
          <t>M</t>
        </is>
      </c>
      <c r="J55" s="115" t="inlineStr">
        <is>
          <t>M</t>
        </is>
      </c>
      <c r="K55" s="115" t="inlineStr">
        <is>
          <t>M</t>
        </is>
      </c>
      <c r="L55" s="114" t="n"/>
      <c r="M55" s="114" t="n"/>
      <c r="N55" s="115" t="inlineStr">
        <is>
          <t>M</t>
        </is>
      </c>
      <c r="O55" s="115" t="inlineStr">
        <is>
          <t>M</t>
        </is>
      </c>
      <c r="P55" s="114" t="n"/>
      <c r="Q55" s="115" t="inlineStr">
        <is>
          <t>M</t>
        </is>
      </c>
      <c r="R55" s="115" t="inlineStr">
        <is>
          <t>M</t>
        </is>
      </c>
      <c r="S55" s="114" t="n"/>
      <c r="T55" s="115" t="inlineStr">
        <is>
          <t>M</t>
        </is>
      </c>
      <c r="U55" s="115" t="inlineStr">
        <is>
          <t>M</t>
        </is>
      </c>
      <c r="V55" s="115" t="inlineStr">
        <is>
          <t>M</t>
        </is>
      </c>
      <c r="W55" s="114" t="n"/>
      <c r="X55" s="114" t="n"/>
      <c r="Y55" s="115" t="inlineStr">
        <is>
          <t>M</t>
        </is>
      </c>
      <c r="Z55" s="114" t="n"/>
      <c r="AA55" s="115" t="inlineStr">
        <is>
          <t>M</t>
        </is>
      </c>
      <c r="AB55" s="115" t="inlineStr">
        <is>
          <t>M</t>
        </is>
      </c>
      <c r="AC55" s="115" t="inlineStr">
        <is>
          <t>M</t>
        </is>
      </c>
      <c r="AD55" s="114" t="n"/>
      <c r="AE55" s="114" t="n"/>
      <c r="AF55" s="115" t="inlineStr">
        <is>
          <t>M</t>
        </is>
      </c>
      <c r="AG55" s="114" t="n"/>
      <c r="AH55" s="114" t="n"/>
      <c r="AI55" s="114" t="n"/>
      <c r="AJ55" s="115" t="inlineStr">
        <is>
          <t>M</t>
        </is>
      </c>
      <c r="AK55" s="115" t="inlineStr">
        <is>
          <t>M</t>
        </is>
      </c>
      <c r="AL55" s="115" t="inlineStr">
        <is>
          <t>M</t>
        </is>
      </c>
      <c r="AM55" s="115" t="inlineStr">
        <is>
          <t>M</t>
        </is>
      </c>
      <c r="AN55" s="136">
        <f>IFERROR(INDEX(SET!I$8:I$73,MATCH($A55,SET!$A$8:$A$73,0))&amp;"","")</f>
        <v/>
      </c>
      <c r="AO55" s="136">
        <f>IFERROR(INDEX(SET!J$8:J$73,MATCH($A55,SET!$A$8:$A$73,0))&amp;"","")</f>
        <v/>
      </c>
      <c r="AP55" s="136">
        <f>IFERROR(INDEX(SET!K$8:K$73,MATCH($A55,SET!$A$8:$A$73,0))&amp;"","")</f>
        <v/>
      </c>
      <c r="AQ55" s="136">
        <f>IFERROR(INDEX(SET!L$8:L$73,MATCH($A55,SET!$A$8:$A$73,0))&amp;"","")</f>
        <v/>
      </c>
      <c r="AR55" s="116">
        <f>IFERROR(INDEX(SET!M$8:M$73,MATCH($A55,SET!$A$8:$A$73,0))&amp;"","")</f>
        <v/>
      </c>
      <c r="AS55" s="116">
        <f>IFERROR(INDEX(SET!N$8:N$73,MATCH($A55,SET!$A$8:$A$73,0))&amp;"","")</f>
        <v/>
      </c>
      <c r="AT55" s="117">
        <f>SUMPRODUCT(($D55:$J55="M")*6+($D55:$J55="T")*6+($D55:$J55="D")*12+($D55:$J55="N")*12+($D55:$J55="NT")*6+($D55:$J55="C")*10+($D55:$J55="A")*8+($D55:$J55="J")*5+($D55:$J55="CEP")*4+($D55:$J55="CP")*6+($D55:$J55="CRO")*6+($D55:$J55="M+")*6+($D55:$J55="T+")*6+($D55:$J55="D+")*12+($D55:$J55="N+")*12+($D55:$J55="Dm+")*12+($D55:$J55="Dt+")*12+($D55:$J55="Tm-")*6+($D55:$J55="Mt-")*6)</f>
        <v/>
      </c>
      <c r="AU55" s="118">
        <f>AT55-MAX(0,IFERROR(INDEX(CADASTRO!$I$4:$I$80,MATCH($A55,CADASTRO!$A$4:$A$80,0)),$B55)-CONFIG!$B$50*(COUNTIF($D55:$J55,"AB")+COUNTIF($D55:$J55,"FE")+COUNTIF($D55:$J55,"LM")))</f>
        <v/>
      </c>
      <c r="AV55" s="117">
        <f>SUMPRODUCT(($K55:$Q55="M")*6+($K55:$Q55="T")*6+($K55:$Q55="D")*12+($K55:$Q55="N")*12+($K55:$Q55="NT")*6+($K55:$Q55="C")*10+($K55:$Q55="A")*8+($K55:$Q55="J")*5+($K55:$Q55="CEP")*4+($K55:$Q55="CP")*6+($K55:$Q55="CRO")*6+($K55:$Q55="M+")*6+($K55:$Q55="T+")*6+($K55:$Q55="D+")*12+($K55:$Q55="N+")*12+($K55:$Q55="Dm+")*12+($K55:$Q55="Dt+")*12+($K55:$Q55="Tm-")*6+($K55:$Q55="Mt-")*6)</f>
        <v/>
      </c>
      <c r="AW55" s="118">
        <f>AV55-MAX(0,IFERROR(INDEX(CADASTRO!$I$4:$I$80,MATCH($A55,CADASTRO!$A$4:$A$80,0)),$B55)-CONFIG!$B$50*(COUNTIF($K55:$Q55,"AB")+COUNTIF($K55:$Q55,"FE")+COUNTIF($K55:$Q55,"LM")))</f>
        <v/>
      </c>
      <c r="AX55" s="117">
        <f>SUMPRODUCT(($R55:$X55="M")*6+($R55:$X55="T")*6+($R55:$X55="D")*12+($R55:$X55="N")*12+($R55:$X55="NT")*6+($R55:$X55="C")*10+($R55:$X55="A")*8+($R55:$X55="J")*5+($R55:$X55="CEP")*4+($R55:$X55="CP")*6+($R55:$X55="CRO")*6+($R55:$X55="M+")*6+($R55:$X55="T+")*6+($R55:$X55="D+")*12+($R55:$X55="N+")*12+($R55:$X55="Dm+")*12+($R55:$X55="Dt+")*12+($R55:$X55="Tm-")*6+($R55:$X55="Mt-")*6)</f>
        <v/>
      </c>
      <c r="AY55" s="118">
        <f>AX55-MAX(0,IFERROR(INDEX(CADASTRO!$I$4:$I$80,MATCH($A55,CADASTRO!$A$4:$A$80,0)),$B55)-CONFIG!$B$50*(COUNTIF($R55:$X55,"AB")+COUNTIF($R55:$X55,"FE")+COUNTIF($R55:$X55,"LM")))</f>
        <v/>
      </c>
      <c r="AZ55" s="117">
        <f>SUMPRODUCT(($Y55:$AE55="M")*6+($Y55:$AE55="T")*6+($Y55:$AE55="D")*12+($Y55:$AE55="N")*12+($Y55:$AE55="NT")*6+($Y55:$AE55="C")*10+($Y55:$AE55="A")*8+($Y55:$AE55="J")*5+($Y55:$AE55="CEP")*4+($Y55:$AE55="CP")*6+($Y55:$AE55="CRO")*6+($Y55:$AE55="M+")*6+($Y55:$AE55="T+")*6+($Y55:$AE55="D+")*12+($Y55:$AE55="N+")*12+($Y55:$AE55="Dm+")*12+($Y55:$AE55="Dt+")*12+($Y55:$AE55="Tm-")*6+($Y55:$AE55="Mt-")*6)</f>
        <v/>
      </c>
      <c r="BA55" s="118">
        <f>AZ55-MAX(0,IFERROR(INDEX(CADASTRO!$I$4:$I$80,MATCH($A55,CADASTRO!$A$4:$A$80,0)),$B55)-CONFIG!$B$50*(COUNTIF($Y55:$AE55,"AB")+COUNTIF($Y55:$AE55,"FE")+COUNTIF($Y55:$AE55,"LM")))</f>
        <v/>
      </c>
      <c r="BB55" s="117">
        <f>SUMPRODUCT(($AF55:$AL55="M")*6+($AF55:$AL55="T")*6+($AF55:$AL55="D")*12+($AF55:$AL55="N")*12+($AF55:$AL55="NT")*6+($AF55:$AL55="C")*10+($AF55:$AL55="A")*8+($AF55:$AL55="J")*5+($AF55:$AL55="CEP")*4+($AF55:$AL55="CP")*6+($AF55:$AL55="CRO")*6+($AF55:$AL55="M+")*6+($AF55:$AL55="T+")*6+($AF55:$AL55="D+")*12+($AF55:$AL55="N+")*12+($AF55:$AL55="Dm+")*12+($AF55:$AL55="Dt+")*12+($AF55:$AL55="Tm-")*6+($AF55:$AL55="Mt-")*6)</f>
        <v/>
      </c>
      <c r="BC55" s="118">
        <f>BB55-MAX(0,IFERROR(INDEX(CADASTRO!$I$4:$I$80,MATCH($A55,CADASTRO!$A$4:$A$80,0)),$B55)-CONFIG!$B$50*(COUNTIF($AF55:$AL55,"AB")+COUNTIF($AF55:$AL55,"FE")+COUNTIF($AF55:$AL55,"LM")))</f>
        <v/>
      </c>
      <c r="BD55" s="117">
        <f>SUMPRODUCT(($AM55:$AM55="M")*6+($AM55:$AM55="T")*6+($AM55:$AM55="D")*12+($AM55:$AM55="N")*12+($AM55:$AM55="NT")*6+($AM55:$AM55="C")*10+($AM55:$AM55="A")*8+($AM55:$AM55="J")*5+($AM55:$AM55="CEP")*4+($AM55:$AM55="CP")*6+($AM55:$AM55="CRO")*6+($AM55:$AM55="M+")*6+($AM55:$AM55="T+")*6+($AM55:$AM55="D+")*12+($AM55:$AM55="N+")*12+($AM55:$AM55="Dm+")*12+($AM55:$AM55="Dt+")*12+($AM55:$AM55="Tm-")*6+($AM55:$AM55="Mt-")*6)+SUMPRODUCT(($AN55:$AS55="M")*6+($AN55:$AS55="T")*6+($AN55:$AS55="D")*12+($AN55:$AS55="N")*12+($AN55:$AS55="NT")*6+($AN55:$AS55="C")*10+($AN55:$AS55="A")*8+($AN55:$AS55="J")*5+($AN55:$AS55="CEP")*4+($AN55:$AS55="CP")*6+($AN55:$AS55="CRO")*6+($AN55:$AS55="M+")*6+($AN55:$AS55="T+")*6+($AN55:$AS55="D+")*12+($AN55:$AS55="N+")*12+($AN55:$AS55="Dm+")*12+($AN55:$AS55="Dt+")*12+($AN55:$AS55="Tm-")*6+($AN55:$AS55="Mt-")*6)</f>
        <v/>
      </c>
      <c r="BE55" s="118">
        <f>BD55-MAX(0,IFERROR(INDEX(CADASTRO!$I$4:$I$80,MATCH($A55,CADASTRO!$A$4:$A$80,0)),$B55)-CONFIG!$B$50*(COUNTIF($AM55:$AM55,"AB")+COUNTIF($AM55:$AM55,"FE")+COUNTIF($AM55:$AM55,"LM")+COUNTIF($AN55:$AS55,"AB")+COUNTIF($AN55:$AS55,"FE")+COUNTIF($AN55:$AS55,"LM")))</f>
        <v/>
      </c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36">
        <f>IFERROR(INDEX(JUL!AI$8:AI$73,MATCH($A56,JUL!$A$8:$A$73,0))&amp;"","")</f>
        <v/>
      </c>
      <c r="E56" s="136">
        <f>IFERROR(INDEX(JUL!AJ$8:AJ$73,MATCH($A56,JUL!$A$8:$A$73,0))&amp;"","")</f>
        <v/>
      </c>
      <c r="F56" s="136">
        <f>IFERROR(INDEX(JUL!AK$8:AK$73,MATCH($A56,JUL!$A$8:$A$73,0))&amp;"","")</f>
        <v/>
      </c>
      <c r="G56" s="136">
        <f>IFERROR(INDEX(JUL!AL$8:AL$73,MATCH($A56,JUL!$A$8:$A$73,0))&amp;"","")</f>
        <v/>
      </c>
      <c r="H56" s="136">
        <f>IFERROR(INDEX(JUL!AM$8:AM$73,MATCH($A56,JUL!$A$8:$A$73,0))&amp;"","")</f>
        <v/>
      </c>
      <c r="I56" s="124" t="inlineStr">
        <is>
          <t>D</t>
        </is>
      </c>
      <c r="J56" s="114" t="n"/>
      <c r="K56" s="114" t="n"/>
      <c r="L56" s="124" t="inlineStr">
        <is>
          <t>D</t>
        </is>
      </c>
      <c r="M56" s="114" t="n"/>
      <c r="N56" s="124" t="inlineStr">
        <is>
          <t>D</t>
        </is>
      </c>
      <c r="O56" s="114" t="n"/>
      <c r="P56" s="114" t="n"/>
      <c r="Q56" s="114" t="n"/>
      <c r="R56" s="114" t="n"/>
      <c r="S56" s="124" t="inlineStr">
        <is>
          <t>D</t>
        </is>
      </c>
      <c r="T56" s="114" t="n"/>
      <c r="U56" s="114" t="n"/>
      <c r="V56" s="114" t="n"/>
      <c r="W56" s="124" t="inlineStr">
        <is>
          <t>D</t>
        </is>
      </c>
      <c r="X56" s="114" t="n"/>
      <c r="Y56" s="114" t="n"/>
      <c r="Z56" s="124" t="inlineStr">
        <is>
          <t>D</t>
        </is>
      </c>
      <c r="AA56" s="114" t="n"/>
      <c r="AB56" s="124" t="inlineStr">
        <is>
          <t>D</t>
        </is>
      </c>
      <c r="AC56" s="114" t="n"/>
      <c r="AD56" s="114" t="n"/>
      <c r="AE56" s="114" t="n"/>
      <c r="AF56" s="114" t="n"/>
      <c r="AG56" s="126" t="inlineStr">
        <is>
          <t>T</t>
        </is>
      </c>
      <c r="AH56" s="114" t="n"/>
      <c r="AI56" s="114" t="n"/>
      <c r="AJ56" s="125" t="inlineStr">
        <is>
          <t>N</t>
        </is>
      </c>
      <c r="AK56" s="114" t="n"/>
      <c r="AL56" s="115" t="inlineStr">
        <is>
          <t>M</t>
        </is>
      </c>
      <c r="AM56" s="114" t="n"/>
      <c r="AN56" s="136">
        <f>IFERROR(INDEX(SET!I$8:I$73,MATCH($A56,SET!$A$8:$A$73,0))&amp;"","")</f>
        <v/>
      </c>
      <c r="AO56" s="136">
        <f>IFERROR(INDEX(SET!J$8:J$73,MATCH($A56,SET!$A$8:$A$73,0))&amp;"","")</f>
        <v/>
      </c>
      <c r="AP56" s="136">
        <f>IFERROR(INDEX(SET!K$8:K$73,MATCH($A56,SET!$A$8:$A$73,0))&amp;"","")</f>
        <v/>
      </c>
      <c r="AQ56" s="136">
        <f>IFERROR(INDEX(SET!L$8:L$73,MATCH($A56,SET!$A$8:$A$73,0))&amp;"","")</f>
        <v/>
      </c>
      <c r="AR56" s="116">
        <f>IFERROR(INDEX(SET!M$8:M$73,MATCH($A56,SET!$A$8:$A$73,0))&amp;"","")</f>
        <v/>
      </c>
      <c r="AS56" s="116">
        <f>IFERROR(INDEX(SET!N$8:N$73,MATCH($A56,SET!$A$8:$A$73,0))&amp;"","")</f>
        <v/>
      </c>
      <c r="AT56" s="117">
        <f>SUMPRODUCT(($D56:$J56="M")*6+($D56:$J56="T")*6+($D56:$J56="D")*12+($D56:$J56="N")*12+($D56:$J56="NT")*6+($D56:$J56="C")*10+($D56:$J56="A")*8+($D56:$J56="J")*5+($D56:$J56="CEP")*4+($D56:$J56="CP")*6+($D56:$J56="CRO")*6+($D56:$J56="M+")*6+($D56:$J56="T+")*6+($D56:$J56="D+")*12+($D56:$J56="N+")*12+($D56:$J56="Dm+")*12+($D56:$J56="Dt+")*12+($D56:$J56="Tm-")*6+($D56:$J56="Mt-")*6)</f>
        <v/>
      </c>
      <c r="AU56" s="118">
        <f>AT56-MAX(0,IFERROR(INDEX(CADASTRO!$I$4:$I$80,MATCH($A56,CADASTRO!$A$4:$A$80,0)),$B56)-CONFIG!$B$50*(COUNTIF($D56:$J56,"AB")+COUNTIF($D56:$J56,"FE")+COUNTIF($D56:$J56,"LM")))</f>
        <v/>
      </c>
      <c r="AV56" s="117">
        <f>SUMPRODUCT(($K56:$Q56="M")*6+($K56:$Q56="T")*6+($K56:$Q56="D")*12+($K56:$Q56="N")*12+($K56:$Q56="NT")*6+($K56:$Q56="C")*10+($K56:$Q56="A")*8+($K56:$Q56="J")*5+($K56:$Q56="CEP")*4+($K56:$Q56="CP")*6+($K56:$Q56="CRO")*6+($K56:$Q56="M+")*6+($K56:$Q56="T+")*6+($K56:$Q56="D+")*12+($K56:$Q56="N+")*12+($K56:$Q56="Dm+")*12+($K56:$Q56="Dt+")*12+($K56:$Q56="Tm-")*6+($K56:$Q56="Mt-")*6)</f>
        <v/>
      </c>
      <c r="AW56" s="118">
        <f>AV56-MAX(0,IFERROR(INDEX(CADASTRO!$I$4:$I$80,MATCH($A56,CADASTRO!$A$4:$A$80,0)),$B56)-CONFIG!$B$50*(COUNTIF($K56:$Q56,"AB")+COUNTIF($K56:$Q56,"FE")+COUNTIF($K56:$Q56,"LM")))</f>
        <v/>
      </c>
      <c r="AX56" s="117">
        <f>SUMPRODUCT(($R56:$X56="M")*6+($R56:$X56="T")*6+($R56:$X56="D")*12+($R56:$X56="N")*12+($R56:$X56="NT")*6+($R56:$X56="C")*10+($R56:$X56="A")*8+($R56:$X56="J")*5+($R56:$X56="CEP")*4+($R56:$X56="CP")*6+($R56:$X56="CRO")*6+($R56:$X56="M+")*6+($R56:$X56="T+")*6+($R56:$X56="D+")*12+($R56:$X56="N+")*12+($R56:$X56="Dm+")*12+($R56:$X56="Dt+")*12+($R56:$X56="Tm-")*6+($R56:$X56="Mt-")*6)</f>
        <v/>
      </c>
      <c r="AY56" s="118">
        <f>AX56-MAX(0,IFERROR(INDEX(CADASTRO!$I$4:$I$80,MATCH($A56,CADASTRO!$A$4:$A$80,0)),$B56)-CONFIG!$B$50*(COUNTIF($R56:$X56,"AB")+COUNTIF($R56:$X56,"FE")+COUNTIF($R56:$X56,"LM")))</f>
        <v/>
      </c>
      <c r="AZ56" s="117">
        <f>SUMPRODUCT(($Y56:$AE56="M")*6+($Y56:$AE56="T")*6+($Y56:$AE56="D")*12+($Y56:$AE56="N")*12+($Y56:$AE56="NT")*6+($Y56:$AE56="C")*10+($Y56:$AE56="A")*8+($Y56:$AE56="J")*5+($Y56:$AE56="CEP")*4+($Y56:$AE56="CP")*6+($Y56:$AE56="CRO")*6+($Y56:$AE56="M+")*6+($Y56:$AE56="T+")*6+($Y56:$AE56="D+")*12+($Y56:$AE56="N+")*12+($Y56:$AE56="Dm+")*12+($Y56:$AE56="Dt+")*12+($Y56:$AE56="Tm-")*6+($Y56:$AE56="Mt-")*6)</f>
        <v/>
      </c>
      <c r="BA56" s="118">
        <f>AZ56-MAX(0,IFERROR(INDEX(CADASTRO!$I$4:$I$80,MATCH($A56,CADASTRO!$A$4:$A$80,0)),$B56)-CONFIG!$B$50*(COUNTIF($Y56:$AE56,"AB")+COUNTIF($Y56:$AE56,"FE")+COUNTIF($Y56:$AE56,"LM")))</f>
        <v/>
      </c>
      <c r="BB56" s="117">
        <f>SUMPRODUCT(($AF56:$AL56="M")*6+($AF56:$AL56="T")*6+($AF56:$AL56="D")*12+($AF56:$AL56="N")*12+($AF56:$AL56="NT")*6+($AF56:$AL56="C")*10+($AF56:$AL56="A")*8+($AF56:$AL56="J")*5+($AF56:$AL56="CEP")*4+($AF56:$AL56="CP")*6+($AF56:$AL56="CRO")*6+($AF56:$AL56="M+")*6+($AF56:$AL56="T+")*6+($AF56:$AL56="D+")*12+($AF56:$AL56="N+")*12+($AF56:$AL56="Dm+")*12+($AF56:$AL56="Dt+")*12+($AF56:$AL56="Tm-")*6+($AF56:$AL56="Mt-")*6)</f>
        <v/>
      </c>
      <c r="BC56" s="118">
        <f>BB56-MAX(0,IFERROR(INDEX(CADASTRO!$I$4:$I$80,MATCH($A56,CADASTRO!$A$4:$A$80,0)),$B56)-CONFIG!$B$50*(COUNTIF($AF56:$AL56,"AB")+COUNTIF($AF56:$AL56,"FE")+COUNTIF($AF56:$AL56,"LM")))</f>
        <v/>
      </c>
      <c r="BD56" s="117">
        <f>SUMPRODUCT(($AM56:$AM56="M")*6+($AM56:$AM56="T")*6+($AM56:$AM56="D")*12+($AM56:$AM56="N")*12+($AM56:$AM56="NT")*6+($AM56:$AM56="C")*10+($AM56:$AM56="A")*8+($AM56:$AM56="J")*5+($AM56:$AM56="CEP")*4+($AM56:$AM56="CP")*6+($AM56:$AM56="CRO")*6+($AM56:$AM56="M+")*6+($AM56:$AM56="T+")*6+($AM56:$AM56="D+")*12+($AM56:$AM56="N+")*12+($AM56:$AM56="Dm+")*12+($AM56:$AM56="Dt+")*12+($AM56:$AM56="Tm-")*6+($AM56:$AM56="Mt-")*6)+SUMPRODUCT(($AN56:$AS56="M")*6+($AN56:$AS56="T")*6+($AN56:$AS56="D")*12+($AN56:$AS56="N")*12+($AN56:$AS56="NT")*6+($AN56:$AS56="C")*10+($AN56:$AS56="A")*8+($AN56:$AS56="J")*5+($AN56:$AS56="CEP")*4+($AN56:$AS56="CP")*6+($AN56:$AS56="CRO")*6+($AN56:$AS56="M+")*6+($AN56:$AS56="T+")*6+($AN56:$AS56="D+")*12+($AN56:$AS56="N+")*12+($AN56:$AS56="Dm+")*12+($AN56:$AS56="Dt+")*12+($AN56:$AS56="Tm-")*6+($AN56:$AS56="Mt-")*6)</f>
        <v/>
      </c>
      <c r="BE56" s="118">
        <f>BD56-MAX(0,IFERROR(INDEX(CADASTRO!$I$4:$I$80,MATCH($A56,CADASTRO!$A$4:$A$80,0)),$B56)-CONFIG!$B$50*(COUNTIF($AM56:$AM56,"AB")+COUNTIF($AM56:$AM56,"FE")+COUNTIF($AM56:$AM56,"LM")+COUNTIF($AN56:$AS56,"AB")+COUNTIF($AN56:$AS56,"FE")+COUNTIF($AN56:$AS56,"LM")))</f>
        <v/>
      </c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36">
        <f>IFERROR(INDEX(JUL!AI$8:AI$73,MATCH($A57,JUL!$A$8:$A$73,0))&amp;"","")</f>
        <v/>
      </c>
      <c r="E57" s="136">
        <f>IFERROR(INDEX(JUL!AJ$8:AJ$73,MATCH($A57,JUL!$A$8:$A$73,0))&amp;"","")</f>
        <v/>
      </c>
      <c r="F57" s="136">
        <f>IFERROR(INDEX(JUL!AK$8:AK$73,MATCH($A57,JUL!$A$8:$A$73,0))&amp;"","")</f>
        <v/>
      </c>
      <c r="G57" s="136">
        <f>IFERROR(INDEX(JUL!AL$8:AL$73,MATCH($A57,JUL!$A$8:$A$73,0))&amp;"","")</f>
        <v/>
      </c>
      <c r="H57" s="136">
        <f>IFERROR(INDEX(JUL!AM$8:AM$73,MATCH($A57,JUL!$A$8:$A$73,0))&amp;"","")</f>
        <v/>
      </c>
      <c r="I57" s="114" t="n"/>
      <c r="J57" s="114" t="n"/>
      <c r="K57" s="125" t="inlineStr">
        <is>
          <t>N</t>
        </is>
      </c>
      <c r="L57" s="114" t="n"/>
      <c r="M57" s="125" t="inlineStr">
        <is>
          <t>N</t>
        </is>
      </c>
      <c r="N57" s="114" t="n"/>
      <c r="O57" s="114" t="n"/>
      <c r="P57" s="114" t="n"/>
      <c r="Q57" s="114" t="n"/>
      <c r="R57" s="125" t="inlineStr">
        <is>
          <t>N</t>
        </is>
      </c>
      <c r="S57" s="114" t="n"/>
      <c r="T57" s="125" t="inlineStr">
        <is>
          <t>N</t>
        </is>
      </c>
      <c r="U57" s="114" t="n"/>
      <c r="V57" s="114" t="n"/>
      <c r="W57" s="114" t="n"/>
      <c r="X57" s="114" t="n"/>
      <c r="Y57" s="125" t="inlineStr">
        <is>
          <t>N</t>
        </is>
      </c>
      <c r="Z57" s="114" t="n"/>
      <c r="AA57" s="114" t="n"/>
      <c r="AB57" s="114" t="n"/>
      <c r="AC57" s="114" t="n"/>
      <c r="AD57" s="124" t="inlineStr">
        <is>
          <t>D</t>
        </is>
      </c>
      <c r="AE57" s="114" t="n"/>
      <c r="AF57" s="114" t="n"/>
      <c r="AG57" s="114" t="n"/>
      <c r="AH57" s="125" t="inlineStr">
        <is>
          <t>N</t>
        </is>
      </c>
      <c r="AI57" s="114" t="n"/>
      <c r="AJ57" s="114" t="n"/>
      <c r="AK57" s="124" t="inlineStr">
        <is>
          <t>D</t>
        </is>
      </c>
      <c r="AL57" s="114" t="n"/>
      <c r="AM57" s="125" t="inlineStr">
        <is>
          <t>N</t>
        </is>
      </c>
      <c r="AN57" s="136">
        <f>IFERROR(INDEX(SET!I$8:I$73,MATCH($A57,SET!$A$8:$A$73,0))&amp;"","")</f>
        <v/>
      </c>
      <c r="AO57" s="136">
        <f>IFERROR(INDEX(SET!J$8:J$73,MATCH($A57,SET!$A$8:$A$73,0))&amp;"","")</f>
        <v/>
      </c>
      <c r="AP57" s="136">
        <f>IFERROR(INDEX(SET!K$8:K$73,MATCH($A57,SET!$A$8:$A$73,0))&amp;"","")</f>
        <v/>
      </c>
      <c r="AQ57" s="136">
        <f>IFERROR(INDEX(SET!L$8:L$73,MATCH($A57,SET!$A$8:$A$73,0))&amp;"","")</f>
        <v/>
      </c>
      <c r="AR57" s="116">
        <f>IFERROR(INDEX(SET!M$8:M$73,MATCH($A57,SET!$A$8:$A$73,0))&amp;"","")</f>
        <v/>
      </c>
      <c r="AS57" s="116">
        <f>IFERROR(INDEX(SET!N$8:N$73,MATCH($A57,SET!$A$8:$A$73,0))&amp;"","")</f>
        <v/>
      </c>
      <c r="AT57" s="117">
        <f>SUMPRODUCT(($D57:$J57="M")*6+($D57:$J57="T")*6+($D57:$J57="D")*12+($D57:$J57="N")*12+($D57:$J57="NT")*6+($D57:$J57="C")*10+($D57:$J57="A")*8+($D57:$J57="J")*5+($D57:$J57="CEP")*4+($D57:$J57="CP")*6+($D57:$J57="CRO")*6+($D57:$J57="M+")*6+($D57:$J57="T+")*6+($D57:$J57="D+")*12+($D57:$J57="N+")*12+($D57:$J57="Dm+")*12+($D57:$J57="Dt+")*12+($D57:$J57="Tm-")*6+($D57:$J57="Mt-")*6)</f>
        <v/>
      </c>
      <c r="AU57" s="118">
        <f>AT57-MAX(0,IFERROR(INDEX(CADASTRO!$I$4:$I$80,MATCH($A57,CADASTRO!$A$4:$A$80,0)),$B57)-CONFIG!$B$50*(COUNTIF($D57:$J57,"AB")+COUNTIF($D57:$J57,"FE")+COUNTIF($D57:$J57,"LM")))</f>
        <v/>
      </c>
      <c r="AV57" s="117">
        <f>SUMPRODUCT(($K57:$Q57="M")*6+($K57:$Q57="T")*6+($K57:$Q57="D")*12+($K57:$Q57="N")*12+($K57:$Q57="NT")*6+($K57:$Q57="C")*10+($K57:$Q57="A")*8+($K57:$Q57="J")*5+($K57:$Q57="CEP")*4+($K57:$Q57="CP")*6+($K57:$Q57="CRO")*6+($K57:$Q57="M+")*6+($K57:$Q57="T+")*6+($K57:$Q57="D+")*12+($K57:$Q57="N+")*12+($K57:$Q57="Dm+")*12+($K57:$Q57="Dt+")*12+($K57:$Q57="Tm-")*6+($K57:$Q57="Mt-")*6)</f>
        <v/>
      </c>
      <c r="AW57" s="118">
        <f>AV57-MAX(0,IFERROR(INDEX(CADASTRO!$I$4:$I$80,MATCH($A57,CADASTRO!$A$4:$A$80,0)),$B57)-CONFIG!$B$50*(COUNTIF($K57:$Q57,"AB")+COUNTIF($K57:$Q57,"FE")+COUNTIF($K57:$Q57,"LM")))</f>
        <v/>
      </c>
      <c r="AX57" s="117">
        <f>SUMPRODUCT(($R57:$X57="M")*6+($R57:$X57="T")*6+($R57:$X57="D")*12+($R57:$X57="N")*12+($R57:$X57="NT")*6+($R57:$X57="C")*10+($R57:$X57="A")*8+($R57:$X57="J")*5+($R57:$X57="CEP")*4+($R57:$X57="CP")*6+($R57:$X57="CRO")*6+($R57:$X57="M+")*6+($R57:$X57="T+")*6+($R57:$X57="D+")*12+($R57:$X57="N+")*12+($R57:$X57="Dm+")*12+($R57:$X57="Dt+")*12+($R57:$X57="Tm-")*6+($R57:$X57="Mt-")*6)</f>
        <v/>
      </c>
      <c r="AY57" s="118">
        <f>AX57-MAX(0,IFERROR(INDEX(CADASTRO!$I$4:$I$80,MATCH($A57,CADASTRO!$A$4:$A$80,0)),$B57)-CONFIG!$B$50*(COUNTIF($R57:$X57,"AB")+COUNTIF($R57:$X57,"FE")+COUNTIF($R57:$X57,"LM")))</f>
        <v/>
      </c>
      <c r="AZ57" s="117">
        <f>SUMPRODUCT(($Y57:$AE57="M")*6+($Y57:$AE57="T")*6+($Y57:$AE57="D")*12+($Y57:$AE57="N")*12+($Y57:$AE57="NT")*6+($Y57:$AE57="C")*10+($Y57:$AE57="A")*8+($Y57:$AE57="J")*5+($Y57:$AE57="CEP")*4+($Y57:$AE57="CP")*6+($Y57:$AE57="CRO")*6+($Y57:$AE57="M+")*6+($Y57:$AE57="T+")*6+($Y57:$AE57="D+")*12+($Y57:$AE57="N+")*12+($Y57:$AE57="Dm+")*12+($Y57:$AE57="Dt+")*12+($Y57:$AE57="Tm-")*6+($Y57:$AE57="Mt-")*6)</f>
        <v/>
      </c>
      <c r="BA57" s="118">
        <f>AZ57-MAX(0,IFERROR(INDEX(CADASTRO!$I$4:$I$80,MATCH($A57,CADASTRO!$A$4:$A$80,0)),$B57)-CONFIG!$B$50*(COUNTIF($Y57:$AE57,"AB")+COUNTIF($Y57:$AE57,"FE")+COUNTIF($Y57:$AE57,"LM")))</f>
        <v/>
      </c>
      <c r="BB57" s="117">
        <f>SUMPRODUCT(($AF57:$AL57="M")*6+($AF57:$AL57="T")*6+($AF57:$AL57="D")*12+($AF57:$AL57="N")*12+($AF57:$AL57="NT")*6+($AF57:$AL57="C")*10+($AF57:$AL57="A")*8+($AF57:$AL57="J")*5+($AF57:$AL57="CEP")*4+($AF57:$AL57="CP")*6+($AF57:$AL57="CRO")*6+($AF57:$AL57="M+")*6+($AF57:$AL57="T+")*6+($AF57:$AL57="D+")*12+($AF57:$AL57="N+")*12+($AF57:$AL57="Dm+")*12+($AF57:$AL57="Dt+")*12+($AF57:$AL57="Tm-")*6+($AF57:$AL57="Mt-")*6)</f>
        <v/>
      </c>
      <c r="BC57" s="118">
        <f>BB57-MAX(0,IFERROR(INDEX(CADASTRO!$I$4:$I$80,MATCH($A57,CADASTRO!$A$4:$A$80,0)),$B57)-CONFIG!$B$50*(COUNTIF($AF57:$AL57,"AB")+COUNTIF($AF57:$AL57,"FE")+COUNTIF($AF57:$AL57,"LM")))</f>
        <v/>
      </c>
      <c r="BD57" s="117">
        <f>SUMPRODUCT(($AM57:$AM57="M")*6+($AM57:$AM57="T")*6+($AM57:$AM57="D")*12+($AM57:$AM57="N")*12+($AM57:$AM57="NT")*6+($AM57:$AM57="C")*10+($AM57:$AM57="A")*8+($AM57:$AM57="J")*5+($AM57:$AM57="CEP")*4+($AM57:$AM57="CP")*6+($AM57:$AM57="CRO")*6+($AM57:$AM57="M+")*6+($AM57:$AM57="T+")*6+($AM57:$AM57="D+")*12+($AM57:$AM57="N+")*12+($AM57:$AM57="Dm+")*12+($AM57:$AM57="Dt+")*12+($AM57:$AM57="Tm-")*6+($AM57:$AM57="Mt-")*6)+SUMPRODUCT(($AN57:$AS57="M")*6+($AN57:$AS57="T")*6+($AN57:$AS57="D")*12+($AN57:$AS57="N")*12+($AN57:$AS57="NT")*6+($AN57:$AS57="C")*10+($AN57:$AS57="A")*8+($AN57:$AS57="J")*5+($AN57:$AS57="CEP")*4+($AN57:$AS57="CP")*6+($AN57:$AS57="CRO")*6+($AN57:$AS57="M+")*6+($AN57:$AS57="T+")*6+($AN57:$AS57="D+")*12+($AN57:$AS57="N+")*12+($AN57:$AS57="Dm+")*12+($AN57:$AS57="Dt+")*12+($AN57:$AS57="Tm-")*6+($AN57:$AS57="Mt-")*6)</f>
        <v/>
      </c>
      <c r="BE57" s="118">
        <f>BD57-MAX(0,IFERROR(INDEX(CADASTRO!$I$4:$I$80,MATCH($A57,CADASTRO!$A$4:$A$80,0)),$B57)-CONFIG!$B$50*(COUNTIF($AM57:$AM57,"AB")+COUNTIF($AM57:$AM57,"FE")+COUNTIF($AM57:$AM57,"LM")+COUNTIF($AN57:$AS57,"AB")+COUNTIF($AN57:$AS57,"FE")+COUNTIF($AN57:$AS57,"LM")))</f>
        <v/>
      </c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36">
        <f>IFERROR(INDEX(JUL!AI$8:AI$73,MATCH($A58,JUL!$A$8:$A$73,0))&amp;"","")</f>
        <v/>
      </c>
      <c r="E58" s="136">
        <f>IFERROR(INDEX(JUL!AJ$8:AJ$73,MATCH($A58,JUL!$A$8:$A$73,0))&amp;"","")</f>
        <v/>
      </c>
      <c r="F58" s="136">
        <f>IFERROR(INDEX(JUL!AK$8:AK$73,MATCH($A58,JUL!$A$8:$A$73,0))&amp;"","")</f>
        <v/>
      </c>
      <c r="G58" s="136">
        <f>IFERROR(INDEX(JUL!AL$8:AL$73,MATCH($A58,JUL!$A$8:$A$73,0))&amp;"","")</f>
        <v/>
      </c>
      <c r="H58" s="136">
        <f>IFERROR(INDEX(JUL!AM$8:AM$73,MATCH($A58,JUL!$A$8:$A$73,0))&amp;"","")</f>
        <v/>
      </c>
      <c r="I58" s="114" t="n"/>
      <c r="J58" s="114" t="n"/>
      <c r="K58" s="139" t="inlineStr">
        <is>
          <t>FE</t>
        </is>
      </c>
      <c r="L58" s="139" t="inlineStr">
        <is>
          <t>FE</t>
        </is>
      </c>
      <c r="M58" s="139" t="inlineStr">
        <is>
          <t>FE</t>
        </is>
      </c>
      <c r="N58" s="139" t="inlineStr">
        <is>
          <t>FE</t>
        </is>
      </c>
      <c r="O58" s="139" t="inlineStr">
        <is>
          <t>FE</t>
        </is>
      </c>
      <c r="P58" s="139" t="inlineStr">
        <is>
          <t>FE</t>
        </is>
      </c>
      <c r="Q58" s="139" t="inlineStr">
        <is>
          <t>FE</t>
        </is>
      </c>
      <c r="R58" s="139" t="inlineStr">
        <is>
          <t>FE</t>
        </is>
      </c>
      <c r="S58" s="139" t="inlineStr">
        <is>
          <t>FE</t>
        </is>
      </c>
      <c r="T58" s="139" t="inlineStr">
        <is>
          <t>FE</t>
        </is>
      </c>
      <c r="U58" s="139" t="inlineStr">
        <is>
          <t>FE</t>
        </is>
      </c>
      <c r="V58" s="139" t="inlineStr">
        <is>
          <t>FE</t>
        </is>
      </c>
      <c r="W58" s="139" t="inlineStr">
        <is>
          <t>FE</t>
        </is>
      </c>
      <c r="X58" s="139" t="inlineStr">
        <is>
          <t>FE</t>
        </is>
      </c>
      <c r="Y58" s="139" t="inlineStr">
        <is>
          <t>FE</t>
        </is>
      </c>
      <c r="Z58" s="114" t="n"/>
      <c r="AA58" s="125" t="inlineStr">
        <is>
          <t>N</t>
        </is>
      </c>
      <c r="AB58" s="114" t="n"/>
      <c r="AC58" s="114" t="n"/>
      <c r="AD58" s="114" t="n"/>
      <c r="AE58" s="126" t="inlineStr">
        <is>
          <t>T</t>
        </is>
      </c>
      <c r="AF58" s="126" t="inlineStr">
        <is>
          <t>T</t>
        </is>
      </c>
      <c r="AG58" s="114" t="n"/>
      <c r="AH58" s="125" t="inlineStr">
        <is>
          <t>N</t>
        </is>
      </c>
      <c r="AI58" s="114" t="n"/>
      <c r="AJ58" s="114" t="n"/>
      <c r="AK58" s="114" t="n"/>
      <c r="AL58" s="126" t="inlineStr">
        <is>
          <t>T</t>
        </is>
      </c>
      <c r="AM58" s="114" t="n"/>
      <c r="AN58" s="136">
        <f>IFERROR(INDEX(SET!I$8:I$73,MATCH($A58,SET!$A$8:$A$73,0))&amp;"","")</f>
        <v/>
      </c>
      <c r="AO58" s="136">
        <f>IFERROR(INDEX(SET!J$8:J$73,MATCH($A58,SET!$A$8:$A$73,0))&amp;"","")</f>
        <v/>
      </c>
      <c r="AP58" s="136">
        <f>IFERROR(INDEX(SET!K$8:K$73,MATCH($A58,SET!$A$8:$A$73,0))&amp;"","")</f>
        <v/>
      </c>
      <c r="AQ58" s="136">
        <f>IFERROR(INDEX(SET!L$8:L$73,MATCH($A58,SET!$A$8:$A$73,0))&amp;"","")</f>
        <v/>
      </c>
      <c r="AR58" s="116">
        <f>IFERROR(INDEX(SET!M$8:M$73,MATCH($A58,SET!$A$8:$A$73,0))&amp;"","")</f>
        <v/>
      </c>
      <c r="AS58" s="116">
        <f>IFERROR(INDEX(SET!N$8:N$73,MATCH($A58,SET!$A$8:$A$73,0))&amp;"","")</f>
        <v/>
      </c>
      <c r="AT58" s="117">
        <f>SUMPRODUCT(($D58:$J58="M")*6+($D58:$J58="T")*6+($D58:$J58="D")*12+($D58:$J58="N")*12+($D58:$J58="NT")*6+($D58:$J58="C")*10+($D58:$J58="A")*8+($D58:$J58="J")*5+($D58:$J58="CEP")*4+($D58:$J58="CP")*6+($D58:$J58="CRO")*6+($D58:$J58="M+")*6+($D58:$J58="T+")*6+($D58:$J58="D+")*12+($D58:$J58="N+")*12+($D58:$J58="Dm+")*12+($D58:$J58="Dt+")*12+($D58:$J58="Tm-")*6+($D58:$J58="Mt-")*6)</f>
        <v/>
      </c>
      <c r="AU58" s="118">
        <f>AT58-MAX(0,IFERROR(INDEX(CADASTRO!$I$4:$I$80,MATCH($A58,CADASTRO!$A$4:$A$80,0)),$B58)-CONFIG!$B$50*(COUNTIF($D58:$J58,"AB")+COUNTIF($D58:$J58,"FE")+COUNTIF($D58:$J58,"LM")))</f>
        <v/>
      </c>
      <c r="AV58" s="117">
        <f>SUMPRODUCT(($K58:$Q58="M")*6+($K58:$Q58="T")*6+($K58:$Q58="D")*12+($K58:$Q58="N")*12+($K58:$Q58="NT")*6+($K58:$Q58="C")*10+($K58:$Q58="A")*8+($K58:$Q58="J")*5+($K58:$Q58="CEP")*4+($K58:$Q58="CP")*6+($K58:$Q58="CRO")*6+($K58:$Q58="M+")*6+($K58:$Q58="T+")*6+($K58:$Q58="D+")*12+($K58:$Q58="N+")*12+($K58:$Q58="Dm+")*12+($K58:$Q58="Dt+")*12+($K58:$Q58="Tm-")*6+($K58:$Q58="Mt-")*6)</f>
        <v/>
      </c>
      <c r="AW58" s="118">
        <f>AV58-MAX(0,IFERROR(INDEX(CADASTRO!$I$4:$I$80,MATCH($A58,CADASTRO!$A$4:$A$80,0)),$B58)-CONFIG!$B$50*(COUNTIF($K58:$Q58,"AB")+COUNTIF($K58:$Q58,"FE")+COUNTIF($K58:$Q58,"LM")))</f>
        <v/>
      </c>
      <c r="AX58" s="117">
        <f>SUMPRODUCT(($R58:$X58="M")*6+($R58:$X58="T")*6+($R58:$X58="D")*12+($R58:$X58="N")*12+($R58:$X58="NT")*6+($R58:$X58="C")*10+($R58:$X58="A")*8+($R58:$X58="J")*5+($R58:$X58="CEP")*4+($R58:$X58="CP")*6+($R58:$X58="CRO")*6+($R58:$X58="M+")*6+($R58:$X58="T+")*6+($R58:$X58="D+")*12+($R58:$X58="N+")*12+($R58:$X58="Dm+")*12+($R58:$X58="Dt+")*12+($R58:$X58="Tm-")*6+($R58:$X58="Mt-")*6)</f>
        <v/>
      </c>
      <c r="AY58" s="118">
        <f>AX58-MAX(0,IFERROR(INDEX(CADASTRO!$I$4:$I$80,MATCH($A58,CADASTRO!$A$4:$A$80,0)),$B58)-CONFIG!$B$50*(COUNTIF($R58:$X58,"AB")+COUNTIF($R58:$X58,"FE")+COUNTIF($R58:$X58,"LM")))</f>
        <v/>
      </c>
      <c r="AZ58" s="117">
        <f>SUMPRODUCT(($Y58:$AE58="M")*6+($Y58:$AE58="T")*6+($Y58:$AE58="D")*12+($Y58:$AE58="N")*12+($Y58:$AE58="NT")*6+($Y58:$AE58="C")*10+($Y58:$AE58="A")*8+($Y58:$AE58="J")*5+($Y58:$AE58="CEP")*4+($Y58:$AE58="CP")*6+($Y58:$AE58="CRO")*6+($Y58:$AE58="M+")*6+($Y58:$AE58="T+")*6+($Y58:$AE58="D+")*12+($Y58:$AE58="N+")*12+($Y58:$AE58="Dm+")*12+($Y58:$AE58="Dt+")*12+($Y58:$AE58="Tm-")*6+($Y58:$AE58="Mt-")*6)</f>
        <v/>
      </c>
      <c r="BA58" s="118">
        <f>AZ58-MAX(0,IFERROR(INDEX(CADASTRO!$I$4:$I$80,MATCH($A58,CADASTRO!$A$4:$A$80,0)),$B58)-CONFIG!$B$50*(COUNTIF($Y58:$AE58,"AB")+COUNTIF($Y58:$AE58,"FE")+COUNTIF($Y58:$AE58,"LM")))</f>
        <v/>
      </c>
      <c r="BB58" s="117">
        <f>SUMPRODUCT(($AF58:$AL58="M")*6+($AF58:$AL58="T")*6+($AF58:$AL58="D")*12+($AF58:$AL58="N")*12+($AF58:$AL58="NT")*6+($AF58:$AL58="C")*10+($AF58:$AL58="A")*8+($AF58:$AL58="J")*5+($AF58:$AL58="CEP")*4+($AF58:$AL58="CP")*6+($AF58:$AL58="CRO")*6+($AF58:$AL58="M+")*6+($AF58:$AL58="T+")*6+($AF58:$AL58="D+")*12+($AF58:$AL58="N+")*12+($AF58:$AL58="Dm+")*12+($AF58:$AL58="Dt+")*12+($AF58:$AL58="Tm-")*6+($AF58:$AL58="Mt-")*6)</f>
        <v/>
      </c>
      <c r="BC58" s="118">
        <f>BB58-MAX(0,IFERROR(INDEX(CADASTRO!$I$4:$I$80,MATCH($A58,CADASTRO!$A$4:$A$80,0)),$B58)-CONFIG!$B$50*(COUNTIF($AF58:$AL58,"AB")+COUNTIF($AF58:$AL58,"FE")+COUNTIF($AF58:$AL58,"LM")))</f>
        <v/>
      </c>
      <c r="BD58" s="117">
        <f>SUMPRODUCT(($AM58:$AM58="M")*6+($AM58:$AM58="T")*6+($AM58:$AM58="D")*12+($AM58:$AM58="N")*12+($AM58:$AM58="NT")*6+($AM58:$AM58="C")*10+($AM58:$AM58="A")*8+($AM58:$AM58="J")*5+($AM58:$AM58="CEP")*4+($AM58:$AM58="CP")*6+($AM58:$AM58="CRO")*6+($AM58:$AM58="M+")*6+($AM58:$AM58="T+")*6+($AM58:$AM58="D+")*12+($AM58:$AM58="N+")*12+($AM58:$AM58="Dm+")*12+($AM58:$AM58="Dt+")*12+($AM58:$AM58="Tm-")*6+($AM58:$AM58="Mt-")*6)+SUMPRODUCT(($AN58:$AS58="M")*6+($AN58:$AS58="T")*6+($AN58:$AS58="D")*12+($AN58:$AS58="N")*12+($AN58:$AS58="NT")*6+($AN58:$AS58="C")*10+($AN58:$AS58="A")*8+($AN58:$AS58="J")*5+($AN58:$AS58="CEP")*4+($AN58:$AS58="CP")*6+($AN58:$AS58="CRO")*6+($AN58:$AS58="M+")*6+($AN58:$AS58="T+")*6+($AN58:$AS58="D+")*12+($AN58:$AS58="N+")*12+($AN58:$AS58="Dm+")*12+($AN58:$AS58="Dt+")*12+($AN58:$AS58="Tm-")*6+($AN58:$AS58="Mt-")*6)</f>
        <v/>
      </c>
      <c r="BE58" s="118">
        <f>BD58-MAX(0,IFERROR(INDEX(CADASTRO!$I$4:$I$80,MATCH($A58,CADASTRO!$A$4:$A$80,0)),$B58)-CONFIG!$B$50*(COUNTIF($AM58:$AM58,"AB")+COUNTIF($AM58:$AM58,"FE")+COUNTIF($AM58:$AM58,"LM")+COUNTIF($AN58:$AS58,"AB")+COUNTIF($AN58:$AS58,"FE")+COUNTIF($AN58:$AS58,"LM")))</f>
        <v/>
      </c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36">
        <f>IFERROR(INDEX(JUL!AI$8:AI$73,MATCH($A59,JUL!$A$8:$A$73,0))&amp;"","")</f>
        <v/>
      </c>
      <c r="E59" s="136">
        <f>IFERROR(INDEX(JUL!AJ$8:AJ$73,MATCH($A59,JUL!$A$8:$A$73,0))&amp;"","")</f>
        <v/>
      </c>
      <c r="F59" s="136">
        <f>IFERROR(INDEX(JUL!AK$8:AK$73,MATCH($A59,JUL!$A$8:$A$73,0))&amp;"","")</f>
        <v/>
      </c>
      <c r="G59" s="136">
        <f>IFERROR(INDEX(JUL!AL$8:AL$73,MATCH($A59,JUL!$A$8:$A$73,0))&amp;"","")</f>
        <v/>
      </c>
      <c r="H59" s="136">
        <f>IFERROR(INDEX(JUL!AM$8:AM$73,MATCH($A59,JUL!$A$8:$A$73,0))&amp;"","")</f>
        <v/>
      </c>
      <c r="I59" s="125" t="inlineStr">
        <is>
          <t>N</t>
        </is>
      </c>
      <c r="J59" s="125" t="inlineStr">
        <is>
          <t>N</t>
        </is>
      </c>
      <c r="K59" s="114" t="n"/>
      <c r="L59" s="114" t="n"/>
      <c r="M59" s="125" t="inlineStr">
        <is>
          <t>N</t>
        </is>
      </c>
      <c r="N59" s="114" t="n"/>
      <c r="O59" s="125" t="inlineStr">
        <is>
          <t>N</t>
        </is>
      </c>
      <c r="P59" s="114" t="n"/>
      <c r="Q59" s="114" t="n"/>
      <c r="R59" s="114" t="n"/>
      <c r="S59" s="114" t="n"/>
      <c r="T59" s="125" t="inlineStr">
        <is>
          <t>N</t>
        </is>
      </c>
      <c r="U59" s="114" t="n"/>
      <c r="V59" s="114" t="n"/>
      <c r="W59" s="125" t="inlineStr">
        <is>
          <t>N</t>
        </is>
      </c>
      <c r="X59" s="114" t="n"/>
      <c r="Y59" s="114" t="n"/>
      <c r="Z59" s="114" t="n"/>
      <c r="AA59" s="125" t="inlineStr">
        <is>
          <t>N</t>
        </is>
      </c>
      <c r="AB59" s="114" t="n"/>
      <c r="AC59" s="114" t="n"/>
      <c r="AD59" s="114" t="n"/>
      <c r="AE59" s="125" t="inlineStr">
        <is>
          <t>N</t>
        </is>
      </c>
      <c r="AF59" s="114" t="n"/>
      <c r="AG59" s="114" t="n"/>
      <c r="AH59" s="125" t="inlineStr">
        <is>
          <t>N</t>
        </is>
      </c>
      <c r="AI59" s="114" t="n"/>
      <c r="AJ59" s="114" t="n"/>
      <c r="AK59" s="125" t="inlineStr">
        <is>
          <t>N</t>
        </is>
      </c>
      <c r="AL59" s="114" t="n"/>
      <c r="AM59" s="114" t="n"/>
      <c r="AN59" s="136">
        <f>IFERROR(INDEX(SET!I$8:I$73,MATCH($A59,SET!$A$8:$A$73,0))&amp;"","")</f>
        <v/>
      </c>
      <c r="AO59" s="136">
        <f>IFERROR(INDEX(SET!J$8:J$73,MATCH($A59,SET!$A$8:$A$73,0))&amp;"","")</f>
        <v/>
      </c>
      <c r="AP59" s="136">
        <f>IFERROR(INDEX(SET!K$8:K$73,MATCH($A59,SET!$A$8:$A$73,0))&amp;"","")</f>
        <v/>
      </c>
      <c r="AQ59" s="136">
        <f>IFERROR(INDEX(SET!L$8:L$73,MATCH($A59,SET!$A$8:$A$73,0))&amp;"","")</f>
        <v/>
      </c>
      <c r="AR59" s="116">
        <f>IFERROR(INDEX(SET!M$8:M$73,MATCH($A59,SET!$A$8:$A$73,0))&amp;"","")</f>
        <v/>
      </c>
      <c r="AS59" s="116">
        <f>IFERROR(INDEX(SET!N$8:N$73,MATCH($A59,SET!$A$8:$A$73,0))&amp;"","")</f>
        <v/>
      </c>
      <c r="AT59" s="117">
        <f>SUMPRODUCT(($D59:$J59="M")*6+($D59:$J59="T")*6+($D59:$J59="D")*12+($D59:$J59="N")*12+($D59:$J59="NT")*6+($D59:$J59="C")*10+($D59:$J59="A")*8+($D59:$J59="J")*5+($D59:$J59="CEP")*4+($D59:$J59="CP")*6+($D59:$J59="CRO")*6+($D59:$J59="M+")*6+($D59:$J59="T+")*6+($D59:$J59="D+")*12+($D59:$J59="N+")*12+($D59:$J59="Dm+")*12+($D59:$J59="Dt+")*12+($D59:$J59="Tm-")*6+($D59:$J59="Mt-")*6)</f>
        <v/>
      </c>
      <c r="AU59" s="118">
        <f>AT59-MAX(0,IFERROR(INDEX(CADASTRO!$I$4:$I$80,MATCH($A59,CADASTRO!$A$4:$A$80,0)),$B59)-CONFIG!$B$50*(COUNTIF($D59:$J59,"AB")+COUNTIF($D59:$J59,"FE")+COUNTIF($D59:$J59,"LM")))</f>
        <v/>
      </c>
      <c r="AV59" s="117">
        <f>SUMPRODUCT(($K59:$Q59="M")*6+($K59:$Q59="T")*6+($K59:$Q59="D")*12+($K59:$Q59="N")*12+($K59:$Q59="NT")*6+($K59:$Q59="C")*10+($K59:$Q59="A")*8+($K59:$Q59="J")*5+($K59:$Q59="CEP")*4+($K59:$Q59="CP")*6+($K59:$Q59="CRO")*6+($K59:$Q59="M+")*6+($K59:$Q59="T+")*6+($K59:$Q59="D+")*12+($K59:$Q59="N+")*12+($K59:$Q59="Dm+")*12+($K59:$Q59="Dt+")*12+($K59:$Q59="Tm-")*6+($K59:$Q59="Mt-")*6)</f>
        <v/>
      </c>
      <c r="AW59" s="118">
        <f>AV59-MAX(0,IFERROR(INDEX(CADASTRO!$I$4:$I$80,MATCH($A59,CADASTRO!$A$4:$A$80,0)),$B59)-CONFIG!$B$50*(COUNTIF($K59:$Q59,"AB")+COUNTIF($K59:$Q59,"FE")+COUNTIF($K59:$Q59,"LM")))</f>
        <v/>
      </c>
      <c r="AX59" s="117">
        <f>SUMPRODUCT(($R59:$X59="M")*6+($R59:$X59="T")*6+($R59:$X59="D")*12+($R59:$X59="N")*12+($R59:$X59="NT")*6+($R59:$X59="C")*10+($R59:$X59="A")*8+($R59:$X59="J")*5+($R59:$X59="CEP")*4+($R59:$X59="CP")*6+($R59:$X59="CRO")*6+($R59:$X59="M+")*6+($R59:$X59="T+")*6+($R59:$X59="D+")*12+($R59:$X59="N+")*12+($R59:$X59="Dm+")*12+($R59:$X59="Dt+")*12+($R59:$X59="Tm-")*6+($R59:$X59="Mt-")*6)</f>
        <v/>
      </c>
      <c r="AY59" s="118">
        <f>AX59-MAX(0,IFERROR(INDEX(CADASTRO!$I$4:$I$80,MATCH($A59,CADASTRO!$A$4:$A$80,0)),$B59)-CONFIG!$B$50*(COUNTIF($R59:$X59,"AB")+COUNTIF($R59:$X59,"FE")+COUNTIF($R59:$X59,"LM")))</f>
        <v/>
      </c>
      <c r="AZ59" s="117">
        <f>SUMPRODUCT(($Y59:$AE59="M")*6+($Y59:$AE59="T")*6+($Y59:$AE59="D")*12+($Y59:$AE59="N")*12+($Y59:$AE59="NT")*6+($Y59:$AE59="C")*10+($Y59:$AE59="A")*8+($Y59:$AE59="J")*5+($Y59:$AE59="CEP")*4+($Y59:$AE59="CP")*6+($Y59:$AE59="CRO")*6+($Y59:$AE59="M+")*6+($Y59:$AE59="T+")*6+($Y59:$AE59="D+")*12+($Y59:$AE59="N+")*12+($Y59:$AE59="Dm+")*12+($Y59:$AE59="Dt+")*12+($Y59:$AE59="Tm-")*6+($Y59:$AE59="Mt-")*6)</f>
        <v/>
      </c>
      <c r="BA59" s="118">
        <f>AZ59-MAX(0,IFERROR(INDEX(CADASTRO!$I$4:$I$80,MATCH($A59,CADASTRO!$A$4:$A$80,0)),$B59)-CONFIG!$B$50*(COUNTIF($Y59:$AE59,"AB")+COUNTIF($Y59:$AE59,"FE")+COUNTIF($Y59:$AE59,"LM")))</f>
        <v/>
      </c>
      <c r="BB59" s="117">
        <f>SUMPRODUCT(($AF59:$AL59="M")*6+($AF59:$AL59="T")*6+($AF59:$AL59="D")*12+($AF59:$AL59="N")*12+($AF59:$AL59="NT")*6+($AF59:$AL59="C")*10+($AF59:$AL59="A")*8+($AF59:$AL59="J")*5+($AF59:$AL59="CEP")*4+($AF59:$AL59="CP")*6+($AF59:$AL59="CRO")*6+($AF59:$AL59="M+")*6+($AF59:$AL59="T+")*6+($AF59:$AL59="D+")*12+($AF59:$AL59="N+")*12+($AF59:$AL59="Dm+")*12+($AF59:$AL59="Dt+")*12+($AF59:$AL59="Tm-")*6+($AF59:$AL59="Mt-")*6)</f>
        <v/>
      </c>
      <c r="BC59" s="118">
        <f>BB59-MAX(0,IFERROR(INDEX(CADASTRO!$I$4:$I$80,MATCH($A59,CADASTRO!$A$4:$A$80,0)),$B59)-CONFIG!$B$50*(COUNTIF($AF59:$AL59,"AB")+COUNTIF($AF59:$AL59,"FE")+COUNTIF($AF59:$AL59,"LM")))</f>
        <v/>
      </c>
      <c r="BD59" s="117">
        <f>SUMPRODUCT(($AM59:$AM59="M")*6+($AM59:$AM59="T")*6+($AM59:$AM59="D")*12+($AM59:$AM59="N")*12+($AM59:$AM59="NT")*6+($AM59:$AM59="C")*10+($AM59:$AM59="A")*8+($AM59:$AM59="J")*5+($AM59:$AM59="CEP")*4+($AM59:$AM59="CP")*6+($AM59:$AM59="CRO")*6+($AM59:$AM59="M+")*6+($AM59:$AM59="T+")*6+($AM59:$AM59="D+")*12+($AM59:$AM59="N+")*12+($AM59:$AM59="Dm+")*12+($AM59:$AM59="Dt+")*12+($AM59:$AM59="Tm-")*6+($AM59:$AM59="Mt-")*6)+SUMPRODUCT(($AN59:$AS59="M")*6+($AN59:$AS59="T")*6+($AN59:$AS59="D")*12+($AN59:$AS59="N")*12+($AN59:$AS59="NT")*6+($AN59:$AS59="C")*10+($AN59:$AS59="A")*8+($AN59:$AS59="J")*5+($AN59:$AS59="CEP")*4+($AN59:$AS59="CP")*6+($AN59:$AS59="CRO")*6+($AN59:$AS59="M+")*6+($AN59:$AS59="T+")*6+($AN59:$AS59="D+")*12+($AN59:$AS59="N+")*12+($AN59:$AS59="Dm+")*12+($AN59:$AS59="Dt+")*12+($AN59:$AS59="Tm-")*6+($AN59:$AS59="Mt-")*6)</f>
        <v/>
      </c>
      <c r="BE59" s="118">
        <f>BD59-MAX(0,IFERROR(INDEX(CADASTRO!$I$4:$I$80,MATCH($A59,CADASTRO!$A$4:$A$80,0)),$B59)-CONFIG!$B$50*(COUNTIF($AM59:$AM59,"AB")+COUNTIF($AM59:$AM59,"FE")+COUNTIF($AM59:$AM59,"LM")+COUNTIF($AN59:$AS59,"AB")+COUNTIF($AN59:$AS59,"FE")+COUNTIF($AN59:$AS59,"LM")))</f>
        <v/>
      </c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36">
        <f>IFERROR(INDEX(JUL!AI$8:AI$73,MATCH($A60,JUL!$A$8:$A$73,0))&amp;"","")</f>
        <v/>
      </c>
      <c r="E60" s="136">
        <f>IFERROR(INDEX(JUL!AJ$8:AJ$73,MATCH($A60,JUL!$A$8:$A$73,0))&amp;"","")</f>
        <v/>
      </c>
      <c r="F60" s="136">
        <f>IFERROR(INDEX(JUL!AK$8:AK$73,MATCH($A60,JUL!$A$8:$A$73,0))&amp;"","")</f>
        <v/>
      </c>
      <c r="G60" s="136">
        <f>IFERROR(INDEX(JUL!AL$8:AL$73,MATCH($A60,JUL!$A$8:$A$73,0))&amp;"","")</f>
        <v/>
      </c>
      <c r="H60" s="136">
        <f>IFERROR(INDEX(JUL!AM$8:AM$73,MATCH($A60,JUL!$A$8:$A$73,0))&amp;"","")</f>
        <v/>
      </c>
      <c r="I60" s="114" t="n"/>
      <c r="J60" s="125" t="inlineStr">
        <is>
          <t>N</t>
        </is>
      </c>
      <c r="K60" s="114" t="n"/>
      <c r="L60" s="125" t="inlineStr">
        <is>
          <t>N</t>
        </is>
      </c>
      <c r="M60" s="114" t="n"/>
      <c r="N60" s="114" t="n"/>
      <c r="O60" s="125" t="inlineStr">
        <is>
          <t>N</t>
        </is>
      </c>
      <c r="P60" s="114" t="n"/>
      <c r="Q60" s="114" t="n"/>
      <c r="R60" s="114" t="n"/>
      <c r="S60" s="114" t="n"/>
      <c r="T60" s="114" t="n"/>
      <c r="U60" s="114" t="n"/>
      <c r="V60" s="125" t="inlineStr">
        <is>
          <t>N</t>
        </is>
      </c>
      <c r="W60" s="114" t="n"/>
      <c r="X60" s="124" t="inlineStr">
        <is>
          <t>D</t>
        </is>
      </c>
      <c r="Y60" s="114" t="n"/>
      <c r="Z60" s="126" t="inlineStr">
        <is>
          <t>T</t>
        </is>
      </c>
      <c r="AA60" s="114" t="n"/>
      <c r="AB60" s="126" t="inlineStr">
        <is>
          <t>T</t>
        </is>
      </c>
      <c r="AC60" s="114" t="n"/>
      <c r="AD60" s="114" t="n"/>
      <c r="AE60" s="124" t="inlineStr">
        <is>
          <t>D</t>
        </is>
      </c>
      <c r="AF60" s="114" t="n"/>
      <c r="AG60" s="126" t="inlineStr">
        <is>
          <t>T</t>
        </is>
      </c>
      <c r="AH60" s="114" t="n"/>
      <c r="AI60" s="126" t="inlineStr">
        <is>
          <t>T</t>
        </is>
      </c>
      <c r="AJ60" s="114" t="n"/>
      <c r="AK60" s="114" t="n"/>
      <c r="AL60" s="124" t="inlineStr">
        <is>
          <t>D</t>
        </is>
      </c>
      <c r="AM60" s="114" t="n"/>
      <c r="AN60" s="136">
        <f>IFERROR(INDEX(SET!I$8:I$73,MATCH($A60,SET!$A$8:$A$73,0))&amp;"","")</f>
        <v/>
      </c>
      <c r="AO60" s="136">
        <f>IFERROR(INDEX(SET!J$8:J$73,MATCH($A60,SET!$A$8:$A$73,0))&amp;"","")</f>
        <v/>
      </c>
      <c r="AP60" s="136">
        <f>IFERROR(INDEX(SET!K$8:K$73,MATCH($A60,SET!$A$8:$A$73,0))&amp;"","")</f>
        <v/>
      </c>
      <c r="AQ60" s="136">
        <f>IFERROR(INDEX(SET!L$8:L$73,MATCH($A60,SET!$A$8:$A$73,0))&amp;"","")</f>
        <v/>
      </c>
      <c r="AR60" s="116">
        <f>IFERROR(INDEX(SET!M$8:M$73,MATCH($A60,SET!$A$8:$A$73,0))&amp;"","")</f>
        <v/>
      </c>
      <c r="AS60" s="116">
        <f>IFERROR(INDEX(SET!N$8:N$73,MATCH($A60,SET!$A$8:$A$73,0))&amp;"","")</f>
        <v/>
      </c>
      <c r="AT60" s="117">
        <f>SUMPRODUCT(($D60:$J60="M")*6+($D60:$J60="T")*6+($D60:$J60="D")*12+($D60:$J60="N")*12+($D60:$J60="NT")*6+($D60:$J60="C")*10+($D60:$J60="A")*8+($D60:$J60="J")*5+($D60:$J60="CEP")*4+($D60:$J60="CP")*6+($D60:$J60="CRO")*6+($D60:$J60="M+")*6+($D60:$J60="T+")*6+($D60:$J60="D+")*12+($D60:$J60="N+")*12+($D60:$J60="Dm+")*12+($D60:$J60="Dt+")*12+($D60:$J60="Tm-")*6+($D60:$J60="Mt-")*6)</f>
        <v/>
      </c>
      <c r="AU60" s="118">
        <f>AT60-MAX(0,IFERROR(INDEX(CADASTRO!$I$4:$I$80,MATCH($A60,CADASTRO!$A$4:$A$80,0)),$B60)-CONFIG!$B$50*(COUNTIF($D60:$J60,"AB")+COUNTIF($D60:$J60,"FE")+COUNTIF($D60:$J60,"LM")))</f>
        <v/>
      </c>
      <c r="AV60" s="117">
        <f>SUMPRODUCT(($K60:$Q60="M")*6+($K60:$Q60="T")*6+($K60:$Q60="D")*12+($K60:$Q60="N")*12+($K60:$Q60="NT")*6+($K60:$Q60="C")*10+($K60:$Q60="A")*8+($K60:$Q60="J")*5+($K60:$Q60="CEP")*4+($K60:$Q60="CP")*6+($K60:$Q60="CRO")*6+($K60:$Q60="M+")*6+($K60:$Q60="T+")*6+($K60:$Q60="D+")*12+($K60:$Q60="N+")*12+($K60:$Q60="Dm+")*12+($K60:$Q60="Dt+")*12+($K60:$Q60="Tm-")*6+($K60:$Q60="Mt-")*6)</f>
        <v/>
      </c>
      <c r="AW60" s="118">
        <f>AV60-MAX(0,IFERROR(INDEX(CADASTRO!$I$4:$I$80,MATCH($A60,CADASTRO!$A$4:$A$80,0)),$B60)-CONFIG!$B$50*(COUNTIF($K60:$Q60,"AB")+COUNTIF($K60:$Q60,"FE")+COUNTIF($K60:$Q60,"LM")))</f>
        <v/>
      </c>
      <c r="AX60" s="117">
        <f>SUMPRODUCT(($R60:$X60="M")*6+($R60:$X60="T")*6+($R60:$X60="D")*12+($R60:$X60="N")*12+($R60:$X60="NT")*6+($R60:$X60="C")*10+($R60:$X60="A")*8+($R60:$X60="J")*5+($R60:$X60="CEP")*4+($R60:$X60="CP")*6+($R60:$X60="CRO")*6+($R60:$X60="M+")*6+($R60:$X60="T+")*6+($R60:$X60="D+")*12+($R60:$X60="N+")*12+($R60:$X60="Dm+")*12+($R60:$X60="Dt+")*12+($R60:$X60="Tm-")*6+($R60:$X60="Mt-")*6)</f>
        <v/>
      </c>
      <c r="AY60" s="118">
        <f>AX60-MAX(0,IFERROR(INDEX(CADASTRO!$I$4:$I$80,MATCH($A60,CADASTRO!$A$4:$A$80,0)),$B60)-CONFIG!$B$50*(COUNTIF($R60:$X60,"AB")+COUNTIF($R60:$X60,"FE")+COUNTIF($R60:$X60,"LM")))</f>
        <v/>
      </c>
      <c r="AZ60" s="117">
        <f>SUMPRODUCT(($Y60:$AE60="M")*6+($Y60:$AE60="T")*6+($Y60:$AE60="D")*12+($Y60:$AE60="N")*12+($Y60:$AE60="NT")*6+($Y60:$AE60="C")*10+($Y60:$AE60="A")*8+($Y60:$AE60="J")*5+($Y60:$AE60="CEP")*4+($Y60:$AE60="CP")*6+($Y60:$AE60="CRO")*6+($Y60:$AE60="M+")*6+($Y60:$AE60="T+")*6+($Y60:$AE60="D+")*12+($Y60:$AE60="N+")*12+($Y60:$AE60="Dm+")*12+($Y60:$AE60="Dt+")*12+($Y60:$AE60="Tm-")*6+($Y60:$AE60="Mt-")*6)</f>
        <v/>
      </c>
      <c r="BA60" s="118">
        <f>AZ60-MAX(0,IFERROR(INDEX(CADASTRO!$I$4:$I$80,MATCH($A60,CADASTRO!$A$4:$A$80,0)),$B60)-CONFIG!$B$50*(COUNTIF($Y60:$AE60,"AB")+COUNTIF($Y60:$AE60,"FE")+COUNTIF($Y60:$AE60,"LM")))</f>
        <v/>
      </c>
      <c r="BB60" s="117">
        <f>SUMPRODUCT(($AF60:$AL60="M")*6+($AF60:$AL60="T")*6+($AF60:$AL60="D")*12+($AF60:$AL60="N")*12+($AF60:$AL60="NT")*6+($AF60:$AL60="C")*10+($AF60:$AL60="A")*8+($AF60:$AL60="J")*5+($AF60:$AL60="CEP")*4+($AF60:$AL60="CP")*6+($AF60:$AL60="CRO")*6+($AF60:$AL60="M+")*6+($AF60:$AL60="T+")*6+($AF60:$AL60="D+")*12+($AF60:$AL60="N+")*12+($AF60:$AL60="Dm+")*12+($AF60:$AL60="Dt+")*12+($AF60:$AL60="Tm-")*6+($AF60:$AL60="Mt-")*6)</f>
        <v/>
      </c>
      <c r="BC60" s="118">
        <f>BB60-MAX(0,IFERROR(INDEX(CADASTRO!$I$4:$I$80,MATCH($A60,CADASTRO!$A$4:$A$80,0)),$B60)-CONFIG!$B$50*(COUNTIF($AF60:$AL60,"AB")+COUNTIF($AF60:$AL60,"FE")+COUNTIF($AF60:$AL60,"LM")))</f>
        <v/>
      </c>
      <c r="BD60" s="117">
        <f>SUMPRODUCT(($AM60:$AM60="M")*6+($AM60:$AM60="T")*6+($AM60:$AM60="D")*12+($AM60:$AM60="N")*12+($AM60:$AM60="NT")*6+($AM60:$AM60="C")*10+($AM60:$AM60="A")*8+($AM60:$AM60="J")*5+($AM60:$AM60="CEP")*4+($AM60:$AM60="CP")*6+($AM60:$AM60="CRO")*6+($AM60:$AM60="M+")*6+($AM60:$AM60="T+")*6+($AM60:$AM60="D+")*12+($AM60:$AM60="N+")*12+($AM60:$AM60="Dm+")*12+($AM60:$AM60="Dt+")*12+($AM60:$AM60="Tm-")*6+($AM60:$AM60="Mt-")*6)+SUMPRODUCT(($AN60:$AS60="M")*6+($AN60:$AS60="T")*6+($AN60:$AS60="D")*12+($AN60:$AS60="N")*12+($AN60:$AS60="NT")*6+($AN60:$AS60="C")*10+($AN60:$AS60="A")*8+($AN60:$AS60="J")*5+($AN60:$AS60="CEP")*4+($AN60:$AS60="CP")*6+($AN60:$AS60="CRO")*6+($AN60:$AS60="M+")*6+($AN60:$AS60="T+")*6+($AN60:$AS60="D+")*12+($AN60:$AS60="N+")*12+($AN60:$AS60="Dm+")*12+($AN60:$AS60="Dt+")*12+($AN60:$AS60="Tm-")*6+($AN60:$AS60="Mt-")*6)</f>
        <v/>
      </c>
      <c r="BE60" s="118">
        <f>BD60-MAX(0,IFERROR(INDEX(CADASTRO!$I$4:$I$80,MATCH($A60,CADASTRO!$A$4:$A$80,0)),$B60)-CONFIG!$B$50*(COUNTIF($AM60:$AM60,"AB")+COUNTIF($AM60:$AM60,"FE")+COUNTIF($AM60:$AM60,"LM")+COUNTIF($AN60:$AS60,"AB")+COUNTIF($AN60:$AS60,"FE")+COUNTIF($AN60:$AS60,"LM")))</f>
        <v/>
      </c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36">
        <f>IFERROR(INDEX(JUL!AI$8:AI$73,MATCH($A61,JUL!$A$8:$A$73,0))&amp;"","")</f>
        <v/>
      </c>
      <c r="E61" s="136">
        <f>IFERROR(INDEX(JUL!AJ$8:AJ$73,MATCH($A61,JUL!$A$8:$A$73,0))&amp;"","")</f>
        <v/>
      </c>
      <c r="F61" s="136">
        <f>IFERROR(INDEX(JUL!AK$8:AK$73,MATCH($A61,JUL!$A$8:$A$73,0))&amp;"","")</f>
        <v/>
      </c>
      <c r="G61" s="136">
        <f>IFERROR(INDEX(JUL!AL$8:AL$73,MATCH($A61,JUL!$A$8:$A$73,0))&amp;"","")</f>
        <v/>
      </c>
      <c r="H61" s="136">
        <f>IFERROR(INDEX(JUL!AM$8:AM$73,MATCH($A61,JUL!$A$8:$A$73,0))&amp;"","")</f>
        <v/>
      </c>
      <c r="I61" s="114" t="n"/>
      <c r="J61" s="125" t="inlineStr">
        <is>
          <t>N</t>
        </is>
      </c>
      <c r="K61" s="125" t="inlineStr">
        <is>
          <t>N</t>
        </is>
      </c>
      <c r="L61" s="114" t="n"/>
      <c r="M61" s="114" t="n"/>
      <c r="N61" s="124" t="inlineStr">
        <is>
          <t>D</t>
        </is>
      </c>
      <c r="O61" s="114" t="n"/>
      <c r="P61" s="114" t="n"/>
      <c r="Q61" s="114" t="n"/>
      <c r="R61" s="124" t="inlineStr">
        <is>
          <t>D</t>
        </is>
      </c>
      <c r="S61" s="114" t="n"/>
      <c r="T61" s="114" t="n"/>
      <c r="U61" s="124" t="inlineStr">
        <is>
          <t>D</t>
        </is>
      </c>
      <c r="V61" s="114" t="n"/>
      <c r="W61" s="114" t="n"/>
      <c r="X61" s="114" t="n"/>
      <c r="Y61" s="124" t="inlineStr">
        <is>
          <t>D</t>
        </is>
      </c>
      <c r="Z61" s="114" t="n"/>
      <c r="AA61" s="114" t="n"/>
      <c r="AB61" s="124" t="inlineStr">
        <is>
          <t>D</t>
        </is>
      </c>
      <c r="AC61" s="114" t="n"/>
      <c r="AD61" s="114" t="n"/>
      <c r="AE61" s="114" t="n"/>
      <c r="AF61" s="124" t="inlineStr">
        <is>
          <t>D</t>
        </is>
      </c>
      <c r="AG61" s="114" t="n"/>
      <c r="AH61" s="114" t="n"/>
      <c r="AI61" s="114" t="n"/>
      <c r="AJ61" s="114" t="n"/>
      <c r="AK61" s="125" t="inlineStr">
        <is>
          <t>N</t>
        </is>
      </c>
      <c r="AL61" s="114" t="n"/>
      <c r="AM61" s="124" t="inlineStr">
        <is>
          <t>D</t>
        </is>
      </c>
      <c r="AN61" s="136">
        <f>IFERROR(INDEX(SET!I$8:I$73,MATCH($A61,SET!$A$8:$A$73,0))&amp;"","")</f>
        <v/>
      </c>
      <c r="AO61" s="136">
        <f>IFERROR(INDEX(SET!J$8:J$73,MATCH($A61,SET!$A$8:$A$73,0))&amp;"","")</f>
        <v/>
      </c>
      <c r="AP61" s="136">
        <f>IFERROR(INDEX(SET!K$8:K$73,MATCH($A61,SET!$A$8:$A$73,0))&amp;"","")</f>
        <v/>
      </c>
      <c r="AQ61" s="136">
        <f>IFERROR(INDEX(SET!L$8:L$73,MATCH($A61,SET!$A$8:$A$73,0))&amp;"","")</f>
        <v/>
      </c>
      <c r="AR61" s="116">
        <f>IFERROR(INDEX(SET!M$8:M$73,MATCH($A61,SET!$A$8:$A$73,0))&amp;"","")</f>
        <v/>
      </c>
      <c r="AS61" s="116">
        <f>IFERROR(INDEX(SET!N$8:N$73,MATCH($A61,SET!$A$8:$A$73,0))&amp;"","")</f>
        <v/>
      </c>
      <c r="AT61" s="117">
        <f>SUMPRODUCT(($D61:$J61="M")*6+($D61:$J61="T")*6+($D61:$J61="D")*12+($D61:$J61="N")*12+($D61:$J61="NT")*6+($D61:$J61="C")*10+($D61:$J61="A")*8+($D61:$J61="J")*5+($D61:$J61="CEP")*4+($D61:$J61="CP")*6+($D61:$J61="CRO")*6+($D61:$J61="M+")*6+($D61:$J61="T+")*6+($D61:$J61="D+")*12+($D61:$J61="N+")*12+($D61:$J61="Dm+")*12+($D61:$J61="Dt+")*12+($D61:$J61="Tm-")*6+($D61:$J61="Mt-")*6)</f>
        <v/>
      </c>
      <c r="AU61" s="118">
        <f>AT61-MAX(0,IFERROR(INDEX(CADASTRO!$I$4:$I$80,MATCH($A61,CADASTRO!$A$4:$A$80,0)),$B61)-CONFIG!$B$50*(COUNTIF($D61:$J61,"AB")+COUNTIF($D61:$J61,"FE")+COUNTIF($D61:$J61,"LM")))</f>
        <v/>
      </c>
      <c r="AV61" s="117">
        <f>SUMPRODUCT(($K61:$Q61="M")*6+($K61:$Q61="T")*6+($K61:$Q61="D")*12+($K61:$Q61="N")*12+($K61:$Q61="NT")*6+($K61:$Q61="C")*10+($K61:$Q61="A")*8+($K61:$Q61="J")*5+($K61:$Q61="CEP")*4+($K61:$Q61="CP")*6+($K61:$Q61="CRO")*6+($K61:$Q61="M+")*6+($K61:$Q61="T+")*6+($K61:$Q61="D+")*12+($K61:$Q61="N+")*12+($K61:$Q61="Dm+")*12+($K61:$Q61="Dt+")*12+($K61:$Q61="Tm-")*6+($K61:$Q61="Mt-")*6)</f>
        <v/>
      </c>
      <c r="AW61" s="118">
        <f>AV61-MAX(0,IFERROR(INDEX(CADASTRO!$I$4:$I$80,MATCH($A61,CADASTRO!$A$4:$A$80,0)),$B61)-CONFIG!$B$50*(COUNTIF($K61:$Q61,"AB")+COUNTIF($K61:$Q61,"FE")+COUNTIF($K61:$Q61,"LM")))</f>
        <v/>
      </c>
      <c r="AX61" s="117">
        <f>SUMPRODUCT(($R61:$X61="M")*6+($R61:$X61="T")*6+($R61:$X61="D")*12+($R61:$X61="N")*12+($R61:$X61="NT")*6+($R61:$X61="C")*10+($R61:$X61="A")*8+($R61:$X61="J")*5+($R61:$X61="CEP")*4+($R61:$X61="CP")*6+($R61:$X61="CRO")*6+($R61:$X61="M+")*6+($R61:$X61="T+")*6+($R61:$X61="D+")*12+($R61:$X61="N+")*12+($R61:$X61="Dm+")*12+($R61:$X61="Dt+")*12+($R61:$X61="Tm-")*6+($R61:$X61="Mt-")*6)</f>
        <v/>
      </c>
      <c r="AY61" s="118">
        <f>AX61-MAX(0,IFERROR(INDEX(CADASTRO!$I$4:$I$80,MATCH($A61,CADASTRO!$A$4:$A$80,0)),$B61)-CONFIG!$B$50*(COUNTIF($R61:$X61,"AB")+COUNTIF($R61:$X61,"FE")+COUNTIF($R61:$X61,"LM")))</f>
        <v/>
      </c>
      <c r="AZ61" s="117">
        <f>SUMPRODUCT(($Y61:$AE61="M")*6+($Y61:$AE61="T")*6+($Y61:$AE61="D")*12+($Y61:$AE61="N")*12+($Y61:$AE61="NT")*6+($Y61:$AE61="C")*10+($Y61:$AE61="A")*8+($Y61:$AE61="J")*5+($Y61:$AE61="CEP")*4+($Y61:$AE61="CP")*6+($Y61:$AE61="CRO")*6+($Y61:$AE61="M+")*6+($Y61:$AE61="T+")*6+($Y61:$AE61="D+")*12+($Y61:$AE61="N+")*12+($Y61:$AE61="Dm+")*12+($Y61:$AE61="Dt+")*12+($Y61:$AE61="Tm-")*6+($Y61:$AE61="Mt-")*6)</f>
        <v/>
      </c>
      <c r="BA61" s="118">
        <f>AZ61-MAX(0,IFERROR(INDEX(CADASTRO!$I$4:$I$80,MATCH($A61,CADASTRO!$A$4:$A$80,0)),$B61)-CONFIG!$B$50*(COUNTIF($Y61:$AE61,"AB")+COUNTIF($Y61:$AE61,"FE")+COUNTIF($Y61:$AE61,"LM")))</f>
        <v/>
      </c>
      <c r="BB61" s="117">
        <f>SUMPRODUCT(($AF61:$AL61="M")*6+($AF61:$AL61="T")*6+($AF61:$AL61="D")*12+($AF61:$AL61="N")*12+($AF61:$AL61="NT")*6+($AF61:$AL61="C")*10+($AF61:$AL61="A")*8+($AF61:$AL61="J")*5+($AF61:$AL61="CEP")*4+($AF61:$AL61="CP")*6+($AF61:$AL61="CRO")*6+($AF61:$AL61="M+")*6+($AF61:$AL61="T+")*6+($AF61:$AL61="D+")*12+($AF61:$AL61="N+")*12+($AF61:$AL61="Dm+")*12+($AF61:$AL61="Dt+")*12+($AF61:$AL61="Tm-")*6+($AF61:$AL61="Mt-")*6)</f>
        <v/>
      </c>
      <c r="BC61" s="118">
        <f>BB61-MAX(0,IFERROR(INDEX(CADASTRO!$I$4:$I$80,MATCH($A61,CADASTRO!$A$4:$A$80,0)),$B61)-CONFIG!$B$50*(COUNTIF($AF61:$AL61,"AB")+COUNTIF($AF61:$AL61,"FE")+COUNTIF($AF61:$AL61,"LM")))</f>
        <v/>
      </c>
      <c r="BD61" s="117">
        <f>SUMPRODUCT(($AM61:$AM61="M")*6+($AM61:$AM61="T")*6+($AM61:$AM61="D")*12+($AM61:$AM61="N")*12+($AM61:$AM61="NT")*6+($AM61:$AM61="C")*10+($AM61:$AM61="A")*8+($AM61:$AM61="J")*5+($AM61:$AM61="CEP")*4+($AM61:$AM61="CP")*6+($AM61:$AM61="CRO")*6+($AM61:$AM61="M+")*6+($AM61:$AM61="T+")*6+($AM61:$AM61="D+")*12+($AM61:$AM61="N+")*12+($AM61:$AM61="Dm+")*12+($AM61:$AM61="Dt+")*12+($AM61:$AM61="Tm-")*6+($AM61:$AM61="Mt-")*6)+SUMPRODUCT(($AN61:$AS61="M")*6+($AN61:$AS61="T")*6+($AN61:$AS61="D")*12+($AN61:$AS61="N")*12+($AN61:$AS61="NT")*6+($AN61:$AS61="C")*10+($AN61:$AS61="A")*8+($AN61:$AS61="J")*5+($AN61:$AS61="CEP")*4+($AN61:$AS61="CP")*6+($AN61:$AS61="CRO")*6+($AN61:$AS61="M+")*6+($AN61:$AS61="T+")*6+($AN61:$AS61="D+")*12+($AN61:$AS61="N+")*12+($AN61:$AS61="Dm+")*12+($AN61:$AS61="Dt+")*12+($AN61:$AS61="Tm-")*6+($AN61:$AS61="Mt-")*6)</f>
        <v/>
      </c>
      <c r="BE61" s="118">
        <f>BD61-MAX(0,IFERROR(INDEX(CADASTRO!$I$4:$I$80,MATCH($A61,CADASTRO!$A$4:$A$80,0)),$B61)-CONFIG!$B$50*(COUNTIF($AM61:$AM61,"AB")+COUNTIF($AM61:$AM61,"FE")+COUNTIF($AM61:$AM61,"LM")+COUNTIF($AN61:$AS61,"AB")+COUNTIF($AN61:$AS61,"FE")+COUNTIF($AN61:$AS61,"LM")))</f>
        <v/>
      </c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36">
        <f>IFERROR(INDEX(JUL!AI$8:AI$73,MATCH($A62,JUL!$A$8:$A$73,0))&amp;"","")</f>
        <v/>
      </c>
      <c r="E62" s="136">
        <f>IFERROR(INDEX(JUL!AJ$8:AJ$73,MATCH($A62,JUL!$A$8:$A$73,0))&amp;"","")</f>
        <v/>
      </c>
      <c r="F62" s="136">
        <f>IFERROR(INDEX(JUL!AK$8:AK$73,MATCH($A62,JUL!$A$8:$A$73,0))&amp;"","")</f>
        <v/>
      </c>
      <c r="G62" s="136">
        <f>IFERROR(INDEX(JUL!AL$8:AL$73,MATCH($A62,JUL!$A$8:$A$73,0))&amp;"","")</f>
        <v/>
      </c>
      <c r="H62" s="136">
        <f>IFERROR(INDEX(JUL!AM$8:AM$73,MATCH($A62,JUL!$A$8:$A$73,0))&amp;"","")</f>
        <v/>
      </c>
      <c r="I62" s="124" t="inlineStr">
        <is>
          <t>D</t>
        </is>
      </c>
      <c r="J62" s="114" t="n"/>
      <c r="K62" s="114" t="n"/>
      <c r="L62" s="125" t="inlineStr">
        <is>
          <t>N</t>
        </is>
      </c>
      <c r="M62" s="114" t="n"/>
      <c r="N62" s="114" t="n"/>
      <c r="O62" s="114" t="n"/>
      <c r="P62" s="124" t="inlineStr">
        <is>
          <t>D</t>
        </is>
      </c>
      <c r="Q62" s="114" t="n"/>
      <c r="R62" s="114" t="n"/>
      <c r="S62" s="125" t="inlineStr">
        <is>
          <t>N</t>
        </is>
      </c>
      <c r="T62" s="114" t="n"/>
      <c r="U62" s="126" t="inlineStr">
        <is>
          <t>T</t>
        </is>
      </c>
      <c r="V62" s="126" t="inlineStr">
        <is>
          <t>T</t>
        </is>
      </c>
      <c r="W62" s="114" t="n"/>
      <c r="X62" s="114" t="n"/>
      <c r="Y62" s="114" t="n"/>
      <c r="Z62" s="125" t="inlineStr">
        <is>
          <t>N</t>
        </is>
      </c>
      <c r="AA62" s="114" t="n"/>
      <c r="AB62" s="114" t="n"/>
      <c r="AC62" s="114" t="n"/>
      <c r="AD62" s="114" t="n"/>
      <c r="AE62" s="124" t="inlineStr">
        <is>
          <t>D</t>
        </is>
      </c>
      <c r="AF62" s="114" t="n"/>
      <c r="AG62" s="125" t="inlineStr">
        <is>
          <t>N</t>
        </is>
      </c>
      <c r="AH62" s="114" t="n"/>
      <c r="AI62" s="114" t="n"/>
      <c r="AJ62" s="125" t="inlineStr">
        <is>
          <t>N</t>
        </is>
      </c>
      <c r="AK62" s="114" t="n"/>
      <c r="AL62" s="114" t="n"/>
      <c r="AM62" s="139" t="inlineStr">
        <is>
          <t>FE</t>
        </is>
      </c>
      <c r="AN62" s="136">
        <f>IFERROR(INDEX(SET!I$8:I$73,MATCH($A62,SET!$A$8:$A$73,0))&amp;"","")</f>
        <v/>
      </c>
      <c r="AO62" s="136">
        <f>IFERROR(INDEX(SET!J$8:J$73,MATCH($A62,SET!$A$8:$A$73,0))&amp;"","")</f>
        <v/>
      </c>
      <c r="AP62" s="136">
        <f>IFERROR(INDEX(SET!K$8:K$73,MATCH($A62,SET!$A$8:$A$73,0))&amp;"","")</f>
        <v/>
      </c>
      <c r="AQ62" s="136">
        <f>IFERROR(INDEX(SET!L$8:L$73,MATCH($A62,SET!$A$8:$A$73,0))&amp;"","")</f>
        <v/>
      </c>
      <c r="AR62" s="116">
        <f>IFERROR(INDEX(SET!M$8:M$73,MATCH($A62,SET!$A$8:$A$73,0))&amp;"","")</f>
        <v/>
      </c>
      <c r="AS62" s="116">
        <f>IFERROR(INDEX(SET!N$8:N$73,MATCH($A62,SET!$A$8:$A$73,0))&amp;"","")</f>
        <v/>
      </c>
      <c r="AT62" s="117">
        <f>SUMPRODUCT(($D62:$J62="M")*6+($D62:$J62="T")*6+($D62:$J62="D")*12+($D62:$J62="N")*12+($D62:$J62="NT")*6+($D62:$J62="C")*10+($D62:$J62="A")*8+($D62:$J62="J")*5+($D62:$J62="CEP")*4+($D62:$J62="CP")*6+($D62:$J62="CRO")*6+($D62:$J62="M+")*6+($D62:$J62="T+")*6+($D62:$J62="D+")*12+($D62:$J62="N+")*12+($D62:$J62="Dm+")*12+($D62:$J62="Dt+")*12+($D62:$J62="Tm-")*6+($D62:$J62="Mt-")*6)</f>
        <v/>
      </c>
      <c r="AU62" s="118">
        <f>AT62-MAX(0,IFERROR(INDEX(CADASTRO!$I$4:$I$80,MATCH($A62,CADASTRO!$A$4:$A$80,0)),$B62)-CONFIG!$B$50*(COUNTIF($D62:$J62,"AB")+COUNTIF($D62:$J62,"FE")+COUNTIF($D62:$J62,"LM")))</f>
        <v/>
      </c>
      <c r="AV62" s="117">
        <f>SUMPRODUCT(($K62:$Q62="M")*6+($K62:$Q62="T")*6+($K62:$Q62="D")*12+($K62:$Q62="N")*12+($K62:$Q62="NT")*6+($K62:$Q62="C")*10+($K62:$Q62="A")*8+($K62:$Q62="J")*5+($K62:$Q62="CEP")*4+($K62:$Q62="CP")*6+($K62:$Q62="CRO")*6+($K62:$Q62="M+")*6+($K62:$Q62="T+")*6+($K62:$Q62="D+")*12+($K62:$Q62="N+")*12+($K62:$Q62="Dm+")*12+($K62:$Q62="Dt+")*12+($K62:$Q62="Tm-")*6+($K62:$Q62="Mt-")*6)</f>
        <v/>
      </c>
      <c r="AW62" s="118">
        <f>AV62-MAX(0,IFERROR(INDEX(CADASTRO!$I$4:$I$80,MATCH($A62,CADASTRO!$A$4:$A$80,0)),$B62)-CONFIG!$B$50*(COUNTIF($K62:$Q62,"AB")+COUNTIF($K62:$Q62,"FE")+COUNTIF($K62:$Q62,"LM")))</f>
        <v/>
      </c>
      <c r="AX62" s="117">
        <f>SUMPRODUCT(($R62:$X62="M")*6+($R62:$X62="T")*6+($R62:$X62="D")*12+($R62:$X62="N")*12+($R62:$X62="NT")*6+($R62:$X62="C")*10+($R62:$X62="A")*8+($R62:$X62="J")*5+($R62:$X62="CEP")*4+($R62:$X62="CP")*6+($R62:$X62="CRO")*6+($R62:$X62="M+")*6+($R62:$X62="T+")*6+($R62:$X62="D+")*12+($R62:$X62="N+")*12+($R62:$X62="Dm+")*12+($R62:$X62="Dt+")*12+($R62:$X62="Tm-")*6+($R62:$X62="Mt-")*6)</f>
        <v/>
      </c>
      <c r="AY62" s="118">
        <f>AX62-MAX(0,IFERROR(INDEX(CADASTRO!$I$4:$I$80,MATCH($A62,CADASTRO!$A$4:$A$80,0)),$B62)-CONFIG!$B$50*(COUNTIF($R62:$X62,"AB")+COUNTIF($R62:$X62,"FE")+COUNTIF($R62:$X62,"LM")))</f>
        <v/>
      </c>
      <c r="AZ62" s="117">
        <f>SUMPRODUCT(($Y62:$AE62="M")*6+($Y62:$AE62="T")*6+($Y62:$AE62="D")*12+($Y62:$AE62="N")*12+($Y62:$AE62="NT")*6+($Y62:$AE62="C")*10+($Y62:$AE62="A")*8+($Y62:$AE62="J")*5+($Y62:$AE62="CEP")*4+($Y62:$AE62="CP")*6+($Y62:$AE62="CRO")*6+($Y62:$AE62="M+")*6+($Y62:$AE62="T+")*6+($Y62:$AE62="D+")*12+($Y62:$AE62="N+")*12+($Y62:$AE62="Dm+")*12+($Y62:$AE62="Dt+")*12+($Y62:$AE62="Tm-")*6+($Y62:$AE62="Mt-")*6)</f>
        <v/>
      </c>
      <c r="BA62" s="118">
        <f>AZ62-MAX(0,IFERROR(INDEX(CADASTRO!$I$4:$I$80,MATCH($A62,CADASTRO!$A$4:$A$80,0)),$B62)-CONFIG!$B$50*(COUNTIF($Y62:$AE62,"AB")+COUNTIF($Y62:$AE62,"FE")+COUNTIF($Y62:$AE62,"LM")))</f>
        <v/>
      </c>
      <c r="BB62" s="117">
        <f>SUMPRODUCT(($AF62:$AL62="M")*6+($AF62:$AL62="T")*6+($AF62:$AL62="D")*12+($AF62:$AL62="N")*12+($AF62:$AL62="NT")*6+($AF62:$AL62="C")*10+($AF62:$AL62="A")*8+($AF62:$AL62="J")*5+($AF62:$AL62="CEP")*4+($AF62:$AL62="CP")*6+($AF62:$AL62="CRO")*6+($AF62:$AL62="M+")*6+($AF62:$AL62="T+")*6+($AF62:$AL62="D+")*12+($AF62:$AL62="N+")*12+($AF62:$AL62="Dm+")*12+($AF62:$AL62="Dt+")*12+($AF62:$AL62="Tm-")*6+($AF62:$AL62="Mt-")*6)</f>
        <v/>
      </c>
      <c r="BC62" s="118">
        <f>BB62-MAX(0,IFERROR(INDEX(CADASTRO!$I$4:$I$80,MATCH($A62,CADASTRO!$A$4:$A$80,0)),$B62)-CONFIG!$B$50*(COUNTIF($AF62:$AL62,"AB")+COUNTIF($AF62:$AL62,"FE")+COUNTIF($AF62:$AL62,"LM")))</f>
        <v/>
      </c>
      <c r="BD62" s="117">
        <f>SUMPRODUCT(($AM62:$AM62="M")*6+($AM62:$AM62="T")*6+($AM62:$AM62="D")*12+($AM62:$AM62="N")*12+($AM62:$AM62="NT")*6+($AM62:$AM62="C")*10+($AM62:$AM62="A")*8+($AM62:$AM62="J")*5+($AM62:$AM62="CEP")*4+($AM62:$AM62="CP")*6+($AM62:$AM62="CRO")*6+($AM62:$AM62="M+")*6+($AM62:$AM62="T+")*6+($AM62:$AM62="D+")*12+($AM62:$AM62="N+")*12+($AM62:$AM62="Dm+")*12+($AM62:$AM62="Dt+")*12+($AM62:$AM62="Tm-")*6+($AM62:$AM62="Mt-")*6)+SUMPRODUCT(($AN62:$AS62="M")*6+($AN62:$AS62="T")*6+($AN62:$AS62="D")*12+($AN62:$AS62="N")*12+($AN62:$AS62="NT")*6+($AN62:$AS62="C")*10+($AN62:$AS62="A")*8+($AN62:$AS62="J")*5+($AN62:$AS62="CEP")*4+($AN62:$AS62="CP")*6+($AN62:$AS62="CRO")*6+($AN62:$AS62="M+")*6+($AN62:$AS62="T+")*6+($AN62:$AS62="D+")*12+($AN62:$AS62="N+")*12+($AN62:$AS62="Dm+")*12+($AN62:$AS62="Dt+")*12+($AN62:$AS62="Tm-")*6+($AN62:$AS62="Mt-")*6)</f>
        <v/>
      </c>
      <c r="BE62" s="118">
        <f>BD62-MAX(0,IFERROR(INDEX(CADASTRO!$I$4:$I$80,MATCH($A62,CADASTRO!$A$4:$A$80,0)),$B62)-CONFIG!$B$50*(COUNTIF($AM62:$AM62,"AB")+COUNTIF($AM62:$AM62,"FE")+COUNTIF($AM62:$AM62,"LM")+COUNTIF($AN62:$AS62,"AB")+COUNTIF($AN62:$AS62,"FE")+COUNTIF($AN62:$AS62,"LM")))</f>
        <v/>
      </c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36">
        <f>IFERROR(INDEX(JUL!AI$8:AI$73,MATCH($A63,JUL!$A$8:$A$73,0))&amp;"","")</f>
        <v/>
      </c>
      <c r="E63" s="136">
        <f>IFERROR(INDEX(JUL!AJ$8:AJ$73,MATCH($A63,JUL!$A$8:$A$73,0))&amp;"","")</f>
        <v/>
      </c>
      <c r="F63" s="136">
        <f>IFERROR(INDEX(JUL!AK$8:AK$73,MATCH($A63,JUL!$A$8:$A$73,0))&amp;"","")</f>
        <v/>
      </c>
      <c r="G63" s="136">
        <f>IFERROR(INDEX(JUL!AL$8:AL$73,MATCH($A63,JUL!$A$8:$A$73,0))&amp;"","")</f>
        <v/>
      </c>
      <c r="H63" s="136">
        <f>IFERROR(INDEX(JUL!AM$8:AM$73,MATCH($A63,JUL!$A$8:$A$73,0))&amp;"","")</f>
        <v/>
      </c>
      <c r="I63" s="124" t="inlineStr">
        <is>
          <t>D</t>
        </is>
      </c>
      <c r="J63" s="114" t="n"/>
      <c r="K63" s="114" t="n"/>
      <c r="L63" s="114" t="n"/>
      <c r="M63" s="114" t="n"/>
      <c r="N63" s="124" t="inlineStr">
        <is>
          <t>D</t>
        </is>
      </c>
      <c r="O63" s="125" t="inlineStr">
        <is>
          <t>N</t>
        </is>
      </c>
      <c r="P63" s="114" t="n"/>
      <c r="Q63" s="114" t="n"/>
      <c r="R63" s="114" t="n"/>
      <c r="S63" s="114" t="n"/>
      <c r="T63" s="114" t="n"/>
      <c r="U63" s="124" t="inlineStr">
        <is>
          <t>D</t>
        </is>
      </c>
      <c r="V63" s="114" t="n"/>
      <c r="W63" s="114" t="n"/>
      <c r="X63" s="124" t="inlineStr">
        <is>
          <t>D</t>
        </is>
      </c>
      <c r="Y63" s="114" t="n"/>
      <c r="Z63" s="114" t="n"/>
      <c r="AA63" s="124" t="inlineStr">
        <is>
          <t>D</t>
        </is>
      </c>
      <c r="AB63" s="124" t="inlineStr">
        <is>
          <t>D</t>
        </is>
      </c>
      <c r="AC63" s="114" t="n"/>
      <c r="AD63" s="114" t="n"/>
      <c r="AE63" s="114" t="n"/>
      <c r="AF63" s="114" t="n"/>
      <c r="AG63" s="114" t="n"/>
      <c r="AH63" s="124" t="inlineStr">
        <is>
          <t>D</t>
        </is>
      </c>
      <c r="AI63" s="124" t="inlineStr">
        <is>
          <t>D</t>
        </is>
      </c>
      <c r="AJ63" s="114" t="n"/>
      <c r="AK63" s="114" t="n"/>
      <c r="AL63" s="114" t="n"/>
      <c r="AM63" s="126" t="inlineStr">
        <is>
          <t>T</t>
        </is>
      </c>
      <c r="AN63" s="136">
        <f>IFERROR(INDEX(SET!I$8:I$73,MATCH($A63,SET!$A$8:$A$73,0))&amp;"","")</f>
        <v/>
      </c>
      <c r="AO63" s="136">
        <f>IFERROR(INDEX(SET!J$8:J$73,MATCH($A63,SET!$A$8:$A$73,0))&amp;"","")</f>
        <v/>
      </c>
      <c r="AP63" s="136">
        <f>IFERROR(INDEX(SET!K$8:K$73,MATCH($A63,SET!$A$8:$A$73,0))&amp;"","")</f>
        <v/>
      </c>
      <c r="AQ63" s="136">
        <f>IFERROR(INDEX(SET!L$8:L$73,MATCH($A63,SET!$A$8:$A$73,0))&amp;"","")</f>
        <v/>
      </c>
      <c r="AR63" s="116">
        <f>IFERROR(INDEX(SET!M$8:M$73,MATCH($A63,SET!$A$8:$A$73,0))&amp;"","")</f>
        <v/>
      </c>
      <c r="AS63" s="116">
        <f>IFERROR(INDEX(SET!N$8:N$73,MATCH($A63,SET!$A$8:$A$73,0))&amp;"","")</f>
        <v/>
      </c>
      <c r="AT63" s="117">
        <f>SUMPRODUCT(($D63:$J63="M")*6+($D63:$J63="T")*6+($D63:$J63="D")*12+($D63:$J63="N")*12+($D63:$J63="NT")*6+($D63:$J63="C")*10+($D63:$J63="A")*8+($D63:$J63="J")*5+($D63:$J63="CEP")*4+($D63:$J63="CP")*6+($D63:$J63="CRO")*6+($D63:$J63="M+")*6+($D63:$J63="T+")*6+($D63:$J63="D+")*12+($D63:$J63="N+")*12+($D63:$J63="Dm+")*12+($D63:$J63="Dt+")*12+($D63:$J63="Tm-")*6+($D63:$J63="Mt-")*6)</f>
        <v/>
      </c>
      <c r="AU63" s="118">
        <f>AT63-MAX(0,IFERROR(INDEX(CADASTRO!$I$4:$I$80,MATCH($A63,CADASTRO!$A$4:$A$80,0)),$B63)-CONFIG!$B$50*(COUNTIF($D63:$J63,"AB")+COUNTIF($D63:$J63,"FE")+COUNTIF($D63:$J63,"LM")))</f>
        <v/>
      </c>
      <c r="AV63" s="117">
        <f>SUMPRODUCT(($K63:$Q63="M")*6+($K63:$Q63="T")*6+($K63:$Q63="D")*12+($K63:$Q63="N")*12+($K63:$Q63="NT")*6+($K63:$Q63="C")*10+($K63:$Q63="A")*8+($K63:$Q63="J")*5+($K63:$Q63="CEP")*4+($K63:$Q63="CP")*6+($K63:$Q63="CRO")*6+($K63:$Q63="M+")*6+($K63:$Q63="T+")*6+($K63:$Q63="D+")*12+($K63:$Q63="N+")*12+($K63:$Q63="Dm+")*12+($K63:$Q63="Dt+")*12+($K63:$Q63="Tm-")*6+($K63:$Q63="Mt-")*6)</f>
        <v/>
      </c>
      <c r="AW63" s="118">
        <f>AV63-MAX(0,IFERROR(INDEX(CADASTRO!$I$4:$I$80,MATCH($A63,CADASTRO!$A$4:$A$80,0)),$B63)-CONFIG!$B$50*(COUNTIF($K63:$Q63,"AB")+COUNTIF($K63:$Q63,"FE")+COUNTIF($K63:$Q63,"LM")))</f>
        <v/>
      </c>
      <c r="AX63" s="117">
        <f>SUMPRODUCT(($R63:$X63="M")*6+($R63:$X63="T")*6+($R63:$X63="D")*12+($R63:$X63="N")*12+($R63:$X63="NT")*6+($R63:$X63="C")*10+($R63:$X63="A")*8+($R63:$X63="J")*5+($R63:$X63="CEP")*4+($R63:$X63="CP")*6+($R63:$X63="CRO")*6+($R63:$X63="M+")*6+($R63:$X63="T+")*6+($R63:$X63="D+")*12+($R63:$X63="N+")*12+($R63:$X63="Dm+")*12+($R63:$X63="Dt+")*12+($R63:$X63="Tm-")*6+($R63:$X63="Mt-")*6)</f>
        <v/>
      </c>
      <c r="AY63" s="118">
        <f>AX63-MAX(0,IFERROR(INDEX(CADASTRO!$I$4:$I$80,MATCH($A63,CADASTRO!$A$4:$A$80,0)),$B63)-CONFIG!$B$50*(COUNTIF($R63:$X63,"AB")+COUNTIF($R63:$X63,"FE")+COUNTIF($R63:$X63,"LM")))</f>
        <v/>
      </c>
      <c r="AZ63" s="117">
        <f>SUMPRODUCT(($Y63:$AE63="M")*6+($Y63:$AE63="T")*6+($Y63:$AE63="D")*12+($Y63:$AE63="N")*12+($Y63:$AE63="NT")*6+($Y63:$AE63="C")*10+($Y63:$AE63="A")*8+($Y63:$AE63="J")*5+($Y63:$AE63="CEP")*4+($Y63:$AE63="CP")*6+($Y63:$AE63="CRO")*6+($Y63:$AE63="M+")*6+($Y63:$AE63="T+")*6+($Y63:$AE63="D+")*12+($Y63:$AE63="N+")*12+($Y63:$AE63="Dm+")*12+($Y63:$AE63="Dt+")*12+($Y63:$AE63="Tm-")*6+($Y63:$AE63="Mt-")*6)</f>
        <v/>
      </c>
      <c r="BA63" s="118">
        <f>AZ63-MAX(0,IFERROR(INDEX(CADASTRO!$I$4:$I$80,MATCH($A63,CADASTRO!$A$4:$A$80,0)),$B63)-CONFIG!$B$50*(COUNTIF($Y63:$AE63,"AB")+COUNTIF($Y63:$AE63,"FE")+COUNTIF($Y63:$AE63,"LM")))</f>
        <v/>
      </c>
      <c r="BB63" s="117">
        <f>SUMPRODUCT(($AF63:$AL63="M")*6+($AF63:$AL63="T")*6+($AF63:$AL63="D")*12+($AF63:$AL63="N")*12+($AF63:$AL63="NT")*6+($AF63:$AL63="C")*10+($AF63:$AL63="A")*8+($AF63:$AL63="J")*5+($AF63:$AL63="CEP")*4+($AF63:$AL63="CP")*6+($AF63:$AL63="CRO")*6+($AF63:$AL63="M+")*6+($AF63:$AL63="T+")*6+($AF63:$AL63="D+")*12+($AF63:$AL63="N+")*12+($AF63:$AL63="Dm+")*12+($AF63:$AL63="Dt+")*12+($AF63:$AL63="Tm-")*6+($AF63:$AL63="Mt-")*6)</f>
        <v/>
      </c>
      <c r="BC63" s="118">
        <f>BB63-MAX(0,IFERROR(INDEX(CADASTRO!$I$4:$I$80,MATCH($A63,CADASTRO!$A$4:$A$80,0)),$B63)-CONFIG!$B$50*(COUNTIF($AF63:$AL63,"AB")+COUNTIF($AF63:$AL63,"FE")+COUNTIF($AF63:$AL63,"LM")))</f>
        <v/>
      </c>
      <c r="BD63" s="117">
        <f>SUMPRODUCT(($AM63:$AM63="M")*6+($AM63:$AM63="T")*6+($AM63:$AM63="D")*12+($AM63:$AM63="N")*12+($AM63:$AM63="NT")*6+($AM63:$AM63="C")*10+($AM63:$AM63="A")*8+($AM63:$AM63="J")*5+($AM63:$AM63="CEP")*4+($AM63:$AM63="CP")*6+($AM63:$AM63="CRO")*6+($AM63:$AM63="M+")*6+($AM63:$AM63="T+")*6+($AM63:$AM63="D+")*12+($AM63:$AM63="N+")*12+($AM63:$AM63="Dm+")*12+($AM63:$AM63="Dt+")*12+($AM63:$AM63="Tm-")*6+($AM63:$AM63="Mt-")*6)+SUMPRODUCT(($AN63:$AS63="M")*6+($AN63:$AS63="T")*6+($AN63:$AS63="D")*12+($AN63:$AS63="N")*12+($AN63:$AS63="NT")*6+($AN63:$AS63="C")*10+($AN63:$AS63="A")*8+($AN63:$AS63="J")*5+($AN63:$AS63="CEP")*4+($AN63:$AS63="CP")*6+($AN63:$AS63="CRO")*6+($AN63:$AS63="M+")*6+($AN63:$AS63="T+")*6+($AN63:$AS63="D+")*12+($AN63:$AS63="N+")*12+($AN63:$AS63="Dm+")*12+($AN63:$AS63="Dt+")*12+($AN63:$AS63="Tm-")*6+($AN63:$AS63="Mt-")*6)</f>
        <v/>
      </c>
      <c r="BE63" s="118">
        <f>BD63-MAX(0,IFERROR(INDEX(CADASTRO!$I$4:$I$80,MATCH($A63,CADASTRO!$A$4:$A$80,0)),$B63)-CONFIG!$B$50*(COUNTIF($AM63:$AM63,"AB")+COUNTIF($AM63:$AM63,"FE")+COUNTIF($AM63:$AM63,"LM")+COUNTIF($AN63:$AS63,"AB")+COUNTIF($AN63:$AS63,"FE")+COUNTIF($AN63:$AS63,"LM")))</f>
        <v/>
      </c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36">
        <f>IFERROR(INDEX(JUL!AI$8:AI$73,MATCH($A64,JUL!$A$8:$A$73,0))&amp;"","")</f>
        <v/>
      </c>
      <c r="E64" s="136">
        <f>IFERROR(INDEX(JUL!AJ$8:AJ$73,MATCH($A64,JUL!$A$8:$A$73,0))&amp;"","")</f>
        <v/>
      </c>
      <c r="F64" s="136">
        <f>IFERROR(INDEX(JUL!AK$8:AK$73,MATCH($A64,JUL!$A$8:$A$73,0))&amp;"","")</f>
        <v/>
      </c>
      <c r="G64" s="136">
        <f>IFERROR(INDEX(JUL!AL$8:AL$73,MATCH($A64,JUL!$A$8:$A$73,0))&amp;"","")</f>
        <v/>
      </c>
      <c r="H64" s="136">
        <f>IFERROR(INDEX(JUL!AM$8:AM$73,MATCH($A64,JUL!$A$8:$A$73,0))&amp;"","")</f>
        <v/>
      </c>
      <c r="I64" s="114" t="n"/>
      <c r="J64" s="114" t="n"/>
      <c r="K64" s="126" t="inlineStr">
        <is>
          <t>T</t>
        </is>
      </c>
      <c r="L64" s="114" t="n"/>
      <c r="M64" s="125" t="inlineStr">
        <is>
          <t>N</t>
        </is>
      </c>
      <c r="N64" s="114" t="n"/>
      <c r="O64" s="126" t="inlineStr">
        <is>
          <t>T</t>
        </is>
      </c>
      <c r="P64" s="114" t="n"/>
      <c r="Q64" s="114" t="n"/>
      <c r="R64" s="125" t="inlineStr">
        <is>
          <t>N</t>
        </is>
      </c>
      <c r="S64" s="114" t="n"/>
      <c r="T64" s="125" t="inlineStr">
        <is>
          <t>N</t>
        </is>
      </c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25" t="inlineStr">
        <is>
          <t>N</t>
        </is>
      </c>
      <c r="AE64" s="125" t="inlineStr">
        <is>
          <t>N</t>
        </is>
      </c>
      <c r="AF64" s="114" t="n"/>
      <c r="AG64" s="114" t="n"/>
      <c r="AH64" s="114" t="n"/>
      <c r="AI64" s="125" t="inlineStr">
        <is>
          <t>N</t>
        </is>
      </c>
      <c r="AJ64" s="126" t="inlineStr">
        <is>
          <t>T</t>
        </is>
      </c>
      <c r="AK64" s="114" t="n"/>
      <c r="AL64" s="126" t="inlineStr">
        <is>
          <t>T</t>
        </is>
      </c>
      <c r="AM64" s="125" t="inlineStr">
        <is>
          <t>N</t>
        </is>
      </c>
      <c r="AN64" s="136">
        <f>IFERROR(INDEX(SET!I$8:I$73,MATCH($A64,SET!$A$8:$A$73,0))&amp;"","")</f>
        <v/>
      </c>
      <c r="AO64" s="136">
        <f>IFERROR(INDEX(SET!J$8:J$73,MATCH($A64,SET!$A$8:$A$73,0))&amp;"","")</f>
        <v/>
      </c>
      <c r="AP64" s="136">
        <f>IFERROR(INDEX(SET!K$8:K$73,MATCH($A64,SET!$A$8:$A$73,0))&amp;"","")</f>
        <v/>
      </c>
      <c r="AQ64" s="136">
        <f>IFERROR(INDEX(SET!L$8:L$73,MATCH($A64,SET!$A$8:$A$73,0))&amp;"","")</f>
        <v/>
      </c>
      <c r="AR64" s="116">
        <f>IFERROR(INDEX(SET!M$8:M$73,MATCH($A64,SET!$A$8:$A$73,0))&amp;"","")</f>
        <v/>
      </c>
      <c r="AS64" s="116">
        <f>IFERROR(INDEX(SET!N$8:N$73,MATCH($A64,SET!$A$8:$A$73,0))&amp;"","")</f>
        <v/>
      </c>
      <c r="AT64" s="117">
        <f>SUMPRODUCT(($D64:$J64="M")*6+($D64:$J64="T")*6+($D64:$J64="D")*12+($D64:$J64="N")*12+($D64:$J64="NT")*6+($D64:$J64="C")*10+($D64:$J64="A")*8+($D64:$J64="J")*5+($D64:$J64="CEP")*4+($D64:$J64="CP")*6+($D64:$J64="CRO")*6+($D64:$J64="M+")*6+($D64:$J64="T+")*6+($D64:$J64="D+")*12+($D64:$J64="N+")*12+($D64:$J64="Dm+")*12+($D64:$J64="Dt+")*12+($D64:$J64="Tm-")*6+($D64:$J64="Mt-")*6)</f>
        <v/>
      </c>
      <c r="AU64" s="118">
        <f>AT64-MAX(0,IFERROR(INDEX(CADASTRO!$I$4:$I$80,MATCH($A64,CADASTRO!$A$4:$A$80,0)),$B64)-CONFIG!$B$50*(COUNTIF($D64:$J64,"AB")+COUNTIF($D64:$J64,"FE")+COUNTIF($D64:$J64,"LM")))</f>
        <v/>
      </c>
      <c r="AV64" s="117">
        <f>SUMPRODUCT(($K64:$Q64="M")*6+($K64:$Q64="T")*6+($K64:$Q64="D")*12+($K64:$Q64="N")*12+($K64:$Q64="NT")*6+($K64:$Q64="C")*10+($K64:$Q64="A")*8+($K64:$Q64="J")*5+($K64:$Q64="CEP")*4+($K64:$Q64="CP")*6+($K64:$Q64="CRO")*6+($K64:$Q64="M+")*6+($K64:$Q64="T+")*6+($K64:$Q64="D+")*12+($K64:$Q64="N+")*12+($K64:$Q64="Dm+")*12+($K64:$Q64="Dt+")*12+($K64:$Q64="Tm-")*6+($K64:$Q64="Mt-")*6)</f>
        <v/>
      </c>
      <c r="AW64" s="118">
        <f>AV64-MAX(0,IFERROR(INDEX(CADASTRO!$I$4:$I$80,MATCH($A64,CADASTRO!$A$4:$A$80,0)),$B64)-CONFIG!$B$50*(COUNTIF($K64:$Q64,"AB")+COUNTIF($K64:$Q64,"FE")+COUNTIF($K64:$Q64,"LM")))</f>
        <v/>
      </c>
      <c r="AX64" s="117">
        <f>SUMPRODUCT(($R64:$X64="M")*6+($R64:$X64="T")*6+($R64:$X64="D")*12+($R64:$X64="N")*12+($R64:$X64="NT")*6+($R64:$X64="C")*10+($R64:$X64="A")*8+($R64:$X64="J")*5+($R64:$X64="CEP")*4+($R64:$X64="CP")*6+($R64:$X64="CRO")*6+($R64:$X64="M+")*6+($R64:$X64="T+")*6+($R64:$X64="D+")*12+($R64:$X64="N+")*12+($R64:$X64="Dm+")*12+($R64:$X64="Dt+")*12+($R64:$X64="Tm-")*6+($R64:$X64="Mt-")*6)</f>
        <v/>
      </c>
      <c r="AY64" s="118">
        <f>AX64-MAX(0,IFERROR(INDEX(CADASTRO!$I$4:$I$80,MATCH($A64,CADASTRO!$A$4:$A$80,0)),$B64)-CONFIG!$B$50*(COUNTIF($R64:$X64,"AB")+COUNTIF($R64:$X64,"FE")+COUNTIF($R64:$X64,"LM")))</f>
        <v/>
      </c>
      <c r="AZ64" s="117">
        <f>SUMPRODUCT(($Y64:$AE64="M")*6+($Y64:$AE64="T")*6+($Y64:$AE64="D")*12+($Y64:$AE64="N")*12+($Y64:$AE64="NT")*6+($Y64:$AE64="C")*10+($Y64:$AE64="A")*8+($Y64:$AE64="J")*5+($Y64:$AE64="CEP")*4+($Y64:$AE64="CP")*6+($Y64:$AE64="CRO")*6+($Y64:$AE64="M+")*6+($Y64:$AE64="T+")*6+($Y64:$AE64="D+")*12+($Y64:$AE64="N+")*12+($Y64:$AE64="Dm+")*12+($Y64:$AE64="Dt+")*12+($Y64:$AE64="Tm-")*6+($Y64:$AE64="Mt-")*6)</f>
        <v/>
      </c>
      <c r="BA64" s="118">
        <f>AZ64-MAX(0,IFERROR(INDEX(CADASTRO!$I$4:$I$80,MATCH($A64,CADASTRO!$A$4:$A$80,0)),$B64)-CONFIG!$B$50*(COUNTIF($Y64:$AE64,"AB")+COUNTIF($Y64:$AE64,"FE")+COUNTIF($Y64:$AE64,"LM")))</f>
        <v/>
      </c>
      <c r="BB64" s="117">
        <f>SUMPRODUCT(($AF64:$AL64="M")*6+($AF64:$AL64="T")*6+($AF64:$AL64="D")*12+($AF64:$AL64="N")*12+($AF64:$AL64="NT")*6+($AF64:$AL64="C")*10+($AF64:$AL64="A")*8+($AF64:$AL64="J")*5+($AF64:$AL64="CEP")*4+($AF64:$AL64="CP")*6+($AF64:$AL64="CRO")*6+($AF64:$AL64="M+")*6+($AF64:$AL64="T+")*6+($AF64:$AL64="D+")*12+($AF64:$AL64="N+")*12+($AF64:$AL64="Dm+")*12+($AF64:$AL64="Dt+")*12+($AF64:$AL64="Tm-")*6+($AF64:$AL64="Mt-")*6)</f>
        <v/>
      </c>
      <c r="BC64" s="118">
        <f>BB64-MAX(0,IFERROR(INDEX(CADASTRO!$I$4:$I$80,MATCH($A64,CADASTRO!$A$4:$A$80,0)),$B64)-CONFIG!$B$50*(COUNTIF($AF64:$AL64,"AB")+COUNTIF($AF64:$AL64,"FE")+COUNTIF($AF64:$AL64,"LM")))</f>
        <v/>
      </c>
      <c r="BD64" s="117">
        <f>SUMPRODUCT(($AM64:$AM64="M")*6+($AM64:$AM64="T")*6+($AM64:$AM64="D")*12+($AM64:$AM64="N")*12+($AM64:$AM64="NT")*6+($AM64:$AM64="C")*10+($AM64:$AM64="A")*8+($AM64:$AM64="J")*5+($AM64:$AM64="CEP")*4+($AM64:$AM64="CP")*6+($AM64:$AM64="CRO")*6+($AM64:$AM64="M+")*6+($AM64:$AM64="T+")*6+($AM64:$AM64="D+")*12+($AM64:$AM64="N+")*12+($AM64:$AM64="Dm+")*12+($AM64:$AM64="Dt+")*12+($AM64:$AM64="Tm-")*6+($AM64:$AM64="Mt-")*6)+SUMPRODUCT(($AN64:$AS64="M")*6+($AN64:$AS64="T")*6+($AN64:$AS64="D")*12+($AN64:$AS64="N")*12+($AN64:$AS64="NT")*6+($AN64:$AS64="C")*10+($AN64:$AS64="A")*8+($AN64:$AS64="J")*5+($AN64:$AS64="CEP")*4+($AN64:$AS64="CP")*6+($AN64:$AS64="CRO")*6+($AN64:$AS64="M+")*6+($AN64:$AS64="T+")*6+($AN64:$AS64="D+")*12+($AN64:$AS64="N+")*12+($AN64:$AS64="Dm+")*12+($AN64:$AS64="Dt+")*12+($AN64:$AS64="Tm-")*6+($AN64:$AS64="Mt-")*6)</f>
        <v/>
      </c>
      <c r="BE64" s="118">
        <f>BD64-MAX(0,IFERROR(INDEX(CADASTRO!$I$4:$I$80,MATCH($A64,CADASTRO!$A$4:$A$80,0)),$B64)-CONFIG!$B$50*(COUNTIF($AM64:$AM64,"AB")+COUNTIF($AM64:$AM64,"FE")+COUNTIF($AM64:$AM64,"LM")+COUNTIF($AN64:$AS64,"AB")+COUNTIF($AN64:$AS64,"FE")+COUNTIF($AN64:$AS64,"LM")))</f>
        <v/>
      </c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36">
        <f>IFERROR(INDEX(JUL!AI$8:AI$73,MATCH($A65,JUL!$A$8:$A$73,0))&amp;"","")</f>
        <v/>
      </c>
      <c r="E65" s="136">
        <f>IFERROR(INDEX(JUL!AJ$8:AJ$73,MATCH($A65,JUL!$A$8:$A$73,0))&amp;"","")</f>
        <v/>
      </c>
      <c r="F65" s="136">
        <f>IFERROR(INDEX(JUL!AK$8:AK$73,MATCH($A65,JUL!$A$8:$A$73,0))&amp;"","")</f>
        <v/>
      </c>
      <c r="G65" s="136">
        <f>IFERROR(INDEX(JUL!AL$8:AL$73,MATCH($A65,JUL!$A$8:$A$73,0))&amp;"","")</f>
        <v/>
      </c>
      <c r="H65" s="136">
        <f>IFERROR(INDEX(JUL!AM$8:AM$73,MATCH($A65,JUL!$A$8:$A$73,0))&amp;"","")</f>
        <v/>
      </c>
      <c r="I65" s="114" t="n"/>
      <c r="J65" s="114" t="n"/>
      <c r="K65" s="114" t="n"/>
      <c r="L65" s="114" t="n"/>
      <c r="M65" s="114" t="n"/>
      <c r="N65" s="114" t="n"/>
      <c r="O65" s="126" t="inlineStr">
        <is>
          <t>T</t>
        </is>
      </c>
      <c r="P65" s="126" t="inlineStr">
        <is>
          <t>T</t>
        </is>
      </c>
      <c r="Q65" s="124" t="inlineStr">
        <is>
          <t>D</t>
        </is>
      </c>
      <c r="R65" s="114" t="n"/>
      <c r="S65" s="115" t="inlineStr">
        <is>
          <t>M</t>
        </is>
      </c>
      <c r="T65" s="114" t="n"/>
      <c r="U65" s="115" t="inlineStr">
        <is>
          <t>M</t>
        </is>
      </c>
      <c r="V65" s="124" t="inlineStr">
        <is>
          <t>D</t>
        </is>
      </c>
      <c r="W65" s="114" t="n"/>
      <c r="X65" s="114" t="n"/>
      <c r="Y65" s="114" t="n"/>
      <c r="Z65" s="114" t="n"/>
      <c r="AA65" s="114" t="n"/>
      <c r="AB65" s="114" t="n"/>
      <c r="AC65" s="124" t="inlineStr">
        <is>
          <t>D</t>
        </is>
      </c>
      <c r="AD65" s="124" t="inlineStr">
        <is>
          <t>D</t>
        </is>
      </c>
      <c r="AE65" s="114" t="n"/>
      <c r="AF65" s="114" t="n"/>
      <c r="AG65" s="115" t="inlineStr">
        <is>
          <t>M</t>
        </is>
      </c>
      <c r="AH65" s="114" t="n"/>
      <c r="AI65" s="126" t="inlineStr">
        <is>
          <t>T</t>
        </is>
      </c>
      <c r="AJ65" s="124" t="inlineStr">
        <is>
          <t>D</t>
        </is>
      </c>
      <c r="AK65" s="114" t="n"/>
      <c r="AL65" s="114" t="n"/>
      <c r="AM65" s="114" t="n"/>
      <c r="AN65" s="136">
        <f>IFERROR(INDEX(SET!I$8:I$73,MATCH($A65,SET!$A$8:$A$73,0))&amp;"","")</f>
        <v/>
      </c>
      <c r="AO65" s="136">
        <f>IFERROR(INDEX(SET!J$8:J$73,MATCH($A65,SET!$A$8:$A$73,0))&amp;"","")</f>
        <v/>
      </c>
      <c r="AP65" s="136">
        <f>IFERROR(INDEX(SET!K$8:K$73,MATCH($A65,SET!$A$8:$A$73,0))&amp;"","")</f>
        <v/>
      </c>
      <c r="AQ65" s="136">
        <f>IFERROR(INDEX(SET!L$8:L$73,MATCH($A65,SET!$A$8:$A$73,0))&amp;"","")</f>
        <v/>
      </c>
      <c r="AR65" s="116">
        <f>IFERROR(INDEX(SET!M$8:M$73,MATCH($A65,SET!$A$8:$A$73,0))&amp;"","")</f>
        <v/>
      </c>
      <c r="AS65" s="116">
        <f>IFERROR(INDEX(SET!N$8:N$73,MATCH($A65,SET!$A$8:$A$73,0))&amp;"","")</f>
        <v/>
      </c>
      <c r="AT65" s="117">
        <f>SUMPRODUCT(($D65:$J65="M")*6+($D65:$J65="T")*6+($D65:$J65="D")*12+($D65:$J65="N")*12+($D65:$J65="NT")*6+($D65:$J65="C")*10+($D65:$J65="A")*8+($D65:$J65="J")*5+($D65:$J65="CEP")*4+($D65:$J65="CP")*6+($D65:$J65="CRO")*6+($D65:$J65="M+")*6+($D65:$J65="T+")*6+($D65:$J65="D+")*12+($D65:$J65="N+")*12+($D65:$J65="Dm+")*12+($D65:$J65="Dt+")*12+($D65:$J65="Tm-")*6+($D65:$J65="Mt-")*6)</f>
        <v/>
      </c>
      <c r="AU65" s="118">
        <f>AT65-MAX(0,IFERROR(INDEX(CADASTRO!$I$4:$I$80,MATCH($A65,CADASTRO!$A$4:$A$80,0)),$B65)-CONFIG!$B$50*(COUNTIF($D65:$J65,"AB")+COUNTIF($D65:$J65,"FE")+COUNTIF($D65:$J65,"LM")))</f>
        <v/>
      </c>
      <c r="AV65" s="117">
        <f>SUMPRODUCT(($K65:$Q65="M")*6+($K65:$Q65="T")*6+($K65:$Q65="D")*12+($K65:$Q65="N")*12+($K65:$Q65="NT")*6+($K65:$Q65="C")*10+($K65:$Q65="A")*8+($K65:$Q65="J")*5+($K65:$Q65="CEP")*4+($K65:$Q65="CP")*6+($K65:$Q65="CRO")*6+($K65:$Q65="M+")*6+($K65:$Q65="T+")*6+($K65:$Q65="D+")*12+($K65:$Q65="N+")*12+($K65:$Q65="Dm+")*12+($K65:$Q65="Dt+")*12+($K65:$Q65="Tm-")*6+($K65:$Q65="Mt-")*6)</f>
        <v/>
      </c>
      <c r="AW65" s="118">
        <f>AV65-MAX(0,IFERROR(INDEX(CADASTRO!$I$4:$I$80,MATCH($A65,CADASTRO!$A$4:$A$80,0)),$B65)-CONFIG!$B$50*(COUNTIF($K65:$Q65,"AB")+COUNTIF($K65:$Q65,"FE")+COUNTIF($K65:$Q65,"LM")))</f>
        <v/>
      </c>
      <c r="AX65" s="117">
        <f>SUMPRODUCT(($R65:$X65="M")*6+($R65:$X65="T")*6+($R65:$X65="D")*12+($R65:$X65="N")*12+($R65:$X65="NT")*6+($R65:$X65="C")*10+($R65:$X65="A")*8+($R65:$X65="J")*5+($R65:$X65="CEP")*4+($R65:$X65="CP")*6+($R65:$X65="CRO")*6+($R65:$X65="M+")*6+($R65:$X65="T+")*6+($R65:$X65="D+")*12+($R65:$X65="N+")*12+($R65:$X65="Dm+")*12+($R65:$X65="Dt+")*12+($R65:$X65="Tm-")*6+($R65:$X65="Mt-")*6)</f>
        <v/>
      </c>
      <c r="AY65" s="118">
        <f>AX65-MAX(0,IFERROR(INDEX(CADASTRO!$I$4:$I$80,MATCH($A65,CADASTRO!$A$4:$A$80,0)),$B65)-CONFIG!$B$50*(COUNTIF($R65:$X65,"AB")+COUNTIF($R65:$X65,"FE")+COUNTIF($R65:$X65,"LM")))</f>
        <v/>
      </c>
      <c r="AZ65" s="117">
        <f>SUMPRODUCT(($Y65:$AE65="M")*6+($Y65:$AE65="T")*6+($Y65:$AE65="D")*12+($Y65:$AE65="N")*12+($Y65:$AE65="NT")*6+($Y65:$AE65="C")*10+($Y65:$AE65="A")*8+($Y65:$AE65="J")*5+($Y65:$AE65="CEP")*4+($Y65:$AE65="CP")*6+($Y65:$AE65="CRO")*6+($Y65:$AE65="M+")*6+($Y65:$AE65="T+")*6+($Y65:$AE65="D+")*12+($Y65:$AE65="N+")*12+($Y65:$AE65="Dm+")*12+($Y65:$AE65="Dt+")*12+($Y65:$AE65="Tm-")*6+($Y65:$AE65="Mt-")*6)</f>
        <v/>
      </c>
      <c r="BA65" s="118">
        <f>AZ65-MAX(0,IFERROR(INDEX(CADASTRO!$I$4:$I$80,MATCH($A65,CADASTRO!$A$4:$A$80,0)),$B65)-CONFIG!$B$50*(COUNTIF($Y65:$AE65,"AB")+COUNTIF($Y65:$AE65,"FE")+COUNTIF($Y65:$AE65,"LM")))</f>
        <v/>
      </c>
      <c r="BB65" s="117">
        <f>SUMPRODUCT(($AF65:$AL65="M")*6+($AF65:$AL65="T")*6+($AF65:$AL65="D")*12+($AF65:$AL65="N")*12+($AF65:$AL65="NT")*6+($AF65:$AL65="C")*10+($AF65:$AL65="A")*8+($AF65:$AL65="J")*5+($AF65:$AL65="CEP")*4+($AF65:$AL65="CP")*6+($AF65:$AL65="CRO")*6+($AF65:$AL65="M+")*6+($AF65:$AL65="T+")*6+($AF65:$AL65="D+")*12+($AF65:$AL65="N+")*12+($AF65:$AL65="Dm+")*12+($AF65:$AL65="Dt+")*12+($AF65:$AL65="Tm-")*6+($AF65:$AL65="Mt-")*6)</f>
        <v/>
      </c>
      <c r="BC65" s="118">
        <f>BB65-MAX(0,IFERROR(INDEX(CADASTRO!$I$4:$I$80,MATCH($A65,CADASTRO!$A$4:$A$80,0)),$B65)-CONFIG!$B$50*(COUNTIF($AF65:$AL65,"AB")+COUNTIF($AF65:$AL65,"FE")+COUNTIF($AF65:$AL65,"LM")))</f>
        <v/>
      </c>
      <c r="BD65" s="117">
        <f>SUMPRODUCT(($AM65:$AM65="M")*6+($AM65:$AM65="T")*6+($AM65:$AM65="D")*12+($AM65:$AM65="N")*12+($AM65:$AM65="NT")*6+($AM65:$AM65="C")*10+($AM65:$AM65="A")*8+($AM65:$AM65="J")*5+($AM65:$AM65="CEP")*4+($AM65:$AM65="CP")*6+($AM65:$AM65="CRO")*6+($AM65:$AM65="M+")*6+($AM65:$AM65="T+")*6+($AM65:$AM65="D+")*12+($AM65:$AM65="N+")*12+($AM65:$AM65="Dm+")*12+($AM65:$AM65="Dt+")*12+($AM65:$AM65="Tm-")*6+($AM65:$AM65="Mt-")*6)+SUMPRODUCT(($AN65:$AS65="M")*6+($AN65:$AS65="T")*6+($AN65:$AS65="D")*12+($AN65:$AS65="N")*12+($AN65:$AS65="NT")*6+($AN65:$AS65="C")*10+($AN65:$AS65="A")*8+($AN65:$AS65="J")*5+($AN65:$AS65="CEP")*4+($AN65:$AS65="CP")*6+($AN65:$AS65="CRO")*6+($AN65:$AS65="M+")*6+($AN65:$AS65="T+")*6+($AN65:$AS65="D+")*12+($AN65:$AS65="N+")*12+($AN65:$AS65="Dm+")*12+($AN65:$AS65="Dt+")*12+($AN65:$AS65="Tm-")*6+($AN65:$AS65="Mt-")*6)</f>
        <v/>
      </c>
      <c r="BE65" s="118">
        <f>BD65-MAX(0,IFERROR(INDEX(CADASTRO!$I$4:$I$80,MATCH($A65,CADASTRO!$A$4:$A$80,0)),$B65)-CONFIG!$B$50*(COUNTIF($AM65:$AM65,"AB")+COUNTIF($AM65:$AM65,"FE")+COUNTIF($AM65:$AM65,"LM")+COUNTIF($AN65:$AS65,"AB")+COUNTIF($AN65:$AS65,"FE")+COUNTIF($AN65:$AS65,"LM")))</f>
        <v/>
      </c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36">
        <f>IFERROR(INDEX(JUL!AI$8:AI$73,MATCH($A66,JUL!$A$8:$A$73,0))&amp;"","")</f>
        <v/>
      </c>
      <c r="E66" s="136">
        <f>IFERROR(INDEX(JUL!AJ$8:AJ$73,MATCH($A66,JUL!$A$8:$A$73,0))&amp;"","")</f>
        <v/>
      </c>
      <c r="F66" s="136">
        <f>IFERROR(INDEX(JUL!AK$8:AK$73,MATCH($A66,JUL!$A$8:$A$73,0))&amp;"","")</f>
        <v/>
      </c>
      <c r="G66" s="136">
        <f>IFERROR(INDEX(JUL!AL$8:AL$73,MATCH($A66,JUL!$A$8:$A$73,0))&amp;"","")</f>
        <v/>
      </c>
      <c r="H66" s="136">
        <f>IFERROR(INDEX(JUL!AM$8:AM$73,MATCH($A66,JUL!$A$8:$A$73,0))&amp;"","")</f>
        <v/>
      </c>
      <c r="I66" s="125" t="inlineStr">
        <is>
          <t>N</t>
        </is>
      </c>
      <c r="J66" s="114" t="n"/>
      <c r="K66" s="114" t="n"/>
      <c r="L66" s="114" t="n"/>
      <c r="M66" s="114" t="n"/>
      <c r="N66" s="114" t="n"/>
      <c r="O66" s="114" t="n"/>
      <c r="P66" s="126" t="inlineStr">
        <is>
          <t>T</t>
        </is>
      </c>
      <c r="Q66" s="124" t="inlineStr">
        <is>
          <t>D</t>
        </is>
      </c>
      <c r="R66" s="125" t="inlineStr">
        <is>
          <t>N</t>
        </is>
      </c>
      <c r="S66" s="114" t="n"/>
      <c r="T66" s="114" t="n"/>
      <c r="U66" s="114" t="n"/>
      <c r="V66" s="125" t="inlineStr">
        <is>
          <t>N</t>
        </is>
      </c>
      <c r="W66" s="114" t="n"/>
      <c r="X66" s="114" t="n"/>
      <c r="Y66" s="125" t="inlineStr">
        <is>
          <t>N</t>
        </is>
      </c>
      <c r="Z66" s="114" t="n"/>
      <c r="AA66" s="114" t="n"/>
      <c r="AB66" s="125" t="inlineStr">
        <is>
          <t>N</t>
        </is>
      </c>
      <c r="AC66" s="114" t="n"/>
      <c r="AD66" s="114" t="n"/>
      <c r="AE66" s="114" t="n"/>
      <c r="AF66" s="125" t="inlineStr">
        <is>
          <t>N</t>
        </is>
      </c>
      <c r="AG66" s="114" t="n"/>
      <c r="AH66" s="114" t="n"/>
      <c r="AI66" s="125" t="inlineStr">
        <is>
          <t>N</t>
        </is>
      </c>
      <c r="AJ66" s="114" t="n"/>
      <c r="AK66" s="114" t="n"/>
      <c r="AL66" s="114" t="n"/>
      <c r="AM66" s="125" t="inlineStr">
        <is>
          <t>N</t>
        </is>
      </c>
      <c r="AN66" s="136">
        <f>IFERROR(INDEX(SET!I$8:I$73,MATCH($A66,SET!$A$8:$A$73,0))&amp;"","")</f>
        <v/>
      </c>
      <c r="AO66" s="136">
        <f>IFERROR(INDEX(SET!J$8:J$73,MATCH($A66,SET!$A$8:$A$73,0))&amp;"","")</f>
        <v/>
      </c>
      <c r="AP66" s="136">
        <f>IFERROR(INDEX(SET!K$8:K$73,MATCH($A66,SET!$A$8:$A$73,0))&amp;"","")</f>
        <v/>
      </c>
      <c r="AQ66" s="136">
        <f>IFERROR(INDEX(SET!L$8:L$73,MATCH($A66,SET!$A$8:$A$73,0))&amp;"","")</f>
        <v/>
      </c>
      <c r="AR66" s="116">
        <f>IFERROR(INDEX(SET!M$8:M$73,MATCH($A66,SET!$A$8:$A$73,0))&amp;"","")</f>
        <v/>
      </c>
      <c r="AS66" s="116">
        <f>IFERROR(INDEX(SET!N$8:N$73,MATCH($A66,SET!$A$8:$A$73,0))&amp;"","")</f>
        <v/>
      </c>
      <c r="AT66" s="117">
        <f>SUMPRODUCT(($D66:$J66="M")*6+($D66:$J66="T")*6+($D66:$J66="D")*12+($D66:$J66="N")*12+($D66:$J66="NT")*6+($D66:$J66="C")*10+($D66:$J66="A")*8+($D66:$J66="J")*5+($D66:$J66="CEP")*4+($D66:$J66="CP")*6+($D66:$J66="CRO")*6+($D66:$J66="M+")*6+($D66:$J66="T+")*6+($D66:$J66="D+")*12+($D66:$J66="N+")*12+($D66:$J66="Dm+")*12+($D66:$J66="Dt+")*12+($D66:$J66="Tm-")*6+($D66:$J66="Mt-")*6)</f>
        <v/>
      </c>
      <c r="AU66" s="118">
        <f>AT66-MAX(0,IFERROR(INDEX(CADASTRO!$I$4:$I$80,MATCH($A66,CADASTRO!$A$4:$A$80,0)),$B66)-CONFIG!$B$50*(COUNTIF($D66:$J66,"AB")+COUNTIF($D66:$J66,"FE")+COUNTIF($D66:$J66,"LM")))</f>
        <v/>
      </c>
      <c r="AV66" s="117">
        <f>SUMPRODUCT(($K66:$Q66="M")*6+($K66:$Q66="T")*6+($K66:$Q66="D")*12+($K66:$Q66="N")*12+($K66:$Q66="NT")*6+($K66:$Q66="C")*10+($K66:$Q66="A")*8+($K66:$Q66="J")*5+($K66:$Q66="CEP")*4+($K66:$Q66="CP")*6+($K66:$Q66="CRO")*6+($K66:$Q66="M+")*6+($K66:$Q66="T+")*6+($K66:$Q66="D+")*12+($K66:$Q66="N+")*12+($K66:$Q66="Dm+")*12+($K66:$Q66="Dt+")*12+($K66:$Q66="Tm-")*6+($K66:$Q66="Mt-")*6)</f>
        <v/>
      </c>
      <c r="AW66" s="118">
        <f>AV66-MAX(0,IFERROR(INDEX(CADASTRO!$I$4:$I$80,MATCH($A66,CADASTRO!$A$4:$A$80,0)),$B66)-CONFIG!$B$50*(COUNTIF($K66:$Q66,"AB")+COUNTIF($K66:$Q66,"FE")+COUNTIF($K66:$Q66,"LM")))</f>
        <v/>
      </c>
      <c r="AX66" s="117">
        <f>SUMPRODUCT(($R66:$X66="M")*6+($R66:$X66="T")*6+($R66:$X66="D")*12+($R66:$X66="N")*12+($R66:$X66="NT")*6+($R66:$X66="C")*10+($R66:$X66="A")*8+($R66:$X66="J")*5+($R66:$X66="CEP")*4+($R66:$X66="CP")*6+($R66:$X66="CRO")*6+($R66:$X66="M+")*6+($R66:$X66="T+")*6+($R66:$X66="D+")*12+($R66:$X66="N+")*12+($R66:$X66="Dm+")*12+($R66:$X66="Dt+")*12+($R66:$X66="Tm-")*6+($R66:$X66="Mt-")*6)</f>
        <v/>
      </c>
      <c r="AY66" s="118">
        <f>AX66-MAX(0,IFERROR(INDEX(CADASTRO!$I$4:$I$80,MATCH($A66,CADASTRO!$A$4:$A$80,0)),$B66)-CONFIG!$B$50*(COUNTIF($R66:$X66,"AB")+COUNTIF($R66:$X66,"FE")+COUNTIF($R66:$X66,"LM")))</f>
        <v/>
      </c>
      <c r="AZ66" s="117">
        <f>SUMPRODUCT(($Y66:$AE66="M")*6+($Y66:$AE66="T")*6+($Y66:$AE66="D")*12+($Y66:$AE66="N")*12+($Y66:$AE66="NT")*6+($Y66:$AE66="C")*10+($Y66:$AE66="A")*8+($Y66:$AE66="J")*5+($Y66:$AE66="CEP")*4+($Y66:$AE66="CP")*6+($Y66:$AE66="CRO")*6+($Y66:$AE66="M+")*6+($Y66:$AE66="T+")*6+($Y66:$AE66="D+")*12+($Y66:$AE66="N+")*12+($Y66:$AE66="Dm+")*12+($Y66:$AE66="Dt+")*12+($Y66:$AE66="Tm-")*6+($Y66:$AE66="Mt-")*6)</f>
        <v/>
      </c>
      <c r="BA66" s="118">
        <f>AZ66-MAX(0,IFERROR(INDEX(CADASTRO!$I$4:$I$80,MATCH($A66,CADASTRO!$A$4:$A$80,0)),$B66)-CONFIG!$B$50*(COUNTIF($Y66:$AE66,"AB")+COUNTIF($Y66:$AE66,"FE")+COUNTIF($Y66:$AE66,"LM")))</f>
        <v/>
      </c>
      <c r="BB66" s="117">
        <f>SUMPRODUCT(($AF66:$AL66="M")*6+($AF66:$AL66="T")*6+($AF66:$AL66="D")*12+($AF66:$AL66="N")*12+($AF66:$AL66="NT")*6+($AF66:$AL66="C")*10+($AF66:$AL66="A")*8+($AF66:$AL66="J")*5+($AF66:$AL66="CEP")*4+($AF66:$AL66="CP")*6+($AF66:$AL66="CRO")*6+($AF66:$AL66="M+")*6+($AF66:$AL66="T+")*6+($AF66:$AL66="D+")*12+($AF66:$AL66="N+")*12+($AF66:$AL66="Dm+")*12+($AF66:$AL66="Dt+")*12+($AF66:$AL66="Tm-")*6+($AF66:$AL66="Mt-")*6)</f>
        <v/>
      </c>
      <c r="BC66" s="118">
        <f>BB66-MAX(0,IFERROR(INDEX(CADASTRO!$I$4:$I$80,MATCH($A66,CADASTRO!$A$4:$A$80,0)),$B66)-CONFIG!$B$50*(COUNTIF($AF66:$AL66,"AB")+COUNTIF($AF66:$AL66,"FE")+COUNTIF($AF66:$AL66,"LM")))</f>
        <v/>
      </c>
      <c r="BD66" s="117">
        <f>SUMPRODUCT(($AM66:$AM66="M")*6+($AM66:$AM66="T")*6+($AM66:$AM66="D")*12+($AM66:$AM66="N")*12+($AM66:$AM66="NT")*6+($AM66:$AM66="C")*10+($AM66:$AM66="A")*8+($AM66:$AM66="J")*5+($AM66:$AM66="CEP")*4+($AM66:$AM66="CP")*6+($AM66:$AM66="CRO")*6+($AM66:$AM66="M+")*6+($AM66:$AM66="T+")*6+($AM66:$AM66="D+")*12+($AM66:$AM66="N+")*12+($AM66:$AM66="Dm+")*12+($AM66:$AM66="Dt+")*12+($AM66:$AM66="Tm-")*6+($AM66:$AM66="Mt-")*6)+SUMPRODUCT(($AN66:$AS66="M")*6+($AN66:$AS66="T")*6+($AN66:$AS66="D")*12+($AN66:$AS66="N")*12+($AN66:$AS66="NT")*6+($AN66:$AS66="C")*10+($AN66:$AS66="A")*8+($AN66:$AS66="J")*5+($AN66:$AS66="CEP")*4+($AN66:$AS66="CP")*6+($AN66:$AS66="CRO")*6+($AN66:$AS66="M+")*6+($AN66:$AS66="T+")*6+($AN66:$AS66="D+")*12+($AN66:$AS66="N+")*12+($AN66:$AS66="Dm+")*12+($AN66:$AS66="Dt+")*12+($AN66:$AS66="Tm-")*6+($AN66:$AS66="Mt-")*6)</f>
        <v/>
      </c>
      <c r="BE66" s="118">
        <f>BD66-MAX(0,IFERROR(INDEX(CADASTRO!$I$4:$I$80,MATCH($A66,CADASTRO!$A$4:$A$80,0)),$B66)-CONFIG!$B$50*(COUNTIF($AM66:$AM66,"AB")+COUNTIF($AM66:$AM66,"FE")+COUNTIF($AM66:$AM66,"LM")+COUNTIF($AN66:$AS66,"AB")+COUNTIF($AN66:$AS66,"FE")+COUNTIF($AN66:$AS66,"LM")))</f>
        <v/>
      </c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36">
        <f>IFERROR(INDEX(JUL!AI$8:AI$73,MATCH($A67,JUL!$A$8:$A$73,0))&amp;"","")</f>
        <v/>
      </c>
      <c r="E67" s="136">
        <f>IFERROR(INDEX(JUL!AJ$8:AJ$73,MATCH($A67,JUL!$A$8:$A$73,0))&amp;"","")</f>
        <v/>
      </c>
      <c r="F67" s="136">
        <f>IFERROR(INDEX(JUL!AK$8:AK$73,MATCH($A67,JUL!$A$8:$A$73,0))&amp;"","")</f>
        <v/>
      </c>
      <c r="G67" s="136">
        <f>IFERROR(INDEX(JUL!AL$8:AL$73,MATCH($A67,JUL!$A$8:$A$73,0))&amp;"","")</f>
        <v/>
      </c>
      <c r="H67" s="136">
        <f>IFERROR(INDEX(JUL!AM$8:AM$73,MATCH($A67,JUL!$A$8:$A$73,0))&amp;"","")</f>
        <v/>
      </c>
      <c r="I67" s="125" t="inlineStr">
        <is>
          <t>N</t>
        </is>
      </c>
      <c r="J67" s="114" t="n"/>
      <c r="K67" s="115" t="inlineStr">
        <is>
          <t>M</t>
        </is>
      </c>
      <c r="L67" s="114" t="n"/>
      <c r="M67" s="131" t="inlineStr">
        <is>
          <t>CP</t>
        </is>
      </c>
      <c r="N67" s="114" t="n"/>
      <c r="O67" s="126" t="inlineStr">
        <is>
          <t>T</t>
        </is>
      </c>
      <c r="P67" s="115" t="inlineStr">
        <is>
          <t>M</t>
        </is>
      </c>
      <c r="Q67" s="114" t="n"/>
      <c r="R67" s="114" t="n"/>
      <c r="S67" s="131" t="inlineStr">
        <is>
          <t>CP</t>
        </is>
      </c>
      <c r="T67" s="131" t="inlineStr">
        <is>
          <t>CP</t>
        </is>
      </c>
      <c r="U67" s="114" t="n"/>
      <c r="V67" s="115" t="inlineStr">
        <is>
          <t>M</t>
        </is>
      </c>
      <c r="W67" s="114" t="n"/>
      <c r="X67" s="115" t="inlineStr">
        <is>
          <t>M</t>
        </is>
      </c>
      <c r="Y67" s="131" t="inlineStr">
        <is>
          <t>CP</t>
        </is>
      </c>
      <c r="Z67" s="114" t="n"/>
      <c r="AA67" s="131" t="inlineStr">
        <is>
          <t>CP</t>
        </is>
      </c>
      <c r="AB67" s="114" t="n"/>
      <c r="AC67" s="126" t="inlineStr">
        <is>
          <t>T</t>
        </is>
      </c>
      <c r="AD67" s="114" t="n"/>
      <c r="AE67" s="115" t="inlineStr">
        <is>
          <t>M</t>
        </is>
      </c>
      <c r="AF67" s="131" t="inlineStr">
        <is>
          <t>CP</t>
        </is>
      </c>
      <c r="AG67" s="131" t="inlineStr">
        <is>
          <t>CP</t>
        </is>
      </c>
      <c r="AH67" s="125" t="inlineStr">
        <is>
          <t>N</t>
        </is>
      </c>
      <c r="AI67" s="114" t="n"/>
      <c r="AJ67" s="114" t="n"/>
      <c r="AK67" s="114" t="n"/>
      <c r="AL67" s="114" t="n"/>
      <c r="AM67" s="131" t="inlineStr">
        <is>
          <t>CP</t>
        </is>
      </c>
      <c r="AN67" s="136">
        <f>IFERROR(INDEX(SET!I$8:I$73,MATCH($A67,SET!$A$8:$A$73,0))&amp;"","")</f>
        <v/>
      </c>
      <c r="AO67" s="136">
        <f>IFERROR(INDEX(SET!J$8:J$73,MATCH($A67,SET!$A$8:$A$73,0))&amp;"","")</f>
        <v/>
      </c>
      <c r="AP67" s="136">
        <f>IFERROR(INDEX(SET!K$8:K$73,MATCH($A67,SET!$A$8:$A$73,0))&amp;"","")</f>
        <v/>
      </c>
      <c r="AQ67" s="136">
        <f>IFERROR(INDEX(SET!L$8:L$73,MATCH($A67,SET!$A$8:$A$73,0))&amp;"","")</f>
        <v/>
      </c>
      <c r="AR67" s="116">
        <f>IFERROR(INDEX(SET!M$8:M$73,MATCH($A67,SET!$A$8:$A$73,0))&amp;"","")</f>
        <v/>
      </c>
      <c r="AS67" s="116">
        <f>IFERROR(INDEX(SET!N$8:N$73,MATCH($A67,SET!$A$8:$A$73,0))&amp;"","")</f>
        <v/>
      </c>
      <c r="AT67" s="117">
        <f>SUMPRODUCT(($D67:$J67="M")*6+($D67:$J67="T")*6+($D67:$J67="D")*12+($D67:$J67="N")*12+($D67:$J67="NT")*6+($D67:$J67="C")*10+($D67:$J67="A")*8+($D67:$J67="J")*5+($D67:$J67="CEP")*4+($D67:$J67="CP")*6+($D67:$J67="CRO")*6+($D67:$J67="M+")*6+($D67:$J67="T+")*6+($D67:$J67="D+")*12+($D67:$J67="N+")*12+($D67:$J67="Dm+")*12+($D67:$J67="Dt+")*12+($D67:$J67="Tm-")*6+($D67:$J67="Mt-")*6)</f>
        <v/>
      </c>
      <c r="AU67" s="118">
        <f>AT67-MAX(0,IFERROR(INDEX(CADASTRO!$I$4:$I$80,MATCH($A67,CADASTRO!$A$4:$A$80,0)),$B67)-CONFIG!$B$50*(COUNTIF($D67:$J67,"AB")+COUNTIF($D67:$J67,"FE")+COUNTIF($D67:$J67,"LM")))</f>
        <v/>
      </c>
      <c r="AV67" s="117">
        <f>SUMPRODUCT(($K67:$Q67="M")*6+($K67:$Q67="T")*6+($K67:$Q67="D")*12+($K67:$Q67="N")*12+($K67:$Q67="NT")*6+($K67:$Q67="C")*10+($K67:$Q67="A")*8+($K67:$Q67="J")*5+($K67:$Q67="CEP")*4+($K67:$Q67="CP")*6+($K67:$Q67="CRO")*6+($K67:$Q67="M+")*6+($K67:$Q67="T+")*6+($K67:$Q67="D+")*12+($K67:$Q67="N+")*12+($K67:$Q67="Dm+")*12+($K67:$Q67="Dt+")*12+($K67:$Q67="Tm-")*6+($K67:$Q67="Mt-")*6)</f>
        <v/>
      </c>
      <c r="AW67" s="118">
        <f>AV67-MAX(0,IFERROR(INDEX(CADASTRO!$I$4:$I$80,MATCH($A67,CADASTRO!$A$4:$A$80,0)),$B67)-CONFIG!$B$50*(COUNTIF($K67:$Q67,"AB")+COUNTIF($K67:$Q67,"FE")+COUNTIF($K67:$Q67,"LM")))</f>
        <v/>
      </c>
      <c r="AX67" s="117">
        <f>SUMPRODUCT(($R67:$X67="M")*6+($R67:$X67="T")*6+($R67:$X67="D")*12+($R67:$X67="N")*12+($R67:$X67="NT")*6+($R67:$X67="C")*10+($R67:$X67="A")*8+($R67:$X67="J")*5+($R67:$X67="CEP")*4+($R67:$X67="CP")*6+($R67:$X67="CRO")*6+($R67:$X67="M+")*6+($R67:$X67="T+")*6+($R67:$X67="D+")*12+($R67:$X67="N+")*12+($R67:$X67="Dm+")*12+($R67:$X67="Dt+")*12+($R67:$X67="Tm-")*6+($R67:$X67="Mt-")*6)</f>
        <v/>
      </c>
      <c r="AY67" s="118">
        <f>AX67-MAX(0,IFERROR(INDEX(CADASTRO!$I$4:$I$80,MATCH($A67,CADASTRO!$A$4:$A$80,0)),$B67)-CONFIG!$B$50*(COUNTIF($R67:$X67,"AB")+COUNTIF($R67:$X67,"FE")+COUNTIF($R67:$X67,"LM")))</f>
        <v/>
      </c>
      <c r="AZ67" s="117">
        <f>SUMPRODUCT(($Y67:$AE67="M")*6+($Y67:$AE67="T")*6+($Y67:$AE67="D")*12+($Y67:$AE67="N")*12+($Y67:$AE67="NT")*6+($Y67:$AE67="C")*10+($Y67:$AE67="A")*8+($Y67:$AE67="J")*5+($Y67:$AE67="CEP")*4+($Y67:$AE67="CP")*6+($Y67:$AE67="CRO")*6+($Y67:$AE67="M+")*6+($Y67:$AE67="T+")*6+($Y67:$AE67="D+")*12+($Y67:$AE67="N+")*12+($Y67:$AE67="Dm+")*12+($Y67:$AE67="Dt+")*12+($Y67:$AE67="Tm-")*6+($Y67:$AE67="Mt-")*6)</f>
        <v/>
      </c>
      <c r="BA67" s="118">
        <f>AZ67-MAX(0,IFERROR(INDEX(CADASTRO!$I$4:$I$80,MATCH($A67,CADASTRO!$A$4:$A$80,0)),$B67)-CONFIG!$B$50*(COUNTIF($Y67:$AE67,"AB")+COUNTIF($Y67:$AE67,"FE")+COUNTIF($Y67:$AE67,"LM")))</f>
        <v/>
      </c>
      <c r="BB67" s="117">
        <f>SUMPRODUCT(($AF67:$AL67="M")*6+($AF67:$AL67="T")*6+($AF67:$AL67="D")*12+($AF67:$AL67="N")*12+($AF67:$AL67="NT")*6+($AF67:$AL67="C")*10+($AF67:$AL67="A")*8+($AF67:$AL67="J")*5+($AF67:$AL67="CEP")*4+($AF67:$AL67="CP")*6+($AF67:$AL67="CRO")*6+($AF67:$AL67="M+")*6+($AF67:$AL67="T+")*6+($AF67:$AL67="D+")*12+($AF67:$AL67="N+")*12+($AF67:$AL67="Dm+")*12+($AF67:$AL67="Dt+")*12+($AF67:$AL67="Tm-")*6+($AF67:$AL67="Mt-")*6)</f>
        <v/>
      </c>
      <c r="BC67" s="118">
        <f>BB67-MAX(0,IFERROR(INDEX(CADASTRO!$I$4:$I$80,MATCH($A67,CADASTRO!$A$4:$A$80,0)),$B67)-CONFIG!$B$50*(COUNTIF($AF67:$AL67,"AB")+COUNTIF($AF67:$AL67,"FE")+COUNTIF($AF67:$AL67,"LM")))</f>
        <v/>
      </c>
      <c r="BD67" s="117">
        <f>SUMPRODUCT(($AM67:$AM67="M")*6+($AM67:$AM67="T")*6+($AM67:$AM67="D")*12+($AM67:$AM67="N")*12+($AM67:$AM67="NT")*6+($AM67:$AM67="C")*10+($AM67:$AM67="A")*8+($AM67:$AM67="J")*5+($AM67:$AM67="CEP")*4+($AM67:$AM67="CP")*6+($AM67:$AM67="CRO")*6+($AM67:$AM67="M+")*6+($AM67:$AM67="T+")*6+($AM67:$AM67="D+")*12+($AM67:$AM67="N+")*12+($AM67:$AM67="Dm+")*12+($AM67:$AM67="Dt+")*12+($AM67:$AM67="Tm-")*6+($AM67:$AM67="Mt-")*6)+SUMPRODUCT(($AN67:$AS67="M")*6+($AN67:$AS67="T")*6+($AN67:$AS67="D")*12+($AN67:$AS67="N")*12+($AN67:$AS67="NT")*6+($AN67:$AS67="C")*10+($AN67:$AS67="A")*8+($AN67:$AS67="J")*5+($AN67:$AS67="CEP")*4+($AN67:$AS67="CP")*6+($AN67:$AS67="CRO")*6+($AN67:$AS67="M+")*6+($AN67:$AS67="T+")*6+($AN67:$AS67="D+")*12+($AN67:$AS67="N+")*12+($AN67:$AS67="Dm+")*12+($AN67:$AS67="Dt+")*12+($AN67:$AS67="Tm-")*6+($AN67:$AS67="Mt-")*6)</f>
        <v/>
      </c>
      <c r="BE67" s="118">
        <f>BD67-MAX(0,IFERROR(INDEX(CADASTRO!$I$4:$I$80,MATCH($A67,CADASTRO!$A$4:$A$80,0)),$B67)-CONFIG!$B$50*(COUNTIF($AM67:$AM67,"AB")+COUNTIF($AM67:$AM67,"FE")+COUNTIF($AM67:$AM67,"LM")+COUNTIF($AN67:$AS67,"AB")+COUNTIF($AN67:$AS67,"FE")+COUNTIF($AN67:$AS67,"LM")))</f>
        <v/>
      </c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36">
        <f>IFERROR(INDEX(JUL!AI$8:AI$73,MATCH($A68,JUL!$A$8:$A$73,0))&amp;"","")</f>
        <v/>
      </c>
      <c r="E68" s="136">
        <f>IFERROR(INDEX(JUL!AJ$8:AJ$73,MATCH($A68,JUL!$A$8:$A$73,0))&amp;"","")</f>
        <v/>
      </c>
      <c r="F68" s="136">
        <f>IFERROR(INDEX(JUL!AK$8:AK$73,MATCH($A68,JUL!$A$8:$A$73,0))&amp;"","")</f>
        <v/>
      </c>
      <c r="G68" s="136">
        <f>IFERROR(INDEX(JUL!AL$8:AL$73,MATCH($A68,JUL!$A$8:$A$73,0))&amp;"","")</f>
        <v/>
      </c>
      <c r="H68" s="136">
        <f>IFERROR(INDEX(JUL!AM$8:AM$73,MATCH($A68,JUL!$A$8:$A$73,0))&amp;"","")</f>
        <v/>
      </c>
      <c r="I68" s="114" t="n"/>
      <c r="J68" s="124" t="inlineStr">
        <is>
          <t>D</t>
        </is>
      </c>
      <c r="K68" s="114" t="n"/>
      <c r="L68" s="114" t="n"/>
      <c r="M68" s="126" t="inlineStr">
        <is>
          <t>T</t>
        </is>
      </c>
      <c r="N68" s="114" t="n"/>
      <c r="O68" s="124" t="inlineStr">
        <is>
          <t>D</t>
        </is>
      </c>
      <c r="P68" s="114" t="n"/>
      <c r="Q68" s="126" t="inlineStr">
        <is>
          <t>T</t>
        </is>
      </c>
      <c r="R68" s="114" t="n"/>
      <c r="S68" s="114" t="n"/>
      <c r="T68" s="125" t="inlineStr">
        <is>
          <t>N</t>
        </is>
      </c>
      <c r="U68" s="114" t="n"/>
      <c r="V68" s="114" t="n"/>
      <c r="W68" s="124" t="inlineStr">
        <is>
          <t>D</t>
        </is>
      </c>
      <c r="X68" s="114" t="n"/>
      <c r="Y68" s="114" t="n"/>
      <c r="Z68" s="114" t="n"/>
      <c r="AA68" s="124" t="inlineStr">
        <is>
          <t>D</t>
        </is>
      </c>
      <c r="AB68" s="114" t="n"/>
      <c r="AC68" s="124" t="inlineStr">
        <is>
          <t>D</t>
        </is>
      </c>
      <c r="AD68" s="114" t="n"/>
      <c r="AE68" s="114" t="n"/>
      <c r="AF68" s="114" t="n"/>
      <c r="AG68" s="114" t="n"/>
      <c r="AH68" s="124" t="inlineStr">
        <is>
          <t>D</t>
        </is>
      </c>
      <c r="AI68" s="114" t="n"/>
      <c r="AJ68" s="124" t="inlineStr">
        <is>
          <t>D</t>
        </is>
      </c>
      <c r="AK68" s="114" t="n"/>
      <c r="AL68" s="114" t="n"/>
      <c r="AM68" s="114" t="n"/>
      <c r="AN68" s="136">
        <f>IFERROR(INDEX(SET!I$8:I$73,MATCH($A68,SET!$A$8:$A$73,0))&amp;"","")</f>
        <v/>
      </c>
      <c r="AO68" s="136">
        <f>IFERROR(INDEX(SET!J$8:J$73,MATCH($A68,SET!$A$8:$A$73,0))&amp;"","")</f>
        <v/>
      </c>
      <c r="AP68" s="136">
        <f>IFERROR(INDEX(SET!K$8:K$73,MATCH($A68,SET!$A$8:$A$73,0))&amp;"","")</f>
        <v/>
      </c>
      <c r="AQ68" s="136">
        <f>IFERROR(INDEX(SET!L$8:L$73,MATCH($A68,SET!$A$8:$A$73,0))&amp;"","")</f>
        <v/>
      </c>
      <c r="AR68" s="116">
        <f>IFERROR(INDEX(SET!M$8:M$73,MATCH($A68,SET!$A$8:$A$73,0))&amp;"","")</f>
        <v/>
      </c>
      <c r="AS68" s="116">
        <f>IFERROR(INDEX(SET!N$8:N$73,MATCH($A68,SET!$A$8:$A$73,0))&amp;"","")</f>
        <v/>
      </c>
      <c r="AT68" s="117">
        <f>SUMPRODUCT(($D68:$J68="M")*6+($D68:$J68="T")*6+($D68:$J68="D")*12+($D68:$J68="N")*12+($D68:$J68="NT")*6+($D68:$J68="C")*10+($D68:$J68="A")*8+($D68:$J68="J")*5+($D68:$J68="CEP")*4+($D68:$J68="CP")*6+($D68:$J68="CRO")*6+($D68:$J68="M+")*6+($D68:$J68="T+")*6+($D68:$J68="D+")*12+($D68:$J68="N+")*12+($D68:$J68="Dm+")*12+($D68:$J68="Dt+")*12+($D68:$J68="Tm-")*6+($D68:$J68="Mt-")*6)</f>
        <v/>
      </c>
      <c r="AU68" s="118">
        <f>AT68-MAX(0,IFERROR(INDEX(CADASTRO!$I$4:$I$80,MATCH($A68,CADASTRO!$A$4:$A$80,0)),$B68)-CONFIG!$B$50*(COUNTIF($D68:$J68,"AB")+COUNTIF($D68:$J68,"FE")+COUNTIF($D68:$J68,"LM")))</f>
        <v/>
      </c>
      <c r="AV68" s="117">
        <f>SUMPRODUCT(($K68:$Q68="M")*6+($K68:$Q68="T")*6+($K68:$Q68="D")*12+($K68:$Q68="N")*12+($K68:$Q68="NT")*6+($K68:$Q68="C")*10+($K68:$Q68="A")*8+($K68:$Q68="J")*5+($K68:$Q68="CEP")*4+($K68:$Q68="CP")*6+($K68:$Q68="CRO")*6+($K68:$Q68="M+")*6+($K68:$Q68="T+")*6+($K68:$Q68="D+")*12+($K68:$Q68="N+")*12+($K68:$Q68="Dm+")*12+($K68:$Q68="Dt+")*12+($K68:$Q68="Tm-")*6+($K68:$Q68="Mt-")*6)</f>
        <v/>
      </c>
      <c r="AW68" s="118">
        <f>AV68-MAX(0,IFERROR(INDEX(CADASTRO!$I$4:$I$80,MATCH($A68,CADASTRO!$A$4:$A$80,0)),$B68)-CONFIG!$B$50*(COUNTIF($K68:$Q68,"AB")+COUNTIF($K68:$Q68,"FE")+COUNTIF($K68:$Q68,"LM")))</f>
        <v/>
      </c>
      <c r="AX68" s="117">
        <f>SUMPRODUCT(($R68:$X68="M")*6+($R68:$X68="T")*6+($R68:$X68="D")*12+($R68:$X68="N")*12+($R68:$X68="NT")*6+($R68:$X68="C")*10+($R68:$X68="A")*8+($R68:$X68="J")*5+($R68:$X68="CEP")*4+($R68:$X68="CP")*6+($R68:$X68="CRO")*6+($R68:$X68="M+")*6+($R68:$X68="T+")*6+($R68:$X68="D+")*12+($R68:$X68="N+")*12+($R68:$X68="Dm+")*12+($R68:$X68="Dt+")*12+($R68:$X68="Tm-")*6+($R68:$X68="Mt-")*6)</f>
        <v/>
      </c>
      <c r="AY68" s="118">
        <f>AX68-MAX(0,IFERROR(INDEX(CADASTRO!$I$4:$I$80,MATCH($A68,CADASTRO!$A$4:$A$80,0)),$B68)-CONFIG!$B$50*(COUNTIF($R68:$X68,"AB")+COUNTIF($R68:$X68,"FE")+COUNTIF($R68:$X68,"LM")))</f>
        <v/>
      </c>
      <c r="AZ68" s="117">
        <f>SUMPRODUCT(($Y68:$AE68="M")*6+($Y68:$AE68="T")*6+($Y68:$AE68="D")*12+($Y68:$AE68="N")*12+($Y68:$AE68="NT")*6+($Y68:$AE68="C")*10+($Y68:$AE68="A")*8+($Y68:$AE68="J")*5+($Y68:$AE68="CEP")*4+($Y68:$AE68="CP")*6+($Y68:$AE68="CRO")*6+($Y68:$AE68="M+")*6+($Y68:$AE68="T+")*6+($Y68:$AE68="D+")*12+($Y68:$AE68="N+")*12+($Y68:$AE68="Dm+")*12+($Y68:$AE68="Dt+")*12+($Y68:$AE68="Tm-")*6+($Y68:$AE68="Mt-")*6)</f>
        <v/>
      </c>
      <c r="BA68" s="118">
        <f>AZ68-MAX(0,IFERROR(INDEX(CADASTRO!$I$4:$I$80,MATCH($A68,CADASTRO!$A$4:$A$80,0)),$B68)-CONFIG!$B$50*(COUNTIF($Y68:$AE68,"AB")+COUNTIF($Y68:$AE68,"FE")+COUNTIF($Y68:$AE68,"LM")))</f>
        <v/>
      </c>
      <c r="BB68" s="117">
        <f>SUMPRODUCT(($AF68:$AL68="M")*6+($AF68:$AL68="T")*6+($AF68:$AL68="D")*12+($AF68:$AL68="N")*12+($AF68:$AL68="NT")*6+($AF68:$AL68="C")*10+($AF68:$AL68="A")*8+($AF68:$AL68="J")*5+($AF68:$AL68="CEP")*4+($AF68:$AL68="CP")*6+($AF68:$AL68="CRO")*6+($AF68:$AL68="M+")*6+($AF68:$AL68="T+")*6+($AF68:$AL68="D+")*12+($AF68:$AL68="N+")*12+($AF68:$AL68="Dm+")*12+($AF68:$AL68="Dt+")*12+($AF68:$AL68="Tm-")*6+($AF68:$AL68="Mt-")*6)</f>
        <v/>
      </c>
      <c r="BC68" s="118">
        <f>BB68-MAX(0,IFERROR(INDEX(CADASTRO!$I$4:$I$80,MATCH($A68,CADASTRO!$A$4:$A$80,0)),$B68)-CONFIG!$B$50*(COUNTIF($AF68:$AL68,"AB")+COUNTIF($AF68:$AL68,"FE")+COUNTIF($AF68:$AL68,"LM")))</f>
        <v/>
      </c>
      <c r="BD68" s="117">
        <f>SUMPRODUCT(($AM68:$AM68="M")*6+($AM68:$AM68="T")*6+($AM68:$AM68="D")*12+($AM68:$AM68="N")*12+($AM68:$AM68="NT")*6+($AM68:$AM68="C")*10+($AM68:$AM68="A")*8+($AM68:$AM68="J")*5+($AM68:$AM68="CEP")*4+($AM68:$AM68="CP")*6+($AM68:$AM68="CRO")*6+($AM68:$AM68="M+")*6+($AM68:$AM68="T+")*6+($AM68:$AM68="D+")*12+($AM68:$AM68="N+")*12+($AM68:$AM68="Dm+")*12+($AM68:$AM68="Dt+")*12+($AM68:$AM68="Tm-")*6+($AM68:$AM68="Mt-")*6)+SUMPRODUCT(($AN68:$AS68="M")*6+($AN68:$AS68="T")*6+($AN68:$AS68="D")*12+($AN68:$AS68="N")*12+($AN68:$AS68="NT")*6+($AN68:$AS68="C")*10+($AN68:$AS68="A")*8+($AN68:$AS68="J")*5+($AN68:$AS68="CEP")*4+($AN68:$AS68="CP")*6+($AN68:$AS68="CRO")*6+($AN68:$AS68="M+")*6+($AN68:$AS68="T+")*6+($AN68:$AS68="D+")*12+($AN68:$AS68="N+")*12+($AN68:$AS68="Dm+")*12+($AN68:$AS68="Dt+")*12+($AN68:$AS68="Tm-")*6+($AN68:$AS68="Mt-")*6)</f>
        <v/>
      </c>
      <c r="BE68" s="118">
        <f>BD68-MAX(0,IFERROR(INDEX(CADASTRO!$I$4:$I$80,MATCH($A68,CADASTRO!$A$4:$A$80,0)),$B68)-CONFIG!$B$50*(COUNTIF($AM68:$AM68,"AB")+COUNTIF($AM68:$AM68,"FE")+COUNTIF($AM68:$AM68,"LM")+COUNTIF($AN68:$AS68,"AB")+COUNTIF($AN68:$AS68,"FE")+COUNTIF($AN68:$AS68,"LM")))</f>
        <v/>
      </c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36">
        <f>IFERROR(INDEX(JUL!AI$8:AI$73,MATCH($A69,JUL!$A$8:$A$73,0))&amp;"","")</f>
        <v/>
      </c>
      <c r="E69" s="136">
        <f>IFERROR(INDEX(JUL!AJ$8:AJ$73,MATCH($A69,JUL!$A$8:$A$73,0))&amp;"","")</f>
        <v/>
      </c>
      <c r="F69" s="136">
        <f>IFERROR(INDEX(JUL!AK$8:AK$73,MATCH($A69,JUL!$A$8:$A$73,0))&amp;"","")</f>
        <v/>
      </c>
      <c r="G69" s="136">
        <f>IFERROR(INDEX(JUL!AL$8:AL$73,MATCH($A69,JUL!$A$8:$A$73,0))&amp;"","")</f>
        <v/>
      </c>
      <c r="H69" s="136">
        <f>IFERROR(INDEX(JUL!AM$8:AM$73,MATCH($A69,JUL!$A$8:$A$73,0))&amp;"","")</f>
        <v/>
      </c>
      <c r="I69" s="124" t="inlineStr">
        <is>
          <t>D</t>
        </is>
      </c>
      <c r="J69" s="114" t="n"/>
      <c r="K69" s="114" t="n"/>
      <c r="L69" s="114" t="n"/>
      <c r="M69" s="124" t="inlineStr">
        <is>
          <t>D</t>
        </is>
      </c>
      <c r="N69" s="114" t="n"/>
      <c r="O69" s="114" t="n"/>
      <c r="P69" s="124" t="inlineStr">
        <is>
          <t>D</t>
        </is>
      </c>
      <c r="Q69" s="114" t="n"/>
      <c r="R69" s="114" t="n"/>
      <c r="S69" s="114" t="n"/>
      <c r="T69" s="124" t="inlineStr">
        <is>
          <t>D</t>
        </is>
      </c>
      <c r="U69" s="114" t="n"/>
      <c r="V69" s="124" t="inlineStr">
        <is>
          <t>D</t>
        </is>
      </c>
      <c r="W69" s="114" t="n"/>
      <c r="X69" s="114" t="n"/>
      <c r="Y69" s="125" t="inlineStr">
        <is>
          <t>N</t>
        </is>
      </c>
      <c r="Z69" s="114" t="n"/>
      <c r="AA69" s="125" t="inlineStr">
        <is>
          <t>N</t>
        </is>
      </c>
      <c r="AB69" s="114" t="n"/>
      <c r="AC69" s="114" t="n"/>
      <c r="AD69" s="114" t="n"/>
      <c r="AE69" s="114" t="n"/>
      <c r="AF69" s="114" t="n"/>
      <c r="AG69" s="114" t="n"/>
      <c r="AH69" s="124" t="inlineStr">
        <is>
          <t>D</t>
        </is>
      </c>
      <c r="AI69" s="114" t="n"/>
      <c r="AJ69" s="114" t="n"/>
      <c r="AK69" s="124" t="inlineStr">
        <is>
          <t>D</t>
        </is>
      </c>
      <c r="AL69" s="114" t="n"/>
      <c r="AM69" s="114" t="n"/>
      <c r="AN69" s="136">
        <f>IFERROR(INDEX(SET!I$8:I$73,MATCH($A69,SET!$A$8:$A$73,0))&amp;"","")</f>
        <v/>
      </c>
      <c r="AO69" s="136">
        <f>IFERROR(INDEX(SET!J$8:J$73,MATCH($A69,SET!$A$8:$A$73,0))&amp;"","")</f>
        <v/>
      </c>
      <c r="AP69" s="136">
        <f>IFERROR(INDEX(SET!K$8:K$73,MATCH($A69,SET!$A$8:$A$73,0))&amp;"","")</f>
        <v/>
      </c>
      <c r="AQ69" s="136">
        <f>IFERROR(INDEX(SET!L$8:L$73,MATCH($A69,SET!$A$8:$A$73,0))&amp;"","")</f>
        <v/>
      </c>
      <c r="AR69" s="116">
        <f>IFERROR(INDEX(SET!M$8:M$73,MATCH($A69,SET!$A$8:$A$73,0))&amp;"","")</f>
        <v/>
      </c>
      <c r="AS69" s="116">
        <f>IFERROR(INDEX(SET!N$8:N$73,MATCH($A69,SET!$A$8:$A$73,0))&amp;"","")</f>
        <v/>
      </c>
      <c r="AT69" s="117">
        <f>SUMPRODUCT(($D69:$J69="M")*6+($D69:$J69="T")*6+($D69:$J69="D")*12+($D69:$J69="N")*12+($D69:$J69="NT")*6+($D69:$J69="C")*10+($D69:$J69="A")*8+($D69:$J69="J")*5+($D69:$J69="CEP")*4+($D69:$J69="CP")*6+($D69:$J69="CRO")*6+($D69:$J69="M+")*6+($D69:$J69="T+")*6+($D69:$J69="D+")*12+($D69:$J69="N+")*12+($D69:$J69="Dm+")*12+($D69:$J69="Dt+")*12+($D69:$J69="Tm-")*6+($D69:$J69="Mt-")*6)</f>
        <v/>
      </c>
      <c r="AU69" s="118">
        <f>AT69-MAX(0,IFERROR(INDEX(CADASTRO!$I$4:$I$80,MATCH($A69,CADASTRO!$A$4:$A$80,0)),$B69)-CONFIG!$B$50*(COUNTIF($D69:$J69,"AB")+COUNTIF($D69:$J69,"FE")+COUNTIF($D69:$J69,"LM")))</f>
        <v/>
      </c>
      <c r="AV69" s="117">
        <f>SUMPRODUCT(($K69:$Q69="M")*6+($K69:$Q69="T")*6+($K69:$Q69="D")*12+($K69:$Q69="N")*12+($K69:$Q69="NT")*6+($K69:$Q69="C")*10+($K69:$Q69="A")*8+($K69:$Q69="J")*5+($K69:$Q69="CEP")*4+($K69:$Q69="CP")*6+($K69:$Q69="CRO")*6+($K69:$Q69="M+")*6+($K69:$Q69="T+")*6+($K69:$Q69="D+")*12+($K69:$Q69="N+")*12+($K69:$Q69="Dm+")*12+($K69:$Q69="Dt+")*12+($K69:$Q69="Tm-")*6+($K69:$Q69="Mt-")*6)</f>
        <v/>
      </c>
      <c r="AW69" s="118">
        <f>AV69-MAX(0,IFERROR(INDEX(CADASTRO!$I$4:$I$80,MATCH($A69,CADASTRO!$A$4:$A$80,0)),$B69)-CONFIG!$B$50*(COUNTIF($K69:$Q69,"AB")+COUNTIF($K69:$Q69,"FE")+COUNTIF($K69:$Q69,"LM")))</f>
        <v/>
      </c>
      <c r="AX69" s="117">
        <f>SUMPRODUCT(($R69:$X69="M")*6+($R69:$X69="T")*6+($R69:$X69="D")*12+($R69:$X69="N")*12+($R69:$X69="NT")*6+($R69:$X69="C")*10+($R69:$X69="A")*8+($R69:$X69="J")*5+($R69:$X69="CEP")*4+($R69:$X69="CP")*6+($R69:$X69="CRO")*6+($R69:$X69="M+")*6+($R69:$X69="T+")*6+($R69:$X69="D+")*12+($R69:$X69="N+")*12+($R69:$X69="Dm+")*12+($R69:$X69="Dt+")*12+($R69:$X69="Tm-")*6+($R69:$X69="Mt-")*6)</f>
        <v/>
      </c>
      <c r="AY69" s="118">
        <f>AX69-MAX(0,IFERROR(INDEX(CADASTRO!$I$4:$I$80,MATCH($A69,CADASTRO!$A$4:$A$80,0)),$B69)-CONFIG!$B$50*(COUNTIF($R69:$X69,"AB")+COUNTIF($R69:$X69,"FE")+COUNTIF($R69:$X69,"LM")))</f>
        <v/>
      </c>
      <c r="AZ69" s="117">
        <f>SUMPRODUCT(($Y69:$AE69="M")*6+($Y69:$AE69="T")*6+($Y69:$AE69="D")*12+($Y69:$AE69="N")*12+($Y69:$AE69="NT")*6+($Y69:$AE69="C")*10+($Y69:$AE69="A")*8+($Y69:$AE69="J")*5+($Y69:$AE69="CEP")*4+($Y69:$AE69="CP")*6+($Y69:$AE69="CRO")*6+($Y69:$AE69="M+")*6+($Y69:$AE69="T+")*6+($Y69:$AE69="D+")*12+($Y69:$AE69="N+")*12+($Y69:$AE69="Dm+")*12+($Y69:$AE69="Dt+")*12+($Y69:$AE69="Tm-")*6+($Y69:$AE69="Mt-")*6)</f>
        <v/>
      </c>
      <c r="BA69" s="118">
        <f>AZ69-MAX(0,IFERROR(INDEX(CADASTRO!$I$4:$I$80,MATCH($A69,CADASTRO!$A$4:$A$80,0)),$B69)-CONFIG!$B$50*(COUNTIF($Y69:$AE69,"AB")+COUNTIF($Y69:$AE69,"FE")+COUNTIF($Y69:$AE69,"LM")))</f>
        <v/>
      </c>
      <c r="BB69" s="117">
        <f>SUMPRODUCT(($AF69:$AL69="M")*6+($AF69:$AL69="T")*6+($AF69:$AL69="D")*12+($AF69:$AL69="N")*12+($AF69:$AL69="NT")*6+($AF69:$AL69="C")*10+($AF69:$AL69="A")*8+($AF69:$AL69="J")*5+($AF69:$AL69="CEP")*4+($AF69:$AL69="CP")*6+($AF69:$AL69="CRO")*6+($AF69:$AL69="M+")*6+($AF69:$AL69="T+")*6+($AF69:$AL69="D+")*12+($AF69:$AL69="N+")*12+($AF69:$AL69="Dm+")*12+($AF69:$AL69="Dt+")*12+($AF69:$AL69="Tm-")*6+($AF69:$AL69="Mt-")*6)</f>
        <v/>
      </c>
      <c r="BC69" s="118">
        <f>BB69-MAX(0,IFERROR(INDEX(CADASTRO!$I$4:$I$80,MATCH($A69,CADASTRO!$A$4:$A$80,0)),$B69)-CONFIG!$B$50*(COUNTIF($AF69:$AL69,"AB")+COUNTIF($AF69:$AL69,"FE")+COUNTIF($AF69:$AL69,"LM")))</f>
        <v/>
      </c>
      <c r="BD69" s="117">
        <f>SUMPRODUCT(($AM69:$AM69="M")*6+($AM69:$AM69="T")*6+($AM69:$AM69="D")*12+($AM69:$AM69="N")*12+($AM69:$AM69="NT")*6+($AM69:$AM69="C")*10+($AM69:$AM69="A")*8+($AM69:$AM69="J")*5+($AM69:$AM69="CEP")*4+($AM69:$AM69="CP")*6+($AM69:$AM69="CRO")*6+($AM69:$AM69="M+")*6+($AM69:$AM69="T+")*6+($AM69:$AM69="D+")*12+($AM69:$AM69="N+")*12+($AM69:$AM69="Dm+")*12+($AM69:$AM69="Dt+")*12+($AM69:$AM69="Tm-")*6+($AM69:$AM69="Mt-")*6)+SUMPRODUCT(($AN69:$AS69="M")*6+($AN69:$AS69="T")*6+($AN69:$AS69="D")*12+($AN69:$AS69="N")*12+($AN69:$AS69="NT")*6+($AN69:$AS69="C")*10+($AN69:$AS69="A")*8+($AN69:$AS69="J")*5+($AN69:$AS69="CEP")*4+($AN69:$AS69="CP")*6+($AN69:$AS69="CRO")*6+($AN69:$AS69="M+")*6+($AN69:$AS69="T+")*6+($AN69:$AS69="D+")*12+($AN69:$AS69="N+")*12+($AN69:$AS69="Dm+")*12+($AN69:$AS69="Dt+")*12+($AN69:$AS69="Tm-")*6+($AN69:$AS69="Mt-")*6)</f>
        <v/>
      </c>
      <c r="BE69" s="118">
        <f>BD69-MAX(0,IFERROR(INDEX(CADASTRO!$I$4:$I$80,MATCH($A69,CADASTRO!$A$4:$A$80,0)),$B69)-CONFIG!$B$50*(COUNTIF($AM69:$AM69,"AB")+COUNTIF($AM69:$AM69,"FE")+COUNTIF($AM69:$AM69,"LM")+COUNTIF($AN69:$AS69,"AB")+COUNTIF($AN69:$AS69,"FE")+COUNTIF($AN69:$AS69,"LM")))</f>
        <v/>
      </c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36">
        <f>IFERROR(INDEX(JUL!AI$8:AI$73,MATCH($A70,JUL!$A$8:$A$73,0))&amp;"","")</f>
        <v/>
      </c>
      <c r="E70" s="136">
        <f>IFERROR(INDEX(JUL!AJ$8:AJ$73,MATCH($A70,JUL!$A$8:$A$73,0))&amp;"","")</f>
        <v/>
      </c>
      <c r="F70" s="136">
        <f>IFERROR(INDEX(JUL!AK$8:AK$73,MATCH($A70,JUL!$A$8:$A$73,0))&amp;"","")</f>
        <v/>
      </c>
      <c r="G70" s="136">
        <f>IFERROR(INDEX(JUL!AL$8:AL$73,MATCH($A70,JUL!$A$8:$A$73,0))&amp;"","")</f>
        <v/>
      </c>
      <c r="H70" s="136">
        <f>IFERROR(INDEX(JUL!AM$8:AM$73,MATCH($A70,JUL!$A$8:$A$73,0))&amp;"","")</f>
        <v/>
      </c>
      <c r="I70" s="114" t="n"/>
      <c r="J70" s="124" t="inlineStr">
        <is>
          <t>D</t>
        </is>
      </c>
      <c r="K70" s="114" t="n"/>
      <c r="L70" s="124" t="inlineStr">
        <is>
          <t>D</t>
        </is>
      </c>
      <c r="M70" s="124" t="inlineStr">
        <is>
          <t>D</t>
        </is>
      </c>
      <c r="N70" s="114" t="n"/>
      <c r="O70" s="114" t="n"/>
      <c r="P70" s="114" t="n"/>
      <c r="Q70" s="114" t="n"/>
      <c r="R70" s="114" t="n"/>
      <c r="S70" s="124" t="inlineStr">
        <is>
          <t>D</t>
        </is>
      </c>
      <c r="T70" s="114" t="n"/>
      <c r="U70" s="124" t="inlineStr">
        <is>
          <t>D</t>
        </is>
      </c>
      <c r="V70" s="114" t="n"/>
      <c r="W70" s="114" t="n"/>
      <c r="X70" s="114" t="n"/>
      <c r="Y70" s="114" t="n"/>
      <c r="Z70" s="125" t="inlineStr">
        <is>
          <t>N</t>
        </is>
      </c>
      <c r="AA70" s="114" t="n"/>
      <c r="AB70" s="115" t="inlineStr">
        <is>
          <t>M</t>
        </is>
      </c>
      <c r="AC70" s="114" t="n"/>
      <c r="AD70" s="114" t="n"/>
      <c r="AE70" s="115" t="inlineStr">
        <is>
          <t>M</t>
        </is>
      </c>
      <c r="AF70" s="114" t="n"/>
      <c r="AG70" s="126" t="inlineStr">
        <is>
          <t>T</t>
        </is>
      </c>
      <c r="AH70" s="114" t="n"/>
      <c r="AI70" s="115" t="inlineStr">
        <is>
          <t>M</t>
        </is>
      </c>
      <c r="AJ70" s="114" t="n"/>
      <c r="AK70" s="125" t="inlineStr">
        <is>
          <t>N</t>
        </is>
      </c>
      <c r="AL70" s="114" t="n"/>
      <c r="AM70" s="114" t="n"/>
      <c r="AN70" s="136">
        <f>IFERROR(INDEX(SET!I$8:I$73,MATCH($A70,SET!$A$8:$A$73,0))&amp;"","")</f>
        <v/>
      </c>
      <c r="AO70" s="136">
        <f>IFERROR(INDEX(SET!J$8:J$73,MATCH($A70,SET!$A$8:$A$73,0))&amp;"","")</f>
        <v/>
      </c>
      <c r="AP70" s="136">
        <f>IFERROR(INDEX(SET!K$8:K$73,MATCH($A70,SET!$A$8:$A$73,0))&amp;"","")</f>
        <v/>
      </c>
      <c r="AQ70" s="136">
        <f>IFERROR(INDEX(SET!L$8:L$73,MATCH($A70,SET!$A$8:$A$73,0))&amp;"","")</f>
        <v/>
      </c>
      <c r="AR70" s="116">
        <f>IFERROR(INDEX(SET!M$8:M$73,MATCH($A70,SET!$A$8:$A$73,0))&amp;"","")</f>
        <v/>
      </c>
      <c r="AS70" s="116">
        <f>IFERROR(INDEX(SET!N$8:N$73,MATCH($A70,SET!$A$8:$A$73,0))&amp;"","")</f>
        <v/>
      </c>
      <c r="AT70" s="117">
        <f>SUMPRODUCT(($D70:$J70="M")*6+($D70:$J70="T")*6+($D70:$J70="D")*12+($D70:$J70="N")*12+($D70:$J70="NT")*6+($D70:$J70="C")*10+($D70:$J70="A")*8+($D70:$J70="J")*5+($D70:$J70="CEP")*4+($D70:$J70="CP")*6+($D70:$J70="CRO")*6+($D70:$J70="M+")*6+($D70:$J70="T+")*6+($D70:$J70="D+")*12+($D70:$J70="N+")*12+($D70:$J70="Dm+")*12+($D70:$J70="Dt+")*12+($D70:$J70="Tm-")*6+($D70:$J70="Mt-")*6)</f>
        <v/>
      </c>
      <c r="AU70" s="118">
        <f>AT70-MAX(0,IFERROR(INDEX(CADASTRO!$I$4:$I$80,MATCH($A70,CADASTRO!$A$4:$A$80,0)),$B70)-CONFIG!$B$50*(COUNTIF($D70:$J70,"AB")+COUNTIF($D70:$J70,"FE")+COUNTIF($D70:$J70,"LM")))</f>
        <v/>
      </c>
      <c r="AV70" s="117">
        <f>SUMPRODUCT(($K70:$Q70="M")*6+($K70:$Q70="T")*6+($K70:$Q70="D")*12+($K70:$Q70="N")*12+($K70:$Q70="NT")*6+($K70:$Q70="C")*10+($K70:$Q70="A")*8+($K70:$Q70="J")*5+($K70:$Q70="CEP")*4+($K70:$Q70="CP")*6+($K70:$Q70="CRO")*6+($K70:$Q70="M+")*6+($K70:$Q70="T+")*6+($K70:$Q70="D+")*12+($K70:$Q70="N+")*12+($K70:$Q70="Dm+")*12+($K70:$Q70="Dt+")*12+($K70:$Q70="Tm-")*6+($K70:$Q70="Mt-")*6)</f>
        <v/>
      </c>
      <c r="AW70" s="118">
        <f>AV70-MAX(0,IFERROR(INDEX(CADASTRO!$I$4:$I$80,MATCH($A70,CADASTRO!$A$4:$A$80,0)),$B70)-CONFIG!$B$50*(COUNTIF($K70:$Q70,"AB")+COUNTIF($K70:$Q70,"FE")+COUNTIF($K70:$Q70,"LM")))</f>
        <v/>
      </c>
      <c r="AX70" s="117">
        <f>SUMPRODUCT(($R70:$X70="M")*6+($R70:$X70="T")*6+($R70:$X70="D")*12+($R70:$X70="N")*12+($R70:$X70="NT")*6+($R70:$X70="C")*10+($R70:$X70="A")*8+($R70:$X70="J")*5+($R70:$X70="CEP")*4+($R70:$X70="CP")*6+($R70:$X70="CRO")*6+($R70:$X70="M+")*6+($R70:$X70="T+")*6+($R70:$X70="D+")*12+($R70:$X70="N+")*12+($R70:$X70="Dm+")*12+($R70:$X70="Dt+")*12+($R70:$X70="Tm-")*6+($R70:$X70="Mt-")*6)</f>
        <v/>
      </c>
      <c r="AY70" s="118">
        <f>AX70-MAX(0,IFERROR(INDEX(CADASTRO!$I$4:$I$80,MATCH($A70,CADASTRO!$A$4:$A$80,0)),$B70)-CONFIG!$B$50*(COUNTIF($R70:$X70,"AB")+COUNTIF($R70:$X70,"FE")+COUNTIF($R70:$X70,"LM")))</f>
        <v/>
      </c>
      <c r="AZ70" s="117">
        <f>SUMPRODUCT(($Y70:$AE70="M")*6+($Y70:$AE70="T")*6+($Y70:$AE70="D")*12+($Y70:$AE70="N")*12+($Y70:$AE70="NT")*6+($Y70:$AE70="C")*10+($Y70:$AE70="A")*8+($Y70:$AE70="J")*5+($Y70:$AE70="CEP")*4+($Y70:$AE70="CP")*6+($Y70:$AE70="CRO")*6+($Y70:$AE70="M+")*6+($Y70:$AE70="T+")*6+($Y70:$AE70="D+")*12+($Y70:$AE70="N+")*12+($Y70:$AE70="Dm+")*12+($Y70:$AE70="Dt+")*12+($Y70:$AE70="Tm-")*6+($Y70:$AE70="Mt-")*6)</f>
        <v/>
      </c>
      <c r="BA70" s="118">
        <f>AZ70-MAX(0,IFERROR(INDEX(CADASTRO!$I$4:$I$80,MATCH($A70,CADASTRO!$A$4:$A$80,0)),$B70)-CONFIG!$B$50*(COUNTIF($Y70:$AE70,"AB")+COUNTIF($Y70:$AE70,"FE")+COUNTIF($Y70:$AE70,"LM")))</f>
        <v/>
      </c>
      <c r="BB70" s="117">
        <f>SUMPRODUCT(($AF70:$AL70="M")*6+($AF70:$AL70="T")*6+($AF70:$AL70="D")*12+($AF70:$AL70="N")*12+($AF70:$AL70="NT")*6+($AF70:$AL70="C")*10+($AF70:$AL70="A")*8+($AF70:$AL70="J")*5+($AF70:$AL70="CEP")*4+($AF70:$AL70="CP")*6+($AF70:$AL70="CRO")*6+($AF70:$AL70="M+")*6+($AF70:$AL70="T+")*6+($AF70:$AL70="D+")*12+($AF70:$AL70="N+")*12+($AF70:$AL70="Dm+")*12+($AF70:$AL70="Dt+")*12+($AF70:$AL70="Tm-")*6+($AF70:$AL70="Mt-")*6)</f>
        <v/>
      </c>
      <c r="BC70" s="118">
        <f>BB70-MAX(0,IFERROR(INDEX(CADASTRO!$I$4:$I$80,MATCH($A70,CADASTRO!$A$4:$A$80,0)),$B70)-CONFIG!$B$50*(COUNTIF($AF70:$AL70,"AB")+COUNTIF($AF70:$AL70,"FE")+COUNTIF($AF70:$AL70,"LM")))</f>
        <v/>
      </c>
      <c r="BD70" s="117">
        <f>SUMPRODUCT(($AM70:$AM70="M")*6+($AM70:$AM70="T")*6+($AM70:$AM70="D")*12+($AM70:$AM70="N")*12+($AM70:$AM70="NT")*6+($AM70:$AM70="C")*10+($AM70:$AM70="A")*8+($AM70:$AM70="J")*5+($AM70:$AM70="CEP")*4+($AM70:$AM70="CP")*6+($AM70:$AM70="CRO")*6+($AM70:$AM70="M+")*6+($AM70:$AM70="T+")*6+($AM70:$AM70="D+")*12+($AM70:$AM70="N+")*12+($AM70:$AM70="Dm+")*12+($AM70:$AM70="Dt+")*12+($AM70:$AM70="Tm-")*6+($AM70:$AM70="Mt-")*6)+SUMPRODUCT(($AN70:$AS70="M")*6+($AN70:$AS70="T")*6+($AN70:$AS70="D")*12+($AN70:$AS70="N")*12+($AN70:$AS70="NT")*6+($AN70:$AS70="C")*10+($AN70:$AS70="A")*8+($AN70:$AS70="J")*5+($AN70:$AS70="CEP")*4+($AN70:$AS70="CP")*6+($AN70:$AS70="CRO")*6+($AN70:$AS70="M+")*6+($AN70:$AS70="T+")*6+($AN70:$AS70="D+")*12+($AN70:$AS70="N+")*12+($AN70:$AS70="Dm+")*12+($AN70:$AS70="Dt+")*12+($AN70:$AS70="Tm-")*6+($AN70:$AS70="Mt-")*6)</f>
        <v/>
      </c>
      <c r="BE70" s="118">
        <f>BD70-MAX(0,IFERROR(INDEX(CADASTRO!$I$4:$I$80,MATCH($A70,CADASTRO!$A$4:$A$80,0)),$B70)-CONFIG!$B$50*(COUNTIF($AM70:$AM70,"AB")+COUNTIF($AM70:$AM70,"FE")+COUNTIF($AM70:$AM70,"LM")+COUNTIF($AN70:$AS70,"AB")+COUNTIF($AN70:$AS70,"FE")+COUNTIF($AN70:$AS70,"LM")))</f>
        <v/>
      </c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36">
        <f>IFERROR(INDEX(JUL!AI$8:AI$73,MATCH($A71,JUL!$A$8:$A$73,0))&amp;"","")</f>
        <v/>
      </c>
      <c r="E71" s="136">
        <f>IFERROR(INDEX(JUL!AJ$8:AJ$73,MATCH($A71,JUL!$A$8:$A$73,0))&amp;"","")</f>
        <v/>
      </c>
      <c r="F71" s="136">
        <f>IFERROR(INDEX(JUL!AK$8:AK$73,MATCH($A71,JUL!$A$8:$A$73,0))&amp;"","")</f>
        <v/>
      </c>
      <c r="G71" s="136">
        <f>IFERROR(INDEX(JUL!AL$8:AL$73,MATCH($A71,JUL!$A$8:$A$73,0))&amp;"","")</f>
        <v/>
      </c>
      <c r="H71" s="136">
        <f>IFERROR(INDEX(JUL!AM$8:AM$73,MATCH($A71,JUL!$A$8:$A$73,0))&amp;"","")</f>
        <v/>
      </c>
      <c r="I71" s="114" t="n"/>
      <c r="J71" s="114" t="n"/>
      <c r="K71" s="141" t="inlineStr">
        <is>
          <t>A</t>
        </is>
      </c>
      <c r="L71" s="141" t="inlineStr">
        <is>
          <t>A</t>
        </is>
      </c>
      <c r="M71" s="114" t="n"/>
      <c r="N71" s="141" t="inlineStr">
        <is>
          <t>A</t>
        </is>
      </c>
      <c r="O71" s="114" t="n"/>
      <c r="P71" s="114" t="n"/>
      <c r="Q71" s="114" t="n"/>
      <c r="R71" s="141" t="inlineStr">
        <is>
          <t>A</t>
        </is>
      </c>
      <c r="S71" s="141" t="inlineStr">
        <is>
          <t>A</t>
        </is>
      </c>
      <c r="T71" s="114" t="n"/>
      <c r="U71" s="114" t="n"/>
      <c r="V71" s="114" t="n"/>
      <c r="W71" s="114" t="n"/>
      <c r="X71" s="141" t="inlineStr">
        <is>
          <t>A</t>
        </is>
      </c>
      <c r="Y71" s="141" t="inlineStr">
        <is>
          <t>A</t>
        </is>
      </c>
      <c r="Z71" s="141" t="inlineStr">
        <is>
          <t>A</t>
        </is>
      </c>
      <c r="AA71" s="114" t="n"/>
      <c r="AB71" s="141" t="inlineStr">
        <is>
          <t>A</t>
        </is>
      </c>
      <c r="AC71" s="114" t="n"/>
      <c r="AD71" s="114" t="n"/>
      <c r="AE71" s="114" t="n"/>
      <c r="AF71" s="141" t="inlineStr">
        <is>
          <t>A</t>
        </is>
      </c>
      <c r="AG71" s="141" t="inlineStr">
        <is>
          <t>A</t>
        </is>
      </c>
      <c r="AH71" s="114" t="n"/>
      <c r="AI71" s="114" t="n"/>
      <c r="AJ71" s="114" t="n"/>
      <c r="AK71" s="114" t="n"/>
      <c r="AL71" s="141" t="inlineStr">
        <is>
          <t>A</t>
        </is>
      </c>
      <c r="AM71" s="141" t="inlineStr">
        <is>
          <t>A</t>
        </is>
      </c>
      <c r="AN71" s="136">
        <f>IFERROR(INDEX(SET!I$8:I$73,MATCH($A71,SET!$A$8:$A$73,0))&amp;"","")</f>
        <v/>
      </c>
      <c r="AO71" s="136">
        <f>IFERROR(INDEX(SET!J$8:J$73,MATCH($A71,SET!$A$8:$A$73,0))&amp;"","")</f>
        <v/>
      </c>
      <c r="AP71" s="136">
        <f>IFERROR(INDEX(SET!K$8:K$73,MATCH($A71,SET!$A$8:$A$73,0))&amp;"","")</f>
        <v/>
      </c>
      <c r="AQ71" s="136">
        <f>IFERROR(INDEX(SET!L$8:L$73,MATCH($A71,SET!$A$8:$A$73,0))&amp;"","")</f>
        <v/>
      </c>
      <c r="AR71" s="116">
        <f>IFERROR(INDEX(SET!M$8:M$73,MATCH($A71,SET!$A$8:$A$73,0))&amp;"","")</f>
        <v/>
      </c>
      <c r="AS71" s="116">
        <f>IFERROR(INDEX(SET!N$8:N$73,MATCH($A71,SET!$A$8:$A$73,0))&amp;"","")</f>
        <v/>
      </c>
      <c r="AT71" s="117">
        <f>SUMPRODUCT(($D71:$J71="M")*6+($D71:$J71="T")*6+($D71:$J71="D")*12+($D71:$J71="N")*12+($D71:$J71="NT")*6+($D71:$J71="C")*10+($D71:$J71="A")*8+($D71:$J71="J")*5+($D71:$J71="CEP")*4+($D71:$J71="CP")*6+($D71:$J71="CRO")*6+($D71:$J71="M+")*6+($D71:$J71="T+")*6+($D71:$J71="D+")*12+($D71:$J71="N+")*12+($D71:$J71="Dm+")*12+($D71:$J71="Dt+")*12+($D71:$J71="Tm-")*6+($D71:$J71="Mt-")*6)</f>
        <v/>
      </c>
      <c r="AU71" s="118">
        <f>AT71-MAX(0,IFERROR(INDEX(CADASTRO!$I$4:$I$80,MATCH($A71,CADASTRO!$A$4:$A$80,0)),$B71)-CONFIG!$B$50*(COUNTIF($D71:$J71,"AB")+COUNTIF($D71:$J71,"FE")+COUNTIF($D71:$J71,"LM")))</f>
        <v/>
      </c>
      <c r="AV71" s="117">
        <f>SUMPRODUCT(($K71:$Q71="M")*6+($K71:$Q71="T")*6+($K71:$Q71="D")*12+($K71:$Q71="N")*12+($K71:$Q71="NT")*6+($K71:$Q71="C")*10+($K71:$Q71="A")*8+($K71:$Q71="J")*5+($K71:$Q71="CEP")*4+($K71:$Q71="CP")*6+($K71:$Q71="CRO")*6+($K71:$Q71="M+")*6+($K71:$Q71="T+")*6+($K71:$Q71="D+")*12+($K71:$Q71="N+")*12+($K71:$Q71="Dm+")*12+($K71:$Q71="Dt+")*12+($K71:$Q71="Tm-")*6+($K71:$Q71="Mt-")*6)</f>
        <v/>
      </c>
      <c r="AW71" s="118">
        <f>AV71-MAX(0,IFERROR(INDEX(CADASTRO!$I$4:$I$80,MATCH($A71,CADASTRO!$A$4:$A$80,0)),$B71)-CONFIG!$B$50*(COUNTIF($K71:$Q71,"AB")+COUNTIF($K71:$Q71,"FE")+COUNTIF($K71:$Q71,"LM")))</f>
        <v/>
      </c>
      <c r="AX71" s="117">
        <f>SUMPRODUCT(($R71:$X71="M")*6+($R71:$X71="T")*6+($R71:$X71="D")*12+($R71:$X71="N")*12+($R71:$X71="NT")*6+($R71:$X71="C")*10+($R71:$X71="A")*8+($R71:$X71="J")*5+($R71:$X71="CEP")*4+($R71:$X71="CP")*6+($R71:$X71="CRO")*6+($R71:$X71="M+")*6+($R71:$X71="T+")*6+($R71:$X71="D+")*12+($R71:$X71="N+")*12+($R71:$X71="Dm+")*12+($R71:$X71="Dt+")*12+($R71:$X71="Tm-")*6+($R71:$X71="Mt-")*6)</f>
        <v/>
      </c>
      <c r="AY71" s="118">
        <f>AX71-MAX(0,IFERROR(INDEX(CADASTRO!$I$4:$I$80,MATCH($A71,CADASTRO!$A$4:$A$80,0)),$B71)-CONFIG!$B$50*(COUNTIF($R71:$X71,"AB")+COUNTIF($R71:$X71,"FE")+COUNTIF($R71:$X71,"LM")))</f>
        <v/>
      </c>
      <c r="AZ71" s="117">
        <f>SUMPRODUCT(($Y71:$AE71="M")*6+($Y71:$AE71="T")*6+($Y71:$AE71="D")*12+($Y71:$AE71="N")*12+($Y71:$AE71="NT")*6+($Y71:$AE71="C")*10+($Y71:$AE71="A")*8+($Y71:$AE71="J")*5+($Y71:$AE71="CEP")*4+($Y71:$AE71="CP")*6+($Y71:$AE71="CRO")*6+($Y71:$AE71="M+")*6+($Y71:$AE71="T+")*6+($Y71:$AE71="D+")*12+($Y71:$AE71="N+")*12+($Y71:$AE71="Dm+")*12+($Y71:$AE71="Dt+")*12+($Y71:$AE71="Tm-")*6+($Y71:$AE71="Mt-")*6)</f>
        <v/>
      </c>
      <c r="BA71" s="118">
        <f>AZ71-MAX(0,IFERROR(INDEX(CADASTRO!$I$4:$I$80,MATCH($A71,CADASTRO!$A$4:$A$80,0)),$B71)-CONFIG!$B$50*(COUNTIF($Y71:$AE71,"AB")+COUNTIF($Y71:$AE71,"FE")+COUNTIF($Y71:$AE71,"LM")))</f>
        <v/>
      </c>
      <c r="BB71" s="117">
        <f>SUMPRODUCT(($AF71:$AL71="M")*6+($AF71:$AL71="T")*6+($AF71:$AL71="D")*12+($AF71:$AL71="N")*12+($AF71:$AL71="NT")*6+($AF71:$AL71="C")*10+($AF71:$AL71="A")*8+($AF71:$AL71="J")*5+($AF71:$AL71="CEP")*4+($AF71:$AL71="CP")*6+($AF71:$AL71="CRO")*6+($AF71:$AL71="M+")*6+($AF71:$AL71="T+")*6+($AF71:$AL71="D+")*12+($AF71:$AL71="N+")*12+($AF71:$AL71="Dm+")*12+($AF71:$AL71="Dt+")*12+($AF71:$AL71="Tm-")*6+($AF71:$AL71="Mt-")*6)</f>
        <v/>
      </c>
      <c r="BC71" s="118">
        <f>BB71-MAX(0,IFERROR(INDEX(CADASTRO!$I$4:$I$80,MATCH($A71,CADASTRO!$A$4:$A$80,0)),$B71)-CONFIG!$B$50*(COUNTIF($AF71:$AL71,"AB")+COUNTIF($AF71:$AL71,"FE")+COUNTIF($AF71:$AL71,"LM")))</f>
        <v/>
      </c>
      <c r="BD71" s="117">
        <f>SUMPRODUCT(($AM71:$AM71="M")*6+($AM71:$AM71="T")*6+($AM71:$AM71="D")*12+($AM71:$AM71="N")*12+($AM71:$AM71="NT")*6+($AM71:$AM71="C")*10+($AM71:$AM71="A")*8+($AM71:$AM71="J")*5+($AM71:$AM71="CEP")*4+($AM71:$AM71="CP")*6+($AM71:$AM71="CRO")*6+($AM71:$AM71="M+")*6+($AM71:$AM71="T+")*6+($AM71:$AM71="D+")*12+($AM71:$AM71="N+")*12+($AM71:$AM71="Dm+")*12+($AM71:$AM71="Dt+")*12+($AM71:$AM71="Tm-")*6+($AM71:$AM71="Mt-")*6)+SUMPRODUCT(($AN71:$AS71="M")*6+($AN71:$AS71="T")*6+($AN71:$AS71="D")*12+($AN71:$AS71="N")*12+($AN71:$AS71="NT")*6+($AN71:$AS71="C")*10+($AN71:$AS71="A")*8+($AN71:$AS71="J")*5+($AN71:$AS71="CEP")*4+($AN71:$AS71="CP")*6+($AN71:$AS71="CRO")*6+($AN71:$AS71="M+")*6+($AN71:$AS71="T+")*6+($AN71:$AS71="D+")*12+($AN71:$AS71="N+")*12+($AN71:$AS71="Dm+")*12+($AN71:$AS71="Dt+")*12+($AN71:$AS71="Tm-")*6+($AN71:$AS71="Mt-")*6)</f>
        <v/>
      </c>
      <c r="BE71" s="118">
        <f>BD71-MAX(0,IFERROR(INDEX(CADASTRO!$I$4:$I$80,MATCH($A71,CADASTRO!$A$4:$A$80,0)),$B71)-CONFIG!$B$50*(COUNTIF($AM71:$AM71,"AB")+COUNTIF($AM71:$AM71,"FE")+COUNTIF($AM71:$AM71,"LM")+COUNTIF($AN71:$AS71,"AB")+COUNTIF($AN71:$AS71,"FE")+COUNTIF($AN71:$AS71,"LM")))</f>
        <v/>
      </c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36">
        <f>IFERROR(INDEX(JUL!AI$8:AI$73,MATCH($A72,JUL!$A$8:$A$73,0))&amp;"","")</f>
        <v/>
      </c>
      <c r="E72" s="136">
        <f>IFERROR(INDEX(JUL!AJ$8:AJ$73,MATCH($A72,JUL!$A$8:$A$73,0))&amp;"","")</f>
        <v/>
      </c>
      <c r="F72" s="136">
        <f>IFERROR(INDEX(JUL!AK$8:AK$73,MATCH($A72,JUL!$A$8:$A$73,0))&amp;"","")</f>
        <v/>
      </c>
      <c r="G72" s="136">
        <f>IFERROR(INDEX(JUL!AL$8:AL$73,MATCH($A72,JUL!$A$8:$A$73,0))&amp;"","")</f>
        <v/>
      </c>
      <c r="H72" s="136">
        <f>IFERROR(INDEX(JUL!AM$8:AM$73,MATCH($A72,JUL!$A$8:$A$73,0))&amp;"","")</f>
        <v/>
      </c>
      <c r="I72" s="114" t="n"/>
      <c r="J72" s="114" t="n"/>
      <c r="K72" s="114" t="n"/>
      <c r="L72" s="114" t="n"/>
      <c r="M72" s="141" t="inlineStr">
        <is>
          <t>A</t>
        </is>
      </c>
      <c r="N72" s="114" t="n"/>
      <c r="O72" s="141" t="inlineStr">
        <is>
          <t>A</t>
        </is>
      </c>
      <c r="P72" s="114" t="n"/>
      <c r="Q72" s="141" t="inlineStr">
        <is>
          <t>A</t>
        </is>
      </c>
      <c r="R72" s="141" t="inlineStr">
        <is>
          <t>A</t>
        </is>
      </c>
      <c r="S72" s="114" t="n"/>
      <c r="T72" s="141" t="inlineStr">
        <is>
          <t>A</t>
        </is>
      </c>
      <c r="U72" s="114" t="n"/>
      <c r="V72" s="141" t="inlineStr">
        <is>
          <t>A</t>
        </is>
      </c>
      <c r="W72" s="114" t="n"/>
      <c r="X72" s="114" t="n"/>
      <c r="Y72" s="141" t="inlineStr">
        <is>
          <t>A</t>
        </is>
      </c>
      <c r="Z72" s="114" t="n"/>
      <c r="AA72" s="141" t="inlineStr">
        <is>
          <t>A</t>
        </is>
      </c>
      <c r="AB72" s="114" t="n"/>
      <c r="AC72" s="114" t="n"/>
      <c r="AD72" s="114" t="n"/>
      <c r="AE72" s="141" t="inlineStr">
        <is>
          <t>A</t>
        </is>
      </c>
      <c r="AF72" s="141" t="inlineStr">
        <is>
          <t>A</t>
        </is>
      </c>
      <c r="AG72" s="114" t="n"/>
      <c r="AH72" s="141" t="inlineStr">
        <is>
          <t>A</t>
        </is>
      </c>
      <c r="AI72" s="114" t="n"/>
      <c r="AJ72" s="141" t="inlineStr">
        <is>
          <t>A</t>
        </is>
      </c>
      <c r="AK72" s="114" t="n"/>
      <c r="AL72" s="114" t="n"/>
      <c r="AM72" s="114" t="n"/>
      <c r="AN72" s="136">
        <f>IFERROR(INDEX(SET!I$8:I$73,MATCH($A72,SET!$A$8:$A$73,0))&amp;"","")</f>
        <v/>
      </c>
      <c r="AO72" s="136">
        <f>IFERROR(INDEX(SET!J$8:J$73,MATCH($A72,SET!$A$8:$A$73,0))&amp;"","")</f>
        <v/>
      </c>
      <c r="AP72" s="136">
        <f>IFERROR(INDEX(SET!K$8:K$73,MATCH($A72,SET!$A$8:$A$73,0))&amp;"","")</f>
        <v/>
      </c>
      <c r="AQ72" s="136">
        <f>IFERROR(INDEX(SET!L$8:L$73,MATCH($A72,SET!$A$8:$A$73,0))&amp;"","")</f>
        <v/>
      </c>
      <c r="AR72" s="116">
        <f>IFERROR(INDEX(SET!M$8:M$73,MATCH($A72,SET!$A$8:$A$73,0))&amp;"","")</f>
        <v/>
      </c>
      <c r="AS72" s="116">
        <f>IFERROR(INDEX(SET!N$8:N$73,MATCH($A72,SET!$A$8:$A$73,0))&amp;"","")</f>
        <v/>
      </c>
      <c r="AT72" s="117">
        <f>SUMPRODUCT(($D72:$J72="M")*6+($D72:$J72="T")*6+($D72:$J72="D")*12+($D72:$J72="N")*12+($D72:$J72="NT")*6+($D72:$J72="C")*10+($D72:$J72="A")*8+($D72:$J72="J")*5+($D72:$J72="CEP")*4+($D72:$J72="CP")*6+($D72:$J72="CRO")*6+($D72:$J72="M+")*6+($D72:$J72="T+")*6+($D72:$J72="D+")*12+($D72:$J72="N+")*12+($D72:$J72="Dm+")*12+($D72:$J72="Dt+")*12+($D72:$J72="Tm-")*6+($D72:$J72="Mt-")*6)</f>
        <v/>
      </c>
      <c r="AU72" s="118">
        <f>AT72-MAX(0,IFERROR(INDEX(CADASTRO!$I$4:$I$80,MATCH($A72,CADASTRO!$A$4:$A$80,0)),$B72)-CONFIG!$B$50*(COUNTIF($D72:$J72,"AB")+COUNTIF($D72:$J72,"FE")+COUNTIF($D72:$J72,"LM")))</f>
        <v/>
      </c>
      <c r="AV72" s="117">
        <f>SUMPRODUCT(($K72:$Q72="M")*6+($K72:$Q72="T")*6+($K72:$Q72="D")*12+($K72:$Q72="N")*12+($K72:$Q72="NT")*6+($K72:$Q72="C")*10+($K72:$Q72="A")*8+($K72:$Q72="J")*5+($K72:$Q72="CEP")*4+($K72:$Q72="CP")*6+($K72:$Q72="CRO")*6+($K72:$Q72="M+")*6+($K72:$Q72="T+")*6+($K72:$Q72="D+")*12+($K72:$Q72="N+")*12+($K72:$Q72="Dm+")*12+($K72:$Q72="Dt+")*12+($K72:$Q72="Tm-")*6+($K72:$Q72="Mt-")*6)</f>
        <v/>
      </c>
      <c r="AW72" s="118">
        <f>AV72-MAX(0,IFERROR(INDEX(CADASTRO!$I$4:$I$80,MATCH($A72,CADASTRO!$A$4:$A$80,0)),$B72)-CONFIG!$B$50*(COUNTIF($K72:$Q72,"AB")+COUNTIF($K72:$Q72,"FE")+COUNTIF($K72:$Q72,"LM")))</f>
        <v/>
      </c>
      <c r="AX72" s="117">
        <f>SUMPRODUCT(($R72:$X72="M")*6+($R72:$X72="T")*6+($R72:$X72="D")*12+($R72:$X72="N")*12+($R72:$X72="NT")*6+($R72:$X72="C")*10+($R72:$X72="A")*8+($R72:$X72="J")*5+($R72:$X72="CEP")*4+($R72:$X72="CP")*6+($R72:$X72="CRO")*6+($R72:$X72="M+")*6+($R72:$X72="T+")*6+($R72:$X72="D+")*12+($R72:$X72="N+")*12+($R72:$X72="Dm+")*12+($R72:$X72="Dt+")*12+($R72:$X72="Tm-")*6+($R72:$X72="Mt-")*6)</f>
        <v/>
      </c>
      <c r="AY72" s="118">
        <f>AX72-MAX(0,IFERROR(INDEX(CADASTRO!$I$4:$I$80,MATCH($A72,CADASTRO!$A$4:$A$80,0)),$B72)-CONFIG!$B$50*(COUNTIF($R72:$X72,"AB")+COUNTIF($R72:$X72,"FE")+COUNTIF($R72:$X72,"LM")))</f>
        <v/>
      </c>
      <c r="AZ72" s="117">
        <f>SUMPRODUCT(($Y72:$AE72="M")*6+($Y72:$AE72="T")*6+($Y72:$AE72="D")*12+($Y72:$AE72="N")*12+($Y72:$AE72="NT")*6+($Y72:$AE72="C")*10+($Y72:$AE72="A")*8+($Y72:$AE72="J")*5+($Y72:$AE72="CEP")*4+($Y72:$AE72="CP")*6+($Y72:$AE72="CRO")*6+($Y72:$AE72="M+")*6+($Y72:$AE72="T+")*6+($Y72:$AE72="D+")*12+($Y72:$AE72="N+")*12+($Y72:$AE72="Dm+")*12+($Y72:$AE72="Dt+")*12+($Y72:$AE72="Tm-")*6+($Y72:$AE72="Mt-")*6)</f>
        <v/>
      </c>
      <c r="BA72" s="118">
        <f>AZ72-MAX(0,IFERROR(INDEX(CADASTRO!$I$4:$I$80,MATCH($A72,CADASTRO!$A$4:$A$80,0)),$B72)-CONFIG!$B$50*(COUNTIF($Y72:$AE72,"AB")+COUNTIF($Y72:$AE72,"FE")+COUNTIF($Y72:$AE72,"LM")))</f>
        <v/>
      </c>
      <c r="BB72" s="117">
        <f>SUMPRODUCT(($AF72:$AL72="M")*6+($AF72:$AL72="T")*6+($AF72:$AL72="D")*12+($AF72:$AL72="N")*12+($AF72:$AL72="NT")*6+($AF72:$AL72="C")*10+($AF72:$AL72="A")*8+($AF72:$AL72="J")*5+($AF72:$AL72="CEP")*4+($AF72:$AL72="CP")*6+($AF72:$AL72="CRO")*6+($AF72:$AL72="M+")*6+($AF72:$AL72="T+")*6+($AF72:$AL72="D+")*12+($AF72:$AL72="N+")*12+($AF72:$AL72="Dm+")*12+($AF72:$AL72="Dt+")*12+($AF72:$AL72="Tm-")*6+($AF72:$AL72="Mt-")*6)</f>
        <v/>
      </c>
      <c r="BC72" s="118">
        <f>BB72-MAX(0,IFERROR(INDEX(CADASTRO!$I$4:$I$80,MATCH($A72,CADASTRO!$A$4:$A$80,0)),$B72)-CONFIG!$B$50*(COUNTIF($AF72:$AL72,"AB")+COUNTIF($AF72:$AL72,"FE")+COUNTIF($AF72:$AL72,"LM")))</f>
        <v/>
      </c>
      <c r="BD72" s="117">
        <f>SUMPRODUCT(($AM72:$AM72="M")*6+($AM72:$AM72="T")*6+($AM72:$AM72="D")*12+($AM72:$AM72="N")*12+($AM72:$AM72="NT")*6+($AM72:$AM72="C")*10+($AM72:$AM72="A")*8+($AM72:$AM72="J")*5+($AM72:$AM72="CEP")*4+($AM72:$AM72="CP")*6+($AM72:$AM72="CRO")*6+($AM72:$AM72="M+")*6+($AM72:$AM72="T+")*6+($AM72:$AM72="D+")*12+($AM72:$AM72="N+")*12+($AM72:$AM72="Dm+")*12+($AM72:$AM72="Dt+")*12+($AM72:$AM72="Tm-")*6+($AM72:$AM72="Mt-")*6)+SUMPRODUCT(($AN72:$AS72="M")*6+($AN72:$AS72="T")*6+($AN72:$AS72="D")*12+($AN72:$AS72="N")*12+($AN72:$AS72="NT")*6+($AN72:$AS72="C")*10+($AN72:$AS72="A")*8+($AN72:$AS72="J")*5+($AN72:$AS72="CEP")*4+($AN72:$AS72="CP")*6+($AN72:$AS72="CRO")*6+($AN72:$AS72="M+")*6+($AN72:$AS72="T+")*6+($AN72:$AS72="D+")*12+($AN72:$AS72="N+")*12+($AN72:$AS72="Dm+")*12+($AN72:$AS72="Dt+")*12+($AN72:$AS72="Tm-")*6+($AN72:$AS72="Mt-")*6)</f>
        <v/>
      </c>
      <c r="BE72" s="118">
        <f>BD72-MAX(0,IFERROR(INDEX(CADASTRO!$I$4:$I$80,MATCH($A72,CADASTRO!$A$4:$A$80,0)),$B72)-CONFIG!$B$50*(COUNTIF($AM72:$AM72,"AB")+COUNTIF($AM72:$AM72,"FE")+COUNTIF($AM72:$AM72,"LM")+COUNTIF($AN72:$AS72,"AB")+COUNTIF($AN72:$AS72,"FE")+COUNTIF($AN72:$AS72,"LM")))</f>
        <v/>
      </c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36">
        <f>IFERROR(INDEX(JUL!AI$8:AI$73,MATCH($A73,JUL!$A$8:$A$73,0))&amp;"","")</f>
        <v/>
      </c>
      <c r="E73" s="136">
        <f>IFERROR(INDEX(JUL!AJ$8:AJ$73,MATCH($A73,JUL!$A$8:$A$73,0))&amp;"","")</f>
        <v/>
      </c>
      <c r="F73" s="136">
        <f>IFERROR(INDEX(JUL!AK$8:AK$73,MATCH($A73,JUL!$A$8:$A$73,0))&amp;"","")</f>
        <v/>
      </c>
      <c r="G73" s="136">
        <f>IFERROR(INDEX(JUL!AL$8:AL$73,MATCH($A73,JUL!$A$8:$A$73,0))&amp;"","")</f>
        <v/>
      </c>
      <c r="H73" s="136">
        <f>IFERROR(INDEX(JUL!AM$8:AM$73,MATCH($A73,JUL!$A$8:$A$73,0))&amp;"","")</f>
        <v/>
      </c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14" t="n"/>
      <c r="AI73" s="114" t="n"/>
      <c r="AJ73" s="114" t="n"/>
      <c r="AK73" s="114" t="n"/>
      <c r="AL73" s="114" t="n"/>
      <c r="AM73" s="114" t="n"/>
      <c r="AN73" s="136">
        <f>IFERROR(INDEX(SET!I$8:I$73,MATCH($A73,SET!$A$8:$A$73,0))&amp;"","")</f>
        <v/>
      </c>
      <c r="AO73" s="136">
        <f>IFERROR(INDEX(SET!J$8:J$73,MATCH($A73,SET!$A$8:$A$73,0))&amp;"","")</f>
        <v/>
      </c>
      <c r="AP73" s="136">
        <f>IFERROR(INDEX(SET!K$8:K$73,MATCH($A73,SET!$A$8:$A$73,0))&amp;"","")</f>
        <v/>
      </c>
      <c r="AQ73" s="136">
        <f>IFERROR(INDEX(SET!L$8:L$73,MATCH($A73,SET!$A$8:$A$73,0))&amp;"","")</f>
        <v/>
      </c>
      <c r="AR73" s="116">
        <f>IFERROR(INDEX(SET!M$8:M$73,MATCH($A73,SET!$A$8:$A$73,0))&amp;"","")</f>
        <v/>
      </c>
      <c r="AS73" s="116">
        <f>IFERROR(INDEX(SET!N$8:N$73,MATCH($A73,SET!$A$8:$A$73,0))&amp;"","")</f>
        <v/>
      </c>
      <c r="AT73" s="117">
        <f>SUMPRODUCT(($D73:$J73="M")*6+($D73:$J73="T")*6+($D73:$J73="D")*12+($D73:$J73="N")*12+($D73:$J73="NT")*6+($D73:$J73="C")*10+($D73:$J73="A")*8+($D73:$J73="J")*5+($D73:$J73="CEP")*4+($D73:$J73="CP")*6+($D73:$J73="CRO")*6+($D73:$J73="M+")*6+($D73:$J73="T+")*6+($D73:$J73="D+")*12+($D73:$J73="N+")*12+($D73:$J73="Dm+")*12+($D73:$J73="Dt+")*12+($D73:$J73="Tm-")*6+($D73:$J73="Mt-")*6)</f>
        <v/>
      </c>
      <c r="AU73" s="118">
        <f>AT73-MAX(0,IFERROR(INDEX(CADASTRO!$I$4:$I$80,MATCH($A73,CADASTRO!$A$4:$A$80,0)),$B73)-CONFIG!$B$50*(COUNTIF($D73:$J73,"AB")+COUNTIF($D73:$J73,"FE")+COUNTIF($D73:$J73,"LM")))</f>
        <v/>
      </c>
      <c r="AV73" s="117">
        <f>SUMPRODUCT(($K73:$Q73="M")*6+($K73:$Q73="T")*6+($K73:$Q73="D")*12+($K73:$Q73="N")*12+($K73:$Q73="NT")*6+($K73:$Q73="C")*10+($K73:$Q73="A")*8+($K73:$Q73="J")*5+($K73:$Q73="CEP")*4+($K73:$Q73="CP")*6+($K73:$Q73="CRO")*6+($K73:$Q73="M+")*6+($K73:$Q73="T+")*6+($K73:$Q73="D+")*12+($K73:$Q73="N+")*12+($K73:$Q73="Dm+")*12+($K73:$Q73="Dt+")*12+($K73:$Q73="Tm-")*6+($K73:$Q73="Mt-")*6)</f>
        <v/>
      </c>
      <c r="AW73" s="118">
        <f>AV73-MAX(0,IFERROR(INDEX(CADASTRO!$I$4:$I$80,MATCH($A73,CADASTRO!$A$4:$A$80,0)),$B73)-CONFIG!$B$50*(COUNTIF($K73:$Q73,"AB")+COUNTIF($K73:$Q73,"FE")+COUNTIF($K73:$Q73,"LM")))</f>
        <v/>
      </c>
      <c r="AX73" s="117">
        <f>SUMPRODUCT(($R73:$X73="M")*6+($R73:$X73="T")*6+($R73:$X73="D")*12+($R73:$X73="N")*12+($R73:$X73="NT")*6+($R73:$X73="C")*10+($R73:$X73="A")*8+($R73:$X73="J")*5+($R73:$X73="CEP")*4+($R73:$X73="CP")*6+($R73:$X73="CRO")*6+($R73:$X73="M+")*6+($R73:$X73="T+")*6+($R73:$X73="D+")*12+($R73:$X73="N+")*12+($R73:$X73="Dm+")*12+($R73:$X73="Dt+")*12+($R73:$X73="Tm-")*6+($R73:$X73="Mt-")*6)</f>
        <v/>
      </c>
      <c r="AY73" s="118">
        <f>AX73-MAX(0,IFERROR(INDEX(CADASTRO!$I$4:$I$80,MATCH($A73,CADASTRO!$A$4:$A$80,0)),$B73)-CONFIG!$B$50*(COUNTIF($R73:$X73,"AB")+COUNTIF($R73:$X73,"FE")+COUNTIF($R73:$X73,"LM")))</f>
        <v/>
      </c>
      <c r="AZ73" s="117">
        <f>SUMPRODUCT(($Y73:$AE73="M")*6+($Y73:$AE73="T")*6+($Y73:$AE73="D")*12+($Y73:$AE73="N")*12+($Y73:$AE73="NT")*6+($Y73:$AE73="C")*10+($Y73:$AE73="A")*8+($Y73:$AE73="J")*5+($Y73:$AE73="CEP")*4+($Y73:$AE73="CP")*6+($Y73:$AE73="CRO")*6+($Y73:$AE73="M+")*6+($Y73:$AE73="T+")*6+($Y73:$AE73="D+")*12+($Y73:$AE73="N+")*12+($Y73:$AE73="Dm+")*12+($Y73:$AE73="Dt+")*12+($Y73:$AE73="Tm-")*6+($Y73:$AE73="Mt-")*6)</f>
        <v/>
      </c>
      <c r="BA73" s="118">
        <f>AZ73-MAX(0,IFERROR(INDEX(CADASTRO!$I$4:$I$80,MATCH($A73,CADASTRO!$A$4:$A$80,0)),$B73)-CONFIG!$B$50*(COUNTIF($Y73:$AE73,"AB")+COUNTIF($Y73:$AE73,"FE")+COUNTIF($Y73:$AE73,"LM")))</f>
        <v/>
      </c>
      <c r="BB73" s="117">
        <f>SUMPRODUCT(($AF73:$AL73="M")*6+($AF73:$AL73="T")*6+($AF73:$AL73="D")*12+($AF73:$AL73="N")*12+($AF73:$AL73="NT")*6+($AF73:$AL73="C")*10+($AF73:$AL73="A")*8+($AF73:$AL73="J")*5+($AF73:$AL73="CEP")*4+($AF73:$AL73="CP")*6+($AF73:$AL73="CRO")*6+($AF73:$AL73="M+")*6+($AF73:$AL73="T+")*6+($AF73:$AL73="D+")*12+($AF73:$AL73="N+")*12+($AF73:$AL73="Dm+")*12+($AF73:$AL73="Dt+")*12+($AF73:$AL73="Tm-")*6+($AF73:$AL73="Mt-")*6)</f>
        <v/>
      </c>
      <c r="BC73" s="118">
        <f>BB73-MAX(0,IFERROR(INDEX(CADASTRO!$I$4:$I$80,MATCH($A73,CADASTRO!$A$4:$A$80,0)),$B73)-CONFIG!$B$50*(COUNTIF($AF73:$AL73,"AB")+COUNTIF($AF73:$AL73,"FE")+COUNTIF($AF73:$AL73,"LM")))</f>
        <v/>
      </c>
      <c r="BD73" s="117">
        <f>SUMPRODUCT(($AM73:$AM73="M")*6+($AM73:$AM73="T")*6+($AM73:$AM73="D")*12+($AM73:$AM73="N")*12+($AM73:$AM73="NT")*6+($AM73:$AM73="C")*10+($AM73:$AM73="A")*8+($AM73:$AM73="J")*5+($AM73:$AM73="CEP")*4+($AM73:$AM73="CP")*6+($AM73:$AM73="CRO")*6+($AM73:$AM73="M+")*6+($AM73:$AM73="T+")*6+($AM73:$AM73="D+")*12+($AM73:$AM73="N+")*12+($AM73:$AM73="Dm+")*12+($AM73:$AM73="Dt+")*12+($AM73:$AM73="Tm-")*6+($AM73:$AM73="Mt-")*6)+SUMPRODUCT(($AN73:$AS73="M")*6+($AN73:$AS73="T")*6+($AN73:$AS73="D")*12+($AN73:$AS73="N")*12+($AN73:$AS73="NT")*6+($AN73:$AS73="C")*10+($AN73:$AS73="A")*8+($AN73:$AS73="J")*5+($AN73:$AS73="CEP")*4+($AN73:$AS73="CP")*6+($AN73:$AS73="CRO")*6+($AN73:$AS73="M+")*6+($AN73:$AS73="T+")*6+($AN73:$AS73="D+")*12+($AN73:$AS73="N+")*12+($AN73:$AS73="Dm+")*12+($AN73:$AS73="Dt+")*12+($AN73:$AS73="Tm-")*6+($AN73:$AS73="Mt-")*6)</f>
        <v/>
      </c>
      <c r="BE73" s="118">
        <f>BD73-MAX(0,IFERROR(INDEX(CADASTRO!$I$4:$I$80,MATCH($A73,CADASTRO!$A$4:$A$80,0)),$B73)-CONFIG!$B$50*(COUNTIF($AM73:$AM73,"AB")+COUNTIF($AM73:$AM73,"FE")+COUNTIF($AM73:$AM73,"LM")+COUNTIF($AN73:$AS73,"AB")+COUNTIF($AN73:$AS73,"FE")+COUNTIF($AN73:$AS73,"LM")))</f>
        <v/>
      </c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133">
        <f>COUNTIF(D8:D73,"M")+COUNTIF(D8:D73,"D")+COUNTIF(D8:D73,"C")+COUNTIF(D8:D73,"J")+COUNTIF(D8:D73,"CEP")+COUNTIF(D8:D73,"M+")+COUNTIF(D8:D73,"D+")+COUNTIF(D8:D73,"Dm+")+COUNTIF(D8:D73,"Dt+")+COUNTIF(D8:D73,"Mt-")</f>
        <v/>
      </c>
      <c r="E75" s="133">
        <f>COUNTIF(E8:E73,"M")+COUNTIF(E8:E73,"D")+COUNTIF(E8:E73,"C")+COUNTIF(E8:E73,"J")+COUNTIF(E8:E73,"CEP")+COUNTIF(E8:E73,"M+")+COUNTIF(E8:E73,"D+")+COUNTIF(E8:E73,"Dm+")+COUNTIF(E8:E73,"Dt+")+COUNTIF(E8:E73,"Mt-")</f>
        <v/>
      </c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133">
        <f>COUNTIF(AQ8:AQ73,"M")+COUNTIF(AQ8:AQ73,"D")+COUNTIF(AQ8:AQ73,"C")+COUNTIF(AQ8:AQ73,"J")+COUNTIF(AQ8:AQ73,"CEP")+COUNTIF(AQ8:AQ73,"M+")+COUNTIF(AQ8:AQ73,"D+")+COUNTIF(AQ8:AQ73,"Dm+")+COUNTIF(AQ8:AQ73,"Dt+")+COUNTIF(AQ8:AQ73,"Mt-")</f>
        <v/>
      </c>
      <c r="AR75" s="133">
        <f>COUNTIF(AR8:AR73,"M")+COUNTIF(AR8:AR73,"D")+COUNTIF(AR8:AR73,"C")+COUNTIF(AR8:AR73,"J")+COUNTIF(AR8:AR73,"CEP")+COUNTIF(AR8:AR73,"M+")+COUNTIF(AR8:AR73,"D+")+COUNTIF(AR8:AR73,"Dm+")+COUNTIF(AR8:AR73,"Dt+")+COUNTIF(AR8:AR73,"Mt-")</f>
        <v/>
      </c>
      <c r="AS75" s="133">
        <f>COUNTIF(AS8:AS73,"M")+COUNTIF(AS8:AS73,"D")+COUNTIF(AS8:AS73,"C")+COUNTIF(AS8:AS73,"J")+COUNTIF(AS8:AS73,"CEP")+COUNTIF(AS8:AS73,"M+")+COUNTIF(AS8:AS73,"D+")+COUNTIF(AS8:AS73,"Dm+")+COUNTIF(AS8:AS73,"Dt+")+COUNTIF(AS8:AS73,"Mt-")</f>
        <v/>
      </c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133">
        <f>COUNTIF(D8:D73,"T")+COUNTIF(D8:D73,"D")+COUNTIF(D8:D73,"C")+COUNTIF(D8:D73,"T+")+COUNTIF(D8:D73,"D+")+COUNTIF(D8:D73,"Dm+")+COUNTIF(D8:D73,"Dt+")+COUNTIF(D8:D73,"Tm-")</f>
        <v/>
      </c>
      <c r="E76" s="133">
        <f>COUNTIF(E8:E73,"T")+COUNTIF(E8:E73,"D")+COUNTIF(E8:E73,"C")+COUNTIF(E8:E73,"T+")+COUNTIF(E8:E73,"D+")+COUNTIF(E8:E73,"Dm+")+COUNTIF(E8:E73,"Dt+")+COUNTIF(E8:E73,"Tm-")</f>
        <v/>
      </c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133">
        <f>COUNTIF(AQ8:AQ73,"T")+COUNTIF(AQ8:AQ73,"D")+COUNTIF(AQ8:AQ73,"C")+COUNTIF(AQ8:AQ73,"T+")+COUNTIF(AQ8:AQ73,"D+")+COUNTIF(AQ8:AQ73,"Dm+")+COUNTIF(AQ8:AQ73,"Dt+")+COUNTIF(AQ8:AQ73,"Tm-")</f>
        <v/>
      </c>
      <c r="AR76" s="133">
        <f>COUNTIF(AR8:AR73,"T")+COUNTIF(AR8:AR73,"D")+COUNTIF(AR8:AR73,"C")+COUNTIF(AR8:AR73,"T+")+COUNTIF(AR8:AR73,"D+")+COUNTIF(AR8:AR73,"Dm+")+COUNTIF(AR8:AR73,"Dt+")+COUNTIF(AR8:AR73,"Tm-")</f>
        <v/>
      </c>
      <c r="AS76" s="133">
        <f>COUNTIF(AS8:AS73,"T")+COUNTIF(AS8:AS73,"D")+COUNTIF(AS8:AS73,"C")+COUNTIF(AS8:AS73,"T+")+COUNTIF(AS8:AS73,"D+")+COUNTIF(AS8:AS73,"Dm+")+COUNTIF(AS8:AS73,"Dt+")+COUNTIF(AS8:AS73,"Tm-")</f>
        <v/>
      </c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133">
        <f>COUNTIF(D8:D73,"N")+COUNTIF(D8:D73,"NT")+COUNTIF(D8:D73,"N+")</f>
        <v/>
      </c>
      <c r="E77" s="133">
        <f>COUNTIF(E8:E73,"N")+COUNTIF(E8:E73,"NT")+COUNTIF(E8:E73,"N+")</f>
        <v/>
      </c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133">
        <f>COUNTIF(AQ8:AQ73,"N")+COUNTIF(AQ8:AQ73,"NT")+COUNTIF(AQ8:AQ73,"N+")</f>
        <v/>
      </c>
      <c r="AR77" s="133">
        <f>COUNTIF(AR8:AR73,"N")+COUNTIF(AR8:AR73,"NT")+COUNTIF(AR8:AR73,"N+")</f>
        <v/>
      </c>
      <c r="AS77" s="133">
        <f>COUNTIF(AS8:AS73,"N")+COUNTIF(AS8:AS73,"NT")+COUNTIF(AS8:AS73,"N+")</f>
        <v/>
      </c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135">
        <f>MAX(0,CONFIG!$B$9-D75)</f>
        <v/>
      </c>
      <c r="E78" s="135">
        <f>MAX(0,CONFIG!$B$9-E75)</f>
        <v/>
      </c>
      <c r="F78" s="135">
        <f>MAX(0,CONFIG!$B$9-F75)</f>
        <v/>
      </c>
      <c r="G78" s="135">
        <f>MAX(0,CONFIG!$B$9-G75)</f>
        <v/>
      </c>
      <c r="H78" s="135">
        <f>MAX(0,CONFIG!$B$9-H75)</f>
        <v/>
      </c>
      <c r="I78" s="135">
        <f>MAX(0,CONFIG!$B$10-I75)</f>
        <v/>
      </c>
      <c r="J78" s="135">
        <f>MAX(0,CONFIG!$B$11-J75)</f>
        <v/>
      </c>
      <c r="K78" s="135">
        <f>MAX(0,CONFIG!$B$9-K75)</f>
        <v/>
      </c>
      <c r="L78" s="135">
        <f>MAX(0,CONFIG!$B$9-L75)</f>
        <v/>
      </c>
      <c r="M78" s="135">
        <f>MAX(0,CONFIG!$B$9-M75)</f>
        <v/>
      </c>
      <c r="N78" s="135">
        <f>MAX(0,CONFIG!$B$9-N75)</f>
        <v/>
      </c>
      <c r="O78" s="135">
        <f>MAX(0,CONFIG!$B$9-O75)</f>
        <v/>
      </c>
      <c r="P78" s="135">
        <f>MAX(0,CONFIG!$B$10-P75)</f>
        <v/>
      </c>
      <c r="Q78" s="135">
        <f>MAX(0,CONFIG!$B$11-Q75)</f>
        <v/>
      </c>
      <c r="R78" s="135">
        <f>MAX(0,CONFIG!$B$9-R75)</f>
        <v/>
      </c>
      <c r="S78" s="135">
        <f>MAX(0,CONFIG!$B$9-S75)</f>
        <v/>
      </c>
      <c r="T78" s="135">
        <f>MAX(0,CONFIG!$B$9-T75)</f>
        <v/>
      </c>
      <c r="U78" s="135">
        <f>MAX(0,CONFIG!$B$9-U75)</f>
        <v/>
      </c>
      <c r="V78" s="135">
        <f>MAX(0,CONFIG!$B$9-V75)</f>
        <v/>
      </c>
      <c r="W78" s="135">
        <f>MAX(0,CONFIG!$B$10-W75)</f>
        <v/>
      </c>
      <c r="X78" s="135">
        <f>MAX(0,CONFIG!$B$11-X75)</f>
        <v/>
      </c>
      <c r="Y78" s="135">
        <f>MAX(0,CONFIG!$B$9-Y75)</f>
        <v/>
      </c>
      <c r="Z78" s="135">
        <f>MAX(0,CONFIG!$B$9-Z75)</f>
        <v/>
      </c>
      <c r="AA78" s="135">
        <f>MAX(0,CONFIG!$B$9-AA75)</f>
        <v/>
      </c>
      <c r="AB78" s="135">
        <f>MAX(0,CONFIG!$B$9-AB75)</f>
        <v/>
      </c>
      <c r="AC78" s="135">
        <f>MAX(0,CONFIG!$B$9-AC75)</f>
        <v/>
      </c>
      <c r="AD78" s="135">
        <f>MAX(0,CONFIG!$B$10-AD75)</f>
        <v/>
      </c>
      <c r="AE78" s="135">
        <f>MAX(0,CONFIG!$B$11-AE75)</f>
        <v/>
      </c>
      <c r="AF78" s="135">
        <f>MAX(0,CONFIG!$B$9-AF75)</f>
        <v/>
      </c>
      <c r="AG78" s="135">
        <f>MAX(0,CONFIG!$B$9-AG75)</f>
        <v/>
      </c>
      <c r="AH78" s="135">
        <f>MAX(0,CONFIG!$B$9-AH75)</f>
        <v/>
      </c>
      <c r="AI78" s="135">
        <f>MAX(0,CONFIG!$B$9-AI75)</f>
        <v/>
      </c>
      <c r="AJ78" s="135">
        <f>MAX(0,CONFIG!$B$9-AJ75)</f>
        <v/>
      </c>
      <c r="AK78" s="135">
        <f>MAX(0,CONFIG!$B$10-AK75)</f>
        <v/>
      </c>
      <c r="AL78" s="135">
        <f>MAX(0,CONFIG!$B$11-AL75)</f>
        <v/>
      </c>
      <c r="AM78" s="135">
        <f>MAX(0,CONFIG!$B$9-AM75)</f>
        <v/>
      </c>
      <c r="AN78" s="135">
        <f>MAX(0,CONFIG!$B$9-AN75)</f>
        <v/>
      </c>
      <c r="AO78" s="135">
        <f>MAX(0,CONFIG!$B$9-AO75)</f>
        <v/>
      </c>
      <c r="AP78" s="135">
        <f>MAX(0,CONFIG!$B$9-AP75)</f>
        <v/>
      </c>
      <c r="AQ78" s="135">
        <f>MAX(0,CONFIG!$B$9-AQ75)</f>
        <v/>
      </c>
      <c r="AR78" s="135">
        <f>MAX(0,CONFIG!$B$10-AR75)</f>
        <v/>
      </c>
      <c r="AS78" s="135">
        <f>MAX(0,CONFIG!$B$11-AS75)</f>
        <v/>
      </c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135">
        <f>MAX(0,CONFIG!$C$9-D76)</f>
        <v/>
      </c>
      <c r="E79" s="135">
        <f>MAX(0,CONFIG!$C$9-E76)</f>
        <v/>
      </c>
      <c r="F79" s="135">
        <f>MAX(0,CONFIG!$C$9-F76)</f>
        <v/>
      </c>
      <c r="G79" s="135">
        <f>MAX(0,CONFIG!$C$9-G76)</f>
        <v/>
      </c>
      <c r="H79" s="135">
        <f>MAX(0,CONFIG!$C$9-H76)</f>
        <v/>
      </c>
      <c r="I79" s="135">
        <f>MAX(0,CONFIG!$C$10-I76)</f>
        <v/>
      </c>
      <c r="J79" s="135">
        <f>MAX(0,CONFIG!$C$11-J76)</f>
        <v/>
      </c>
      <c r="K79" s="135">
        <f>MAX(0,CONFIG!$C$9-K76)</f>
        <v/>
      </c>
      <c r="L79" s="135">
        <f>MAX(0,CONFIG!$C$9-L76)</f>
        <v/>
      </c>
      <c r="M79" s="135">
        <f>MAX(0,CONFIG!$C$9-M76)</f>
        <v/>
      </c>
      <c r="N79" s="135">
        <f>MAX(0,CONFIG!$C$9-N76)</f>
        <v/>
      </c>
      <c r="O79" s="135">
        <f>MAX(0,CONFIG!$C$9-O76)</f>
        <v/>
      </c>
      <c r="P79" s="135">
        <f>MAX(0,CONFIG!$C$10-P76)</f>
        <v/>
      </c>
      <c r="Q79" s="135">
        <f>MAX(0,CONFIG!$C$11-Q76)</f>
        <v/>
      </c>
      <c r="R79" s="135">
        <f>MAX(0,CONFIG!$C$9-R76)</f>
        <v/>
      </c>
      <c r="S79" s="135">
        <f>MAX(0,CONFIG!$C$9-S76)</f>
        <v/>
      </c>
      <c r="T79" s="135">
        <f>MAX(0,CONFIG!$C$9-T76)</f>
        <v/>
      </c>
      <c r="U79" s="135">
        <f>MAX(0,CONFIG!$C$9-U76)</f>
        <v/>
      </c>
      <c r="V79" s="135">
        <f>MAX(0,CONFIG!$C$9-V76)</f>
        <v/>
      </c>
      <c r="W79" s="135">
        <f>MAX(0,CONFIG!$C$10-W76)</f>
        <v/>
      </c>
      <c r="X79" s="135">
        <f>MAX(0,CONFIG!$C$11-X76)</f>
        <v/>
      </c>
      <c r="Y79" s="135">
        <f>MAX(0,CONFIG!$C$9-Y76)</f>
        <v/>
      </c>
      <c r="Z79" s="135">
        <f>MAX(0,CONFIG!$C$9-Z76)</f>
        <v/>
      </c>
      <c r="AA79" s="135">
        <f>MAX(0,CONFIG!$C$9-AA76)</f>
        <v/>
      </c>
      <c r="AB79" s="135">
        <f>MAX(0,CONFIG!$C$9-AB76)</f>
        <v/>
      </c>
      <c r="AC79" s="135">
        <f>MAX(0,CONFIG!$C$9-AC76)</f>
        <v/>
      </c>
      <c r="AD79" s="135">
        <f>MAX(0,CONFIG!$C$10-AD76)</f>
        <v/>
      </c>
      <c r="AE79" s="135">
        <f>MAX(0,CONFIG!$C$11-AE76)</f>
        <v/>
      </c>
      <c r="AF79" s="135">
        <f>MAX(0,CONFIG!$C$9-AF76)</f>
        <v/>
      </c>
      <c r="AG79" s="135">
        <f>MAX(0,CONFIG!$C$9-AG76)</f>
        <v/>
      </c>
      <c r="AH79" s="135">
        <f>MAX(0,CONFIG!$C$9-AH76)</f>
        <v/>
      </c>
      <c r="AI79" s="135">
        <f>MAX(0,CONFIG!$C$9-AI76)</f>
        <v/>
      </c>
      <c r="AJ79" s="135">
        <f>MAX(0,CONFIG!$C$9-AJ76)</f>
        <v/>
      </c>
      <c r="AK79" s="135">
        <f>MAX(0,CONFIG!$C$10-AK76)</f>
        <v/>
      </c>
      <c r="AL79" s="135">
        <f>MAX(0,CONFIG!$C$11-AL76)</f>
        <v/>
      </c>
      <c r="AM79" s="135">
        <f>MAX(0,CONFIG!$C$9-AM76)</f>
        <v/>
      </c>
      <c r="AN79" s="135">
        <f>MAX(0,CONFIG!$C$9-AN76)</f>
        <v/>
      </c>
      <c r="AO79" s="135">
        <f>MAX(0,CONFIG!$C$9-AO76)</f>
        <v/>
      </c>
      <c r="AP79" s="135">
        <f>MAX(0,CONFIG!$C$9-AP76)</f>
        <v/>
      </c>
      <c r="AQ79" s="135">
        <f>MAX(0,CONFIG!$C$9-AQ76)</f>
        <v/>
      </c>
      <c r="AR79" s="135">
        <f>MAX(0,CONFIG!$C$10-AR76)</f>
        <v/>
      </c>
      <c r="AS79" s="135">
        <f>MAX(0,CONFIG!$C$11-AS76)</f>
        <v/>
      </c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135">
        <f>MAX(0,CONFIG!$D$9-D77)</f>
        <v/>
      </c>
      <c r="E80" s="135">
        <f>MAX(0,CONFIG!$D$9-E77)</f>
        <v/>
      </c>
      <c r="F80" s="135">
        <f>MAX(0,CONFIG!$D$9-F77)</f>
        <v/>
      </c>
      <c r="G80" s="135">
        <f>MAX(0,CONFIG!$D$9-G77)</f>
        <v/>
      </c>
      <c r="H80" s="135">
        <f>MAX(0,CONFIG!$D$9-H77)</f>
        <v/>
      </c>
      <c r="I80" s="135">
        <f>MAX(0,CONFIG!$D$10-I77)</f>
        <v/>
      </c>
      <c r="J80" s="135">
        <f>MAX(0,CONFIG!$D$11-J77)</f>
        <v/>
      </c>
      <c r="K80" s="135">
        <f>MAX(0,CONFIG!$D$9-K77)</f>
        <v/>
      </c>
      <c r="L80" s="135">
        <f>MAX(0,CONFIG!$D$9-L77)</f>
        <v/>
      </c>
      <c r="M80" s="135">
        <f>MAX(0,CONFIG!$D$9-M77)</f>
        <v/>
      </c>
      <c r="N80" s="135">
        <f>MAX(0,CONFIG!$D$9-N77)</f>
        <v/>
      </c>
      <c r="O80" s="135">
        <f>MAX(0,CONFIG!$D$9-O77)</f>
        <v/>
      </c>
      <c r="P80" s="135">
        <f>MAX(0,CONFIG!$D$10-P77)</f>
        <v/>
      </c>
      <c r="Q80" s="135">
        <f>MAX(0,CONFIG!$D$11-Q77)</f>
        <v/>
      </c>
      <c r="R80" s="135">
        <f>MAX(0,CONFIG!$D$9-R77)</f>
        <v/>
      </c>
      <c r="S80" s="135">
        <f>MAX(0,CONFIG!$D$9-S77)</f>
        <v/>
      </c>
      <c r="T80" s="135">
        <f>MAX(0,CONFIG!$D$9-T77)</f>
        <v/>
      </c>
      <c r="U80" s="135">
        <f>MAX(0,CONFIG!$D$9-U77)</f>
        <v/>
      </c>
      <c r="V80" s="135">
        <f>MAX(0,CONFIG!$D$9-V77)</f>
        <v/>
      </c>
      <c r="W80" s="135">
        <f>MAX(0,CONFIG!$D$10-W77)</f>
        <v/>
      </c>
      <c r="X80" s="135">
        <f>MAX(0,CONFIG!$D$11-X77)</f>
        <v/>
      </c>
      <c r="Y80" s="135">
        <f>MAX(0,CONFIG!$D$9-Y77)</f>
        <v/>
      </c>
      <c r="Z80" s="135">
        <f>MAX(0,CONFIG!$D$9-Z77)</f>
        <v/>
      </c>
      <c r="AA80" s="135">
        <f>MAX(0,CONFIG!$D$9-AA77)</f>
        <v/>
      </c>
      <c r="AB80" s="135">
        <f>MAX(0,CONFIG!$D$9-AB77)</f>
        <v/>
      </c>
      <c r="AC80" s="135">
        <f>MAX(0,CONFIG!$D$9-AC77)</f>
        <v/>
      </c>
      <c r="AD80" s="135">
        <f>MAX(0,CONFIG!$D$10-AD77)</f>
        <v/>
      </c>
      <c r="AE80" s="135">
        <f>MAX(0,CONFIG!$D$11-AE77)</f>
        <v/>
      </c>
      <c r="AF80" s="135">
        <f>MAX(0,CONFIG!$D$9-AF77)</f>
        <v/>
      </c>
      <c r="AG80" s="135">
        <f>MAX(0,CONFIG!$D$9-AG77)</f>
        <v/>
      </c>
      <c r="AH80" s="135">
        <f>MAX(0,CONFIG!$D$9-AH77)</f>
        <v/>
      </c>
      <c r="AI80" s="135">
        <f>MAX(0,CONFIG!$D$9-AI77)</f>
        <v/>
      </c>
      <c r="AJ80" s="135">
        <f>MAX(0,CONFIG!$D$9-AJ77)</f>
        <v/>
      </c>
      <c r="AK80" s="135">
        <f>MAX(0,CONFIG!$D$10-AK77)</f>
        <v/>
      </c>
      <c r="AL80" s="135">
        <f>MAX(0,CONFIG!$D$11-AL77)</f>
        <v/>
      </c>
      <c r="AM80" s="135">
        <f>MAX(0,CONFIG!$D$9-AM77)</f>
        <v/>
      </c>
      <c r="AN80" s="135">
        <f>MAX(0,CONFIG!$D$9-AN77)</f>
        <v/>
      </c>
      <c r="AO80" s="135">
        <f>MAX(0,CONFIG!$D$9-AO77)</f>
        <v/>
      </c>
      <c r="AP80" s="135">
        <f>MAX(0,CONFIG!$D$9-AP77)</f>
        <v/>
      </c>
      <c r="AQ80" s="135">
        <f>MAX(0,CONFIG!$D$9-AQ77)</f>
        <v/>
      </c>
      <c r="AR80" s="135">
        <f>MAX(0,CONFIG!$D$10-AR77)</f>
        <v/>
      </c>
      <c r="AS80" s="135">
        <f>MAX(0,CONFIG!$D$11-AS77)</f>
        <v/>
      </c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2">
    <mergeCell ref="AT3:AU3"/>
    <mergeCell ref="BD3:BE3"/>
    <mergeCell ref="AX3:AY3"/>
    <mergeCell ref="AV3:AW3"/>
    <mergeCell ref="AZ3:BA3"/>
    <mergeCell ref="BD2:BE2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8C79A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5.3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Setembro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0" t="n"/>
      <c r="G2" s="100" t="n"/>
      <c r="H2" s="101" t="inlineStr">
        <is>
          <t>31/08</t>
        </is>
      </c>
      <c r="I2" s="103" t="n">
        <v>1</v>
      </c>
      <c r="J2" s="103" t="n">
        <v>2</v>
      </c>
      <c r="K2" s="103" t="n">
        <v>3</v>
      </c>
      <c r="L2" s="103" t="n">
        <v>4</v>
      </c>
      <c r="M2" s="104" t="n">
        <v>5</v>
      </c>
      <c r="N2" s="104" t="n">
        <v>6</v>
      </c>
      <c r="O2" s="102" t="n">
        <v>7</v>
      </c>
      <c r="P2" s="103" t="n">
        <v>8</v>
      </c>
      <c r="Q2" s="103" t="n">
        <v>9</v>
      </c>
      <c r="R2" s="103" t="n">
        <v>10</v>
      </c>
      <c r="S2" s="103" t="n">
        <v>11</v>
      </c>
      <c r="T2" s="104" t="n">
        <v>12</v>
      </c>
      <c r="U2" s="104" t="n">
        <v>13</v>
      </c>
      <c r="V2" s="103" t="n">
        <v>14</v>
      </c>
      <c r="W2" s="103" t="n">
        <v>15</v>
      </c>
      <c r="X2" s="103" t="n">
        <v>16</v>
      </c>
      <c r="Y2" s="103" t="n">
        <v>17</v>
      </c>
      <c r="Z2" s="103" t="n">
        <v>18</v>
      </c>
      <c r="AA2" s="104" t="n">
        <v>19</v>
      </c>
      <c r="AB2" s="104" t="n">
        <v>20</v>
      </c>
      <c r="AC2" s="103" t="n">
        <v>21</v>
      </c>
      <c r="AD2" s="103" t="n">
        <v>22</v>
      </c>
      <c r="AE2" s="103" t="n">
        <v>23</v>
      </c>
      <c r="AF2" s="103" t="n">
        <v>24</v>
      </c>
      <c r="AG2" s="103" t="n">
        <v>25</v>
      </c>
      <c r="AH2" s="104" t="n">
        <v>26</v>
      </c>
      <c r="AI2" s="104" t="n">
        <v>27</v>
      </c>
      <c r="AJ2" s="103" t="n">
        <v>28</v>
      </c>
      <c r="AK2" s="103" t="n">
        <v>29</v>
      </c>
      <c r="AL2" s="103" t="n">
        <v>30</v>
      </c>
      <c r="AM2" s="100" t="n"/>
      <c r="AN2" s="101" t="inlineStr">
        <is>
          <t>01/10</t>
        </is>
      </c>
      <c r="AO2" s="101" t="inlineStr">
        <is>
          <t>02/10</t>
        </is>
      </c>
      <c r="AP2" s="105" t="inlineStr">
        <is>
          <t>03/10</t>
        </is>
      </c>
      <c r="AQ2" s="105" t="inlineStr">
        <is>
          <t>04/10</t>
        </is>
      </c>
      <c r="AR2" s="100" t="n"/>
      <c r="AS2" s="100" t="n"/>
      <c r="AT2" s="106" t="inlineStr">
        <is>
          <t>31/08–06/09</t>
        </is>
      </c>
      <c r="AU2" s="39" t="n"/>
      <c r="AV2" s="106" t="inlineStr">
        <is>
          <t>07/09–13/09</t>
        </is>
      </c>
      <c r="AW2" s="39" t="n"/>
      <c r="AX2" s="106" t="inlineStr">
        <is>
          <t>14/09–20/09</t>
        </is>
      </c>
      <c r="AY2" s="39" t="n"/>
      <c r="AZ2" s="106" t="inlineStr">
        <is>
          <t>21/09–27/09</t>
        </is>
      </c>
      <c r="BA2" s="39" t="n"/>
      <c r="BB2" s="106" t="inlineStr">
        <is>
          <t>28/09–04/10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0" t="n"/>
      <c r="G3" s="100" t="n"/>
      <c r="H3" s="107" t="inlineStr">
        <is>
          <t>seg</t>
        </is>
      </c>
      <c r="I3" s="107" t="inlineStr">
        <is>
          <t>ter</t>
        </is>
      </c>
      <c r="J3" s="107" t="inlineStr">
        <is>
          <t>qua</t>
        </is>
      </c>
      <c r="K3" s="107" t="inlineStr">
        <is>
          <t>qui</t>
        </is>
      </c>
      <c r="L3" s="107" t="inlineStr">
        <is>
          <t>sex</t>
        </is>
      </c>
      <c r="M3" s="109" t="inlineStr">
        <is>
          <t>sáb</t>
        </is>
      </c>
      <c r="N3" s="109" t="inlineStr">
        <is>
          <t>dom</t>
        </is>
      </c>
      <c r="O3" s="108" t="inlineStr">
        <is>
          <t>indep</t>
        </is>
      </c>
      <c r="P3" s="107" t="inlineStr">
        <is>
          <t>ter</t>
        </is>
      </c>
      <c r="Q3" s="107" t="inlineStr">
        <is>
          <t>qua</t>
        </is>
      </c>
      <c r="R3" s="107" t="inlineStr">
        <is>
          <t>qui</t>
        </is>
      </c>
      <c r="S3" s="107" t="inlineStr">
        <is>
          <t>sex</t>
        </is>
      </c>
      <c r="T3" s="109" t="inlineStr">
        <is>
          <t>sáb</t>
        </is>
      </c>
      <c r="U3" s="109" t="inlineStr">
        <is>
          <t>dom</t>
        </is>
      </c>
      <c r="V3" s="107" t="inlineStr">
        <is>
          <t>seg</t>
        </is>
      </c>
      <c r="W3" s="107" t="inlineStr">
        <is>
          <t>ter</t>
        </is>
      </c>
      <c r="X3" s="107" t="inlineStr">
        <is>
          <t>qua</t>
        </is>
      </c>
      <c r="Y3" s="107" t="inlineStr">
        <is>
          <t>qui</t>
        </is>
      </c>
      <c r="Z3" s="107" t="inlineStr">
        <is>
          <t>sex</t>
        </is>
      </c>
      <c r="AA3" s="109" t="inlineStr">
        <is>
          <t>sáb</t>
        </is>
      </c>
      <c r="AB3" s="109" t="inlineStr">
        <is>
          <t>dom</t>
        </is>
      </c>
      <c r="AC3" s="107" t="inlineStr">
        <is>
          <t>seg</t>
        </is>
      </c>
      <c r="AD3" s="107" t="inlineStr">
        <is>
          <t>ter</t>
        </is>
      </c>
      <c r="AE3" s="107" t="inlineStr">
        <is>
          <t>qua</t>
        </is>
      </c>
      <c r="AF3" s="107" t="inlineStr">
        <is>
          <t>qui</t>
        </is>
      </c>
      <c r="AG3" s="107" t="inlineStr">
        <is>
          <t>sex</t>
        </is>
      </c>
      <c r="AH3" s="109" t="inlineStr">
        <is>
          <t>sáb</t>
        </is>
      </c>
      <c r="AI3" s="109" t="inlineStr">
        <is>
          <t>dom</t>
        </is>
      </c>
      <c r="AJ3" s="107" t="inlineStr">
        <is>
          <t>seg</t>
        </is>
      </c>
      <c r="AK3" s="107" t="inlineStr">
        <is>
          <t>ter</t>
        </is>
      </c>
      <c r="AL3" s="107" t="inlineStr">
        <is>
          <t>qua</t>
        </is>
      </c>
      <c r="AM3" s="100" t="n"/>
      <c r="AN3" s="107" t="inlineStr">
        <is>
          <t>qui</t>
        </is>
      </c>
      <c r="AO3" s="107" t="inlineStr">
        <is>
          <t>sex</t>
        </is>
      </c>
      <c r="AP3" s="109" t="inlineStr">
        <is>
          <t>sáb</t>
        </is>
      </c>
      <c r="AQ3" s="109" t="inlineStr">
        <is>
          <t>dom</t>
        </is>
      </c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0</v>
      </c>
      <c r="M4" s="39" t="n">
        <v>1</v>
      </c>
      <c r="N4" s="39" t="n">
        <v>1</v>
      </c>
      <c r="O4" s="39" t="n">
        <v>0</v>
      </c>
      <c r="P4" s="39" t="n">
        <v>0</v>
      </c>
      <c r="Q4" s="39" t="n">
        <v>0</v>
      </c>
      <c r="R4" s="39" t="n">
        <v>0</v>
      </c>
      <c r="S4" s="39" t="n">
        <v>0</v>
      </c>
      <c r="T4" s="39" t="n">
        <v>1</v>
      </c>
      <c r="U4" s="39" t="n">
        <v>1</v>
      </c>
      <c r="V4" s="39" t="n">
        <v>0</v>
      </c>
      <c r="W4" s="39" t="n">
        <v>0</v>
      </c>
      <c r="X4" s="39" t="n">
        <v>0</v>
      </c>
      <c r="Y4" s="39" t="n">
        <v>0</v>
      </c>
      <c r="Z4" s="39" t="n">
        <v>0</v>
      </c>
      <c r="AA4" s="39" t="n">
        <v>1</v>
      </c>
      <c r="AB4" s="39" t="n">
        <v>1</v>
      </c>
      <c r="AC4" s="39" t="n">
        <v>0</v>
      </c>
      <c r="AD4" s="39" t="n">
        <v>0</v>
      </c>
      <c r="AE4" s="39" t="n">
        <v>0</v>
      </c>
      <c r="AF4" s="39" t="n">
        <v>0</v>
      </c>
      <c r="AG4" s="39" t="n">
        <v>0</v>
      </c>
      <c r="AH4" s="39" t="n">
        <v>1</v>
      </c>
      <c r="AI4" s="39" t="n">
        <v>1</v>
      </c>
      <c r="AJ4" s="39" t="n">
        <v>0</v>
      </c>
      <c r="AK4" s="39" t="n">
        <v>0</v>
      </c>
      <c r="AL4" s="39" t="n">
        <v>0</v>
      </c>
      <c r="AM4" s="39" t="n"/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1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1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1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1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0</v>
      </c>
      <c r="AM5" s="39" t="n"/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1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/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00" t="n"/>
      <c r="H8" s="136">
        <f>IFERROR(INDEX(AGO!AM$8:AM$73,MATCH($A8,AGO!$A$8:$A$73,0))&amp;"","")</f>
        <v/>
      </c>
      <c r="I8" s="137" t="inlineStr">
        <is>
          <t>C</t>
        </is>
      </c>
      <c r="J8" s="115" t="inlineStr">
        <is>
          <t>M</t>
        </is>
      </c>
      <c r="K8" s="115" t="inlineStr">
        <is>
          <t>M</t>
        </is>
      </c>
      <c r="L8" s="115" t="inlineStr">
        <is>
          <t>M</t>
        </is>
      </c>
      <c r="M8" s="114" t="n"/>
      <c r="N8" s="114" t="n"/>
      <c r="O8" s="114" t="n"/>
      <c r="P8" s="137" t="inlineStr">
        <is>
          <t>C</t>
        </is>
      </c>
      <c r="Q8" s="115" t="inlineStr">
        <is>
          <t>M</t>
        </is>
      </c>
      <c r="R8" s="115" t="inlineStr">
        <is>
          <t>M</t>
        </is>
      </c>
      <c r="S8" s="115" t="inlineStr">
        <is>
          <t>M</t>
        </is>
      </c>
      <c r="T8" s="114" t="n"/>
      <c r="U8" s="114" t="n"/>
      <c r="V8" s="137" t="inlineStr">
        <is>
          <t>C</t>
        </is>
      </c>
      <c r="W8" s="137" t="inlineStr">
        <is>
          <t>C</t>
        </is>
      </c>
      <c r="X8" s="115" t="inlineStr">
        <is>
          <t>M</t>
        </is>
      </c>
      <c r="Y8" s="115" t="inlineStr">
        <is>
          <t>M</t>
        </is>
      </c>
      <c r="Z8" s="137" t="inlineStr">
        <is>
          <t>C</t>
        </is>
      </c>
      <c r="AA8" s="114" t="n"/>
      <c r="AB8" s="114" t="n"/>
      <c r="AC8" s="137" t="inlineStr">
        <is>
          <t>C</t>
        </is>
      </c>
      <c r="AD8" s="137" t="inlineStr">
        <is>
          <t>C</t>
        </is>
      </c>
      <c r="AE8" s="115" t="inlineStr">
        <is>
          <t>M</t>
        </is>
      </c>
      <c r="AF8" s="115" t="inlineStr">
        <is>
          <t>M</t>
        </is>
      </c>
      <c r="AG8" s="115" t="inlineStr">
        <is>
          <t>M</t>
        </is>
      </c>
      <c r="AH8" s="114" t="n"/>
      <c r="AI8" s="114" t="n"/>
      <c r="AJ8" s="115" t="inlineStr">
        <is>
          <t>M</t>
        </is>
      </c>
      <c r="AK8" s="115" t="inlineStr">
        <is>
          <t>M</t>
        </is>
      </c>
      <c r="AL8" s="115" t="inlineStr">
        <is>
          <t>M</t>
        </is>
      </c>
      <c r="AM8" s="100" t="n"/>
      <c r="AN8" s="136">
        <f>IFERROR(INDEX(OUT!I$8:I$73,MATCH($A8,OUT!$A$8:$A$73,0))&amp;"","")</f>
        <v/>
      </c>
      <c r="AO8" s="136">
        <f>IFERROR(INDEX(OUT!J$8:J$73,MATCH($A8,OUT!$A$8:$A$73,0))&amp;"","")</f>
        <v/>
      </c>
      <c r="AP8" s="116">
        <f>IFERROR(INDEX(OUT!K$8:K$73,MATCH($A8,OUT!$A$8:$A$73,0))&amp;"","")</f>
        <v/>
      </c>
      <c r="AQ8" s="116">
        <f>IFERROR(INDEX(OUT!L$8:L$73,MATCH($A8,OUT!$A$8:$A$73,0))&amp;"","")</f>
        <v/>
      </c>
      <c r="AR8" s="100" t="n"/>
      <c r="AS8" s="100" t="n"/>
      <c r="AT8" s="117">
        <f>SUMPRODUCT(($H8:$N8="M")*6+($H8:$N8="T")*6+($H8:$N8="D")*12+($H8:$N8="N")*12+($H8:$N8="NT")*6+($H8:$N8="C")*10+($H8:$N8="A")*8+($H8:$N8="J")*5+($H8:$N8="CEP")*4+($H8:$N8="CP")*6+($H8:$N8="CRO")*6+($H8:$N8="M+")*6+($H8:$N8="T+")*6+($H8:$N8="D+")*12+($H8:$N8="N+")*12+($H8:$N8="Dm+")*12+($H8:$N8="Dt+")*12+($H8:$N8="Tm-")*6+($H8:$N8="Mt-")*6)</f>
        <v/>
      </c>
      <c r="AU8" s="118">
        <f>AT8-MAX(0,IFERROR(INDEX(CADASTRO!$I$4:$I$80,MATCH($A8,CADASTRO!$A$4:$A$80,0)),$B8)-CONFIG!$B$50*(COUNTIF($H8:$N8,"AB")+COUNTIF($H8:$N8,"FE")+COUNTIF($H8:$N8,"LM")))</f>
        <v/>
      </c>
      <c r="AV8" s="117">
        <f>SUMPRODUCT(($O8:$U8="M")*6+($O8:$U8="T")*6+($O8:$U8="D")*12+($O8:$U8="N")*12+($O8:$U8="NT")*6+($O8:$U8="C")*10+($O8:$U8="A")*8+($O8:$U8="J")*5+($O8:$U8="CEP")*4+($O8:$U8="CP")*6+($O8:$U8="CRO")*6+($O8:$U8="M+")*6+($O8:$U8="T+")*6+($O8:$U8="D+")*12+($O8:$U8="N+")*12+($O8:$U8="Dm+")*12+($O8:$U8="Dt+")*12+($O8:$U8="Tm-")*6+($O8:$U8="Mt-")*6)</f>
        <v/>
      </c>
      <c r="AW8" s="118">
        <f>AV8-MAX(0,IFERROR(INDEX(CADASTRO!$I$4:$I$80,MATCH($A8,CADASTRO!$A$4:$A$80,0)),$B8)-CONFIG!$B$50*(COUNTIF($O8:$U8,"AB")+COUNTIF($O8:$U8,"FE")+COUNTIF($O8:$U8,"LM")))</f>
        <v/>
      </c>
      <c r="AX8" s="117">
        <f>SUMPRODUCT(($V8:$AB8="M")*6+($V8:$AB8="T")*6+($V8:$AB8="D")*12+($V8:$AB8="N")*12+($V8:$AB8="NT")*6+($V8:$AB8="C")*10+($V8:$AB8="A")*8+($V8:$AB8="J")*5+($V8:$AB8="CEP")*4+($V8:$AB8="CP")*6+($V8:$AB8="CRO")*6+($V8:$AB8="M+")*6+($V8:$AB8="T+")*6+($V8:$AB8="D+")*12+($V8:$AB8="N+")*12+($V8:$AB8="Dm+")*12+($V8:$AB8="Dt+")*12+($V8:$AB8="Tm-")*6+($V8:$AB8="Mt-")*6)</f>
        <v/>
      </c>
      <c r="AY8" s="118">
        <f>AX8-MAX(0,IFERROR(INDEX(CADASTRO!$I$4:$I$80,MATCH($A8,CADASTRO!$A$4:$A$80,0)),$B8)-CONFIG!$B$50*(COUNTIF($V8:$AB8,"AB")+COUNTIF($V8:$AB8,"FE")+COUNTIF($V8:$AB8,"LM")))</f>
        <v/>
      </c>
      <c r="AZ8" s="117">
        <f>SUMPRODUCT(($AC8:$AI8="M")*6+($AC8:$AI8="T")*6+($AC8:$AI8="D")*12+($AC8:$AI8="N")*12+($AC8:$AI8="NT")*6+($AC8:$AI8="C")*10+($AC8:$AI8="A")*8+($AC8:$AI8="J")*5+($AC8:$AI8="CEP")*4+($AC8:$AI8="CP")*6+($AC8:$AI8="CRO")*6+($AC8:$AI8="M+")*6+($AC8:$AI8="T+")*6+($AC8:$AI8="D+")*12+($AC8:$AI8="N+")*12+($AC8:$AI8="Dm+")*12+($AC8:$AI8="Dt+")*12+($AC8:$AI8="Tm-")*6+($AC8:$AI8="Mt-")*6)</f>
        <v/>
      </c>
      <c r="BA8" s="118">
        <f>AZ8-MAX(0,IFERROR(INDEX(CADASTRO!$I$4:$I$80,MATCH($A8,CADASTRO!$A$4:$A$80,0)),$B8)-CONFIG!$B$50*(COUNTIF($AC8:$AI8,"AB")+COUNTIF($AC8:$AI8,"FE")+COUNTIF($AC8:$AI8,"LM")))</f>
        <v/>
      </c>
      <c r="BB8" s="117">
        <f>SUMPRODUCT(($AJ8:$AL8="M")*6+($AJ8:$AL8="T")*6+($AJ8:$AL8="D")*12+($AJ8:$AL8="N")*12+($AJ8:$AL8="NT")*6+($AJ8:$AL8="C")*10+($AJ8:$AL8="A")*8+($AJ8:$AL8="J")*5+($AJ8:$AL8="CEP")*4+($AJ8:$AL8="CP")*6+($AJ8:$AL8="CRO")*6+($AJ8:$AL8="M+")*6+($AJ8:$AL8="T+")*6+($AJ8:$AL8="D+")*12+($AJ8:$AL8="N+")*12+($AJ8:$AL8="Dm+")*12+($AJ8:$AL8="Dt+")*12+($AJ8:$AL8="Tm-")*6+($AJ8:$AL8="Mt-")*6)+SUMPRODUCT(($AN8:$AQ8="M")*6+($AN8:$AQ8="T")*6+($AN8:$AQ8="D")*12+($AN8:$AQ8="N")*12+($AN8:$AQ8="NT")*6+($AN8:$AQ8="C")*10+($AN8:$AQ8="A")*8+($AN8:$AQ8="J")*5+($AN8:$AQ8="CEP")*4+($AN8:$AQ8="CP")*6+($AN8:$AQ8="CRO")*6+($AN8:$AQ8="M+")*6+($AN8:$AQ8="T+")*6+($AN8:$AQ8="D+")*12+($AN8:$AQ8="N+")*12+($AN8:$AQ8="Dm+")*12+($AN8:$AQ8="Dt+")*12+($AN8:$AQ8="Tm-")*6+($AN8:$AQ8="Mt-")*6)</f>
        <v/>
      </c>
      <c r="BC8" s="118">
        <f>BB8-MAX(0,IFERROR(INDEX(CADASTRO!$I$4:$I$80,MATCH($A8,CADASTRO!$A$4:$A$80,0)),$B8)-CONFIG!$B$50*(COUNTIF($AJ8:$AL8,"AB")+COUNTIF($AJ8:$AL8,"FE")+COUNTIF($AJ8:$AL8,"LM")+COUNTIF($AN8:$AQ8,"AB")+COUNTIF($AN8:$AQ8,"FE")+COUNTIF($AN8:$AQ8,"LM")))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ROUND(B8*4.29,0)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00" t="n"/>
      <c r="H9" s="136">
        <f>IFERROR(INDEX(AGO!AM$8:AM$73,MATCH($A9,AGO!$A$8:$A$73,0))&amp;"","")</f>
        <v/>
      </c>
      <c r="I9" s="115" t="inlineStr">
        <is>
          <t>M</t>
        </is>
      </c>
      <c r="J9" s="115" t="inlineStr">
        <is>
          <t>M</t>
        </is>
      </c>
      <c r="K9" s="137" t="inlineStr">
        <is>
          <t>C</t>
        </is>
      </c>
      <c r="L9" s="115" t="inlineStr">
        <is>
          <t>M</t>
        </is>
      </c>
      <c r="M9" s="114" t="n"/>
      <c r="N9" s="114" t="n"/>
      <c r="O9" s="114" t="n"/>
      <c r="P9" s="115" t="inlineStr">
        <is>
          <t>M</t>
        </is>
      </c>
      <c r="Q9" s="115" t="inlineStr">
        <is>
          <t>M</t>
        </is>
      </c>
      <c r="R9" s="137" t="inlineStr">
        <is>
          <t>C</t>
        </is>
      </c>
      <c r="S9" s="137" t="inlineStr">
        <is>
          <t>C</t>
        </is>
      </c>
      <c r="T9" s="114" t="n"/>
      <c r="U9" s="114" t="n"/>
      <c r="V9" s="115" t="inlineStr">
        <is>
          <t>M</t>
        </is>
      </c>
      <c r="W9" s="115" t="inlineStr">
        <is>
          <t>M</t>
        </is>
      </c>
      <c r="X9" s="115" t="inlineStr">
        <is>
          <t>M</t>
        </is>
      </c>
      <c r="Y9" s="137" t="inlineStr">
        <is>
          <t>C</t>
        </is>
      </c>
      <c r="Z9" s="115" t="inlineStr">
        <is>
          <t>M</t>
        </is>
      </c>
      <c r="AA9" s="114" t="n"/>
      <c r="AB9" s="114" t="n"/>
      <c r="AC9" s="115" t="inlineStr">
        <is>
          <t>M</t>
        </is>
      </c>
      <c r="AD9" s="115" t="inlineStr">
        <is>
          <t>M</t>
        </is>
      </c>
      <c r="AE9" s="115" t="inlineStr">
        <is>
          <t>M</t>
        </is>
      </c>
      <c r="AF9" s="137" t="inlineStr">
        <is>
          <t>C</t>
        </is>
      </c>
      <c r="AG9" s="115" t="inlineStr">
        <is>
          <t>M</t>
        </is>
      </c>
      <c r="AH9" s="114" t="n"/>
      <c r="AI9" s="114" t="n"/>
      <c r="AJ9" s="115" t="inlineStr">
        <is>
          <t>M</t>
        </is>
      </c>
      <c r="AK9" s="115" t="inlineStr">
        <is>
          <t>M</t>
        </is>
      </c>
      <c r="AL9" s="115" t="inlineStr">
        <is>
          <t>M</t>
        </is>
      </c>
      <c r="AM9" s="100" t="n"/>
      <c r="AN9" s="136">
        <f>IFERROR(INDEX(OUT!I$8:I$73,MATCH($A9,OUT!$A$8:$A$73,0))&amp;"","")</f>
        <v/>
      </c>
      <c r="AO9" s="136">
        <f>IFERROR(INDEX(OUT!J$8:J$73,MATCH($A9,OUT!$A$8:$A$73,0))&amp;"","")</f>
        <v/>
      </c>
      <c r="AP9" s="116">
        <f>IFERROR(INDEX(OUT!K$8:K$73,MATCH($A9,OUT!$A$8:$A$73,0))&amp;"","")</f>
        <v/>
      </c>
      <c r="AQ9" s="116">
        <f>IFERROR(INDEX(OUT!L$8:L$73,MATCH($A9,OUT!$A$8:$A$73,0))&amp;"","")</f>
        <v/>
      </c>
      <c r="AR9" s="100" t="n"/>
      <c r="AS9" s="100" t="n"/>
      <c r="AT9" s="117">
        <f>SUMPRODUCT(($H9:$N9="M")*6+($H9:$N9="T")*6+($H9:$N9="D")*12+($H9:$N9="N")*12+($H9:$N9="NT")*6+($H9:$N9="C")*10+($H9:$N9="A")*8+($H9:$N9="J")*5+($H9:$N9="CEP")*4+($H9:$N9="CP")*6+($H9:$N9="CRO")*6+($H9:$N9="M+")*6+($H9:$N9="T+")*6+($H9:$N9="D+")*12+($H9:$N9="N+")*12+($H9:$N9="Dm+")*12+($H9:$N9="Dt+")*12+($H9:$N9="Tm-")*6+($H9:$N9="Mt-")*6)</f>
        <v/>
      </c>
      <c r="AU9" s="118">
        <f>AT9-MAX(0,IFERROR(INDEX(CADASTRO!$I$4:$I$80,MATCH($A9,CADASTRO!$A$4:$A$80,0)),$B9)-CONFIG!$B$50*(COUNTIF($H9:$N9,"AB")+COUNTIF($H9:$N9,"FE")+COUNTIF($H9:$N9,"LM")))</f>
        <v/>
      </c>
      <c r="AV9" s="117">
        <f>SUMPRODUCT(($O9:$U9="M")*6+($O9:$U9="T")*6+($O9:$U9="D")*12+($O9:$U9="N")*12+($O9:$U9="NT")*6+($O9:$U9="C")*10+($O9:$U9="A")*8+($O9:$U9="J")*5+($O9:$U9="CEP")*4+($O9:$U9="CP")*6+($O9:$U9="CRO")*6+($O9:$U9="M+")*6+($O9:$U9="T+")*6+($O9:$U9="D+")*12+($O9:$U9="N+")*12+($O9:$U9="Dm+")*12+($O9:$U9="Dt+")*12+($O9:$U9="Tm-")*6+($O9:$U9="Mt-")*6)</f>
        <v/>
      </c>
      <c r="AW9" s="118">
        <f>AV9-MAX(0,IFERROR(INDEX(CADASTRO!$I$4:$I$80,MATCH($A9,CADASTRO!$A$4:$A$80,0)),$B9)-CONFIG!$B$50*(COUNTIF($O9:$U9,"AB")+COUNTIF($O9:$U9,"FE")+COUNTIF($O9:$U9,"LM")))</f>
        <v/>
      </c>
      <c r="AX9" s="117">
        <f>SUMPRODUCT(($V9:$AB9="M")*6+($V9:$AB9="T")*6+($V9:$AB9="D")*12+($V9:$AB9="N")*12+($V9:$AB9="NT")*6+($V9:$AB9="C")*10+($V9:$AB9="A")*8+($V9:$AB9="J")*5+($V9:$AB9="CEP")*4+($V9:$AB9="CP")*6+($V9:$AB9="CRO")*6+($V9:$AB9="M+")*6+($V9:$AB9="T+")*6+($V9:$AB9="D+")*12+($V9:$AB9="N+")*12+($V9:$AB9="Dm+")*12+($V9:$AB9="Dt+")*12+($V9:$AB9="Tm-")*6+($V9:$AB9="Mt-")*6)</f>
        <v/>
      </c>
      <c r="AY9" s="118">
        <f>AX9-MAX(0,IFERROR(INDEX(CADASTRO!$I$4:$I$80,MATCH($A9,CADASTRO!$A$4:$A$80,0)),$B9)-CONFIG!$B$50*(COUNTIF($V9:$AB9,"AB")+COUNTIF($V9:$AB9,"FE")+COUNTIF($V9:$AB9,"LM")))</f>
        <v/>
      </c>
      <c r="AZ9" s="117">
        <f>SUMPRODUCT(($AC9:$AI9="M")*6+($AC9:$AI9="T")*6+($AC9:$AI9="D")*12+($AC9:$AI9="N")*12+($AC9:$AI9="NT")*6+($AC9:$AI9="C")*10+($AC9:$AI9="A")*8+($AC9:$AI9="J")*5+($AC9:$AI9="CEP")*4+($AC9:$AI9="CP")*6+($AC9:$AI9="CRO")*6+($AC9:$AI9="M+")*6+($AC9:$AI9="T+")*6+($AC9:$AI9="D+")*12+($AC9:$AI9="N+")*12+($AC9:$AI9="Dm+")*12+($AC9:$AI9="Dt+")*12+($AC9:$AI9="Tm-")*6+($AC9:$AI9="Mt-")*6)</f>
        <v/>
      </c>
      <c r="BA9" s="118">
        <f>AZ9-MAX(0,IFERROR(INDEX(CADASTRO!$I$4:$I$80,MATCH($A9,CADASTRO!$A$4:$A$80,0)),$B9)-CONFIG!$B$50*(COUNTIF($AC9:$AI9,"AB")+COUNTIF($AC9:$AI9,"FE")+COUNTIF($AC9:$AI9,"LM")))</f>
        <v/>
      </c>
      <c r="BB9" s="117">
        <f>SUMPRODUCT(($AJ9:$AL9="M")*6+($AJ9:$AL9="T")*6+($AJ9:$AL9="D")*12+($AJ9:$AL9="N")*12+($AJ9:$AL9="NT")*6+($AJ9:$AL9="C")*10+($AJ9:$AL9="A")*8+($AJ9:$AL9="J")*5+($AJ9:$AL9="CEP")*4+($AJ9:$AL9="CP")*6+($AJ9:$AL9="CRO")*6+($AJ9:$AL9="M+")*6+($AJ9:$AL9="T+")*6+($AJ9:$AL9="D+")*12+($AJ9:$AL9="N+")*12+($AJ9:$AL9="Dm+")*12+($AJ9:$AL9="Dt+")*12+($AJ9:$AL9="Tm-")*6+($AJ9:$AL9="Mt-")*6)+SUMPRODUCT(($AN9:$AQ9="M")*6+($AN9:$AQ9="T")*6+($AN9:$AQ9="D")*12+($AN9:$AQ9="N")*12+($AN9:$AQ9="NT")*6+($AN9:$AQ9="C")*10+($AN9:$AQ9="A")*8+($AN9:$AQ9="J")*5+($AN9:$AQ9="CEP")*4+($AN9:$AQ9="CP")*6+($AN9:$AQ9="CRO")*6+($AN9:$AQ9="M+")*6+($AN9:$AQ9="T+")*6+($AN9:$AQ9="D+")*12+($AN9:$AQ9="N+")*12+($AN9:$AQ9="Dm+")*12+($AN9:$AQ9="Dt+")*12+($AN9:$AQ9="Tm-")*6+($AN9:$AQ9="Mt-")*6)</f>
        <v/>
      </c>
      <c r="BC9" s="118">
        <f>BB9-MAX(0,IFERROR(INDEX(CADASTRO!$I$4:$I$80,MATCH($A9,CADASTRO!$A$4:$A$80,0)),$B9)-CONFIG!$B$50*(COUNTIF($AJ9:$AL9,"AB")+COUNTIF($AJ9:$AL9,"FE")+COUNTIF($AJ9:$AL9,"LM")+COUNTIF($AN9:$AQ9,"AB")+COUNTIF($AN9:$AQ9,"FE")+COUNTIF($AN9:$AQ9,"LM")))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ROUND(B9*4.29,0)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00" t="n"/>
      <c r="H10" s="136">
        <f>IFERROR(INDEX(AGO!AM$8:AM$73,MATCH($A10,AGO!$A$8:$A$73,0))&amp;"","")</f>
        <v/>
      </c>
      <c r="I10" s="137" t="inlineStr">
        <is>
          <t>C</t>
        </is>
      </c>
      <c r="J10" s="115" t="inlineStr">
        <is>
          <t>M</t>
        </is>
      </c>
      <c r="K10" s="115" t="inlineStr">
        <is>
          <t>M</t>
        </is>
      </c>
      <c r="L10" s="137" t="inlineStr">
        <is>
          <t>C</t>
        </is>
      </c>
      <c r="M10" s="114" t="n"/>
      <c r="N10" s="114" t="n"/>
      <c r="O10" s="115" t="inlineStr">
        <is>
          <t>M</t>
        </is>
      </c>
      <c r="P10" s="137" t="inlineStr">
        <is>
          <t>C</t>
        </is>
      </c>
      <c r="Q10" s="115" t="inlineStr">
        <is>
          <t>M</t>
        </is>
      </c>
      <c r="R10" s="115" t="inlineStr">
        <is>
          <t>M</t>
        </is>
      </c>
      <c r="S10" s="115" t="inlineStr">
        <is>
          <t>M</t>
        </is>
      </c>
      <c r="T10" s="114" t="n"/>
      <c r="U10" s="114" t="n"/>
      <c r="V10" s="115" t="inlineStr">
        <is>
          <t>M</t>
        </is>
      </c>
      <c r="W10" s="137" t="inlineStr">
        <is>
          <t>C</t>
        </is>
      </c>
      <c r="X10" s="115" t="inlineStr">
        <is>
          <t>M</t>
        </is>
      </c>
      <c r="Y10" s="115" t="inlineStr">
        <is>
          <t>M</t>
        </is>
      </c>
      <c r="Z10" s="115" t="inlineStr">
        <is>
          <t>M</t>
        </is>
      </c>
      <c r="AA10" s="114" t="n"/>
      <c r="AB10" s="114" t="n"/>
      <c r="AC10" s="115" t="inlineStr">
        <is>
          <t>M</t>
        </is>
      </c>
      <c r="AD10" s="137" t="inlineStr">
        <is>
          <t>C</t>
        </is>
      </c>
      <c r="AE10" s="115" t="inlineStr">
        <is>
          <t>M</t>
        </is>
      </c>
      <c r="AF10" s="115" t="inlineStr">
        <is>
          <t>M</t>
        </is>
      </c>
      <c r="AG10" s="137" t="inlineStr">
        <is>
          <t>C</t>
        </is>
      </c>
      <c r="AH10" s="114" t="n"/>
      <c r="AI10" s="114" t="n"/>
      <c r="AJ10" s="115" t="inlineStr">
        <is>
          <t>M</t>
        </is>
      </c>
      <c r="AK10" s="115" t="inlineStr">
        <is>
          <t>M</t>
        </is>
      </c>
      <c r="AL10" s="115" t="inlineStr">
        <is>
          <t>M</t>
        </is>
      </c>
      <c r="AM10" s="100" t="n"/>
      <c r="AN10" s="136">
        <f>IFERROR(INDEX(OUT!I$8:I$73,MATCH($A10,OUT!$A$8:$A$73,0))&amp;"","")</f>
        <v/>
      </c>
      <c r="AO10" s="136">
        <f>IFERROR(INDEX(OUT!J$8:J$73,MATCH($A10,OUT!$A$8:$A$73,0))&amp;"","")</f>
        <v/>
      </c>
      <c r="AP10" s="116">
        <f>IFERROR(INDEX(OUT!K$8:K$73,MATCH($A10,OUT!$A$8:$A$73,0))&amp;"","")</f>
        <v/>
      </c>
      <c r="AQ10" s="116">
        <f>IFERROR(INDEX(OUT!L$8:L$73,MATCH($A10,OUT!$A$8:$A$73,0))&amp;"","")</f>
        <v/>
      </c>
      <c r="AR10" s="100" t="n"/>
      <c r="AS10" s="100" t="n"/>
      <c r="AT10" s="117">
        <f>SUMPRODUCT(($H10:$N10="M")*6+($H10:$N10="T")*6+($H10:$N10="D")*12+($H10:$N10="N")*12+($H10:$N10="NT")*6+($H10:$N10="C")*10+($H10:$N10="A")*8+($H10:$N10="J")*5+($H10:$N10="CEP")*4+($H10:$N10="CP")*6+($H10:$N10="CRO")*6+($H10:$N10="M+")*6+($H10:$N10="T+")*6+($H10:$N10="D+")*12+($H10:$N10="N+")*12+($H10:$N10="Dm+")*12+($H10:$N10="Dt+")*12+($H10:$N10="Tm-")*6+($H10:$N10="Mt-")*6)</f>
        <v/>
      </c>
      <c r="AU10" s="118">
        <f>AT10-MAX(0,IFERROR(INDEX(CADASTRO!$I$4:$I$80,MATCH($A10,CADASTRO!$A$4:$A$80,0)),$B10)-CONFIG!$B$50*(COUNTIF($H10:$N10,"AB")+COUNTIF($H10:$N10,"FE")+COUNTIF($H10:$N10,"LM")))</f>
        <v/>
      </c>
      <c r="AV10" s="117">
        <f>SUMPRODUCT(($O10:$U10="M")*6+($O10:$U10="T")*6+($O10:$U10="D")*12+($O10:$U10="N")*12+($O10:$U10="NT")*6+($O10:$U10="C")*10+($O10:$U10="A")*8+($O10:$U10="J")*5+($O10:$U10="CEP")*4+($O10:$U10="CP")*6+($O10:$U10="CRO")*6+($O10:$U10="M+")*6+($O10:$U10="T+")*6+($O10:$U10="D+")*12+($O10:$U10="N+")*12+($O10:$U10="Dm+")*12+($O10:$U10="Dt+")*12+($O10:$U10="Tm-")*6+($O10:$U10="Mt-")*6)</f>
        <v/>
      </c>
      <c r="AW10" s="118">
        <f>AV10-MAX(0,IFERROR(INDEX(CADASTRO!$I$4:$I$80,MATCH($A10,CADASTRO!$A$4:$A$80,0)),$B10)-CONFIG!$B$50*(COUNTIF($O10:$U10,"AB")+COUNTIF($O10:$U10,"FE")+COUNTIF($O10:$U10,"LM")))</f>
        <v/>
      </c>
      <c r="AX10" s="117">
        <f>SUMPRODUCT(($V10:$AB10="M")*6+($V10:$AB10="T")*6+($V10:$AB10="D")*12+($V10:$AB10="N")*12+($V10:$AB10="NT")*6+($V10:$AB10="C")*10+($V10:$AB10="A")*8+($V10:$AB10="J")*5+($V10:$AB10="CEP")*4+($V10:$AB10="CP")*6+($V10:$AB10="CRO")*6+($V10:$AB10="M+")*6+($V10:$AB10="T+")*6+($V10:$AB10="D+")*12+($V10:$AB10="N+")*12+($V10:$AB10="Dm+")*12+($V10:$AB10="Dt+")*12+($V10:$AB10="Tm-")*6+($V10:$AB10="Mt-")*6)</f>
        <v/>
      </c>
      <c r="AY10" s="118">
        <f>AX10-MAX(0,IFERROR(INDEX(CADASTRO!$I$4:$I$80,MATCH($A10,CADASTRO!$A$4:$A$80,0)),$B10)-CONFIG!$B$50*(COUNTIF($V10:$AB10,"AB")+COUNTIF($V10:$AB10,"FE")+COUNTIF($V10:$AB10,"LM")))</f>
        <v/>
      </c>
      <c r="AZ10" s="117">
        <f>SUMPRODUCT(($AC10:$AI10="M")*6+($AC10:$AI10="T")*6+($AC10:$AI10="D")*12+($AC10:$AI10="N")*12+($AC10:$AI10="NT")*6+($AC10:$AI10="C")*10+($AC10:$AI10="A")*8+($AC10:$AI10="J")*5+($AC10:$AI10="CEP")*4+($AC10:$AI10="CP")*6+($AC10:$AI10="CRO")*6+($AC10:$AI10="M+")*6+($AC10:$AI10="T+")*6+($AC10:$AI10="D+")*12+($AC10:$AI10="N+")*12+($AC10:$AI10="Dm+")*12+($AC10:$AI10="Dt+")*12+($AC10:$AI10="Tm-")*6+($AC10:$AI10="Mt-")*6)</f>
        <v/>
      </c>
      <c r="BA10" s="118">
        <f>AZ10-MAX(0,IFERROR(INDEX(CADASTRO!$I$4:$I$80,MATCH($A10,CADASTRO!$A$4:$A$80,0)),$B10)-CONFIG!$B$50*(COUNTIF($AC10:$AI10,"AB")+COUNTIF($AC10:$AI10,"FE")+COUNTIF($AC10:$AI10,"LM")))</f>
        <v/>
      </c>
      <c r="BB10" s="117">
        <f>SUMPRODUCT(($AJ10:$AL10="M")*6+($AJ10:$AL10="T")*6+($AJ10:$AL10="D")*12+($AJ10:$AL10="N")*12+($AJ10:$AL10="NT")*6+($AJ10:$AL10="C")*10+($AJ10:$AL10="A")*8+($AJ10:$AL10="J")*5+($AJ10:$AL10="CEP")*4+($AJ10:$AL10="CP")*6+($AJ10:$AL10="CRO")*6+($AJ10:$AL10="M+")*6+($AJ10:$AL10="T+")*6+($AJ10:$AL10="D+")*12+($AJ10:$AL10="N+")*12+($AJ10:$AL10="Dm+")*12+($AJ10:$AL10="Dt+")*12+($AJ10:$AL10="Tm-")*6+($AJ10:$AL10="Mt-")*6)+SUMPRODUCT(($AN10:$AQ10="M")*6+($AN10:$AQ10="T")*6+($AN10:$AQ10="D")*12+($AN10:$AQ10="N")*12+($AN10:$AQ10="NT")*6+($AN10:$AQ10="C")*10+($AN10:$AQ10="A")*8+($AN10:$AQ10="J")*5+($AN10:$AQ10="CEP")*4+($AN10:$AQ10="CP")*6+($AN10:$AQ10="CRO")*6+($AN10:$AQ10="M+")*6+($AN10:$AQ10="T+")*6+($AN10:$AQ10="D+")*12+($AN10:$AQ10="N+")*12+($AN10:$AQ10="Dm+")*12+($AN10:$AQ10="Dt+")*12+($AN10:$AQ10="Tm-")*6+($AN10:$AQ10="Mt-")*6)</f>
        <v/>
      </c>
      <c r="BC10" s="118">
        <f>BB10-MAX(0,IFERROR(INDEX(CADASTRO!$I$4:$I$80,MATCH($A10,CADASTRO!$A$4:$A$80,0)),$B10)-CONFIG!$B$50*(COUNTIF($AJ10:$AL10,"AB")+COUNTIF($AJ10:$AL10,"FE")+COUNTIF($AJ10:$AL10,"LM")+COUNTIF($AN10:$AQ10,"AB")+COUNTIF($AN10:$AQ10,"FE")+COUNTIF($AN10:$AQ10,"LM")))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ROUND(B10*4.29,0)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00" t="n"/>
      <c r="H11" s="136">
        <f>IFERROR(INDEX(AGO!AM$8:AM$73,MATCH($A11,AGO!$A$8:$A$73,0))&amp;"","")</f>
        <v/>
      </c>
      <c r="I11" s="115" t="inlineStr">
        <is>
          <t>M</t>
        </is>
      </c>
      <c r="J11" s="115" t="inlineStr">
        <is>
          <t>M</t>
        </is>
      </c>
      <c r="K11" s="115" t="inlineStr">
        <is>
          <t>M</t>
        </is>
      </c>
      <c r="L11" s="126" t="inlineStr">
        <is>
          <t>T</t>
        </is>
      </c>
      <c r="M11" s="114" t="n"/>
      <c r="N11" s="114" t="n"/>
      <c r="O11" s="114" t="n"/>
      <c r="P11" s="124" t="inlineStr">
        <is>
          <t>D</t>
        </is>
      </c>
      <c r="Q11" s="115" t="inlineStr">
        <is>
          <t>M</t>
        </is>
      </c>
      <c r="R11" s="115" t="inlineStr">
        <is>
          <t>M</t>
        </is>
      </c>
      <c r="S11" s="115" t="inlineStr">
        <is>
          <t>M</t>
        </is>
      </c>
      <c r="T11" s="114" t="n"/>
      <c r="U11" s="125" t="inlineStr">
        <is>
          <t>N</t>
        </is>
      </c>
      <c r="V11" s="115" t="inlineStr">
        <is>
          <t>M</t>
        </is>
      </c>
      <c r="W11" s="115" t="inlineStr">
        <is>
          <t>M</t>
        </is>
      </c>
      <c r="X11" s="115" t="inlineStr">
        <is>
          <t>M</t>
        </is>
      </c>
      <c r="Y11" s="124" t="inlineStr">
        <is>
          <t>D</t>
        </is>
      </c>
      <c r="Z11" s="115" t="inlineStr">
        <is>
          <t>M</t>
        </is>
      </c>
      <c r="AA11" s="114" t="n"/>
      <c r="AB11" s="114" t="n"/>
      <c r="AC11" s="115" t="inlineStr">
        <is>
          <t>M</t>
        </is>
      </c>
      <c r="AD11" s="114" t="n"/>
      <c r="AE11" s="115" t="inlineStr">
        <is>
          <t>M</t>
        </is>
      </c>
      <c r="AF11" s="115" t="inlineStr">
        <is>
          <t>M</t>
        </is>
      </c>
      <c r="AG11" s="115" t="inlineStr">
        <is>
          <t>M</t>
        </is>
      </c>
      <c r="AH11" s="115" t="inlineStr">
        <is>
          <t>M</t>
        </is>
      </c>
      <c r="AI11" s="125" t="inlineStr">
        <is>
          <t>N</t>
        </is>
      </c>
      <c r="AJ11" s="115" t="inlineStr">
        <is>
          <t>M</t>
        </is>
      </c>
      <c r="AK11" s="115" t="inlineStr">
        <is>
          <t>M</t>
        </is>
      </c>
      <c r="AL11" s="115" t="inlineStr">
        <is>
          <t>M</t>
        </is>
      </c>
      <c r="AM11" s="100" t="n"/>
      <c r="AN11" s="136">
        <f>IFERROR(INDEX(OUT!I$8:I$73,MATCH($A11,OUT!$A$8:$A$73,0))&amp;"","")</f>
        <v/>
      </c>
      <c r="AO11" s="136">
        <f>IFERROR(INDEX(OUT!J$8:J$73,MATCH($A11,OUT!$A$8:$A$73,0))&amp;"","")</f>
        <v/>
      </c>
      <c r="AP11" s="116">
        <f>IFERROR(INDEX(OUT!K$8:K$73,MATCH($A11,OUT!$A$8:$A$73,0))&amp;"","")</f>
        <v/>
      </c>
      <c r="AQ11" s="116">
        <f>IFERROR(INDEX(OUT!L$8:L$73,MATCH($A11,OUT!$A$8:$A$73,0))&amp;"","")</f>
        <v/>
      </c>
      <c r="AR11" s="100" t="n"/>
      <c r="AS11" s="100" t="n"/>
      <c r="AT11" s="117">
        <f>SUMPRODUCT(($H11:$N11="M")*6+($H11:$N11="T")*6+($H11:$N11="D")*12+($H11:$N11="N")*12+($H11:$N11="NT")*6+($H11:$N11="C")*10+($H11:$N11="A")*8+($H11:$N11="J")*5+($H11:$N11="CEP")*4+($H11:$N11="CP")*6+($H11:$N11="CRO")*6+($H11:$N11="M+")*6+($H11:$N11="T+")*6+($H11:$N11="D+")*12+($H11:$N11="N+")*12+($H11:$N11="Dm+")*12+($H11:$N11="Dt+")*12+($H11:$N11="Tm-")*6+($H11:$N11="Mt-")*6)</f>
        <v/>
      </c>
      <c r="AU11" s="118">
        <f>AT11-MAX(0,IFERROR(INDEX(CADASTRO!$I$4:$I$80,MATCH($A11,CADASTRO!$A$4:$A$80,0)),$B11)-CONFIG!$B$50*(COUNTIF($H11:$N11,"AB")+COUNTIF($H11:$N11,"FE")+COUNTIF($H11:$N11,"LM")))</f>
        <v/>
      </c>
      <c r="AV11" s="117">
        <f>SUMPRODUCT(($O11:$U11="M")*6+($O11:$U11="T")*6+($O11:$U11="D")*12+($O11:$U11="N")*12+($O11:$U11="NT")*6+($O11:$U11="C")*10+($O11:$U11="A")*8+($O11:$U11="J")*5+($O11:$U11="CEP")*4+($O11:$U11="CP")*6+($O11:$U11="CRO")*6+($O11:$U11="M+")*6+($O11:$U11="T+")*6+($O11:$U11="D+")*12+($O11:$U11="N+")*12+($O11:$U11="Dm+")*12+($O11:$U11="Dt+")*12+($O11:$U11="Tm-")*6+($O11:$U11="Mt-")*6)</f>
        <v/>
      </c>
      <c r="AW11" s="118">
        <f>AV11-MAX(0,IFERROR(INDEX(CADASTRO!$I$4:$I$80,MATCH($A11,CADASTRO!$A$4:$A$80,0)),$B11)-CONFIG!$B$50*(COUNTIF($O11:$U11,"AB")+COUNTIF($O11:$U11,"FE")+COUNTIF($O11:$U11,"LM")))</f>
        <v/>
      </c>
      <c r="AX11" s="117">
        <f>SUMPRODUCT(($V11:$AB11="M")*6+($V11:$AB11="T")*6+($V11:$AB11="D")*12+($V11:$AB11="N")*12+($V11:$AB11="NT")*6+($V11:$AB11="C")*10+($V11:$AB11="A")*8+($V11:$AB11="J")*5+($V11:$AB11="CEP")*4+($V11:$AB11="CP")*6+($V11:$AB11="CRO")*6+($V11:$AB11="M+")*6+($V11:$AB11="T+")*6+($V11:$AB11="D+")*12+($V11:$AB11="N+")*12+($V11:$AB11="Dm+")*12+($V11:$AB11="Dt+")*12+($V11:$AB11="Tm-")*6+($V11:$AB11="Mt-")*6)</f>
        <v/>
      </c>
      <c r="AY11" s="118">
        <f>AX11-MAX(0,IFERROR(INDEX(CADASTRO!$I$4:$I$80,MATCH($A11,CADASTRO!$A$4:$A$80,0)),$B11)-CONFIG!$B$50*(COUNTIF($V11:$AB11,"AB")+COUNTIF($V11:$AB11,"FE")+COUNTIF($V11:$AB11,"LM")))</f>
        <v/>
      </c>
      <c r="AZ11" s="117">
        <f>SUMPRODUCT(($AC11:$AI11="M")*6+($AC11:$AI11="T")*6+($AC11:$AI11="D")*12+($AC11:$AI11="N")*12+($AC11:$AI11="NT")*6+($AC11:$AI11="C")*10+($AC11:$AI11="A")*8+($AC11:$AI11="J")*5+($AC11:$AI11="CEP")*4+($AC11:$AI11="CP")*6+($AC11:$AI11="CRO")*6+($AC11:$AI11="M+")*6+($AC11:$AI11="T+")*6+($AC11:$AI11="D+")*12+($AC11:$AI11="N+")*12+($AC11:$AI11="Dm+")*12+($AC11:$AI11="Dt+")*12+($AC11:$AI11="Tm-")*6+($AC11:$AI11="Mt-")*6)</f>
        <v/>
      </c>
      <c r="BA11" s="118">
        <f>AZ11-MAX(0,IFERROR(INDEX(CADASTRO!$I$4:$I$80,MATCH($A11,CADASTRO!$A$4:$A$80,0)),$B11)-CONFIG!$B$50*(COUNTIF($AC11:$AI11,"AB")+COUNTIF($AC11:$AI11,"FE")+COUNTIF($AC11:$AI11,"LM")))</f>
        <v/>
      </c>
      <c r="BB11" s="117">
        <f>SUMPRODUCT(($AJ11:$AL11="M")*6+($AJ11:$AL11="T")*6+($AJ11:$AL11="D")*12+($AJ11:$AL11="N")*12+($AJ11:$AL11="NT")*6+($AJ11:$AL11="C")*10+($AJ11:$AL11="A")*8+($AJ11:$AL11="J")*5+($AJ11:$AL11="CEP")*4+($AJ11:$AL11="CP")*6+($AJ11:$AL11="CRO")*6+($AJ11:$AL11="M+")*6+($AJ11:$AL11="T+")*6+($AJ11:$AL11="D+")*12+($AJ11:$AL11="N+")*12+($AJ11:$AL11="Dm+")*12+($AJ11:$AL11="Dt+")*12+($AJ11:$AL11="Tm-")*6+($AJ11:$AL11="Mt-")*6)+SUMPRODUCT(($AN11:$AQ11="M")*6+($AN11:$AQ11="T")*6+($AN11:$AQ11="D")*12+($AN11:$AQ11="N")*12+($AN11:$AQ11="NT")*6+($AN11:$AQ11="C")*10+($AN11:$AQ11="A")*8+($AN11:$AQ11="J")*5+($AN11:$AQ11="CEP")*4+($AN11:$AQ11="CP")*6+($AN11:$AQ11="CRO")*6+($AN11:$AQ11="M+")*6+($AN11:$AQ11="T+")*6+($AN11:$AQ11="D+")*12+($AN11:$AQ11="N+")*12+($AN11:$AQ11="Dm+")*12+($AN11:$AQ11="Dt+")*12+($AN11:$AQ11="Tm-")*6+($AN11:$AQ11="Mt-")*6)</f>
        <v/>
      </c>
      <c r="BC11" s="118">
        <f>BB11-MAX(0,IFERROR(INDEX(CADASTRO!$I$4:$I$80,MATCH($A11,CADASTRO!$A$4:$A$80,0)),$B11)-CONFIG!$B$50*(COUNTIF($AJ11:$AL11,"AB")+COUNTIF($AJ11:$AL11,"FE")+COUNTIF($AJ11:$AL11,"LM")+COUNTIF($AN11:$AQ11,"AB")+COUNTIF($AN11:$AQ11,"FE")+COUNTIF($AN11:$AQ11,"LM")))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ROUND(B11*4.29,0)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00" t="n"/>
      <c r="H12" s="136">
        <f>IFERROR(INDEX(AGO!AM$8:AM$73,MATCH($A12,AGO!$A$8:$A$73,0))&amp;"","")</f>
        <v/>
      </c>
      <c r="I12" s="124" t="inlineStr">
        <is>
          <t>D</t>
        </is>
      </c>
      <c r="J12" s="115" t="inlineStr">
        <is>
          <t>M</t>
        </is>
      </c>
      <c r="K12" s="115" t="inlineStr">
        <is>
          <t>M</t>
        </is>
      </c>
      <c r="L12" s="115" t="inlineStr">
        <is>
          <t>M</t>
        </is>
      </c>
      <c r="M12" s="114" t="n"/>
      <c r="N12" s="114" t="n"/>
      <c r="O12" s="115" t="inlineStr">
        <is>
          <t>M</t>
        </is>
      </c>
      <c r="P12" s="115" t="inlineStr">
        <is>
          <t>M</t>
        </is>
      </c>
      <c r="Q12" s="115" t="inlineStr">
        <is>
          <t>M</t>
        </is>
      </c>
      <c r="R12" s="115" t="inlineStr">
        <is>
          <t>M</t>
        </is>
      </c>
      <c r="S12" s="124" t="inlineStr">
        <is>
          <t>D</t>
        </is>
      </c>
      <c r="T12" s="126" t="inlineStr">
        <is>
          <t>T</t>
        </is>
      </c>
      <c r="U12" s="114" t="n"/>
      <c r="V12" s="115" t="inlineStr">
        <is>
          <t>M</t>
        </is>
      </c>
      <c r="W12" s="124" t="inlineStr">
        <is>
          <t>D</t>
        </is>
      </c>
      <c r="X12" s="115" t="inlineStr">
        <is>
          <t>M</t>
        </is>
      </c>
      <c r="Y12" s="124" t="inlineStr">
        <is>
          <t>D</t>
        </is>
      </c>
      <c r="Z12" s="115" t="inlineStr">
        <is>
          <t>M</t>
        </is>
      </c>
      <c r="AA12" s="114" t="n"/>
      <c r="AB12" s="114" t="n"/>
      <c r="AC12" s="115" t="inlineStr">
        <is>
          <t>M</t>
        </is>
      </c>
      <c r="AD12" s="115" t="inlineStr">
        <is>
          <t>M</t>
        </is>
      </c>
      <c r="AE12" s="115" t="inlineStr">
        <is>
          <t>M</t>
        </is>
      </c>
      <c r="AF12" s="115" t="inlineStr">
        <is>
          <t>M</t>
        </is>
      </c>
      <c r="AG12" s="114" t="n"/>
      <c r="AH12" s="124" t="inlineStr">
        <is>
          <t>D</t>
        </is>
      </c>
      <c r="AI12" s="126" t="inlineStr">
        <is>
          <t>T</t>
        </is>
      </c>
      <c r="AJ12" s="115" t="inlineStr">
        <is>
          <t>M</t>
        </is>
      </c>
      <c r="AK12" s="124" t="inlineStr">
        <is>
          <t>D</t>
        </is>
      </c>
      <c r="AL12" s="115" t="inlineStr">
        <is>
          <t>M</t>
        </is>
      </c>
      <c r="AM12" s="100" t="n"/>
      <c r="AN12" s="136">
        <f>IFERROR(INDEX(OUT!I$8:I$73,MATCH($A12,OUT!$A$8:$A$73,0))&amp;"","")</f>
        <v/>
      </c>
      <c r="AO12" s="136">
        <f>IFERROR(INDEX(OUT!J$8:J$73,MATCH($A12,OUT!$A$8:$A$73,0))&amp;"","")</f>
        <v/>
      </c>
      <c r="AP12" s="116">
        <f>IFERROR(INDEX(OUT!K$8:K$73,MATCH($A12,OUT!$A$8:$A$73,0))&amp;"","")</f>
        <v/>
      </c>
      <c r="AQ12" s="116">
        <f>IFERROR(INDEX(OUT!L$8:L$73,MATCH($A12,OUT!$A$8:$A$73,0))&amp;"","")</f>
        <v/>
      </c>
      <c r="AR12" s="100" t="n"/>
      <c r="AS12" s="100" t="n"/>
      <c r="AT12" s="117">
        <f>SUMPRODUCT(($H12:$N12="M")*6+($H12:$N12="T")*6+($H12:$N12="D")*12+($H12:$N12="N")*12+($H12:$N12="NT")*6+($H12:$N12="C")*10+($H12:$N12="A")*8+($H12:$N12="J")*5+($H12:$N12="CEP")*4+($H12:$N12="CP")*6+($H12:$N12="CRO")*6+($H12:$N12="M+")*6+($H12:$N12="T+")*6+($H12:$N12="D+")*12+($H12:$N12="N+")*12+($H12:$N12="Dm+")*12+($H12:$N12="Dt+")*12+($H12:$N12="Tm-")*6+($H12:$N12="Mt-")*6)</f>
        <v/>
      </c>
      <c r="AU12" s="118">
        <f>AT12-MAX(0,IFERROR(INDEX(CADASTRO!$I$4:$I$80,MATCH($A12,CADASTRO!$A$4:$A$80,0)),$B12)-CONFIG!$B$50*(COUNTIF($H12:$N12,"AB")+COUNTIF($H12:$N12,"FE")+COUNTIF($H12:$N12,"LM")))</f>
        <v/>
      </c>
      <c r="AV12" s="117">
        <f>SUMPRODUCT(($O12:$U12="M")*6+($O12:$U12="T")*6+($O12:$U12="D")*12+($O12:$U12="N")*12+($O12:$U12="NT")*6+($O12:$U12="C")*10+($O12:$U12="A")*8+($O12:$U12="J")*5+($O12:$U12="CEP")*4+($O12:$U12="CP")*6+($O12:$U12="CRO")*6+($O12:$U12="M+")*6+($O12:$U12="T+")*6+($O12:$U12="D+")*12+($O12:$U12="N+")*12+($O12:$U12="Dm+")*12+($O12:$U12="Dt+")*12+($O12:$U12="Tm-")*6+($O12:$U12="Mt-")*6)</f>
        <v/>
      </c>
      <c r="AW12" s="118">
        <f>AV12-MAX(0,IFERROR(INDEX(CADASTRO!$I$4:$I$80,MATCH($A12,CADASTRO!$A$4:$A$80,0)),$B12)-CONFIG!$B$50*(COUNTIF($O12:$U12,"AB")+COUNTIF($O12:$U12,"FE")+COUNTIF($O12:$U12,"LM")))</f>
        <v/>
      </c>
      <c r="AX12" s="117">
        <f>SUMPRODUCT(($V12:$AB12="M")*6+($V12:$AB12="T")*6+($V12:$AB12="D")*12+($V12:$AB12="N")*12+($V12:$AB12="NT")*6+($V12:$AB12="C")*10+($V12:$AB12="A")*8+($V12:$AB12="J")*5+($V12:$AB12="CEP")*4+($V12:$AB12="CP")*6+($V12:$AB12="CRO")*6+($V12:$AB12="M+")*6+($V12:$AB12="T+")*6+($V12:$AB12="D+")*12+($V12:$AB12="N+")*12+($V12:$AB12="Dm+")*12+($V12:$AB12="Dt+")*12+($V12:$AB12="Tm-")*6+($V12:$AB12="Mt-")*6)</f>
        <v/>
      </c>
      <c r="AY12" s="118">
        <f>AX12-MAX(0,IFERROR(INDEX(CADASTRO!$I$4:$I$80,MATCH($A12,CADASTRO!$A$4:$A$80,0)),$B12)-CONFIG!$B$50*(COUNTIF($V12:$AB12,"AB")+COUNTIF($V12:$AB12,"FE")+COUNTIF($V12:$AB12,"LM")))</f>
        <v/>
      </c>
      <c r="AZ12" s="117">
        <f>SUMPRODUCT(($AC12:$AI12="M")*6+($AC12:$AI12="T")*6+($AC12:$AI12="D")*12+($AC12:$AI12="N")*12+($AC12:$AI12="NT")*6+($AC12:$AI12="C")*10+($AC12:$AI12="A")*8+($AC12:$AI12="J")*5+($AC12:$AI12="CEP")*4+($AC12:$AI12="CP")*6+($AC12:$AI12="CRO")*6+($AC12:$AI12="M+")*6+($AC12:$AI12="T+")*6+($AC12:$AI12="D+")*12+($AC12:$AI12="N+")*12+($AC12:$AI12="Dm+")*12+($AC12:$AI12="Dt+")*12+($AC12:$AI12="Tm-")*6+($AC12:$AI12="Mt-")*6)</f>
        <v/>
      </c>
      <c r="BA12" s="118">
        <f>AZ12-MAX(0,IFERROR(INDEX(CADASTRO!$I$4:$I$80,MATCH($A12,CADASTRO!$A$4:$A$80,0)),$B12)-CONFIG!$B$50*(COUNTIF($AC12:$AI12,"AB")+COUNTIF($AC12:$AI12,"FE")+COUNTIF($AC12:$AI12,"LM")))</f>
        <v/>
      </c>
      <c r="BB12" s="117">
        <f>SUMPRODUCT(($AJ12:$AL12="M")*6+($AJ12:$AL12="T")*6+($AJ12:$AL12="D")*12+($AJ12:$AL12="N")*12+($AJ12:$AL12="NT")*6+($AJ12:$AL12="C")*10+($AJ12:$AL12="A")*8+($AJ12:$AL12="J")*5+($AJ12:$AL12="CEP")*4+($AJ12:$AL12="CP")*6+($AJ12:$AL12="CRO")*6+($AJ12:$AL12="M+")*6+($AJ12:$AL12="T+")*6+($AJ12:$AL12="D+")*12+($AJ12:$AL12="N+")*12+($AJ12:$AL12="Dm+")*12+($AJ12:$AL12="Dt+")*12+($AJ12:$AL12="Tm-")*6+($AJ12:$AL12="Mt-")*6)+SUMPRODUCT(($AN12:$AQ12="M")*6+($AN12:$AQ12="T")*6+($AN12:$AQ12="D")*12+($AN12:$AQ12="N")*12+($AN12:$AQ12="NT")*6+($AN12:$AQ12="C")*10+($AN12:$AQ12="A")*8+($AN12:$AQ12="J")*5+($AN12:$AQ12="CEP")*4+($AN12:$AQ12="CP")*6+($AN12:$AQ12="CRO")*6+($AN12:$AQ12="M+")*6+($AN12:$AQ12="T+")*6+($AN12:$AQ12="D+")*12+($AN12:$AQ12="N+")*12+($AN12:$AQ12="Dm+")*12+($AN12:$AQ12="Dt+")*12+($AN12:$AQ12="Tm-")*6+($AN12:$AQ12="Mt-")*6)</f>
        <v/>
      </c>
      <c r="BC12" s="118">
        <f>BB12-MAX(0,IFERROR(INDEX(CADASTRO!$I$4:$I$80,MATCH($A12,CADASTRO!$A$4:$A$80,0)),$B12)-CONFIG!$B$50*(COUNTIF($AJ12:$AL12,"AB")+COUNTIF($AJ12:$AL12,"FE")+COUNTIF($AJ12:$AL12,"LM")+COUNTIF($AN12:$AQ12,"AB")+COUNTIF($AN12:$AQ12,"FE")+COUNTIF($AN12:$AQ12,"LM")))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ROUND(B12*4.29,0)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00" t="n"/>
      <c r="H13" s="136">
        <f>IFERROR(INDEX(AGO!AM$8:AM$73,MATCH($A13,AGO!$A$8:$A$73,0))&amp;"","")</f>
        <v/>
      </c>
      <c r="I13" s="115" t="inlineStr">
        <is>
          <t>M</t>
        </is>
      </c>
      <c r="J13" s="115" t="inlineStr">
        <is>
          <t>M</t>
        </is>
      </c>
      <c r="K13" s="115" t="inlineStr">
        <is>
          <t>M</t>
        </is>
      </c>
      <c r="L13" s="115" t="inlineStr">
        <is>
          <t>M</t>
        </is>
      </c>
      <c r="M13" s="125" t="inlineStr">
        <is>
          <t>N</t>
        </is>
      </c>
      <c r="N13" s="114" t="n"/>
      <c r="O13" s="115" t="inlineStr">
        <is>
          <t>M</t>
        </is>
      </c>
      <c r="P13" s="115" t="inlineStr">
        <is>
          <t>M</t>
        </is>
      </c>
      <c r="Q13" s="115" t="inlineStr">
        <is>
          <t>M</t>
        </is>
      </c>
      <c r="R13" s="115" t="inlineStr">
        <is>
          <t>M</t>
        </is>
      </c>
      <c r="S13" s="115" t="inlineStr">
        <is>
          <t>M</t>
        </is>
      </c>
      <c r="T13" s="114" t="n"/>
      <c r="U13" s="114" t="n"/>
      <c r="V13" s="115" t="inlineStr">
        <is>
          <t>M</t>
        </is>
      </c>
      <c r="W13" s="115" t="inlineStr">
        <is>
          <t>M</t>
        </is>
      </c>
      <c r="X13" s="115" t="inlineStr">
        <is>
          <t>M</t>
        </is>
      </c>
      <c r="Y13" s="115" t="inlineStr">
        <is>
          <t>M</t>
        </is>
      </c>
      <c r="Z13" s="115" t="inlineStr">
        <is>
          <t>M</t>
        </is>
      </c>
      <c r="AA13" s="125" t="inlineStr">
        <is>
          <t>N</t>
        </is>
      </c>
      <c r="AB13" s="114" t="n"/>
      <c r="AC13" s="115" t="inlineStr">
        <is>
          <t>M</t>
        </is>
      </c>
      <c r="AD13" s="115" t="inlineStr">
        <is>
          <t>M</t>
        </is>
      </c>
      <c r="AE13" s="115" t="inlineStr">
        <is>
          <t>M</t>
        </is>
      </c>
      <c r="AF13" s="115" t="inlineStr">
        <is>
          <t>M</t>
        </is>
      </c>
      <c r="AG13" s="115" t="inlineStr">
        <is>
          <t>M</t>
        </is>
      </c>
      <c r="AH13" s="114" t="n"/>
      <c r="AI13" s="114" t="n"/>
      <c r="AJ13" s="115" t="inlineStr">
        <is>
          <t>M</t>
        </is>
      </c>
      <c r="AK13" s="115" t="inlineStr">
        <is>
          <t>M</t>
        </is>
      </c>
      <c r="AL13" s="115" t="inlineStr">
        <is>
          <t>M</t>
        </is>
      </c>
      <c r="AM13" s="100" t="n"/>
      <c r="AN13" s="136">
        <f>IFERROR(INDEX(OUT!I$8:I$73,MATCH($A13,OUT!$A$8:$A$73,0))&amp;"","")</f>
        <v/>
      </c>
      <c r="AO13" s="136">
        <f>IFERROR(INDEX(OUT!J$8:J$73,MATCH($A13,OUT!$A$8:$A$73,0))&amp;"","")</f>
        <v/>
      </c>
      <c r="AP13" s="116">
        <f>IFERROR(INDEX(OUT!K$8:K$73,MATCH($A13,OUT!$A$8:$A$73,0))&amp;"","")</f>
        <v/>
      </c>
      <c r="AQ13" s="116">
        <f>IFERROR(INDEX(OUT!L$8:L$73,MATCH($A13,OUT!$A$8:$A$73,0))&amp;"","")</f>
        <v/>
      </c>
      <c r="AR13" s="100" t="n"/>
      <c r="AS13" s="100" t="n"/>
      <c r="AT13" s="117">
        <f>SUMPRODUCT(($H13:$N13="M")*6+($H13:$N13="T")*6+($H13:$N13="D")*12+($H13:$N13="N")*12+($H13:$N13="NT")*6+($H13:$N13="C")*10+($H13:$N13="A")*8+($H13:$N13="J")*5+($H13:$N13="CEP")*4+($H13:$N13="CP")*6+($H13:$N13="CRO")*6+($H13:$N13="M+")*6+($H13:$N13="T+")*6+($H13:$N13="D+")*12+($H13:$N13="N+")*12+($H13:$N13="Dm+")*12+($H13:$N13="Dt+")*12+($H13:$N13="Tm-")*6+($H13:$N13="Mt-")*6)</f>
        <v/>
      </c>
      <c r="AU13" s="118">
        <f>AT13-MAX(0,IFERROR(INDEX(CADASTRO!$I$4:$I$80,MATCH($A13,CADASTRO!$A$4:$A$80,0)),$B13)-CONFIG!$B$50*(COUNTIF($H13:$N13,"AB")+COUNTIF($H13:$N13,"FE")+COUNTIF($H13:$N13,"LM")))</f>
        <v/>
      </c>
      <c r="AV13" s="117">
        <f>SUMPRODUCT(($O13:$U13="M")*6+($O13:$U13="T")*6+($O13:$U13="D")*12+($O13:$U13="N")*12+($O13:$U13="NT")*6+($O13:$U13="C")*10+($O13:$U13="A")*8+($O13:$U13="J")*5+($O13:$U13="CEP")*4+($O13:$U13="CP")*6+($O13:$U13="CRO")*6+($O13:$U13="M+")*6+($O13:$U13="T+")*6+($O13:$U13="D+")*12+($O13:$U13="N+")*12+($O13:$U13="Dm+")*12+($O13:$U13="Dt+")*12+($O13:$U13="Tm-")*6+($O13:$U13="Mt-")*6)</f>
        <v/>
      </c>
      <c r="AW13" s="118">
        <f>AV13-MAX(0,IFERROR(INDEX(CADASTRO!$I$4:$I$80,MATCH($A13,CADASTRO!$A$4:$A$80,0)),$B13)-CONFIG!$B$50*(COUNTIF($O13:$U13,"AB")+COUNTIF($O13:$U13,"FE")+COUNTIF($O13:$U13,"LM")))</f>
        <v/>
      </c>
      <c r="AX13" s="117">
        <f>SUMPRODUCT(($V13:$AB13="M")*6+($V13:$AB13="T")*6+($V13:$AB13="D")*12+($V13:$AB13="N")*12+($V13:$AB13="NT")*6+($V13:$AB13="C")*10+($V13:$AB13="A")*8+($V13:$AB13="J")*5+($V13:$AB13="CEP")*4+($V13:$AB13="CP")*6+($V13:$AB13="CRO")*6+($V13:$AB13="M+")*6+($V13:$AB13="T+")*6+($V13:$AB13="D+")*12+($V13:$AB13="N+")*12+($V13:$AB13="Dm+")*12+($V13:$AB13="Dt+")*12+($V13:$AB13="Tm-")*6+($V13:$AB13="Mt-")*6)</f>
        <v/>
      </c>
      <c r="AY13" s="118">
        <f>AX13-MAX(0,IFERROR(INDEX(CADASTRO!$I$4:$I$80,MATCH($A13,CADASTRO!$A$4:$A$80,0)),$B13)-CONFIG!$B$50*(COUNTIF($V13:$AB13,"AB")+COUNTIF($V13:$AB13,"FE")+COUNTIF($V13:$AB13,"LM")))</f>
        <v/>
      </c>
      <c r="AZ13" s="117">
        <f>SUMPRODUCT(($AC13:$AI13="M")*6+($AC13:$AI13="T")*6+($AC13:$AI13="D")*12+($AC13:$AI13="N")*12+($AC13:$AI13="NT")*6+($AC13:$AI13="C")*10+($AC13:$AI13="A")*8+($AC13:$AI13="J")*5+($AC13:$AI13="CEP")*4+($AC13:$AI13="CP")*6+($AC13:$AI13="CRO")*6+($AC13:$AI13="M+")*6+($AC13:$AI13="T+")*6+($AC13:$AI13="D+")*12+($AC13:$AI13="N+")*12+($AC13:$AI13="Dm+")*12+($AC13:$AI13="Dt+")*12+($AC13:$AI13="Tm-")*6+($AC13:$AI13="Mt-")*6)</f>
        <v/>
      </c>
      <c r="BA13" s="118">
        <f>AZ13-MAX(0,IFERROR(INDEX(CADASTRO!$I$4:$I$80,MATCH($A13,CADASTRO!$A$4:$A$80,0)),$B13)-CONFIG!$B$50*(COUNTIF($AC13:$AI13,"AB")+COUNTIF($AC13:$AI13,"FE")+COUNTIF($AC13:$AI13,"LM")))</f>
        <v/>
      </c>
      <c r="BB13" s="117">
        <f>SUMPRODUCT(($AJ13:$AL13="M")*6+($AJ13:$AL13="T")*6+($AJ13:$AL13="D")*12+($AJ13:$AL13="N")*12+($AJ13:$AL13="NT")*6+($AJ13:$AL13="C")*10+($AJ13:$AL13="A")*8+($AJ13:$AL13="J")*5+($AJ13:$AL13="CEP")*4+($AJ13:$AL13="CP")*6+($AJ13:$AL13="CRO")*6+($AJ13:$AL13="M+")*6+($AJ13:$AL13="T+")*6+($AJ13:$AL13="D+")*12+($AJ13:$AL13="N+")*12+($AJ13:$AL13="Dm+")*12+($AJ13:$AL13="Dt+")*12+($AJ13:$AL13="Tm-")*6+($AJ13:$AL13="Mt-")*6)+SUMPRODUCT(($AN13:$AQ13="M")*6+($AN13:$AQ13="T")*6+($AN13:$AQ13="D")*12+($AN13:$AQ13="N")*12+($AN13:$AQ13="NT")*6+($AN13:$AQ13="C")*10+($AN13:$AQ13="A")*8+($AN13:$AQ13="J")*5+($AN13:$AQ13="CEP")*4+($AN13:$AQ13="CP")*6+($AN13:$AQ13="CRO")*6+($AN13:$AQ13="M+")*6+($AN13:$AQ13="T+")*6+($AN13:$AQ13="D+")*12+($AN13:$AQ13="N+")*12+($AN13:$AQ13="Dm+")*12+($AN13:$AQ13="Dt+")*12+($AN13:$AQ13="Tm-")*6+($AN13:$AQ13="Mt-")*6)</f>
        <v/>
      </c>
      <c r="BC13" s="118">
        <f>BB13-MAX(0,IFERROR(INDEX(CADASTRO!$I$4:$I$80,MATCH($A13,CADASTRO!$A$4:$A$80,0)),$B13)-CONFIG!$B$50*(COUNTIF($AJ13:$AL13,"AB")+COUNTIF($AJ13:$AL13,"FE")+COUNTIF($AJ13:$AL13,"LM")+COUNTIF($AN13:$AQ13,"AB")+COUNTIF($AN13:$AQ13,"FE")+COUNTIF($AN13:$AQ13,"LM")))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ROUND(B13*4.29,0)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00" t="n"/>
      <c r="H14" s="136">
        <f>IFERROR(INDEX(AGO!AM$8:AM$73,MATCH($A14,AGO!$A$8:$A$73,0))&amp;"","")</f>
        <v/>
      </c>
      <c r="I14" s="123" t="inlineStr">
        <is>
          <t>D+</t>
        </is>
      </c>
      <c r="J14" s="114" t="n"/>
      <c r="K14" s="125" t="inlineStr">
        <is>
          <t>N</t>
        </is>
      </c>
      <c r="L14" s="114" t="n"/>
      <c r="M14" s="124" t="inlineStr">
        <is>
          <t>D</t>
        </is>
      </c>
      <c r="N14" s="124" t="inlineStr">
        <is>
          <t>D</t>
        </is>
      </c>
      <c r="O14" s="124" t="inlineStr">
        <is>
          <t>D</t>
        </is>
      </c>
      <c r="P14" s="124" t="inlineStr">
        <is>
          <t>D</t>
        </is>
      </c>
      <c r="Q14" s="127" t="inlineStr">
        <is>
          <t>D-</t>
        </is>
      </c>
      <c r="R14" s="114" t="n"/>
      <c r="S14" s="114" t="n"/>
      <c r="T14" s="114" t="n"/>
      <c r="U14" s="114" t="n"/>
      <c r="V14" s="114" t="n"/>
      <c r="W14" s="114" t="n"/>
      <c r="X14" s="114" t="n"/>
      <c r="Y14" s="124" t="inlineStr">
        <is>
          <t>D</t>
        </is>
      </c>
      <c r="Z14" s="125" t="inlineStr">
        <is>
          <t>N</t>
        </is>
      </c>
      <c r="AA14" s="114" t="n"/>
      <c r="AB14" s="124" t="inlineStr">
        <is>
          <t>D</t>
        </is>
      </c>
      <c r="AC14" s="115" t="inlineStr">
        <is>
          <t>M</t>
        </is>
      </c>
      <c r="AD14" s="124" t="inlineStr">
        <is>
          <t>D</t>
        </is>
      </c>
      <c r="AE14" s="114" t="n"/>
      <c r="AF14" s="115" t="inlineStr">
        <is>
          <t>M</t>
        </is>
      </c>
      <c r="AG14" s="124" t="inlineStr">
        <is>
          <t>D</t>
        </is>
      </c>
      <c r="AH14" s="114" t="n"/>
      <c r="AI14" s="114" t="n"/>
      <c r="AJ14" s="115" t="inlineStr">
        <is>
          <t>M</t>
        </is>
      </c>
      <c r="AK14" s="124" t="inlineStr">
        <is>
          <t>D</t>
        </is>
      </c>
      <c r="AL14" s="114" t="n"/>
      <c r="AM14" s="100" t="n"/>
      <c r="AN14" s="136">
        <f>IFERROR(INDEX(OUT!I$8:I$73,MATCH($A14,OUT!$A$8:$A$73,0))&amp;"","")</f>
        <v/>
      </c>
      <c r="AO14" s="136">
        <f>IFERROR(INDEX(OUT!J$8:J$73,MATCH($A14,OUT!$A$8:$A$73,0))&amp;"","")</f>
        <v/>
      </c>
      <c r="AP14" s="116">
        <f>IFERROR(INDEX(OUT!K$8:K$73,MATCH($A14,OUT!$A$8:$A$73,0))&amp;"","")</f>
        <v/>
      </c>
      <c r="AQ14" s="116">
        <f>IFERROR(INDEX(OUT!L$8:L$73,MATCH($A14,OUT!$A$8:$A$73,0))&amp;"","")</f>
        <v/>
      </c>
      <c r="AR14" s="100" t="n"/>
      <c r="AS14" s="100" t="n"/>
      <c r="AT14" s="117">
        <f>SUMPRODUCT(($H14:$N14="M")*6+($H14:$N14="T")*6+($H14:$N14="D")*12+($H14:$N14="N")*12+($H14:$N14="NT")*6+($H14:$N14="C")*10+($H14:$N14="A")*8+($H14:$N14="J")*5+($H14:$N14="CEP")*4+($H14:$N14="CP")*6+($H14:$N14="CRO")*6+($H14:$N14="M+")*6+($H14:$N14="T+")*6+($H14:$N14="D+")*12+($H14:$N14="N+")*12+($H14:$N14="Dm+")*12+($H14:$N14="Dt+")*12+($H14:$N14="Tm-")*6+($H14:$N14="Mt-")*6)</f>
        <v/>
      </c>
      <c r="AU14" s="118">
        <f>AT14-MAX(0,IFERROR(INDEX(CADASTRO!$I$4:$I$80,MATCH($A14,CADASTRO!$A$4:$A$80,0)),$B14)-CONFIG!$B$50*(COUNTIF($H14:$N14,"AB")+COUNTIF($H14:$N14,"FE")+COUNTIF($H14:$N14,"LM")))</f>
        <v/>
      </c>
      <c r="AV14" s="117">
        <f>SUMPRODUCT(($O14:$U14="M")*6+($O14:$U14="T")*6+($O14:$U14="D")*12+($O14:$U14="N")*12+($O14:$U14="NT")*6+($O14:$U14="C")*10+($O14:$U14="A")*8+($O14:$U14="J")*5+($O14:$U14="CEP")*4+($O14:$U14="CP")*6+($O14:$U14="CRO")*6+($O14:$U14="M+")*6+($O14:$U14="T+")*6+($O14:$U14="D+")*12+($O14:$U14="N+")*12+($O14:$U14="Dm+")*12+($O14:$U14="Dt+")*12+($O14:$U14="Tm-")*6+($O14:$U14="Mt-")*6)</f>
        <v/>
      </c>
      <c r="AW14" s="118">
        <f>AV14-MAX(0,IFERROR(INDEX(CADASTRO!$I$4:$I$80,MATCH($A14,CADASTRO!$A$4:$A$80,0)),$B14)-CONFIG!$B$50*(COUNTIF($O14:$U14,"AB")+COUNTIF($O14:$U14,"FE")+COUNTIF($O14:$U14,"LM")))</f>
        <v/>
      </c>
      <c r="AX14" s="117">
        <f>SUMPRODUCT(($V14:$AB14="M")*6+($V14:$AB14="T")*6+($V14:$AB14="D")*12+($V14:$AB14="N")*12+($V14:$AB14="NT")*6+($V14:$AB14="C")*10+($V14:$AB14="A")*8+($V14:$AB14="J")*5+($V14:$AB14="CEP")*4+($V14:$AB14="CP")*6+($V14:$AB14="CRO")*6+($V14:$AB14="M+")*6+($V14:$AB14="T+")*6+($V14:$AB14="D+")*12+($V14:$AB14="N+")*12+($V14:$AB14="Dm+")*12+($V14:$AB14="Dt+")*12+($V14:$AB14="Tm-")*6+($V14:$AB14="Mt-")*6)</f>
        <v/>
      </c>
      <c r="AY14" s="118">
        <f>AX14-MAX(0,IFERROR(INDEX(CADASTRO!$I$4:$I$80,MATCH($A14,CADASTRO!$A$4:$A$80,0)),$B14)-CONFIG!$B$50*(COUNTIF($V14:$AB14,"AB")+COUNTIF($V14:$AB14,"FE")+COUNTIF($V14:$AB14,"LM")))</f>
        <v/>
      </c>
      <c r="AZ14" s="117">
        <f>SUMPRODUCT(($AC14:$AI14="M")*6+($AC14:$AI14="T")*6+($AC14:$AI14="D")*12+($AC14:$AI14="N")*12+($AC14:$AI14="NT")*6+($AC14:$AI14="C")*10+($AC14:$AI14="A")*8+($AC14:$AI14="J")*5+($AC14:$AI14="CEP")*4+($AC14:$AI14="CP")*6+($AC14:$AI14="CRO")*6+($AC14:$AI14="M+")*6+($AC14:$AI14="T+")*6+($AC14:$AI14="D+")*12+($AC14:$AI14="N+")*12+($AC14:$AI14="Dm+")*12+($AC14:$AI14="Dt+")*12+($AC14:$AI14="Tm-")*6+($AC14:$AI14="Mt-")*6)</f>
        <v/>
      </c>
      <c r="BA14" s="118">
        <f>AZ14-MAX(0,IFERROR(INDEX(CADASTRO!$I$4:$I$80,MATCH($A14,CADASTRO!$A$4:$A$80,0)),$B14)-CONFIG!$B$50*(COUNTIF($AC14:$AI14,"AB")+COUNTIF($AC14:$AI14,"FE")+COUNTIF($AC14:$AI14,"LM")))</f>
        <v/>
      </c>
      <c r="BB14" s="117">
        <f>SUMPRODUCT(($AJ14:$AL14="M")*6+($AJ14:$AL14="T")*6+($AJ14:$AL14="D")*12+($AJ14:$AL14="N")*12+($AJ14:$AL14="NT")*6+($AJ14:$AL14="C")*10+($AJ14:$AL14="A")*8+($AJ14:$AL14="J")*5+($AJ14:$AL14="CEP")*4+($AJ14:$AL14="CP")*6+($AJ14:$AL14="CRO")*6+($AJ14:$AL14="M+")*6+($AJ14:$AL14="T+")*6+($AJ14:$AL14="D+")*12+($AJ14:$AL14="N+")*12+($AJ14:$AL14="Dm+")*12+($AJ14:$AL14="Dt+")*12+($AJ14:$AL14="Tm-")*6+($AJ14:$AL14="Mt-")*6)+SUMPRODUCT(($AN14:$AQ14="M")*6+($AN14:$AQ14="T")*6+($AN14:$AQ14="D")*12+($AN14:$AQ14="N")*12+($AN14:$AQ14="NT")*6+($AN14:$AQ14="C")*10+($AN14:$AQ14="A")*8+($AN14:$AQ14="J")*5+($AN14:$AQ14="CEP")*4+($AN14:$AQ14="CP")*6+($AN14:$AQ14="CRO")*6+($AN14:$AQ14="M+")*6+($AN14:$AQ14="T+")*6+($AN14:$AQ14="D+")*12+($AN14:$AQ14="N+")*12+($AN14:$AQ14="Dm+")*12+($AN14:$AQ14="Dt+")*12+($AN14:$AQ14="Tm-")*6+($AN14:$AQ14="Mt-")*6)</f>
        <v/>
      </c>
      <c r="BC14" s="118">
        <f>BB14-MAX(0,IFERROR(INDEX(CADASTRO!$I$4:$I$80,MATCH($A14,CADASTRO!$A$4:$A$80,0)),$B14)-CONFIG!$B$50*(COUNTIF($AJ14:$AL14,"AB")+COUNTIF($AJ14:$AL14,"FE")+COUNTIF($AJ14:$AL14,"LM")+COUNTIF($AN14:$AQ14,"AB")+COUNTIF($AN14:$AQ14,"FE")+COUNTIF($AN14:$AQ14,"LM")))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ROUND(B14*4.29,0)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00" t="n"/>
      <c r="H15" s="136">
        <f>IFERROR(INDEX(AGO!AM$8:AM$73,MATCH($A15,AGO!$A$8:$A$73,0))&amp;"","")</f>
        <v/>
      </c>
      <c r="I15" s="138" t="inlineStr">
        <is>
          <t>LM</t>
        </is>
      </c>
      <c r="J15" s="138" t="inlineStr">
        <is>
          <t>LM</t>
        </is>
      </c>
      <c r="K15" s="138" t="inlineStr">
        <is>
          <t>LM</t>
        </is>
      </c>
      <c r="L15" s="138" t="inlineStr">
        <is>
          <t>LM</t>
        </is>
      </c>
      <c r="M15" s="138" t="inlineStr">
        <is>
          <t>LM</t>
        </is>
      </c>
      <c r="N15" s="138" t="inlineStr">
        <is>
          <t>LM</t>
        </is>
      </c>
      <c r="O15" s="138" t="inlineStr">
        <is>
          <t>LM</t>
        </is>
      </c>
      <c r="P15" s="138" t="inlineStr">
        <is>
          <t>LM</t>
        </is>
      </c>
      <c r="Q15" s="138" t="inlineStr">
        <is>
          <t>LM</t>
        </is>
      </c>
      <c r="R15" s="138" t="inlineStr">
        <is>
          <t>LM</t>
        </is>
      </c>
      <c r="S15" s="138" t="inlineStr">
        <is>
          <t>LM</t>
        </is>
      </c>
      <c r="T15" s="138" t="inlineStr">
        <is>
          <t>LM</t>
        </is>
      </c>
      <c r="U15" s="138" t="inlineStr">
        <is>
          <t>LM</t>
        </is>
      </c>
      <c r="V15" s="138" t="inlineStr">
        <is>
          <t>LM</t>
        </is>
      </c>
      <c r="W15" s="138" t="inlineStr">
        <is>
          <t>LM</t>
        </is>
      </c>
      <c r="X15" s="138" t="inlineStr">
        <is>
          <t>LM</t>
        </is>
      </c>
      <c r="Y15" s="138" t="inlineStr">
        <is>
          <t>LM</t>
        </is>
      </c>
      <c r="Z15" s="138" t="inlineStr">
        <is>
          <t>LM</t>
        </is>
      </c>
      <c r="AA15" s="138" t="inlineStr">
        <is>
          <t>LM</t>
        </is>
      </c>
      <c r="AB15" s="138" t="inlineStr">
        <is>
          <t>LM</t>
        </is>
      </c>
      <c r="AC15" s="138" t="inlineStr">
        <is>
          <t>LM</t>
        </is>
      </c>
      <c r="AD15" s="138" t="inlineStr">
        <is>
          <t>LM</t>
        </is>
      </c>
      <c r="AE15" s="138" t="inlineStr">
        <is>
          <t>LM</t>
        </is>
      </c>
      <c r="AF15" s="138" t="inlineStr">
        <is>
          <t>LM</t>
        </is>
      </c>
      <c r="AG15" s="138" t="inlineStr">
        <is>
          <t>LM</t>
        </is>
      </c>
      <c r="AH15" s="138" t="inlineStr">
        <is>
          <t>LM</t>
        </is>
      </c>
      <c r="AI15" s="138" t="inlineStr">
        <is>
          <t>LM</t>
        </is>
      </c>
      <c r="AJ15" s="138" t="inlineStr">
        <is>
          <t>LM</t>
        </is>
      </c>
      <c r="AK15" s="138" t="inlineStr">
        <is>
          <t>LM</t>
        </is>
      </c>
      <c r="AL15" s="138" t="inlineStr">
        <is>
          <t>LM</t>
        </is>
      </c>
      <c r="AM15" s="100" t="n"/>
      <c r="AN15" s="136">
        <f>IFERROR(INDEX(OUT!I$8:I$73,MATCH($A15,OUT!$A$8:$A$73,0))&amp;"","")</f>
        <v/>
      </c>
      <c r="AO15" s="136">
        <f>IFERROR(INDEX(OUT!J$8:J$73,MATCH($A15,OUT!$A$8:$A$73,0))&amp;"","")</f>
        <v/>
      </c>
      <c r="AP15" s="116">
        <f>IFERROR(INDEX(OUT!K$8:K$73,MATCH($A15,OUT!$A$8:$A$73,0))&amp;"","")</f>
        <v/>
      </c>
      <c r="AQ15" s="116">
        <f>IFERROR(INDEX(OUT!L$8:L$73,MATCH($A15,OUT!$A$8:$A$73,0))&amp;"","")</f>
        <v/>
      </c>
      <c r="AR15" s="100" t="n"/>
      <c r="AS15" s="100" t="n"/>
      <c r="AT15" s="117">
        <f>SUMPRODUCT(($H15:$N15="M")*6+($H15:$N15="T")*6+($H15:$N15="D")*12+($H15:$N15="N")*12+($H15:$N15="NT")*6+($H15:$N15="C")*10+($H15:$N15="A")*8+($H15:$N15="J")*5+($H15:$N15="CEP")*4+($H15:$N15="CP")*6+($H15:$N15="CRO")*6+($H15:$N15="M+")*6+($H15:$N15="T+")*6+($H15:$N15="D+")*12+($H15:$N15="N+")*12+($H15:$N15="Dm+")*12+($H15:$N15="Dt+")*12+($H15:$N15="Tm-")*6+($H15:$N15="Mt-")*6)</f>
        <v/>
      </c>
      <c r="AU15" s="118">
        <f>AT15-MAX(0,IFERROR(INDEX(CADASTRO!$I$4:$I$80,MATCH($A15,CADASTRO!$A$4:$A$80,0)),$B15)-CONFIG!$B$50*(COUNTIF($H15:$N15,"AB")+COUNTIF($H15:$N15,"FE")+COUNTIF($H15:$N15,"LM")))</f>
        <v/>
      </c>
      <c r="AV15" s="117">
        <f>SUMPRODUCT(($O15:$U15="M")*6+($O15:$U15="T")*6+($O15:$U15="D")*12+($O15:$U15="N")*12+($O15:$U15="NT")*6+($O15:$U15="C")*10+($O15:$U15="A")*8+($O15:$U15="J")*5+($O15:$U15="CEP")*4+($O15:$U15="CP")*6+($O15:$U15="CRO")*6+($O15:$U15="M+")*6+($O15:$U15="T+")*6+($O15:$U15="D+")*12+($O15:$U15="N+")*12+($O15:$U15="Dm+")*12+($O15:$U15="Dt+")*12+($O15:$U15="Tm-")*6+($O15:$U15="Mt-")*6)</f>
        <v/>
      </c>
      <c r="AW15" s="118">
        <f>AV15-MAX(0,IFERROR(INDEX(CADASTRO!$I$4:$I$80,MATCH($A15,CADASTRO!$A$4:$A$80,0)),$B15)-CONFIG!$B$50*(COUNTIF($O15:$U15,"AB")+COUNTIF($O15:$U15,"FE")+COUNTIF($O15:$U15,"LM")))</f>
        <v/>
      </c>
      <c r="AX15" s="117">
        <f>SUMPRODUCT(($V15:$AB15="M")*6+($V15:$AB15="T")*6+($V15:$AB15="D")*12+($V15:$AB15="N")*12+($V15:$AB15="NT")*6+($V15:$AB15="C")*10+($V15:$AB15="A")*8+($V15:$AB15="J")*5+($V15:$AB15="CEP")*4+($V15:$AB15="CP")*6+($V15:$AB15="CRO")*6+($V15:$AB15="M+")*6+($V15:$AB15="T+")*6+($V15:$AB15="D+")*12+($V15:$AB15="N+")*12+($V15:$AB15="Dm+")*12+($V15:$AB15="Dt+")*12+($V15:$AB15="Tm-")*6+($V15:$AB15="Mt-")*6)</f>
        <v/>
      </c>
      <c r="AY15" s="118">
        <f>AX15-MAX(0,IFERROR(INDEX(CADASTRO!$I$4:$I$80,MATCH($A15,CADASTRO!$A$4:$A$80,0)),$B15)-CONFIG!$B$50*(COUNTIF($V15:$AB15,"AB")+COUNTIF($V15:$AB15,"FE")+COUNTIF($V15:$AB15,"LM")))</f>
        <v/>
      </c>
      <c r="AZ15" s="117">
        <f>SUMPRODUCT(($AC15:$AI15="M")*6+($AC15:$AI15="T")*6+($AC15:$AI15="D")*12+($AC15:$AI15="N")*12+($AC15:$AI15="NT")*6+($AC15:$AI15="C")*10+($AC15:$AI15="A")*8+($AC15:$AI15="J")*5+($AC15:$AI15="CEP")*4+($AC15:$AI15="CP")*6+($AC15:$AI15="CRO")*6+($AC15:$AI15="M+")*6+($AC15:$AI15="T+")*6+($AC15:$AI15="D+")*12+($AC15:$AI15="N+")*12+($AC15:$AI15="Dm+")*12+($AC15:$AI15="Dt+")*12+($AC15:$AI15="Tm-")*6+($AC15:$AI15="Mt-")*6)</f>
        <v/>
      </c>
      <c r="BA15" s="118">
        <f>AZ15-MAX(0,IFERROR(INDEX(CADASTRO!$I$4:$I$80,MATCH($A15,CADASTRO!$A$4:$A$80,0)),$B15)-CONFIG!$B$50*(COUNTIF($AC15:$AI15,"AB")+COUNTIF($AC15:$AI15,"FE")+COUNTIF($AC15:$AI15,"LM")))</f>
        <v/>
      </c>
      <c r="BB15" s="117">
        <f>SUMPRODUCT(($AJ15:$AL15="M")*6+($AJ15:$AL15="T")*6+($AJ15:$AL15="D")*12+($AJ15:$AL15="N")*12+($AJ15:$AL15="NT")*6+($AJ15:$AL15="C")*10+($AJ15:$AL15="A")*8+($AJ15:$AL15="J")*5+($AJ15:$AL15="CEP")*4+($AJ15:$AL15="CP")*6+($AJ15:$AL15="CRO")*6+($AJ15:$AL15="M+")*6+($AJ15:$AL15="T+")*6+($AJ15:$AL15="D+")*12+($AJ15:$AL15="N+")*12+($AJ15:$AL15="Dm+")*12+($AJ15:$AL15="Dt+")*12+($AJ15:$AL15="Tm-")*6+($AJ15:$AL15="Mt-")*6)+SUMPRODUCT(($AN15:$AQ15="M")*6+($AN15:$AQ15="T")*6+($AN15:$AQ15="D")*12+($AN15:$AQ15="N")*12+($AN15:$AQ15="NT")*6+($AN15:$AQ15="C")*10+($AN15:$AQ15="A")*8+($AN15:$AQ15="J")*5+($AN15:$AQ15="CEP")*4+($AN15:$AQ15="CP")*6+($AN15:$AQ15="CRO")*6+($AN15:$AQ15="M+")*6+($AN15:$AQ15="T+")*6+($AN15:$AQ15="D+")*12+($AN15:$AQ15="N+")*12+($AN15:$AQ15="Dm+")*12+($AN15:$AQ15="Dt+")*12+($AN15:$AQ15="Tm-")*6+($AN15:$AQ15="Mt-")*6)</f>
        <v/>
      </c>
      <c r="BC15" s="118">
        <f>BB15-MAX(0,IFERROR(INDEX(CADASTRO!$I$4:$I$80,MATCH($A15,CADASTRO!$A$4:$A$80,0)),$B15)-CONFIG!$B$50*(COUNTIF($AJ15:$AL15,"AB")+COUNTIF($AJ15:$AL15,"FE")+COUNTIF($AJ15:$AL15,"LM")+COUNTIF($AN15:$AQ15,"AB")+COUNTIF($AN15:$AQ15,"FE")+COUNTIF($AN15:$AQ15,"LM")))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ROUND(B15*4.29,0)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00" t="n"/>
      <c r="H16" s="136">
        <f>IFERROR(INDEX(AGO!AM$8:AM$73,MATCH($A16,AGO!$A$8:$A$73,0))&amp;"","")</f>
        <v/>
      </c>
      <c r="I16" s="140" t="inlineStr">
        <is>
          <t>J</t>
        </is>
      </c>
      <c r="J16" s="140" t="inlineStr">
        <is>
          <t>J</t>
        </is>
      </c>
      <c r="K16" s="140" t="inlineStr">
        <is>
          <t>J</t>
        </is>
      </c>
      <c r="L16" s="140" t="inlineStr">
        <is>
          <t>J</t>
        </is>
      </c>
      <c r="M16" s="140" t="inlineStr">
        <is>
          <t>J</t>
        </is>
      </c>
      <c r="N16" s="123" t="inlineStr">
        <is>
          <t>M+</t>
        </is>
      </c>
      <c r="O16" s="127" t="inlineStr">
        <is>
          <t>M-</t>
        </is>
      </c>
      <c r="P16" s="140" t="inlineStr">
        <is>
          <t>J</t>
        </is>
      </c>
      <c r="Q16" s="140" t="inlineStr">
        <is>
          <t>J</t>
        </is>
      </c>
      <c r="R16" s="140" t="inlineStr">
        <is>
          <t>J</t>
        </is>
      </c>
      <c r="S16" s="140" t="inlineStr">
        <is>
          <t>J</t>
        </is>
      </c>
      <c r="T16" s="114" t="n"/>
      <c r="U16" s="140" t="inlineStr">
        <is>
          <t>J</t>
        </is>
      </c>
      <c r="V16" s="140" t="inlineStr">
        <is>
          <t>J</t>
        </is>
      </c>
      <c r="W16" s="140" t="inlineStr">
        <is>
          <t>J</t>
        </is>
      </c>
      <c r="X16" s="140" t="inlineStr">
        <is>
          <t>J</t>
        </is>
      </c>
      <c r="Y16" s="140" t="inlineStr">
        <is>
          <t>J</t>
        </is>
      </c>
      <c r="Z16" s="140" t="inlineStr">
        <is>
          <t>J</t>
        </is>
      </c>
      <c r="AA16" s="114" t="n"/>
      <c r="AB16" s="140" t="inlineStr">
        <is>
          <t>J</t>
        </is>
      </c>
      <c r="AC16" s="140" t="inlineStr">
        <is>
          <t>J</t>
        </is>
      </c>
      <c r="AD16" s="140" t="inlineStr">
        <is>
          <t>J</t>
        </is>
      </c>
      <c r="AE16" s="140" t="inlineStr">
        <is>
          <t>J</t>
        </is>
      </c>
      <c r="AF16" s="140" t="inlineStr">
        <is>
          <t>J</t>
        </is>
      </c>
      <c r="AG16" s="140" t="inlineStr">
        <is>
          <t>J</t>
        </is>
      </c>
      <c r="AH16" s="114" t="n"/>
      <c r="AI16" s="140" t="inlineStr">
        <is>
          <t>J</t>
        </is>
      </c>
      <c r="AJ16" s="140" t="inlineStr">
        <is>
          <t>J</t>
        </is>
      </c>
      <c r="AK16" s="140" t="inlineStr">
        <is>
          <t>J</t>
        </is>
      </c>
      <c r="AL16" s="140" t="inlineStr">
        <is>
          <t>J</t>
        </is>
      </c>
      <c r="AM16" s="100" t="n"/>
      <c r="AN16" s="136">
        <f>IFERROR(INDEX(OUT!I$8:I$73,MATCH($A16,OUT!$A$8:$A$73,0))&amp;"","")</f>
        <v/>
      </c>
      <c r="AO16" s="136">
        <f>IFERROR(INDEX(OUT!J$8:J$73,MATCH($A16,OUT!$A$8:$A$73,0))&amp;"","")</f>
        <v/>
      </c>
      <c r="AP16" s="116">
        <f>IFERROR(INDEX(OUT!K$8:K$73,MATCH($A16,OUT!$A$8:$A$73,0))&amp;"","")</f>
        <v/>
      </c>
      <c r="AQ16" s="116">
        <f>IFERROR(INDEX(OUT!L$8:L$73,MATCH($A16,OUT!$A$8:$A$73,0))&amp;"","")</f>
        <v/>
      </c>
      <c r="AR16" s="100" t="n"/>
      <c r="AS16" s="100" t="n"/>
      <c r="AT16" s="117">
        <f>SUMPRODUCT(($H16:$N16="M")*6+($H16:$N16="T")*6+($H16:$N16="D")*12+($H16:$N16="N")*12+($H16:$N16="NT")*6+($H16:$N16="C")*10+($H16:$N16="A")*8+($H16:$N16="J")*5+($H16:$N16="CEP")*4+($H16:$N16="CP")*6+($H16:$N16="CRO")*6+($H16:$N16="M+")*6+($H16:$N16="T+")*6+($H16:$N16="D+")*12+($H16:$N16="N+")*12+($H16:$N16="Dm+")*12+($H16:$N16="Dt+")*12+($H16:$N16="Tm-")*6+($H16:$N16="Mt-")*6)</f>
        <v/>
      </c>
      <c r="AU16" s="118">
        <f>AT16-MAX(0,IFERROR(INDEX(CADASTRO!$I$4:$I$80,MATCH($A16,CADASTRO!$A$4:$A$80,0)),$B16)-CONFIG!$B$50*(COUNTIF($H16:$N16,"AB")+COUNTIF($H16:$N16,"FE")+COUNTIF($H16:$N16,"LM")))</f>
        <v/>
      </c>
      <c r="AV16" s="117">
        <f>SUMPRODUCT(($O16:$U16="M")*6+($O16:$U16="T")*6+($O16:$U16="D")*12+($O16:$U16="N")*12+($O16:$U16="NT")*6+($O16:$U16="C")*10+($O16:$U16="A")*8+($O16:$U16="J")*5+($O16:$U16="CEP")*4+($O16:$U16="CP")*6+($O16:$U16="CRO")*6+($O16:$U16="M+")*6+($O16:$U16="T+")*6+($O16:$U16="D+")*12+($O16:$U16="N+")*12+($O16:$U16="Dm+")*12+($O16:$U16="Dt+")*12+($O16:$U16="Tm-")*6+($O16:$U16="Mt-")*6)</f>
        <v/>
      </c>
      <c r="AW16" s="118">
        <f>AV16-MAX(0,IFERROR(INDEX(CADASTRO!$I$4:$I$80,MATCH($A16,CADASTRO!$A$4:$A$80,0)),$B16)-CONFIG!$B$50*(COUNTIF($O16:$U16,"AB")+COUNTIF($O16:$U16,"FE")+COUNTIF($O16:$U16,"LM")))</f>
        <v/>
      </c>
      <c r="AX16" s="117">
        <f>SUMPRODUCT(($V16:$AB16="M")*6+($V16:$AB16="T")*6+($V16:$AB16="D")*12+($V16:$AB16="N")*12+($V16:$AB16="NT")*6+($V16:$AB16="C")*10+($V16:$AB16="A")*8+($V16:$AB16="J")*5+($V16:$AB16="CEP")*4+($V16:$AB16="CP")*6+($V16:$AB16="CRO")*6+($V16:$AB16="M+")*6+($V16:$AB16="T+")*6+($V16:$AB16="D+")*12+($V16:$AB16="N+")*12+($V16:$AB16="Dm+")*12+($V16:$AB16="Dt+")*12+($V16:$AB16="Tm-")*6+($V16:$AB16="Mt-")*6)</f>
        <v/>
      </c>
      <c r="AY16" s="118">
        <f>AX16-MAX(0,IFERROR(INDEX(CADASTRO!$I$4:$I$80,MATCH($A16,CADASTRO!$A$4:$A$80,0)),$B16)-CONFIG!$B$50*(COUNTIF($V16:$AB16,"AB")+COUNTIF($V16:$AB16,"FE")+COUNTIF($V16:$AB16,"LM")))</f>
        <v/>
      </c>
      <c r="AZ16" s="117">
        <f>SUMPRODUCT(($AC16:$AI16="M")*6+($AC16:$AI16="T")*6+($AC16:$AI16="D")*12+($AC16:$AI16="N")*12+($AC16:$AI16="NT")*6+($AC16:$AI16="C")*10+($AC16:$AI16="A")*8+($AC16:$AI16="J")*5+($AC16:$AI16="CEP")*4+($AC16:$AI16="CP")*6+($AC16:$AI16="CRO")*6+($AC16:$AI16="M+")*6+($AC16:$AI16="T+")*6+($AC16:$AI16="D+")*12+($AC16:$AI16="N+")*12+($AC16:$AI16="Dm+")*12+($AC16:$AI16="Dt+")*12+($AC16:$AI16="Tm-")*6+($AC16:$AI16="Mt-")*6)</f>
        <v/>
      </c>
      <c r="BA16" s="118">
        <f>AZ16-MAX(0,IFERROR(INDEX(CADASTRO!$I$4:$I$80,MATCH($A16,CADASTRO!$A$4:$A$80,0)),$B16)-CONFIG!$B$50*(COUNTIF($AC16:$AI16,"AB")+COUNTIF($AC16:$AI16,"FE")+COUNTIF($AC16:$AI16,"LM")))</f>
        <v/>
      </c>
      <c r="BB16" s="117">
        <f>SUMPRODUCT(($AJ16:$AL16="M")*6+($AJ16:$AL16="T")*6+($AJ16:$AL16="D")*12+($AJ16:$AL16="N")*12+($AJ16:$AL16="NT")*6+($AJ16:$AL16="C")*10+($AJ16:$AL16="A")*8+($AJ16:$AL16="J")*5+($AJ16:$AL16="CEP")*4+($AJ16:$AL16="CP")*6+($AJ16:$AL16="CRO")*6+($AJ16:$AL16="M+")*6+($AJ16:$AL16="T+")*6+($AJ16:$AL16="D+")*12+($AJ16:$AL16="N+")*12+($AJ16:$AL16="Dm+")*12+($AJ16:$AL16="Dt+")*12+($AJ16:$AL16="Tm-")*6+($AJ16:$AL16="Mt-")*6)+SUMPRODUCT(($AN16:$AQ16="M")*6+($AN16:$AQ16="T")*6+($AN16:$AQ16="D")*12+($AN16:$AQ16="N")*12+($AN16:$AQ16="NT")*6+($AN16:$AQ16="C")*10+($AN16:$AQ16="A")*8+($AN16:$AQ16="J")*5+($AN16:$AQ16="CEP")*4+($AN16:$AQ16="CP")*6+($AN16:$AQ16="CRO")*6+($AN16:$AQ16="M+")*6+($AN16:$AQ16="T+")*6+($AN16:$AQ16="D+")*12+($AN16:$AQ16="N+")*12+($AN16:$AQ16="Dm+")*12+($AN16:$AQ16="Dt+")*12+($AN16:$AQ16="Tm-")*6+($AN16:$AQ16="Mt-")*6)</f>
        <v/>
      </c>
      <c r="BC16" s="118">
        <f>BB16-MAX(0,IFERROR(INDEX(CADASTRO!$I$4:$I$80,MATCH($A16,CADASTRO!$A$4:$A$80,0)),$B16)-CONFIG!$B$50*(COUNTIF($AJ16:$AL16,"AB")+COUNTIF($AJ16:$AL16,"FE")+COUNTIF($AJ16:$AL16,"LM")+COUNTIF($AN16:$AQ16,"AB")+COUNTIF($AN16:$AQ16,"FE")+COUNTIF($AN16:$AQ16,"LM")))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ROUND(B16*4.29,0)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00" t="n"/>
      <c r="H17" s="136">
        <f>IFERROR(INDEX(AGO!AM$8:AM$73,MATCH($A17,AGO!$A$8:$A$73,0))&amp;"","")</f>
        <v/>
      </c>
      <c r="I17" s="129" t="inlineStr">
        <is>
          <t>CEP</t>
        </is>
      </c>
      <c r="J17" s="124" t="inlineStr">
        <is>
          <t>D</t>
        </is>
      </c>
      <c r="K17" s="126" t="inlineStr">
        <is>
          <t>T</t>
        </is>
      </c>
      <c r="L17" s="124" t="inlineStr">
        <is>
          <t>D</t>
        </is>
      </c>
      <c r="M17" s="114" t="n"/>
      <c r="N17" s="114" t="n"/>
      <c r="O17" s="114" t="n"/>
      <c r="P17" s="125" t="inlineStr">
        <is>
          <t>N</t>
        </is>
      </c>
      <c r="Q17" s="126" t="inlineStr">
        <is>
          <t>T</t>
        </is>
      </c>
      <c r="R17" s="126" t="inlineStr">
        <is>
          <t>T</t>
        </is>
      </c>
      <c r="S17" s="129" t="inlineStr">
        <is>
          <t>CEP</t>
        </is>
      </c>
      <c r="T17" s="125" t="inlineStr">
        <is>
          <t>N</t>
        </is>
      </c>
      <c r="U17" s="114" t="n"/>
      <c r="V17" s="129" t="inlineStr">
        <is>
          <t>CEP</t>
        </is>
      </c>
      <c r="W17" s="114" t="n"/>
      <c r="X17" s="126" t="inlineStr">
        <is>
          <t>T</t>
        </is>
      </c>
      <c r="Y17" s="114" t="n"/>
      <c r="Z17" s="126" t="inlineStr">
        <is>
          <t>T</t>
        </is>
      </c>
      <c r="AA17" s="125" t="inlineStr">
        <is>
          <t>N</t>
        </is>
      </c>
      <c r="AB17" s="114" t="n"/>
      <c r="AC17" s="125" t="inlineStr">
        <is>
          <t>N</t>
        </is>
      </c>
      <c r="AD17" s="126" t="inlineStr">
        <is>
          <t>T</t>
        </is>
      </c>
      <c r="AE17" s="126" t="inlineStr">
        <is>
          <t>T</t>
        </is>
      </c>
      <c r="AF17" s="114" t="n"/>
      <c r="AG17" s="129" t="inlineStr">
        <is>
          <t>CEP</t>
        </is>
      </c>
      <c r="AH17" s="125" t="inlineStr">
        <is>
          <t>N</t>
        </is>
      </c>
      <c r="AI17" s="114" t="n"/>
      <c r="AJ17" s="125" t="inlineStr">
        <is>
          <t>N</t>
        </is>
      </c>
      <c r="AK17" s="129" t="inlineStr">
        <is>
          <t>CEP</t>
        </is>
      </c>
      <c r="AL17" s="126" t="inlineStr">
        <is>
          <t>T</t>
        </is>
      </c>
      <c r="AM17" s="100" t="n"/>
      <c r="AN17" s="136">
        <f>IFERROR(INDEX(OUT!I$8:I$73,MATCH($A17,OUT!$A$8:$A$73,0))&amp;"","")</f>
        <v/>
      </c>
      <c r="AO17" s="136">
        <f>IFERROR(INDEX(OUT!J$8:J$73,MATCH($A17,OUT!$A$8:$A$73,0))&amp;"","")</f>
        <v/>
      </c>
      <c r="AP17" s="116">
        <f>IFERROR(INDEX(OUT!K$8:K$73,MATCH($A17,OUT!$A$8:$A$73,0))&amp;"","")</f>
        <v/>
      </c>
      <c r="AQ17" s="116">
        <f>IFERROR(INDEX(OUT!L$8:L$73,MATCH($A17,OUT!$A$8:$A$73,0))&amp;"","")</f>
        <v/>
      </c>
      <c r="AR17" s="100" t="n"/>
      <c r="AS17" s="100" t="n"/>
      <c r="AT17" s="117">
        <f>SUMPRODUCT(($H17:$N17="M")*6+($H17:$N17="T")*6+($H17:$N17="D")*12+($H17:$N17="N")*12+($H17:$N17="NT")*6+($H17:$N17="C")*10+($H17:$N17="A")*8+($H17:$N17="J")*5+($H17:$N17="CEP")*4+($H17:$N17="CP")*6+($H17:$N17="CRO")*6+($H17:$N17="M+")*6+($H17:$N17="T+")*6+($H17:$N17="D+")*12+($H17:$N17="N+")*12+($H17:$N17="Dm+")*12+($H17:$N17="Dt+")*12+($H17:$N17="Tm-")*6+($H17:$N17="Mt-")*6)</f>
        <v/>
      </c>
      <c r="AU17" s="118">
        <f>AT17-MAX(0,IFERROR(INDEX(CADASTRO!$I$4:$I$80,MATCH($A17,CADASTRO!$A$4:$A$80,0)),$B17)-CONFIG!$B$50*(COUNTIF($H17:$N17,"AB")+COUNTIF($H17:$N17,"FE")+COUNTIF($H17:$N17,"LM")))</f>
        <v/>
      </c>
      <c r="AV17" s="117">
        <f>SUMPRODUCT(($O17:$U17="M")*6+($O17:$U17="T")*6+($O17:$U17="D")*12+($O17:$U17="N")*12+($O17:$U17="NT")*6+($O17:$U17="C")*10+($O17:$U17="A")*8+($O17:$U17="J")*5+($O17:$U17="CEP")*4+($O17:$U17="CP")*6+($O17:$U17="CRO")*6+($O17:$U17="M+")*6+($O17:$U17="T+")*6+($O17:$U17="D+")*12+($O17:$U17="N+")*12+($O17:$U17="Dm+")*12+($O17:$U17="Dt+")*12+($O17:$U17="Tm-")*6+($O17:$U17="Mt-")*6)</f>
        <v/>
      </c>
      <c r="AW17" s="118">
        <f>AV17-MAX(0,IFERROR(INDEX(CADASTRO!$I$4:$I$80,MATCH($A17,CADASTRO!$A$4:$A$80,0)),$B17)-CONFIG!$B$50*(COUNTIF($O17:$U17,"AB")+COUNTIF($O17:$U17,"FE")+COUNTIF($O17:$U17,"LM")))</f>
        <v/>
      </c>
      <c r="AX17" s="117">
        <f>SUMPRODUCT(($V17:$AB17="M")*6+($V17:$AB17="T")*6+($V17:$AB17="D")*12+($V17:$AB17="N")*12+($V17:$AB17="NT")*6+($V17:$AB17="C")*10+($V17:$AB17="A")*8+($V17:$AB17="J")*5+($V17:$AB17="CEP")*4+($V17:$AB17="CP")*6+($V17:$AB17="CRO")*6+($V17:$AB17="M+")*6+($V17:$AB17="T+")*6+($V17:$AB17="D+")*12+($V17:$AB17="N+")*12+($V17:$AB17="Dm+")*12+($V17:$AB17="Dt+")*12+($V17:$AB17="Tm-")*6+($V17:$AB17="Mt-")*6)</f>
        <v/>
      </c>
      <c r="AY17" s="118">
        <f>AX17-MAX(0,IFERROR(INDEX(CADASTRO!$I$4:$I$80,MATCH($A17,CADASTRO!$A$4:$A$80,0)),$B17)-CONFIG!$B$50*(COUNTIF($V17:$AB17,"AB")+COUNTIF($V17:$AB17,"FE")+COUNTIF($V17:$AB17,"LM")))</f>
        <v/>
      </c>
      <c r="AZ17" s="117">
        <f>SUMPRODUCT(($AC17:$AI17="M")*6+($AC17:$AI17="T")*6+($AC17:$AI17="D")*12+($AC17:$AI17="N")*12+($AC17:$AI17="NT")*6+($AC17:$AI17="C")*10+($AC17:$AI17="A")*8+($AC17:$AI17="J")*5+($AC17:$AI17="CEP")*4+($AC17:$AI17="CP")*6+($AC17:$AI17="CRO")*6+($AC17:$AI17="M+")*6+($AC17:$AI17="T+")*6+($AC17:$AI17="D+")*12+($AC17:$AI17="N+")*12+($AC17:$AI17="Dm+")*12+($AC17:$AI17="Dt+")*12+($AC17:$AI17="Tm-")*6+($AC17:$AI17="Mt-")*6)</f>
        <v/>
      </c>
      <c r="BA17" s="118">
        <f>AZ17-MAX(0,IFERROR(INDEX(CADASTRO!$I$4:$I$80,MATCH($A17,CADASTRO!$A$4:$A$80,0)),$B17)-CONFIG!$B$50*(COUNTIF($AC17:$AI17,"AB")+COUNTIF($AC17:$AI17,"FE")+COUNTIF($AC17:$AI17,"LM")))</f>
        <v/>
      </c>
      <c r="BB17" s="117">
        <f>SUMPRODUCT(($AJ17:$AL17="M")*6+($AJ17:$AL17="T")*6+($AJ17:$AL17="D")*12+($AJ17:$AL17="N")*12+($AJ17:$AL17="NT")*6+($AJ17:$AL17="C")*10+($AJ17:$AL17="A")*8+($AJ17:$AL17="J")*5+($AJ17:$AL17="CEP")*4+($AJ17:$AL17="CP")*6+($AJ17:$AL17="CRO")*6+($AJ17:$AL17="M+")*6+($AJ17:$AL17="T+")*6+($AJ17:$AL17="D+")*12+($AJ17:$AL17="N+")*12+($AJ17:$AL17="Dm+")*12+($AJ17:$AL17="Dt+")*12+($AJ17:$AL17="Tm-")*6+($AJ17:$AL17="Mt-")*6)+SUMPRODUCT(($AN17:$AQ17="M")*6+($AN17:$AQ17="T")*6+($AN17:$AQ17="D")*12+($AN17:$AQ17="N")*12+($AN17:$AQ17="NT")*6+($AN17:$AQ17="C")*10+($AN17:$AQ17="A")*8+($AN17:$AQ17="J")*5+($AN17:$AQ17="CEP")*4+($AN17:$AQ17="CP")*6+($AN17:$AQ17="CRO")*6+($AN17:$AQ17="M+")*6+($AN17:$AQ17="T+")*6+($AN17:$AQ17="D+")*12+($AN17:$AQ17="N+")*12+($AN17:$AQ17="Dm+")*12+($AN17:$AQ17="Dt+")*12+($AN17:$AQ17="Tm-")*6+($AN17:$AQ17="Mt-")*6)</f>
        <v/>
      </c>
      <c r="BC17" s="118">
        <f>BB17-MAX(0,IFERROR(INDEX(CADASTRO!$I$4:$I$80,MATCH($A17,CADASTRO!$A$4:$A$80,0)),$B17)-CONFIG!$B$50*(COUNTIF($AJ17:$AL17,"AB")+COUNTIF($AJ17:$AL17,"FE")+COUNTIF($AJ17:$AL17,"LM")+COUNTIF($AN17:$AQ17,"AB")+COUNTIF($AN17:$AQ17,"FE")+COUNTIF($AN17:$AQ17,"LM")))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ROUND(B17*4.29,0)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00" t="n"/>
      <c r="H18" s="136">
        <f>IFERROR(INDEX(AGO!AM$8:AM$73,MATCH($A18,AGO!$A$8:$A$73,0))&amp;"","")</f>
        <v/>
      </c>
      <c r="I18" s="123" t="inlineStr">
        <is>
          <t>T+</t>
        </is>
      </c>
      <c r="J18" s="126" t="inlineStr">
        <is>
          <t>T</t>
        </is>
      </c>
      <c r="K18" s="114" t="n"/>
      <c r="L18" s="125" t="inlineStr">
        <is>
          <t>N</t>
        </is>
      </c>
      <c r="M18" s="114" t="n"/>
      <c r="N18" s="114" t="n"/>
      <c r="O18" s="124" t="inlineStr">
        <is>
          <t>D</t>
        </is>
      </c>
      <c r="P18" s="126" t="inlineStr">
        <is>
          <t>T</t>
        </is>
      </c>
      <c r="Q18" s="126" t="inlineStr">
        <is>
          <t>T</t>
        </is>
      </c>
      <c r="R18" s="126" t="inlineStr">
        <is>
          <t>T</t>
        </is>
      </c>
      <c r="S18" s="127" t="inlineStr">
        <is>
          <t>M-</t>
        </is>
      </c>
      <c r="T18" s="114" t="n"/>
      <c r="U18" s="114" t="n"/>
      <c r="V18" s="114" t="n"/>
      <c r="W18" s="126" t="inlineStr">
        <is>
          <t>T</t>
        </is>
      </c>
      <c r="X18" s="114" t="n"/>
      <c r="Y18" s="126" t="inlineStr">
        <is>
          <t>T</t>
        </is>
      </c>
      <c r="Z18" s="126" t="inlineStr">
        <is>
          <t>T</t>
        </is>
      </c>
      <c r="AA18" s="124" t="inlineStr">
        <is>
          <t>D</t>
        </is>
      </c>
      <c r="AB18" s="125" t="inlineStr">
        <is>
          <t>N</t>
        </is>
      </c>
      <c r="AC18" s="126" t="inlineStr">
        <is>
          <t>T</t>
        </is>
      </c>
      <c r="AD18" s="126" t="inlineStr">
        <is>
          <t>T</t>
        </is>
      </c>
      <c r="AE18" s="126" t="inlineStr">
        <is>
          <t>T</t>
        </is>
      </c>
      <c r="AF18" s="126" t="inlineStr">
        <is>
          <t>T</t>
        </is>
      </c>
      <c r="AG18" s="114" t="n"/>
      <c r="AH18" s="124" t="inlineStr">
        <is>
          <t>D</t>
        </is>
      </c>
      <c r="AI18" s="114" t="n"/>
      <c r="AJ18" s="126" t="inlineStr">
        <is>
          <t>T</t>
        </is>
      </c>
      <c r="AK18" s="126" t="inlineStr">
        <is>
          <t>T</t>
        </is>
      </c>
      <c r="AL18" s="126" t="inlineStr">
        <is>
          <t>T</t>
        </is>
      </c>
      <c r="AM18" s="100" t="n"/>
      <c r="AN18" s="136">
        <f>IFERROR(INDEX(OUT!I$8:I$73,MATCH($A18,OUT!$A$8:$A$73,0))&amp;"","")</f>
        <v/>
      </c>
      <c r="AO18" s="136">
        <f>IFERROR(INDEX(OUT!J$8:J$73,MATCH($A18,OUT!$A$8:$A$73,0))&amp;"","")</f>
        <v/>
      </c>
      <c r="AP18" s="116">
        <f>IFERROR(INDEX(OUT!K$8:K$73,MATCH($A18,OUT!$A$8:$A$73,0))&amp;"","")</f>
        <v/>
      </c>
      <c r="AQ18" s="116">
        <f>IFERROR(INDEX(OUT!L$8:L$73,MATCH($A18,OUT!$A$8:$A$73,0))&amp;"","")</f>
        <v/>
      </c>
      <c r="AR18" s="100" t="n"/>
      <c r="AS18" s="100" t="n"/>
      <c r="AT18" s="117">
        <f>SUMPRODUCT(($H18:$N18="M")*6+($H18:$N18="T")*6+($H18:$N18="D")*12+($H18:$N18="N")*12+($H18:$N18="NT")*6+($H18:$N18="C")*10+($H18:$N18="A")*8+($H18:$N18="J")*5+($H18:$N18="CEP")*4+($H18:$N18="CP")*6+($H18:$N18="CRO")*6+($H18:$N18="M+")*6+($H18:$N18="T+")*6+($H18:$N18="D+")*12+($H18:$N18="N+")*12+($H18:$N18="Dm+")*12+($H18:$N18="Dt+")*12+($H18:$N18="Tm-")*6+($H18:$N18="Mt-")*6)</f>
        <v/>
      </c>
      <c r="AU18" s="118">
        <f>AT18-MAX(0,IFERROR(INDEX(CADASTRO!$I$4:$I$80,MATCH($A18,CADASTRO!$A$4:$A$80,0)),$B18)-CONFIG!$B$50*(COUNTIF($H18:$N18,"AB")+COUNTIF($H18:$N18,"FE")+COUNTIF($H18:$N18,"LM")))</f>
        <v/>
      </c>
      <c r="AV18" s="117">
        <f>SUMPRODUCT(($O18:$U18="M")*6+($O18:$U18="T")*6+($O18:$U18="D")*12+($O18:$U18="N")*12+($O18:$U18="NT")*6+($O18:$U18="C")*10+($O18:$U18="A")*8+($O18:$U18="J")*5+($O18:$U18="CEP")*4+($O18:$U18="CP")*6+($O18:$U18="CRO")*6+($O18:$U18="M+")*6+($O18:$U18="T+")*6+($O18:$U18="D+")*12+($O18:$U18="N+")*12+($O18:$U18="Dm+")*12+($O18:$U18="Dt+")*12+($O18:$U18="Tm-")*6+($O18:$U18="Mt-")*6)</f>
        <v/>
      </c>
      <c r="AW18" s="118">
        <f>AV18-MAX(0,IFERROR(INDEX(CADASTRO!$I$4:$I$80,MATCH($A18,CADASTRO!$A$4:$A$80,0)),$B18)-CONFIG!$B$50*(COUNTIF($O18:$U18,"AB")+COUNTIF($O18:$U18,"FE")+COUNTIF($O18:$U18,"LM")))</f>
        <v/>
      </c>
      <c r="AX18" s="117">
        <f>SUMPRODUCT(($V18:$AB18="M")*6+($V18:$AB18="T")*6+($V18:$AB18="D")*12+($V18:$AB18="N")*12+($V18:$AB18="NT")*6+($V18:$AB18="C")*10+($V18:$AB18="A")*8+($V18:$AB18="J")*5+($V18:$AB18="CEP")*4+($V18:$AB18="CP")*6+($V18:$AB18="CRO")*6+($V18:$AB18="M+")*6+($V18:$AB18="T+")*6+($V18:$AB18="D+")*12+($V18:$AB18="N+")*12+($V18:$AB18="Dm+")*12+($V18:$AB18="Dt+")*12+($V18:$AB18="Tm-")*6+($V18:$AB18="Mt-")*6)</f>
        <v/>
      </c>
      <c r="AY18" s="118">
        <f>AX18-MAX(0,IFERROR(INDEX(CADASTRO!$I$4:$I$80,MATCH($A18,CADASTRO!$A$4:$A$80,0)),$B18)-CONFIG!$B$50*(COUNTIF($V18:$AB18,"AB")+COUNTIF($V18:$AB18,"FE")+COUNTIF($V18:$AB18,"LM")))</f>
        <v/>
      </c>
      <c r="AZ18" s="117">
        <f>SUMPRODUCT(($AC18:$AI18="M")*6+($AC18:$AI18="T")*6+($AC18:$AI18="D")*12+($AC18:$AI18="N")*12+($AC18:$AI18="NT")*6+($AC18:$AI18="C")*10+($AC18:$AI18="A")*8+($AC18:$AI18="J")*5+($AC18:$AI18="CEP")*4+($AC18:$AI18="CP")*6+($AC18:$AI18="CRO")*6+($AC18:$AI18="M+")*6+($AC18:$AI18="T+")*6+($AC18:$AI18="D+")*12+($AC18:$AI18="N+")*12+($AC18:$AI18="Dm+")*12+($AC18:$AI18="Dt+")*12+($AC18:$AI18="Tm-")*6+($AC18:$AI18="Mt-")*6)</f>
        <v/>
      </c>
      <c r="BA18" s="118">
        <f>AZ18-MAX(0,IFERROR(INDEX(CADASTRO!$I$4:$I$80,MATCH($A18,CADASTRO!$A$4:$A$80,0)),$B18)-CONFIG!$B$50*(COUNTIF($AC18:$AI18,"AB")+COUNTIF($AC18:$AI18,"FE")+COUNTIF($AC18:$AI18,"LM")))</f>
        <v/>
      </c>
      <c r="BB18" s="117">
        <f>SUMPRODUCT(($AJ18:$AL18="M")*6+($AJ18:$AL18="T")*6+($AJ18:$AL18="D")*12+($AJ18:$AL18="N")*12+($AJ18:$AL18="NT")*6+($AJ18:$AL18="C")*10+($AJ18:$AL18="A")*8+($AJ18:$AL18="J")*5+($AJ18:$AL18="CEP")*4+($AJ18:$AL18="CP")*6+($AJ18:$AL18="CRO")*6+($AJ18:$AL18="M+")*6+($AJ18:$AL18="T+")*6+($AJ18:$AL18="D+")*12+($AJ18:$AL18="N+")*12+($AJ18:$AL18="Dm+")*12+($AJ18:$AL18="Dt+")*12+($AJ18:$AL18="Tm-")*6+($AJ18:$AL18="Mt-")*6)+SUMPRODUCT(($AN18:$AQ18="M")*6+($AN18:$AQ18="T")*6+($AN18:$AQ18="D")*12+($AN18:$AQ18="N")*12+($AN18:$AQ18="NT")*6+($AN18:$AQ18="C")*10+($AN18:$AQ18="A")*8+($AN18:$AQ18="J")*5+($AN18:$AQ18="CEP")*4+($AN18:$AQ18="CP")*6+($AN18:$AQ18="CRO")*6+($AN18:$AQ18="M+")*6+($AN18:$AQ18="T+")*6+($AN18:$AQ18="D+")*12+($AN18:$AQ18="N+")*12+($AN18:$AQ18="Dm+")*12+($AN18:$AQ18="Dt+")*12+($AN18:$AQ18="Tm-")*6+($AN18:$AQ18="Mt-")*6)</f>
        <v/>
      </c>
      <c r="BC18" s="118">
        <f>BB18-MAX(0,IFERROR(INDEX(CADASTRO!$I$4:$I$80,MATCH($A18,CADASTRO!$A$4:$A$80,0)),$B18)-CONFIG!$B$50*(COUNTIF($AJ18:$AL18,"AB")+COUNTIF($AJ18:$AL18,"FE")+COUNTIF($AJ18:$AL18,"LM")+COUNTIF($AN18:$AQ18,"AB")+COUNTIF($AN18:$AQ18,"FE")+COUNTIF($AN18:$AQ18,"LM")))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ROUND(B18*4.29,0)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00" t="n"/>
      <c r="H19" s="136">
        <f>IFERROR(INDEX(AGO!AM$8:AM$73,MATCH($A19,AGO!$A$8:$A$73,0))&amp;"","")</f>
        <v/>
      </c>
      <c r="I19" s="114" t="n"/>
      <c r="J19" s="125" t="inlineStr">
        <is>
          <t>N</t>
        </is>
      </c>
      <c r="K19" s="114" t="n"/>
      <c r="L19" s="125" t="inlineStr">
        <is>
          <t>N</t>
        </is>
      </c>
      <c r="M19" s="114" t="n"/>
      <c r="N19" s="125" t="inlineStr">
        <is>
          <t>N</t>
        </is>
      </c>
      <c r="O19" s="114" t="n"/>
      <c r="P19" s="114" t="n"/>
      <c r="Q19" s="125" t="inlineStr">
        <is>
          <t>N</t>
        </is>
      </c>
      <c r="R19" s="114" t="n"/>
      <c r="S19" s="125" t="inlineStr">
        <is>
          <t>N</t>
        </is>
      </c>
      <c r="T19" s="114" t="n"/>
      <c r="U19" s="125" t="inlineStr">
        <is>
          <t>N</t>
        </is>
      </c>
      <c r="V19" s="125" t="inlineStr">
        <is>
          <t>N</t>
        </is>
      </c>
      <c r="W19" s="114" t="n"/>
      <c r="X19" s="125" t="inlineStr">
        <is>
          <t>N</t>
        </is>
      </c>
      <c r="Y19" s="125" t="inlineStr">
        <is>
          <t>N</t>
        </is>
      </c>
      <c r="Z19" s="114" t="n"/>
      <c r="AA19" s="114" t="n"/>
      <c r="AB19" s="114" t="n"/>
      <c r="AC19" s="114" t="n"/>
      <c r="AD19" s="114" t="n"/>
      <c r="AE19" s="125" t="inlineStr">
        <is>
          <t>N</t>
        </is>
      </c>
      <c r="AF19" s="125" t="inlineStr">
        <is>
          <t>N</t>
        </is>
      </c>
      <c r="AG19" s="114" t="n"/>
      <c r="AH19" s="114" t="n"/>
      <c r="AI19" s="125" t="inlineStr">
        <is>
          <t>N</t>
        </is>
      </c>
      <c r="AJ19" s="114" t="n"/>
      <c r="AK19" s="114" t="n"/>
      <c r="AL19" s="125" t="inlineStr">
        <is>
          <t>N</t>
        </is>
      </c>
      <c r="AM19" s="100" t="n"/>
      <c r="AN19" s="136">
        <f>IFERROR(INDEX(OUT!I$8:I$73,MATCH($A19,OUT!$A$8:$A$73,0))&amp;"","")</f>
        <v/>
      </c>
      <c r="AO19" s="136">
        <f>IFERROR(INDEX(OUT!J$8:J$73,MATCH($A19,OUT!$A$8:$A$73,0))&amp;"","")</f>
        <v/>
      </c>
      <c r="AP19" s="116">
        <f>IFERROR(INDEX(OUT!K$8:K$73,MATCH($A19,OUT!$A$8:$A$73,0))&amp;"","")</f>
        <v/>
      </c>
      <c r="AQ19" s="116">
        <f>IFERROR(INDEX(OUT!L$8:L$73,MATCH($A19,OUT!$A$8:$A$73,0))&amp;"","")</f>
        <v/>
      </c>
      <c r="AR19" s="100" t="n"/>
      <c r="AS19" s="100" t="n"/>
      <c r="AT19" s="117">
        <f>SUMPRODUCT(($H19:$N19="M")*6+($H19:$N19="T")*6+($H19:$N19="D")*12+($H19:$N19="N")*12+($H19:$N19="NT")*6+($H19:$N19="C")*10+($H19:$N19="A")*8+($H19:$N19="J")*5+($H19:$N19="CEP")*4+($H19:$N19="CP")*6+($H19:$N19="CRO")*6+($H19:$N19="M+")*6+($H19:$N19="T+")*6+($H19:$N19="D+")*12+($H19:$N19="N+")*12+($H19:$N19="Dm+")*12+($H19:$N19="Dt+")*12+($H19:$N19="Tm-")*6+($H19:$N19="Mt-")*6)</f>
        <v/>
      </c>
      <c r="AU19" s="118">
        <f>AT19-MAX(0,IFERROR(INDEX(CADASTRO!$I$4:$I$80,MATCH($A19,CADASTRO!$A$4:$A$80,0)),$B19)-CONFIG!$B$50*(COUNTIF($H19:$N19,"AB")+COUNTIF($H19:$N19,"FE")+COUNTIF($H19:$N19,"LM")))</f>
        <v/>
      </c>
      <c r="AV19" s="117">
        <f>SUMPRODUCT(($O19:$U19="M")*6+($O19:$U19="T")*6+($O19:$U19="D")*12+($O19:$U19="N")*12+($O19:$U19="NT")*6+($O19:$U19="C")*10+($O19:$U19="A")*8+($O19:$U19="J")*5+($O19:$U19="CEP")*4+($O19:$U19="CP")*6+($O19:$U19="CRO")*6+($O19:$U19="M+")*6+($O19:$U19="T+")*6+($O19:$U19="D+")*12+($O19:$U19="N+")*12+($O19:$U19="Dm+")*12+($O19:$U19="Dt+")*12+($O19:$U19="Tm-")*6+($O19:$U19="Mt-")*6)</f>
        <v/>
      </c>
      <c r="AW19" s="118">
        <f>AV19-MAX(0,IFERROR(INDEX(CADASTRO!$I$4:$I$80,MATCH($A19,CADASTRO!$A$4:$A$80,0)),$B19)-CONFIG!$B$50*(COUNTIF($O19:$U19,"AB")+COUNTIF($O19:$U19,"FE")+COUNTIF($O19:$U19,"LM")))</f>
        <v/>
      </c>
      <c r="AX19" s="117">
        <f>SUMPRODUCT(($V19:$AB19="M")*6+($V19:$AB19="T")*6+($V19:$AB19="D")*12+($V19:$AB19="N")*12+($V19:$AB19="NT")*6+($V19:$AB19="C")*10+($V19:$AB19="A")*8+($V19:$AB19="J")*5+($V19:$AB19="CEP")*4+($V19:$AB19="CP")*6+($V19:$AB19="CRO")*6+($V19:$AB19="M+")*6+($V19:$AB19="T+")*6+($V19:$AB19="D+")*12+($V19:$AB19="N+")*12+($V19:$AB19="Dm+")*12+($V19:$AB19="Dt+")*12+($V19:$AB19="Tm-")*6+($V19:$AB19="Mt-")*6)</f>
        <v/>
      </c>
      <c r="AY19" s="118">
        <f>AX19-MAX(0,IFERROR(INDEX(CADASTRO!$I$4:$I$80,MATCH($A19,CADASTRO!$A$4:$A$80,0)),$B19)-CONFIG!$B$50*(COUNTIF($V19:$AB19,"AB")+COUNTIF($V19:$AB19,"FE")+COUNTIF($V19:$AB19,"LM")))</f>
        <v/>
      </c>
      <c r="AZ19" s="117">
        <f>SUMPRODUCT(($AC19:$AI19="M")*6+($AC19:$AI19="T")*6+($AC19:$AI19="D")*12+($AC19:$AI19="N")*12+($AC19:$AI19="NT")*6+($AC19:$AI19="C")*10+($AC19:$AI19="A")*8+($AC19:$AI19="J")*5+($AC19:$AI19="CEP")*4+($AC19:$AI19="CP")*6+($AC19:$AI19="CRO")*6+($AC19:$AI19="M+")*6+($AC19:$AI19="T+")*6+($AC19:$AI19="D+")*12+($AC19:$AI19="N+")*12+($AC19:$AI19="Dm+")*12+($AC19:$AI19="Dt+")*12+($AC19:$AI19="Tm-")*6+($AC19:$AI19="Mt-")*6)</f>
        <v/>
      </c>
      <c r="BA19" s="118">
        <f>AZ19-MAX(0,IFERROR(INDEX(CADASTRO!$I$4:$I$80,MATCH($A19,CADASTRO!$A$4:$A$80,0)),$B19)-CONFIG!$B$50*(COUNTIF($AC19:$AI19,"AB")+COUNTIF($AC19:$AI19,"FE")+COUNTIF($AC19:$AI19,"LM")))</f>
        <v/>
      </c>
      <c r="BB19" s="117">
        <f>SUMPRODUCT(($AJ19:$AL19="M")*6+($AJ19:$AL19="T")*6+($AJ19:$AL19="D")*12+($AJ19:$AL19="N")*12+($AJ19:$AL19="NT")*6+($AJ19:$AL19="C")*10+($AJ19:$AL19="A")*8+($AJ19:$AL19="J")*5+($AJ19:$AL19="CEP")*4+($AJ19:$AL19="CP")*6+($AJ19:$AL19="CRO")*6+($AJ19:$AL19="M+")*6+($AJ19:$AL19="T+")*6+($AJ19:$AL19="D+")*12+($AJ19:$AL19="N+")*12+($AJ19:$AL19="Dm+")*12+($AJ19:$AL19="Dt+")*12+($AJ19:$AL19="Tm-")*6+($AJ19:$AL19="Mt-")*6)+SUMPRODUCT(($AN19:$AQ19="M")*6+($AN19:$AQ19="T")*6+($AN19:$AQ19="D")*12+($AN19:$AQ19="N")*12+($AN19:$AQ19="NT")*6+($AN19:$AQ19="C")*10+($AN19:$AQ19="A")*8+($AN19:$AQ19="J")*5+($AN19:$AQ19="CEP")*4+($AN19:$AQ19="CP")*6+($AN19:$AQ19="CRO")*6+($AN19:$AQ19="M+")*6+($AN19:$AQ19="T+")*6+($AN19:$AQ19="D+")*12+($AN19:$AQ19="N+")*12+($AN19:$AQ19="Dm+")*12+($AN19:$AQ19="Dt+")*12+($AN19:$AQ19="Tm-")*6+($AN19:$AQ19="Mt-")*6)</f>
        <v/>
      </c>
      <c r="BC19" s="118">
        <f>BB19-MAX(0,IFERROR(INDEX(CADASTRO!$I$4:$I$80,MATCH($A19,CADASTRO!$A$4:$A$80,0)),$B19)-CONFIG!$B$50*(COUNTIF($AJ19:$AL19,"AB")+COUNTIF($AJ19:$AL19,"FE")+COUNTIF($AJ19:$AL19,"LM")+COUNTIF($AN19:$AQ19,"AB")+COUNTIF($AN19:$AQ19,"FE")+COUNTIF($AN19:$AQ19,"LM")))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ROUND(B19*4.29,0)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00" t="n"/>
      <c r="H20" s="136">
        <f>IFERROR(INDEX(AGO!AM$8:AM$73,MATCH($A20,AGO!$A$8:$A$73,0))&amp;"","")</f>
        <v/>
      </c>
      <c r="I20" s="125" t="inlineStr">
        <is>
          <t>N</t>
        </is>
      </c>
      <c r="J20" s="114" t="n"/>
      <c r="K20" s="125" t="inlineStr">
        <is>
          <t>N</t>
        </is>
      </c>
      <c r="L20" s="114" t="n"/>
      <c r="M20" s="125" t="inlineStr">
        <is>
          <t>N</t>
        </is>
      </c>
      <c r="N20" s="114" t="n"/>
      <c r="O20" s="114" t="n"/>
      <c r="P20" s="125" t="inlineStr">
        <is>
          <t>N</t>
        </is>
      </c>
      <c r="Q20" s="125" t="inlineStr">
        <is>
          <t>N</t>
        </is>
      </c>
      <c r="R20" s="125" t="inlineStr">
        <is>
          <t>N</t>
        </is>
      </c>
      <c r="S20" s="114" t="n"/>
      <c r="T20" s="114" t="n"/>
      <c r="U20" s="114" t="n"/>
      <c r="V20" s="114" t="n"/>
      <c r="W20" s="114" t="n"/>
      <c r="X20" s="125" t="inlineStr">
        <is>
          <t>N</t>
        </is>
      </c>
      <c r="Y20" s="125" t="inlineStr">
        <is>
          <t>N</t>
        </is>
      </c>
      <c r="Z20" s="114" t="n"/>
      <c r="AA20" s="114" t="n"/>
      <c r="AB20" s="125" t="inlineStr">
        <is>
          <t>N</t>
        </is>
      </c>
      <c r="AC20" s="114" t="n"/>
      <c r="AD20" s="125" t="inlineStr">
        <is>
          <t>N</t>
        </is>
      </c>
      <c r="AE20" s="114" t="n"/>
      <c r="AF20" s="125" t="inlineStr">
        <is>
          <t>N</t>
        </is>
      </c>
      <c r="AG20" s="114" t="n"/>
      <c r="AH20" s="114" t="n"/>
      <c r="AI20" s="125" t="inlineStr">
        <is>
          <t>N</t>
        </is>
      </c>
      <c r="AJ20" s="114" t="n"/>
      <c r="AK20" s="125" t="inlineStr">
        <is>
          <t>N</t>
        </is>
      </c>
      <c r="AL20" s="125" t="inlineStr">
        <is>
          <t>N</t>
        </is>
      </c>
      <c r="AM20" s="100" t="n"/>
      <c r="AN20" s="136">
        <f>IFERROR(INDEX(OUT!I$8:I$73,MATCH($A20,OUT!$A$8:$A$73,0))&amp;"","")</f>
        <v/>
      </c>
      <c r="AO20" s="136">
        <f>IFERROR(INDEX(OUT!J$8:J$73,MATCH($A20,OUT!$A$8:$A$73,0))&amp;"","")</f>
        <v/>
      </c>
      <c r="AP20" s="116">
        <f>IFERROR(INDEX(OUT!K$8:K$73,MATCH($A20,OUT!$A$8:$A$73,0))&amp;"","")</f>
        <v/>
      </c>
      <c r="AQ20" s="116">
        <f>IFERROR(INDEX(OUT!L$8:L$73,MATCH($A20,OUT!$A$8:$A$73,0))&amp;"","")</f>
        <v/>
      </c>
      <c r="AR20" s="100" t="n"/>
      <c r="AS20" s="100" t="n"/>
      <c r="AT20" s="117">
        <f>SUMPRODUCT(($H20:$N20="M")*6+($H20:$N20="T")*6+($H20:$N20="D")*12+($H20:$N20="N")*12+($H20:$N20="NT")*6+($H20:$N20="C")*10+($H20:$N20="A")*8+($H20:$N20="J")*5+($H20:$N20="CEP")*4+($H20:$N20="CP")*6+($H20:$N20="CRO")*6+($H20:$N20="M+")*6+($H20:$N20="T+")*6+($H20:$N20="D+")*12+($H20:$N20="N+")*12+($H20:$N20="Dm+")*12+($H20:$N20="Dt+")*12+($H20:$N20="Tm-")*6+($H20:$N20="Mt-")*6)</f>
        <v/>
      </c>
      <c r="AU20" s="118">
        <f>AT20-MAX(0,IFERROR(INDEX(CADASTRO!$I$4:$I$80,MATCH($A20,CADASTRO!$A$4:$A$80,0)),$B20)-CONFIG!$B$50*(COUNTIF($H20:$N20,"AB")+COUNTIF($H20:$N20,"FE")+COUNTIF($H20:$N20,"LM")))</f>
        <v/>
      </c>
      <c r="AV20" s="117">
        <f>SUMPRODUCT(($O20:$U20="M")*6+($O20:$U20="T")*6+($O20:$U20="D")*12+($O20:$U20="N")*12+($O20:$U20="NT")*6+($O20:$U20="C")*10+($O20:$U20="A")*8+($O20:$U20="J")*5+($O20:$U20="CEP")*4+($O20:$U20="CP")*6+($O20:$U20="CRO")*6+($O20:$U20="M+")*6+($O20:$U20="T+")*6+($O20:$U20="D+")*12+($O20:$U20="N+")*12+($O20:$U20="Dm+")*12+($O20:$U20="Dt+")*12+($O20:$U20="Tm-")*6+($O20:$U20="Mt-")*6)</f>
        <v/>
      </c>
      <c r="AW20" s="118">
        <f>AV20-MAX(0,IFERROR(INDEX(CADASTRO!$I$4:$I$80,MATCH($A20,CADASTRO!$A$4:$A$80,0)),$B20)-CONFIG!$B$50*(COUNTIF($O20:$U20,"AB")+COUNTIF($O20:$U20,"FE")+COUNTIF($O20:$U20,"LM")))</f>
        <v/>
      </c>
      <c r="AX20" s="117">
        <f>SUMPRODUCT(($V20:$AB20="M")*6+($V20:$AB20="T")*6+($V20:$AB20="D")*12+($V20:$AB20="N")*12+($V20:$AB20="NT")*6+($V20:$AB20="C")*10+($V20:$AB20="A")*8+($V20:$AB20="J")*5+($V20:$AB20="CEP")*4+($V20:$AB20="CP")*6+($V20:$AB20="CRO")*6+($V20:$AB20="M+")*6+($V20:$AB20="T+")*6+($V20:$AB20="D+")*12+($V20:$AB20="N+")*12+($V20:$AB20="Dm+")*12+($V20:$AB20="Dt+")*12+($V20:$AB20="Tm-")*6+($V20:$AB20="Mt-")*6)</f>
        <v/>
      </c>
      <c r="AY20" s="118">
        <f>AX20-MAX(0,IFERROR(INDEX(CADASTRO!$I$4:$I$80,MATCH($A20,CADASTRO!$A$4:$A$80,0)),$B20)-CONFIG!$B$50*(COUNTIF($V20:$AB20,"AB")+COUNTIF($V20:$AB20,"FE")+COUNTIF($V20:$AB20,"LM")))</f>
        <v/>
      </c>
      <c r="AZ20" s="117">
        <f>SUMPRODUCT(($AC20:$AI20="M")*6+($AC20:$AI20="T")*6+($AC20:$AI20="D")*12+($AC20:$AI20="N")*12+($AC20:$AI20="NT")*6+($AC20:$AI20="C")*10+($AC20:$AI20="A")*8+($AC20:$AI20="J")*5+($AC20:$AI20="CEP")*4+($AC20:$AI20="CP")*6+($AC20:$AI20="CRO")*6+($AC20:$AI20="M+")*6+($AC20:$AI20="T+")*6+($AC20:$AI20="D+")*12+($AC20:$AI20="N+")*12+($AC20:$AI20="Dm+")*12+($AC20:$AI20="Dt+")*12+($AC20:$AI20="Tm-")*6+($AC20:$AI20="Mt-")*6)</f>
        <v/>
      </c>
      <c r="BA20" s="118">
        <f>AZ20-MAX(0,IFERROR(INDEX(CADASTRO!$I$4:$I$80,MATCH($A20,CADASTRO!$A$4:$A$80,0)),$B20)-CONFIG!$B$50*(COUNTIF($AC20:$AI20,"AB")+COUNTIF($AC20:$AI20,"FE")+COUNTIF($AC20:$AI20,"LM")))</f>
        <v/>
      </c>
      <c r="BB20" s="117">
        <f>SUMPRODUCT(($AJ20:$AL20="M")*6+($AJ20:$AL20="T")*6+($AJ20:$AL20="D")*12+($AJ20:$AL20="N")*12+($AJ20:$AL20="NT")*6+($AJ20:$AL20="C")*10+($AJ20:$AL20="A")*8+($AJ20:$AL20="J")*5+($AJ20:$AL20="CEP")*4+($AJ20:$AL20="CP")*6+($AJ20:$AL20="CRO")*6+($AJ20:$AL20="M+")*6+($AJ20:$AL20="T+")*6+($AJ20:$AL20="D+")*12+($AJ20:$AL20="N+")*12+($AJ20:$AL20="Dm+")*12+($AJ20:$AL20="Dt+")*12+($AJ20:$AL20="Tm-")*6+($AJ20:$AL20="Mt-")*6)+SUMPRODUCT(($AN20:$AQ20="M")*6+($AN20:$AQ20="T")*6+($AN20:$AQ20="D")*12+($AN20:$AQ20="N")*12+($AN20:$AQ20="NT")*6+($AN20:$AQ20="C")*10+($AN20:$AQ20="A")*8+($AN20:$AQ20="J")*5+($AN20:$AQ20="CEP")*4+($AN20:$AQ20="CP")*6+($AN20:$AQ20="CRO")*6+($AN20:$AQ20="M+")*6+($AN20:$AQ20="T+")*6+($AN20:$AQ20="D+")*12+($AN20:$AQ20="N+")*12+($AN20:$AQ20="Dm+")*12+($AN20:$AQ20="Dt+")*12+($AN20:$AQ20="Tm-")*6+($AN20:$AQ20="Mt-")*6)</f>
        <v/>
      </c>
      <c r="BC20" s="118">
        <f>BB20-MAX(0,IFERROR(INDEX(CADASTRO!$I$4:$I$80,MATCH($A20,CADASTRO!$A$4:$A$80,0)),$B20)-CONFIG!$B$50*(COUNTIF($AJ20:$AL20,"AB")+COUNTIF($AJ20:$AL20,"FE")+COUNTIF($AJ20:$AL20,"LM")+COUNTIF($AN20:$AQ20,"AB")+COUNTIF($AN20:$AQ20,"FE")+COUNTIF($AN20:$AQ20,"LM")))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ROUND(B20*4.29,0)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00" t="n"/>
      <c r="H21" s="136">
        <f>IFERROR(INDEX(AGO!AM$8:AM$73,MATCH($A21,AGO!$A$8:$A$73,0))&amp;"","")</f>
        <v/>
      </c>
      <c r="I21" s="123" t="inlineStr">
        <is>
          <t>M+</t>
        </is>
      </c>
      <c r="J21" s="114" t="n"/>
      <c r="K21" s="123" t="inlineStr">
        <is>
          <t>T+</t>
        </is>
      </c>
      <c r="L21" s="114" t="n"/>
      <c r="M21" s="124" t="inlineStr">
        <is>
          <t>D</t>
        </is>
      </c>
      <c r="N21" s="125" t="inlineStr">
        <is>
          <t>N</t>
        </is>
      </c>
      <c r="O21" s="126" t="inlineStr">
        <is>
          <t>T</t>
        </is>
      </c>
      <c r="P21" s="124" t="inlineStr">
        <is>
          <t>D</t>
        </is>
      </c>
      <c r="Q21" s="124" t="inlineStr">
        <is>
          <t>D</t>
        </is>
      </c>
      <c r="R21" s="127" t="inlineStr">
        <is>
          <t>M-</t>
        </is>
      </c>
      <c r="S21" s="114" t="n"/>
      <c r="T21" s="114" t="n"/>
      <c r="U21" s="114" t="n"/>
      <c r="V21" s="139" t="inlineStr">
        <is>
          <t>FE</t>
        </is>
      </c>
      <c r="W21" s="139" t="inlineStr">
        <is>
          <t>FE</t>
        </is>
      </c>
      <c r="X21" s="139" t="inlineStr">
        <is>
          <t>FE</t>
        </is>
      </c>
      <c r="Y21" s="139" t="inlineStr">
        <is>
          <t>FE</t>
        </is>
      </c>
      <c r="Z21" s="139" t="inlineStr">
        <is>
          <t>FE</t>
        </is>
      </c>
      <c r="AA21" s="139" t="inlineStr">
        <is>
          <t>FE</t>
        </is>
      </c>
      <c r="AB21" s="139" t="inlineStr">
        <is>
          <t>FE</t>
        </is>
      </c>
      <c r="AC21" s="139" t="inlineStr">
        <is>
          <t>FE</t>
        </is>
      </c>
      <c r="AD21" s="139" t="inlineStr">
        <is>
          <t>FE</t>
        </is>
      </c>
      <c r="AE21" s="139" t="inlineStr">
        <is>
          <t>FE</t>
        </is>
      </c>
      <c r="AF21" s="139" t="inlineStr">
        <is>
          <t>FE</t>
        </is>
      </c>
      <c r="AG21" s="139" t="inlineStr">
        <is>
          <t>FE</t>
        </is>
      </c>
      <c r="AH21" s="139" t="inlineStr">
        <is>
          <t>FE</t>
        </is>
      </c>
      <c r="AI21" s="139" t="inlineStr">
        <is>
          <t>FE</t>
        </is>
      </c>
      <c r="AJ21" s="139" t="inlineStr">
        <is>
          <t>FE</t>
        </is>
      </c>
      <c r="AK21" s="115" t="inlineStr">
        <is>
          <t>M</t>
        </is>
      </c>
      <c r="AL21" s="126" t="inlineStr">
        <is>
          <t>T</t>
        </is>
      </c>
      <c r="AM21" s="100" t="n"/>
      <c r="AN21" s="136">
        <f>IFERROR(INDEX(OUT!I$8:I$73,MATCH($A21,OUT!$A$8:$A$73,0))&amp;"","")</f>
        <v/>
      </c>
      <c r="AO21" s="136">
        <f>IFERROR(INDEX(OUT!J$8:J$73,MATCH($A21,OUT!$A$8:$A$73,0))&amp;"","")</f>
        <v/>
      </c>
      <c r="AP21" s="116">
        <f>IFERROR(INDEX(OUT!K$8:K$73,MATCH($A21,OUT!$A$8:$A$73,0))&amp;"","")</f>
        <v/>
      </c>
      <c r="AQ21" s="116">
        <f>IFERROR(INDEX(OUT!L$8:L$73,MATCH($A21,OUT!$A$8:$A$73,0))&amp;"","")</f>
        <v/>
      </c>
      <c r="AR21" s="100" t="n"/>
      <c r="AS21" s="100" t="n"/>
      <c r="AT21" s="117">
        <f>SUMPRODUCT(($H21:$N21="M")*6+($H21:$N21="T")*6+($H21:$N21="D")*12+($H21:$N21="N")*12+($H21:$N21="NT")*6+($H21:$N21="C")*10+($H21:$N21="A")*8+($H21:$N21="J")*5+($H21:$N21="CEP")*4+($H21:$N21="CP")*6+($H21:$N21="CRO")*6+($H21:$N21="M+")*6+($H21:$N21="T+")*6+($H21:$N21="D+")*12+($H21:$N21="N+")*12+($H21:$N21="Dm+")*12+($H21:$N21="Dt+")*12+($H21:$N21="Tm-")*6+($H21:$N21="Mt-")*6)</f>
        <v/>
      </c>
      <c r="AU21" s="118">
        <f>AT21-MAX(0,IFERROR(INDEX(CADASTRO!$I$4:$I$80,MATCH($A21,CADASTRO!$A$4:$A$80,0)),$B21)-CONFIG!$B$50*(COUNTIF($H21:$N21,"AB")+COUNTIF($H21:$N21,"FE")+COUNTIF($H21:$N21,"LM")))</f>
        <v/>
      </c>
      <c r="AV21" s="117">
        <f>SUMPRODUCT(($O21:$U21="M")*6+($O21:$U21="T")*6+($O21:$U21="D")*12+($O21:$U21="N")*12+($O21:$U21="NT")*6+($O21:$U21="C")*10+($O21:$U21="A")*8+($O21:$U21="J")*5+($O21:$U21="CEP")*4+($O21:$U21="CP")*6+($O21:$U21="CRO")*6+($O21:$U21="M+")*6+($O21:$U21="T+")*6+($O21:$U21="D+")*12+($O21:$U21="N+")*12+($O21:$U21="Dm+")*12+($O21:$U21="Dt+")*12+($O21:$U21="Tm-")*6+($O21:$U21="Mt-")*6)</f>
        <v/>
      </c>
      <c r="AW21" s="118">
        <f>AV21-MAX(0,IFERROR(INDEX(CADASTRO!$I$4:$I$80,MATCH($A21,CADASTRO!$A$4:$A$80,0)),$B21)-CONFIG!$B$50*(COUNTIF($O21:$U21,"AB")+COUNTIF($O21:$U21,"FE")+COUNTIF($O21:$U21,"LM")))</f>
        <v/>
      </c>
      <c r="AX21" s="117">
        <f>SUMPRODUCT(($V21:$AB21="M")*6+($V21:$AB21="T")*6+($V21:$AB21="D")*12+($V21:$AB21="N")*12+($V21:$AB21="NT")*6+($V21:$AB21="C")*10+($V21:$AB21="A")*8+($V21:$AB21="J")*5+($V21:$AB21="CEP")*4+($V21:$AB21="CP")*6+($V21:$AB21="CRO")*6+($V21:$AB21="M+")*6+($V21:$AB21="T+")*6+($V21:$AB21="D+")*12+($V21:$AB21="N+")*12+($V21:$AB21="Dm+")*12+($V21:$AB21="Dt+")*12+($V21:$AB21="Tm-")*6+($V21:$AB21="Mt-")*6)</f>
        <v/>
      </c>
      <c r="AY21" s="118">
        <f>AX21-MAX(0,IFERROR(INDEX(CADASTRO!$I$4:$I$80,MATCH($A21,CADASTRO!$A$4:$A$80,0)),$B21)-CONFIG!$B$50*(COUNTIF($V21:$AB21,"AB")+COUNTIF($V21:$AB21,"FE")+COUNTIF($V21:$AB21,"LM")))</f>
        <v/>
      </c>
      <c r="AZ21" s="117">
        <f>SUMPRODUCT(($AC21:$AI21="M")*6+($AC21:$AI21="T")*6+($AC21:$AI21="D")*12+($AC21:$AI21="N")*12+($AC21:$AI21="NT")*6+($AC21:$AI21="C")*10+($AC21:$AI21="A")*8+($AC21:$AI21="J")*5+($AC21:$AI21="CEP")*4+($AC21:$AI21="CP")*6+($AC21:$AI21="CRO")*6+($AC21:$AI21="M+")*6+($AC21:$AI21="T+")*6+($AC21:$AI21="D+")*12+($AC21:$AI21="N+")*12+($AC21:$AI21="Dm+")*12+($AC21:$AI21="Dt+")*12+($AC21:$AI21="Tm-")*6+($AC21:$AI21="Mt-")*6)</f>
        <v/>
      </c>
      <c r="BA21" s="118">
        <f>AZ21-MAX(0,IFERROR(INDEX(CADASTRO!$I$4:$I$80,MATCH($A21,CADASTRO!$A$4:$A$80,0)),$B21)-CONFIG!$B$50*(COUNTIF($AC21:$AI21,"AB")+COUNTIF($AC21:$AI21,"FE")+COUNTIF($AC21:$AI21,"LM")))</f>
        <v/>
      </c>
      <c r="BB21" s="117">
        <f>SUMPRODUCT(($AJ21:$AL21="M")*6+($AJ21:$AL21="T")*6+($AJ21:$AL21="D")*12+($AJ21:$AL21="N")*12+($AJ21:$AL21="NT")*6+($AJ21:$AL21="C")*10+($AJ21:$AL21="A")*8+($AJ21:$AL21="J")*5+($AJ21:$AL21="CEP")*4+($AJ21:$AL21="CP")*6+($AJ21:$AL21="CRO")*6+($AJ21:$AL21="M+")*6+($AJ21:$AL21="T+")*6+($AJ21:$AL21="D+")*12+($AJ21:$AL21="N+")*12+($AJ21:$AL21="Dm+")*12+($AJ21:$AL21="Dt+")*12+($AJ21:$AL21="Tm-")*6+($AJ21:$AL21="Mt-")*6)+SUMPRODUCT(($AN21:$AQ21="M")*6+($AN21:$AQ21="T")*6+($AN21:$AQ21="D")*12+($AN21:$AQ21="N")*12+($AN21:$AQ21="NT")*6+($AN21:$AQ21="C")*10+($AN21:$AQ21="A")*8+($AN21:$AQ21="J")*5+($AN21:$AQ21="CEP")*4+($AN21:$AQ21="CP")*6+($AN21:$AQ21="CRO")*6+($AN21:$AQ21="M+")*6+($AN21:$AQ21="T+")*6+($AN21:$AQ21="D+")*12+($AN21:$AQ21="N+")*12+($AN21:$AQ21="Dm+")*12+($AN21:$AQ21="Dt+")*12+($AN21:$AQ21="Tm-")*6+($AN21:$AQ21="Mt-")*6)</f>
        <v/>
      </c>
      <c r="BC21" s="118">
        <f>BB21-MAX(0,IFERROR(INDEX(CADASTRO!$I$4:$I$80,MATCH($A21,CADASTRO!$A$4:$A$80,0)),$B21)-CONFIG!$B$50*(COUNTIF($AJ21:$AL21,"AB")+COUNTIF($AJ21:$AL21,"FE")+COUNTIF($AJ21:$AL21,"LM")+COUNTIF($AN21:$AQ21,"AB")+COUNTIF($AN21:$AQ21,"FE")+COUNTIF($AN21:$AQ21,"LM")))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ROUND(B21*4.29,0)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00" t="n"/>
      <c r="H22" s="136">
        <f>IFERROR(INDEX(AGO!AM$8:AM$73,MATCH($A22,AGO!$A$8:$A$73,0))&amp;"","")</f>
        <v/>
      </c>
      <c r="I22" s="124" t="inlineStr">
        <is>
          <t>D</t>
        </is>
      </c>
      <c r="J22" s="114" t="n"/>
      <c r="K22" s="114" t="n"/>
      <c r="L22" s="124" t="inlineStr">
        <is>
          <t>D</t>
        </is>
      </c>
      <c r="M22" s="114" t="n"/>
      <c r="N22" s="124" t="inlineStr">
        <is>
          <t>D</t>
        </is>
      </c>
      <c r="O22" s="114" t="n"/>
      <c r="P22" s="124" t="inlineStr">
        <is>
          <t>D</t>
        </is>
      </c>
      <c r="Q22" s="115" t="inlineStr">
        <is>
          <t>M</t>
        </is>
      </c>
      <c r="R22" s="114" t="n"/>
      <c r="S22" s="115" t="inlineStr">
        <is>
          <t>M</t>
        </is>
      </c>
      <c r="T22" s="114" t="n"/>
      <c r="U22" s="124" t="inlineStr">
        <is>
          <t>D</t>
        </is>
      </c>
      <c r="V22" s="114" t="n"/>
      <c r="W22" s="126" t="inlineStr">
        <is>
          <t>T</t>
        </is>
      </c>
      <c r="X22" s="114" t="n"/>
      <c r="Y22" s="125" t="inlineStr">
        <is>
          <t>N</t>
        </is>
      </c>
      <c r="Z22" s="114" t="n"/>
      <c r="AA22" s="115" t="inlineStr">
        <is>
          <t>M</t>
        </is>
      </c>
      <c r="AB22" s="124" t="inlineStr">
        <is>
          <t>D</t>
        </is>
      </c>
      <c r="AC22" s="114" t="n"/>
      <c r="AD22" s="124" t="inlineStr">
        <is>
          <t>D</t>
        </is>
      </c>
      <c r="AE22" s="124" t="inlineStr">
        <is>
          <t>D</t>
        </is>
      </c>
      <c r="AF22" s="124" t="inlineStr">
        <is>
          <t>D</t>
        </is>
      </c>
      <c r="AG22" s="114" t="n"/>
      <c r="AH22" s="114" t="n"/>
      <c r="AI22" s="114" t="n"/>
      <c r="AJ22" s="114" t="n"/>
      <c r="AK22" s="124" t="inlineStr">
        <is>
          <t>D</t>
        </is>
      </c>
      <c r="AL22" s="115" t="inlineStr">
        <is>
          <t>M</t>
        </is>
      </c>
      <c r="AM22" s="100" t="n"/>
      <c r="AN22" s="136">
        <f>IFERROR(INDEX(OUT!I$8:I$73,MATCH($A22,OUT!$A$8:$A$73,0))&amp;"","")</f>
        <v/>
      </c>
      <c r="AO22" s="136">
        <f>IFERROR(INDEX(OUT!J$8:J$73,MATCH($A22,OUT!$A$8:$A$73,0))&amp;"","")</f>
        <v/>
      </c>
      <c r="AP22" s="116">
        <f>IFERROR(INDEX(OUT!K$8:K$73,MATCH($A22,OUT!$A$8:$A$73,0))&amp;"","")</f>
        <v/>
      </c>
      <c r="AQ22" s="116">
        <f>IFERROR(INDEX(OUT!L$8:L$73,MATCH($A22,OUT!$A$8:$A$73,0))&amp;"","")</f>
        <v/>
      </c>
      <c r="AR22" s="100" t="n"/>
      <c r="AS22" s="100" t="n"/>
      <c r="AT22" s="117">
        <f>SUMPRODUCT(($H22:$N22="M")*6+($H22:$N22="T")*6+($H22:$N22="D")*12+($H22:$N22="N")*12+($H22:$N22="NT")*6+($H22:$N22="C")*10+($H22:$N22="A")*8+($H22:$N22="J")*5+($H22:$N22="CEP")*4+($H22:$N22="CP")*6+($H22:$N22="CRO")*6+($H22:$N22="M+")*6+($H22:$N22="T+")*6+($H22:$N22="D+")*12+($H22:$N22="N+")*12+($H22:$N22="Dm+")*12+($H22:$N22="Dt+")*12+($H22:$N22="Tm-")*6+($H22:$N22="Mt-")*6)</f>
        <v/>
      </c>
      <c r="AU22" s="118">
        <f>AT22-MAX(0,IFERROR(INDEX(CADASTRO!$I$4:$I$80,MATCH($A22,CADASTRO!$A$4:$A$80,0)),$B22)-CONFIG!$B$50*(COUNTIF($H22:$N22,"AB")+COUNTIF($H22:$N22,"FE")+COUNTIF($H22:$N22,"LM")))</f>
        <v/>
      </c>
      <c r="AV22" s="117">
        <f>SUMPRODUCT(($O22:$U22="M")*6+($O22:$U22="T")*6+($O22:$U22="D")*12+($O22:$U22="N")*12+($O22:$U22="NT")*6+($O22:$U22="C")*10+($O22:$U22="A")*8+($O22:$U22="J")*5+($O22:$U22="CEP")*4+($O22:$U22="CP")*6+($O22:$U22="CRO")*6+($O22:$U22="M+")*6+($O22:$U22="T+")*6+($O22:$U22="D+")*12+($O22:$U22="N+")*12+($O22:$U22="Dm+")*12+($O22:$U22="Dt+")*12+($O22:$U22="Tm-")*6+($O22:$U22="Mt-")*6)</f>
        <v/>
      </c>
      <c r="AW22" s="118">
        <f>AV22-MAX(0,IFERROR(INDEX(CADASTRO!$I$4:$I$80,MATCH($A22,CADASTRO!$A$4:$A$80,0)),$B22)-CONFIG!$B$50*(COUNTIF($O22:$U22,"AB")+COUNTIF($O22:$U22,"FE")+COUNTIF($O22:$U22,"LM")))</f>
        <v/>
      </c>
      <c r="AX22" s="117">
        <f>SUMPRODUCT(($V22:$AB22="M")*6+($V22:$AB22="T")*6+($V22:$AB22="D")*12+($V22:$AB22="N")*12+($V22:$AB22="NT")*6+($V22:$AB22="C")*10+($V22:$AB22="A")*8+($V22:$AB22="J")*5+($V22:$AB22="CEP")*4+($V22:$AB22="CP")*6+($V22:$AB22="CRO")*6+($V22:$AB22="M+")*6+($V22:$AB22="T+")*6+($V22:$AB22="D+")*12+($V22:$AB22="N+")*12+($V22:$AB22="Dm+")*12+($V22:$AB22="Dt+")*12+($V22:$AB22="Tm-")*6+($V22:$AB22="Mt-")*6)</f>
        <v/>
      </c>
      <c r="AY22" s="118">
        <f>AX22-MAX(0,IFERROR(INDEX(CADASTRO!$I$4:$I$80,MATCH($A22,CADASTRO!$A$4:$A$80,0)),$B22)-CONFIG!$B$50*(COUNTIF($V22:$AB22,"AB")+COUNTIF($V22:$AB22,"FE")+COUNTIF($V22:$AB22,"LM")))</f>
        <v/>
      </c>
      <c r="AZ22" s="117">
        <f>SUMPRODUCT(($AC22:$AI22="M")*6+($AC22:$AI22="T")*6+($AC22:$AI22="D")*12+($AC22:$AI22="N")*12+($AC22:$AI22="NT")*6+($AC22:$AI22="C")*10+($AC22:$AI22="A")*8+($AC22:$AI22="J")*5+($AC22:$AI22="CEP")*4+($AC22:$AI22="CP")*6+($AC22:$AI22="CRO")*6+($AC22:$AI22="M+")*6+($AC22:$AI22="T+")*6+($AC22:$AI22="D+")*12+($AC22:$AI22="N+")*12+($AC22:$AI22="Dm+")*12+($AC22:$AI22="Dt+")*12+($AC22:$AI22="Tm-")*6+($AC22:$AI22="Mt-")*6)</f>
        <v/>
      </c>
      <c r="BA22" s="118">
        <f>AZ22-MAX(0,IFERROR(INDEX(CADASTRO!$I$4:$I$80,MATCH($A22,CADASTRO!$A$4:$A$80,0)),$B22)-CONFIG!$B$50*(COUNTIF($AC22:$AI22,"AB")+COUNTIF($AC22:$AI22,"FE")+COUNTIF($AC22:$AI22,"LM")))</f>
        <v/>
      </c>
      <c r="BB22" s="117">
        <f>SUMPRODUCT(($AJ22:$AL22="M")*6+($AJ22:$AL22="T")*6+($AJ22:$AL22="D")*12+($AJ22:$AL22="N")*12+($AJ22:$AL22="NT")*6+($AJ22:$AL22="C")*10+($AJ22:$AL22="A")*8+($AJ22:$AL22="J")*5+($AJ22:$AL22="CEP")*4+($AJ22:$AL22="CP")*6+($AJ22:$AL22="CRO")*6+($AJ22:$AL22="M+")*6+($AJ22:$AL22="T+")*6+($AJ22:$AL22="D+")*12+($AJ22:$AL22="N+")*12+($AJ22:$AL22="Dm+")*12+($AJ22:$AL22="Dt+")*12+($AJ22:$AL22="Tm-")*6+($AJ22:$AL22="Mt-")*6)+SUMPRODUCT(($AN22:$AQ22="M")*6+($AN22:$AQ22="T")*6+($AN22:$AQ22="D")*12+($AN22:$AQ22="N")*12+($AN22:$AQ22="NT")*6+($AN22:$AQ22="C")*10+($AN22:$AQ22="A")*8+($AN22:$AQ22="J")*5+($AN22:$AQ22="CEP")*4+($AN22:$AQ22="CP")*6+($AN22:$AQ22="CRO")*6+($AN22:$AQ22="M+")*6+($AN22:$AQ22="T+")*6+($AN22:$AQ22="D+")*12+($AN22:$AQ22="N+")*12+($AN22:$AQ22="Dm+")*12+($AN22:$AQ22="Dt+")*12+($AN22:$AQ22="Tm-")*6+($AN22:$AQ22="Mt-")*6)</f>
        <v/>
      </c>
      <c r="BC22" s="118">
        <f>BB22-MAX(0,IFERROR(INDEX(CADASTRO!$I$4:$I$80,MATCH($A22,CADASTRO!$A$4:$A$80,0)),$B22)-CONFIG!$B$50*(COUNTIF($AJ22:$AL22,"AB")+COUNTIF($AJ22:$AL22,"FE")+COUNTIF($AJ22:$AL22,"LM")+COUNTIF($AN22:$AQ22,"AB")+COUNTIF($AN22:$AQ22,"FE")+COUNTIF($AN22:$AQ22,"LM")))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ROUND(B22*4.29,0)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00" t="n"/>
      <c r="H23" s="136">
        <f>IFERROR(INDEX(AGO!AM$8:AM$73,MATCH($A23,AGO!$A$8:$A$73,0))&amp;"","")</f>
        <v/>
      </c>
      <c r="I23" s="114" t="n"/>
      <c r="J23" s="114" t="n"/>
      <c r="K23" s="124" t="inlineStr">
        <is>
          <t>D</t>
        </is>
      </c>
      <c r="L23" s="114" t="n"/>
      <c r="M23" s="124" t="inlineStr">
        <is>
          <t>D</t>
        </is>
      </c>
      <c r="N23" s="114" t="n"/>
      <c r="O23" s="114" t="n"/>
      <c r="P23" s="123" t="inlineStr">
        <is>
          <t>D+</t>
        </is>
      </c>
      <c r="Q23" s="114" t="n"/>
      <c r="R23" s="124" t="inlineStr">
        <is>
          <t>D</t>
        </is>
      </c>
      <c r="S23" s="114" t="n"/>
      <c r="T23" s="124" t="inlineStr">
        <is>
          <t>D</t>
        </is>
      </c>
      <c r="U23" s="124" t="inlineStr">
        <is>
          <t>D</t>
        </is>
      </c>
      <c r="V23" s="127" t="inlineStr">
        <is>
          <t>D-</t>
        </is>
      </c>
      <c r="W23" s="124" t="inlineStr">
        <is>
          <t>D</t>
        </is>
      </c>
      <c r="X23" s="114" t="n"/>
      <c r="Y23" s="124" t="inlineStr">
        <is>
          <t>D</t>
        </is>
      </c>
      <c r="Z23" s="114" t="n"/>
      <c r="AA23" s="114" t="n"/>
      <c r="AB23" s="114" t="n"/>
      <c r="AC23" s="124" t="inlineStr">
        <is>
          <t>D</t>
        </is>
      </c>
      <c r="AD23" s="124" t="inlineStr">
        <is>
          <t>D</t>
        </is>
      </c>
      <c r="AE23" s="114" t="n"/>
      <c r="AF23" s="124" t="inlineStr">
        <is>
          <t>D</t>
        </is>
      </c>
      <c r="AG23" s="114" t="n"/>
      <c r="AH23" s="114" t="n"/>
      <c r="AI23" s="114" t="n"/>
      <c r="AJ23" s="124" t="inlineStr">
        <is>
          <t>D</t>
        </is>
      </c>
      <c r="AK23" s="114" t="n"/>
      <c r="AL23" s="114" t="n"/>
      <c r="AM23" s="100" t="n"/>
      <c r="AN23" s="136">
        <f>IFERROR(INDEX(OUT!I$8:I$73,MATCH($A23,OUT!$A$8:$A$73,0))&amp;"","")</f>
        <v/>
      </c>
      <c r="AO23" s="136">
        <f>IFERROR(INDEX(OUT!J$8:J$73,MATCH($A23,OUT!$A$8:$A$73,0))&amp;"","")</f>
        <v/>
      </c>
      <c r="AP23" s="116">
        <f>IFERROR(INDEX(OUT!K$8:K$73,MATCH($A23,OUT!$A$8:$A$73,0))&amp;"","")</f>
        <v/>
      </c>
      <c r="AQ23" s="116">
        <f>IFERROR(INDEX(OUT!L$8:L$73,MATCH($A23,OUT!$A$8:$A$73,0))&amp;"","")</f>
        <v/>
      </c>
      <c r="AR23" s="100" t="n"/>
      <c r="AS23" s="100" t="n"/>
      <c r="AT23" s="117">
        <f>SUMPRODUCT(($H23:$N23="M")*6+($H23:$N23="T")*6+($H23:$N23="D")*12+($H23:$N23="N")*12+($H23:$N23="NT")*6+($H23:$N23="C")*10+($H23:$N23="A")*8+($H23:$N23="J")*5+($H23:$N23="CEP")*4+($H23:$N23="CP")*6+($H23:$N23="CRO")*6+($H23:$N23="M+")*6+($H23:$N23="T+")*6+($H23:$N23="D+")*12+($H23:$N23="N+")*12+($H23:$N23="Dm+")*12+($H23:$N23="Dt+")*12+($H23:$N23="Tm-")*6+($H23:$N23="Mt-")*6)</f>
        <v/>
      </c>
      <c r="AU23" s="118">
        <f>AT23-MAX(0,IFERROR(INDEX(CADASTRO!$I$4:$I$80,MATCH($A23,CADASTRO!$A$4:$A$80,0)),$B23)-CONFIG!$B$50*(COUNTIF($H23:$N23,"AB")+COUNTIF($H23:$N23,"FE")+COUNTIF($H23:$N23,"LM")))</f>
        <v/>
      </c>
      <c r="AV23" s="117">
        <f>SUMPRODUCT(($O23:$U23="M")*6+($O23:$U23="T")*6+($O23:$U23="D")*12+($O23:$U23="N")*12+($O23:$U23="NT")*6+($O23:$U23="C")*10+($O23:$U23="A")*8+($O23:$U23="J")*5+($O23:$U23="CEP")*4+($O23:$U23="CP")*6+($O23:$U23="CRO")*6+($O23:$U23="M+")*6+($O23:$U23="T+")*6+($O23:$U23="D+")*12+($O23:$U23="N+")*12+($O23:$U23="Dm+")*12+($O23:$U23="Dt+")*12+($O23:$U23="Tm-")*6+($O23:$U23="Mt-")*6)</f>
        <v/>
      </c>
      <c r="AW23" s="118">
        <f>AV23-MAX(0,IFERROR(INDEX(CADASTRO!$I$4:$I$80,MATCH($A23,CADASTRO!$A$4:$A$80,0)),$B23)-CONFIG!$B$50*(COUNTIF($O23:$U23,"AB")+COUNTIF($O23:$U23,"FE")+COUNTIF($O23:$U23,"LM")))</f>
        <v/>
      </c>
      <c r="AX23" s="117">
        <f>SUMPRODUCT(($V23:$AB23="M")*6+($V23:$AB23="T")*6+($V23:$AB23="D")*12+($V23:$AB23="N")*12+($V23:$AB23="NT")*6+($V23:$AB23="C")*10+($V23:$AB23="A")*8+($V23:$AB23="J")*5+($V23:$AB23="CEP")*4+($V23:$AB23="CP")*6+($V23:$AB23="CRO")*6+($V23:$AB23="M+")*6+($V23:$AB23="T+")*6+($V23:$AB23="D+")*12+($V23:$AB23="N+")*12+($V23:$AB23="Dm+")*12+($V23:$AB23="Dt+")*12+($V23:$AB23="Tm-")*6+($V23:$AB23="Mt-")*6)</f>
        <v/>
      </c>
      <c r="AY23" s="118">
        <f>AX23-MAX(0,IFERROR(INDEX(CADASTRO!$I$4:$I$80,MATCH($A23,CADASTRO!$A$4:$A$80,0)),$B23)-CONFIG!$B$50*(COUNTIF($V23:$AB23,"AB")+COUNTIF($V23:$AB23,"FE")+COUNTIF($V23:$AB23,"LM")))</f>
        <v/>
      </c>
      <c r="AZ23" s="117">
        <f>SUMPRODUCT(($AC23:$AI23="M")*6+($AC23:$AI23="T")*6+($AC23:$AI23="D")*12+($AC23:$AI23="N")*12+($AC23:$AI23="NT")*6+($AC23:$AI23="C")*10+($AC23:$AI23="A")*8+($AC23:$AI23="J")*5+($AC23:$AI23="CEP")*4+($AC23:$AI23="CP")*6+($AC23:$AI23="CRO")*6+($AC23:$AI23="M+")*6+($AC23:$AI23="T+")*6+($AC23:$AI23="D+")*12+($AC23:$AI23="N+")*12+($AC23:$AI23="Dm+")*12+($AC23:$AI23="Dt+")*12+($AC23:$AI23="Tm-")*6+($AC23:$AI23="Mt-")*6)</f>
        <v/>
      </c>
      <c r="BA23" s="118">
        <f>AZ23-MAX(0,IFERROR(INDEX(CADASTRO!$I$4:$I$80,MATCH($A23,CADASTRO!$A$4:$A$80,0)),$B23)-CONFIG!$B$50*(COUNTIF($AC23:$AI23,"AB")+COUNTIF($AC23:$AI23,"FE")+COUNTIF($AC23:$AI23,"LM")))</f>
        <v/>
      </c>
      <c r="BB23" s="117">
        <f>SUMPRODUCT(($AJ23:$AL23="M")*6+($AJ23:$AL23="T")*6+($AJ23:$AL23="D")*12+($AJ23:$AL23="N")*12+($AJ23:$AL23="NT")*6+($AJ23:$AL23="C")*10+($AJ23:$AL23="A")*8+($AJ23:$AL23="J")*5+($AJ23:$AL23="CEP")*4+($AJ23:$AL23="CP")*6+($AJ23:$AL23="CRO")*6+($AJ23:$AL23="M+")*6+($AJ23:$AL23="T+")*6+($AJ23:$AL23="D+")*12+($AJ23:$AL23="N+")*12+($AJ23:$AL23="Dm+")*12+($AJ23:$AL23="Dt+")*12+($AJ23:$AL23="Tm-")*6+($AJ23:$AL23="Mt-")*6)+SUMPRODUCT(($AN23:$AQ23="M")*6+($AN23:$AQ23="T")*6+($AN23:$AQ23="D")*12+($AN23:$AQ23="N")*12+($AN23:$AQ23="NT")*6+($AN23:$AQ23="C")*10+($AN23:$AQ23="A")*8+($AN23:$AQ23="J")*5+($AN23:$AQ23="CEP")*4+($AN23:$AQ23="CP")*6+($AN23:$AQ23="CRO")*6+($AN23:$AQ23="M+")*6+($AN23:$AQ23="T+")*6+($AN23:$AQ23="D+")*12+($AN23:$AQ23="N+")*12+($AN23:$AQ23="Dm+")*12+($AN23:$AQ23="Dt+")*12+($AN23:$AQ23="Tm-")*6+($AN23:$AQ23="Mt-")*6)</f>
        <v/>
      </c>
      <c r="BC23" s="118">
        <f>BB23-MAX(0,IFERROR(INDEX(CADASTRO!$I$4:$I$80,MATCH($A23,CADASTRO!$A$4:$A$80,0)),$B23)-CONFIG!$B$50*(COUNTIF($AJ23:$AL23,"AB")+COUNTIF($AJ23:$AL23,"FE")+COUNTIF($AJ23:$AL23,"LM")+COUNTIF($AN23:$AQ23,"AB")+COUNTIF($AN23:$AQ23,"FE")+COUNTIF($AN23:$AQ23,"LM")))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ROUND(B23*4.29,0)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00" t="n"/>
      <c r="H24" s="136">
        <f>IFERROR(INDEX(AGO!AM$8:AM$73,MATCH($A24,AGO!$A$8:$A$73,0))&amp;"","")</f>
        <v/>
      </c>
      <c r="I24" s="124" t="inlineStr">
        <is>
          <t>D</t>
        </is>
      </c>
      <c r="J24" s="114" t="n"/>
      <c r="K24" s="114" t="n"/>
      <c r="L24" s="114" t="n"/>
      <c r="M24" s="125" t="inlineStr">
        <is>
          <t>N</t>
        </is>
      </c>
      <c r="N24" s="114" t="n"/>
      <c r="O24" s="114" t="n"/>
      <c r="P24" s="124" t="inlineStr">
        <is>
          <t>D</t>
        </is>
      </c>
      <c r="Q24" s="124" t="inlineStr">
        <is>
          <t>D</t>
        </is>
      </c>
      <c r="R24" s="124" t="inlineStr">
        <is>
          <t>D</t>
        </is>
      </c>
      <c r="S24" s="114" t="n"/>
      <c r="T24" s="114" t="n"/>
      <c r="U24" s="114" t="n"/>
      <c r="V24" s="114" t="n"/>
      <c r="W24" s="124" t="inlineStr">
        <is>
          <t>D</t>
        </is>
      </c>
      <c r="X24" s="114" t="n"/>
      <c r="Y24" s="125" t="inlineStr">
        <is>
          <t>N</t>
        </is>
      </c>
      <c r="Z24" s="114" t="n"/>
      <c r="AA24" s="125" t="inlineStr">
        <is>
          <t>N</t>
        </is>
      </c>
      <c r="AB24" s="114" t="n"/>
      <c r="AC24" s="114" t="n"/>
      <c r="AD24" s="124" t="inlineStr">
        <is>
          <t>D</t>
        </is>
      </c>
      <c r="AE24" s="114" t="n"/>
      <c r="AF24" s="126" t="inlineStr">
        <is>
          <t>T</t>
        </is>
      </c>
      <c r="AG24" s="115" t="inlineStr">
        <is>
          <t>M</t>
        </is>
      </c>
      <c r="AH24" s="125" t="inlineStr">
        <is>
          <t>N</t>
        </is>
      </c>
      <c r="AI24" s="114" t="n"/>
      <c r="AJ24" s="114" t="n"/>
      <c r="AK24" s="124" t="inlineStr">
        <is>
          <t>D</t>
        </is>
      </c>
      <c r="AL24" s="114" t="n"/>
      <c r="AM24" s="100" t="n"/>
      <c r="AN24" s="136">
        <f>IFERROR(INDEX(OUT!I$8:I$73,MATCH($A24,OUT!$A$8:$A$73,0))&amp;"","")</f>
        <v/>
      </c>
      <c r="AO24" s="136">
        <f>IFERROR(INDEX(OUT!J$8:J$73,MATCH($A24,OUT!$A$8:$A$73,0))&amp;"","")</f>
        <v/>
      </c>
      <c r="AP24" s="116">
        <f>IFERROR(INDEX(OUT!K$8:K$73,MATCH($A24,OUT!$A$8:$A$73,0))&amp;"","")</f>
        <v/>
      </c>
      <c r="AQ24" s="116">
        <f>IFERROR(INDEX(OUT!L$8:L$73,MATCH($A24,OUT!$A$8:$A$73,0))&amp;"","")</f>
        <v/>
      </c>
      <c r="AR24" s="100" t="n"/>
      <c r="AS24" s="100" t="n"/>
      <c r="AT24" s="117">
        <f>SUMPRODUCT(($H24:$N24="M")*6+($H24:$N24="T")*6+($H24:$N24="D")*12+($H24:$N24="N")*12+($H24:$N24="NT")*6+($H24:$N24="C")*10+($H24:$N24="A")*8+($H24:$N24="J")*5+($H24:$N24="CEP")*4+($H24:$N24="CP")*6+($H24:$N24="CRO")*6+($H24:$N24="M+")*6+($H24:$N24="T+")*6+($H24:$N24="D+")*12+($H24:$N24="N+")*12+($H24:$N24="Dm+")*12+($H24:$N24="Dt+")*12+($H24:$N24="Tm-")*6+($H24:$N24="Mt-")*6)</f>
        <v/>
      </c>
      <c r="AU24" s="118">
        <f>AT24-MAX(0,IFERROR(INDEX(CADASTRO!$I$4:$I$80,MATCH($A24,CADASTRO!$A$4:$A$80,0)),$B24)-CONFIG!$B$50*(COUNTIF($H24:$N24,"AB")+COUNTIF($H24:$N24,"FE")+COUNTIF($H24:$N24,"LM")))</f>
        <v/>
      </c>
      <c r="AV24" s="117">
        <f>SUMPRODUCT(($O24:$U24="M")*6+($O24:$U24="T")*6+($O24:$U24="D")*12+($O24:$U24="N")*12+($O24:$U24="NT")*6+($O24:$U24="C")*10+($O24:$U24="A")*8+($O24:$U24="J")*5+($O24:$U24="CEP")*4+($O24:$U24="CP")*6+($O24:$U24="CRO")*6+($O24:$U24="M+")*6+($O24:$U24="T+")*6+($O24:$U24="D+")*12+($O24:$U24="N+")*12+($O24:$U24="Dm+")*12+($O24:$U24="Dt+")*12+($O24:$U24="Tm-")*6+($O24:$U24="Mt-")*6)</f>
        <v/>
      </c>
      <c r="AW24" s="118">
        <f>AV24-MAX(0,IFERROR(INDEX(CADASTRO!$I$4:$I$80,MATCH($A24,CADASTRO!$A$4:$A$80,0)),$B24)-CONFIG!$B$50*(COUNTIF($O24:$U24,"AB")+COUNTIF($O24:$U24,"FE")+COUNTIF($O24:$U24,"LM")))</f>
        <v/>
      </c>
      <c r="AX24" s="117">
        <f>SUMPRODUCT(($V24:$AB24="M")*6+($V24:$AB24="T")*6+($V24:$AB24="D")*12+($V24:$AB24="N")*12+($V24:$AB24="NT")*6+($V24:$AB24="C")*10+($V24:$AB24="A")*8+($V24:$AB24="J")*5+($V24:$AB24="CEP")*4+($V24:$AB24="CP")*6+($V24:$AB24="CRO")*6+($V24:$AB24="M+")*6+($V24:$AB24="T+")*6+($V24:$AB24="D+")*12+($V24:$AB24="N+")*12+($V24:$AB24="Dm+")*12+($V24:$AB24="Dt+")*12+($V24:$AB24="Tm-")*6+($V24:$AB24="Mt-")*6)</f>
        <v/>
      </c>
      <c r="AY24" s="118">
        <f>AX24-MAX(0,IFERROR(INDEX(CADASTRO!$I$4:$I$80,MATCH($A24,CADASTRO!$A$4:$A$80,0)),$B24)-CONFIG!$B$50*(COUNTIF($V24:$AB24,"AB")+COUNTIF($V24:$AB24,"FE")+COUNTIF($V24:$AB24,"LM")))</f>
        <v/>
      </c>
      <c r="AZ24" s="117">
        <f>SUMPRODUCT(($AC24:$AI24="M")*6+($AC24:$AI24="T")*6+($AC24:$AI24="D")*12+($AC24:$AI24="N")*12+($AC24:$AI24="NT")*6+($AC24:$AI24="C")*10+($AC24:$AI24="A")*8+($AC24:$AI24="J")*5+($AC24:$AI24="CEP")*4+($AC24:$AI24="CP")*6+($AC24:$AI24="CRO")*6+($AC24:$AI24="M+")*6+($AC24:$AI24="T+")*6+($AC24:$AI24="D+")*12+($AC24:$AI24="N+")*12+($AC24:$AI24="Dm+")*12+($AC24:$AI24="Dt+")*12+($AC24:$AI24="Tm-")*6+($AC24:$AI24="Mt-")*6)</f>
        <v/>
      </c>
      <c r="BA24" s="118">
        <f>AZ24-MAX(0,IFERROR(INDEX(CADASTRO!$I$4:$I$80,MATCH($A24,CADASTRO!$A$4:$A$80,0)),$B24)-CONFIG!$B$50*(COUNTIF($AC24:$AI24,"AB")+COUNTIF($AC24:$AI24,"FE")+COUNTIF($AC24:$AI24,"LM")))</f>
        <v/>
      </c>
      <c r="BB24" s="117">
        <f>SUMPRODUCT(($AJ24:$AL24="M")*6+($AJ24:$AL24="T")*6+($AJ24:$AL24="D")*12+($AJ24:$AL24="N")*12+($AJ24:$AL24="NT")*6+($AJ24:$AL24="C")*10+($AJ24:$AL24="A")*8+($AJ24:$AL24="J")*5+($AJ24:$AL24="CEP")*4+($AJ24:$AL24="CP")*6+($AJ24:$AL24="CRO")*6+($AJ24:$AL24="M+")*6+($AJ24:$AL24="T+")*6+($AJ24:$AL24="D+")*12+($AJ24:$AL24="N+")*12+($AJ24:$AL24="Dm+")*12+($AJ24:$AL24="Dt+")*12+($AJ24:$AL24="Tm-")*6+($AJ24:$AL24="Mt-")*6)+SUMPRODUCT(($AN24:$AQ24="M")*6+($AN24:$AQ24="T")*6+($AN24:$AQ24="D")*12+($AN24:$AQ24="N")*12+($AN24:$AQ24="NT")*6+($AN24:$AQ24="C")*10+($AN24:$AQ24="A")*8+($AN24:$AQ24="J")*5+($AN24:$AQ24="CEP")*4+($AN24:$AQ24="CP")*6+($AN24:$AQ24="CRO")*6+($AN24:$AQ24="M+")*6+($AN24:$AQ24="T+")*6+($AN24:$AQ24="D+")*12+($AN24:$AQ24="N+")*12+($AN24:$AQ24="Dm+")*12+($AN24:$AQ24="Dt+")*12+($AN24:$AQ24="Tm-")*6+($AN24:$AQ24="Mt-")*6)</f>
        <v/>
      </c>
      <c r="BC24" s="118">
        <f>BB24-MAX(0,IFERROR(INDEX(CADASTRO!$I$4:$I$80,MATCH($A24,CADASTRO!$A$4:$A$80,0)),$B24)-CONFIG!$B$50*(COUNTIF($AJ24:$AL24,"AB")+COUNTIF($AJ24:$AL24,"FE")+COUNTIF($AJ24:$AL24,"LM")+COUNTIF($AN24:$AQ24,"AB")+COUNTIF($AN24:$AQ24,"FE")+COUNTIF($AN24:$AQ24,"LM")))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ROUND(B24*4.29,0)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00" t="n"/>
      <c r="H25" s="136">
        <f>IFERROR(INDEX(AGO!AM$8:AM$73,MATCH($A25,AGO!$A$8:$A$73,0))&amp;"","")</f>
        <v/>
      </c>
      <c r="I25" s="125" t="inlineStr">
        <is>
          <t>N</t>
        </is>
      </c>
      <c r="J25" s="125" t="inlineStr">
        <is>
          <t>N</t>
        </is>
      </c>
      <c r="K25" s="114" t="n"/>
      <c r="L25" s="114" t="n"/>
      <c r="M25" s="114" t="n"/>
      <c r="N25" s="125" t="inlineStr">
        <is>
          <t>N</t>
        </is>
      </c>
      <c r="O25" s="114" t="n"/>
      <c r="P25" s="125" t="inlineStr">
        <is>
          <t>N</t>
        </is>
      </c>
      <c r="Q25" s="125" t="inlineStr">
        <is>
          <t>N</t>
        </is>
      </c>
      <c r="R25" s="114" t="n"/>
      <c r="S25" s="114" t="n"/>
      <c r="T25" s="114" t="n"/>
      <c r="U25" s="125" t="inlineStr">
        <is>
          <t>N</t>
        </is>
      </c>
      <c r="V25" s="125" t="inlineStr">
        <is>
          <t>N</t>
        </is>
      </c>
      <c r="W25" s="125" t="inlineStr">
        <is>
          <t>N</t>
        </is>
      </c>
      <c r="X25" s="125" t="inlineStr">
        <is>
          <t>N</t>
        </is>
      </c>
      <c r="Y25" s="114" t="n"/>
      <c r="Z25" s="114" t="n"/>
      <c r="AA25" s="114" t="n"/>
      <c r="AB25" s="114" t="n"/>
      <c r="AC25" s="125" t="inlineStr">
        <is>
          <t>N</t>
        </is>
      </c>
      <c r="AD25" s="114" t="n"/>
      <c r="AE25" s="125" t="inlineStr">
        <is>
          <t>N</t>
        </is>
      </c>
      <c r="AF25" s="114" t="n"/>
      <c r="AG25" s="114" t="n"/>
      <c r="AH25" s="114" t="n"/>
      <c r="AI25" s="125" t="inlineStr">
        <is>
          <t>N</t>
        </is>
      </c>
      <c r="AJ25" s="125" t="inlineStr">
        <is>
          <t>N</t>
        </is>
      </c>
      <c r="AK25" s="125" t="inlineStr">
        <is>
          <t>N</t>
        </is>
      </c>
      <c r="AL25" s="125" t="inlineStr">
        <is>
          <t>N</t>
        </is>
      </c>
      <c r="AM25" s="100" t="n"/>
      <c r="AN25" s="136">
        <f>IFERROR(INDEX(OUT!I$8:I$73,MATCH($A25,OUT!$A$8:$A$73,0))&amp;"","")</f>
        <v/>
      </c>
      <c r="AO25" s="136">
        <f>IFERROR(INDEX(OUT!J$8:J$73,MATCH($A25,OUT!$A$8:$A$73,0))&amp;"","")</f>
        <v/>
      </c>
      <c r="AP25" s="116">
        <f>IFERROR(INDEX(OUT!K$8:K$73,MATCH($A25,OUT!$A$8:$A$73,0))&amp;"","")</f>
        <v/>
      </c>
      <c r="AQ25" s="116">
        <f>IFERROR(INDEX(OUT!L$8:L$73,MATCH($A25,OUT!$A$8:$A$73,0))&amp;"","")</f>
        <v/>
      </c>
      <c r="AR25" s="100" t="n"/>
      <c r="AS25" s="100" t="n"/>
      <c r="AT25" s="117">
        <f>SUMPRODUCT(($H25:$N25="M")*6+($H25:$N25="T")*6+($H25:$N25="D")*12+($H25:$N25="N")*12+($H25:$N25="NT")*6+($H25:$N25="C")*10+($H25:$N25="A")*8+($H25:$N25="J")*5+($H25:$N25="CEP")*4+($H25:$N25="CP")*6+($H25:$N25="CRO")*6+($H25:$N25="M+")*6+($H25:$N25="T+")*6+($H25:$N25="D+")*12+($H25:$N25="N+")*12+($H25:$N25="Dm+")*12+($H25:$N25="Dt+")*12+($H25:$N25="Tm-")*6+($H25:$N25="Mt-")*6)</f>
        <v/>
      </c>
      <c r="AU25" s="118">
        <f>AT25-MAX(0,IFERROR(INDEX(CADASTRO!$I$4:$I$80,MATCH($A25,CADASTRO!$A$4:$A$80,0)),$B25)-CONFIG!$B$50*(COUNTIF($H25:$N25,"AB")+COUNTIF($H25:$N25,"FE")+COUNTIF($H25:$N25,"LM")))</f>
        <v/>
      </c>
      <c r="AV25" s="117">
        <f>SUMPRODUCT(($O25:$U25="M")*6+($O25:$U25="T")*6+($O25:$U25="D")*12+($O25:$U25="N")*12+($O25:$U25="NT")*6+($O25:$U25="C")*10+($O25:$U25="A")*8+($O25:$U25="J")*5+($O25:$U25="CEP")*4+($O25:$U25="CP")*6+($O25:$U25="CRO")*6+($O25:$U25="M+")*6+($O25:$U25="T+")*6+($O25:$U25="D+")*12+($O25:$U25="N+")*12+($O25:$U25="Dm+")*12+($O25:$U25="Dt+")*12+($O25:$U25="Tm-")*6+($O25:$U25="Mt-")*6)</f>
        <v/>
      </c>
      <c r="AW25" s="118">
        <f>AV25-MAX(0,IFERROR(INDEX(CADASTRO!$I$4:$I$80,MATCH($A25,CADASTRO!$A$4:$A$80,0)),$B25)-CONFIG!$B$50*(COUNTIF($O25:$U25,"AB")+COUNTIF($O25:$U25,"FE")+COUNTIF($O25:$U25,"LM")))</f>
        <v/>
      </c>
      <c r="AX25" s="117">
        <f>SUMPRODUCT(($V25:$AB25="M")*6+($V25:$AB25="T")*6+($V25:$AB25="D")*12+($V25:$AB25="N")*12+($V25:$AB25="NT")*6+($V25:$AB25="C")*10+($V25:$AB25="A")*8+($V25:$AB25="J")*5+($V25:$AB25="CEP")*4+($V25:$AB25="CP")*6+($V25:$AB25="CRO")*6+($V25:$AB25="M+")*6+($V25:$AB25="T+")*6+($V25:$AB25="D+")*12+($V25:$AB25="N+")*12+($V25:$AB25="Dm+")*12+($V25:$AB25="Dt+")*12+($V25:$AB25="Tm-")*6+($V25:$AB25="Mt-")*6)</f>
        <v/>
      </c>
      <c r="AY25" s="118">
        <f>AX25-MAX(0,IFERROR(INDEX(CADASTRO!$I$4:$I$80,MATCH($A25,CADASTRO!$A$4:$A$80,0)),$B25)-CONFIG!$B$50*(COUNTIF($V25:$AB25,"AB")+COUNTIF($V25:$AB25,"FE")+COUNTIF($V25:$AB25,"LM")))</f>
        <v/>
      </c>
      <c r="AZ25" s="117">
        <f>SUMPRODUCT(($AC25:$AI25="M")*6+($AC25:$AI25="T")*6+($AC25:$AI25="D")*12+($AC25:$AI25="N")*12+($AC25:$AI25="NT")*6+($AC25:$AI25="C")*10+($AC25:$AI25="A")*8+($AC25:$AI25="J")*5+($AC25:$AI25="CEP")*4+($AC25:$AI25="CP")*6+($AC25:$AI25="CRO")*6+($AC25:$AI25="M+")*6+($AC25:$AI25="T+")*6+($AC25:$AI25="D+")*12+($AC25:$AI25="N+")*12+($AC25:$AI25="Dm+")*12+($AC25:$AI25="Dt+")*12+($AC25:$AI25="Tm-")*6+($AC25:$AI25="Mt-")*6)</f>
        <v/>
      </c>
      <c r="BA25" s="118">
        <f>AZ25-MAX(0,IFERROR(INDEX(CADASTRO!$I$4:$I$80,MATCH($A25,CADASTRO!$A$4:$A$80,0)),$B25)-CONFIG!$B$50*(COUNTIF($AC25:$AI25,"AB")+COUNTIF($AC25:$AI25,"FE")+COUNTIF($AC25:$AI25,"LM")))</f>
        <v/>
      </c>
      <c r="BB25" s="117">
        <f>SUMPRODUCT(($AJ25:$AL25="M")*6+($AJ25:$AL25="T")*6+($AJ25:$AL25="D")*12+($AJ25:$AL25="N")*12+($AJ25:$AL25="NT")*6+($AJ25:$AL25="C")*10+($AJ25:$AL25="A")*8+($AJ25:$AL25="J")*5+($AJ25:$AL25="CEP")*4+($AJ25:$AL25="CP")*6+($AJ25:$AL25="CRO")*6+($AJ25:$AL25="M+")*6+($AJ25:$AL25="T+")*6+($AJ25:$AL25="D+")*12+($AJ25:$AL25="N+")*12+($AJ25:$AL25="Dm+")*12+($AJ25:$AL25="Dt+")*12+($AJ25:$AL25="Tm-")*6+($AJ25:$AL25="Mt-")*6)+SUMPRODUCT(($AN25:$AQ25="M")*6+($AN25:$AQ25="T")*6+($AN25:$AQ25="D")*12+($AN25:$AQ25="N")*12+($AN25:$AQ25="NT")*6+($AN25:$AQ25="C")*10+($AN25:$AQ25="A")*8+($AN25:$AQ25="J")*5+($AN25:$AQ25="CEP")*4+($AN25:$AQ25="CP")*6+($AN25:$AQ25="CRO")*6+($AN25:$AQ25="M+")*6+($AN25:$AQ25="T+")*6+($AN25:$AQ25="D+")*12+($AN25:$AQ25="N+")*12+($AN25:$AQ25="Dm+")*12+($AN25:$AQ25="Dt+")*12+($AN25:$AQ25="Tm-")*6+($AN25:$AQ25="Mt-")*6)</f>
        <v/>
      </c>
      <c r="BC25" s="118">
        <f>BB25-MAX(0,IFERROR(INDEX(CADASTRO!$I$4:$I$80,MATCH($A25,CADASTRO!$A$4:$A$80,0)),$B25)-CONFIG!$B$50*(COUNTIF($AJ25:$AL25,"AB")+COUNTIF($AJ25:$AL25,"FE")+COUNTIF($AJ25:$AL25,"LM")+COUNTIF($AN25:$AQ25,"AB")+COUNTIF($AN25:$AQ25,"FE")+COUNTIF($AN25:$AQ25,"LM")))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ROUND(B25*4.29,0)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00" t="n"/>
      <c r="H26" s="136">
        <f>IFERROR(INDEX(AGO!AM$8:AM$73,MATCH($A26,AGO!$A$8:$A$73,0))&amp;"","")</f>
        <v/>
      </c>
      <c r="I26" s="124" t="inlineStr">
        <is>
          <t>D</t>
        </is>
      </c>
      <c r="J26" s="125" t="inlineStr">
        <is>
          <t>N</t>
        </is>
      </c>
      <c r="K26" s="126" t="inlineStr">
        <is>
          <t>T</t>
        </is>
      </c>
      <c r="L26" s="115" t="inlineStr">
        <is>
          <t>M</t>
        </is>
      </c>
      <c r="M26" s="114" t="n"/>
      <c r="N26" s="114" t="n"/>
      <c r="O26" s="114" t="n"/>
      <c r="P26" s="125" t="inlineStr">
        <is>
          <t>N</t>
        </is>
      </c>
      <c r="Q26" s="114" t="n"/>
      <c r="R26" s="114" t="n"/>
      <c r="S26" s="124" t="inlineStr">
        <is>
          <t>D</t>
        </is>
      </c>
      <c r="T26" s="114" t="n"/>
      <c r="U26" s="125" t="inlineStr">
        <is>
          <t>N</t>
        </is>
      </c>
      <c r="V26" s="114" t="n"/>
      <c r="W26" s="114" t="n"/>
      <c r="X26" s="114" t="n"/>
      <c r="Y26" s="125" t="inlineStr">
        <is>
          <t>N</t>
        </is>
      </c>
      <c r="Z26" s="126" t="inlineStr">
        <is>
          <t>T</t>
        </is>
      </c>
      <c r="AA26" s="114" t="n"/>
      <c r="AB26" s="125" t="inlineStr">
        <is>
          <t>N</t>
        </is>
      </c>
      <c r="AC26" s="114" t="n"/>
      <c r="AD26" s="125" t="inlineStr">
        <is>
          <t>N</t>
        </is>
      </c>
      <c r="AE26" s="114" t="n"/>
      <c r="AF26" s="114" t="n"/>
      <c r="AG26" s="124" t="inlineStr">
        <is>
          <t>D</t>
        </is>
      </c>
      <c r="AH26" s="114" t="n"/>
      <c r="AI26" s="125" t="inlineStr">
        <is>
          <t>N</t>
        </is>
      </c>
      <c r="AJ26" s="114" t="n"/>
      <c r="AK26" s="125" t="inlineStr">
        <is>
          <t>N</t>
        </is>
      </c>
      <c r="AL26" s="114" t="n"/>
      <c r="AM26" s="100" t="n"/>
      <c r="AN26" s="136">
        <f>IFERROR(INDEX(OUT!I$8:I$73,MATCH($A26,OUT!$A$8:$A$73,0))&amp;"","")</f>
        <v/>
      </c>
      <c r="AO26" s="136">
        <f>IFERROR(INDEX(OUT!J$8:J$73,MATCH($A26,OUT!$A$8:$A$73,0))&amp;"","")</f>
        <v/>
      </c>
      <c r="AP26" s="116">
        <f>IFERROR(INDEX(OUT!K$8:K$73,MATCH($A26,OUT!$A$8:$A$73,0))&amp;"","")</f>
        <v/>
      </c>
      <c r="AQ26" s="116">
        <f>IFERROR(INDEX(OUT!L$8:L$73,MATCH($A26,OUT!$A$8:$A$73,0))&amp;"","")</f>
        <v/>
      </c>
      <c r="AR26" s="100" t="n"/>
      <c r="AS26" s="100" t="n"/>
      <c r="AT26" s="117">
        <f>SUMPRODUCT(($H26:$N26="M")*6+($H26:$N26="T")*6+($H26:$N26="D")*12+($H26:$N26="N")*12+($H26:$N26="NT")*6+($H26:$N26="C")*10+($H26:$N26="A")*8+($H26:$N26="J")*5+($H26:$N26="CEP")*4+($H26:$N26="CP")*6+($H26:$N26="CRO")*6+($H26:$N26="M+")*6+($H26:$N26="T+")*6+($H26:$N26="D+")*12+($H26:$N26="N+")*12+($H26:$N26="Dm+")*12+($H26:$N26="Dt+")*12+($H26:$N26="Tm-")*6+($H26:$N26="Mt-")*6)</f>
        <v/>
      </c>
      <c r="AU26" s="118">
        <f>AT26-MAX(0,IFERROR(INDEX(CADASTRO!$I$4:$I$80,MATCH($A26,CADASTRO!$A$4:$A$80,0)),$B26)-CONFIG!$B$50*(COUNTIF($H26:$N26,"AB")+COUNTIF($H26:$N26,"FE")+COUNTIF($H26:$N26,"LM")))</f>
        <v/>
      </c>
      <c r="AV26" s="117">
        <f>SUMPRODUCT(($O26:$U26="M")*6+($O26:$U26="T")*6+($O26:$U26="D")*12+($O26:$U26="N")*12+($O26:$U26="NT")*6+($O26:$U26="C")*10+($O26:$U26="A")*8+($O26:$U26="J")*5+($O26:$U26="CEP")*4+($O26:$U26="CP")*6+($O26:$U26="CRO")*6+($O26:$U26="M+")*6+($O26:$U26="T+")*6+($O26:$U26="D+")*12+($O26:$U26="N+")*12+($O26:$U26="Dm+")*12+($O26:$U26="Dt+")*12+($O26:$U26="Tm-")*6+($O26:$U26="Mt-")*6)</f>
        <v/>
      </c>
      <c r="AW26" s="118">
        <f>AV26-MAX(0,IFERROR(INDEX(CADASTRO!$I$4:$I$80,MATCH($A26,CADASTRO!$A$4:$A$80,0)),$B26)-CONFIG!$B$50*(COUNTIF($O26:$U26,"AB")+COUNTIF($O26:$U26,"FE")+COUNTIF($O26:$U26,"LM")))</f>
        <v/>
      </c>
      <c r="AX26" s="117">
        <f>SUMPRODUCT(($V26:$AB26="M")*6+($V26:$AB26="T")*6+($V26:$AB26="D")*12+($V26:$AB26="N")*12+($V26:$AB26="NT")*6+($V26:$AB26="C")*10+($V26:$AB26="A")*8+($V26:$AB26="J")*5+($V26:$AB26="CEP")*4+($V26:$AB26="CP")*6+($V26:$AB26="CRO")*6+($V26:$AB26="M+")*6+($V26:$AB26="T+")*6+($V26:$AB26="D+")*12+($V26:$AB26="N+")*12+($V26:$AB26="Dm+")*12+($V26:$AB26="Dt+")*12+($V26:$AB26="Tm-")*6+($V26:$AB26="Mt-")*6)</f>
        <v/>
      </c>
      <c r="AY26" s="118">
        <f>AX26-MAX(0,IFERROR(INDEX(CADASTRO!$I$4:$I$80,MATCH($A26,CADASTRO!$A$4:$A$80,0)),$B26)-CONFIG!$B$50*(COUNTIF($V26:$AB26,"AB")+COUNTIF($V26:$AB26,"FE")+COUNTIF($V26:$AB26,"LM")))</f>
        <v/>
      </c>
      <c r="AZ26" s="117">
        <f>SUMPRODUCT(($AC26:$AI26="M")*6+($AC26:$AI26="T")*6+($AC26:$AI26="D")*12+($AC26:$AI26="N")*12+($AC26:$AI26="NT")*6+($AC26:$AI26="C")*10+($AC26:$AI26="A")*8+($AC26:$AI26="J")*5+($AC26:$AI26="CEP")*4+($AC26:$AI26="CP")*6+($AC26:$AI26="CRO")*6+($AC26:$AI26="M+")*6+($AC26:$AI26="T+")*6+($AC26:$AI26="D+")*12+($AC26:$AI26="N+")*12+($AC26:$AI26="Dm+")*12+($AC26:$AI26="Dt+")*12+($AC26:$AI26="Tm-")*6+($AC26:$AI26="Mt-")*6)</f>
        <v/>
      </c>
      <c r="BA26" s="118">
        <f>AZ26-MAX(0,IFERROR(INDEX(CADASTRO!$I$4:$I$80,MATCH($A26,CADASTRO!$A$4:$A$80,0)),$B26)-CONFIG!$B$50*(COUNTIF($AC26:$AI26,"AB")+COUNTIF($AC26:$AI26,"FE")+COUNTIF($AC26:$AI26,"LM")))</f>
        <v/>
      </c>
      <c r="BB26" s="117">
        <f>SUMPRODUCT(($AJ26:$AL26="M")*6+($AJ26:$AL26="T")*6+($AJ26:$AL26="D")*12+($AJ26:$AL26="N")*12+($AJ26:$AL26="NT")*6+($AJ26:$AL26="C")*10+($AJ26:$AL26="A")*8+($AJ26:$AL26="J")*5+($AJ26:$AL26="CEP")*4+($AJ26:$AL26="CP")*6+($AJ26:$AL26="CRO")*6+($AJ26:$AL26="M+")*6+($AJ26:$AL26="T+")*6+($AJ26:$AL26="D+")*12+($AJ26:$AL26="N+")*12+($AJ26:$AL26="Dm+")*12+($AJ26:$AL26="Dt+")*12+($AJ26:$AL26="Tm-")*6+($AJ26:$AL26="Mt-")*6)+SUMPRODUCT(($AN26:$AQ26="M")*6+($AN26:$AQ26="T")*6+($AN26:$AQ26="D")*12+($AN26:$AQ26="N")*12+($AN26:$AQ26="NT")*6+($AN26:$AQ26="C")*10+($AN26:$AQ26="A")*8+($AN26:$AQ26="J")*5+($AN26:$AQ26="CEP")*4+($AN26:$AQ26="CP")*6+($AN26:$AQ26="CRO")*6+($AN26:$AQ26="M+")*6+($AN26:$AQ26="T+")*6+($AN26:$AQ26="D+")*12+($AN26:$AQ26="N+")*12+($AN26:$AQ26="Dm+")*12+($AN26:$AQ26="Dt+")*12+($AN26:$AQ26="Tm-")*6+($AN26:$AQ26="Mt-")*6)</f>
        <v/>
      </c>
      <c r="BC26" s="118">
        <f>BB26-MAX(0,IFERROR(INDEX(CADASTRO!$I$4:$I$80,MATCH($A26,CADASTRO!$A$4:$A$80,0)),$B26)-CONFIG!$B$50*(COUNTIF($AJ26:$AL26,"AB")+COUNTIF($AJ26:$AL26,"FE")+COUNTIF($AJ26:$AL26,"LM")+COUNTIF($AN26:$AQ26,"AB")+COUNTIF($AN26:$AQ26,"FE")+COUNTIF($AN26:$AQ26,"LM")))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ROUND(B26*4.29,0)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00" t="n"/>
      <c r="H27" s="136">
        <f>IFERROR(INDEX(AGO!AM$8:AM$73,MATCH($A27,AGO!$A$8:$A$73,0))&amp;"","")</f>
        <v/>
      </c>
      <c r="I27" s="125" t="inlineStr">
        <is>
          <t>N</t>
        </is>
      </c>
      <c r="J27" s="114" t="n"/>
      <c r="K27" s="125" t="inlineStr">
        <is>
          <t>N</t>
        </is>
      </c>
      <c r="L27" s="114" t="n"/>
      <c r="M27" s="125" t="inlineStr">
        <is>
          <t>N</t>
        </is>
      </c>
      <c r="N27" s="114" t="n"/>
      <c r="O27" s="114" t="n"/>
      <c r="P27" s="114" t="n"/>
      <c r="Q27" s="130" t="inlineStr">
        <is>
          <t>CRO</t>
        </is>
      </c>
      <c r="R27" s="125" t="inlineStr">
        <is>
          <t>N</t>
        </is>
      </c>
      <c r="S27" s="130" t="inlineStr">
        <is>
          <t>CRO</t>
        </is>
      </c>
      <c r="T27" s="125" t="inlineStr">
        <is>
          <t>N</t>
        </is>
      </c>
      <c r="U27" s="114" t="n"/>
      <c r="V27" s="114" t="n"/>
      <c r="W27" s="125" t="inlineStr">
        <is>
          <t>N</t>
        </is>
      </c>
      <c r="X27" s="114" t="n"/>
      <c r="Y27" s="125" t="inlineStr">
        <is>
          <t>N</t>
        </is>
      </c>
      <c r="Z27" s="114" t="n"/>
      <c r="AA27" s="114" t="n"/>
      <c r="AB27" s="125" t="inlineStr">
        <is>
          <t>N</t>
        </is>
      </c>
      <c r="AC27" s="114" t="n"/>
      <c r="AD27" s="125" t="inlineStr">
        <is>
          <t>N</t>
        </is>
      </c>
      <c r="AE27" s="114" t="n"/>
      <c r="AF27" s="125" t="inlineStr">
        <is>
          <t>N</t>
        </is>
      </c>
      <c r="AG27" s="114" t="n"/>
      <c r="AH27" s="125" t="inlineStr">
        <is>
          <t>N</t>
        </is>
      </c>
      <c r="AI27" s="114" t="n"/>
      <c r="AJ27" s="114" t="n"/>
      <c r="AK27" s="125" t="inlineStr">
        <is>
          <t>N</t>
        </is>
      </c>
      <c r="AL27" s="114" t="n"/>
      <c r="AM27" s="100" t="n"/>
      <c r="AN27" s="136">
        <f>IFERROR(INDEX(OUT!I$8:I$73,MATCH($A27,OUT!$A$8:$A$73,0))&amp;"","")</f>
        <v/>
      </c>
      <c r="AO27" s="136">
        <f>IFERROR(INDEX(OUT!J$8:J$73,MATCH($A27,OUT!$A$8:$A$73,0))&amp;"","")</f>
        <v/>
      </c>
      <c r="AP27" s="116">
        <f>IFERROR(INDEX(OUT!K$8:K$73,MATCH($A27,OUT!$A$8:$A$73,0))&amp;"","")</f>
        <v/>
      </c>
      <c r="AQ27" s="116">
        <f>IFERROR(INDEX(OUT!L$8:L$73,MATCH($A27,OUT!$A$8:$A$73,0))&amp;"","")</f>
        <v/>
      </c>
      <c r="AR27" s="100" t="n"/>
      <c r="AS27" s="100" t="n"/>
      <c r="AT27" s="117">
        <f>SUMPRODUCT(($H27:$N27="M")*6+($H27:$N27="T")*6+($H27:$N27="D")*12+($H27:$N27="N")*12+($H27:$N27="NT")*6+($H27:$N27="C")*10+($H27:$N27="A")*8+($H27:$N27="J")*5+($H27:$N27="CEP")*4+($H27:$N27="CP")*6+($H27:$N27="CRO")*6+($H27:$N27="M+")*6+($H27:$N27="T+")*6+($H27:$N27="D+")*12+($H27:$N27="N+")*12+($H27:$N27="Dm+")*12+($H27:$N27="Dt+")*12+($H27:$N27="Tm-")*6+($H27:$N27="Mt-")*6)</f>
        <v/>
      </c>
      <c r="AU27" s="118">
        <f>AT27-MAX(0,IFERROR(INDEX(CADASTRO!$I$4:$I$80,MATCH($A27,CADASTRO!$A$4:$A$80,0)),$B27)-CONFIG!$B$50*(COUNTIF($H27:$N27,"AB")+COUNTIF($H27:$N27,"FE")+COUNTIF($H27:$N27,"LM")))</f>
        <v/>
      </c>
      <c r="AV27" s="117">
        <f>SUMPRODUCT(($O27:$U27="M")*6+($O27:$U27="T")*6+($O27:$U27="D")*12+($O27:$U27="N")*12+($O27:$U27="NT")*6+($O27:$U27="C")*10+($O27:$U27="A")*8+($O27:$U27="J")*5+($O27:$U27="CEP")*4+($O27:$U27="CP")*6+($O27:$U27="CRO")*6+($O27:$U27="M+")*6+($O27:$U27="T+")*6+($O27:$U27="D+")*12+($O27:$U27="N+")*12+($O27:$U27="Dm+")*12+($O27:$U27="Dt+")*12+($O27:$U27="Tm-")*6+($O27:$U27="Mt-")*6)</f>
        <v/>
      </c>
      <c r="AW27" s="118">
        <f>AV27-MAX(0,IFERROR(INDEX(CADASTRO!$I$4:$I$80,MATCH($A27,CADASTRO!$A$4:$A$80,0)),$B27)-CONFIG!$B$50*(COUNTIF($O27:$U27,"AB")+COUNTIF($O27:$U27,"FE")+COUNTIF($O27:$U27,"LM")))</f>
        <v/>
      </c>
      <c r="AX27" s="117">
        <f>SUMPRODUCT(($V27:$AB27="M")*6+($V27:$AB27="T")*6+($V27:$AB27="D")*12+($V27:$AB27="N")*12+($V27:$AB27="NT")*6+($V27:$AB27="C")*10+($V27:$AB27="A")*8+($V27:$AB27="J")*5+($V27:$AB27="CEP")*4+($V27:$AB27="CP")*6+($V27:$AB27="CRO")*6+($V27:$AB27="M+")*6+($V27:$AB27="T+")*6+($V27:$AB27="D+")*12+($V27:$AB27="N+")*12+($V27:$AB27="Dm+")*12+($V27:$AB27="Dt+")*12+($V27:$AB27="Tm-")*6+($V27:$AB27="Mt-")*6)</f>
        <v/>
      </c>
      <c r="AY27" s="118">
        <f>AX27-MAX(0,IFERROR(INDEX(CADASTRO!$I$4:$I$80,MATCH($A27,CADASTRO!$A$4:$A$80,0)),$B27)-CONFIG!$B$50*(COUNTIF($V27:$AB27,"AB")+COUNTIF($V27:$AB27,"FE")+COUNTIF($V27:$AB27,"LM")))</f>
        <v/>
      </c>
      <c r="AZ27" s="117">
        <f>SUMPRODUCT(($AC27:$AI27="M")*6+($AC27:$AI27="T")*6+($AC27:$AI27="D")*12+($AC27:$AI27="N")*12+($AC27:$AI27="NT")*6+($AC27:$AI27="C")*10+($AC27:$AI27="A")*8+($AC27:$AI27="J")*5+($AC27:$AI27="CEP")*4+($AC27:$AI27="CP")*6+($AC27:$AI27="CRO")*6+($AC27:$AI27="M+")*6+($AC27:$AI27="T+")*6+($AC27:$AI27="D+")*12+($AC27:$AI27="N+")*12+($AC27:$AI27="Dm+")*12+($AC27:$AI27="Dt+")*12+($AC27:$AI27="Tm-")*6+($AC27:$AI27="Mt-")*6)</f>
        <v/>
      </c>
      <c r="BA27" s="118">
        <f>AZ27-MAX(0,IFERROR(INDEX(CADASTRO!$I$4:$I$80,MATCH($A27,CADASTRO!$A$4:$A$80,0)),$B27)-CONFIG!$B$50*(COUNTIF($AC27:$AI27,"AB")+COUNTIF($AC27:$AI27,"FE")+COUNTIF($AC27:$AI27,"LM")))</f>
        <v/>
      </c>
      <c r="BB27" s="117">
        <f>SUMPRODUCT(($AJ27:$AL27="M")*6+($AJ27:$AL27="T")*6+($AJ27:$AL27="D")*12+($AJ27:$AL27="N")*12+($AJ27:$AL27="NT")*6+($AJ27:$AL27="C")*10+($AJ27:$AL27="A")*8+($AJ27:$AL27="J")*5+($AJ27:$AL27="CEP")*4+($AJ27:$AL27="CP")*6+($AJ27:$AL27="CRO")*6+($AJ27:$AL27="M+")*6+($AJ27:$AL27="T+")*6+($AJ27:$AL27="D+")*12+($AJ27:$AL27="N+")*12+($AJ27:$AL27="Dm+")*12+($AJ27:$AL27="Dt+")*12+($AJ27:$AL27="Tm-")*6+($AJ27:$AL27="Mt-")*6)+SUMPRODUCT(($AN27:$AQ27="M")*6+($AN27:$AQ27="T")*6+($AN27:$AQ27="D")*12+($AN27:$AQ27="N")*12+($AN27:$AQ27="NT")*6+($AN27:$AQ27="C")*10+($AN27:$AQ27="A")*8+($AN27:$AQ27="J")*5+($AN27:$AQ27="CEP")*4+($AN27:$AQ27="CP")*6+($AN27:$AQ27="CRO")*6+($AN27:$AQ27="M+")*6+($AN27:$AQ27="T+")*6+($AN27:$AQ27="D+")*12+($AN27:$AQ27="N+")*12+($AN27:$AQ27="Dm+")*12+($AN27:$AQ27="Dt+")*12+($AN27:$AQ27="Tm-")*6+($AN27:$AQ27="Mt-")*6)</f>
        <v/>
      </c>
      <c r="BC27" s="118">
        <f>BB27-MAX(0,IFERROR(INDEX(CADASTRO!$I$4:$I$80,MATCH($A27,CADASTRO!$A$4:$A$80,0)),$B27)-CONFIG!$B$50*(COUNTIF($AJ27:$AL27,"AB")+COUNTIF($AJ27:$AL27,"FE")+COUNTIF($AJ27:$AL27,"LM")+COUNTIF($AN27:$AQ27,"AB")+COUNTIF($AN27:$AQ27,"FE")+COUNTIF($AN27:$AQ27,"LM")))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ROUND(B27*4.29,0)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00" t="n"/>
      <c r="H28" s="136">
        <f>IFERROR(INDEX(AGO!AM$8:AM$73,MATCH($A28,AGO!$A$8:$A$73,0))&amp;"","")</f>
        <v/>
      </c>
      <c r="I28" s="115" t="inlineStr">
        <is>
          <t>M</t>
        </is>
      </c>
      <c r="J28" s="124" t="inlineStr">
        <is>
          <t>D</t>
        </is>
      </c>
      <c r="K28" s="114" t="n"/>
      <c r="L28" s="114" t="n"/>
      <c r="M28" s="114" t="n"/>
      <c r="N28" s="124" t="inlineStr">
        <is>
          <t>D</t>
        </is>
      </c>
      <c r="O28" s="125" t="inlineStr">
        <is>
          <t>N</t>
        </is>
      </c>
      <c r="P28" s="114" t="n"/>
      <c r="Q28" s="126" t="inlineStr">
        <is>
          <t>T</t>
        </is>
      </c>
      <c r="R28" s="114" t="n"/>
      <c r="S28" s="114" t="n"/>
      <c r="T28" s="114" t="n"/>
      <c r="U28" s="124" t="inlineStr">
        <is>
          <t>D</t>
        </is>
      </c>
      <c r="V28" s="114" t="n"/>
      <c r="W28" s="124" t="inlineStr">
        <is>
          <t>D</t>
        </is>
      </c>
      <c r="X28" s="125" t="inlineStr">
        <is>
          <t>N</t>
        </is>
      </c>
      <c r="Y28" s="114" t="n"/>
      <c r="Z28" s="126" t="inlineStr">
        <is>
          <t>T</t>
        </is>
      </c>
      <c r="AA28" s="114" t="n"/>
      <c r="AB28" s="114" t="n"/>
      <c r="AC28" s="125" t="inlineStr">
        <is>
          <t>N</t>
        </is>
      </c>
      <c r="AD28" s="114" t="n"/>
      <c r="AE28" s="126" t="inlineStr">
        <is>
          <t>T</t>
        </is>
      </c>
      <c r="AF28" s="114" t="n"/>
      <c r="AG28" s="114" t="n"/>
      <c r="AH28" s="124" t="inlineStr">
        <is>
          <t>D</t>
        </is>
      </c>
      <c r="AI28" s="114" t="n"/>
      <c r="AJ28" s="114" t="n"/>
      <c r="AK28" s="124" t="inlineStr">
        <is>
          <t>D</t>
        </is>
      </c>
      <c r="AL28" s="114" t="n"/>
      <c r="AM28" s="100" t="n"/>
      <c r="AN28" s="136">
        <f>IFERROR(INDEX(OUT!I$8:I$73,MATCH($A28,OUT!$A$8:$A$73,0))&amp;"","")</f>
        <v/>
      </c>
      <c r="AO28" s="136">
        <f>IFERROR(INDEX(OUT!J$8:J$73,MATCH($A28,OUT!$A$8:$A$73,0))&amp;"","")</f>
        <v/>
      </c>
      <c r="AP28" s="116">
        <f>IFERROR(INDEX(OUT!K$8:K$73,MATCH($A28,OUT!$A$8:$A$73,0))&amp;"","")</f>
        <v/>
      </c>
      <c r="AQ28" s="116">
        <f>IFERROR(INDEX(OUT!L$8:L$73,MATCH($A28,OUT!$A$8:$A$73,0))&amp;"","")</f>
        <v/>
      </c>
      <c r="AR28" s="100" t="n"/>
      <c r="AS28" s="100" t="n"/>
      <c r="AT28" s="117">
        <f>SUMPRODUCT(($H28:$N28="M")*6+($H28:$N28="T")*6+($H28:$N28="D")*12+($H28:$N28="N")*12+($H28:$N28="NT")*6+($H28:$N28="C")*10+($H28:$N28="A")*8+($H28:$N28="J")*5+($H28:$N28="CEP")*4+($H28:$N28="CP")*6+($H28:$N28="CRO")*6+($H28:$N28="M+")*6+($H28:$N28="T+")*6+($H28:$N28="D+")*12+($H28:$N28="N+")*12+($H28:$N28="Dm+")*12+($H28:$N28="Dt+")*12+($H28:$N28="Tm-")*6+($H28:$N28="Mt-")*6)</f>
        <v/>
      </c>
      <c r="AU28" s="118">
        <f>AT28-MAX(0,IFERROR(INDEX(CADASTRO!$I$4:$I$80,MATCH($A28,CADASTRO!$A$4:$A$80,0)),$B28)-CONFIG!$B$50*(COUNTIF($H28:$N28,"AB")+COUNTIF($H28:$N28,"FE")+COUNTIF($H28:$N28,"LM")))</f>
        <v/>
      </c>
      <c r="AV28" s="117">
        <f>SUMPRODUCT(($O28:$U28="M")*6+($O28:$U28="T")*6+($O28:$U28="D")*12+($O28:$U28="N")*12+($O28:$U28="NT")*6+($O28:$U28="C")*10+($O28:$U28="A")*8+($O28:$U28="J")*5+($O28:$U28="CEP")*4+($O28:$U28="CP")*6+($O28:$U28="CRO")*6+($O28:$U28="M+")*6+($O28:$U28="T+")*6+($O28:$U28="D+")*12+($O28:$U28="N+")*12+($O28:$U28="Dm+")*12+($O28:$U28="Dt+")*12+($O28:$U28="Tm-")*6+($O28:$U28="Mt-")*6)</f>
        <v/>
      </c>
      <c r="AW28" s="118">
        <f>AV28-MAX(0,IFERROR(INDEX(CADASTRO!$I$4:$I$80,MATCH($A28,CADASTRO!$A$4:$A$80,0)),$B28)-CONFIG!$B$50*(COUNTIF($O28:$U28,"AB")+COUNTIF($O28:$U28,"FE")+COUNTIF($O28:$U28,"LM")))</f>
        <v/>
      </c>
      <c r="AX28" s="117">
        <f>SUMPRODUCT(($V28:$AB28="M")*6+($V28:$AB28="T")*6+($V28:$AB28="D")*12+($V28:$AB28="N")*12+($V28:$AB28="NT")*6+($V28:$AB28="C")*10+($V28:$AB28="A")*8+($V28:$AB28="J")*5+($V28:$AB28="CEP")*4+($V28:$AB28="CP")*6+($V28:$AB28="CRO")*6+($V28:$AB28="M+")*6+($V28:$AB28="T+")*6+($V28:$AB28="D+")*12+($V28:$AB28="N+")*12+($V28:$AB28="Dm+")*12+($V28:$AB28="Dt+")*12+($V28:$AB28="Tm-")*6+($V28:$AB28="Mt-")*6)</f>
        <v/>
      </c>
      <c r="AY28" s="118">
        <f>AX28-MAX(0,IFERROR(INDEX(CADASTRO!$I$4:$I$80,MATCH($A28,CADASTRO!$A$4:$A$80,0)),$B28)-CONFIG!$B$50*(COUNTIF($V28:$AB28,"AB")+COUNTIF($V28:$AB28,"FE")+COUNTIF($V28:$AB28,"LM")))</f>
        <v/>
      </c>
      <c r="AZ28" s="117">
        <f>SUMPRODUCT(($AC28:$AI28="M")*6+($AC28:$AI28="T")*6+($AC28:$AI28="D")*12+($AC28:$AI28="N")*12+($AC28:$AI28="NT")*6+($AC28:$AI28="C")*10+($AC28:$AI28="A")*8+($AC28:$AI28="J")*5+($AC28:$AI28="CEP")*4+($AC28:$AI28="CP")*6+($AC28:$AI28="CRO")*6+($AC28:$AI28="M+")*6+($AC28:$AI28="T+")*6+($AC28:$AI28="D+")*12+($AC28:$AI28="N+")*12+($AC28:$AI28="Dm+")*12+($AC28:$AI28="Dt+")*12+($AC28:$AI28="Tm-")*6+($AC28:$AI28="Mt-")*6)</f>
        <v/>
      </c>
      <c r="BA28" s="118">
        <f>AZ28-MAX(0,IFERROR(INDEX(CADASTRO!$I$4:$I$80,MATCH($A28,CADASTRO!$A$4:$A$80,0)),$B28)-CONFIG!$B$50*(COUNTIF($AC28:$AI28,"AB")+COUNTIF($AC28:$AI28,"FE")+COUNTIF($AC28:$AI28,"LM")))</f>
        <v/>
      </c>
      <c r="BB28" s="117">
        <f>SUMPRODUCT(($AJ28:$AL28="M")*6+($AJ28:$AL28="T")*6+($AJ28:$AL28="D")*12+($AJ28:$AL28="N")*12+($AJ28:$AL28="NT")*6+($AJ28:$AL28="C")*10+($AJ28:$AL28="A")*8+($AJ28:$AL28="J")*5+($AJ28:$AL28="CEP")*4+($AJ28:$AL28="CP")*6+($AJ28:$AL28="CRO")*6+($AJ28:$AL28="M+")*6+($AJ28:$AL28="T+")*6+($AJ28:$AL28="D+")*12+($AJ28:$AL28="N+")*12+($AJ28:$AL28="Dm+")*12+($AJ28:$AL28="Dt+")*12+($AJ28:$AL28="Tm-")*6+($AJ28:$AL28="Mt-")*6)+SUMPRODUCT(($AN28:$AQ28="M")*6+($AN28:$AQ28="T")*6+($AN28:$AQ28="D")*12+($AN28:$AQ28="N")*12+($AN28:$AQ28="NT")*6+($AN28:$AQ28="C")*10+($AN28:$AQ28="A")*8+($AN28:$AQ28="J")*5+($AN28:$AQ28="CEP")*4+($AN28:$AQ28="CP")*6+($AN28:$AQ28="CRO")*6+($AN28:$AQ28="M+")*6+($AN28:$AQ28="T+")*6+($AN28:$AQ28="D+")*12+($AN28:$AQ28="N+")*12+($AN28:$AQ28="Dm+")*12+($AN28:$AQ28="Dt+")*12+($AN28:$AQ28="Tm-")*6+($AN28:$AQ28="Mt-")*6)</f>
        <v/>
      </c>
      <c r="BC28" s="118">
        <f>BB28-MAX(0,IFERROR(INDEX(CADASTRO!$I$4:$I$80,MATCH($A28,CADASTRO!$A$4:$A$80,0)),$B28)-CONFIG!$B$50*(COUNTIF($AJ28:$AL28,"AB")+COUNTIF($AJ28:$AL28,"FE")+COUNTIF($AJ28:$AL28,"LM")+COUNTIF($AN28:$AQ28,"AB")+COUNTIF($AN28:$AQ28,"FE")+COUNTIF($AN28:$AQ28,"LM")))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ROUND(B28*4.29,0)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00" t="n"/>
      <c r="H29" s="136">
        <f>IFERROR(INDEX(AGO!AM$8:AM$73,MATCH($A29,AGO!$A$8:$A$73,0))&amp;"","")</f>
        <v/>
      </c>
      <c r="I29" s="114" t="n"/>
      <c r="J29" s="115" t="inlineStr">
        <is>
          <t>M</t>
        </is>
      </c>
      <c r="K29" s="115" t="inlineStr">
        <is>
          <t>M</t>
        </is>
      </c>
      <c r="L29" s="114" t="n"/>
      <c r="M29" s="114" t="n"/>
      <c r="N29" s="114" t="n"/>
      <c r="O29" s="125" t="inlineStr">
        <is>
          <t>N</t>
        </is>
      </c>
      <c r="P29" s="114" t="n"/>
      <c r="Q29" s="115" t="inlineStr">
        <is>
          <t>M</t>
        </is>
      </c>
      <c r="R29" s="115" t="inlineStr">
        <is>
          <t>M</t>
        </is>
      </c>
      <c r="S29" s="114" t="n"/>
      <c r="T29" s="115" t="inlineStr">
        <is>
          <t>M</t>
        </is>
      </c>
      <c r="U29" s="115" t="inlineStr">
        <is>
          <t>M</t>
        </is>
      </c>
      <c r="V29" s="125" t="inlineStr">
        <is>
          <t>N</t>
        </is>
      </c>
      <c r="W29" s="114" t="n"/>
      <c r="X29" s="114" t="n"/>
      <c r="Y29" s="115" t="inlineStr">
        <is>
          <t>M</t>
        </is>
      </c>
      <c r="Z29" s="115" t="inlineStr">
        <is>
          <t>M</t>
        </is>
      </c>
      <c r="AA29" s="114" t="n"/>
      <c r="AB29" s="114" t="n"/>
      <c r="AC29" s="125" t="inlineStr">
        <is>
          <t>N</t>
        </is>
      </c>
      <c r="AD29" s="114" t="n"/>
      <c r="AE29" s="114" t="n"/>
      <c r="AF29" s="123" t="inlineStr">
        <is>
          <t>M+</t>
        </is>
      </c>
      <c r="AG29" s="114" t="n"/>
      <c r="AH29" s="124" t="inlineStr">
        <is>
          <t>D</t>
        </is>
      </c>
      <c r="AI29" s="115" t="inlineStr">
        <is>
          <t>M</t>
        </is>
      </c>
      <c r="AJ29" s="115" t="inlineStr">
        <is>
          <t>M</t>
        </is>
      </c>
      <c r="AK29" s="114" t="n"/>
      <c r="AL29" s="115" t="inlineStr">
        <is>
          <t>M</t>
        </is>
      </c>
      <c r="AM29" s="100" t="n"/>
      <c r="AN29" s="136">
        <f>IFERROR(INDEX(OUT!I$8:I$73,MATCH($A29,OUT!$A$8:$A$73,0))&amp;"","")</f>
        <v/>
      </c>
      <c r="AO29" s="136">
        <f>IFERROR(INDEX(OUT!J$8:J$73,MATCH($A29,OUT!$A$8:$A$73,0))&amp;"","")</f>
        <v/>
      </c>
      <c r="AP29" s="116">
        <f>IFERROR(INDEX(OUT!K$8:K$73,MATCH($A29,OUT!$A$8:$A$73,0))&amp;"","")</f>
        <v/>
      </c>
      <c r="AQ29" s="116">
        <f>IFERROR(INDEX(OUT!L$8:L$73,MATCH($A29,OUT!$A$8:$A$73,0))&amp;"","")</f>
        <v/>
      </c>
      <c r="AR29" s="100" t="n"/>
      <c r="AS29" s="100" t="n"/>
      <c r="AT29" s="117">
        <f>SUMPRODUCT(($H29:$N29="M")*6+($H29:$N29="T")*6+($H29:$N29="D")*12+($H29:$N29="N")*12+($H29:$N29="NT")*6+($H29:$N29="C")*10+($H29:$N29="A")*8+($H29:$N29="J")*5+($H29:$N29="CEP")*4+($H29:$N29="CP")*6+($H29:$N29="CRO")*6+($H29:$N29="M+")*6+($H29:$N29="T+")*6+($H29:$N29="D+")*12+($H29:$N29="N+")*12+($H29:$N29="Dm+")*12+($H29:$N29="Dt+")*12+($H29:$N29="Tm-")*6+($H29:$N29="Mt-")*6)</f>
        <v/>
      </c>
      <c r="AU29" s="118">
        <f>AT29-MAX(0,IFERROR(INDEX(CADASTRO!$I$4:$I$80,MATCH($A29,CADASTRO!$A$4:$A$80,0)),$B29)-CONFIG!$B$50*(COUNTIF($H29:$N29,"AB")+COUNTIF($H29:$N29,"FE")+COUNTIF($H29:$N29,"LM")))</f>
        <v/>
      </c>
      <c r="AV29" s="117">
        <f>SUMPRODUCT(($O29:$U29="M")*6+($O29:$U29="T")*6+($O29:$U29="D")*12+($O29:$U29="N")*12+($O29:$U29="NT")*6+($O29:$U29="C")*10+($O29:$U29="A")*8+($O29:$U29="J")*5+($O29:$U29="CEP")*4+($O29:$U29="CP")*6+($O29:$U29="CRO")*6+($O29:$U29="M+")*6+($O29:$U29="T+")*6+($O29:$U29="D+")*12+($O29:$U29="N+")*12+($O29:$U29="Dm+")*12+($O29:$U29="Dt+")*12+($O29:$U29="Tm-")*6+($O29:$U29="Mt-")*6)</f>
        <v/>
      </c>
      <c r="AW29" s="118">
        <f>AV29-MAX(0,IFERROR(INDEX(CADASTRO!$I$4:$I$80,MATCH($A29,CADASTRO!$A$4:$A$80,0)),$B29)-CONFIG!$B$50*(COUNTIF($O29:$U29,"AB")+COUNTIF($O29:$U29,"FE")+COUNTIF($O29:$U29,"LM")))</f>
        <v/>
      </c>
      <c r="AX29" s="117">
        <f>SUMPRODUCT(($V29:$AB29="M")*6+($V29:$AB29="T")*6+($V29:$AB29="D")*12+($V29:$AB29="N")*12+($V29:$AB29="NT")*6+($V29:$AB29="C")*10+($V29:$AB29="A")*8+($V29:$AB29="J")*5+($V29:$AB29="CEP")*4+($V29:$AB29="CP")*6+($V29:$AB29="CRO")*6+($V29:$AB29="M+")*6+($V29:$AB29="T+")*6+($V29:$AB29="D+")*12+($V29:$AB29="N+")*12+($V29:$AB29="Dm+")*12+($V29:$AB29="Dt+")*12+($V29:$AB29="Tm-")*6+($V29:$AB29="Mt-")*6)</f>
        <v/>
      </c>
      <c r="AY29" s="118">
        <f>AX29-MAX(0,IFERROR(INDEX(CADASTRO!$I$4:$I$80,MATCH($A29,CADASTRO!$A$4:$A$80,0)),$B29)-CONFIG!$B$50*(COUNTIF($V29:$AB29,"AB")+COUNTIF($V29:$AB29,"FE")+COUNTIF($V29:$AB29,"LM")))</f>
        <v/>
      </c>
      <c r="AZ29" s="117">
        <f>SUMPRODUCT(($AC29:$AI29="M")*6+($AC29:$AI29="T")*6+($AC29:$AI29="D")*12+($AC29:$AI29="N")*12+($AC29:$AI29="NT")*6+($AC29:$AI29="C")*10+($AC29:$AI29="A")*8+($AC29:$AI29="J")*5+($AC29:$AI29="CEP")*4+($AC29:$AI29="CP")*6+($AC29:$AI29="CRO")*6+($AC29:$AI29="M+")*6+($AC29:$AI29="T+")*6+($AC29:$AI29="D+")*12+($AC29:$AI29="N+")*12+($AC29:$AI29="Dm+")*12+($AC29:$AI29="Dt+")*12+($AC29:$AI29="Tm-")*6+($AC29:$AI29="Mt-")*6)</f>
        <v/>
      </c>
      <c r="BA29" s="118">
        <f>AZ29-MAX(0,IFERROR(INDEX(CADASTRO!$I$4:$I$80,MATCH($A29,CADASTRO!$A$4:$A$80,0)),$B29)-CONFIG!$B$50*(COUNTIF($AC29:$AI29,"AB")+COUNTIF($AC29:$AI29,"FE")+COUNTIF($AC29:$AI29,"LM")))</f>
        <v/>
      </c>
      <c r="BB29" s="117">
        <f>SUMPRODUCT(($AJ29:$AL29="M")*6+($AJ29:$AL29="T")*6+($AJ29:$AL29="D")*12+($AJ29:$AL29="N")*12+($AJ29:$AL29="NT")*6+($AJ29:$AL29="C")*10+($AJ29:$AL29="A")*8+($AJ29:$AL29="J")*5+($AJ29:$AL29="CEP")*4+($AJ29:$AL29="CP")*6+($AJ29:$AL29="CRO")*6+($AJ29:$AL29="M+")*6+($AJ29:$AL29="T+")*6+($AJ29:$AL29="D+")*12+($AJ29:$AL29="N+")*12+($AJ29:$AL29="Dm+")*12+($AJ29:$AL29="Dt+")*12+($AJ29:$AL29="Tm-")*6+($AJ29:$AL29="Mt-")*6)+SUMPRODUCT(($AN29:$AQ29="M")*6+($AN29:$AQ29="T")*6+($AN29:$AQ29="D")*12+($AN29:$AQ29="N")*12+($AN29:$AQ29="NT")*6+($AN29:$AQ29="C")*10+($AN29:$AQ29="A")*8+($AN29:$AQ29="J")*5+($AN29:$AQ29="CEP")*4+($AN29:$AQ29="CP")*6+($AN29:$AQ29="CRO")*6+($AN29:$AQ29="M+")*6+($AN29:$AQ29="T+")*6+($AN29:$AQ29="D+")*12+($AN29:$AQ29="N+")*12+($AN29:$AQ29="Dm+")*12+($AN29:$AQ29="Dt+")*12+($AN29:$AQ29="Tm-")*6+($AN29:$AQ29="Mt-")*6)</f>
        <v/>
      </c>
      <c r="BC29" s="118">
        <f>BB29-MAX(0,IFERROR(INDEX(CADASTRO!$I$4:$I$80,MATCH($A29,CADASTRO!$A$4:$A$80,0)),$B29)-CONFIG!$B$50*(COUNTIF($AJ29:$AL29,"AB")+COUNTIF($AJ29:$AL29,"FE")+COUNTIF($AJ29:$AL29,"LM")+COUNTIF($AN29:$AQ29,"AB")+COUNTIF($AN29:$AQ29,"FE")+COUNTIF($AN29:$AQ29,"LM")))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ROUND(B29*4.29,0)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00" t="n"/>
      <c r="H30" s="136">
        <f>IFERROR(INDEX(AGO!AM$8:AM$73,MATCH($A30,AGO!$A$8:$A$73,0))&amp;"","")</f>
        <v/>
      </c>
      <c r="I30" s="126" t="inlineStr">
        <is>
          <t>T</t>
        </is>
      </c>
      <c r="J30" s="126" t="inlineStr">
        <is>
          <t>T</t>
        </is>
      </c>
      <c r="K30" s="126" t="inlineStr">
        <is>
          <t>T</t>
        </is>
      </c>
      <c r="L30" s="114" t="n"/>
      <c r="M30" s="114" t="n"/>
      <c r="N30" s="125" t="inlineStr">
        <is>
          <t>N</t>
        </is>
      </c>
      <c r="O30" s="114" t="n"/>
      <c r="P30" s="126" t="inlineStr">
        <is>
          <t>T</t>
        </is>
      </c>
      <c r="Q30" s="126" t="inlineStr">
        <is>
          <t>T</t>
        </is>
      </c>
      <c r="R30" s="114" t="n"/>
      <c r="S30" s="126" t="inlineStr">
        <is>
          <t>T</t>
        </is>
      </c>
      <c r="T30" s="114" t="n"/>
      <c r="U30" s="125" t="inlineStr">
        <is>
          <t>N</t>
        </is>
      </c>
      <c r="V30" s="126" t="inlineStr">
        <is>
          <t>T</t>
        </is>
      </c>
      <c r="W30" s="126" t="inlineStr">
        <is>
          <t>T</t>
        </is>
      </c>
      <c r="X30" s="126" t="inlineStr">
        <is>
          <t>T</t>
        </is>
      </c>
      <c r="Y30" s="124" t="inlineStr">
        <is>
          <t>D</t>
        </is>
      </c>
      <c r="Z30" s="114" t="n"/>
      <c r="AA30" s="114" t="n"/>
      <c r="AB30" s="114" t="n"/>
      <c r="AC30" s="139" t="inlineStr">
        <is>
          <t>FE</t>
        </is>
      </c>
      <c r="AD30" s="139" t="inlineStr">
        <is>
          <t>FE</t>
        </is>
      </c>
      <c r="AE30" s="139" t="inlineStr">
        <is>
          <t>FE</t>
        </is>
      </c>
      <c r="AF30" s="139" t="inlineStr">
        <is>
          <t>FE</t>
        </is>
      </c>
      <c r="AG30" s="139" t="inlineStr">
        <is>
          <t>FE</t>
        </is>
      </c>
      <c r="AH30" s="139" t="inlineStr">
        <is>
          <t>FE</t>
        </is>
      </c>
      <c r="AI30" s="139" t="inlineStr">
        <is>
          <t>FE</t>
        </is>
      </c>
      <c r="AJ30" s="139" t="inlineStr">
        <is>
          <t>FE</t>
        </is>
      </c>
      <c r="AK30" s="139" t="inlineStr">
        <is>
          <t>FE</t>
        </is>
      </c>
      <c r="AL30" s="139" t="inlineStr">
        <is>
          <t>FE</t>
        </is>
      </c>
      <c r="AM30" s="100" t="n"/>
      <c r="AN30" s="136">
        <f>IFERROR(INDEX(OUT!I$8:I$73,MATCH($A30,OUT!$A$8:$A$73,0))&amp;"","")</f>
        <v/>
      </c>
      <c r="AO30" s="136">
        <f>IFERROR(INDEX(OUT!J$8:J$73,MATCH($A30,OUT!$A$8:$A$73,0))&amp;"","")</f>
        <v/>
      </c>
      <c r="AP30" s="116">
        <f>IFERROR(INDEX(OUT!K$8:K$73,MATCH($A30,OUT!$A$8:$A$73,0))&amp;"","")</f>
        <v/>
      </c>
      <c r="AQ30" s="116">
        <f>IFERROR(INDEX(OUT!L$8:L$73,MATCH($A30,OUT!$A$8:$A$73,0))&amp;"","")</f>
        <v/>
      </c>
      <c r="AR30" s="100" t="n"/>
      <c r="AS30" s="100" t="n"/>
      <c r="AT30" s="117">
        <f>SUMPRODUCT(($H30:$N30="M")*6+($H30:$N30="T")*6+($H30:$N30="D")*12+($H30:$N30="N")*12+($H30:$N30="NT")*6+($H30:$N30="C")*10+($H30:$N30="A")*8+($H30:$N30="J")*5+($H30:$N30="CEP")*4+($H30:$N30="CP")*6+($H30:$N30="CRO")*6+($H30:$N30="M+")*6+($H30:$N30="T+")*6+($H30:$N30="D+")*12+($H30:$N30="N+")*12+($H30:$N30="Dm+")*12+($H30:$N30="Dt+")*12+($H30:$N30="Tm-")*6+($H30:$N30="Mt-")*6)</f>
        <v/>
      </c>
      <c r="AU30" s="118">
        <f>AT30-MAX(0,IFERROR(INDEX(CADASTRO!$I$4:$I$80,MATCH($A30,CADASTRO!$A$4:$A$80,0)),$B30)-CONFIG!$B$50*(COUNTIF($H30:$N30,"AB")+COUNTIF($H30:$N30,"FE")+COUNTIF($H30:$N30,"LM")))</f>
        <v/>
      </c>
      <c r="AV30" s="117">
        <f>SUMPRODUCT(($O30:$U30="M")*6+($O30:$U30="T")*6+($O30:$U30="D")*12+($O30:$U30="N")*12+($O30:$U30="NT")*6+($O30:$U30="C")*10+($O30:$U30="A")*8+($O30:$U30="J")*5+($O30:$U30="CEP")*4+($O30:$U30="CP")*6+($O30:$U30="CRO")*6+($O30:$U30="M+")*6+($O30:$U30="T+")*6+($O30:$U30="D+")*12+($O30:$U30="N+")*12+($O30:$U30="Dm+")*12+($O30:$U30="Dt+")*12+($O30:$U30="Tm-")*6+($O30:$U30="Mt-")*6)</f>
        <v/>
      </c>
      <c r="AW30" s="118">
        <f>AV30-MAX(0,IFERROR(INDEX(CADASTRO!$I$4:$I$80,MATCH($A30,CADASTRO!$A$4:$A$80,0)),$B30)-CONFIG!$B$50*(COUNTIF($O30:$U30,"AB")+COUNTIF($O30:$U30,"FE")+COUNTIF($O30:$U30,"LM")))</f>
        <v/>
      </c>
      <c r="AX30" s="117">
        <f>SUMPRODUCT(($V30:$AB30="M")*6+($V30:$AB30="T")*6+($V30:$AB30="D")*12+($V30:$AB30="N")*12+($V30:$AB30="NT")*6+($V30:$AB30="C")*10+($V30:$AB30="A")*8+($V30:$AB30="J")*5+($V30:$AB30="CEP")*4+($V30:$AB30="CP")*6+($V30:$AB30="CRO")*6+($V30:$AB30="M+")*6+($V30:$AB30="T+")*6+($V30:$AB30="D+")*12+($V30:$AB30="N+")*12+($V30:$AB30="Dm+")*12+($V30:$AB30="Dt+")*12+($V30:$AB30="Tm-")*6+($V30:$AB30="Mt-")*6)</f>
        <v/>
      </c>
      <c r="AY30" s="118">
        <f>AX30-MAX(0,IFERROR(INDEX(CADASTRO!$I$4:$I$80,MATCH($A30,CADASTRO!$A$4:$A$80,0)),$B30)-CONFIG!$B$50*(COUNTIF($V30:$AB30,"AB")+COUNTIF($V30:$AB30,"FE")+COUNTIF($V30:$AB30,"LM")))</f>
        <v/>
      </c>
      <c r="AZ30" s="117">
        <f>SUMPRODUCT(($AC30:$AI30="M")*6+($AC30:$AI30="T")*6+($AC30:$AI30="D")*12+($AC30:$AI30="N")*12+($AC30:$AI30="NT")*6+($AC30:$AI30="C")*10+($AC30:$AI30="A")*8+($AC30:$AI30="J")*5+($AC30:$AI30="CEP")*4+($AC30:$AI30="CP")*6+($AC30:$AI30="CRO")*6+($AC30:$AI30="M+")*6+($AC30:$AI30="T+")*6+($AC30:$AI30="D+")*12+($AC30:$AI30="N+")*12+($AC30:$AI30="Dm+")*12+($AC30:$AI30="Dt+")*12+($AC30:$AI30="Tm-")*6+($AC30:$AI30="Mt-")*6)</f>
        <v/>
      </c>
      <c r="BA30" s="118">
        <f>AZ30-MAX(0,IFERROR(INDEX(CADASTRO!$I$4:$I$80,MATCH($A30,CADASTRO!$A$4:$A$80,0)),$B30)-CONFIG!$B$50*(COUNTIF($AC30:$AI30,"AB")+COUNTIF($AC30:$AI30,"FE")+COUNTIF($AC30:$AI30,"LM")))</f>
        <v/>
      </c>
      <c r="BB30" s="117">
        <f>SUMPRODUCT(($AJ30:$AL30="M")*6+($AJ30:$AL30="T")*6+($AJ30:$AL30="D")*12+($AJ30:$AL30="N")*12+($AJ30:$AL30="NT")*6+($AJ30:$AL30="C")*10+($AJ30:$AL30="A")*8+($AJ30:$AL30="J")*5+($AJ30:$AL30="CEP")*4+($AJ30:$AL30="CP")*6+($AJ30:$AL30="CRO")*6+($AJ30:$AL30="M+")*6+($AJ30:$AL30="T+")*6+($AJ30:$AL30="D+")*12+($AJ30:$AL30="N+")*12+($AJ30:$AL30="Dm+")*12+($AJ30:$AL30="Dt+")*12+($AJ30:$AL30="Tm-")*6+($AJ30:$AL30="Mt-")*6)+SUMPRODUCT(($AN30:$AQ30="M")*6+($AN30:$AQ30="T")*6+($AN30:$AQ30="D")*12+($AN30:$AQ30="N")*12+($AN30:$AQ30="NT")*6+($AN30:$AQ30="C")*10+($AN30:$AQ30="A")*8+($AN30:$AQ30="J")*5+($AN30:$AQ30="CEP")*4+($AN30:$AQ30="CP")*6+($AN30:$AQ30="CRO")*6+($AN30:$AQ30="M+")*6+($AN30:$AQ30="T+")*6+($AN30:$AQ30="D+")*12+($AN30:$AQ30="N+")*12+($AN30:$AQ30="Dm+")*12+($AN30:$AQ30="Dt+")*12+($AN30:$AQ30="Tm-")*6+($AN30:$AQ30="Mt-")*6)</f>
        <v/>
      </c>
      <c r="BC30" s="118">
        <f>BB30-MAX(0,IFERROR(INDEX(CADASTRO!$I$4:$I$80,MATCH($A30,CADASTRO!$A$4:$A$80,0)),$B30)-CONFIG!$B$50*(COUNTIF($AJ30:$AL30,"AB")+COUNTIF($AJ30:$AL30,"FE")+COUNTIF($AJ30:$AL30,"LM")+COUNTIF($AN30:$AQ30,"AB")+COUNTIF($AN30:$AQ30,"FE")+COUNTIF($AN30:$AQ30,"LM")))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ROUND(B30*4.29,0)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00" t="n"/>
      <c r="H31" s="136">
        <f>IFERROR(INDEX(AGO!AM$8:AM$73,MATCH($A31,AGO!$A$8:$A$73,0))&amp;"","")</f>
        <v/>
      </c>
      <c r="I31" s="115" t="inlineStr">
        <is>
          <t>M</t>
        </is>
      </c>
      <c r="J31" s="115" t="inlineStr">
        <is>
          <t>M</t>
        </is>
      </c>
      <c r="K31" s="115" t="inlineStr">
        <is>
          <t>M</t>
        </is>
      </c>
      <c r="L31" s="124" t="inlineStr">
        <is>
          <t>D</t>
        </is>
      </c>
      <c r="M31" s="114" t="n"/>
      <c r="N31" s="114" t="n"/>
      <c r="O31" s="115" t="inlineStr">
        <is>
          <t>M</t>
        </is>
      </c>
      <c r="P31" s="114" t="n"/>
      <c r="Q31" s="115" t="inlineStr">
        <is>
          <t>M</t>
        </is>
      </c>
      <c r="R31" s="114" t="n"/>
      <c r="S31" s="115" t="inlineStr">
        <is>
          <t>M</t>
        </is>
      </c>
      <c r="T31" s="115" t="inlineStr">
        <is>
          <t>M</t>
        </is>
      </c>
      <c r="U31" s="126" t="inlineStr">
        <is>
          <t>T</t>
        </is>
      </c>
      <c r="V31" s="126" t="inlineStr">
        <is>
          <t>T</t>
        </is>
      </c>
      <c r="W31" s="114" t="n"/>
      <c r="X31" s="115" t="inlineStr">
        <is>
          <t>M</t>
        </is>
      </c>
      <c r="Y31" s="115" t="inlineStr">
        <is>
          <t>M</t>
        </is>
      </c>
      <c r="Z31" s="124" t="inlineStr">
        <is>
          <t>D</t>
        </is>
      </c>
      <c r="AA31" s="114" t="n"/>
      <c r="AB31" s="114" t="n"/>
      <c r="AC31" s="115" t="inlineStr">
        <is>
          <t>M</t>
        </is>
      </c>
      <c r="AD31" s="114" t="n"/>
      <c r="AE31" s="114" t="n"/>
      <c r="AF31" s="114" t="n"/>
      <c r="AG31" s="115" t="inlineStr">
        <is>
          <t>M</t>
        </is>
      </c>
      <c r="AH31" s="115" t="inlineStr">
        <is>
          <t>M</t>
        </is>
      </c>
      <c r="AI31" s="125" t="inlineStr">
        <is>
          <t>N</t>
        </is>
      </c>
      <c r="AJ31" s="126" t="inlineStr">
        <is>
          <t>T</t>
        </is>
      </c>
      <c r="AK31" s="114" t="n"/>
      <c r="AL31" s="124" t="inlineStr">
        <is>
          <t>D</t>
        </is>
      </c>
      <c r="AM31" s="100" t="n"/>
      <c r="AN31" s="136">
        <f>IFERROR(INDEX(OUT!I$8:I$73,MATCH($A31,OUT!$A$8:$A$73,0))&amp;"","")</f>
        <v/>
      </c>
      <c r="AO31" s="136">
        <f>IFERROR(INDEX(OUT!J$8:J$73,MATCH($A31,OUT!$A$8:$A$73,0))&amp;"","")</f>
        <v/>
      </c>
      <c r="AP31" s="116">
        <f>IFERROR(INDEX(OUT!K$8:K$73,MATCH($A31,OUT!$A$8:$A$73,0))&amp;"","")</f>
        <v/>
      </c>
      <c r="AQ31" s="116">
        <f>IFERROR(INDEX(OUT!L$8:L$73,MATCH($A31,OUT!$A$8:$A$73,0))&amp;"","")</f>
        <v/>
      </c>
      <c r="AR31" s="100" t="n"/>
      <c r="AS31" s="100" t="n"/>
      <c r="AT31" s="117">
        <f>SUMPRODUCT(($H31:$N31="M")*6+($H31:$N31="T")*6+($H31:$N31="D")*12+($H31:$N31="N")*12+($H31:$N31="NT")*6+($H31:$N31="C")*10+($H31:$N31="A")*8+($H31:$N31="J")*5+($H31:$N31="CEP")*4+($H31:$N31="CP")*6+($H31:$N31="CRO")*6+($H31:$N31="M+")*6+($H31:$N31="T+")*6+($H31:$N31="D+")*12+($H31:$N31="N+")*12+($H31:$N31="Dm+")*12+($H31:$N31="Dt+")*12+($H31:$N31="Tm-")*6+($H31:$N31="Mt-")*6)</f>
        <v/>
      </c>
      <c r="AU31" s="118">
        <f>AT31-MAX(0,IFERROR(INDEX(CADASTRO!$I$4:$I$80,MATCH($A31,CADASTRO!$A$4:$A$80,0)),$B31)-CONFIG!$B$50*(COUNTIF($H31:$N31,"AB")+COUNTIF($H31:$N31,"FE")+COUNTIF($H31:$N31,"LM")))</f>
        <v/>
      </c>
      <c r="AV31" s="117">
        <f>SUMPRODUCT(($O31:$U31="M")*6+($O31:$U31="T")*6+($O31:$U31="D")*12+($O31:$U31="N")*12+($O31:$U31="NT")*6+($O31:$U31="C")*10+($O31:$U31="A")*8+($O31:$U31="J")*5+($O31:$U31="CEP")*4+($O31:$U31="CP")*6+($O31:$U31="CRO")*6+($O31:$U31="M+")*6+($O31:$U31="T+")*6+($O31:$U31="D+")*12+($O31:$U31="N+")*12+($O31:$U31="Dm+")*12+($O31:$U31="Dt+")*12+($O31:$U31="Tm-")*6+($O31:$U31="Mt-")*6)</f>
        <v/>
      </c>
      <c r="AW31" s="118">
        <f>AV31-MAX(0,IFERROR(INDEX(CADASTRO!$I$4:$I$80,MATCH($A31,CADASTRO!$A$4:$A$80,0)),$B31)-CONFIG!$B$50*(COUNTIF($O31:$U31,"AB")+COUNTIF($O31:$U31,"FE")+COUNTIF($O31:$U31,"LM")))</f>
        <v/>
      </c>
      <c r="AX31" s="117">
        <f>SUMPRODUCT(($V31:$AB31="M")*6+($V31:$AB31="T")*6+($V31:$AB31="D")*12+($V31:$AB31="N")*12+($V31:$AB31="NT")*6+($V31:$AB31="C")*10+($V31:$AB31="A")*8+($V31:$AB31="J")*5+($V31:$AB31="CEP")*4+($V31:$AB31="CP")*6+($V31:$AB31="CRO")*6+($V31:$AB31="M+")*6+($V31:$AB31="T+")*6+($V31:$AB31="D+")*12+($V31:$AB31="N+")*12+($V31:$AB31="Dm+")*12+($V31:$AB31="Dt+")*12+($V31:$AB31="Tm-")*6+($V31:$AB31="Mt-")*6)</f>
        <v/>
      </c>
      <c r="AY31" s="118">
        <f>AX31-MAX(0,IFERROR(INDEX(CADASTRO!$I$4:$I$80,MATCH($A31,CADASTRO!$A$4:$A$80,0)),$B31)-CONFIG!$B$50*(COUNTIF($V31:$AB31,"AB")+COUNTIF($V31:$AB31,"FE")+COUNTIF($V31:$AB31,"LM")))</f>
        <v/>
      </c>
      <c r="AZ31" s="117">
        <f>SUMPRODUCT(($AC31:$AI31="M")*6+($AC31:$AI31="T")*6+($AC31:$AI31="D")*12+($AC31:$AI31="N")*12+($AC31:$AI31="NT")*6+($AC31:$AI31="C")*10+($AC31:$AI31="A")*8+($AC31:$AI31="J")*5+($AC31:$AI31="CEP")*4+($AC31:$AI31="CP")*6+($AC31:$AI31="CRO")*6+($AC31:$AI31="M+")*6+($AC31:$AI31="T+")*6+($AC31:$AI31="D+")*12+($AC31:$AI31="N+")*12+($AC31:$AI31="Dm+")*12+($AC31:$AI31="Dt+")*12+($AC31:$AI31="Tm-")*6+($AC31:$AI31="Mt-")*6)</f>
        <v/>
      </c>
      <c r="BA31" s="118">
        <f>AZ31-MAX(0,IFERROR(INDEX(CADASTRO!$I$4:$I$80,MATCH($A31,CADASTRO!$A$4:$A$80,0)),$B31)-CONFIG!$B$50*(COUNTIF($AC31:$AI31,"AB")+COUNTIF($AC31:$AI31,"FE")+COUNTIF($AC31:$AI31,"LM")))</f>
        <v/>
      </c>
      <c r="BB31" s="117">
        <f>SUMPRODUCT(($AJ31:$AL31="M")*6+($AJ31:$AL31="T")*6+($AJ31:$AL31="D")*12+($AJ31:$AL31="N")*12+($AJ31:$AL31="NT")*6+($AJ31:$AL31="C")*10+($AJ31:$AL31="A")*8+($AJ31:$AL31="J")*5+($AJ31:$AL31="CEP")*4+($AJ31:$AL31="CP")*6+($AJ31:$AL31="CRO")*6+($AJ31:$AL31="M+")*6+($AJ31:$AL31="T+")*6+($AJ31:$AL31="D+")*12+($AJ31:$AL31="N+")*12+($AJ31:$AL31="Dm+")*12+($AJ31:$AL31="Dt+")*12+($AJ31:$AL31="Tm-")*6+($AJ31:$AL31="Mt-")*6)+SUMPRODUCT(($AN31:$AQ31="M")*6+($AN31:$AQ31="T")*6+($AN31:$AQ31="D")*12+($AN31:$AQ31="N")*12+($AN31:$AQ31="NT")*6+($AN31:$AQ31="C")*10+($AN31:$AQ31="A")*8+($AN31:$AQ31="J")*5+($AN31:$AQ31="CEP")*4+($AN31:$AQ31="CP")*6+($AN31:$AQ31="CRO")*6+($AN31:$AQ31="M+")*6+($AN31:$AQ31="T+")*6+($AN31:$AQ31="D+")*12+($AN31:$AQ31="N+")*12+($AN31:$AQ31="Dm+")*12+($AN31:$AQ31="Dt+")*12+($AN31:$AQ31="Tm-")*6+($AN31:$AQ31="Mt-")*6)</f>
        <v/>
      </c>
      <c r="BC31" s="118">
        <f>BB31-MAX(0,IFERROR(INDEX(CADASTRO!$I$4:$I$80,MATCH($A31,CADASTRO!$A$4:$A$80,0)),$B31)-CONFIG!$B$50*(COUNTIF($AJ31:$AL31,"AB")+COUNTIF($AJ31:$AL31,"FE")+COUNTIF($AJ31:$AL31,"LM")+COUNTIF($AN31:$AQ31,"AB")+COUNTIF($AN31:$AQ31,"FE")+COUNTIF($AN31:$AQ31,"LM")))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ROUND(B31*4.29,0)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00" t="n"/>
      <c r="H32" s="136">
        <f>IFERROR(INDEX(AGO!AM$8:AM$73,MATCH($A32,AGO!$A$8:$A$73,0))&amp;"","")</f>
        <v/>
      </c>
      <c r="I32" s="114" t="n"/>
      <c r="J32" s="114" t="n"/>
      <c r="K32" s="127" t="inlineStr">
        <is>
          <t>M-</t>
        </is>
      </c>
      <c r="L32" s="114" t="n"/>
      <c r="M32" s="115" t="inlineStr">
        <is>
          <t>M</t>
        </is>
      </c>
      <c r="N32" s="115" t="inlineStr">
        <is>
          <t>M</t>
        </is>
      </c>
      <c r="O32" s="124" t="inlineStr">
        <is>
          <t>D</t>
        </is>
      </c>
      <c r="P32" s="114" t="n"/>
      <c r="Q32" s="114" t="n"/>
      <c r="R32" s="114" t="n"/>
      <c r="S32" s="124" t="inlineStr">
        <is>
          <t>D</t>
        </is>
      </c>
      <c r="T32" s="114" t="n"/>
      <c r="U32" s="115" t="inlineStr">
        <is>
          <t>M</t>
        </is>
      </c>
      <c r="V32" s="124" t="inlineStr">
        <is>
          <t>D</t>
        </is>
      </c>
      <c r="W32" s="125" t="inlineStr">
        <is>
          <t>N</t>
        </is>
      </c>
      <c r="X32" s="114" t="n"/>
      <c r="Y32" s="123" t="inlineStr">
        <is>
          <t>M+</t>
        </is>
      </c>
      <c r="Z32" s="115" t="inlineStr">
        <is>
          <t>M</t>
        </is>
      </c>
      <c r="AA32" s="114" t="n"/>
      <c r="AB32" s="114" t="n"/>
      <c r="AC32" s="114" t="n"/>
      <c r="AD32" s="114" t="n"/>
      <c r="AE32" s="114" t="n"/>
      <c r="AF32" s="114" t="n"/>
      <c r="AG32" s="114" t="n"/>
      <c r="AH32" s="114" t="n"/>
      <c r="AI32" s="114" t="n"/>
      <c r="AJ32" s="114" t="n"/>
      <c r="AK32" s="114" t="n"/>
      <c r="AL32" s="114" t="n"/>
      <c r="AM32" s="100" t="n"/>
      <c r="AN32" s="136">
        <f>IFERROR(INDEX(OUT!I$8:I$73,MATCH($A32,OUT!$A$8:$A$73,0))&amp;"","")</f>
        <v/>
      </c>
      <c r="AO32" s="136">
        <f>IFERROR(INDEX(OUT!J$8:J$73,MATCH($A32,OUT!$A$8:$A$73,0))&amp;"","")</f>
        <v/>
      </c>
      <c r="AP32" s="116">
        <f>IFERROR(INDEX(OUT!K$8:K$73,MATCH($A32,OUT!$A$8:$A$73,0))&amp;"","")</f>
        <v/>
      </c>
      <c r="AQ32" s="116">
        <f>IFERROR(INDEX(OUT!L$8:L$73,MATCH($A32,OUT!$A$8:$A$73,0))&amp;"","")</f>
        <v/>
      </c>
      <c r="AR32" s="100" t="n"/>
      <c r="AS32" s="100" t="n"/>
      <c r="AT32" s="117">
        <f>SUMPRODUCT(($H32:$N32="M")*6+($H32:$N32="T")*6+($H32:$N32="D")*12+($H32:$N32="N")*12+($H32:$N32="NT")*6+($H32:$N32="C")*10+($H32:$N32="A")*8+($H32:$N32="J")*5+($H32:$N32="CEP")*4+($H32:$N32="CP")*6+($H32:$N32="CRO")*6+($H32:$N32="M+")*6+($H32:$N32="T+")*6+($H32:$N32="D+")*12+($H32:$N32="N+")*12+($H32:$N32="Dm+")*12+($H32:$N32="Dt+")*12+($H32:$N32="Tm-")*6+($H32:$N32="Mt-")*6)</f>
        <v/>
      </c>
      <c r="AU32" s="118">
        <f>AT32-MAX(0,IFERROR(INDEX(CADASTRO!$I$4:$I$80,MATCH($A32,CADASTRO!$A$4:$A$80,0)),$B32)-CONFIG!$B$50*(COUNTIF($H32:$N32,"AB")+COUNTIF($H32:$N32,"FE")+COUNTIF($H32:$N32,"LM")))</f>
        <v/>
      </c>
      <c r="AV32" s="117">
        <f>SUMPRODUCT(($O32:$U32="M")*6+($O32:$U32="T")*6+($O32:$U32="D")*12+($O32:$U32="N")*12+($O32:$U32="NT")*6+($O32:$U32="C")*10+($O32:$U32="A")*8+($O32:$U32="J")*5+($O32:$U32="CEP")*4+($O32:$U32="CP")*6+($O32:$U32="CRO")*6+($O32:$U32="M+")*6+($O32:$U32="T+")*6+($O32:$U32="D+")*12+($O32:$U32="N+")*12+($O32:$U32="Dm+")*12+($O32:$U32="Dt+")*12+($O32:$U32="Tm-")*6+($O32:$U32="Mt-")*6)</f>
        <v/>
      </c>
      <c r="AW32" s="118">
        <f>AV32-MAX(0,IFERROR(INDEX(CADASTRO!$I$4:$I$80,MATCH($A32,CADASTRO!$A$4:$A$80,0)),$B32)-CONFIG!$B$50*(COUNTIF($O32:$U32,"AB")+COUNTIF($O32:$U32,"FE")+COUNTIF($O32:$U32,"LM")))</f>
        <v/>
      </c>
      <c r="AX32" s="117">
        <f>SUMPRODUCT(($V32:$AB32="M")*6+($V32:$AB32="T")*6+($V32:$AB32="D")*12+($V32:$AB32="N")*12+($V32:$AB32="NT")*6+($V32:$AB32="C")*10+($V32:$AB32="A")*8+($V32:$AB32="J")*5+($V32:$AB32="CEP")*4+($V32:$AB32="CP")*6+($V32:$AB32="CRO")*6+($V32:$AB32="M+")*6+($V32:$AB32="T+")*6+($V32:$AB32="D+")*12+($V32:$AB32="N+")*12+($V32:$AB32="Dm+")*12+($V32:$AB32="Dt+")*12+($V32:$AB32="Tm-")*6+($V32:$AB32="Mt-")*6)</f>
        <v/>
      </c>
      <c r="AY32" s="118">
        <f>AX32-MAX(0,IFERROR(INDEX(CADASTRO!$I$4:$I$80,MATCH($A32,CADASTRO!$A$4:$A$80,0)),$B32)-CONFIG!$B$50*(COUNTIF($V32:$AB32,"AB")+COUNTIF($V32:$AB32,"FE")+COUNTIF($V32:$AB32,"LM")))</f>
        <v/>
      </c>
      <c r="AZ32" s="117">
        <f>SUMPRODUCT(($AC32:$AI32="M")*6+($AC32:$AI32="T")*6+($AC32:$AI32="D")*12+($AC32:$AI32="N")*12+($AC32:$AI32="NT")*6+($AC32:$AI32="C")*10+($AC32:$AI32="A")*8+($AC32:$AI32="J")*5+($AC32:$AI32="CEP")*4+($AC32:$AI32="CP")*6+($AC32:$AI32="CRO")*6+($AC32:$AI32="M+")*6+($AC32:$AI32="T+")*6+($AC32:$AI32="D+")*12+($AC32:$AI32="N+")*12+($AC32:$AI32="Dm+")*12+($AC32:$AI32="Dt+")*12+($AC32:$AI32="Tm-")*6+($AC32:$AI32="Mt-")*6)</f>
        <v/>
      </c>
      <c r="BA32" s="118">
        <f>AZ32-MAX(0,IFERROR(INDEX(CADASTRO!$I$4:$I$80,MATCH($A32,CADASTRO!$A$4:$A$80,0)),$B32)-CONFIG!$B$50*(COUNTIF($AC32:$AI32,"AB")+COUNTIF($AC32:$AI32,"FE")+COUNTIF($AC32:$AI32,"LM")))</f>
        <v/>
      </c>
      <c r="BB32" s="117">
        <f>SUMPRODUCT(($AJ32:$AL32="M")*6+($AJ32:$AL32="T")*6+($AJ32:$AL32="D")*12+($AJ32:$AL32="N")*12+($AJ32:$AL32="NT")*6+($AJ32:$AL32="C")*10+($AJ32:$AL32="A")*8+($AJ32:$AL32="J")*5+($AJ32:$AL32="CEP")*4+($AJ32:$AL32="CP")*6+($AJ32:$AL32="CRO")*6+($AJ32:$AL32="M+")*6+($AJ32:$AL32="T+")*6+($AJ32:$AL32="D+")*12+($AJ32:$AL32="N+")*12+($AJ32:$AL32="Dm+")*12+($AJ32:$AL32="Dt+")*12+($AJ32:$AL32="Tm-")*6+($AJ32:$AL32="Mt-")*6)+SUMPRODUCT(($AN32:$AQ32="M")*6+($AN32:$AQ32="T")*6+($AN32:$AQ32="D")*12+($AN32:$AQ32="N")*12+($AN32:$AQ32="NT")*6+($AN32:$AQ32="C")*10+($AN32:$AQ32="A")*8+($AN32:$AQ32="J")*5+($AN32:$AQ32="CEP")*4+($AN32:$AQ32="CP")*6+($AN32:$AQ32="CRO")*6+($AN32:$AQ32="M+")*6+($AN32:$AQ32="T+")*6+($AN32:$AQ32="D+")*12+($AN32:$AQ32="N+")*12+($AN32:$AQ32="Dm+")*12+($AN32:$AQ32="Dt+")*12+($AN32:$AQ32="Tm-")*6+($AN32:$AQ32="Mt-")*6)</f>
        <v/>
      </c>
      <c r="BC32" s="118">
        <f>BB32-MAX(0,IFERROR(INDEX(CADASTRO!$I$4:$I$80,MATCH($A32,CADASTRO!$A$4:$A$80,0)),$B32)-CONFIG!$B$50*(COUNTIF($AJ32:$AL32,"AB")+COUNTIF($AJ32:$AL32,"FE")+COUNTIF($AJ32:$AL32,"LM")+COUNTIF($AN32:$AQ32,"AB")+COUNTIF($AN32:$AQ32,"FE")+COUNTIF($AN32:$AQ32,"LM")))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ROUND(B32*4.29,0)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00" t="n"/>
      <c r="H33" s="136">
        <f>IFERROR(INDEX(AGO!AM$8:AM$73,MATCH($A33,AGO!$A$8:$A$73,0))&amp;"","")</f>
        <v/>
      </c>
      <c r="I33" s="114" t="n"/>
      <c r="J33" s="114" t="n"/>
      <c r="K33" s="114" t="n"/>
      <c r="L33" s="126" t="inlineStr">
        <is>
          <t>T</t>
        </is>
      </c>
      <c r="M33" s="115" t="inlineStr">
        <is>
          <t>M</t>
        </is>
      </c>
      <c r="N33" s="114" t="n"/>
      <c r="O33" s="115" t="inlineStr">
        <is>
          <t>M</t>
        </is>
      </c>
      <c r="P33" s="114" t="n"/>
      <c r="Q33" s="114" t="n"/>
      <c r="R33" s="114" t="n"/>
      <c r="S33" s="114" t="n"/>
      <c r="T33" s="124" t="inlineStr">
        <is>
          <t>D</t>
        </is>
      </c>
      <c r="U33" s="115" t="inlineStr">
        <is>
          <t>M</t>
        </is>
      </c>
      <c r="V33" s="124" t="inlineStr">
        <is>
          <t>D</t>
        </is>
      </c>
      <c r="W33" s="114" t="n"/>
      <c r="X33" s="114" t="n"/>
      <c r="Y33" s="114" t="n"/>
      <c r="Z33" s="124" t="inlineStr">
        <is>
          <t>D</t>
        </is>
      </c>
      <c r="AA33" s="114" t="n"/>
      <c r="AB33" s="114" t="n"/>
      <c r="AC33" s="124" t="inlineStr">
        <is>
          <t>D</t>
        </is>
      </c>
      <c r="AD33" s="114" t="n"/>
      <c r="AE33" s="114" t="n"/>
      <c r="AF33" s="114" t="n"/>
      <c r="AG33" s="125" t="inlineStr">
        <is>
          <t>N</t>
        </is>
      </c>
      <c r="AH33" s="114" t="n"/>
      <c r="AI33" s="114" t="n"/>
      <c r="AJ33" s="124" t="inlineStr">
        <is>
          <t>D</t>
        </is>
      </c>
      <c r="AK33" s="114" t="n"/>
      <c r="AL33" s="114" t="n"/>
      <c r="AM33" s="100" t="n"/>
      <c r="AN33" s="136">
        <f>IFERROR(INDEX(OUT!I$8:I$73,MATCH($A33,OUT!$A$8:$A$73,0))&amp;"","")</f>
        <v/>
      </c>
      <c r="AO33" s="136">
        <f>IFERROR(INDEX(OUT!J$8:J$73,MATCH($A33,OUT!$A$8:$A$73,0))&amp;"","")</f>
        <v/>
      </c>
      <c r="AP33" s="116">
        <f>IFERROR(INDEX(OUT!K$8:K$73,MATCH($A33,OUT!$A$8:$A$73,0))&amp;"","")</f>
        <v/>
      </c>
      <c r="AQ33" s="116">
        <f>IFERROR(INDEX(OUT!L$8:L$73,MATCH($A33,OUT!$A$8:$A$73,0))&amp;"","")</f>
        <v/>
      </c>
      <c r="AR33" s="100" t="n"/>
      <c r="AS33" s="100" t="n"/>
      <c r="AT33" s="117">
        <f>SUMPRODUCT(($H33:$N33="M")*6+($H33:$N33="T")*6+($H33:$N33="D")*12+($H33:$N33="N")*12+($H33:$N33="NT")*6+($H33:$N33="C")*10+($H33:$N33="A")*8+($H33:$N33="J")*5+($H33:$N33="CEP")*4+($H33:$N33="CP")*6+($H33:$N33="CRO")*6+($H33:$N33="M+")*6+($H33:$N33="T+")*6+($H33:$N33="D+")*12+($H33:$N33="N+")*12+($H33:$N33="Dm+")*12+($H33:$N33="Dt+")*12+($H33:$N33="Tm-")*6+($H33:$N33="Mt-")*6)</f>
        <v/>
      </c>
      <c r="AU33" s="118">
        <f>AT33-MAX(0,IFERROR(INDEX(CADASTRO!$I$4:$I$80,MATCH($A33,CADASTRO!$A$4:$A$80,0)),$B33)-CONFIG!$B$50*(COUNTIF($H33:$N33,"AB")+COUNTIF($H33:$N33,"FE")+COUNTIF($H33:$N33,"LM")))</f>
        <v/>
      </c>
      <c r="AV33" s="117">
        <f>SUMPRODUCT(($O33:$U33="M")*6+($O33:$U33="T")*6+($O33:$U33="D")*12+($O33:$U33="N")*12+($O33:$U33="NT")*6+($O33:$U33="C")*10+($O33:$U33="A")*8+($O33:$U33="J")*5+($O33:$U33="CEP")*4+($O33:$U33="CP")*6+($O33:$U33="CRO")*6+($O33:$U33="M+")*6+($O33:$U33="T+")*6+($O33:$U33="D+")*12+($O33:$U33="N+")*12+($O33:$U33="Dm+")*12+($O33:$U33="Dt+")*12+($O33:$U33="Tm-")*6+($O33:$U33="Mt-")*6)</f>
        <v/>
      </c>
      <c r="AW33" s="118">
        <f>AV33-MAX(0,IFERROR(INDEX(CADASTRO!$I$4:$I$80,MATCH($A33,CADASTRO!$A$4:$A$80,0)),$B33)-CONFIG!$B$50*(COUNTIF($O33:$U33,"AB")+COUNTIF($O33:$U33,"FE")+COUNTIF($O33:$U33,"LM")))</f>
        <v/>
      </c>
      <c r="AX33" s="117">
        <f>SUMPRODUCT(($V33:$AB33="M")*6+($V33:$AB33="T")*6+($V33:$AB33="D")*12+($V33:$AB33="N")*12+($V33:$AB33="NT")*6+($V33:$AB33="C")*10+($V33:$AB33="A")*8+($V33:$AB33="J")*5+($V33:$AB33="CEP")*4+($V33:$AB33="CP")*6+($V33:$AB33="CRO")*6+($V33:$AB33="M+")*6+($V33:$AB33="T+")*6+($V33:$AB33="D+")*12+($V33:$AB33="N+")*12+($V33:$AB33="Dm+")*12+($V33:$AB33="Dt+")*12+($V33:$AB33="Tm-")*6+($V33:$AB33="Mt-")*6)</f>
        <v/>
      </c>
      <c r="AY33" s="118">
        <f>AX33-MAX(0,IFERROR(INDEX(CADASTRO!$I$4:$I$80,MATCH($A33,CADASTRO!$A$4:$A$80,0)),$B33)-CONFIG!$B$50*(COUNTIF($V33:$AB33,"AB")+COUNTIF($V33:$AB33,"FE")+COUNTIF($V33:$AB33,"LM")))</f>
        <v/>
      </c>
      <c r="AZ33" s="117">
        <f>SUMPRODUCT(($AC33:$AI33="M")*6+($AC33:$AI33="T")*6+($AC33:$AI33="D")*12+($AC33:$AI33="N")*12+($AC33:$AI33="NT")*6+($AC33:$AI33="C")*10+($AC33:$AI33="A")*8+($AC33:$AI33="J")*5+($AC33:$AI33="CEP")*4+($AC33:$AI33="CP")*6+($AC33:$AI33="CRO")*6+($AC33:$AI33="M+")*6+($AC33:$AI33="T+")*6+($AC33:$AI33="D+")*12+($AC33:$AI33="N+")*12+($AC33:$AI33="Dm+")*12+($AC33:$AI33="Dt+")*12+($AC33:$AI33="Tm-")*6+($AC33:$AI33="Mt-")*6)</f>
        <v/>
      </c>
      <c r="BA33" s="118">
        <f>AZ33-MAX(0,IFERROR(INDEX(CADASTRO!$I$4:$I$80,MATCH($A33,CADASTRO!$A$4:$A$80,0)),$B33)-CONFIG!$B$50*(COUNTIF($AC33:$AI33,"AB")+COUNTIF($AC33:$AI33,"FE")+COUNTIF($AC33:$AI33,"LM")))</f>
        <v/>
      </c>
      <c r="BB33" s="117">
        <f>SUMPRODUCT(($AJ33:$AL33="M")*6+($AJ33:$AL33="T")*6+($AJ33:$AL33="D")*12+($AJ33:$AL33="N")*12+($AJ33:$AL33="NT")*6+($AJ33:$AL33="C")*10+($AJ33:$AL33="A")*8+($AJ33:$AL33="J")*5+($AJ33:$AL33="CEP")*4+($AJ33:$AL33="CP")*6+($AJ33:$AL33="CRO")*6+($AJ33:$AL33="M+")*6+($AJ33:$AL33="T+")*6+($AJ33:$AL33="D+")*12+($AJ33:$AL33="N+")*12+($AJ33:$AL33="Dm+")*12+($AJ33:$AL33="Dt+")*12+($AJ33:$AL33="Tm-")*6+($AJ33:$AL33="Mt-")*6)+SUMPRODUCT(($AN33:$AQ33="M")*6+($AN33:$AQ33="T")*6+($AN33:$AQ33="D")*12+($AN33:$AQ33="N")*12+($AN33:$AQ33="NT")*6+($AN33:$AQ33="C")*10+($AN33:$AQ33="A")*8+($AN33:$AQ33="J")*5+($AN33:$AQ33="CEP")*4+($AN33:$AQ33="CP")*6+($AN33:$AQ33="CRO")*6+($AN33:$AQ33="M+")*6+($AN33:$AQ33="T+")*6+($AN33:$AQ33="D+")*12+($AN33:$AQ33="N+")*12+($AN33:$AQ33="Dm+")*12+($AN33:$AQ33="Dt+")*12+($AN33:$AQ33="Tm-")*6+($AN33:$AQ33="Mt-")*6)</f>
        <v/>
      </c>
      <c r="BC33" s="118">
        <f>BB33-MAX(0,IFERROR(INDEX(CADASTRO!$I$4:$I$80,MATCH($A33,CADASTRO!$A$4:$A$80,0)),$B33)-CONFIG!$B$50*(COUNTIF($AJ33:$AL33,"AB")+COUNTIF($AJ33:$AL33,"FE")+COUNTIF($AJ33:$AL33,"LM")+COUNTIF($AN33:$AQ33,"AB")+COUNTIF($AN33:$AQ33,"FE")+COUNTIF($AN33:$AQ33,"LM")))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ROUND(B33*4.29,0)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00" t="n"/>
      <c r="H34" s="136">
        <f>IFERROR(INDEX(AGO!AM$8:AM$73,MATCH($A34,AGO!$A$8:$A$73,0))&amp;"","")</f>
        <v/>
      </c>
      <c r="I34" s="114" t="n"/>
      <c r="J34" s="124" t="inlineStr">
        <is>
          <t>D</t>
        </is>
      </c>
      <c r="K34" s="114" t="n"/>
      <c r="L34" s="114" t="n"/>
      <c r="M34" s="124" t="inlineStr">
        <is>
          <t>D</t>
        </is>
      </c>
      <c r="N34" s="115" t="inlineStr">
        <is>
          <t>M</t>
        </is>
      </c>
      <c r="O34" s="114" t="n"/>
      <c r="P34" s="124" t="inlineStr">
        <is>
          <t>D</t>
        </is>
      </c>
      <c r="Q34" s="115" t="inlineStr">
        <is>
          <t>M</t>
        </is>
      </c>
      <c r="R34" s="124" t="inlineStr">
        <is>
          <t>D</t>
        </is>
      </c>
      <c r="S34" s="114" t="n"/>
      <c r="T34" s="114" t="n"/>
      <c r="U34" s="114" t="n"/>
      <c r="V34" s="114" t="n"/>
      <c r="W34" s="115" t="inlineStr">
        <is>
          <t>M</t>
        </is>
      </c>
      <c r="X34" s="124" t="inlineStr">
        <is>
          <t>D</t>
        </is>
      </c>
      <c r="Y34" s="114" t="n"/>
      <c r="Z34" s="114" t="n"/>
      <c r="AA34" s="124" t="inlineStr">
        <is>
          <t>D</t>
        </is>
      </c>
      <c r="AB34" s="114" t="n"/>
      <c r="AC34" s="114" t="n"/>
      <c r="AD34" s="124" t="inlineStr">
        <is>
          <t>D</t>
        </is>
      </c>
      <c r="AE34" s="115" t="inlineStr">
        <is>
          <t>M</t>
        </is>
      </c>
      <c r="AF34" s="114" t="n"/>
      <c r="AG34" s="125" t="inlineStr">
        <is>
          <t>N</t>
        </is>
      </c>
      <c r="AH34" s="114" t="n"/>
      <c r="AI34" s="114" t="n"/>
      <c r="AJ34" s="114" t="n"/>
      <c r="AK34" s="114" t="n"/>
      <c r="AL34" s="124" t="inlineStr">
        <is>
          <t>D</t>
        </is>
      </c>
      <c r="AM34" s="100" t="n"/>
      <c r="AN34" s="136">
        <f>IFERROR(INDEX(OUT!I$8:I$73,MATCH($A34,OUT!$A$8:$A$73,0))&amp;"","")</f>
        <v/>
      </c>
      <c r="AO34" s="136">
        <f>IFERROR(INDEX(OUT!J$8:J$73,MATCH($A34,OUT!$A$8:$A$73,0))&amp;"","")</f>
        <v/>
      </c>
      <c r="AP34" s="116">
        <f>IFERROR(INDEX(OUT!K$8:K$73,MATCH($A34,OUT!$A$8:$A$73,0))&amp;"","")</f>
        <v/>
      </c>
      <c r="AQ34" s="116">
        <f>IFERROR(INDEX(OUT!L$8:L$73,MATCH($A34,OUT!$A$8:$A$73,0))&amp;"","")</f>
        <v/>
      </c>
      <c r="AR34" s="100" t="n"/>
      <c r="AS34" s="100" t="n"/>
      <c r="AT34" s="117">
        <f>SUMPRODUCT(($H34:$N34="M")*6+($H34:$N34="T")*6+($H34:$N34="D")*12+($H34:$N34="N")*12+($H34:$N34="NT")*6+($H34:$N34="C")*10+($H34:$N34="A")*8+($H34:$N34="J")*5+($H34:$N34="CEP")*4+($H34:$N34="CP")*6+($H34:$N34="CRO")*6+($H34:$N34="M+")*6+($H34:$N34="T+")*6+($H34:$N34="D+")*12+($H34:$N34="N+")*12+($H34:$N34="Dm+")*12+($H34:$N34="Dt+")*12+($H34:$N34="Tm-")*6+($H34:$N34="Mt-")*6)</f>
        <v/>
      </c>
      <c r="AU34" s="118">
        <f>AT34-MAX(0,IFERROR(INDEX(CADASTRO!$I$4:$I$80,MATCH($A34,CADASTRO!$A$4:$A$80,0)),$B34)-CONFIG!$B$50*(COUNTIF($H34:$N34,"AB")+COUNTIF($H34:$N34,"FE")+COUNTIF($H34:$N34,"LM")))</f>
        <v/>
      </c>
      <c r="AV34" s="117">
        <f>SUMPRODUCT(($O34:$U34="M")*6+($O34:$U34="T")*6+($O34:$U34="D")*12+($O34:$U34="N")*12+($O34:$U34="NT")*6+($O34:$U34="C")*10+($O34:$U34="A")*8+($O34:$U34="J")*5+($O34:$U34="CEP")*4+($O34:$U34="CP")*6+($O34:$U34="CRO")*6+($O34:$U34="M+")*6+($O34:$U34="T+")*6+($O34:$U34="D+")*12+($O34:$U34="N+")*12+($O34:$U34="Dm+")*12+($O34:$U34="Dt+")*12+($O34:$U34="Tm-")*6+($O34:$U34="Mt-")*6)</f>
        <v/>
      </c>
      <c r="AW34" s="118">
        <f>AV34-MAX(0,IFERROR(INDEX(CADASTRO!$I$4:$I$80,MATCH($A34,CADASTRO!$A$4:$A$80,0)),$B34)-CONFIG!$B$50*(COUNTIF($O34:$U34,"AB")+COUNTIF($O34:$U34,"FE")+COUNTIF($O34:$U34,"LM")))</f>
        <v/>
      </c>
      <c r="AX34" s="117">
        <f>SUMPRODUCT(($V34:$AB34="M")*6+($V34:$AB34="T")*6+($V34:$AB34="D")*12+($V34:$AB34="N")*12+($V34:$AB34="NT")*6+($V34:$AB34="C")*10+($V34:$AB34="A")*8+($V34:$AB34="J")*5+($V34:$AB34="CEP")*4+($V34:$AB34="CP")*6+($V34:$AB34="CRO")*6+($V34:$AB34="M+")*6+($V34:$AB34="T+")*6+($V34:$AB34="D+")*12+($V34:$AB34="N+")*12+($V34:$AB34="Dm+")*12+($V34:$AB34="Dt+")*12+($V34:$AB34="Tm-")*6+($V34:$AB34="Mt-")*6)</f>
        <v/>
      </c>
      <c r="AY34" s="118">
        <f>AX34-MAX(0,IFERROR(INDEX(CADASTRO!$I$4:$I$80,MATCH($A34,CADASTRO!$A$4:$A$80,0)),$B34)-CONFIG!$B$50*(COUNTIF($V34:$AB34,"AB")+COUNTIF($V34:$AB34,"FE")+COUNTIF($V34:$AB34,"LM")))</f>
        <v/>
      </c>
      <c r="AZ34" s="117">
        <f>SUMPRODUCT(($AC34:$AI34="M")*6+($AC34:$AI34="T")*6+($AC34:$AI34="D")*12+($AC34:$AI34="N")*12+($AC34:$AI34="NT")*6+($AC34:$AI34="C")*10+($AC34:$AI34="A")*8+($AC34:$AI34="J")*5+($AC34:$AI34="CEP")*4+($AC34:$AI34="CP")*6+($AC34:$AI34="CRO")*6+($AC34:$AI34="M+")*6+($AC34:$AI34="T+")*6+($AC34:$AI34="D+")*12+($AC34:$AI34="N+")*12+($AC34:$AI34="Dm+")*12+($AC34:$AI34="Dt+")*12+($AC34:$AI34="Tm-")*6+($AC34:$AI34="Mt-")*6)</f>
        <v/>
      </c>
      <c r="BA34" s="118">
        <f>AZ34-MAX(0,IFERROR(INDEX(CADASTRO!$I$4:$I$80,MATCH($A34,CADASTRO!$A$4:$A$80,0)),$B34)-CONFIG!$B$50*(COUNTIF($AC34:$AI34,"AB")+COUNTIF($AC34:$AI34,"FE")+COUNTIF($AC34:$AI34,"LM")))</f>
        <v/>
      </c>
      <c r="BB34" s="117">
        <f>SUMPRODUCT(($AJ34:$AL34="M")*6+($AJ34:$AL34="T")*6+($AJ34:$AL34="D")*12+($AJ34:$AL34="N")*12+($AJ34:$AL34="NT")*6+($AJ34:$AL34="C")*10+($AJ34:$AL34="A")*8+($AJ34:$AL34="J")*5+($AJ34:$AL34="CEP")*4+($AJ34:$AL34="CP")*6+($AJ34:$AL34="CRO")*6+($AJ34:$AL34="M+")*6+($AJ34:$AL34="T+")*6+($AJ34:$AL34="D+")*12+($AJ34:$AL34="N+")*12+($AJ34:$AL34="Dm+")*12+($AJ34:$AL34="Dt+")*12+($AJ34:$AL34="Tm-")*6+($AJ34:$AL34="Mt-")*6)+SUMPRODUCT(($AN34:$AQ34="M")*6+($AN34:$AQ34="T")*6+($AN34:$AQ34="D")*12+($AN34:$AQ34="N")*12+($AN34:$AQ34="NT")*6+($AN34:$AQ34="C")*10+($AN34:$AQ34="A")*8+($AN34:$AQ34="J")*5+($AN34:$AQ34="CEP")*4+($AN34:$AQ34="CP")*6+($AN34:$AQ34="CRO")*6+($AN34:$AQ34="M+")*6+($AN34:$AQ34="T+")*6+($AN34:$AQ34="D+")*12+($AN34:$AQ34="N+")*12+($AN34:$AQ34="Dm+")*12+($AN34:$AQ34="Dt+")*12+($AN34:$AQ34="Tm-")*6+($AN34:$AQ34="Mt-")*6)</f>
        <v/>
      </c>
      <c r="BC34" s="118">
        <f>BB34-MAX(0,IFERROR(INDEX(CADASTRO!$I$4:$I$80,MATCH($A34,CADASTRO!$A$4:$A$80,0)),$B34)-CONFIG!$B$50*(COUNTIF($AJ34:$AL34,"AB")+COUNTIF($AJ34:$AL34,"FE")+COUNTIF($AJ34:$AL34,"LM")+COUNTIF($AN34:$AQ34,"AB")+COUNTIF($AN34:$AQ34,"FE")+COUNTIF($AN34:$AQ34,"LM")))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ROUND(B34*4.29,0)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00" t="n"/>
      <c r="H35" s="136">
        <f>IFERROR(INDEX(AGO!AM$8:AM$73,MATCH($A35,AGO!$A$8:$A$73,0))&amp;"","")</f>
        <v/>
      </c>
      <c r="I35" s="114" t="n"/>
      <c r="J35" s="114" t="n"/>
      <c r="K35" s="126" t="inlineStr">
        <is>
          <t>T</t>
        </is>
      </c>
      <c r="L35" s="125" t="inlineStr">
        <is>
          <t>N</t>
        </is>
      </c>
      <c r="M35" s="114" t="n"/>
      <c r="N35" s="114" t="n"/>
      <c r="O35" s="115" t="inlineStr">
        <is>
          <t>M</t>
        </is>
      </c>
      <c r="P35" s="115" t="inlineStr">
        <is>
          <t>M</t>
        </is>
      </c>
      <c r="Q35" s="115" t="inlineStr">
        <is>
          <t>M</t>
        </is>
      </c>
      <c r="R35" s="125" t="inlineStr">
        <is>
          <t>N</t>
        </is>
      </c>
      <c r="S35" s="114" t="n"/>
      <c r="T35" s="114" t="n"/>
      <c r="U35" s="114" t="n"/>
      <c r="V35" s="115" t="inlineStr">
        <is>
          <t>M</t>
        </is>
      </c>
      <c r="W35" s="126" t="inlineStr">
        <is>
          <t>T</t>
        </is>
      </c>
      <c r="X35" s="114" t="n"/>
      <c r="Y35" s="114" t="n"/>
      <c r="Z35" s="114" t="n"/>
      <c r="AA35" s="126" t="inlineStr">
        <is>
          <t>T</t>
        </is>
      </c>
      <c r="AB35" s="124" t="inlineStr">
        <is>
          <t>D</t>
        </is>
      </c>
      <c r="AC35" s="114" t="n"/>
      <c r="AD35" s="114" t="n"/>
      <c r="AE35" s="126" t="inlineStr">
        <is>
          <t>T</t>
        </is>
      </c>
      <c r="AF35" s="125" t="inlineStr">
        <is>
          <t>N</t>
        </is>
      </c>
      <c r="AG35" s="114" t="n"/>
      <c r="AH35" s="125" t="inlineStr">
        <is>
          <t>N</t>
        </is>
      </c>
      <c r="AI35" s="114" t="n"/>
      <c r="AJ35" s="114" t="n"/>
      <c r="AK35" s="114" t="n"/>
      <c r="AL35" s="124" t="inlineStr">
        <is>
          <t>D</t>
        </is>
      </c>
      <c r="AM35" s="100" t="n"/>
      <c r="AN35" s="136">
        <f>IFERROR(INDEX(OUT!I$8:I$73,MATCH($A35,OUT!$A$8:$A$73,0))&amp;"","")</f>
        <v/>
      </c>
      <c r="AO35" s="136">
        <f>IFERROR(INDEX(OUT!J$8:J$73,MATCH($A35,OUT!$A$8:$A$73,0))&amp;"","")</f>
        <v/>
      </c>
      <c r="AP35" s="116">
        <f>IFERROR(INDEX(OUT!K$8:K$73,MATCH($A35,OUT!$A$8:$A$73,0))&amp;"","")</f>
        <v/>
      </c>
      <c r="AQ35" s="116">
        <f>IFERROR(INDEX(OUT!L$8:L$73,MATCH($A35,OUT!$A$8:$A$73,0))&amp;"","")</f>
        <v/>
      </c>
      <c r="AR35" s="100" t="n"/>
      <c r="AS35" s="100" t="n"/>
      <c r="AT35" s="117">
        <f>SUMPRODUCT(($H35:$N35="M")*6+($H35:$N35="T")*6+($H35:$N35="D")*12+($H35:$N35="N")*12+($H35:$N35="NT")*6+($H35:$N35="C")*10+($H35:$N35="A")*8+($H35:$N35="J")*5+($H35:$N35="CEP")*4+($H35:$N35="CP")*6+($H35:$N35="CRO")*6+($H35:$N35="M+")*6+($H35:$N35="T+")*6+($H35:$N35="D+")*12+($H35:$N35="N+")*12+($H35:$N35="Dm+")*12+($H35:$N35="Dt+")*12+($H35:$N35="Tm-")*6+($H35:$N35="Mt-")*6)</f>
        <v/>
      </c>
      <c r="AU35" s="118">
        <f>AT35-MAX(0,IFERROR(INDEX(CADASTRO!$I$4:$I$80,MATCH($A35,CADASTRO!$A$4:$A$80,0)),$B35)-CONFIG!$B$50*(COUNTIF($H35:$N35,"AB")+COUNTIF($H35:$N35,"FE")+COUNTIF($H35:$N35,"LM")))</f>
        <v/>
      </c>
      <c r="AV35" s="117">
        <f>SUMPRODUCT(($O35:$U35="M")*6+($O35:$U35="T")*6+($O35:$U35="D")*12+($O35:$U35="N")*12+($O35:$U35="NT")*6+($O35:$U35="C")*10+($O35:$U35="A")*8+($O35:$U35="J")*5+($O35:$U35="CEP")*4+($O35:$U35="CP")*6+($O35:$U35="CRO")*6+($O35:$U35="M+")*6+($O35:$U35="T+")*6+($O35:$U35="D+")*12+($O35:$U35="N+")*12+($O35:$U35="Dm+")*12+($O35:$U35="Dt+")*12+($O35:$U35="Tm-")*6+($O35:$U35="Mt-")*6)</f>
        <v/>
      </c>
      <c r="AW35" s="118">
        <f>AV35-MAX(0,IFERROR(INDEX(CADASTRO!$I$4:$I$80,MATCH($A35,CADASTRO!$A$4:$A$80,0)),$B35)-CONFIG!$B$50*(COUNTIF($O35:$U35,"AB")+COUNTIF($O35:$U35,"FE")+COUNTIF($O35:$U35,"LM")))</f>
        <v/>
      </c>
      <c r="AX35" s="117">
        <f>SUMPRODUCT(($V35:$AB35="M")*6+($V35:$AB35="T")*6+($V35:$AB35="D")*12+($V35:$AB35="N")*12+($V35:$AB35="NT")*6+($V35:$AB35="C")*10+($V35:$AB35="A")*8+($V35:$AB35="J")*5+($V35:$AB35="CEP")*4+($V35:$AB35="CP")*6+($V35:$AB35="CRO")*6+($V35:$AB35="M+")*6+($V35:$AB35="T+")*6+($V35:$AB35="D+")*12+($V35:$AB35="N+")*12+($V35:$AB35="Dm+")*12+($V35:$AB35="Dt+")*12+($V35:$AB35="Tm-")*6+($V35:$AB35="Mt-")*6)</f>
        <v/>
      </c>
      <c r="AY35" s="118">
        <f>AX35-MAX(0,IFERROR(INDEX(CADASTRO!$I$4:$I$80,MATCH($A35,CADASTRO!$A$4:$A$80,0)),$B35)-CONFIG!$B$50*(COUNTIF($V35:$AB35,"AB")+COUNTIF($V35:$AB35,"FE")+COUNTIF($V35:$AB35,"LM")))</f>
        <v/>
      </c>
      <c r="AZ35" s="117">
        <f>SUMPRODUCT(($AC35:$AI35="M")*6+($AC35:$AI35="T")*6+($AC35:$AI35="D")*12+($AC35:$AI35="N")*12+($AC35:$AI35="NT")*6+($AC35:$AI35="C")*10+($AC35:$AI35="A")*8+($AC35:$AI35="J")*5+($AC35:$AI35="CEP")*4+($AC35:$AI35="CP")*6+($AC35:$AI35="CRO")*6+($AC35:$AI35="M+")*6+($AC35:$AI35="T+")*6+($AC35:$AI35="D+")*12+($AC35:$AI35="N+")*12+($AC35:$AI35="Dm+")*12+($AC35:$AI35="Dt+")*12+($AC35:$AI35="Tm-")*6+($AC35:$AI35="Mt-")*6)</f>
        <v/>
      </c>
      <c r="BA35" s="118">
        <f>AZ35-MAX(0,IFERROR(INDEX(CADASTRO!$I$4:$I$80,MATCH($A35,CADASTRO!$A$4:$A$80,0)),$B35)-CONFIG!$B$50*(COUNTIF($AC35:$AI35,"AB")+COUNTIF($AC35:$AI35,"FE")+COUNTIF($AC35:$AI35,"LM")))</f>
        <v/>
      </c>
      <c r="BB35" s="117">
        <f>SUMPRODUCT(($AJ35:$AL35="M")*6+($AJ35:$AL35="T")*6+($AJ35:$AL35="D")*12+($AJ35:$AL35="N")*12+($AJ35:$AL35="NT")*6+($AJ35:$AL35="C")*10+($AJ35:$AL35="A")*8+($AJ35:$AL35="J")*5+($AJ35:$AL35="CEP")*4+($AJ35:$AL35="CP")*6+($AJ35:$AL35="CRO")*6+($AJ35:$AL35="M+")*6+($AJ35:$AL35="T+")*6+($AJ35:$AL35="D+")*12+($AJ35:$AL35="N+")*12+($AJ35:$AL35="Dm+")*12+($AJ35:$AL35="Dt+")*12+($AJ35:$AL35="Tm-")*6+($AJ35:$AL35="Mt-")*6)+SUMPRODUCT(($AN35:$AQ35="M")*6+($AN35:$AQ35="T")*6+($AN35:$AQ35="D")*12+($AN35:$AQ35="N")*12+($AN35:$AQ35="NT")*6+($AN35:$AQ35="C")*10+($AN35:$AQ35="A")*8+($AN35:$AQ35="J")*5+($AN35:$AQ35="CEP")*4+($AN35:$AQ35="CP")*6+($AN35:$AQ35="CRO")*6+($AN35:$AQ35="M+")*6+($AN35:$AQ35="T+")*6+($AN35:$AQ35="D+")*12+($AN35:$AQ35="N+")*12+($AN35:$AQ35="Dm+")*12+($AN35:$AQ35="Dt+")*12+($AN35:$AQ35="Tm-")*6+($AN35:$AQ35="Mt-")*6)</f>
        <v/>
      </c>
      <c r="BC35" s="118">
        <f>BB35-MAX(0,IFERROR(INDEX(CADASTRO!$I$4:$I$80,MATCH($A35,CADASTRO!$A$4:$A$80,0)),$B35)-CONFIG!$B$50*(COUNTIF($AJ35:$AL35,"AB")+COUNTIF($AJ35:$AL35,"FE")+COUNTIF($AJ35:$AL35,"LM")+COUNTIF($AN35:$AQ35,"AB")+COUNTIF($AN35:$AQ35,"FE")+COUNTIF($AN35:$AQ35,"LM")))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ROUND(B35*4.29,0)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00" t="n"/>
      <c r="H36" s="136">
        <f>IFERROR(INDEX(AGO!AM$8:AM$73,MATCH($A36,AGO!$A$8:$A$73,0))&amp;"","")</f>
        <v/>
      </c>
      <c r="I36" s="139" t="inlineStr">
        <is>
          <t>FE</t>
        </is>
      </c>
      <c r="J36" s="139" t="inlineStr">
        <is>
          <t>FE</t>
        </is>
      </c>
      <c r="K36" s="139" t="inlineStr">
        <is>
          <t>FE</t>
        </is>
      </c>
      <c r="L36" s="139" t="inlineStr">
        <is>
          <t>FE</t>
        </is>
      </c>
      <c r="M36" s="139" t="inlineStr">
        <is>
          <t>FE</t>
        </is>
      </c>
      <c r="N36" s="139" t="inlineStr">
        <is>
          <t>FE</t>
        </is>
      </c>
      <c r="O36" s="139" t="inlineStr">
        <is>
          <t>FE</t>
        </is>
      </c>
      <c r="P36" s="139" t="inlineStr">
        <is>
          <t>FE</t>
        </is>
      </c>
      <c r="Q36" s="139" t="inlineStr">
        <is>
          <t>FE</t>
        </is>
      </c>
      <c r="R36" s="139" t="inlineStr">
        <is>
          <t>FE</t>
        </is>
      </c>
      <c r="S36" s="139" t="inlineStr">
        <is>
          <t>FE</t>
        </is>
      </c>
      <c r="T36" s="139" t="inlineStr">
        <is>
          <t>FE</t>
        </is>
      </c>
      <c r="U36" s="139" t="inlineStr">
        <is>
          <t>FE</t>
        </is>
      </c>
      <c r="V36" s="139" t="inlineStr">
        <is>
          <t>FE</t>
        </is>
      </c>
      <c r="W36" s="125" t="inlineStr">
        <is>
          <t>N</t>
        </is>
      </c>
      <c r="X36" s="114" t="n"/>
      <c r="Y36" s="114" t="n"/>
      <c r="Z36" s="114" t="n"/>
      <c r="AA36" s="124" t="inlineStr">
        <is>
          <t>D</t>
        </is>
      </c>
      <c r="AB36" s="114" t="n"/>
      <c r="AC36" s="126" t="inlineStr">
        <is>
          <t>T</t>
        </is>
      </c>
      <c r="AD36" s="125" t="inlineStr">
        <is>
          <t>N</t>
        </is>
      </c>
      <c r="AE36" s="114" t="n"/>
      <c r="AF36" s="124" t="inlineStr">
        <is>
          <t>D</t>
        </is>
      </c>
      <c r="AG36" s="114" t="n"/>
      <c r="AH36" s="114" t="n"/>
      <c r="AI36" s="114" t="n"/>
      <c r="AJ36" s="114" t="n"/>
      <c r="AK36" s="125" t="inlineStr">
        <is>
          <t>N</t>
        </is>
      </c>
      <c r="AL36" s="114" t="n"/>
      <c r="AM36" s="100" t="n"/>
      <c r="AN36" s="136">
        <f>IFERROR(INDEX(OUT!I$8:I$73,MATCH($A36,OUT!$A$8:$A$73,0))&amp;"","")</f>
        <v/>
      </c>
      <c r="AO36" s="136">
        <f>IFERROR(INDEX(OUT!J$8:J$73,MATCH($A36,OUT!$A$8:$A$73,0))&amp;"","")</f>
        <v/>
      </c>
      <c r="AP36" s="116">
        <f>IFERROR(INDEX(OUT!K$8:K$73,MATCH($A36,OUT!$A$8:$A$73,0))&amp;"","")</f>
        <v/>
      </c>
      <c r="AQ36" s="116">
        <f>IFERROR(INDEX(OUT!L$8:L$73,MATCH($A36,OUT!$A$8:$A$73,0))&amp;"","")</f>
        <v/>
      </c>
      <c r="AR36" s="100" t="n"/>
      <c r="AS36" s="100" t="n"/>
      <c r="AT36" s="117">
        <f>SUMPRODUCT(($H36:$N36="M")*6+($H36:$N36="T")*6+($H36:$N36="D")*12+($H36:$N36="N")*12+($H36:$N36="NT")*6+($H36:$N36="C")*10+($H36:$N36="A")*8+($H36:$N36="J")*5+($H36:$N36="CEP")*4+($H36:$N36="CP")*6+($H36:$N36="CRO")*6+($H36:$N36="M+")*6+($H36:$N36="T+")*6+($H36:$N36="D+")*12+($H36:$N36="N+")*12+($H36:$N36="Dm+")*12+($H36:$N36="Dt+")*12+($H36:$N36="Tm-")*6+($H36:$N36="Mt-")*6)</f>
        <v/>
      </c>
      <c r="AU36" s="118">
        <f>AT36-MAX(0,IFERROR(INDEX(CADASTRO!$I$4:$I$80,MATCH($A36,CADASTRO!$A$4:$A$80,0)),$B36)-CONFIG!$B$50*(COUNTIF($H36:$N36,"AB")+COUNTIF($H36:$N36,"FE")+COUNTIF($H36:$N36,"LM")))</f>
        <v/>
      </c>
      <c r="AV36" s="117">
        <f>SUMPRODUCT(($O36:$U36="M")*6+($O36:$U36="T")*6+($O36:$U36="D")*12+($O36:$U36="N")*12+($O36:$U36="NT")*6+($O36:$U36="C")*10+($O36:$U36="A")*8+($O36:$U36="J")*5+($O36:$U36="CEP")*4+($O36:$U36="CP")*6+($O36:$U36="CRO")*6+($O36:$U36="M+")*6+($O36:$U36="T+")*6+($O36:$U36="D+")*12+($O36:$U36="N+")*12+($O36:$U36="Dm+")*12+($O36:$U36="Dt+")*12+($O36:$U36="Tm-")*6+($O36:$U36="Mt-")*6)</f>
        <v/>
      </c>
      <c r="AW36" s="118">
        <f>AV36-MAX(0,IFERROR(INDEX(CADASTRO!$I$4:$I$80,MATCH($A36,CADASTRO!$A$4:$A$80,0)),$B36)-CONFIG!$B$50*(COUNTIF($O36:$U36,"AB")+COUNTIF($O36:$U36,"FE")+COUNTIF($O36:$U36,"LM")))</f>
        <v/>
      </c>
      <c r="AX36" s="117">
        <f>SUMPRODUCT(($V36:$AB36="M")*6+($V36:$AB36="T")*6+($V36:$AB36="D")*12+($V36:$AB36="N")*12+($V36:$AB36="NT")*6+($V36:$AB36="C")*10+($V36:$AB36="A")*8+($V36:$AB36="J")*5+($V36:$AB36="CEP")*4+($V36:$AB36="CP")*6+($V36:$AB36="CRO")*6+($V36:$AB36="M+")*6+($V36:$AB36="T+")*6+($V36:$AB36="D+")*12+($V36:$AB36="N+")*12+($V36:$AB36="Dm+")*12+($V36:$AB36="Dt+")*12+($V36:$AB36="Tm-")*6+($V36:$AB36="Mt-")*6)</f>
        <v/>
      </c>
      <c r="AY36" s="118">
        <f>AX36-MAX(0,IFERROR(INDEX(CADASTRO!$I$4:$I$80,MATCH($A36,CADASTRO!$A$4:$A$80,0)),$B36)-CONFIG!$B$50*(COUNTIF($V36:$AB36,"AB")+COUNTIF($V36:$AB36,"FE")+COUNTIF($V36:$AB36,"LM")))</f>
        <v/>
      </c>
      <c r="AZ36" s="117">
        <f>SUMPRODUCT(($AC36:$AI36="M")*6+($AC36:$AI36="T")*6+($AC36:$AI36="D")*12+($AC36:$AI36="N")*12+($AC36:$AI36="NT")*6+($AC36:$AI36="C")*10+($AC36:$AI36="A")*8+($AC36:$AI36="J")*5+($AC36:$AI36="CEP")*4+($AC36:$AI36="CP")*6+($AC36:$AI36="CRO")*6+($AC36:$AI36="M+")*6+($AC36:$AI36="T+")*6+($AC36:$AI36="D+")*12+($AC36:$AI36="N+")*12+($AC36:$AI36="Dm+")*12+($AC36:$AI36="Dt+")*12+($AC36:$AI36="Tm-")*6+($AC36:$AI36="Mt-")*6)</f>
        <v/>
      </c>
      <c r="BA36" s="118">
        <f>AZ36-MAX(0,IFERROR(INDEX(CADASTRO!$I$4:$I$80,MATCH($A36,CADASTRO!$A$4:$A$80,0)),$B36)-CONFIG!$B$50*(COUNTIF($AC36:$AI36,"AB")+COUNTIF($AC36:$AI36,"FE")+COUNTIF($AC36:$AI36,"LM")))</f>
        <v/>
      </c>
      <c r="BB36" s="117">
        <f>SUMPRODUCT(($AJ36:$AL36="M")*6+($AJ36:$AL36="T")*6+($AJ36:$AL36="D")*12+($AJ36:$AL36="N")*12+($AJ36:$AL36="NT")*6+($AJ36:$AL36="C")*10+($AJ36:$AL36="A")*8+($AJ36:$AL36="J")*5+($AJ36:$AL36="CEP")*4+($AJ36:$AL36="CP")*6+($AJ36:$AL36="CRO")*6+($AJ36:$AL36="M+")*6+($AJ36:$AL36="T+")*6+($AJ36:$AL36="D+")*12+($AJ36:$AL36="N+")*12+($AJ36:$AL36="Dm+")*12+($AJ36:$AL36="Dt+")*12+($AJ36:$AL36="Tm-")*6+($AJ36:$AL36="Mt-")*6)+SUMPRODUCT(($AN36:$AQ36="M")*6+($AN36:$AQ36="T")*6+($AN36:$AQ36="D")*12+($AN36:$AQ36="N")*12+($AN36:$AQ36="NT")*6+($AN36:$AQ36="C")*10+($AN36:$AQ36="A")*8+($AN36:$AQ36="J")*5+($AN36:$AQ36="CEP")*4+($AN36:$AQ36="CP")*6+($AN36:$AQ36="CRO")*6+($AN36:$AQ36="M+")*6+($AN36:$AQ36="T+")*6+($AN36:$AQ36="D+")*12+($AN36:$AQ36="N+")*12+($AN36:$AQ36="Dm+")*12+($AN36:$AQ36="Dt+")*12+($AN36:$AQ36="Tm-")*6+($AN36:$AQ36="Mt-")*6)</f>
        <v/>
      </c>
      <c r="BC36" s="118">
        <f>BB36-MAX(0,IFERROR(INDEX(CADASTRO!$I$4:$I$80,MATCH($A36,CADASTRO!$A$4:$A$80,0)),$B36)-CONFIG!$B$50*(COUNTIF($AJ36:$AL36,"AB")+COUNTIF($AJ36:$AL36,"FE")+COUNTIF($AJ36:$AL36,"LM")+COUNTIF($AN36:$AQ36,"AB")+COUNTIF($AN36:$AQ36,"FE")+COUNTIF($AN36:$AQ36,"LM")))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ROUND(B36*4.29,0)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00" t="n"/>
      <c r="H37" s="136">
        <f>IFERROR(INDEX(AGO!AM$8:AM$73,MATCH($A37,AGO!$A$8:$A$73,0))&amp;"","")</f>
        <v/>
      </c>
      <c r="I37" s="115" t="inlineStr">
        <is>
          <t>M</t>
        </is>
      </c>
      <c r="J37" s="125" t="inlineStr">
        <is>
          <t>N</t>
        </is>
      </c>
      <c r="K37" s="114" t="n"/>
      <c r="L37" s="115" t="inlineStr">
        <is>
          <t>M</t>
        </is>
      </c>
      <c r="M37" s="114" t="n"/>
      <c r="N37" s="114" t="n"/>
      <c r="O37" s="114" t="n"/>
      <c r="P37" s="115" t="inlineStr">
        <is>
          <t>M</t>
        </is>
      </c>
      <c r="Q37" s="114" t="n"/>
      <c r="R37" s="114" t="n"/>
      <c r="S37" s="115" t="inlineStr">
        <is>
          <t>M</t>
        </is>
      </c>
      <c r="T37" s="124" t="inlineStr">
        <is>
          <t>D</t>
        </is>
      </c>
      <c r="U37" s="126" t="inlineStr">
        <is>
          <t>T</t>
        </is>
      </c>
      <c r="V37" s="114" t="n"/>
      <c r="W37" s="115" t="inlineStr">
        <is>
          <t>M</t>
        </is>
      </c>
      <c r="X37" s="115" t="inlineStr">
        <is>
          <t>M</t>
        </is>
      </c>
      <c r="Y37" s="114" t="n"/>
      <c r="Z37" s="115" t="inlineStr">
        <is>
          <t>M</t>
        </is>
      </c>
      <c r="AA37" s="114" t="n"/>
      <c r="AB37" s="124" t="inlineStr">
        <is>
          <t>D</t>
        </is>
      </c>
      <c r="AC37" s="126" t="inlineStr">
        <is>
          <t>T</t>
        </is>
      </c>
      <c r="AD37" s="124" t="inlineStr">
        <is>
          <t>D</t>
        </is>
      </c>
      <c r="AE37" s="125" t="inlineStr">
        <is>
          <t>N</t>
        </is>
      </c>
      <c r="AF37" s="114" t="n"/>
      <c r="AG37" s="114" t="n"/>
      <c r="AH37" s="114" t="n"/>
      <c r="AI37" s="114" t="n"/>
      <c r="AJ37" s="139" t="inlineStr">
        <is>
          <t>FE</t>
        </is>
      </c>
      <c r="AK37" s="139" t="inlineStr">
        <is>
          <t>FE</t>
        </is>
      </c>
      <c r="AL37" s="139" t="inlineStr">
        <is>
          <t>FE</t>
        </is>
      </c>
      <c r="AM37" s="100" t="n"/>
      <c r="AN37" s="136">
        <f>IFERROR(INDEX(OUT!I$8:I$73,MATCH($A37,OUT!$A$8:$A$73,0))&amp;"","")</f>
        <v/>
      </c>
      <c r="AO37" s="136">
        <f>IFERROR(INDEX(OUT!J$8:J$73,MATCH($A37,OUT!$A$8:$A$73,0))&amp;"","")</f>
        <v/>
      </c>
      <c r="AP37" s="116">
        <f>IFERROR(INDEX(OUT!K$8:K$73,MATCH($A37,OUT!$A$8:$A$73,0))&amp;"","")</f>
        <v/>
      </c>
      <c r="AQ37" s="116">
        <f>IFERROR(INDEX(OUT!L$8:L$73,MATCH($A37,OUT!$A$8:$A$73,0))&amp;"","")</f>
        <v/>
      </c>
      <c r="AR37" s="100" t="n"/>
      <c r="AS37" s="100" t="n"/>
      <c r="AT37" s="117">
        <f>SUMPRODUCT(($H37:$N37="M")*6+($H37:$N37="T")*6+($H37:$N37="D")*12+($H37:$N37="N")*12+($H37:$N37="NT")*6+($H37:$N37="C")*10+($H37:$N37="A")*8+($H37:$N37="J")*5+($H37:$N37="CEP")*4+($H37:$N37="CP")*6+($H37:$N37="CRO")*6+($H37:$N37="M+")*6+($H37:$N37="T+")*6+($H37:$N37="D+")*12+($H37:$N37="N+")*12+($H37:$N37="Dm+")*12+($H37:$N37="Dt+")*12+($H37:$N37="Tm-")*6+($H37:$N37="Mt-")*6)</f>
        <v/>
      </c>
      <c r="AU37" s="118">
        <f>AT37-MAX(0,IFERROR(INDEX(CADASTRO!$I$4:$I$80,MATCH($A37,CADASTRO!$A$4:$A$80,0)),$B37)-CONFIG!$B$50*(COUNTIF($H37:$N37,"AB")+COUNTIF($H37:$N37,"FE")+COUNTIF($H37:$N37,"LM")))</f>
        <v/>
      </c>
      <c r="AV37" s="117">
        <f>SUMPRODUCT(($O37:$U37="M")*6+($O37:$U37="T")*6+($O37:$U37="D")*12+($O37:$U37="N")*12+($O37:$U37="NT")*6+($O37:$U37="C")*10+($O37:$U37="A")*8+($O37:$U37="J")*5+($O37:$U37="CEP")*4+($O37:$U37="CP")*6+($O37:$U37="CRO")*6+($O37:$U37="M+")*6+($O37:$U37="T+")*6+($O37:$U37="D+")*12+($O37:$U37="N+")*12+($O37:$U37="Dm+")*12+($O37:$U37="Dt+")*12+($O37:$U37="Tm-")*6+($O37:$U37="Mt-")*6)</f>
        <v/>
      </c>
      <c r="AW37" s="118">
        <f>AV37-MAX(0,IFERROR(INDEX(CADASTRO!$I$4:$I$80,MATCH($A37,CADASTRO!$A$4:$A$80,0)),$B37)-CONFIG!$B$50*(COUNTIF($O37:$U37,"AB")+COUNTIF($O37:$U37,"FE")+COUNTIF($O37:$U37,"LM")))</f>
        <v/>
      </c>
      <c r="AX37" s="117">
        <f>SUMPRODUCT(($V37:$AB37="M")*6+($V37:$AB37="T")*6+($V37:$AB37="D")*12+($V37:$AB37="N")*12+($V37:$AB37="NT")*6+($V37:$AB37="C")*10+($V37:$AB37="A")*8+($V37:$AB37="J")*5+($V37:$AB37="CEP")*4+($V37:$AB37="CP")*6+($V37:$AB37="CRO")*6+($V37:$AB37="M+")*6+($V37:$AB37="T+")*6+($V37:$AB37="D+")*12+($V37:$AB37="N+")*12+($V37:$AB37="Dm+")*12+($V37:$AB37="Dt+")*12+($V37:$AB37="Tm-")*6+($V37:$AB37="Mt-")*6)</f>
        <v/>
      </c>
      <c r="AY37" s="118">
        <f>AX37-MAX(0,IFERROR(INDEX(CADASTRO!$I$4:$I$80,MATCH($A37,CADASTRO!$A$4:$A$80,0)),$B37)-CONFIG!$B$50*(COUNTIF($V37:$AB37,"AB")+COUNTIF($V37:$AB37,"FE")+COUNTIF($V37:$AB37,"LM")))</f>
        <v/>
      </c>
      <c r="AZ37" s="117">
        <f>SUMPRODUCT(($AC37:$AI37="M")*6+($AC37:$AI37="T")*6+($AC37:$AI37="D")*12+($AC37:$AI37="N")*12+($AC37:$AI37="NT")*6+($AC37:$AI37="C")*10+($AC37:$AI37="A")*8+($AC37:$AI37="J")*5+($AC37:$AI37="CEP")*4+($AC37:$AI37="CP")*6+($AC37:$AI37="CRO")*6+($AC37:$AI37="M+")*6+($AC37:$AI37="T+")*6+($AC37:$AI37="D+")*12+($AC37:$AI37="N+")*12+($AC37:$AI37="Dm+")*12+($AC37:$AI37="Dt+")*12+($AC37:$AI37="Tm-")*6+($AC37:$AI37="Mt-")*6)</f>
        <v/>
      </c>
      <c r="BA37" s="118">
        <f>AZ37-MAX(0,IFERROR(INDEX(CADASTRO!$I$4:$I$80,MATCH($A37,CADASTRO!$A$4:$A$80,0)),$B37)-CONFIG!$B$50*(COUNTIF($AC37:$AI37,"AB")+COUNTIF($AC37:$AI37,"FE")+COUNTIF($AC37:$AI37,"LM")))</f>
        <v/>
      </c>
      <c r="BB37" s="117">
        <f>SUMPRODUCT(($AJ37:$AL37="M")*6+($AJ37:$AL37="T")*6+($AJ37:$AL37="D")*12+($AJ37:$AL37="N")*12+($AJ37:$AL37="NT")*6+($AJ37:$AL37="C")*10+($AJ37:$AL37="A")*8+($AJ37:$AL37="J")*5+($AJ37:$AL37="CEP")*4+($AJ37:$AL37="CP")*6+($AJ37:$AL37="CRO")*6+($AJ37:$AL37="M+")*6+($AJ37:$AL37="T+")*6+($AJ37:$AL37="D+")*12+($AJ37:$AL37="N+")*12+($AJ37:$AL37="Dm+")*12+($AJ37:$AL37="Dt+")*12+($AJ37:$AL37="Tm-")*6+($AJ37:$AL37="Mt-")*6)+SUMPRODUCT(($AN37:$AQ37="M")*6+($AN37:$AQ37="T")*6+($AN37:$AQ37="D")*12+($AN37:$AQ37="N")*12+($AN37:$AQ37="NT")*6+($AN37:$AQ37="C")*10+($AN37:$AQ37="A")*8+($AN37:$AQ37="J")*5+($AN37:$AQ37="CEP")*4+($AN37:$AQ37="CP")*6+($AN37:$AQ37="CRO")*6+($AN37:$AQ37="M+")*6+($AN37:$AQ37="T+")*6+($AN37:$AQ37="D+")*12+($AN37:$AQ37="N+")*12+($AN37:$AQ37="Dm+")*12+($AN37:$AQ37="Dt+")*12+($AN37:$AQ37="Tm-")*6+($AN37:$AQ37="Mt-")*6)</f>
        <v/>
      </c>
      <c r="BC37" s="118">
        <f>BB37-MAX(0,IFERROR(INDEX(CADASTRO!$I$4:$I$80,MATCH($A37,CADASTRO!$A$4:$A$80,0)),$B37)-CONFIG!$B$50*(COUNTIF($AJ37:$AL37,"AB")+COUNTIF($AJ37:$AL37,"FE")+COUNTIF($AJ37:$AL37,"LM")+COUNTIF($AN37:$AQ37,"AB")+COUNTIF($AN37:$AQ37,"FE")+COUNTIF($AN37:$AQ37,"LM")))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ROUND(B37*4.29,0)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00" t="n"/>
      <c r="H38" s="136">
        <f>IFERROR(INDEX(AGO!AM$8:AM$73,MATCH($A38,AGO!$A$8:$A$73,0))&amp;"","")</f>
        <v/>
      </c>
      <c r="I38" s="125" t="inlineStr">
        <is>
          <t>N</t>
        </is>
      </c>
      <c r="J38" s="114" t="n"/>
      <c r="K38" s="125" t="inlineStr">
        <is>
          <t>N</t>
        </is>
      </c>
      <c r="L38" s="114" t="n"/>
      <c r="M38" s="114" t="n"/>
      <c r="N38" s="114" t="n"/>
      <c r="O38" s="125" t="inlineStr">
        <is>
          <t>N</t>
        </is>
      </c>
      <c r="P38" s="114" t="n"/>
      <c r="Q38" s="114" t="n"/>
      <c r="R38" s="114" t="n"/>
      <c r="S38" s="125" t="inlineStr">
        <is>
          <t>N</t>
        </is>
      </c>
      <c r="T38" s="114" t="n"/>
      <c r="U38" s="114" t="n"/>
      <c r="V38" s="115" t="inlineStr">
        <is>
          <t>M</t>
        </is>
      </c>
      <c r="W38" s="115" t="inlineStr">
        <is>
          <t>M</t>
        </is>
      </c>
      <c r="X38" s="114" t="n"/>
      <c r="Y38" s="114" t="n"/>
      <c r="Z38" s="114" t="n"/>
      <c r="AA38" s="125" t="inlineStr">
        <is>
          <t>N</t>
        </is>
      </c>
      <c r="AB38" s="114" t="n"/>
      <c r="AC38" s="124" t="inlineStr">
        <is>
          <t>D</t>
        </is>
      </c>
      <c r="AD38" s="114" t="n"/>
      <c r="AE38" s="114" t="n"/>
      <c r="AF38" s="114" t="n"/>
      <c r="AG38" s="114" t="n"/>
      <c r="AH38" s="114" t="n"/>
      <c r="AI38" s="125" t="inlineStr">
        <is>
          <t>N</t>
        </is>
      </c>
      <c r="AJ38" s="125" t="inlineStr">
        <is>
          <t>N</t>
        </is>
      </c>
      <c r="AK38" s="114" t="n"/>
      <c r="AL38" s="114" t="n"/>
      <c r="AM38" s="100" t="n"/>
      <c r="AN38" s="136">
        <f>IFERROR(INDEX(OUT!I$8:I$73,MATCH($A38,OUT!$A$8:$A$73,0))&amp;"","")</f>
        <v/>
      </c>
      <c r="AO38" s="136">
        <f>IFERROR(INDEX(OUT!J$8:J$73,MATCH($A38,OUT!$A$8:$A$73,0))&amp;"","")</f>
        <v/>
      </c>
      <c r="AP38" s="116">
        <f>IFERROR(INDEX(OUT!K$8:K$73,MATCH($A38,OUT!$A$8:$A$73,0))&amp;"","")</f>
        <v/>
      </c>
      <c r="AQ38" s="116">
        <f>IFERROR(INDEX(OUT!L$8:L$73,MATCH($A38,OUT!$A$8:$A$73,0))&amp;"","")</f>
        <v/>
      </c>
      <c r="AR38" s="100" t="n"/>
      <c r="AS38" s="100" t="n"/>
      <c r="AT38" s="117">
        <f>SUMPRODUCT(($H38:$N38="M")*6+($H38:$N38="T")*6+($H38:$N38="D")*12+($H38:$N38="N")*12+($H38:$N38="NT")*6+($H38:$N38="C")*10+($H38:$N38="A")*8+($H38:$N38="J")*5+($H38:$N38="CEP")*4+($H38:$N38="CP")*6+($H38:$N38="CRO")*6+($H38:$N38="M+")*6+($H38:$N38="T+")*6+($H38:$N38="D+")*12+($H38:$N38="N+")*12+($H38:$N38="Dm+")*12+($H38:$N38="Dt+")*12+($H38:$N38="Tm-")*6+($H38:$N38="Mt-")*6)</f>
        <v/>
      </c>
      <c r="AU38" s="118">
        <f>AT38-MAX(0,IFERROR(INDEX(CADASTRO!$I$4:$I$80,MATCH($A38,CADASTRO!$A$4:$A$80,0)),$B38)-CONFIG!$B$50*(COUNTIF($H38:$N38,"AB")+COUNTIF($H38:$N38,"FE")+COUNTIF($H38:$N38,"LM")))</f>
        <v/>
      </c>
      <c r="AV38" s="117">
        <f>SUMPRODUCT(($O38:$U38="M")*6+($O38:$U38="T")*6+($O38:$U38="D")*12+($O38:$U38="N")*12+($O38:$U38="NT")*6+($O38:$U38="C")*10+($O38:$U38="A")*8+($O38:$U38="J")*5+($O38:$U38="CEP")*4+($O38:$U38="CP")*6+($O38:$U38="CRO")*6+($O38:$U38="M+")*6+($O38:$U38="T+")*6+($O38:$U38="D+")*12+($O38:$U38="N+")*12+($O38:$U38="Dm+")*12+($O38:$U38="Dt+")*12+($O38:$U38="Tm-")*6+($O38:$U38="Mt-")*6)</f>
        <v/>
      </c>
      <c r="AW38" s="118">
        <f>AV38-MAX(0,IFERROR(INDEX(CADASTRO!$I$4:$I$80,MATCH($A38,CADASTRO!$A$4:$A$80,0)),$B38)-CONFIG!$B$50*(COUNTIF($O38:$U38,"AB")+COUNTIF($O38:$U38,"FE")+COUNTIF($O38:$U38,"LM")))</f>
        <v/>
      </c>
      <c r="AX38" s="117">
        <f>SUMPRODUCT(($V38:$AB38="M")*6+($V38:$AB38="T")*6+($V38:$AB38="D")*12+($V38:$AB38="N")*12+($V38:$AB38="NT")*6+($V38:$AB38="C")*10+($V38:$AB38="A")*8+($V38:$AB38="J")*5+($V38:$AB38="CEP")*4+($V38:$AB38="CP")*6+($V38:$AB38="CRO")*6+($V38:$AB38="M+")*6+($V38:$AB38="T+")*6+($V38:$AB38="D+")*12+($V38:$AB38="N+")*12+($V38:$AB38="Dm+")*12+($V38:$AB38="Dt+")*12+($V38:$AB38="Tm-")*6+($V38:$AB38="Mt-")*6)</f>
        <v/>
      </c>
      <c r="AY38" s="118">
        <f>AX38-MAX(0,IFERROR(INDEX(CADASTRO!$I$4:$I$80,MATCH($A38,CADASTRO!$A$4:$A$80,0)),$B38)-CONFIG!$B$50*(COUNTIF($V38:$AB38,"AB")+COUNTIF($V38:$AB38,"FE")+COUNTIF($V38:$AB38,"LM")))</f>
        <v/>
      </c>
      <c r="AZ38" s="117">
        <f>SUMPRODUCT(($AC38:$AI38="M")*6+($AC38:$AI38="T")*6+($AC38:$AI38="D")*12+($AC38:$AI38="N")*12+($AC38:$AI38="NT")*6+($AC38:$AI38="C")*10+($AC38:$AI38="A")*8+($AC38:$AI38="J")*5+($AC38:$AI38="CEP")*4+($AC38:$AI38="CP")*6+($AC38:$AI38="CRO")*6+($AC38:$AI38="M+")*6+($AC38:$AI38="T+")*6+($AC38:$AI38="D+")*12+($AC38:$AI38="N+")*12+($AC38:$AI38="Dm+")*12+($AC38:$AI38="Dt+")*12+($AC38:$AI38="Tm-")*6+($AC38:$AI38="Mt-")*6)</f>
        <v/>
      </c>
      <c r="BA38" s="118">
        <f>AZ38-MAX(0,IFERROR(INDEX(CADASTRO!$I$4:$I$80,MATCH($A38,CADASTRO!$A$4:$A$80,0)),$B38)-CONFIG!$B$50*(COUNTIF($AC38:$AI38,"AB")+COUNTIF($AC38:$AI38,"FE")+COUNTIF($AC38:$AI38,"LM")))</f>
        <v/>
      </c>
      <c r="BB38" s="117">
        <f>SUMPRODUCT(($AJ38:$AL38="M")*6+($AJ38:$AL38="T")*6+($AJ38:$AL38="D")*12+($AJ38:$AL38="N")*12+($AJ38:$AL38="NT")*6+($AJ38:$AL38="C")*10+($AJ38:$AL38="A")*8+($AJ38:$AL38="J")*5+($AJ38:$AL38="CEP")*4+($AJ38:$AL38="CP")*6+($AJ38:$AL38="CRO")*6+($AJ38:$AL38="M+")*6+($AJ38:$AL38="T+")*6+($AJ38:$AL38="D+")*12+($AJ38:$AL38="N+")*12+($AJ38:$AL38="Dm+")*12+($AJ38:$AL38="Dt+")*12+($AJ38:$AL38="Tm-")*6+($AJ38:$AL38="Mt-")*6)+SUMPRODUCT(($AN38:$AQ38="M")*6+($AN38:$AQ38="T")*6+($AN38:$AQ38="D")*12+($AN38:$AQ38="N")*12+($AN38:$AQ38="NT")*6+($AN38:$AQ38="C")*10+($AN38:$AQ38="A")*8+($AN38:$AQ38="J")*5+($AN38:$AQ38="CEP")*4+($AN38:$AQ38="CP")*6+($AN38:$AQ38="CRO")*6+($AN38:$AQ38="M+")*6+($AN38:$AQ38="T+")*6+($AN38:$AQ38="D+")*12+($AN38:$AQ38="N+")*12+($AN38:$AQ38="Dm+")*12+($AN38:$AQ38="Dt+")*12+($AN38:$AQ38="Tm-")*6+($AN38:$AQ38="Mt-")*6)</f>
        <v/>
      </c>
      <c r="BC38" s="118">
        <f>BB38-MAX(0,IFERROR(INDEX(CADASTRO!$I$4:$I$80,MATCH($A38,CADASTRO!$A$4:$A$80,0)),$B38)-CONFIG!$B$50*(COUNTIF($AJ38:$AL38,"AB")+COUNTIF($AJ38:$AL38,"FE")+COUNTIF($AJ38:$AL38,"LM")+COUNTIF($AN38:$AQ38,"AB")+COUNTIF($AN38:$AQ38,"FE")+COUNTIF($AN38:$AQ38,"LM")))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ROUND(B38*4.29,0)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00" t="n"/>
      <c r="H39" s="136">
        <f>IFERROR(INDEX(AGO!AM$8:AM$73,MATCH($A39,AGO!$A$8:$A$73,0))&amp;"","")</f>
        <v/>
      </c>
      <c r="I39" s="114" t="n"/>
      <c r="J39" s="126" t="inlineStr">
        <is>
          <t>T</t>
        </is>
      </c>
      <c r="K39" s="114" t="n"/>
      <c r="L39" s="114" t="n"/>
      <c r="M39" s="125" t="inlineStr">
        <is>
          <t>N</t>
        </is>
      </c>
      <c r="N39" s="114" t="n"/>
      <c r="O39" s="126" t="inlineStr">
        <is>
          <t>T</t>
        </is>
      </c>
      <c r="P39" s="114" t="n"/>
      <c r="Q39" s="126" t="inlineStr">
        <is>
          <t>T</t>
        </is>
      </c>
      <c r="R39" s="114" t="n"/>
      <c r="S39" s="125" t="inlineStr">
        <is>
          <t>N</t>
        </is>
      </c>
      <c r="T39" s="114" t="n"/>
      <c r="U39" s="114" t="n"/>
      <c r="V39" s="126" t="inlineStr">
        <is>
          <t>T</t>
        </is>
      </c>
      <c r="W39" s="114" t="n"/>
      <c r="X39" s="114" t="n"/>
      <c r="Y39" s="114" t="n"/>
      <c r="Z39" s="115" t="inlineStr">
        <is>
          <t>M</t>
        </is>
      </c>
      <c r="AA39" s="125" t="inlineStr">
        <is>
          <t>N</t>
        </is>
      </c>
      <c r="AB39" s="114" t="n"/>
      <c r="AC39" s="126" t="inlineStr">
        <is>
          <t>T</t>
        </is>
      </c>
      <c r="AD39" s="114" t="n"/>
      <c r="AE39" s="124" t="inlineStr">
        <is>
          <t>D</t>
        </is>
      </c>
      <c r="AF39" s="114" t="n"/>
      <c r="AG39" s="115" t="inlineStr">
        <is>
          <t>M</t>
        </is>
      </c>
      <c r="AH39" s="114" t="n"/>
      <c r="AI39" s="114" t="n"/>
      <c r="AJ39" s="126" t="inlineStr">
        <is>
          <t>T</t>
        </is>
      </c>
      <c r="AK39" s="115" t="inlineStr">
        <is>
          <t>M</t>
        </is>
      </c>
      <c r="AL39" s="124" t="inlineStr">
        <is>
          <t>D</t>
        </is>
      </c>
      <c r="AM39" s="100" t="n"/>
      <c r="AN39" s="136">
        <f>IFERROR(INDEX(OUT!I$8:I$73,MATCH($A39,OUT!$A$8:$A$73,0))&amp;"","")</f>
        <v/>
      </c>
      <c r="AO39" s="136">
        <f>IFERROR(INDEX(OUT!J$8:J$73,MATCH($A39,OUT!$A$8:$A$73,0))&amp;"","")</f>
        <v/>
      </c>
      <c r="AP39" s="116">
        <f>IFERROR(INDEX(OUT!K$8:K$73,MATCH($A39,OUT!$A$8:$A$73,0))&amp;"","")</f>
        <v/>
      </c>
      <c r="AQ39" s="116">
        <f>IFERROR(INDEX(OUT!L$8:L$73,MATCH($A39,OUT!$A$8:$A$73,0))&amp;"","")</f>
        <v/>
      </c>
      <c r="AR39" s="100" t="n"/>
      <c r="AS39" s="100" t="n"/>
      <c r="AT39" s="117">
        <f>SUMPRODUCT(($H39:$N39="M")*6+($H39:$N39="T")*6+($H39:$N39="D")*12+($H39:$N39="N")*12+($H39:$N39="NT")*6+($H39:$N39="C")*10+($H39:$N39="A")*8+($H39:$N39="J")*5+($H39:$N39="CEP")*4+($H39:$N39="CP")*6+($H39:$N39="CRO")*6+($H39:$N39="M+")*6+($H39:$N39="T+")*6+($H39:$N39="D+")*12+($H39:$N39="N+")*12+($H39:$N39="Dm+")*12+($H39:$N39="Dt+")*12+($H39:$N39="Tm-")*6+($H39:$N39="Mt-")*6)</f>
        <v/>
      </c>
      <c r="AU39" s="118">
        <f>AT39-MAX(0,IFERROR(INDEX(CADASTRO!$I$4:$I$80,MATCH($A39,CADASTRO!$A$4:$A$80,0)),$B39)-CONFIG!$B$50*(COUNTIF($H39:$N39,"AB")+COUNTIF($H39:$N39,"FE")+COUNTIF($H39:$N39,"LM")))</f>
        <v/>
      </c>
      <c r="AV39" s="117">
        <f>SUMPRODUCT(($O39:$U39="M")*6+($O39:$U39="T")*6+($O39:$U39="D")*12+($O39:$U39="N")*12+($O39:$U39="NT")*6+($O39:$U39="C")*10+($O39:$U39="A")*8+($O39:$U39="J")*5+($O39:$U39="CEP")*4+($O39:$U39="CP")*6+($O39:$U39="CRO")*6+($O39:$U39="M+")*6+($O39:$U39="T+")*6+($O39:$U39="D+")*12+($O39:$U39="N+")*12+($O39:$U39="Dm+")*12+($O39:$U39="Dt+")*12+($O39:$U39="Tm-")*6+($O39:$U39="Mt-")*6)</f>
        <v/>
      </c>
      <c r="AW39" s="118">
        <f>AV39-MAX(0,IFERROR(INDEX(CADASTRO!$I$4:$I$80,MATCH($A39,CADASTRO!$A$4:$A$80,0)),$B39)-CONFIG!$B$50*(COUNTIF($O39:$U39,"AB")+COUNTIF($O39:$U39,"FE")+COUNTIF($O39:$U39,"LM")))</f>
        <v/>
      </c>
      <c r="AX39" s="117">
        <f>SUMPRODUCT(($V39:$AB39="M")*6+($V39:$AB39="T")*6+($V39:$AB39="D")*12+($V39:$AB39="N")*12+($V39:$AB39="NT")*6+($V39:$AB39="C")*10+($V39:$AB39="A")*8+($V39:$AB39="J")*5+($V39:$AB39="CEP")*4+($V39:$AB39="CP")*6+($V39:$AB39="CRO")*6+($V39:$AB39="M+")*6+($V39:$AB39="T+")*6+($V39:$AB39="D+")*12+($V39:$AB39="N+")*12+($V39:$AB39="Dm+")*12+($V39:$AB39="Dt+")*12+($V39:$AB39="Tm-")*6+($V39:$AB39="Mt-")*6)</f>
        <v/>
      </c>
      <c r="AY39" s="118">
        <f>AX39-MAX(0,IFERROR(INDEX(CADASTRO!$I$4:$I$80,MATCH($A39,CADASTRO!$A$4:$A$80,0)),$B39)-CONFIG!$B$50*(COUNTIF($V39:$AB39,"AB")+COUNTIF($V39:$AB39,"FE")+COUNTIF($V39:$AB39,"LM")))</f>
        <v/>
      </c>
      <c r="AZ39" s="117">
        <f>SUMPRODUCT(($AC39:$AI39="M")*6+($AC39:$AI39="T")*6+($AC39:$AI39="D")*12+($AC39:$AI39="N")*12+($AC39:$AI39="NT")*6+($AC39:$AI39="C")*10+($AC39:$AI39="A")*8+($AC39:$AI39="J")*5+($AC39:$AI39="CEP")*4+($AC39:$AI39="CP")*6+($AC39:$AI39="CRO")*6+($AC39:$AI39="M+")*6+($AC39:$AI39="T+")*6+($AC39:$AI39="D+")*12+($AC39:$AI39="N+")*12+($AC39:$AI39="Dm+")*12+($AC39:$AI39="Dt+")*12+($AC39:$AI39="Tm-")*6+($AC39:$AI39="Mt-")*6)</f>
        <v/>
      </c>
      <c r="BA39" s="118">
        <f>AZ39-MAX(0,IFERROR(INDEX(CADASTRO!$I$4:$I$80,MATCH($A39,CADASTRO!$A$4:$A$80,0)),$B39)-CONFIG!$B$50*(COUNTIF($AC39:$AI39,"AB")+COUNTIF($AC39:$AI39,"FE")+COUNTIF($AC39:$AI39,"LM")))</f>
        <v/>
      </c>
      <c r="BB39" s="117">
        <f>SUMPRODUCT(($AJ39:$AL39="M")*6+($AJ39:$AL39="T")*6+($AJ39:$AL39="D")*12+($AJ39:$AL39="N")*12+($AJ39:$AL39="NT")*6+($AJ39:$AL39="C")*10+($AJ39:$AL39="A")*8+($AJ39:$AL39="J")*5+($AJ39:$AL39="CEP")*4+($AJ39:$AL39="CP")*6+($AJ39:$AL39="CRO")*6+($AJ39:$AL39="M+")*6+($AJ39:$AL39="T+")*6+($AJ39:$AL39="D+")*12+($AJ39:$AL39="N+")*12+($AJ39:$AL39="Dm+")*12+($AJ39:$AL39="Dt+")*12+($AJ39:$AL39="Tm-")*6+($AJ39:$AL39="Mt-")*6)+SUMPRODUCT(($AN39:$AQ39="M")*6+($AN39:$AQ39="T")*6+($AN39:$AQ39="D")*12+($AN39:$AQ39="N")*12+($AN39:$AQ39="NT")*6+($AN39:$AQ39="C")*10+($AN39:$AQ39="A")*8+($AN39:$AQ39="J")*5+($AN39:$AQ39="CEP")*4+($AN39:$AQ39="CP")*6+($AN39:$AQ39="CRO")*6+($AN39:$AQ39="M+")*6+($AN39:$AQ39="T+")*6+($AN39:$AQ39="D+")*12+($AN39:$AQ39="N+")*12+($AN39:$AQ39="Dm+")*12+($AN39:$AQ39="Dt+")*12+($AN39:$AQ39="Tm-")*6+($AN39:$AQ39="Mt-")*6)</f>
        <v/>
      </c>
      <c r="BC39" s="118">
        <f>BB39-MAX(0,IFERROR(INDEX(CADASTRO!$I$4:$I$80,MATCH($A39,CADASTRO!$A$4:$A$80,0)),$B39)-CONFIG!$B$50*(COUNTIF($AJ39:$AL39,"AB")+COUNTIF($AJ39:$AL39,"FE")+COUNTIF($AJ39:$AL39,"LM")+COUNTIF($AN39:$AQ39,"AB")+COUNTIF($AN39:$AQ39,"FE")+COUNTIF($AN39:$AQ39,"LM")))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ROUND(B39*4.29,0)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00" t="n"/>
      <c r="H40" s="136">
        <f>IFERROR(INDEX(AGO!AM$8:AM$73,MATCH($A40,AGO!$A$8:$A$73,0))&amp;"","")</f>
        <v/>
      </c>
      <c r="I40" s="138" t="inlineStr">
        <is>
          <t>LM</t>
        </is>
      </c>
      <c r="J40" s="138" t="inlineStr">
        <is>
          <t>LM</t>
        </is>
      </c>
      <c r="K40" s="138" t="inlineStr">
        <is>
          <t>LM</t>
        </is>
      </c>
      <c r="L40" s="138" t="inlineStr">
        <is>
          <t>LM</t>
        </is>
      </c>
      <c r="M40" s="138" t="inlineStr">
        <is>
          <t>LM</t>
        </is>
      </c>
      <c r="N40" s="138" t="inlineStr">
        <is>
          <t>LM</t>
        </is>
      </c>
      <c r="O40" s="138" t="inlineStr">
        <is>
          <t>LM</t>
        </is>
      </c>
      <c r="P40" s="138" t="inlineStr">
        <is>
          <t>LM</t>
        </is>
      </c>
      <c r="Q40" s="138" t="inlineStr">
        <is>
          <t>LM</t>
        </is>
      </c>
      <c r="R40" s="138" t="inlineStr">
        <is>
          <t>LM</t>
        </is>
      </c>
      <c r="S40" s="138" t="inlineStr">
        <is>
          <t>LM</t>
        </is>
      </c>
      <c r="T40" s="138" t="inlineStr">
        <is>
          <t>LM</t>
        </is>
      </c>
      <c r="U40" s="138" t="inlineStr">
        <is>
          <t>LM</t>
        </is>
      </c>
      <c r="V40" s="138" t="inlineStr">
        <is>
          <t>LM</t>
        </is>
      </c>
      <c r="W40" s="138" t="inlineStr">
        <is>
          <t>LM</t>
        </is>
      </c>
      <c r="X40" s="138" t="inlineStr">
        <is>
          <t>LM</t>
        </is>
      </c>
      <c r="Y40" s="138" t="inlineStr">
        <is>
          <t>LM</t>
        </is>
      </c>
      <c r="Z40" s="138" t="inlineStr">
        <is>
          <t>LM</t>
        </is>
      </c>
      <c r="AA40" s="138" t="inlineStr">
        <is>
          <t>LM</t>
        </is>
      </c>
      <c r="AB40" s="138" t="inlineStr">
        <is>
          <t>LM</t>
        </is>
      </c>
      <c r="AC40" s="138" t="inlineStr">
        <is>
          <t>LM</t>
        </is>
      </c>
      <c r="AD40" s="138" t="inlineStr">
        <is>
          <t>LM</t>
        </is>
      </c>
      <c r="AE40" s="138" t="inlineStr">
        <is>
          <t>LM</t>
        </is>
      </c>
      <c r="AF40" s="138" t="inlineStr">
        <is>
          <t>LM</t>
        </is>
      </c>
      <c r="AG40" s="138" t="inlineStr">
        <is>
          <t>LM</t>
        </is>
      </c>
      <c r="AH40" s="138" t="inlineStr">
        <is>
          <t>LM</t>
        </is>
      </c>
      <c r="AI40" s="138" t="inlineStr">
        <is>
          <t>LM</t>
        </is>
      </c>
      <c r="AJ40" s="138" t="inlineStr">
        <is>
          <t>LM</t>
        </is>
      </c>
      <c r="AK40" s="138" t="inlineStr">
        <is>
          <t>LM</t>
        </is>
      </c>
      <c r="AL40" s="138" t="inlineStr">
        <is>
          <t>LM</t>
        </is>
      </c>
      <c r="AM40" s="100" t="n"/>
      <c r="AN40" s="136">
        <f>IFERROR(INDEX(OUT!I$8:I$73,MATCH($A40,OUT!$A$8:$A$73,0))&amp;"","")</f>
        <v/>
      </c>
      <c r="AO40" s="136">
        <f>IFERROR(INDEX(OUT!J$8:J$73,MATCH($A40,OUT!$A$8:$A$73,0))&amp;"","")</f>
        <v/>
      </c>
      <c r="AP40" s="116">
        <f>IFERROR(INDEX(OUT!K$8:K$73,MATCH($A40,OUT!$A$8:$A$73,0))&amp;"","")</f>
        <v/>
      </c>
      <c r="AQ40" s="116">
        <f>IFERROR(INDEX(OUT!L$8:L$73,MATCH($A40,OUT!$A$8:$A$73,0))&amp;"","")</f>
        <v/>
      </c>
      <c r="AR40" s="100" t="n"/>
      <c r="AS40" s="100" t="n"/>
      <c r="AT40" s="117">
        <f>SUMPRODUCT(($H40:$N40="M")*6+($H40:$N40="T")*6+($H40:$N40="D")*12+($H40:$N40="N")*12+($H40:$N40="NT")*6+($H40:$N40="C")*10+($H40:$N40="A")*8+($H40:$N40="J")*5+($H40:$N40="CEP")*4+($H40:$N40="CP")*6+($H40:$N40="CRO")*6+($H40:$N40="M+")*6+($H40:$N40="T+")*6+($H40:$N40="D+")*12+($H40:$N40="N+")*12+($H40:$N40="Dm+")*12+($H40:$N40="Dt+")*12+($H40:$N40="Tm-")*6+($H40:$N40="Mt-")*6)</f>
        <v/>
      </c>
      <c r="AU40" s="118">
        <f>AT40-MAX(0,IFERROR(INDEX(CADASTRO!$I$4:$I$80,MATCH($A40,CADASTRO!$A$4:$A$80,0)),$B40)-CONFIG!$B$50*(COUNTIF($H40:$N40,"AB")+COUNTIF($H40:$N40,"FE")+COUNTIF($H40:$N40,"LM")))</f>
        <v/>
      </c>
      <c r="AV40" s="117">
        <f>SUMPRODUCT(($O40:$U40="M")*6+($O40:$U40="T")*6+($O40:$U40="D")*12+($O40:$U40="N")*12+($O40:$U40="NT")*6+($O40:$U40="C")*10+($O40:$U40="A")*8+($O40:$U40="J")*5+($O40:$U40="CEP")*4+($O40:$U40="CP")*6+($O40:$U40="CRO")*6+($O40:$U40="M+")*6+($O40:$U40="T+")*6+($O40:$U40="D+")*12+($O40:$U40="N+")*12+($O40:$U40="Dm+")*12+($O40:$U40="Dt+")*12+($O40:$U40="Tm-")*6+($O40:$U40="Mt-")*6)</f>
        <v/>
      </c>
      <c r="AW40" s="118">
        <f>AV40-MAX(0,IFERROR(INDEX(CADASTRO!$I$4:$I$80,MATCH($A40,CADASTRO!$A$4:$A$80,0)),$B40)-CONFIG!$B$50*(COUNTIF($O40:$U40,"AB")+COUNTIF($O40:$U40,"FE")+COUNTIF($O40:$U40,"LM")))</f>
        <v/>
      </c>
      <c r="AX40" s="117">
        <f>SUMPRODUCT(($V40:$AB40="M")*6+($V40:$AB40="T")*6+($V40:$AB40="D")*12+($V40:$AB40="N")*12+($V40:$AB40="NT")*6+($V40:$AB40="C")*10+($V40:$AB40="A")*8+($V40:$AB40="J")*5+($V40:$AB40="CEP")*4+($V40:$AB40="CP")*6+($V40:$AB40="CRO")*6+($V40:$AB40="M+")*6+($V40:$AB40="T+")*6+($V40:$AB40="D+")*12+($V40:$AB40="N+")*12+($V40:$AB40="Dm+")*12+($V40:$AB40="Dt+")*12+($V40:$AB40="Tm-")*6+($V40:$AB40="Mt-")*6)</f>
        <v/>
      </c>
      <c r="AY40" s="118">
        <f>AX40-MAX(0,IFERROR(INDEX(CADASTRO!$I$4:$I$80,MATCH($A40,CADASTRO!$A$4:$A$80,0)),$B40)-CONFIG!$B$50*(COUNTIF($V40:$AB40,"AB")+COUNTIF($V40:$AB40,"FE")+COUNTIF($V40:$AB40,"LM")))</f>
        <v/>
      </c>
      <c r="AZ40" s="117">
        <f>SUMPRODUCT(($AC40:$AI40="M")*6+($AC40:$AI40="T")*6+($AC40:$AI40="D")*12+($AC40:$AI40="N")*12+($AC40:$AI40="NT")*6+($AC40:$AI40="C")*10+($AC40:$AI40="A")*8+($AC40:$AI40="J")*5+($AC40:$AI40="CEP")*4+($AC40:$AI40="CP")*6+($AC40:$AI40="CRO")*6+($AC40:$AI40="M+")*6+($AC40:$AI40="T+")*6+($AC40:$AI40="D+")*12+($AC40:$AI40="N+")*12+($AC40:$AI40="Dm+")*12+($AC40:$AI40="Dt+")*12+($AC40:$AI40="Tm-")*6+($AC40:$AI40="Mt-")*6)</f>
        <v/>
      </c>
      <c r="BA40" s="118">
        <f>AZ40-MAX(0,IFERROR(INDEX(CADASTRO!$I$4:$I$80,MATCH($A40,CADASTRO!$A$4:$A$80,0)),$B40)-CONFIG!$B$50*(COUNTIF($AC40:$AI40,"AB")+COUNTIF($AC40:$AI40,"FE")+COUNTIF($AC40:$AI40,"LM")))</f>
        <v/>
      </c>
      <c r="BB40" s="117">
        <f>SUMPRODUCT(($AJ40:$AL40="M")*6+($AJ40:$AL40="T")*6+($AJ40:$AL40="D")*12+($AJ40:$AL40="N")*12+($AJ40:$AL40="NT")*6+($AJ40:$AL40="C")*10+($AJ40:$AL40="A")*8+($AJ40:$AL40="J")*5+($AJ40:$AL40="CEP")*4+($AJ40:$AL40="CP")*6+($AJ40:$AL40="CRO")*6+($AJ40:$AL40="M+")*6+($AJ40:$AL40="T+")*6+($AJ40:$AL40="D+")*12+($AJ40:$AL40="N+")*12+($AJ40:$AL40="Dm+")*12+($AJ40:$AL40="Dt+")*12+($AJ40:$AL40="Tm-")*6+($AJ40:$AL40="Mt-")*6)+SUMPRODUCT(($AN40:$AQ40="M")*6+($AN40:$AQ40="T")*6+($AN40:$AQ40="D")*12+($AN40:$AQ40="N")*12+($AN40:$AQ40="NT")*6+($AN40:$AQ40="C")*10+($AN40:$AQ40="A")*8+($AN40:$AQ40="J")*5+($AN40:$AQ40="CEP")*4+($AN40:$AQ40="CP")*6+($AN40:$AQ40="CRO")*6+($AN40:$AQ40="M+")*6+($AN40:$AQ40="T+")*6+($AN40:$AQ40="D+")*12+($AN40:$AQ40="N+")*12+($AN40:$AQ40="Dm+")*12+($AN40:$AQ40="Dt+")*12+($AN40:$AQ40="Tm-")*6+($AN40:$AQ40="Mt-")*6)</f>
        <v/>
      </c>
      <c r="BC40" s="118">
        <f>BB40-MAX(0,IFERROR(INDEX(CADASTRO!$I$4:$I$80,MATCH($A40,CADASTRO!$A$4:$A$80,0)),$B40)-CONFIG!$B$50*(COUNTIF($AJ40:$AL40,"AB")+COUNTIF($AJ40:$AL40,"FE")+COUNTIF($AJ40:$AL40,"LM")+COUNTIF($AN40:$AQ40,"AB")+COUNTIF($AN40:$AQ40,"FE")+COUNTIF($AN40:$AQ40,"LM")))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ROUND(B40*4.29,0)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00" t="n"/>
      <c r="H41" s="136">
        <f>IFERROR(INDEX(AGO!AM$8:AM$73,MATCH($A41,AGO!$A$8:$A$73,0))&amp;"","")</f>
        <v/>
      </c>
      <c r="I41" s="114" t="n"/>
      <c r="J41" s="114" t="n"/>
      <c r="K41" s="114" t="n"/>
      <c r="L41" s="114" t="n"/>
      <c r="M41" s="114" t="n"/>
      <c r="N41" s="124" t="inlineStr">
        <is>
          <t>D</t>
        </is>
      </c>
      <c r="O41" s="124" t="inlineStr">
        <is>
          <t>D</t>
        </is>
      </c>
      <c r="P41" s="114" t="n"/>
      <c r="Q41" s="114" t="n"/>
      <c r="R41" s="124" t="inlineStr">
        <is>
          <t>D</t>
        </is>
      </c>
      <c r="S41" s="114" t="n"/>
      <c r="T41" s="114" t="n"/>
      <c r="U41" s="114" t="n"/>
      <c r="V41" s="139" t="inlineStr">
        <is>
          <t>FE</t>
        </is>
      </c>
      <c r="W41" s="139" t="inlineStr">
        <is>
          <t>FE</t>
        </is>
      </c>
      <c r="X41" s="139" t="inlineStr">
        <is>
          <t>FE</t>
        </is>
      </c>
      <c r="Y41" s="139" t="inlineStr">
        <is>
          <t>FE</t>
        </is>
      </c>
      <c r="Z41" s="139" t="inlineStr">
        <is>
          <t>FE</t>
        </is>
      </c>
      <c r="AA41" s="139" t="inlineStr">
        <is>
          <t>FE</t>
        </is>
      </c>
      <c r="AB41" s="139" t="inlineStr">
        <is>
          <t>FE</t>
        </is>
      </c>
      <c r="AC41" s="139" t="inlineStr">
        <is>
          <t>FE</t>
        </is>
      </c>
      <c r="AD41" s="139" t="inlineStr">
        <is>
          <t>FE</t>
        </is>
      </c>
      <c r="AE41" s="139" t="inlineStr">
        <is>
          <t>FE</t>
        </is>
      </c>
      <c r="AF41" s="139" t="inlineStr">
        <is>
          <t>FE</t>
        </is>
      </c>
      <c r="AG41" s="139" t="inlineStr">
        <is>
          <t>FE</t>
        </is>
      </c>
      <c r="AH41" s="139" t="inlineStr">
        <is>
          <t>FE</t>
        </is>
      </c>
      <c r="AI41" s="139" t="inlineStr">
        <is>
          <t>FE</t>
        </is>
      </c>
      <c r="AJ41" s="139" t="inlineStr">
        <is>
          <t>FE</t>
        </is>
      </c>
      <c r="AK41" s="114" t="n"/>
      <c r="AL41" s="114" t="n"/>
      <c r="AM41" s="100" t="n"/>
      <c r="AN41" s="136">
        <f>IFERROR(INDEX(OUT!I$8:I$73,MATCH($A41,OUT!$A$8:$A$73,0))&amp;"","")</f>
        <v/>
      </c>
      <c r="AO41" s="136">
        <f>IFERROR(INDEX(OUT!J$8:J$73,MATCH($A41,OUT!$A$8:$A$73,0))&amp;"","")</f>
        <v/>
      </c>
      <c r="AP41" s="116">
        <f>IFERROR(INDEX(OUT!K$8:K$73,MATCH($A41,OUT!$A$8:$A$73,0))&amp;"","")</f>
        <v/>
      </c>
      <c r="AQ41" s="116">
        <f>IFERROR(INDEX(OUT!L$8:L$73,MATCH($A41,OUT!$A$8:$A$73,0))&amp;"","")</f>
        <v/>
      </c>
      <c r="AR41" s="100" t="n"/>
      <c r="AS41" s="100" t="n"/>
      <c r="AT41" s="117">
        <f>SUMPRODUCT(($H41:$N41="M")*6+($H41:$N41="T")*6+($H41:$N41="D")*12+($H41:$N41="N")*12+($H41:$N41="NT")*6+($H41:$N41="C")*10+($H41:$N41="A")*8+($H41:$N41="J")*5+($H41:$N41="CEP")*4+($H41:$N41="CP")*6+($H41:$N41="CRO")*6+($H41:$N41="M+")*6+($H41:$N41="T+")*6+($H41:$N41="D+")*12+($H41:$N41="N+")*12+($H41:$N41="Dm+")*12+($H41:$N41="Dt+")*12+($H41:$N41="Tm-")*6+($H41:$N41="Mt-")*6)</f>
        <v/>
      </c>
      <c r="AU41" s="118">
        <f>AT41-MAX(0,IFERROR(INDEX(CADASTRO!$I$4:$I$80,MATCH($A41,CADASTRO!$A$4:$A$80,0)),$B41)-CONFIG!$B$50*(COUNTIF($H41:$N41,"AB")+COUNTIF($H41:$N41,"FE")+COUNTIF($H41:$N41,"LM")))</f>
        <v/>
      </c>
      <c r="AV41" s="117">
        <f>SUMPRODUCT(($O41:$U41="M")*6+($O41:$U41="T")*6+($O41:$U41="D")*12+($O41:$U41="N")*12+($O41:$U41="NT")*6+($O41:$U41="C")*10+($O41:$U41="A")*8+($O41:$U41="J")*5+($O41:$U41="CEP")*4+($O41:$U41="CP")*6+($O41:$U41="CRO")*6+($O41:$U41="M+")*6+($O41:$U41="T+")*6+($O41:$U41="D+")*12+($O41:$U41="N+")*12+($O41:$U41="Dm+")*12+($O41:$U41="Dt+")*12+($O41:$U41="Tm-")*6+($O41:$U41="Mt-")*6)</f>
        <v/>
      </c>
      <c r="AW41" s="118">
        <f>AV41-MAX(0,IFERROR(INDEX(CADASTRO!$I$4:$I$80,MATCH($A41,CADASTRO!$A$4:$A$80,0)),$B41)-CONFIG!$B$50*(COUNTIF($O41:$U41,"AB")+COUNTIF($O41:$U41,"FE")+COUNTIF($O41:$U41,"LM")))</f>
        <v/>
      </c>
      <c r="AX41" s="117">
        <f>SUMPRODUCT(($V41:$AB41="M")*6+($V41:$AB41="T")*6+($V41:$AB41="D")*12+($V41:$AB41="N")*12+($V41:$AB41="NT")*6+($V41:$AB41="C")*10+($V41:$AB41="A")*8+($V41:$AB41="J")*5+($V41:$AB41="CEP")*4+($V41:$AB41="CP")*6+($V41:$AB41="CRO")*6+($V41:$AB41="M+")*6+($V41:$AB41="T+")*6+($V41:$AB41="D+")*12+($V41:$AB41="N+")*12+($V41:$AB41="Dm+")*12+($V41:$AB41="Dt+")*12+($V41:$AB41="Tm-")*6+($V41:$AB41="Mt-")*6)</f>
        <v/>
      </c>
      <c r="AY41" s="118">
        <f>AX41-MAX(0,IFERROR(INDEX(CADASTRO!$I$4:$I$80,MATCH($A41,CADASTRO!$A$4:$A$80,0)),$B41)-CONFIG!$B$50*(COUNTIF($V41:$AB41,"AB")+COUNTIF($V41:$AB41,"FE")+COUNTIF($V41:$AB41,"LM")))</f>
        <v/>
      </c>
      <c r="AZ41" s="117">
        <f>SUMPRODUCT(($AC41:$AI41="M")*6+($AC41:$AI41="T")*6+($AC41:$AI41="D")*12+($AC41:$AI41="N")*12+($AC41:$AI41="NT")*6+($AC41:$AI41="C")*10+($AC41:$AI41="A")*8+($AC41:$AI41="J")*5+($AC41:$AI41="CEP")*4+($AC41:$AI41="CP")*6+($AC41:$AI41="CRO")*6+($AC41:$AI41="M+")*6+($AC41:$AI41="T+")*6+($AC41:$AI41="D+")*12+($AC41:$AI41="N+")*12+($AC41:$AI41="Dm+")*12+($AC41:$AI41="Dt+")*12+($AC41:$AI41="Tm-")*6+($AC41:$AI41="Mt-")*6)</f>
        <v/>
      </c>
      <c r="BA41" s="118">
        <f>AZ41-MAX(0,IFERROR(INDEX(CADASTRO!$I$4:$I$80,MATCH($A41,CADASTRO!$A$4:$A$80,0)),$B41)-CONFIG!$B$50*(COUNTIF($AC41:$AI41,"AB")+COUNTIF($AC41:$AI41,"FE")+COUNTIF($AC41:$AI41,"LM")))</f>
        <v/>
      </c>
      <c r="BB41" s="117">
        <f>SUMPRODUCT(($AJ41:$AL41="M")*6+($AJ41:$AL41="T")*6+($AJ41:$AL41="D")*12+($AJ41:$AL41="N")*12+($AJ41:$AL41="NT")*6+($AJ41:$AL41="C")*10+($AJ41:$AL41="A")*8+($AJ41:$AL41="J")*5+($AJ41:$AL41="CEP")*4+($AJ41:$AL41="CP")*6+($AJ41:$AL41="CRO")*6+($AJ41:$AL41="M+")*6+($AJ41:$AL41="T+")*6+($AJ41:$AL41="D+")*12+($AJ41:$AL41="N+")*12+($AJ41:$AL41="Dm+")*12+($AJ41:$AL41="Dt+")*12+($AJ41:$AL41="Tm-")*6+($AJ41:$AL41="Mt-")*6)+SUMPRODUCT(($AN41:$AQ41="M")*6+($AN41:$AQ41="T")*6+($AN41:$AQ41="D")*12+($AN41:$AQ41="N")*12+($AN41:$AQ41="NT")*6+($AN41:$AQ41="C")*10+($AN41:$AQ41="A")*8+($AN41:$AQ41="J")*5+($AN41:$AQ41="CEP")*4+($AN41:$AQ41="CP")*6+($AN41:$AQ41="CRO")*6+($AN41:$AQ41="M+")*6+($AN41:$AQ41="T+")*6+($AN41:$AQ41="D+")*12+($AN41:$AQ41="N+")*12+($AN41:$AQ41="Dm+")*12+($AN41:$AQ41="Dt+")*12+($AN41:$AQ41="Tm-")*6+($AN41:$AQ41="Mt-")*6)</f>
        <v/>
      </c>
      <c r="BC41" s="118">
        <f>BB41-MAX(0,IFERROR(INDEX(CADASTRO!$I$4:$I$80,MATCH($A41,CADASTRO!$A$4:$A$80,0)),$B41)-CONFIG!$B$50*(COUNTIF($AJ41:$AL41,"AB")+COUNTIF($AJ41:$AL41,"FE")+COUNTIF($AJ41:$AL41,"LM")+COUNTIF($AN41:$AQ41,"AB")+COUNTIF($AN41:$AQ41,"FE")+COUNTIF($AN41:$AQ41,"LM")))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ROUND(B41*4.29,0)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00" t="n"/>
      <c r="H42" s="136">
        <f>IFERROR(INDEX(AGO!AM$8:AM$73,MATCH($A42,AGO!$A$8:$A$73,0))&amp;"","")</f>
        <v/>
      </c>
      <c r="I42" s="115" t="inlineStr">
        <is>
          <t>M</t>
        </is>
      </c>
      <c r="J42" s="114" t="n"/>
      <c r="K42" s="114" t="n"/>
      <c r="L42" s="114" t="n"/>
      <c r="M42" s="114" t="n"/>
      <c r="N42" s="125" t="inlineStr">
        <is>
          <t>N</t>
        </is>
      </c>
      <c r="O42" s="114" t="n"/>
      <c r="P42" s="125" t="inlineStr">
        <is>
          <t>N</t>
        </is>
      </c>
      <c r="Q42" s="114" t="n"/>
      <c r="R42" s="114" t="n"/>
      <c r="S42" s="125" t="inlineStr">
        <is>
          <t>N</t>
        </is>
      </c>
      <c r="T42" s="114" t="n"/>
      <c r="U42" s="114" t="n"/>
      <c r="V42" s="114" t="n"/>
      <c r="W42" s="124" t="inlineStr">
        <is>
          <t>D</t>
        </is>
      </c>
      <c r="X42" s="114" t="n"/>
      <c r="Y42" s="114" t="n"/>
      <c r="Z42" s="114" t="n"/>
      <c r="AA42" s="114" t="n"/>
      <c r="AB42" s="124" t="inlineStr">
        <is>
          <t>D</t>
        </is>
      </c>
      <c r="AC42" s="124" t="inlineStr">
        <is>
          <t>D</t>
        </is>
      </c>
      <c r="AD42" s="114" t="n"/>
      <c r="AE42" s="125" t="inlineStr">
        <is>
          <t>N</t>
        </is>
      </c>
      <c r="AF42" s="114" t="n"/>
      <c r="AG42" s="114" t="n"/>
      <c r="AH42" s="114" t="n"/>
      <c r="AI42" s="114" t="n"/>
      <c r="AJ42" s="114" t="n"/>
      <c r="AK42" s="124" t="inlineStr">
        <is>
          <t>D</t>
        </is>
      </c>
      <c r="AL42" s="114" t="n"/>
      <c r="AM42" s="100" t="n"/>
      <c r="AN42" s="136">
        <f>IFERROR(INDEX(OUT!I$8:I$73,MATCH($A42,OUT!$A$8:$A$73,0))&amp;"","")</f>
        <v/>
      </c>
      <c r="AO42" s="136">
        <f>IFERROR(INDEX(OUT!J$8:J$73,MATCH($A42,OUT!$A$8:$A$73,0))&amp;"","")</f>
        <v/>
      </c>
      <c r="AP42" s="116">
        <f>IFERROR(INDEX(OUT!K$8:K$73,MATCH($A42,OUT!$A$8:$A$73,0))&amp;"","")</f>
        <v/>
      </c>
      <c r="AQ42" s="116">
        <f>IFERROR(INDEX(OUT!L$8:L$73,MATCH($A42,OUT!$A$8:$A$73,0))&amp;"","")</f>
        <v/>
      </c>
      <c r="AR42" s="100" t="n"/>
      <c r="AS42" s="100" t="n"/>
      <c r="AT42" s="117">
        <f>SUMPRODUCT(($H42:$N42="M")*6+($H42:$N42="T")*6+($H42:$N42="D")*12+($H42:$N42="N")*12+($H42:$N42="NT")*6+($H42:$N42="C")*10+($H42:$N42="A")*8+($H42:$N42="J")*5+($H42:$N42="CEP")*4+($H42:$N42="CP")*6+($H42:$N42="CRO")*6+($H42:$N42="M+")*6+($H42:$N42="T+")*6+($H42:$N42="D+")*12+($H42:$N42="N+")*12+($H42:$N42="Dm+")*12+($H42:$N42="Dt+")*12+($H42:$N42="Tm-")*6+($H42:$N42="Mt-")*6)</f>
        <v/>
      </c>
      <c r="AU42" s="118">
        <f>AT42-MAX(0,IFERROR(INDEX(CADASTRO!$I$4:$I$80,MATCH($A42,CADASTRO!$A$4:$A$80,0)),$B42)-CONFIG!$B$50*(COUNTIF($H42:$N42,"AB")+COUNTIF($H42:$N42,"FE")+COUNTIF($H42:$N42,"LM")))</f>
        <v/>
      </c>
      <c r="AV42" s="117">
        <f>SUMPRODUCT(($O42:$U42="M")*6+($O42:$U42="T")*6+($O42:$U42="D")*12+($O42:$U42="N")*12+($O42:$U42="NT")*6+($O42:$U42="C")*10+($O42:$U42="A")*8+($O42:$U42="J")*5+($O42:$U42="CEP")*4+($O42:$U42="CP")*6+($O42:$U42="CRO")*6+($O42:$U42="M+")*6+($O42:$U42="T+")*6+($O42:$U42="D+")*12+($O42:$U42="N+")*12+($O42:$U42="Dm+")*12+($O42:$U42="Dt+")*12+($O42:$U42="Tm-")*6+($O42:$U42="Mt-")*6)</f>
        <v/>
      </c>
      <c r="AW42" s="118">
        <f>AV42-MAX(0,IFERROR(INDEX(CADASTRO!$I$4:$I$80,MATCH($A42,CADASTRO!$A$4:$A$80,0)),$B42)-CONFIG!$B$50*(COUNTIF($O42:$U42,"AB")+COUNTIF($O42:$U42,"FE")+COUNTIF($O42:$U42,"LM")))</f>
        <v/>
      </c>
      <c r="AX42" s="117">
        <f>SUMPRODUCT(($V42:$AB42="M")*6+($V42:$AB42="T")*6+($V42:$AB42="D")*12+($V42:$AB42="N")*12+($V42:$AB42="NT")*6+($V42:$AB42="C")*10+($V42:$AB42="A")*8+($V42:$AB42="J")*5+($V42:$AB42="CEP")*4+($V42:$AB42="CP")*6+($V42:$AB42="CRO")*6+($V42:$AB42="M+")*6+($V42:$AB42="T+")*6+($V42:$AB42="D+")*12+($V42:$AB42="N+")*12+($V42:$AB42="Dm+")*12+($V42:$AB42="Dt+")*12+($V42:$AB42="Tm-")*6+($V42:$AB42="Mt-")*6)</f>
        <v/>
      </c>
      <c r="AY42" s="118">
        <f>AX42-MAX(0,IFERROR(INDEX(CADASTRO!$I$4:$I$80,MATCH($A42,CADASTRO!$A$4:$A$80,0)),$B42)-CONFIG!$B$50*(COUNTIF($V42:$AB42,"AB")+COUNTIF($V42:$AB42,"FE")+COUNTIF($V42:$AB42,"LM")))</f>
        <v/>
      </c>
      <c r="AZ42" s="117">
        <f>SUMPRODUCT(($AC42:$AI42="M")*6+($AC42:$AI42="T")*6+($AC42:$AI42="D")*12+($AC42:$AI42="N")*12+($AC42:$AI42="NT")*6+($AC42:$AI42="C")*10+($AC42:$AI42="A")*8+($AC42:$AI42="J")*5+($AC42:$AI42="CEP")*4+($AC42:$AI42="CP")*6+($AC42:$AI42="CRO")*6+($AC42:$AI42="M+")*6+($AC42:$AI42="T+")*6+($AC42:$AI42="D+")*12+($AC42:$AI42="N+")*12+($AC42:$AI42="Dm+")*12+($AC42:$AI42="Dt+")*12+($AC42:$AI42="Tm-")*6+($AC42:$AI42="Mt-")*6)</f>
        <v/>
      </c>
      <c r="BA42" s="118">
        <f>AZ42-MAX(0,IFERROR(INDEX(CADASTRO!$I$4:$I$80,MATCH($A42,CADASTRO!$A$4:$A$80,0)),$B42)-CONFIG!$B$50*(COUNTIF($AC42:$AI42,"AB")+COUNTIF($AC42:$AI42,"FE")+COUNTIF($AC42:$AI42,"LM")))</f>
        <v/>
      </c>
      <c r="BB42" s="117">
        <f>SUMPRODUCT(($AJ42:$AL42="M")*6+($AJ42:$AL42="T")*6+($AJ42:$AL42="D")*12+($AJ42:$AL42="N")*12+($AJ42:$AL42="NT")*6+($AJ42:$AL42="C")*10+($AJ42:$AL42="A")*8+($AJ42:$AL42="J")*5+($AJ42:$AL42="CEP")*4+($AJ42:$AL42="CP")*6+($AJ42:$AL42="CRO")*6+($AJ42:$AL42="M+")*6+($AJ42:$AL42="T+")*6+($AJ42:$AL42="D+")*12+($AJ42:$AL42="N+")*12+($AJ42:$AL42="Dm+")*12+($AJ42:$AL42="Dt+")*12+($AJ42:$AL42="Tm-")*6+($AJ42:$AL42="Mt-")*6)+SUMPRODUCT(($AN42:$AQ42="M")*6+($AN42:$AQ42="T")*6+($AN42:$AQ42="D")*12+($AN42:$AQ42="N")*12+($AN42:$AQ42="NT")*6+($AN42:$AQ42="C")*10+($AN42:$AQ42="A")*8+($AN42:$AQ42="J")*5+($AN42:$AQ42="CEP")*4+($AN42:$AQ42="CP")*6+($AN42:$AQ42="CRO")*6+($AN42:$AQ42="M+")*6+($AN42:$AQ42="T+")*6+($AN42:$AQ42="D+")*12+($AN42:$AQ42="N+")*12+($AN42:$AQ42="Dm+")*12+($AN42:$AQ42="Dt+")*12+($AN42:$AQ42="Tm-")*6+($AN42:$AQ42="Mt-")*6)</f>
        <v/>
      </c>
      <c r="BC42" s="118">
        <f>BB42-MAX(0,IFERROR(INDEX(CADASTRO!$I$4:$I$80,MATCH($A42,CADASTRO!$A$4:$A$80,0)),$B42)-CONFIG!$B$50*(COUNTIF($AJ42:$AL42,"AB")+COUNTIF($AJ42:$AL42,"FE")+COUNTIF($AJ42:$AL42,"LM")+COUNTIF($AN42:$AQ42,"AB")+COUNTIF($AN42:$AQ42,"FE")+COUNTIF($AN42:$AQ42,"LM")))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ROUND(B42*4.29,0)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00" t="n"/>
      <c r="H43" s="136">
        <f>IFERROR(INDEX(AGO!AM$8:AM$73,MATCH($A43,AGO!$A$8:$A$73,0))&amp;"","")</f>
        <v/>
      </c>
      <c r="I43" s="114" t="n"/>
      <c r="J43" s="114" t="n"/>
      <c r="K43" s="114" t="n"/>
      <c r="L43" s="114" t="n"/>
      <c r="M43" s="125" t="inlineStr">
        <is>
          <t>N</t>
        </is>
      </c>
      <c r="N43" s="114" t="n"/>
      <c r="O43" s="125" t="inlineStr">
        <is>
          <t>N</t>
        </is>
      </c>
      <c r="P43" s="114" t="n"/>
      <c r="Q43" s="114" t="n"/>
      <c r="R43" s="125" t="inlineStr">
        <is>
          <t>N</t>
        </is>
      </c>
      <c r="S43" s="114" t="n"/>
      <c r="T43" s="114" t="n"/>
      <c r="U43" s="114" t="n"/>
      <c r="V43" s="125" t="inlineStr">
        <is>
          <t>N</t>
        </is>
      </c>
      <c r="W43" s="114" t="n"/>
      <c r="X43" s="114" t="n"/>
      <c r="Y43" s="114" t="n"/>
      <c r="Z43" s="114" t="n"/>
      <c r="AA43" s="114" t="n"/>
      <c r="AB43" s="125" t="inlineStr">
        <is>
          <t>N</t>
        </is>
      </c>
      <c r="AC43" s="114" t="n"/>
      <c r="AD43" s="125" t="inlineStr">
        <is>
          <t>N</t>
        </is>
      </c>
      <c r="AE43" s="114" t="n"/>
      <c r="AF43" s="125" t="inlineStr">
        <is>
          <t>N</t>
        </is>
      </c>
      <c r="AG43" s="114" t="n"/>
      <c r="AH43" s="114" t="n"/>
      <c r="AI43" s="114" t="n"/>
      <c r="AJ43" s="125" t="inlineStr">
        <is>
          <t>N</t>
        </is>
      </c>
      <c r="AK43" s="114" t="n"/>
      <c r="AL43" s="114" t="n"/>
      <c r="AM43" s="100" t="n"/>
      <c r="AN43" s="136">
        <f>IFERROR(INDEX(OUT!I$8:I$73,MATCH($A43,OUT!$A$8:$A$73,0))&amp;"","")</f>
        <v/>
      </c>
      <c r="AO43" s="136">
        <f>IFERROR(INDEX(OUT!J$8:J$73,MATCH($A43,OUT!$A$8:$A$73,0))&amp;"","")</f>
        <v/>
      </c>
      <c r="AP43" s="116">
        <f>IFERROR(INDEX(OUT!K$8:K$73,MATCH($A43,OUT!$A$8:$A$73,0))&amp;"","")</f>
        <v/>
      </c>
      <c r="AQ43" s="116">
        <f>IFERROR(INDEX(OUT!L$8:L$73,MATCH($A43,OUT!$A$8:$A$73,0))&amp;"","")</f>
        <v/>
      </c>
      <c r="AR43" s="100" t="n"/>
      <c r="AS43" s="100" t="n"/>
      <c r="AT43" s="117">
        <f>SUMPRODUCT(($H43:$N43="M")*6+($H43:$N43="T")*6+($H43:$N43="D")*12+($H43:$N43="N")*12+($H43:$N43="NT")*6+($H43:$N43="C")*10+($H43:$N43="A")*8+($H43:$N43="J")*5+($H43:$N43="CEP")*4+($H43:$N43="CP")*6+($H43:$N43="CRO")*6+($H43:$N43="M+")*6+($H43:$N43="T+")*6+($H43:$N43="D+")*12+($H43:$N43="N+")*12+($H43:$N43="Dm+")*12+($H43:$N43="Dt+")*12+($H43:$N43="Tm-")*6+($H43:$N43="Mt-")*6)</f>
        <v/>
      </c>
      <c r="AU43" s="118">
        <f>AT43-MAX(0,IFERROR(INDEX(CADASTRO!$I$4:$I$80,MATCH($A43,CADASTRO!$A$4:$A$80,0)),$B43)-CONFIG!$B$50*(COUNTIF($H43:$N43,"AB")+COUNTIF($H43:$N43,"FE")+COUNTIF($H43:$N43,"LM")))</f>
        <v/>
      </c>
      <c r="AV43" s="117">
        <f>SUMPRODUCT(($O43:$U43="M")*6+($O43:$U43="T")*6+($O43:$U43="D")*12+($O43:$U43="N")*12+($O43:$U43="NT")*6+($O43:$U43="C")*10+($O43:$U43="A")*8+($O43:$U43="J")*5+($O43:$U43="CEP")*4+($O43:$U43="CP")*6+($O43:$U43="CRO")*6+($O43:$U43="M+")*6+($O43:$U43="T+")*6+($O43:$U43="D+")*12+($O43:$U43="N+")*12+($O43:$U43="Dm+")*12+($O43:$U43="Dt+")*12+($O43:$U43="Tm-")*6+($O43:$U43="Mt-")*6)</f>
        <v/>
      </c>
      <c r="AW43" s="118">
        <f>AV43-MAX(0,IFERROR(INDEX(CADASTRO!$I$4:$I$80,MATCH($A43,CADASTRO!$A$4:$A$80,0)),$B43)-CONFIG!$B$50*(COUNTIF($O43:$U43,"AB")+COUNTIF($O43:$U43,"FE")+COUNTIF($O43:$U43,"LM")))</f>
        <v/>
      </c>
      <c r="AX43" s="117">
        <f>SUMPRODUCT(($V43:$AB43="M")*6+($V43:$AB43="T")*6+($V43:$AB43="D")*12+($V43:$AB43="N")*12+($V43:$AB43="NT")*6+($V43:$AB43="C")*10+($V43:$AB43="A")*8+($V43:$AB43="J")*5+($V43:$AB43="CEP")*4+($V43:$AB43="CP")*6+($V43:$AB43="CRO")*6+($V43:$AB43="M+")*6+($V43:$AB43="T+")*6+($V43:$AB43="D+")*12+($V43:$AB43="N+")*12+($V43:$AB43="Dm+")*12+($V43:$AB43="Dt+")*12+($V43:$AB43="Tm-")*6+($V43:$AB43="Mt-")*6)</f>
        <v/>
      </c>
      <c r="AY43" s="118">
        <f>AX43-MAX(0,IFERROR(INDEX(CADASTRO!$I$4:$I$80,MATCH($A43,CADASTRO!$A$4:$A$80,0)),$B43)-CONFIG!$B$50*(COUNTIF($V43:$AB43,"AB")+COUNTIF($V43:$AB43,"FE")+COUNTIF($V43:$AB43,"LM")))</f>
        <v/>
      </c>
      <c r="AZ43" s="117">
        <f>SUMPRODUCT(($AC43:$AI43="M")*6+($AC43:$AI43="T")*6+($AC43:$AI43="D")*12+($AC43:$AI43="N")*12+($AC43:$AI43="NT")*6+($AC43:$AI43="C")*10+($AC43:$AI43="A")*8+($AC43:$AI43="J")*5+($AC43:$AI43="CEP")*4+($AC43:$AI43="CP")*6+($AC43:$AI43="CRO")*6+($AC43:$AI43="M+")*6+($AC43:$AI43="T+")*6+($AC43:$AI43="D+")*12+($AC43:$AI43="N+")*12+($AC43:$AI43="Dm+")*12+($AC43:$AI43="Dt+")*12+($AC43:$AI43="Tm-")*6+($AC43:$AI43="Mt-")*6)</f>
        <v/>
      </c>
      <c r="BA43" s="118">
        <f>AZ43-MAX(0,IFERROR(INDEX(CADASTRO!$I$4:$I$80,MATCH($A43,CADASTRO!$A$4:$A$80,0)),$B43)-CONFIG!$B$50*(COUNTIF($AC43:$AI43,"AB")+COUNTIF($AC43:$AI43,"FE")+COUNTIF($AC43:$AI43,"LM")))</f>
        <v/>
      </c>
      <c r="BB43" s="117">
        <f>SUMPRODUCT(($AJ43:$AL43="M")*6+($AJ43:$AL43="T")*6+($AJ43:$AL43="D")*12+($AJ43:$AL43="N")*12+($AJ43:$AL43="NT")*6+($AJ43:$AL43="C")*10+($AJ43:$AL43="A")*8+($AJ43:$AL43="J")*5+($AJ43:$AL43="CEP")*4+($AJ43:$AL43="CP")*6+($AJ43:$AL43="CRO")*6+($AJ43:$AL43="M+")*6+($AJ43:$AL43="T+")*6+($AJ43:$AL43="D+")*12+($AJ43:$AL43="N+")*12+($AJ43:$AL43="Dm+")*12+($AJ43:$AL43="Dt+")*12+($AJ43:$AL43="Tm-")*6+($AJ43:$AL43="Mt-")*6)+SUMPRODUCT(($AN43:$AQ43="M")*6+($AN43:$AQ43="T")*6+($AN43:$AQ43="D")*12+($AN43:$AQ43="N")*12+($AN43:$AQ43="NT")*6+($AN43:$AQ43="C")*10+($AN43:$AQ43="A")*8+($AN43:$AQ43="J")*5+($AN43:$AQ43="CEP")*4+($AN43:$AQ43="CP")*6+($AN43:$AQ43="CRO")*6+($AN43:$AQ43="M+")*6+($AN43:$AQ43="T+")*6+($AN43:$AQ43="D+")*12+($AN43:$AQ43="N+")*12+($AN43:$AQ43="Dm+")*12+($AN43:$AQ43="Dt+")*12+($AN43:$AQ43="Tm-")*6+($AN43:$AQ43="Mt-")*6)</f>
        <v/>
      </c>
      <c r="BC43" s="118">
        <f>BB43-MAX(0,IFERROR(INDEX(CADASTRO!$I$4:$I$80,MATCH($A43,CADASTRO!$A$4:$A$80,0)),$B43)-CONFIG!$B$50*(COUNTIF($AJ43:$AL43,"AB")+COUNTIF($AJ43:$AL43,"FE")+COUNTIF($AJ43:$AL43,"LM")+COUNTIF($AN43:$AQ43,"AB")+COUNTIF($AN43:$AQ43,"FE")+COUNTIF($AN43:$AQ43,"LM")))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ROUND(B43*4.29,0)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00" t="n"/>
      <c r="H44" s="136">
        <f>IFERROR(INDEX(AGO!AM$8:AM$73,MATCH($A44,AGO!$A$8:$A$73,0))&amp;"","")</f>
        <v/>
      </c>
      <c r="I44" s="115" t="inlineStr">
        <is>
          <t>M</t>
        </is>
      </c>
      <c r="J44" s="114" t="n"/>
      <c r="K44" s="114" t="n"/>
      <c r="L44" s="126" t="inlineStr">
        <is>
          <t>T</t>
        </is>
      </c>
      <c r="M44" s="114" t="n"/>
      <c r="N44" s="124" t="inlineStr">
        <is>
          <t>D</t>
        </is>
      </c>
      <c r="O44" s="114" t="n"/>
      <c r="P44" s="124" t="inlineStr">
        <is>
          <t>D</t>
        </is>
      </c>
      <c r="Q44" s="125" t="inlineStr">
        <is>
          <t>N</t>
        </is>
      </c>
      <c r="R44" s="114" t="n"/>
      <c r="S44" s="123" t="inlineStr">
        <is>
          <t>D+</t>
        </is>
      </c>
      <c r="T44" s="114" t="n"/>
      <c r="U44" s="114" t="n"/>
      <c r="V44" s="114" t="n"/>
      <c r="W44" s="127" t="inlineStr">
        <is>
          <t>D-</t>
        </is>
      </c>
      <c r="X44" s="114" t="n"/>
      <c r="Y44" s="127" t="inlineStr">
        <is>
          <t>D-</t>
        </is>
      </c>
      <c r="Z44" s="114" t="n"/>
      <c r="AA44" s="114" t="n"/>
      <c r="AB44" s="114" t="n"/>
      <c r="AC44" s="123" t="inlineStr">
        <is>
          <t>T+</t>
        </is>
      </c>
      <c r="AD44" s="114" t="n"/>
      <c r="AE44" s="123" t="inlineStr">
        <is>
          <t>M+</t>
        </is>
      </c>
      <c r="AF44" s="114" t="n"/>
      <c r="AG44" s="124" t="inlineStr">
        <is>
          <t>D</t>
        </is>
      </c>
      <c r="AH44" s="114" t="n"/>
      <c r="AI44" s="124" t="inlineStr">
        <is>
          <t>D</t>
        </is>
      </c>
      <c r="AJ44" s="124" t="inlineStr">
        <is>
          <t>D</t>
        </is>
      </c>
      <c r="AK44" s="126" t="inlineStr">
        <is>
          <t>T</t>
        </is>
      </c>
      <c r="AL44" s="114" t="n"/>
      <c r="AM44" s="100" t="n"/>
      <c r="AN44" s="136">
        <f>IFERROR(INDEX(OUT!I$8:I$73,MATCH($A44,OUT!$A$8:$A$73,0))&amp;"","")</f>
        <v/>
      </c>
      <c r="AO44" s="136">
        <f>IFERROR(INDEX(OUT!J$8:J$73,MATCH($A44,OUT!$A$8:$A$73,0))&amp;"","")</f>
        <v/>
      </c>
      <c r="AP44" s="116">
        <f>IFERROR(INDEX(OUT!K$8:K$73,MATCH($A44,OUT!$A$8:$A$73,0))&amp;"","")</f>
        <v/>
      </c>
      <c r="AQ44" s="116">
        <f>IFERROR(INDEX(OUT!L$8:L$73,MATCH($A44,OUT!$A$8:$A$73,0))&amp;"","")</f>
        <v/>
      </c>
      <c r="AR44" s="100" t="n"/>
      <c r="AS44" s="100" t="n"/>
      <c r="AT44" s="117">
        <f>SUMPRODUCT(($H44:$N44="M")*6+($H44:$N44="T")*6+($H44:$N44="D")*12+($H44:$N44="N")*12+($H44:$N44="NT")*6+($H44:$N44="C")*10+($H44:$N44="A")*8+($H44:$N44="J")*5+($H44:$N44="CEP")*4+($H44:$N44="CP")*6+($H44:$N44="CRO")*6+($H44:$N44="M+")*6+($H44:$N44="T+")*6+($H44:$N44="D+")*12+($H44:$N44="N+")*12+($H44:$N44="Dm+")*12+($H44:$N44="Dt+")*12+($H44:$N44="Tm-")*6+($H44:$N44="Mt-")*6)</f>
        <v/>
      </c>
      <c r="AU44" s="118">
        <f>AT44-MAX(0,IFERROR(INDEX(CADASTRO!$I$4:$I$80,MATCH($A44,CADASTRO!$A$4:$A$80,0)),$B44)-CONFIG!$B$50*(COUNTIF($H44:$N44,"AB")+COUNTIF($H44:$N44,"FE")+COUNTIF($H44:$N44,"LM")))</f>
        <v/>
      </c>
      <c r="AV44" s="117">
        <f>SUMPRODUCT(($O44:$U44="M")*6+($O44:$U44="T")*6+($O44:$U44="D")*12+($O44:$U44="N")*12+($O44:$U44="NT")*6+($O44:$U44="C")*10+($O44:$U44="A")*8+($O44:$U44="J")*5+($O44:$U44="CEP")*4+($O44:$U44="CP")*6+($O44:$U44="CRO")*6+($O44:$U44="M+")*6+($O44:$U44="T+")*6+($O44:$U44="D+")*12+($O44:$U44="N+")*12+($O44:$U44="Dm+")*12+($O44:$U44="Dt+")*12+($O44:$U44="Tm-")*6+($O44:$U44="Mt-")*6)</f>
        <v/>
      </c>
      <c r="AW44" s="118">
        <f>AV44-MAX(0,IFERROR(INDEX(CADASTRO!$I$4:$I$80,MATCH($A44,CADASTRO!$A$4:$A$80,0)),$B44)-CONFIG!$B$50*(COUNTIF($O44:$U44,"AB")+COUNTIF($O44:$U44,"FE")+COUNTIF($O44:$U44,"LM")))</f>
        <v/>
      </c>
      <c r="AX44" s="117">
        <f>SUMPRODUCT(($V44:$AB44="M")*6+($V44:$AB44="T")*6+($V44:$AB44="D")*12+($V44:$AB44="N")*12+($V44:$AB44="NT")*6+($V44:$AB44="C")*10+($V44:$AB44="A")*8+($V44:$AB44="J")*5+($V44:$AB44="CEP")*4+($V44:$AB44="CP")*6+($V44:$AB44="CRO")*6+($V44:$AB44="M+")*6+($V44:$AB44="T+")*6+($V44:$AB44="D+")*12+($V44:$AB44="N+")*12+($V44:$AB44="Dm+")*12+($V44:$AB44="Dt+")*12+($V44:$AB44="Tm-")*6+($V44:$AB44="Mt-")*6)</f>
        <v/>
      </c>
      <c r="AY44" s="118">
        <f>AX44-MAX(0,IFERROR(INDEX(CADASTRO!$I$4:$I$80,MATCH($A44,CADASTRO!$A$4:$A$80,0)),$B44)-CONFIG!$B$50*(COUNTIF($V44:$AB44,"AB")+COUNTIF($V44:$AB44,"FE")+COUNTIF($V44:$AB44,"LM")))</f>
        <v/>
      </c>
      <c r="AZ44" s="117">
        <f>SUMPRODUCT(($AC44:$AI44="M")*6+($AC44:$AI44="T")*6+($AC44:$AI44="D")*12+($AC44:$AI44="N")*12+($AC44:$AI44="NT")*6+($AC44:$AI44="C")*10+($AC44:$AI44="A")*8+($AC44:$AI44="J")*5+($AC44:$AI44="CEP")*4+($AC44:$AI44="CP")*6+($AC44:$AI44="CRO")*6+($AC44:$AI44="M+")*6+($AC44:$AI44="T+")*6+($AC44:$AI44="D+")*12+($AC44:$AI44="N+")*12+($AC44:$AI44="Dm+")*12+($AC44:$AI44="Dt+")*12+($AC44:$AI44="Tm-")*6+($AC44:$AI44="Mt-")*6)</f>
        <v/>
      </c>
      <c r="BA44" s="118">
        <f>AZ44-MAX(0,IFERROR(INDEX(CADASTRO!$I$4:$I$80,MATCH($A44,CADASTRO!$A$4:$A$80,0)),$B44)-CONFIG!$B$50*(COUNTIF($AC44:$AI44,"AB")+COUNTIF($AC44:$AI44,"FE")+COUNTIF($AC44:$AI44,"LM")))</f>
        <v/>
      </c>
      <c r="BB44" s="117">
        <f>SUMPRODUCT(($AJ44:$AL44="M")*6+($AJ44:$AL44="T")*6+($AJ44:$AL44="D")*12+($AJ44:$AL44="N")*12+($AJ44:$AL44="NT")*6+($AJ44:$AL44="C")*10+($AJ44:$AL44="A")*8+($AJ44:$AL44="J")*5+($AJ44:$AL44="CEP")*4+($AJ44:$AL44="CP")*6+($AJ44:$AL44="CRO")*6+($AJ44:$AL44="M+")*6+($AJ44:$AL44="T+")*6+($AJ44:$AL44="D+")*12+($AJ44:$AL44="N+")*12+($AJ44:$AL44="Dm+")*12+($AJ44:$AL44="Dt+")*12+($AJ44:$AL44="Tm-")*6+($AJ44:$AL44="Mt-")*6)+SUMPRODUCT(($AN44:$AQ44="M")*6+($AN44:$AQ44="T")*6+($AN44:$AQ44="D")*12+($AN44:$AQ44="N")*12+($AN44:$AQ44="NT")*6+($AN44:$AQ44="C")*10+($AN44:$AQ44="A")*8+($AN44:$AQ44="J")*5+($AN44:$AQ44="CEP")*4+($AN44:$AQ44="CP")*6+($AN44:$AQ44="CRO")*6+($AN44:$AQ44="M+")*6+($AN44:$AQ44="T+")*6+($AN44:$AQ44="D+")*12+($AN44:$AQ44="N+")*12+($AN44:$AQ44="Dm+")*12+($AN44:$AQ44="Dt+")*12+($AN44:$AQ44="Tm-")*6+($AN44:$AQ44="Mt-")*6)</f>
        <v/>
      </c>
      <c r="BC44" s="118">
        <f>BB44-MAX(0,IFERROR(INDEX(CADASTRO!$I$4:$I$80,MATCH($A44,CADASTRO!$A$4:$A$80,0)),$B44)-CONFIG!$B$50*(COUNTIF($AJ44:$AL44,"AB")+COUNTIF($AJ44:$AL44,"FE")+COUNTIF($AJ44:$AL44,"LM")+COUNTIF($AN44:$AQ44,"AB")+COUNTIF($AN44:$AQ44,"FE")+COUNTIF($AN44:$AQ44,"LM")))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ROUND(B44*4.29,0)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00" t="n"/>
      <c r="H45" s="136">
        <f>IFERROR(INDEX(AGO!AM$8:AM$73,MATCH($A45,AGO!$A$8:$A$73,0))&amp;"","")</f>
        <v/>
      </c>
      <c r="I45" s="114" t="n"/>
      <c r="J45" s="114" t="n"/>
      <c r="K45" s="115" t="inlineStr">
        <is>
          <t>M</t>
        </is>
      </c>
      <c r="L45" s="125" t="inlineStr">
        <is>
          <t>N</t>
        </is>
      </c>
      <c r="M45" s="114" t="n"/>
      <c r="N45" s="114" t="n"/>
      <c r="O45" s="114" t="n"/>
      <c r="P45" s="115" t="inlineStr">
        <is>
          <t>M</t>
        </is>
      </c>
      <c r="Q45" s="114" t="n"/>
      <c r="R45" s="115" t="inlineStr">
        <is>
          <t>M</t>
        </is>
      </c>
      <c r="S45" s="114" t="n"/>
      <c r="T45" s="125" t="inlineStr">
        <is>
          <t>N</t>
        </is>
      </c>
      <c r="U45" s="114" t="n"/>
      <c r="V45" s="114" t="n"/>
      <c r="W45" s="115" t="inlineStr">
        <is>
          <t>M</t>
        </is>
      </c>
      <c r="X45" s="114" t="n"/>
      <c r="Y45" s="115" t="inlineStr">
        <is>
          <t>M</t>
        </is>
      </c>
      <c r="Z45" s="114" t="n"/>
      <c r="AA45" s="115" t="inlineStr">
        <is>
          <t>M</t>
        </is>
      </c>
      <c r="AB45" s="114" t="n"/>
      <c r="AC45" s="115" t="inlineStr">
        <is>
          <t>M</t>
        </is>
      </c>
      <c r="AD45" s="115" t="inlineStr">
        <is>
          <t>M</t>
        </is>
      </c>
      <c r="AE45" s="114" t="n"/>
      <c r="AF45" s="115" t="inlineStr">
        <is>
          <t>M</t>
        </is>
      </c>
      <c r="AG45" s="114" t="n"/>
      <c r="AH45" s="115" t="inlineStr">
        <is>
          <t>M</t>
        </is>
      </c>
      <c r="AI45" s="114" t="n"/>
      <c r="AJ45" s="114" t="n"/>
      <c r="AK45" s="115" t="inlineStr">
        <is>
          <t>M</t>
        </is>
      </c>
      <c r="AL45" s="114" t="n"/>
      <c r="AM45" s="100" t="n"/>
      <c r="AN45" s="136">
        <f>IFERROR(INDEX(OUT!I$8:I$73,MATCH($A45,OUT!$A$8:$A$73,0))&amp;"","")</f>
        <v/>
      </c>
      <c r="AO45" s="136">
        <f>IFERROR(INDEX(OUT!J$8:J$73,MATCH($A45,OUT!$A$8:$A$73,0))&amp;"","")</f>
        <v/>
      </c>
      <c r="AP45" s="116">
        <f>IFERROR(INDEX(OUT!K$8:K$73,MATCH($A45,OUT!$A$8:$A$73,0))&amp;"","")</f>
        <v/>
      </c>
      <c r="AQ45" s="116">
        <f>IFERROR(INDEX(OUT!L$8:L$73,MATCH($A45,OUT!$A$8:$A$73,0))&amp;"","")</f>
        <v/>
      </c>
      <c r="AR45" s="100" t="n"/>
      <c r="AS45" s="100" t="n"/>
      <c r="AT45" s="117">
        <f>SUMPRODUCT(($H45:$N45="M")*6+($H45:$N45="T")*6+($H45:$N45="D")*12+($H45:$N45="N")*12+($H45:$N45="NT")*6+($H45:$N45="C")*10+($H45:$N45="A")*8+($H45:$N45="J")*5+($H45:$N45="CEP")*4+($H45:$N45="CP")*6+($H45:$N45="CRO")*6+($H45:$N45="M+")*6+($H45:$N45="T+")*6+($H45:$N45="D+")*12+($H45:$N45="N+")*12+($H45:$N45="Dm+")*12+($H45:$N45="Dt+")*12+($H45:$N45="Tm-")*6+($H45:$N45="Mt-")*6)</f>
        <v/>
      </c>
      <c r="AU45" s="118">
        <f>AT45-MAX(0,IFERROR(INDEX(CADASTRO!$I$4:$I$80,MATCH($A45,CADASTRO!$A$4:$A$80,0)),$B45)-CONFIG!$B$50*(COUNTIF($H45:$N45,"AB")+COUNTIF($H45:$N45,"FE")+COUNTIF($H45:$N45,"LM")))</f>
        <v/>
      </c>
      <c r="AV45" s="117">
        <f>SUMPRODUCT(($O45:$U45="M")*6+($O45:$U45="T")*6+($O45:$U45="D")*12+($O45:$U45="N")*12+($O45:$U45="NT")*6+($O45:$U45="C")*10+($O45:$U45="A")*8+($O45:$U45="J")*5+($O45:$U45="CEP")*4+($O45:$U45="CP")*6+($O45:$U45="CRO")*6+($O45:$U45="M+")*6+($O45:$U45="T+")*6+($O45:$U45="D+")*12+($O45:$U45="N+")*12+($O45:$U45="Dm+")*12+($O45:$U45="Dt+")*12+($O45:$U45="Tm-")*6+($O45:$U45="Mt-")*6)</f>
        <v/>
      </c>
      <c r="AW45" s="118">
        <f>AV45-MAX(0,IFERROR(INDEX(CADASTRO!$I$4:$I$80,MATCH($A45,CADASTRO!$A$4:$A$80,0)),$B45)-CONFIG!$B$50*(COUNTIF($O45:$U45,"AB")+COUNTIF($O45:$U45,"FE")+COUNTIF($O45:$U45,"LM")))</f>
        <v/>
      </c>
      <c r="AX45" s="117">
        <f>SUMPRODUCT(($V45:$AB45="M")*6+($V45:$AB45="T")*6+($V45:$AB45="D")*12+($V45:$AB45="N")*12+($V45:$AB45="NT")*6+($V45:$AB45="C")*10+($V45:$AB45="A")*8+($V45:$AB45="J")*5+($V45:$AB45="CEP")*4+($V45:$AB45="CP")*6+($V45:$AB45="CRO")*6+($V45:$AB45="M+")*6+($V45:$AB45="T+")*6+($V45:$AB45="D+")*12+($V45:$AB45="N+")*12+($V45:$AB45="Dm+")*12+($V45:$AB45="Dt+")*12+($V45:$AB45="Tm-")*6+($V45:$AB45="Mt-")*6)</f>
        <v/>
      </c>
      <c r="AY45" s="118">
        <f>AX45-MAX(0,IFERROR(INDEX(CADASTRO!$I$4:$I$80,MATCH($A45,CADASTRO!$A$4:$A$80,0)),$B45)-CONFIG!$B$50*(COUNTIF($V45:$AB45,"AB")+COUNTIF($V45:$AB45,"FE")+COUNTIF($V45:$AB45,"LM")))</f>
        <v/>
      </c>
      <c r="AZ45" s="117">
        <f>SUMPRODUCT(($AC45:$AI45="M")*6+($AC45:$AI45="T")*6+($AC45:$AI45="D")*12+($AC45:$AI45="N")*12+($AC45:$AI45="NT")*6+($AC45:$AI45="C")*10+($AC45:$AI45="A")*8+($AC45:$AI45="J")*5+($AC45:$AI45="CEP")*4+($AC45:$AI45="CP")*6+($AC45:$AI45="CRO")*6+($AC45:$AI45="M+")*6+($AC45:$AI45="T+")*6+($AC45:$AI45="D+")*12+($AC45:$AI45="N+")*12+($AC45:$AI45="Dm+")*12+($AC45:$AI45="Dt+")*12+($AC45:$AI45="Tm-")*6+($AC45:$AI45="Mt-")*6)</f>
        <v/>
      </c>
      <c r="BA45" s="118">
        <f>AZ45-MAX(0,IFERROR(INDEX(CADASTRO!$I$4:$I$80,MATCH($A45,CADASTRO!$A$4:$A$80,0)),$B45)-CONFIG!$B$50*(COUNTIF($AC45:$AI45,"AB")+COUNTIF($AC45:$AI45,"FE")+COUNTIF($AC45:$AI45,"LM")))</f>
        <v/>
      </c>
      <c r="BB45" s="117">
        <f>SUMPRODUCT(($AJ45:$AL45="M")*6+($AJ45:$AL45="T")*6+($AJ45:$AL45="D")*12+($AJ45:$AL45="N")*12+($AJ45:$AL45="NT")*6+($AJ45:$AL45="C")*10+($AJ45:$AL45="A")*8+($AJ45:$AL45="J")*5+($AJ45:$AL45="CEP")*4+($AJ45:$AL45="CP")*6+($AJ45:$AL45="CRO")*6+($AJ45:$AL45="M+")*6+($AJ45:$AL45="T+")*6+($AJ45:$AL45="D+")*12+($AJ45:$AL45="N+")*12+($AJ45:$AL45="Dm+")*12+($AJ45:$AL45="Dt+")*12+($AJ45:$AL45="Tm-")*6+($AJ45:$AL45="Mt-")*6)+SUMPRODUCT(($AN45:$AQ45="M")*6+($AN45:$AQ45="T")*6+($AN45:$AQ45="D")*12+($AN45:$AQ45="N")*12+($AN45:$AQ45="NT")*6+($AN45:$AQ45="C")*10+($AN45:$AQ45="A")*8+($AN45:$AQ45="J")*5+($AN45:$AQ45="CEP")*4+($AN45:$AQ45="CP")*6+($AN45:$AQ45="CRO")*6+($AN45:$AQ45="M+")*6+($AN45:$AQ45="T+")*6+($AN45:$AQ45="D+")*12+($AN45:$AQ45="N+")*12+($AN45:$AQ45="Dm+")*12+($AN45:$AQ45="Dt+")*12+($AN45:$AQ45="Tm-")*6+($AN45:$AQ45="Mt-")*6)</f>
        <v/>
      </c>
      <c r="BC45" s="118">
        <f>BB45-MAX(0,IFERROR(INDEX(CADASTRO!$I$4:$I$80,MATCH($A45,CADASTRO!$A$4:$A$80,0)),$B45)-CONFIG!$B$50*(COUNTIF($AJ45:$AL45,"AB")+COUNTIF($AJ45:$AL45,"FE")+COUNTIF($AJ45:$AL45,"LM")+COUNTIF($AN45:$AQ45,"AB")+COUNTIF($AN45:$AQ45,"FE")+COUNTIF($AN45:$AQ45,"LM")))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ROUND(B45*4.29,0)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00" t="n"/>
      <c r="H46" s="136">
        <f>IFERROR(INDEX(AGO!AM$8:AM$73,MATCH($A46,AGO!$A$8:$A$73,0))&amp;"","")</f>
        <v/>
      </c>
      <c r="I46" s="114" t="n"/>
      <c r="J46" s="124" t="inlineStr">
        <is>
          <t>D</t>
        </is>
      </c>
      <c r="K46" s="114" t="n"/>
      <c r="L46" s="114" t="n"/>
      <c r="M46" s="114" t="n"/>
      <c r="N46" s="125" t="inlineStr">
        <is>
          <t>N</t>
        </is>
      </c>
      <c r="O46" s="114" t="n"/>
      <c r="P46" s="114" t="n"/>
      <c r="Q46" s="124" t="inlineStr">
        <is>
          <t>D</t>
        </is>
      </c>
      <c r="R46" s="114" t="n"/>
      <c r="S46" s="125" t="inlineStr">
        <is>
          <t>N</t>
        </is>
      </c>
      <c r="T46" s="114" t="n"/>
      <c r="U46" s="114" t="n"/>
      <c r="V46" s="114" t="n"/>
      <c r="W46" s="114" t="n"/>
      <c r="X46" s="124" t="inlineStr">
        <is>
          <t>D</t>
        </is>
      </c>
      <c r="Y46" s="114" t="n"/>
      <c r="Z46" s="114" t="n"/>
      <c r="AA46" s="114" t="n"/>
      <c r="AB46" s="125" t="inlineStr">
        <is>
          <t>N</t>
        </is>
      </c>
      <c r="AC46" s="114" t="n"/>
      <c r="AD46" s="114" t="n"/>
      <c r="AE46" s="124" t="inlineStr">
        <is>
          <t>D</t>
        </is>
      </c>
      <c r="AF46" s="114" t="n"/>
      <c r="AG46" s="125" t="inlineStr">
        <is>
          <t>N</t>
        </is>
      </c>
      <c r="AH46" s="114" t="n"/>
      <c r="AI46" s="114" t="n"/>
      <c r="AJ46" s="114" t="n"/>
      <c r="AK46" s="114" t="n"/>
      <c r="AL46" s="124" t="inlineStr">
        <is>
          <t>D</t>
        </is>
      </c>
      <c r="AM46" s="100" t="n"/>
      <c r="AN46" s="136">
        <f>IFERROR(INDEX(OUT!I$8:I$73,MATCH($A46,OUT!$A$8:$A$73,0))&amp;"","")</f>
        <v/>
      </c>
      <c r="AO46" s="136">
        <f>IFERROR(INDEX(OUT!J$8:J$73,MATCH($A46,OUT!$A$8:$A$73,0))&amp;"","")</f>
        <v/>
      </c>
      <c r="AP46" s="116">
        <f>IFERROR(INDEX(OUT!K$8:K$73,MATCH($A46,OUT!$A$8:$A$73,0))&amp;"","")</f>
        <v/>
      </c>
      <c r="AQ46" s="116">
        <f>IFERROR(INDEX(OUT!L$8:L$73,MATCH($A46,OUT!$A$8:$A$73,0))&amp;"","")</f>
        <v/>
      </c>
      <c r="AR46" s="100" t="n"/>
      <c r="AS46" s="100" t="n"/>
      <c r="AT46" s="117">
        <f>SUMPRODUCT(($H46:$N46="M")*6+($H46:$N46="T")*6+($H46:$N46="D")*12+($H46:$N46="N")*12+($H46:$N46="NT")*6+($H46:$N46="C")*10+($H46:$N46="A")*8+($H46:$N46="J")*5+($H46:$N46="CEP")*4+($H46:$N46="CP")*6+($H46:$N46="CRO")*6+($H46:$N46="M+")*6+($H46:$N46="T+")*6+($H46:$N46="D+")*12+($H46:$N46="N+")*12+($H46:$N46="Dm+")*12+($H46:$N46="Dt+")*12+($H46:$N46="Tm-")*6+($H46:$N46="Mt-")*6)</f>
        <v/>
      </c>
      <c r="AU46" s="118">
        <f>AT46-MAX(0,IFERROR(INDEX(CADASTRO!$I$4:$I$80,MATCH($A46,CADASTRO!$A$4:$A$80,0)),$B46)-CONFIG!$B$50*(COUNTIF($H46:$N46,"AB")+COUNTIF($H46:$N46,"FE")+COUNTIF($H46:$N46,"LM")))</f>
        <v/>
      </c>
      <c r="AV46" s="117">
        <f>SUMPRODUCT(($O46:$U46="M")*6+($O46:$U46="T")*6+($O46:$U46="D")*12+($O46:$U46="N")*12+($O46:$U46="NT")*6+($O46:$U46="C")*10+($O46:$U46="A")*8+($O46:$U46="J")*5+($O46:$U46="CEP")*4+($O46:$U46="CP")*6+($O46:$U46="CRO")*6+($O46:$U46="M+")*6+($O46:$U46="T+")*6+($O46:$U46="D+")*12+($O46:$U46="N+")*12+($O46:$U46="Dm+")*12+($O46:$U46="Dt+")*12+($O46:$U46="Tm-")*6+($O46:$U46="Mt-")*6)</f>
        <v/>
      </c>
      <c r="AW46" s="118">
        <f>AV46-MAX(0,IFERROR(INDEX(CADASTRO!$I$4:$I$80,MATCH($A46,CADASTRO!$A$4:$A$80,0)),$B46)-CONFIG!$B$50*(COUNTIF($O46:$U46,"AB")+COUNTIF($O46:$U46,"FE")+COUNTIF($O46:$U46,"LM")))</f>
        <v/>
      </c>
      <c r="AX46" s="117">
        <f>SUMPRODUCT(($V46:$AB46="M")*6+($V46:$AB46="T")*6+($V46:$AB46="D")*12+($V46:$AB46="N")*12+($V46:$AB46="NT")*6+($V46:$AB46="C")*10+($V46:$AB46="A")*8+($V46:$AB46="J")*5+($V46:$AB46="CEP")*4+($V46:$AB46="CP")*6+($V46:$AB46="CRO")*6+($V46:$AB46="M+")*6+($V46:$AB46="T+")*6+($V46:$AB46="D+")*12+($V46:$AB46="N+")*12+($V46:$AB46="Dm+")*12+($V46:$AB46="Dt+")*12+($V46:$AB46="Tm-")*6+($V46:$AB46="Mt-")*6)</f>
        <v/>
      </c>
      <c r="AY46" s="118">
        <f>AX46-MAX(0,IFERROR(INDEX(CADASTRO!$I$4:$I$80,MATCH($A46,CADASTRO!$A$4:$A$80,0)),$B46)-CONFIG!$B$50*(COUNTIF($V46:$AB46,"AB")+COUNTIF($V46:$AB46,"FE")+COUNTIF($V46:$AB46,"LM")))</f>
        <v/>
      </c>
      <c r="AZ46" s="117">
        <f>SUMPRODUCT(($AC46:$AI46="M")*6+($AC46:$AI46="T")*6+($AC46:$AI46="D")*12+($AC46:$AI46="N")*12+($AC46:$AI46="NT")*6+($AC46:$AI46="C")*10+($AC46:$AI46="A")*8+($AC46:$AI46="J")*5+($AC46:$AI46="CEP")*4+($AC46:$AI46="CP")*6+($AC46:$AI46="CRO")*6+($AC46:$AI46="M+")*6+($AC46:$AI46="T+")*6+($AC46:$AI46="D+")*12+($AC46:$AI46="N+")*12+($AC46:$AI46="Dm+")*12+($AC46:$AI46="Dt+")*12+($AC46:$AI46="Tm-")*6+($AC46:$AI46="Mt-")*6)</f>
        <v/>
      </c>
      <c r="BA46" s="118">
        <f>AZ46-MAX(0,IFERROR(INDEX(CADASTRO!$I$4:$I$80,MATCH($A46,CADASTRO!$A$4:$A$80,0)),$B46)-CONFIG!$B$50*(COUNTIF($AC46:$AI46,"AB")+COUNTIF($AC46:$AI46,"FE")+COUNTIF($AC46:$AI46,"LM")))</f>
        <v/>
      </c>
      <c r="BB46" s="117">
        <f>SUMPRODUCT(($AJ46:$AL46="M")*6+($AJ46:$AL46="T")*6+($AJ46:$AL46="D")*12+($AJ46:$AL46="N")*12+($AJ46:$AL46="NT")*6+($AJ46:$AL46="C")*10+($AJ46:$AL46="A")*8+($AJ46:$AL46="J")*5+($AJ46:$AL46="CEP")*4+($AJ46:$AL46="CP")*6+($AJ46:$AL46="CRO")*6+($AJ46:$AL46="M+")*6+($AJ46:$AL46="T+")*6+($AJ46:$AL46="D+")*12+($AJ46:$AL46="N+")*12+($AJ46:$AL46="Dm+")*12+($AJ46:$AL46="Dt+")*12+($AJ46:$AL46="Tm-")*6+($AJ46:$AL46="Mt-")*6)+SUMPRODUCT(($AN46:$AQ46="M")*6+($AN46:$AQ46="T")*6+($AN46:$AQ46="D")*12+($AN46:$AQ46="N")*12+($AN46:$AQ46="NT")*6+($AN46:$AQ46="C")*10+($AN46:$AQ46="A")*8+($AN46:$AQ46="J")*5+($AN46:$AQ46="CEP")*4+($AN46:$AQ46="CP")*6+($AN46:$AQ46="CRO")*6+($AN46:$AQ46="M+")*6+($AN46:$AQ46="T+")*6+($AN46:$AQ46="D+")*12+($AN46:$AQ46="N+")*12+($AN46:$AQ46="Dm+")*12+($AN46:$AQ46="Dt+")*12+($AN46:$AQ46="Tm-")*6+($AN46:$AQ46="Mt-")*6)</f>
        <v/>
      </c>
      <c r="BC46" s="118">
        <f>BB46-MAX(0,IFERROR(INDEX(CADASTRO!$I$4:$I$80,MATCH($A46,CADASTRO!$A$4:$A$80,0)),$B46)-CONFIG!$B$50*(COUNTIF($AJ46:$AL46,"AB")+COUNTIF($AJ46:$AL46,"FE")+COUNTIF($AJ46:$AL46,"LM")+COUNTIF($AN46:$AQ46,"AB")+COUNTIF($AN46:$AQ46,"FE")+COUNTIF($AN46:$AQ46,"LM")))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ROUND(B46*4.29,0)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00" t="n"/>
      <c r="H47" s="136">
        <f>IFERROR(INDEX(AGO!AM$8:AM$73,MATCH($A47,AGO!$A$8:$A$73,0))&amp;"","")</f>
        <v/>
      </c>
      <c r="I47" s="125" t="inlineStr">
        <is>
          <t>N</t>
        </is>
      </c>
      <c r="J47" s="114" t="n"/>
      <c r="K47" s="114" t="n"/>
      <c r="L47" s="114" t="n"/>
      <c r="M47" s="124" t="inlineStr">
        <is>
          <t>D</t>
        </is>
      </c>
      <c r="N47" s="114" t="n"/>
      <c r="O47" s="125" t="inlineStr">
        <is>
          <t>N</t>
        </is>
      </c>
      <c r="P47" s="114" t="n"/>
      <c r="Q47" s="114" t="n"/>
      <c r="R47" s="124" t="inlineStr">
        <is>
          <t>D</t>
        </is>
      </c>
      <c r="S47" s="114" t="n"/>
      <c r="T47" s="114" t="n"/>
      <c r="U47" s="114" t="n"/>
      <c r="V47" s="114" t="n"/>
      <c r="W47" s="125" t="inlineStr">
        <is>
          <t>N</t>
        </is>
      </c>
      <c r="X47" s="114" t="n"/>
      <c r="Y47" s="114" t="n"/>
      <c r="Z47" s="114" t="n"/>
      <c r="AA47" s="124" t="inlineStr">
        <is>
          <t>D</t>
        </is>
      </c>
      <c r="AB47" s="114" t="n"/>
      <c r="AC47" s="125" t="inlineStr">
        <is>
          <t>N</t>
        </is>
      </c>
      <c r="AD47" s="114" t="n"/>
      <c r="AE47" s="114" t="n"/>
      <c r="AF47" s="124" t="inlineStr">
        <is>
          <t>D</t>
        </is>
      </c>
      <c r="AG47" s="114" t="n"/>
      <c r="AH47" s="114" t="n"/>
      <c r="AI47" s="114" t="n"/>
      <c r="AJ47" s="125" t="inlineStr">
        <is>
          <t>N</t>
        </is>
      </c>
      <c r="AK47" s="114" t="n"/>
      <c r="AL47" s="114" t="n"/>
      <c r="AM47" s="100" t="n"/>
      <c r="AN47" s="136">
        <f>IFERROR(INDEX(OUT!I$8:I$73,MATCH($A47,OUT!$A$8:$A$73,0))&amp;"","")</f>
        <v/>
      </c>
      <c r="AO47" s="136">
        <f>IFERROR(INDEX(OUT!J$8:J$73,MATCH($A47,OUT!$A$8:$A$73,0))&amp;"","")</f>
        <v/>
      </c>
      <c r="AP47" s="116">
        <f>IFERROR(INDEX(OUT!K$8:K$73,MATCH($A47,OUT!$A$8:$A$73,0))&amp;"","")</f>
        <v/>
      </c>
      <c r="AQ47" s="116">
        <f>IFERROR(INDEX(OUT!L$8:L$73,MATCH($A47,OUT!$A$8:$A$73,0))&amp;"","")</f>
        <v/>
      </c>
      <c r="AR47" s="100" t="n"/>
      <c r="AS47" s="100" t="n"/>
      <c r="AT47" s="117">
        <f>SUMPRODUCT(($H47:$N47="M")*6+($H47:$N47="T")*6+($H47:$N47="D")*12+($H47:$N47="N")*12+($H47:$N47="NT")*6+($H47:$N47="C")*10+($H47:$N47="A")*8+($H47:$N47="J")*5+($H47:$N47="CEP")*4+($H47:$N47="CP")*6+($H47:$N47="CRO")*6+($H47:$N47="M+")*6+($H47:$N47="T+")*6+($H47:$N47="D+")*12+($H47:$N47="N+")*12+($H47:$N47="Dm+")*12+($H47:$N47="Dt+")*12+($H47:$N47="Tm-")*6+($H47:$N47="Mt-")*6)</f>
        <v/>
      </c>
      <c r="AU47" s="118">
        <f>AT47-MAX(0,IFERROR(INDEX(CADASTRO!$I$4:$I$80,MATCH($A47,CADASTRO!$A$4:$A$80,0)),$B47)-CONFIG!$B$50*(COUNTIF($H47:$N47,"AB")+COUNTIF($H47:$N47,"FE")+COUNTIF($H47:$N47,"LM")))</f>
        <v/>
      </c>
      <c r="AV47" s="117">
        <f>SUMPRODUCT(($O47:$U47="M")*6+($O47:$U47="T")*6+($O47:$U47="D")*12+($O47:$U47="N")*12+($O47:$U47="NT")*6+($O47:$U47="C")*10+($O47:$U47="A")*8+($O47:$U47="J")*5+($O47:$U47="CEP")*4+($O47:$U47="CP")*6+($O47:$U47="CRO")*6+($O47:$U47="M+")*6+($O47:$U47="T+")*6+($O47:$U47="D+")*12+($O47:$U47="N+")*12+($O47:$U47="Dm+")*12+($O47:$U47="Dt+")*12+($O47:$U47="Tm-")*6+($O47:$U47="Mt-")*6)</f>
        <v/>
      </c>
      <c r="AW47" s="118">
        <f>AV47-MAX(0,IFERROR(INDEX(CADASTRO!$I$4:$I$80,MATCH($A47,CADASTRO!$A$4:$A$80,0)),$B47)-CONFIG!$B$50*(COUNTIF($O47:$U47,"AB")+COUNTIF($O47:$U47,"FE")+COUNTIF($O47:$U47,"LM")))</f>
        <v/>
      </c>
      <c r="AX47" s="117">
        <f>SUMPRODUCT(($V47:$AB47="M")*6+($V47:$AB47="T")*6+($V47:$AB47="D")*12+($V47:$AB47="N")*12+($V47:$AB47="NT")*6+($V47:$AB47="C")*10+($V47:$AB47="A")*8+($V47:$AB47="J")*5+($V47:$AB47="CEP")*4+($V47:$AB47="CP")*6+($V47:$AB47="CRO")*6+($V47:$AB47="M+")*6+($V47:$AB47="T+")*6+($V47:$AB47="D+")*12+($V47:$AB47="N+")*12+($V47:$AB47="Dm+")*12+($V47:$AB47="Dt+")*12+($V47:$AB47="Tm-")*6+($V47:$AB47="Mt-")*6)</f>
        <v/>
      </c>
      <c r="AY47" s="118">
        <f>AX47-MAX(0,IFERROR(INDEX(CADASTRO!$I$4:$I$80,MATCH($A47,CADASTRO!$A$4:$A$80,0)),$B47)-CONFIG!$B$50*(COUNTIF($V47:$AB47,"AB")+COUNTIF($V47:$AB47,"FE")+COUNTIF($V47:$AB47,"LM")))</f>
        <v/>
      </c>
      <c r="AZ47" s="117">
        <f>SUMPRODUCT(($AC47:$AI47="M")*6+($AC47:$AI47="T")*6+($AC47:$AI47="D")*12+($AC47:$AI47="N")*12+($AC47:$AI47="NT")*6+($AC47:$AI47="C")*10+($AC47:$AI47="A")*8+($AC47:$AI47="J")*5+($AC47:$AI47="CEP")*4+($AC47:$AI47="CP")*6+($AC47:$AI47="CRO")*6+($AC47:$AI47="M+")*6+($AC47:$AI47="T+")*6+($AC47:$AI47="D+")*12+($AC47:$AI47="N+")*12+($AC47:$AI47="Dm+")*12+($AC47:$AI47="Dt+")*12+($AC47:$AI47="Tm-")*6+($AC47:$AI47="Mt-")*6)</f>
        <v/>
      </c>
      <c r="BA47" s="118">
        <f>AZ47-MAX(0,IFERROR(INDEX(CADASTRO!$I$4:$I$80,MATCH($A47,CADASTRO!$A$4:$A$80,0)),$B47)-CONFIG!$B$50*(COUNTIF($AC47:$AI47,"AB")+COUNTIF($AC47:$AI47,"FE")+COUNTIF($AC47:$AI47,"LM")))</f>
        <v/>
      </c>
      <c r="BB47" s="117">
        <f>SUMPRODUCT(($AJ47:$AL47="M")*6+($AJ47:$AL47="T")*6+($AJ47:$AL47="D")*12+($AJ47:$AL47="N")*12+($AJ47:$AL47="NT")*6+($AJ47:$AL47="C")*10+($AJ47:$AL47="A")*8+($AJ47:$AL47="J")*5+($AJ47:$AL47="CEP")*4+($AJ47:$AL47="CP")*6+($AJ47:$AL47="CRO")*6+($AJ47:$AL47="M+")*6+($AJ47:$AL47="T+")*6+($AJ47:$AL47="D+")*12+($AJ47:$AL47="N+")*12+($AJ47:$AL47="Dm+")*12+($AJ47:$AL47="Dt+")*12+($AJ47:$AL47="Tm-")*6+($AJ47:$AL47="Mt-")*6)+SUMPRODUCT(($AN47:$AQ47="M")*6+($AN47:$AQ47="T")*6+($AN47:$AQ47="D")*12+($AN47:$AQ47="N")*12+($AN47:$AQ47="NT")*6+($AN47:$AQ47="C")*10+($AN47:$AQ47="A")*8+($AN47:$AQ47="J")*5+($AN47:$AQ47="CEP")*4+($AN47:$AQ47="CP")*6+($AN47:$AQ47="CRO")*6+($AN47:$AQ47="M+")*6+($AN47:$AQ47="T+")*6+($AN47:$AQ47="D+")*12+($AN47:$AQ47="N+")*12+($AN47:$AQ47="Dm+")*12+($AN47:$AQ47="Dt+")*12+($AN47:$AQ47="Tm-")*6+($AN47:$AQ47="Mt-")*6)</f>
        <v/>
      </c>
      <c r="BC47" s="118">
        <f>BB47-MAX(0,IFERROR(INDEX(CADASTRO!$I$4:$I$80,MATCH($A47,CADASTRO!$A$4:$A$80,0)),$B47)-CONFIG!$B$50*(COUNTIF($AJ47:$AL47,"AB")+COUNTIF($AJ47:$AL47,"FE")+COUNTIF($AJ47:$AL47,"LM")+COUNTIF($AN47:$AQ47,"AB")+COUNTIF($AN47:$AQ47,"FE")+COUNTIF($AN47:$AQ47,"LM")))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ROUND(B47*4.29,0)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00" t="n"/>
      <c r="H48" s="136">
        <f>IFERROR(INDEX(AGO!AM$8:AM$73,MATCH($A48,AGO!$A$8:$A$73,0))&amp;"","")</f>
        <v/>
      </c>
      <c r="I48" s="139" t="inlineStr">
        <is>
          <t>FE</t>
        </is>
      </c>
      <c r="J48" s="139" t="inlineStr">
        <is>
          <t>FE</t>
        </is>
      </c>
      <c r="K48" s="139" t="inlineStr">
        <is>
          <t>FE</t>
        </is>
      </c>
      <c r="L48" s="139" t="inlineStr">
        <is>
          <t>FE</t>
        </is>
      </c>
      <c r="M48" s="139" t="inlineStr">
        <is>
          <t>FE</t>
        </is>
      </c>
      <c r="N48" s="139" t="inlineStr">
        <is>
          <t>FE</t>
        </is>
      </c>
      <c r="O48" s="139" t="inlineStr">
        <is>
          <t>FE</t>
        </is>
      </c>
      <c r="P48" s="139" t="inlineStr">
        <is>
          <t>FE</t>
        </is>
      </c>
      <c r="Q48" s="139" t="inlineStr">
        <is>
          <t>FE</t>
        </is>
      </c>
      <c r="R48" s="139" t="inlineStr">
        <is>
          <t>FE</t>
        </is>
      </c>
      <c r="S48" s="139" t="inlineStr">
        <is>
          <t>FE</t>
        </is>
      </c>
      <c r="T48" s="139" t="inlineStr">
        <is>
          <t>FE</t>
        </is>
      </c>
      <c r="U48" s="139" t="inlineStr">
        <is>
          <t>FE</t>
        </is>
      </c>
      <c r="V48" s="139" t="inlineStr">
        <is>
          <t>FE</t>
        </is>
      </c>
      <c r="W48" s="139" t="inlineStr">
        <is>
          <t>FE</t>
        </is>
      </c>
      <c r="X48" s="114" t="n"/>
      <c r="Y48" s="115" t="inlineStr">
        <is>
          <t>M</t>
        </is>
      </c>
      <c r="Z48" s="126" t="inlineStr">
        <is>
          <t>T</t>
        </is>
      </c>
      <c r="AA48" s="115" t="inlineStr">
        <is>
          <t>M</t>
        </is>
      </c>
      <c r="AB48" s="114" t="n"/>
      <c r="AC48" s="114" t="n"/>
      <c r="AD48" s="115" t="inlineStr">
        <is>
          <t>M</t>
        </is>
      </c>
      <c r="AE48" s="114" t="n"/>
      <c r="AF48" s="126" t="inlineStr">
        <is>
          <t>T</t>
        </is>
      </c>
      <c r="AG48" s="126" t="inlineStr">
        <is>
          <t>T</t>
        </is>
      </c>
      <c r="AH48" s="115" t="inlineStr">
        <is>
          <t>M</t>
        </is>
      </c>
      <c r="AI48" s="114" t="n"/>
      <c r="AJ48" s="114" t="n"/>
      <c r="AK48" s="115" t="inlineStr">
        <is>
          <t>M</t>
        </is>
      </c>
      <c r="AL48" s="114" t="n"/>
      <c r="AM48" s="100" t="n"/>
      <c r="AN48" s="136">
        <f>IFERROR(INDEX(OUT!I$8:I$73,MATCH($A48,OUT!$A$8:$A$73,0))&amp;"","")</f>
        <v/>
      </c>
      <c r="AO48" s="136">
        <f>IFERROR(INDEX(OUT!J$8:J$73,MATCH($A48,OUT!$A$8:$A$73,0))&amp;"","")</f>
        <v/>
      </c>
      <c r="AP48" s="116">
        <f>IFERROR(INDEX(OUT!K$8:K$73,MATCH($A48,OUT!$A$8:$A$73,0))&amp;"","")</f>
        <v/>
      </c>
      <c r="AQ48" s="116">
        <f>IFERROR(INDEX(OUT!L$8:L$73,MATCH($A48,OUT!$A$8:$A$73,0))&amp;"","")</f>
        <v/>
      </c>
      <c r="AR48" s="100" t="n"/>
      <c r="AS48" s="100" t="n"/>
      <c r="AT48" s="117">
        <f>SUMPRODUCT(($H48:$N48="M")*6+($H48:$N48="T")*6+($H48:$N48="D")*12+($H48:$N48="N")*12+($H48:$N48="NT")*6+($H48:$N48="C")*10+($H48:$N48="A")*8+($H48:$N48="J")*5+($H48:$N48="CEP")*4+($H48:$N48="CP")*6+($H48:$N48="CRO")*6+($H48:$N48="M+")*6+($H48:$N48="T+")*6+($H48:$N48="D+")*12+($H48:$N48="N+")*12+($H48:$N48="Dm+")*12+($H48:$N48="Dt+")*12+($H48:$N48="Tm-")*6+($H48:$N48="Mt-")*6)</f>
        <v/>
      </c>
      <c r="AU48" s="118">
        <f>AT48-MAX(0,IFERROR(INDEX(CADASTRO!$I$4:$I$80,MATCH($A48,CADASTRO!$A$4:$A$80,0)),$B48)-CONFIG!$B$50*(COUNTIF($H48:$N48,"AB")+COUNTIF($H48:$N48,"FE")+COUNTIF($H48:$N48,"LM")))</f>
        <v/>
      </c>
      <c r="AV48" s="117">
        <f>SUMPRODUCT(($O48:$U48="M")*6+($O48:$U48="T")*6+($O48:$U48="D")*12+($O48:$U48="N")*12+($O48:$U48="NT")*6+($O48:$U48="C")*10+($O48:$U48="A")*8+($O48:$U48="J")*5+($O48:$U48="CEP")*4+($O48:$U48="CP")*6+($O48:$U48="CRO")*6+($O48:$U48="M+")*6+($O48:$U48="T+")*6+($O48:$U48="D+")*12+($O48:$U48="N+")*12+($O48:$U48="Dm+")*12+($O48:$U48="Dt+")*12+($O48:$U48="Tm-")*6+($O48:$U48="Mt-")*6)</f>
        <v/>
      </c>
      <c r="AW48" s="118">
        <f>AV48-MAX(0,IFERROR(INDEX(CADASTRO!$I$4:$I$80,MATCH($A48,CADASTRO!$A$4:$A$80,0)),$B48)-CONFIG!$B$50*(COUNTIF($O48:$U48,"AB")+COUNTIF($O48:$U48,"FE")+COUNTIF($O48:$U48,"LM")))</f>
        <v/>
      </c>
      <c r="AX48" s="117">
        <f>SUMPRODUCT(($V48:$AB48="M")*6+($V48:$AB48="T")*6+($V48:$AB48="D")*12+($V48:$AB48="N")*12+($V48:$AB48="NT")*6+($V48:$AB48="C")*10+($V48:$AB48="A")*8+($V48:$AB48="J")*5+($V48:$AB48="CEP")*4+($V48:$AB48="CP")*6+($V48:$AB48="CRO")*6+($V48:$AB48="M+")*6+($V48:$AB48="T+")*6+($V48:$AB48="D+")*12+($V48:$AB48="N+")*12+($V48:$AB48="Dm+")*12+($V48:$AB48="Dt+")*12+($V48:$AB48="Tm-")*6+($V48:$AB48="Mt-")*6)</f>
        <v/>
      </c>
      <c r="AY48" s="118">
        <f>AX48-MAX(0,IFERROR(INDEX(CADASTRO!$I$4:$I$80,MATCH($A48,CADASTRO!$A$4:$A$80,0)),$B48)-CONFIG!$B$50*(COUNTIF($V48:$AB48,"AB")+COUNTIF($V48:$AB48,"FE")+COUNTIF($V48:$AB48,"LM")))</f>
        <v/>
      </c>
      <c r="AZ48" s="117">
        <f>SUMPRODUCT(($AC48:$AI48="M")*6+($AC48:$AI48="T")*6+($AC48:$AI48="D")*12+($AC48:$AI48="N")*12+($AC48:$AI48="NT")*6+($AC48:$AI48="C")*10+($AC48:$AI48="A")*8+($AC48:$AI48="J")*5+($AC48:$AI48="CEP")*4+($AC48:$AI48="CP")*6+($AC48:$AI48="CRO")*6+($AC48:$AI48="M+")*6+($AC48:$AI48="T+")*6+($AC48:$AI48="D+")*12+($AC48:$AI48="N+")*12+($AC48:$AI48="Dm+")*12+($AC48:$AI48="Dt+")*12+($AC48:$AI48="Tm-")*6+($AC48:$AI48="Mt-")*6)</f>
        <v/>
      </c>
      <c r="BA48" s="118">
        <f>AZ48-MAX(0,IFERROR(INDEX(CADASTRO!$I$4:$I$80,MATCH($A48,CADASTRO!$A$4:$A$80,0)),$B48)-CONFIG!$B$50*(COUNTIF($AC48:$AI48,"AB")+COUNTIF($AC48:$AI48,"FE")+COUNTIF($AC48:$AI48,"LM")))</f>
        <v/>
      </c>
      <c r="BB48" s="117">
        <f>SUMPRODUCT(($AJ48:$AL48="M")*6+($AJ48:$AL48="T")*6+($AJ48:$AL48="D")*12+($AJ48:$AL48="N")*12+($AJ48:$AL48="NT")*6+($AJ48:$AL48="C")*10+($AJ48:$AL48="A")*8+($AJ48:$AL48="J")*5+($AJ48:$AL48="CEP")*4+($AJ48:$AL48="CP")*6+($AJ48:$AL48="CRO")*6+($AJ48:$AL48="M+")*6+($AJ48:$AL48="T+")*6+($AJ48:$AL48="D+")*12+($AJ48:$AL48="N+")*12+($AJ48:$AL48="Dm+")*12+($AJ48:$AL48="Dt+")*12+($AJ48:$AL48="Tm-")*6+($AJ48:$AL48="Mt-")*6)+SUMPRODUCT(($AN48:$AQ48="M")*6+($AN48:$AQ48="T")*6+($AN48:$AQ48="D")*12+($AN48:$AQ48="N")*12+($AN48:$AQ48="NT")*6+($AN48:$AQ48="C")*10+($AN48:$AQ48="A")*8+($AN48:$AQ48="J")*5+($AN48:$AQ48="CEP")*4+($AN48:$AQ48="CP")*6+($AN48:$AQ48="CRO")*6+($AN48:$AQ48="M+")*6+($AN48:$AQ48="T+")*6+($AN48:$AQ48="D+")*12+($AN48:$AQ48="N+")*12+($AN48:$AQ48="Dm+")*12+($AN48:$AQ48="Dt+")*12+($AN48:$AQ48="Tm-")*6+($AN48:$AQ48="Mt-")*6)</f>
        <v/>
      </c>
      <c r="BC48" s="118">
        <f>BB48-MAX(0,IFERROR(INDEX(CADASTRO!$I$4:$I$80,MATCH($A48,CADASTRO!$A$4:$A$80,0)),$B48)-CONFIG!$B$50*(COUNTIF($AJ48:$AL48,"AB")+COUNTIF($AJ48:$AL48,"FE")+COUNTIF($AJ48:$AL48,"LM")+COUNTIF($AN48:$AQ48,"AB")+COUNTIF($AN48:$AQ48,"FE")+COUNTIF($AN48:$AQ48,"LM")))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ROUND(B48*4.29,0)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00" t="n"/>
      <c r="H49" s="136">
        <f>IFERROR(INDEX(AGO!AM$8:AM$73,MATCH($A49,AGO!$A$8:$A$73,0))&amp;"","")</f>
        <v/>
      </c>
      <c r="I49" s="114" t="n"/>
      <c r="J49" s="124" t="inlineStr">
        <is>
          <t>D</t>
        </is>
      </c>
      <c r="K49" s="127" t="inlineStr">
        <is>
          <t>M-</t>
        </is>
      </c>
      <c r="L49" s="115" t="inlineStr">
        <is>
          <t>M</t>
        </is>
      </c>
      <c r="M49" s="114" t="n"/>
      <c r="N49" s="114" t="n"/>
      <c r="O49" s="114" t="n"/>
      <c r="P49" s="114" t="n"/>
      <c r="Q49" s="124" t="inlineStr">
        <is>
          <t>D</t>
        </is>
      </c>
      <c r="R49" s="114" t="n"/>
      <c r="S49" s="123" t="inlineStr">
        <is>
          <t>M+</t>
        </is>
      </c>
      <c r="T49" s="124" t="inlineStr">
        <is>
          <t>D</t>
        </is>
      </c>
      <c r="U49" s="114" t="n"/>
      <c r="V49" s="114" t="n"/>
      <c r="W49" s="114" t="n"/>
      <c r="X49" s="124" t="inlineStr">
        <is>
          <t>D</t>
        </is>
      </c>
      <c r="Y49" s="114" t="n"/>
      <c r="Z49" s="114" t="n"/>
      <c r="AA49" s="124" t="inlineStr">
        <is>
          <t>D</t>
        </is>
      </c>
      <c r="AB49" s="114" t="n"/>
      <c r="AC49" s="114" t="n"/>
      <c r="AD49" s="114" t="n"/>
      <c r="AE49" s="124" t="inlineStr">
        <is>
          <t>D</t>
        </is>
      </c>
      <c r="AF49" s="114" t="n"/>
      <c r="AG49" s="124" t="inlineStr">
        <is>
          <t>D</t>
        </is>
      </c>
      <c r="AH49" s="114" t="n"/>
      <c r="AI49" s="114" t="n"/>
      <c r="AJ49" s="115" t="inlineStr">
        <is>
          <t>M</t>
        </is>
      </c>
      <c r="AK49" s="114" t="n"/>
      <c r="AL49" s="124" t="inlineStr">
        <is>
          <t>D</t>
        </is>
      </c>
      <c r="AM49" s="100" t="n"/>
      <c r="AN49" s="136">
        <f>IFERROR(INDEX(OUT!I$8:I$73,MATCH($A49,OUT!$A$8:$A$73,0))&amp;"","")</f>
        <v/>
      </c>
      <c r="AO49" s="136">
        <f>IFERROR(INDEX(OUT!J$8:J$73,MATCH($A49,OUT!$A$8:$A$73,0))&amp;"","")</f>
        <v/>
      </c>
      <c r="AP49" s="116">
        <f>IFERROR(INDEX(OUT!K$8:K$73,MATCH($A49,OUT!$A$8:$A$73,0))&amp;"","")</f>
        <v/>
      </c>
      <c r="AQ49" s="116">
        <f>IFERROR(INDEX(OUT!L$8:L$73,MATCH($A49,OUT!$A$8:$A$73,0))&amp;"","")</f>
        <v/>
      </c>
      <c r="AR49" s="100" t="n"/>
      <c r="AS49" s="100" t="n"/>
      <c r="AT49" s="117">
        <f>SUMPRODUCT(($H49:$N49="M")*6+($H49:$N49="T")*6+($H49:$N49="D")*12+($H49:$N49="N")*12+($H49:$N49="NT")*6+($H49:$N49="C")*10+($H49:$N49="A")*8+($H49:$N49="J")*5+($H49:$N49="CEP")*4+($H49:$N49="CP")*6+($H49:$N49="CRO")*6+($H49:$N49="M+")*6+($H49:$N49="T+")*6+($H49:$N49="D+")*12+($H49:$N49="N+")*12+($H49:$N49="Dm+")*12+($H49:$N49="Dt+")*12+($H49:$N49="Tm-")*6+($H49:$N49="Mt-")*6)</f>
        <v/>
      </c>
      <c r="AU49" s="118">
        <f>AT49-MAX(0,IFERROR(INDEX(CADASTRO!$I$4:$I$80,MATCH($A49,CADASTRO!$A$4:$A$80,0)),$B49)-CONFIG!$B$50*(COUNTIF($H49:$N49,"AB")+COUNTIF($H49:$N49,"FE")+COUNTIF($H49:$N49,"LM")))</f>
        <v/>
      </c>
      <c r="AV49" s="117">
        <f>SUMPRODUCT(($O49:$U49="M")*6+($O49:$U49="T")*6+($O49:$U49="D")*12+($O49:$U49="N")*12+($O49:$U49="NT")*6+($O49:$U49="C")*10+($O49:$U49="A")*8+($O49:$U49="J")*5+($O49:$U49="CEP")*4+($O49:$U49="CP")*6+($O49:$U49="CRO")*6+($O49:$U49="M+")*6+($O49:$U49="T+")*6+($O49:$U49="D+")*12+($O49:$U49="N+")*12+($O49:$U49="Dm+")*12+($O49:$U49="Dt+")*12+($O49:$U49="Tm-")*6+($O49:$U49="Mt-")*6)</f>
        <v/>
      </c>
      <c r="AW49" s="118">
        <f>AV49-MAX(0,IFERROR(INDEX(CADASTRO!$I$4:$I$80,MATCH($A49,CADASTRO!$A$4:$A$80,0)),$B49)-CONFIG!$B$50*(COUNTIF($O49:$U49,"AB")+COUNTIF($O49:$U49,"FE")+COUNTIF($O49:$U49,"LM")))</f>
        <v/>
      </c>
      <c r="AX49" s="117">
        <f>SUMPRODUCT(($V49:$AB49="M")*6+($V49:$AB49="T")*6+($V49:$AB49="D")*12+($V49:$AB49="N")*12+($V49:$AB49="NT")*6+($V49:$AB49="C")*10+($V49:$AB49="A")*8+($V49:$AB49="J")*5+($V49:$AB49="CEP")*4+($V49:$AB49="CP")*6+($V49:$AB49="CRO")*6+($V49:$AB49="M+")*6+($V49:$AB49="T+")*6+($V49:$AB49="D+")*12+($V49:$AB49="N+")*12+($V49:$AB49="Dm+")*12+($V49:$AB49="Dt+")*12+($V49:$AB49="Tm-")*6+($V49:$AB49="Mt-")*6)</f>
        <v/>
      </c>
      <c r="AY49" s="118">
        <f>AX49-MAX(0,IFERROR(INDEX(CADASTRO!$I$4:$I$80,MATCH($A49,CADASTRO!$A$4:$A$80,0)),$B49)-CONFIG!$B$50*(COUNTIF($V49:$AB49,"AB")+COUNTIF($V49:$AB49,"FE")+COUNTIF($V49:$AB49,"LM")))</f>
        <v/>
      </c>
      <c r="AZ49" s="117">
        <f>SUMPRODUCT(($AC49:$AI49="M")*6+($AC49:$AI49="T")*6+($AC49:$AI49="D")*12+($AC49:$AI49="N")*12+($AC49:$AI49="NT")*6+($AC49:$AI49="C")*10+($AC49:$AI49="A")*8+($AC49:$AI49="J")*5+($AC49:$AI49="CEP")*4+($AC49:$AI49="CP")*6+($AC49:$AI49="CRO")*6+($AC49:$AI49="M+")*6+($AC49:$AI49="T+")*6+($AC49:$AI49="D+")*12+($AC49:$AI49="N+")*12+($AC49:$AI49="Dm+")*12+($AC49:$AI49="Dt+")*12+($AC49:$AI49="Tm-")*6+($AC49:$AI49="Mt-")*6)</f>
        <v/>
      </c>
      <c r="BA49" s="118">
        <f>AZ49-MAX(0,IFERROR(INDEX(CADASTRO!$I$4:$I$80,MATCH($A49,CADASTRO!$A$4:$A$80,0)),$B49)-CONFIG!$B$50*(COUNTIF($AC49:$AI49,"AB")+COUNTIF($AC49:$AI49,"FE")+COUNTIF($AC49:$AI49,"LM")))</f>
        <v/>
      </c>
      <c r="BB49" s="117">
        <f>SUMPRODUCT(($AJ49:$AL49="M")*6+($AJ49:$AL49="T")*6+($AJ49:$AL49="D")*12+($AJ49:$AL49="N")*12+($AJ49:$AL49="NT")*6+($AJ49:$AL49="C")*10+($AJ49:$AL49="A")*8+($AJ49:$AL49="J")*5+($AJ49:$AL49="CEP")*4+($AJ49:$AL49="CP")*6+($AJ49:$AL49="CRO")*6+($AJ49:$AL49="M+")*6+($AJ49:$AL49="T+")*6+($AJ49:$AL49="D+")*12+($AJ49:$AL49="N+")*12+($AJ49:$AL49="Dm+")*12+($AJ49:$AL49="Dt+")*12+($AJ49:$AL49="Tm-")*6+($AJ49:$AL49="Mt-")*6)+SUMPRODUCT(($AN49:$AQ49="M")*6+($AN49:$AQ49="T")*6+($AN49:$AQ49="D")*12+($AN49:$AQ49="N")*12+($AN49:$AQ49="NT")*6+($AN49:$AQ49="C")*10+($AN49:$AQ49="A")*8+($AN49:$AQ49="J")*5+($AN49:$AQ49="CEP")*4+($AN49:$AQ49="CP")*6+($AN49:$AQ49="CRO")*6+($AN49:$AQ49="M+")*6+($AN49:$AQ49="T+")*6+($AN49:$AQ49="D+")*12+($AN49:$AQ49="N+")*12+($AN49:$AQ49="Dm+")*12+($AN49:$AQ49="Dt+")*12+($AN49:$AQ49="Tm-")*6+($AN49:$AQ49="Mt-")*6)</f>
        <v/>
      </c>
      <c r="BC49" s="118">
        <f>BB49-MAX(0,IFERROR(INDEX(CADASTRO!$I$4:$I$80,MATCH($A49,CADASTRO!$A$4:$A$80,0)),$B49)-CONFIG!$B$50*(COUNTIF($AJ49:$AL49,"AB")+COUNTIF($AJ49:$AL49,"FE")+COUNTIF($AJ49:$AL49,"LM")+COUNTIF($AN49:$AQ49,"AB")+COUNTIF($AN49:$AQ49,"FE")+COUNTIF($AN49:$AQ49,"LM")))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ROUND(B49*4.29,0)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00" t="n"/>
      <c r="H50" s="136">
        <f>IFERROR(INDEX(AGO!AM$8:AM$73,MATCH($A50,AGO!$A$8:$A$73,0))&amp;"","")</f>
        <v/>
      </c>
      <c r="I50" s="125" t="inlineStr">
        <is>
          <t>N</t>
        </is>
      </c>
      <c r="J50" s="114" t="n"/>
      <c r="K50" s="114" t="n"/>
      <c r="L50" s="125" t="inlineStr">
        <is>
          <t>N</t>
        </is>
      </c>
      <c r="M50" s="114" t="n"/>
      <c r="N50" s="114" t="n"/>
      <c r="O50" s="114" t="n"/>
      <c r="P50" s="124" t="inlineStr">
        <is>
          <t>D</t>
        </is>
      </c>
      <c r="Q50" s="114" t="n"/>
      <c r="R50" s="114" t="n"/>
      <c r="S50" s="114" t="n"/>
      <c r="T50" s="124" t="inlineStr">
        <is>
          <t>D</t>
        </is>
      </c>
      <c r="U50" s="114" t="n"/>
      <c r="V50" s="114" t="n"/>
      <c r="W50" s="114" t="n"/>
      <c r="X50" s="114" t="n"/>
      <c r="Y50" s="114" t="n"/>
      <c r="Z50" s="124" t="inlineStr">
        <is>
          <t>D</t>
        </is>
      </c>
      <c r="AA50" s="114" t="n"/>
      <c r="AB50" s="125" t="inlineStr">
        <is>
          <t>N</t>
        </is>
      </c>
      <c r="AC50" s="114" t="n"/>
      <c r="AD50" s="124" t="inlineStr">
        <is>
          <t>D</t>
        </is>
      </c>
      <c r="AE50" s="114" t="n"/>
      <c r="AF50" s="114" t="n"/>
      <c r="AG50" s="124" t="inlineStr">
        <is>
          <t>D</t>
        </is>
      </c>
      <c r="AH50" s="114" t="n"/>
      <c r="AI50" s="114" t="n"/>
      <c r="AJ50" s="114" t="n"/>
      <c r="AK50" s="124" t="inlineStr">
        <is>
          <t>D</t>
        </is>
      </c>
      <c r="AL50" s="114" t="n"/>
      <c r="AM50" s="100" t="n"/>
      <c r="AN50" s="136">
        <f>IFERROR(INDEX(OUT!I$8:I$73,MATCH($A50,OUT!$A$8:$A$73,0))&amp;"","")</f>
        <v/>
      </c>
      <c r="AO50" s="136">
        <f>IFERROR(INDEX(OUT!J$8:J$73,MATCH($A50,OUT!$A$8:$A$73,0))&amp;"","")</f>
        <v/>
      </c>
      <c r="AP50" s="116">
        <f>IFERROR(INDEX(OUT!K$8:K$73,MATCH($A50,OUT!$A$8:$A$73,0))&amp;"","")</f>
        <v/>
      </c>
      <c r="AQ50" s="116">
        <f>IFERROR(INDEX(OUT!L$8:L$73,MATCH($A50,OUT!$A$8:$A$73,0))&amp;"","")</f>
        <v/>
      </c>
      <c r="AR50" s="100" t="n"/>
      <c r="AS50" s="100" t="n"/>
      <c r="AT50" s="117">
        <f>SUMPRODUCT(($H50:$N50="M")*6+($H50:$N50="T")*6+($H50:$N50="D")*12+($H50:$N50="N")*12+($H50:$N50="NT")*6+($H50:$N50="C")*10+($H50:$N50="A")*8+($H50:$N50="J")*5+($H50:$N50="CEP")*4+($H50:$N50="CP")*6+($H50:$N50="CRO")*6+($H50:$N50="M+")*6+($H50:$N50="T+")*6+($H50:$N50="D+")*12+($H50:$N50="N+")*12+($H50:$N50="Dm+")*12+($H50:$N50="Dt+")*12+($H50:$N50="Tm-")*6+($H50:$N50="Mt-")*6)</f>
        <v/>
      </c>
      <c r="AU50" s="118">
        <f>AT50-MAX(0,IFERROR(INDEX(CADASTRO!$I$4:$I$80,MATCH($A50,CADASTRO!$A$4:$A$80,0)),$B50)-CONFIG!$B$50*(COUNTIF($H50:$N50,"AB")+COUNTIF($H50:$N50,"FE")+COUNTIF($H50:$N50,"LM")))</f>
        <v/>
      </c>
      <c r="AV50" s="117">
        <f>SUMPRODUCT(($O50:$U50="M")*6+($O50:$U50="T")*6+($O50:$U50="D")*12+($O50:$U50="N")*12+($O50:$U50="NT")*6+($O50:$U50="C")*10+($O50:$U50="A")*8+($O50:$U50="J")*5+($O50:$U50="CEP")*4+($O50:$U50="CP")*6+($O50:$U50="CRO")*6+($O50:$U50="M+")*6+($O50:$U50="T+")*6+($O50:$U50="D+")*12+($O50:$U50="N+")*12+($O50:$U50="Dm+")*12+($O50:$U50="Dt+")*12+($O50:$U50="Tm-")*6+($O50:$U50="Mt-")*6)</f>
        <v/>
      </c>
      <c r="AW50" s="118">
        <f>AV50-MAX(0,IFERROR(INDEX(CADASTRO!$I$4:$I$80,MATCH($A50,CADASTRO!$A$4:$A$80,0)),$B50)-CONFIG!$B$50*(COUNTIF($O50:$U50,"AB")+COUNTIF($O50:$U50,"FE")+COUNTIF($O50:$U50,"LM")))</f>
        <v/>
      </c>
      <c r="AX50" s="117">
        <f>SUMPRODUCT(($V50:$AB50="M")*6+($V50:$AB50="T")*6+($V50:$AB50="D")*12+($V50:$AB50="N")*12+($V50:$AB50="NT")*6+($V50:$AB50="C")*10+($V50:$AB50="A")*8+($V50:$AB50="J")*5+($V50:$AB50="CEP")*4+($V50:$AB50="CP")*6+($V50:$AB50="CRO")*6+($V50:$AB50="M+")*6+($V50:$AB50="T+")*6+($V50:$AB50="D+")*12+($V50:$AB50="N+")*12+($V50:$AB50="Dm+")*12+($V50:$AB50="Dt+")*12+($V50:$AB50="Tm-")*6+($V50:$AB50="Mt-")*6)</f>
        <v/>
      </c>
      <c r="AY50" s="118">
        <f>AX50-MAX(0,IFERROR(INDEX(CADASTRO!$I$4:$I$80,MATCH($A50,CADASTRO!$A$4:$A$80,0)),$B50)-CONFIG!$B$50*(COUNTIF($V50:$AB50,"AB")+COUNTIF($V50:$AB50,"FE")+COUNTIF($V50:$AB50,"LM")))</f>
        <v/>
      </c>
      <c r="AZ50" s="117">
        <f>SUMPRODUCT(($AC50:$AI50="M")*6+($AC50:$AI50="T")*6+($AC50:$AI50="D")*12+($AC50:$AI50="N")*12+($AC50:$AI50="NT")*6+($AC50:$AI50="C")*10+($AC50:$AI50="A")*8+($AC50:$AI50="J")*5+($AC50:$AI50="CEP")*4+($AC50:$AI50="CP")*6+($AC50:$AI50="CRO")*6+($AC50:$AI50="M+")*6+($AC50:$AI50="T+")*6+($AC50:$AI50="D+")*12+($AC50:$AI50="N+")*12+($AC50:$AI50="Dm+")*12+($AC50:$AI50="Dt+")*12+($AC50:$AI50="Tm-")*6+($AC50:$AI50="Mt-")*6)</f>
        <v/>
      </c>
      <c r="BA50" s="118">
        <f>AZ50-MAX(0,IFERROR(INDEX(CADASTRO!$I$4:$I$80,MATCH($A50,CADASTRO!$A$4:$A$80,0)),$B50)-CONFIG!$B$50*(COUNTIF($AC50:$AI50,"AB")+COUNTIF($AC50:$AI50,"FE")+COUNTIF($AC50:$AI50,"LM")))</f>
        <v/>
      </c>
      <c r="BB50" s="117">
        <f>SUMPRODUCT(($AJ50:$AL50="M")*6+($AJ50:$AL50="T")*6+($AJ50:$AL50="D")*12+($AJ50:$AL50="N")*12+($AJ50:$AL50="NT")*6+($AJ50:$AL50="C")*10+($AJ50:$AL50="A")*8+($AJ50:$AL50="J")*5+($AJ50:$AL50="CEP")*4+($AJ50:$AL50="CP")*6+($AJ50:$AL50="CRO")*6+($AJ50:$AL50="M+")*6+($AJ50:$AL50="T+")*6+($AJ50:$AL50="D+")*12+($AJ50:$AL50="N+")*12+($AJ50:$AL50="Dm+")*12+($AJ50:$AL50="Dt+")*12+($AJ50:$AL50="Tm-")*6+($AJ50:$AL50="Mt-")*6)+SUMPRODUCT(($AN50:$AQ50="M")*6+($AN50:$AQ50="T")*6+($AN50:$AQ50="D")*12+($AN50:$AQ50="N")*12+($AN50:$AQ50="NT")*6+($AN50:$AQ50="C")*10+($AN50:$AQ50="A")*8+($AN50:$AQ50="J")*5+($AN50:$AQ50="CEP")*4+($AN50:$AQ50="CP")*6+($AN50:$AQ50="CRO")*6+($AN50:$AQ50="M+")*6+($AN50:$AQ50="T+")*6+($AN50:$AQ50="D+")*12+($AN50:$AQ50="N+")*12+($AN50:$AQ50="Dm+")*12+($AN50:$AQ50="Dt+")*12+($AN50:$AQ50="Tm-")*6+($AN50:$AQ50="Mt-")*6)</f>
        <v/>
      </c>
      <c r="BC50" s="118">
        <f>BB50-MAX(0,IFERROR(INDEX(CADASTRO!$I$4:$I$80,MATCH($A50,CADASTRO!$A$4:$A$80,0)),$B50)-CONFIG!$B$50*(COUNTIF($AJ50:$AL50,"AB")+COUNTIF($AJ50:$AL50,"FE")+COUNTIF($AJ50:$AL50,"LM")+COUNTIF($AN50:$AQ50,"AB")+COUNTIF($AN50:$AQ50,"FE")+COUNTIF($AN50:$AQ50,"LM")))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ROUND(B50*4.29,0)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00" t="n"/>
      <c r="H51" s="136">
        <f>IFERROR(INDEX(AGO!AM$8:AM$73,MATCH($A51,AGO!$A$8:$A$73,0))&amp;"","")</f>
        <v/>
      </c>
      <c r="I51" s="138" t="inlineStr">
        <is>
          <t>LM</t>
        </is>
      </c>
      <c r="J51" s="138" t="inlineStr">
        <is>
          <t>LM</t>
        </is>
      </c>
      <c r="K51" s="138" t="inlineStr">
        <is>
          <t>LM</t>
        </is>
      </c>
      <c r="L51" s="138" t="inlineStr">
        <is>
          <t>LM</t>
        </is>
      </c>
      <c r="M51" s="138" t="inlineStr">
        <is>
          <t>LM</t>
        </is>
      </c>
      <c r="N51" s="138" t="inlineStr">
        <is>
          <t>LM</t>
        </is>
      </c>
      <c r="O51" s="138" t="inlineStr">
        <is>
          <t>LM</t>
        </is>
      </c>
      <c r="P51" s="138" t="inlineStr">
        <is>
          <t>LM</t>
        </is>
      </c>
      <c r="Q51" s="138" t="inlineStr">
        <is>
          <t>LM</t>
        </is>
      </c>
      <c r="R51" s="138" t="inlineStr">
        <is>
          <t>LM</t>
        </is>
      </c>
      <c r="S51" s="138" t="inlineStr">
        <is>
          <t>LM</t>
        </is>
      </c>
      <c r="T51" s="138" t="inlineStr">
        <is>
          <t>LM</t>
        </is>
      </c>
      <c r="U51" s="138" t="inlineStr">
        <is>
          <t>LM</t>
        </is>
      </c>
      <c r="V51" s="138" t="inlineStr">
        <is>
          <t>LM</t>
        </is>
      </c>
      <c r="W51" s="138" t="inlineStr">
        <is>
          <t>LM</t>
        </is>
      </c>
      <c r="X51" s="138" t="inlineStr">
        <is>
          <t>LM</t>
        </is>
      </c>
      <c r="Y51" s="138" t="inlineStr">
        <is>
          <t>LM</t>
        </is>
      </c>
      <c r="Z51" s="138" t="inlineStr">
        <is>
          <t>LM</t>
        </is>
      </c>
      <c r="AA51" s="138" t="inlineStr">
        <is>
          <t>LM</t>
        </is>
      </c>
      <c r="AB51" s="138" t="inlineStr">
        <is>
          <t>LM</t>
        </is>
      </c>
      <c r="AC51" s="138" t="inlineStr">
        <is>
          <t>LM</t>
        </is>
      </c>
      <c r="AD51" s="138" t="inlineStr">
        <is>
          <t>LM</t>
        </is>
      </c>
      <c r="AE51" s="138" t="inlineStr">
        <is>
          <t>LM</t>
        </is>
      </c>
      <c r="AF51" s="138" t="inlineStr">
        <is>
          <t>LM</t>
        </is>
      </c>
      <c r="AG51" s="138" t="inlineStr">
        <is>
          <t>LM</t>
        </is>
      </c>
      <c r="AH51" s="138" t="inlineStr">
        <is>
          <t>LM</t>
        </is>
      </c>
      <c r="AI51" s="138" t="inlineStr">
        <is>
          <t>LM</t>
        </is>
      </c>
      <c r="AJ51" s="138" t="inlineStr">
        <is>
          <t>LM</t>
        </is>
      </c>
      <c r="AK51" s="138" t="inlineStr">
        <is>
          <t>LM</t>
        </is>
      </c>
      <c r="AL51" s="138" t="inlineStr">
        <is>
          <t>LM</t>
        </is>
      </c>
      <c r="AM51" s="100" t="n"/>
      <c r="AN51" s="136">
        <f>IFERROR(INDEX(OUT!I$8:I$73,MATCH($A51,OUT!$A$8:$A$73,0))&amp;"","")</f>
        <v/>
      </c>
      <c r="AO51" s="136">
        <f>IFERROR(INDEX(OUT!J$8:J$73,MATCH($A51,OUT!$A$8:$A$73,0))&amp;"","")</f>
        <v/>
      </c>
      <c r="AP51" s="116">
        <f>IFERROR(INDEX(OUT!K$8:K$73,MATCH($A51,OUT!$A$8:$A$73,0))&amp;"","")</f>
        <v/>
      </c>
      <c r="AQ51" s="116">
        <f>IFERROR(INDEX(OUT!L$8:L$73,MATCH($A51,OUT!$A$8:$A$73,0))&amp;"","")</f>
        <v/>
      </c>
      <c r="AR51" s="100" t="n"/>
      <c r="AS51" s="100" t="n"/>
      <c r="AT51" s="117">
        <f>SUMPRODUCT(($H51:$N51="M")*6+($H51:$N51="T")*6+($H51:$N51="D")*12+($H51:$N51="N")*12+($H51:$N51="NT")*6+($H51:$N51="C")*10+($H51:$N51="A")*8+($H51:$N51="J")*5+($H51:$N51="CEP")*4+($H51:$N51="CP")*6+($H51:$N51="CRO")*6+($H51:$N51="M+")*6+($H51:$N51="T+")*6+($H51:$N51="D+")*12+($H51:$N51="N+")*12+($H51:$N51="Dm+")*12+($H51:$N51="Dt+")*12+($H51:$N51="Tm-")*6+($H51:$N51="Mt-")*6)</f>
        <v/>
      </c>
      <c r="AU51" s="118">
        <f>AT51-MAX(0,IFERROR(INDEX(CADASTRO!$I$4:$I$80,MATCH($A51,CADASTRO!$A$4:$A$80,0)),$B51)-CONFIG!$B$50*(COUNTIF($H51:$N51,"AB")+COUNTIF($H51:$N51,"FE")+COUNTIF($H51:$N51,"LM")))</f>
        <v/>
      </c>
      <c r="AV51" s="117">
        <f>SUMPRODUCT(($O51:$U51="M")*6+($O51:$U51="T")*6+($O51:$U51="D")*12+($O51:$U51="N")*12+($O51:$U51="NT")*6+($O51:$U51="C")*10+($O51:$U51="A")*8+($O51:$U51="J")*5+($O51:$U51="CEP")*4+($O51:$U51="CP")*6+($O51:$U51="CRO")*6+($O51:$U51="M+")*6+($O51:$U51="T+")*6+($O51:$U51="D+")*12+($O51:$U51="N+")*12+($O51:$U51="Dm+")*12+($O51:$U51="Dt+")*12+($O51:$U51="Tm-")*6+($O51:$U51="Mt-")*6)</f>
        <v/>
      </c>
      <c r="AW51" s="118">
        <f>AV51-MAX(0,IFERROR(INDEX(CADASTRO!$I$4:$I$80,MATCH($A51,CADASTRO!$A$4:$A$80,0)),$B51)-CONFIG!$B$50*(COUNTIF($O51:$U51,"AB")+COUNTIF($O51:$U51,"FE")+COUNTIF($O51:$U51,"LM")))</f>
        <v/>
      </c>
      <c r="AX51" s="117">
        <f>SUMPRODUCT(($V51:$AB51="M")*6+($V51:$AB51="T")*6+($V51:$AB51="D")*12+($V51:$AB51="N")*12+($V51:$AB51="NT")*6+($V51:$AB51="C")*10+($V51:$AB51="A")*8+($V51:$AB51="J")*5+($V51:$AB51="CEP")*4+($V51:$AB51="CP")*6+($V51:$AB51="CRO")*6+($V51:$AB51="M+")*6+($V51:$AB51="T+")*6+($V51:$AB51="D+")*12+($V51:$AB51="N+")*12+($V51:$AB51="Dm+")*12+($V51:$AB51="Dt+")*12+($V51:$AB51="Tm-")*6+($V51:$AB51="Mt-")*6)</f>
        <v/>
      </c>
      <c r="AY51" s="118">
        <f>AX51-MAX(0,IFERROR(INDEX(CADASTRO!$I$4:$I$80,MATCH($A51,CADASTRO!$A$4:$A$80,0)),$B51)-CONFIG!$B$50*(COUNTIF($V51:$AB51,"AB")+COUNTIF($V51:$AB51,"FE")+COUNTIF($V51:$AB51,"LM")))</f>
        <v/>
      </c>
      <c r="AZ51" s="117">
        <f>SUMPRODUCT(($AC51:$AI51="M")*6+($AC51:$AI51="T")*6+($AC51:$AI51="D")*12+($AC51:$AI51="N")*12+($AC51:$AI51="NT")*6+($AC51:$AI51="C")*10+($AC51:$AI51="A")*8+($AC51:$AI51="J")*5+($AC51:$AI51="CEP")*4+($AC51:$AI51="CP")*6+($AC51:$AI51="CRO")*6+($AC51:$AI51="M+")*6+($AC51:$AI51="T+")*6+($AC51:$AI51="D+")*12+($AC51:$AI51="N+")*12+($AC51:$AI51="Dm+")*12+($AC51:$AI51="Dt+")*12+($AC51:$AI51="Tm-")*6+($AC51:$AI51="Mt-")*6)</f>
        <v/>
      </c>
      <c r="BA51" s="118">
        <f>AZ51-MAX(0,IFERROR(INDEX(CADASTRO!$I$4:$I$80,MATCH($A51,CADASTRO!$A$4:$A$80,0)),$B51)-CONFIG!$B$50*(COUNTIF($AC51:$AI51,"AB")+COUNTIF($AC51:$AI51,"FE")+COUNTIF($AC51:$AI51,"LM")))</f>
        <v/>
      </c>
      <c r="BB51" s="117">
        <f>SUMPRODUCT(($AJ51:$AL51="M")*6+($AJ51:$AL51="T")*6+($AJ51:$AL51="D")*12+($AJ51:$AL51="N")*12+($AJ51:$AL51="NT")*6+($AJ51:$AL51="C")*10+($AJ51:$AL51="A")*8+($AJ51:$AL51="J")*5+($AJ51:$AL51="CEP")*4+($AJ51:$AL51="CP")*6+($AJ51:$AL51="CRO")*6+($AJ51:$AL51="M+")*6+($AJ51:$AL51="T+")*6+($AJ51:$AL51="D+")*12+($AJ51:$AL51="N+")*12+($AJ51:$AL51="Dm+")*12+($AJ51:$AL51="Dt+")*12+($AJ51:$AL51="Tm-")*6+($AJ51:$AL51="Mt-")*6)+SUMPRODUCT(($AN51:$AQ51="M")*6+($AN51:$AQ51="T")*6+($AN51:$AQ51="D")*12+($AN51:$AQ51="N")*12+($AN51:$AQ51="NT")*6+($AN51:$AQ51="C")*10+($AN51:$AQ51="A")*8+($AN51:$AQ51="J")*5+($AN51:$AQ51="CEP")*4+($AN51:$AQ51="CP")*6+($AN51:$AQ51="CRO")*6+($AN51:$AQ51="M+")*6+($AN51:$AQ51="T+")*6+($AN51:$AQ51="D+")*12+($AN51:$AQ51="N+")*12+($AN51:$AQ51="Dm+")*12+($AN51:$AQ51="Dt+")*12+($AN51:$AQ51="Tm-")*6+($AN51:$AQ51="Mt-")*6)</f>
        <v/>
      </c>
      <c r="BC51" s="118">
        <f>BB51-MAX(0,IFERROR(INDEX(CADASTRO!$I$4:$I$80,MATCH($A51,CADASTRO!$A$4:$A$80,0)),$B51)-CONFIG!$B$50*(COUNTIF($AJ51:$AL51,"AB")+COUNTIF($AJ51:$AL51,"FE")+COUNTIF($AJ51:$AL51,"LM")+COUNTIF($AN51:$AQ51,"AB")+COUNTIF($AN51:$AQ51,"FE")+COUNTIF($AN51:$AQ51,"LM")))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ROUND(B51*4.29,0)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00" t="n"/>
      <c r="H52" s="136">
        <f>IFERROR(INDEX(AGO!AM$8:AM$73,MATCH($A52,AGO!$A$8:$A$73,0))&amp;"","")</f>
        <v/>
      </c>
      <c r="I52" s="114" t="n"/>
      <c r="J52" s="114" t="n"/>
      <c r="K52" s="114" t="n"/>
      <c r="L52" s="125" t="inlineStr">
        <is>
          <t>N</t>
        </is>
      </c>
      <c r="M52" s="126" t="inlineStr">
        <is>
          <t>T</t>
        </is>
      </c>
      <c r="N52" s="114" t="n"/>
      <c r="O52" s="125" t="inlineStr">
        <is>
          <t>N</t>
        </is>
      </c>
      <c r="P52" s="114" t="n"/>
      <c r="Q52" s="114" t="n"/>
      <c r="R52" s="114" t="n"/>
      <c r="S52" s="114" t="n"/>
      <c r="T52" s="125" t="inlineStr">
        <is>
          <t>N</t>
        </is>
      </c>
      <c r="U52" s="114" t="n"/>
      <c r="V52" s="125" t="inlineStr">
        <is>
          <t>N</t>
        </is>
      </c>
      <c r="W52" s="114" t="n"/>
      <c r="X52" s="114" t="n"/>
      <c r="Y52" s="114" t="n"/>
      <c r="Z52" s="114" t="n"/>
      <c r="AA52" s="125" t="inlineStr">
        <is>
          <t>N</t>
        </is>
      </c>
      <c r="AB52" s="114" t="n"/>
      <c r="AC52" s="125" t="inlineStr">
        <is>
          <t>N</t>
        </is>
      </c>
      <c r="AD52" s="114" t="n"/>
      <c r="AE52" s="114" t="n"/>
      <c r="AF52" s="114" t="n"/>
      <c r="AG52" s="125" t="inlineStr">
        <is>
          <t>N</t>
        </is>
      </c>
      <c r="AH52" s="114" t="n"/>
      <c r="AI52" s="114" t="n"/>
      <c r="AJ52" s="125" t="inlineStr">
        <is>
          <t>N</t>
        </is>
      </c>
      <c r="AK52" s="114" t="n"/>
      <c r="AL52" s="114" t="n"/>
      <c r="AM52" s="100" t="n"/>
      <c r="AN52" s="136">
        <f>IFERROR(INDEX(OUT!I$8:I$73,MATCH($A52,OUT!$A$8:$A$73,0))&amp;"","")</f>
        <v/>
      </c>
      <c r="AO52" s="136">
        <f>IFERROR(INDEX(OUT!J$8:J$73,MATCH($A52,OUT!$A$8:$A$73,0))&amp;"","")</f>
        <v/>
      </c>
      <c r="AP52" s="116">
        <f>IFERROR(INDEX(OUT!K$8:K$73,MATCH($A52,OUT!$A$8:$A$73,0))&amp;"","")</f>
        <v/>
      </c>
      <c r="AQ52" s="116">
        <f>IFERROR(INDEX(OUT!L$8:L$73,MATCH($A52,OUT!$A$8:$A$73,0))&amp;"","")</f>
        <v/>
      </c>
      <c r="AR52" s="100" t="n"/>
      <c r="AS52" s="100" t="n"/>
      <c r="AT52" s="117">
        <f>SUMPRODUCT(($H52:$N52="M")*6+($H52:$N52="T")*6+($H52:$N52="D")*12+($H52:$N52="N")*12+($H52:$N52="NT")*6+($H52:$N52="C")*10+($H52:$N52="A")*8+($H52:$N52="J")*5+($H52:$N52="CEP")*4+($H52:$N52="CP")*6+($H52:$N52="CRO")*6+($H52:$N52="M+")*6+($H52:$N52="T+")*6+($H52:$N52="D+")*12+($H52:$N52="N+")*12+($H52:$N52="Dm+")*12+($H52:$N52="Dt+")*12+($H52:$N52="Tm-")*6+($H52:$N52="Mt-")*6)</f>
        <v/>
      </c>
      <c r="AU52" s="118">
        <f>AT52-MAX(0,IFERROR(INDEX(CADASTRO!$I$4:$I$80,MATCH($A52,CADASTRO!$A$4:$A$80,0)),$B52)-CONFIG!$B$50*(COUNTIF($H52:$N52,"AB")+COUNTIF($H52:$N52,"FE")+COUNTIF($H52:$N52,"LM")))</f>
        <v/>
      </c>
      <c r="AV52" s="117">
        <f>SUMPRODUCT(($O52:$U52="M")*6+($O52:$U52="T")*6+($O52:$U52="D")*12+($O52:$U52="N")*12+($O52:$U52="NT")*6+($O52:$U52="C")*10+($O52:$U52="A")*8+($O52:$U52="J")*5+($O52:$U52="CEP")*4+($O52:$U52="CP")*6+($O52:$U52="CRO")*6+($O52:$U52="M+")*6+($O52:$U52="T+")*6+($O52:$U52="D+")*12+($O52:$U52="N+")*12+($O52:$U52="Dm+")*12+($O52:$U52="Dt+")*12+($O52:$U52="Tm-")*6+($O52:$U52="Mt-")*6)</f>
        <v/>
      </c>
      <c r="AW52" s="118">
        <f>AV52-MAX(0,IFERROR(INDEX(CADASTRO!$I$4:$I$80,MATCH($A52,CADASTRO!$A$4:$A$80,0)),$B52)-CONFIG!$B$50*(COUNTIF($O52:$U52,"AB")+COUNTIF($O52:$U52,"FE")+COUNTIF($O52:$U52,"LM")))</f>
        <v/>
      </c>
      <c r="AX52" s="117">
        <f>SUMPRODUCT(($V52:$AB52="M")*6+($V52:$AB52="T")*6+($V52:$AB52="D")*12+($V52:$AB52="N")*12+($V52:$AB52="NT")*6+($V52:$AB52="C")*10+($V52:$AB52="A")*8+($V52:$AB52="J")*5+($V52:$AB52="CEP")*4+($V52:$AB52="CP")*6+($V52:$AB52="CRO")*6+($V52:$AB52="M+")*6+($V52:$AB52="T+")*6+($V52:$AB52="D+")*12+($V52:$AB52="N+")*12+($V52:$AB52="Dm+")*12+($V52:$AB52="Dt+")*12+($V52:$AB52="Tm-")*6+($V52:$AB52="Mt-")*6)</f>
        <v/>
      </c>
      <c r="AY52" s="118">
        <f>AX52-MAX(0,IFERROR(INDEX(CADASTRO!$I$4:$I$80,MATCH($A52,CADASTRO!$A$4:$A$80,0)),$B52)-CONFIG!$B$50*(COUNTIF($V52:$AB52,"AB")+COUNTIF($V52:$AB52,"FE")+COUNTIF($V52:$AB52,"LM")))</f>
        <v/>
      </c>
      <c r="AZ52" s="117">
        <f>SUMPRODUCT(($AC52:$AI52="M")*6+($AC52:$AI52="T")*6+($AC52:$AI52="D")*12+($AC52:$AI52="N")*12+($AC52:$AI52="NT")*6+($AC52:$AI52="C")*10+($AC52:$AI52="A")*8+($AC52:$AI52="J")*5+($AC52:$AI52="CEP")*4+($AC52:$AI52="CP")*6+($AC52:$AI52="CRO")*6+($AC52:$AI52="M+")*6+($AC52:$AI52="T+")*6+($AC52:$AI52="D+")*12+($AC52:$AI52="N+")*12+($AC52:$AI52="Dm+")*12+($AC52:$AI52="Dt+")*12+($AC52:$AI52="Tm-")*6+($AC52:$AI52="Mt-")*6)</f>
        <v/>
      </c>
      <c r="BA52" s="118">
        <f>AZ52-MAX(0,IFERROR(INDEX(CADASTRO!$I$4:$I$80,MATCH($A52,CADASTRO!$A$4:$A$80,0)),$B52)-CONFIG!$B$50*(COUNTIF($AC52:$AI52,"AB")+COUNTIF($AC52:$AI52,"FE")+COUNTIF($AC52:$AI52,"LM")))</f>
        <v/>
      </c>
      <c r="BB52" s="117">
        <f>SUMPRODUCT(($AJ52:$AL52="M")*6+($AJ52:$AL52="T")*6+($AJ52:$AL52="D")*12+($AJ52:$AL52="N")*12+($AJ52:$AL52="NT")*6+($AJ52:$AL52="C")*10+($AJ52:$AL52="A")*8+($AJ52:$AL52="J")*5+($AJ52:$AL52="CEP")*4+($AJ52:$AL52="CP")*6+($AJ52:$AL52="CRO")*6+($AJ52:$AL52="M+")*6+($AJ52:$AL52="T+")*6+($AJ52:$AL52="D+")*12+($AJ52:$AL52="N+")*12+($AJ52:$AL52="Dm+")*12+($AJ52:$AL52="Dt+")*12+($AJ52:$AL52="Tm-")*6+($AJ52:$AL52="Mt-")*6)+SUMPRODUCT(($AN52:$AQ52="M")*6+($AN52:$AQ52="T")*6+($AN52:$AQ52="D")*12+($AN52:$AQ52="N")*12+($AN52:$AQ52="NT")*6+($AN52:$AQ52="C")*10+($AN52:$AQ52="A")*8+($AN52:$AQ52="J")*5+($AN52:$AQ52="CEP")*4+($AN52:$AQ52="CP")*6+($AN52:$AQ52="CRO")*6+($AN52:$AQ52="M+")*6+($AN52:$AQ52="T+")*6+($AN52:$AQ52="D+")*12+($AN52:$AQ52="N+")*12+($AN52:$AQ52="Dm+")*12+($AN52:$AQ52="Dt+")*12+($AN52:$AQ52="Tm-")*6+($AN52:$AQ52="Mt-")*6)</f>
        <v/>
      </c>
      <c r="BC52" s="118">
        <f>BB52-MAX(0,IFERROR(INDEX(CADASTRO!$I$4:$I$80,MATCH($A52,CADASTRO!$A$4:$A$80,0)),$B52)-CONFIG!$B$50*(COUNTIF($AJ52:$AL52,"AB")+COUNTIF($AJ52:$AL52,"FE")+COUNTIF($AJ52:$AL52,"LM")+COUNTIF($AN52:$AQ52,"AB")+COUNTIF($AN52:$AQ52,"FE")+COUNTIF($AN52:$AQ52,"LM")))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ROUND(B52*4.29,0)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00" t="n"/>
      <c r="H53" s="136">
        <f>IFERROR(INDEX(AGO!AM$8:AM$73,MATCH($A53,AGO!$A$8:$A$73,0))&amp;"","")</f>
        <v/>
      </c>
      <c r="I53" s="125" t="inlineStr">
        <is>
          <t>N</t>
        </is>
      </c>
      <c r="J53" s="125" t="inlineStr">
        <is>
          <t>N</t>
        </is>
      </c>
      <c r="K53" s="114" t="n"/>
      <c r="L53" s="114" t="n"/>
      <c r="M53" s="114" t="n"/>
      <c r="N53" s="114" t="n"/>
      <c r="O53" s="114" t="n"/>
      <c r="P53" s="123" t="inlineStr">
        <is>
          <t>N+</t>
        </is>
      </c>
      <c r="Q53" s="114" t="n"/>
      <c r="R53" s="114" t="n"/>
      <c r="S53" s="125" t="inlineStr">
        <is>
          <t>N</t>
        </is>
      </c>
      <c r="T53" s="114" t="n"/>
      <c r="U53" s="124" t="inlineStr">
        <is>
          <t>D</t>
        </is>
      </c>
      <c r="V53" s="124" t="inlineStr">
        <is>
          <t>D</t>
        </is>
      </c>
      <c r="W53" s="127" t="inlineStr">
        <is>
          <t>D-</t>
        </is>
      </c>
      <c r="X53" s="114" t="n"/>
      <c r="Y53" s="114" t="n"/>
      <c r="Z53" s="114" t="n"/>
      <c r="AA53" s="114" t="n"/>
      <c r="AB53" s="114" t="n"/>
      <c r="AC53" s="114" t="n"/>
      <c r="AD53" s="114" t="n"/>
      <c r="AE53" s="114" t="n"/>
      <c r="AF53" s="114" t="n"/>
      <c r="AG53" s="125" t="inlineStr">
        <is>
          <t>N</t>
        </is>
      </c>
      <c r="AH53" s="114" t="n"/>
      <c r="AI53" s="124" t="inlineStr">
        <is>
          <t>D</t>
        </is>
      </c>
      <c r="AJ53" s="125" t="inlineStr">
        <is>
          <t>N</t>
        </is>
      </c>
      <c r="AK53" s="125" t="inlineStr">
        <is>
          <t>N</t>
        </is>
      </c>
      <c r="AL53" s="114" t="n"/>
      <c r="AM53" s="100" t="n"/>
      <c r="AN53" s="136">
        <f>IFERROR(INDEX(OUT!I$8:I$73,MATCH($A53,OUT!$A$8:$A$73,0))&amp;"","")</f>
        <v/>
      </c>
      <c r="AO53" s="136">
        <f>IFERROR(INDEX(OUT!J$8:J$73,MATCH($A53,OUT!$A$8:$A$73,0))&amp;"","")</f>
        <v/>
      </c>
      <c r="AP53" s="116">
        <f>IFERROR(INDEX(OUT!K$8:K$73,MATCH($A53,OUT!$A$8:$A$73,0))&amp;"","")</f>
        <v/>
      </c>
      <c r="AQ53" s="116">
        <f>IFERROR(INDEX(OUT!L$8:L$73,MATCH($A53,OUT!$A$8:$A$73,0))&amp;"","")</f>
        <v/>
      </c>
      <c r="AR53" s="100" t="n"/>
      <c r="AS53" s="100" t="n"/>
      <c r="AT53" s="117">
        <f>SUMPRODUCT(($H53:$N53="M")*6+($H53:$N53="T")*6+($H53:$N53="D")*12+($H53:$N53="N")*12+($H53:$N53="NT")*6+($H53:$N53="C")*10+($H53:$N53="A")*8+($H53:$N53="J")*5+($H53:$N53="CEP")*4+($H53:$N53="CP")*6+($H53:$N53="CRO")*6+($H53:$N53="M+")*6+($H53:$N53="T+")*6+($H53:$N53="D+")*12+($H53:$N53="N+")*12+($H53:$N53="Dm+")*12+($H53:$N53="Dt+")*12+($H53:$N53="Tm-")*6+($H53:$N53="Mt-")*6)</f>
        <v/>
      </c>
      <c r="AU53" s="118">
        <f>AT53-MAX(0,IFERROR(INDEX(CADASTRO!$I$4:$I$80,MATCH($A53,CADASTRO!$A$4:$A$80,0)),$B53)-CONFIG!$B$50*(COUNTIF($H53:$N53,"AB")+COUNTIF($H53:$N53,"FE")+COUNTIF($H53:$N53,"LM")))</f>
        <v/>
      </c>
      <c r="AV53" s="117">
        <f>SUMPRODUCT(($O53:$U53="M")*6+($O53:$U53="T")*6+($O53:$U53="D")*12+($O53:$U53="N")*12+($O53:$U53="NT")*6+($O53:$U53="C")*10+($O53:$U53="A")*8+($O53:$U53="J")*5+($O53:$U53="CEP")*4+($O53:$U53="CP")*6+($O53:$U53="CRO")*6+($O53:$U53="M+")*6+($O53:$U53="T+")*6+($O53:$U53="D+")*12+($O53:$U53="N+")*12+($O53:$U53="Dm+")*12+($O53:$U53="Dt+")*12+($O53:$U53="Tm-")*6+($O53:$U53="Mt-")*6)</f>
        <v/>
      </c>
      <c r="AW53" s="118">
        <f>AV53-MAX(0,IFERROR(INDEX(CADASTRO!$I$4:$I$80,MATCH($A53,CADASTRO!$A$4:$A$80,0)),$B53)-CONFIG!$B$50*(COUNTIF($O53:$U53,"AB")+COUNTIF($O53:$U53,"FE")+COUNTIF($O53:$U53,"LM")))</f>
        <v/>
      </c>
      <c r="AX53" s="117">
        <f>SUMPRODUCT(($V53:$AB53="M")*6+($V53:$AB53="T")*6+($V53:$AB53="D")*12+($V53:$AB53="N")*12+($V53:$AB53="NT")*6+($V53:$AB53="C")*10+($V53:$AB53="A")*8+($V53:$AB53="J")*5+($V53:$AB53="CEP")*4+($V53:$AB53="CP")*6+($V53:$AB53="CRO")*6+($V53:$AB53="M+")*6+($V53:$AB53="T+")*6+($V53:$AB53="D+")*12+($V53:$AB53="N+")*12+($V53:$AB53="Dm+")*12+($V53:$AB53="Dt+")*12+($V53:$AB53="Tm-")*6+($V53:$AB53="Mt-")*6)</f>
        <v/>
      </c>
      <c r="AY53" s="118">
        <f>AX53-MAX(0,IFERROR(INDEX(CADASTRO!$I$4:$I$80,MATCH($A53,CADASTRO!$A$4:$A$80,0)),$B53)-CONFIG!$B$50*(COUNTIF($V53:$AB53,"AB")+COUNTIF($V53:$AB53,"FE")+COUNTIF($V53:$AB53,"LM")))</f>
        <v/>
      </c>
      <c r="AZ53" s="117">
        <f>SUMPRODUCT(($AC53:$AI53="M")*6+($AC53:$AI53="T")*6+($AC53:$AI53="D")*12+($AC53:$AI53="N")*12+($AC53:$AI53="NT")*6+($AC53:$AI53="C")*10+($AC53:$AI53="A")*8+($AC53:$AI53="J")*5+($AC53:$AI53="CEP")*4+($AC53:$AI53="CP")*6+($AC53:$AI53="CRO")*6+($AC53:$AI53="M+")*6+($AC53:$AI53="T+")*6+($AC53:$AI53="D+")*12+($AC53:$AI53="N+")*12+($AC53:$AI53="Dm+")*12+($AC53:$AI53="Dt+")*12+($AC53:$AI53="Tm-")*6+($AC53:$AI53="Mt-")*6)</f>
        <v/>
      </c>
      <c r="BA53" s="118">
        <f>AZ53-MAX(0,IFERROR(INDEX(CADASTRO!$I$4:$I$80,MATCH($A53,CADASTRO!$A$4:$A$80,0)),$B53)-CONFIG!$B$50*(COUNTIF($AC53:$AI53,"AB")+COUNTIF($AC53:$AI53,"FE")+COUNTIF($AC53:$AI53,"LM")))</f>
        <v/>
      </c>
      <c r="BB53" s="117">
        <f>SUMPRODUCT(($AJ53:$AL53="M")*6+($AJ53:$AL53="T")*6+($AJ53:$AL53="D")*12+($AJ53:$AL53="N")*12+($AJ53:$AL53="NT")*6+($AJ53:$AL53="C")*10+($AJ53:$AL53="A")*8+($AJ53:$AL53="J")*5+($AJ53:$AL53="CEP")*4+($AJ53:$AL53="CP")*6+($AJ53:$AL53="CRO")*6+($AJ53:$AL53="M+")*6+($AJ53:$AL53="T+")*6+($AJ53:$AL53="D+")*12+($AJ53:$AL53="N+")*12+($AJ53:$AL53="Dm+")*12+($AJ53:$AL53="Dt+")*12+($AJ53:$AL53="Tm-")*6+($AJ53:$AL53="Mt-")*6)+SUMPRODUCT(($AN53:$AQ53="M")*6+($AN53:$AQ53="T")*6+($AN53:$AQ53="D")*12+($AN53:$AQ53="N")*12+($AN53:$AQ53="NT")*6+($AN53:$AQ53="C")*10+($AN53:$AQ53="A")*8+($AN53:$AQ53="J")*5+($AN53:$AQ53="CEP")*4+($AN53:$AQ53="CP")*6+($AN53:$AQ53="CRO")*6+($AN53:$AQ53="M+")*6+($AN53:$AQ53="T+")*6+($AN53:$AQ53="D+")*12+($AN53:$AQ53="N+")*12+($AN53:$AQ53="Dm+")*12+($AN53:$AQ53="Dt+")*12+($AN53:$AQ53="Tm-")*6+($AN53:$AQ53="Mt-")*6)</f>
        <v/>
      </c>
      <c r="BC53" s="118">
        <f>BB53-MAX(0,IFERROR(INDEX(CADASTRO!$I$4:$I$80,MATCH($A53,CADASTRO!$A$4:$A$80,0)),$B53)-CONFIG!$B$50*(COUNTIF($AJ53:$AL53,"AB")+COUNTIF($AJ53:$AL53,"FE")+COUNTIF($AJ53:$AL53,"LM")+COUNTIF($AN53:$AQ53,"AB")+COUNTIF($AN53:$AQ53,"FE")+COUNTIF($AN53:$AQ53,"LM")))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ROUND(B53*4.29,0)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00" t="n"/>
      <c r="H54" s="136">
        <f>IFERROR(INDEX(AGO!AM$8:AM$73,MATCH($A54,AGO!$A$8:$A$73,0))&amp;"","")</f>
        <v/>
      </c>
      <c r="I54" s="114" t="n"/>
      <c r="J54" s="114" t="n"/>
      <c r="K54" s="125" t="inlineStr">
        <is>
          <t>N</t>
        </is>
      </c>
      <c r="L54" s="114" t="n"/>
      <c r="M54" s="125" t="inlineStr">
        <is>
          <t>N</t>
        </is>
      </c>
      <c r="N54" s="114" t="n"/>
      <c r="O54" s="114" t="n"/>
      <c r="P54" s="114" t="n"/>
      <c r="Q54" s="114" t="n"/>
      <c r="R54" s="125" t="inlineStr">
        <is>
          <t>N</t>
        </is>
      </c>
      <c r="S54" s="114" t="n"/>
      <c r="T54" s="125" t="inlineStr">
        <is>
          <t>N</t>
        </is>
      </c>
      <c r="U54" s="114" t="n"/>
      <c r="V54" s="114" t="n"/>
      <c r="W54" s="114" t="n"/>
      <c r="X54" s="114" t="n"/>
      <c r="Y54" s="125" t="inlineStr">
        <is>
          <t>N</t>
        </is>
      </c>
      <c r="Z54" s="114" t="n"/>
      <c r="AA54" s="125" t="inlineStr">
        <is>
          <t>N</t>
        </is>
      </c>
      <c r="AB54" s="114" t="n"/>
      <c r="AC54" s="114" t="n"/>
      <c r="AD54" s="114" t="n"/>
      <c r="AE54" s="114" t="n"/>
      <c r="AF54" s="125" t="inlineStr">
        <is>
          <t>N</t>
        </is>
      </c>
      <c r="AG54" s="114" t="n"/>
      <c r="AH54" s="125" t="inlineStr">
        <is>
          <t>N</t>
        </is>
      </c>
      <c r="AI54" s="114" t="n"/>
      <c r="AJ54" s="114" t="n"/>
      <c r="AK54" s="114" t="n"/>
      <c r="AL54" s="114" t="n"/>
      <c r="AM54" s="100" t="n"/>
      <c r="AN54" s="136">
        <f>IFERROR(INDEX(OUT!I$8:I$73,MATCH($A54,OUT!$A$8:$A$73,0))&amp;"","")</f>
        <v/>
      </c>
      <c r="AO54" s="136">
        <f>IFERROR(INDEX(OUT!J$8:J$73,MATCH($A54,OUT!$A$8:$A$73,0))&amp;"","")</f>
        <v/>
      </c>
      <c r="AP54" s="116">
        <f>IFERROR(INDEX(OUT!K$8:K$73,MATCH($A54,OUT!$A$8:$A$73,0))&amp;"","")</f>
        <v/>
      </c>
      <c r="AQ54" s="116">
        <f>IFERROR(INDEX(OUT!L$8:L$73,MATCH($A54,OUT!$A$8:$A$73,0))&amp;"","")</f>
        <v/>
      </c>
      <c r="AR54" s="100" t="n"/>
      <c r="AS54" s="100" t="n"/>
      <c r="AT54" s="117">
        <f>SUMPRODUCT(($H54:$N54="M")*6+($H54:$N54="T")*6+($H54:$N54="D")*12+($H54:$N54="N")*12+($H54:$N54="NT")*6+($H54:$N54="C")*10+($H54:$N54="A")*8+($H54:$N54="J")*5+($H54:$N54="CEP")*4+($H54:$N54="CP")*6+($H54:$N54="CRO")*6+($H54:$N54="M+")*6+($H54:$N54="T+")*6+($H54:$N54="D+")*12+($H54:$N54="N+")*12+($H54:$N54="Dm+")*12+($H54:$N54="Dt+")*12+($H54:$N54="Tm-")*6+($H54:$N54="Mt-")*6)</f>
        <v/>
      </c>
      <c r="AU54" s="118">
        <f>AT54-MAX(0,IFERROR(INDEX(CADASTRO!$I$4:$I$80,MATCH($A54,CADASTRO!$A$4:$A$80,0)),$B54)-CONFIG!$B$50*(COUNTIF($H54:$N54,"AB")+COUNTIF($H54:$N54,"FE")+COUNTIF($H54:$N54,"LM")))</f>
        <v/>
      </c>
      <c r="AV54" s="117">
        <f>SUMPRODUCT(($O54:$U54="M")*6+($O54:$U54="T")*6+($O54:$U54="D")*12+($O54:$U54="N")*12+($O54:$U54="NT")*6+($O54:$U54="C")*10+($O54:$U54="A")*8+($O54:$U54="J")*5+($O54:$U54="CEP")*4+($O54:$U54="CP")*6+($O54:$U54="CRO")*6+($O54:$U54="M+")*6+($O54:$U54="T+")*6+($O54:$U54="D+")*12+($O54:$U54="N+")*12+($O54:$U54="Dm+")*12+($O54:$U54="Dt+")*12+($O54:$U54="Tm-")*6+($O54:$U54="Mt-")*6)</f>
        <v/>
      </c>
      <c r="AW54" s="118">
        <f>AV54-MAX(0,IFERROR(INDEX(CADASTRO!$I$4:$I$80,MATCH($A54,CADASTRO!$A$4:$A$80,0)),$B54)-CONFIG!$B$50*(COUNTIF($O54:$U54,"AB")+COUNTIF($O54:$U54,"FE")+COUNTIF($O54:$U54,"LM")))</f>
        <v/>
      </c>
      <c r="AX54" s="117">
        <f>SUMPRODUCT(($V54:$AB54="M")*6+($V54:$AB54="T")*6+($V54:$AB54="D")*12+($V54:$AB54="N")*12+($V54:$AB54="NT")*6+($V54:$AB54="C")*10+($V54:$AB54="A")*8+($V54:$AB54="J")*5+($V54:$AB54="CEP")*4+($V54:$AB54="CP")*6+($V54:$AB54="CRO")*6+($V54:$AB54="M+")*6+($V54:$AB54="T+")*6+($V54:$AB54="D+")*12+($V54:$AB54="N+")*12+($V54:$AB54="Dm+")*12+($V54:$AB54="Dt+")*12+($V54:$AB54="Tm-")*6+($V54:$AB54="Mt-")*6)</f>
        <v/>
      </c>
      <c r="AY54" s="118">
        <f>AX54-MAX(0,IFERROR(INDEX(CADASTRO!$I$4:$I$80,MATCH($A54,CADASTRO!$A$4:$A$80,0)),$B54)-CONFIG!$B$50*(COUNTIF($V54:$AB54,"AB")+COUNTIF($V54:$AB54,"FE")+COUNTIF($V54:$AB54,"LM")))</f>
        <v/>
      </c>
      <c r="AZ54" s="117">
        <f>SUMPRODUCT(($AC54:$AI54="M")*6+($AC54:$AI54="T")*6+($AC54:$AI54="D")*12+($AC54:$AI54="N")*12+($AC54:$AI54="NT")*6+($AC54:$AI54="C")*10+($AC54:$AI54="A")*8+($AC54:$AI54="J")*5+($AC54:$AI54="CEP")*4+($AC54:$AI54="CP")*6+($AC54:$AI54="CRO")*6+($AC54:$AI54="M+")*6+($AC54:$AI54="T+")*6+($AC54:$AI54="D+")*12+($AC54:$AI54="N+")*12+($AC54:$AI54="Dm+")*12+($AC54:$AI54="Dt+")*12+($AC54:$AI54="Tm-")*6+($AC54:$AI54="Mt-")*6)</f>
        <v/>
      </c>
      <c r="BA54" s="118">
        <f>AZ54-MAX(0,IFERROR(INDEX(CADASTRO!$I$4:$I$80,MATCH($A54,CADASTRO!$A$4:$A$80,0)),$B54)-CONFIG!$B$50*(COUNTIF($AC54:$AI54,"AB")+COUNTIF($AC54:$AI54,"FE")+COUNTIF($AC54:$AI54,"LM")))</f>
        <v/>
      </c>
      <c r="BB54" s="117">
        <f>SUMPRODUCT(($AJ54:$AL54="M")*6+($AJ54:$AL54="T")*6+($AJ54:$AL54="D")*12+($AJ54:$AL54="N")*12+($AJ54:$AL54="NT")*6+($AJ54:$AL54="C")*10+($AJ54:$AL54="A")*8+($AJ54:$AL54="J")*5+($AJ54:$AL54="CEP")*4+($AJ54:$AL54="CP")*6+($AJ54:$AL54="CRO")*6+($AJ54:$AL54="M+")*6+($AJ54:$AL54="T+")*6+($AJ54:$AL54="D+")*12+($AJ54:$AL54="N+")*12+($AJ54:$AL54="Dm+")*12+($AJ54:$AL54="Dt+")*12+($AJ54:$AL54="Tm-")*6+($AJ54:$AL54="Mt-")*6)+SUMPRODUCT(($AN54:$AQ54="M")*6+($AN54:$AQ54="T")*6+($AN54:$AQ54="D")*12+($AN54:$AQ54="N")*12+($AN54:$AQ54="NT")*6+($AN54:$AQ54="C")*10+($AN54:$AQ54="A")*8+($AN54:$AQ54="J")*5+($AN54:$AQ54="CEP")*4+($AN54:$AQ54="CP")*6+($AN54:$AQ54="CRO")*6+($AN54:$AQ54="M+")*6+($AN54:$AQ54="T+")*6+($AN54:$AQ54="D+")*12+($AN54:$AQ54="N+")*12+($AN54:$AQ54="Dm+")*12+($AN54:$AQ54="Dt+")*12+($AN54:$AQ54="Tm-")*6+($AN54:$AQ54="Mt-")*6)</f>
        <v/>
      </c>
      <c r="BC54" s="118">
        <f>BB54-MAX(0,IFERROR(INDEX(CADASTRO!$I$4:$I$80,MATCH($A54,CADASTRO!$A$4:$A$80,0)),$B54)-CONFIG!$B$50*(COUNTIF($AJ54:$AL54,"AB")+COUNTIF($AJ54:$AL54,"FE")+COUNTIF($AJ54:$AL54,"LM")+COUNTIF($AN54:$AQ54,"AB")+COUNTIF($AN54:$AQ54,"FE")+COUNTIF($AN54:$AQ54,"LM")))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ROUND(B54*4.29,0)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00" t="n"/>
      <c r="H55" s="136">
        <f>IFERROR(INDEX(AGO!AM$8:AM$73,MATCH($A55,AGO!$A$8:$A$73,0))&amp;"","")</f>
        <v/>
      </c>
      <c r="I55" s="114" t="n"/>
      <c r="J55" s="115" t="inlineStr">
        <is>
          <t>M</t>
        </is>
      </c>
      <c r="K55" s="115" t="inlineStr">
        <is>
          <t>M</t>
        </is>
      </c>
      <c r="L55" s="115" t="inlineStr">
        <is>
          <t>M</t>
        </is>
      </c>
      <c r="M55" s="114" t="n"/>
      <c r="N55" s="115" t="inlineStr">
        <is>
          <t>M</t>
        </is>
      </c>
      <c r="O55" s="115" t="inlineStr">
        <is>
          <t>M</t>
        </is>
      </c>
      <c r="P55" s="114" t="n"/>
      <c r="Q55" s="114" t="n"/>
      <c r="R55" s="115" t="inlineStr">
        <is>
          <t>M</t>
        </is>
      </c>
      <c r="S55" s="115" t="inlineStr">
        <is>
          <t>M</t>
        </is>
      </c>
      <c r="T55" s="115" t="inlineStr">
        <is>
          <t>M</t>
        </is>
      </c>
      <c r="U55" s="114" t="n"/>
      <c r="V55" s="115" t="inlineStr">
        <is>
          <t>M</t>
        </is>
      </c>
      <c r="W55" s="114" t="n"/>
      <c r="X55" s="114" t="n"/>
      <c r="Y55" s="115" t="inlineStr">
        <is>
          <t>M</t>
        </is>
      </c>
      <c r="Z55" s="114" t="n"/>
      <c r="AA55" s="115" t="inlineStr">
        <is>
          <t>M</t>
        </is>
      </c>
      <c r="AB55" s="115" t="inlineStr">
        <is>
          <t>M</t>
        </is>
      </c>
      <c r="AC55" s="115" t="inlineStr">
        <is>
          <t>M</t>
        </is>
      </c>
      <c r="AD55" s="114" t="n"/>
      <c r="AE55" s="115" t="inlineStr">
        <is>
          <t>M</t>
        </is>
      </c>
      <c r="AF55" s="115" t="inlineStr">
        <is>
          <t>M</t>
        </is>
      </c>
      <c r="AG55" s="115" t="inlineStr">
        <is>
          <t>M</t>
        </is>
      </c>
      <c r="AH55" s="114" t="n"/>
      <c r="AI55" s="114" t="n"/>
      <c r="AJ55" s="115" t="inlineStr">
        <is>
          <t>M</t>
        </is>
      </c>
      <c r="AK55" s="115" t="inlineStr">
        <is>
          <t>M</t>
        </is>
      </c>
      <c r="AL55" s="115" t="inlineStr">
        <is>
          <t>M</t>
        </is>
      </c>
      <c r="AM55" s="100" t="n"/>
      <c r="AN55" s="136">
        <f>IFERROR(INDEX(OUT!I$8:I$73,MATCH($A55,OUT!$A$8:$A$73,0))&amp;"","")</f>
        <v/>
      </c>
      <c r="AO55" s="136">
        <f>IFERROR(INDEX(OUT!J$8:J$73,MATCH($A55,OUT!$A$8:$A$73,0))&amp;"","")</f>
        <v/>
      </c>
      <c r="AP55" s="116">
        <f>IFERROR(INDEX(OUT!K$8:K$73,MATCH($A55,OUT!$A$8:$A$73,0))&amp;"","")</f>
        <v/>
      </c>
      <c r="AQ55" s="116">
        <f>IFERROR(INDEX(OUT!L$8:L$73,MATCH($A55,OUT!$A$8:$A$73,0))&amp;"","")</f>
        <v/>
      </c>
      <c r="AR55" s="100" t="n"/>
      <c r="AS55" s="100" t="n"/>
      <c r="AT55" s="117">
        <f>SUMPRODUCT(($H55:$N55="M")*6+($H55:$N55="T")*6+($H55:$N55="D")*12+($H55:$N55="N")*12+($H55:$N55="NT")*6+($H55:$N55="C")*10+($H55:$N55="A")*8+($H55:$N55="J")*5+($H55:$N55="CEP")*4+($H55:$N55="CP")*6+($H55:$N55="CRO")*6+($H55:$N55="M+")*6+($H55:$N55="T+")*6+($H55:$N55="D+")*12+($H55:$N55="N+")*12+($H55:$N55="Dm+")*12+($H55:$N55="Dt+")*12+($H55:$N55="Tm-")*6+($H55:$N55="Mt-")*6)</f>
        <v/>
      </c>
      <c r="AU55" s="118">
        <f>AT55-MAX(0,IFERROR(INDEX(CADASTRO!$I$4:$I$80,MATCH($A55,CADASTRO!$A$4:$A$80,0)),$B55)-CONFIG!$B$50*(COUNTIF($H55:$N55,"AB")+COUNTIF($H55:$N55,"FE")+COUNTIF($H55:$N55,"LM")))</f>
        <v/>
      </c>
      <c r="AV55" s="117">
        <f>SUMPRODUCT(($O55:$U55="M")*6+($O55:$U55="T")*6+($O55:$U55="D")*12+($O55:$U55="N")*12+($O55:$U55="NT")*6+($O55:$U55="C")*10+($O55:$U55="A")*8+($O55:$U55="J")*5+($O55:$U55="CEP")*4+($O55:$U55="CP")*6+($O55:$U55="CRO")*6+($O55:$U55="M+")*6+($O55:$U55="T+")*6+($O55:$U55="D+")*12+($O55:$U55="N+")*12+($O55:$U55="Dm+")*12+($O55:$U55="Dt+")*12+($O55:$U55="Tm-")*6+($O55:$U55="Mt-")*6)</f>
        <v/>
      </c>
      <c r="AW55" s="118">
        <f>AV55-MAX(0,IFERROR(INDEX(CADASTRO!$I$4:$I$80,MATCH($A55,CADASTRO!$A$4:$A$80,0)),$B55)-CONFIG!$B$50*(COUNTIF($O55:$U55,"AB")+COUNTIF($O55:$U55,"FE")+COUNTIF($O55:$U55,"LM")))</f>
        <v/>
      </c>
      <c r="AX55" s="117">
        <f>SUMPRODUCT(($V55:$AB55="M")*6+($V55:$AB55="T")*6+($V55:$AB55="D")*12+($V55:$AB55="N")*12+($V55:$AB55="NT")*6+($V55:$AB55="C")*10+($V55:$AB55="A")*8+($V55:$AB55="J")*5+($V55:$AB55="CEP")*4+($V55:$AB55="CP")*6+($V55:$AB55="CRO")*6+($V55:$AB55="M+")*6+($V55:$AB55="T+")*6+($V55:$AB55="D+")*12+($V55:$AB55="N+")*12+($V55:$AB55="Dm+")*12+($V55:$AB55="Dt+")*12+($V55:$AB55="Tm-")*6+($V55:$AB55="Mt-")*6)</f>
        <v/>
      </c>
      <c r="AY55" s="118">
        <f>AX55-MAX(0,IFERROR(INDEX(CADASTRO!$I$4:$I$80,MATCH($A55,CADASTRO!$A$4:$A$80,0)),$B55)-CONFIG!$B$50*(COUNTIF($V55:$AB55,"AB")+COUNTIF($V55:$AB55,"FE")+COUNTIF($V55:$AB55,"LM")))</f>
        <v/>
      </c>
      <c r="AZ55" s="117">
        <f>SUMPRODUCT(($AC55:$AI55="M")*6+($AC55:$AI55="T")*6+($AC55:$AI55="D")*12+($AC55:$AI55="N")*12+($AC55:$AI55="NT")*6+($AC55:$AI55="C")*10+($AC55:$AI55="A")*8+($AC55:$AI55="J")*5+($AC55:$AI55="CEP")*4+($AC55:$AI55="CP")*6+($AC55:$AI55="CRO")*6+($AC55:$AI55="M+")*6+($AC55:$AI55="T+")*6+($AC55:$AI55="D+")*12+($AC55:$AI55="N+")*12+($AC55:$AI55="Dm+")*12+($AC55:$AI55="Dt+")*12+($AC55:$AI55="Tm-")*6+($AC55:$AI55="Mt-")*6)</f>
        <v/>
      </c>
      <c r="BA55" s="118">
        <f>AZ55-MAX(0,IFERROR(INDEX(CADASTRO!$I$4:$I$80,MATCH($A55,CADASTRO!$A$4:$A$80,0)),$B55)-CONFIG!$B$50*(COUNTIF($AC55:$AI55,"AB")+COUNTIF($AC55:$AI55,"FE")+COUNTIF($AC55:$AI55,"LM")))</f>
        <v/>
      </c>
      <c r="BB55" s="117">
        <f>SUMPRODUCT(($AJ55:$AL55="M")*6+($AJ55:$AL55="T")*6+($AJ55:$AL55="D")*12+($AJ55:$AL55="N")*12+($AJ55:$AL55="NT")*6+($AJ55:$AL55="C")*10+($AJ55:$AL55="A")*8+($AJ55:$AL55="J")*5+($AJ55:$AL55="CEP")*4+($AJ55:$AL55="CP")*6+($AJ55:$AL55="CRO")*6+($AJ55:$AL55="M+")*6+($AJ55:$AL55="T+")*6+($AJ55:$AL55="D+")*12+($AJ55:$AL55="N+")*12+($AJ55:$AL55="Dm+")*12+($AJ55:$AL55="Dt+")*12+($AJ55:$AL55="Tm-")*6+($AJ55:$AL55="Mt-")*6)+SUMPRODUCT(($AN55:$AQ55="M")*6+($AN55:$AQ55="T")*6+($AN55:$AQ55="D")*12+($AN55:$AQ55="N")*12+($AN55:$AQ55="NT")*6+($AN55:$AQ55="C")*10+($AN55:$AQ55="A")*8+($AN55:$AQ55="J")*5+($AN55:$AQ55="CEP")*4+($AN55:$AQ55="CP")*6+($AN55:$AQ55="CRO")*6+($AN55:$AQ55="M+")*6+($AN55:$AQ55="T+")*6+($AN55:$AQ55="D+")*12+($AN55:$AQ55="N+")*12+($AN55:$AQ55="Dm+")*12+($AN55:$AQ55="Dt+")*12+($AN55:$AQ55="Tm-")*6+($AN55:$AQ55="Mt-")*6)</f>
        <v/>
      </c>
      <c r="BC55" s="118">
        <f>BB55-MAX(0,IFERROR(INDEX(CADASTRO!$I$4:$I$80,MATCH($A55,CADASTRO!$A$4:$A$80,0)),$B55)-CONFIG!$B$50*(COUNTIF($AJ55:$AL55,"AB")+COUNTIF($AJ55:$AL55,"FE")+COUNTIF($AJ55:$AL55,"LM")+COUNTIF($AN55:$AQ55,"AB")+COUNTIF($AN55:$AQ55,"FE")+COUNTIF($AN55:$AQ55,"LM")))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ROUND(B55*4.29,0)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00" t="n"/>
      <c r="H56" s="136">
        <f>IFERROR(INDEX(AGO!AM$8:AM$73,MATCH($A56,AGO!$A$8:$A$73,0))&amp;"","")</f>
        <v/>
      </c>
      <c r="I56" s="114" t="n"/>
      <c r="J56" s="114" t="n"/>
      <c r="K56" s="124" t="inlineStr">
        <is>
          <t>D</t>
        </is>
      </c>
      <c r="L56" s="114" t="n"/>
      <c r="M56" s="114" t="n"/>
      <c r="N56" s="124" t="inlineStr">
        <is>
          <t>D</t>
        </is>
      </c>
      <c r="O56" s="124" t="inlineStr">
        <is>
          <t>D</t>
        </is>
      </c>
      <c r="P56" s="114" t="n"/>
      <c r="Q56" s="114" t="n"/>
      <c r="R56" s="124" t="inlineStr">
        <is>
          <t>D</t>
        </is>
      </c>
      <c r="S56" s="114" t="n"/>
      <c r="T56" s="114" t="n"/>
      <c r="U56" s="114" t="n"/>
      <c r="V56" s="114" t="n"/>
      <c r="W56" s="114" t="n"/>
      <c r="X56" s="115" t="inlineStr">
        <is>
          <t>M</t>
        </is>
      </c>
      <c r="Y56" s="114" t="n"/>
      <c r="Z56" s="124" t="inlineStr">
        <is>
          <t>D</t>
        </is>
      </c>
      <c r="AA56" s="114" t="n"/>
      <c r="AB56" s="114" t="n"/>
      <c r="AC56" s="139" t="inlineStr">
        <is>
          <t>FE</t>
        </is>
      </c>
      <c r="AD56" s="139" t="inlineStr">
        <is>
          <t>FE</t>
        </is>
      </c>
      <c r="AE56" s="139" t="inlineStr">
        <is>
          <t>FE</t>
        </is>
      </c>
      <c r="AF56" s="139" t="inlineStr">
        <is>
          <t>FE</t>
        </is>
      </c>
      <c r="AG56" s="139" t="inlineStr">
        <is>
          <t>FE</t>
        </is>
      </c>
      <c r="AH56" s="139" t="inlineStr">
        <is>
          <t>FE</t>
        </is>
      </c>
      <c r="AI56" s="139" t="inlineStr">
        <is>
          <t>FE</t>
        </is>
      </c>
      <c r="AJ56" s="139" t="inlineStr">
        <is>
          <t>FE</t>
        </is>
      </c>
      <c r="AK56" s="139" t="inlineStr">
        <is>
          <t>FE</t>
        </is>
      </c>
      <c r="AL56" s="139" t="inlineStr">
        <is>
          <t>FE</t>
        </is>
      </c>
      <c r="AM56" s="100" t="n"/>
      <c r="AN56" s="136">
        <f>IFERROR(INDEX(OUT!I$8:I$73,MATCH($A56,OUT!$A$8:$A$73,0))&amp;"","")</f>
        <v/>
      </c>
      <c r="AO56" s="136">
        <f>IFERROR(INDEX(OUT!J$8:J$73,MATCH($A56,OUT!$A$8:$A$73,0))&amp;"","")</f>
        <v/>
      </c>
      <c r="AP56" s="116">
        <f>IFERROR(INDEX(OUT!K$8:K$73,MATCH($A56,OUT!$A$8:$A$73,0))&amp;"","")</f>
        <v/>
      </c>
      <c r="AQ56" s="116">
        <f>IFERROR(INDEX(OUT!L$8:L$73,MATCH($A56,OUT!$A$8:$A$73,0))&amp;"","")</f>
        <v/>
      </c>
      <c r="AR56" s="100" t="n"/>
      <c r="AS56" s="100" t="n"/>
      <c r="AT56" s="117">
        <f>SUMPRODUCT(($H56:$N56="M")*6+($H56:$N56="T")*6+($H56:$N56="D")*12+($H56:$N56="N")*12+($H56:$N56="NT")*6+($H56:$N56="C")*10+($H56:$N56="A")*8+($H56:$N56="J")*5+($H56:$N56="CEP")*4+($H56:$N56="CP")*6+($H56:$N56="CRO")*6+($H56:$N56="M+")*6+($H56:$N56="T+")*6+($H56:$N56="D+")*12+($H56:$N56="N+")*12+($H56:$N56="Dm+")*12+($H56:$N56="Dt+")*12+($H56:$N56="Tm-")*6+($H56:$N56="Mt-")*6)</f>
        <v/>
      </c>
      <c r="AU56" s="118">
        <f>AT56-MAX(0,IFERROR(INDEX(CADASTRO!$I$4:$I$80,MATCH($A56,CADASTRO!$A$4:$A$80,0)),$B56)-CONFIG!$B$50*(COUNTIF($H56:$N56,"AB")+COUNTIF($H56:$N56,"FE")+COUNTIF($H56:$N56,"LM")))</f>
        <v/>
      </c>
      <c r="AV56" s="117">
        <f>SUMPRODUCT(($O56:$U56="M")*6+($O56:$U56="T")*6+($O56:$U56="D")*12+($O56:$U56="N")*12+($O56:$U56="NT")*6+($O56:$U56="C")*10+($O56:$U56="A")*8+($O56:$U56="J")*5+($O56:$U56="CEP")*4+($O56:$U56="CP")*6+($O56:$U56="CRO")*6+($O56:$U56="M+")*6+($O56:$U56="T+")*6+($O56:$U56="D+")*12+($O56:$U56="N+")*12+($O56:$U56="Dm+")*12+($O56:$U56="Dt+")*12+($O56:$U56="Tm-")*6+($O56:$U56="Mt-")*6)</f>
        <v/>
      </c>
      <c r="AW56" s="118">
        <f>AV56-MAX(0,IFERROR(INDEX(CADASTRO!$I$4:$I$80,MATCH($A56,CADASTRO!$A$4:$A$80,0)),$B56)-CONFIG!$B$50*(COUNTIF($O56:$U56,"AB")+COUNTIF($O56:$U56,"FE")+COUNTIF($O56:$U56,"LM")))</f>
        <v/>
      </c>
      <c r="AX56" s="117">
        <f>SUMPRODUCT(($V56:$AB56="M")*6+($V56:$AB56="T")*6+($V56:$AB56="D")*12+($V56:$AB56="N")*12+($V56:$AB56="NT")*6+($V56:$AB56="C")*10+($V56:$AB56="A")*8+($V56:$AB56="J")*5+($V56:$AB56="CEP")*4+($V56:$AB56="CP")*6+($V56:$AB56="CRO")*6+($V56:$AB56="M+")*6+($V56:$AB56="T+")*6+($V56:$AB56="D+")*12+($V56:$AB56="N+")*12+($V56:$AB56="Dm+")*12+($V56:$AB56="Dt+")*12+($V56:$AB56="Tm-")*6+($V56:$AB56="Mt-")*6)</f>
        <v/>
      </c>
      <c r="AY56" s="118">
        <f>AX56-MAX(0,IFERROR(INDEX(CADASTRO!$I$4:$I$80,MATCH($A56,CADASTRO!$A$4:$A$80,0)),$B56)-CONFIG!$B$50*(COUNTIF($V56:$AB56,"AB")+COUNTIF($V56:$AB56,"FE")+COUNTIF($V56:$AB56,"LM")))</f>
        <v/>
      </c>
      <c r="AZ56" s="117">
        <f>SUMPRODUCT(($AC56:$AI56="M")*6+($AC56:$AI56="T")*6+($AC56:$AI56="D")*12+($AC56:$AI56="N")*12+($AC56:$AI56="NT")*6+($AC56:$AI56="C")*10+($AC56:$AI56="A")*8+($AC56:$AI56="J")*5+($AC56:$AI56="CEP")*4+($AC56:$AI56="CP")*6+($AC56:$AI56="CRO")*6+($AC56:$AI56="M+")*6+($AC56:$AI56="T+")*6+($AC56:$AI56="D+")*12+($AC56:$AI56="N+")*12+($AC56:$AI56="Dm+")*12+($AC56:$AI56="Dt+")*12+($AC56:$AI56="Tm-")*6+($AC56:$AI56="Mt-")*6)</f>
        <v/>
      </c>
      <c r="BA56" s="118">
        <f>AZ56-MAX(0,IFERROR(INDEX(CADASTRO!$I$4:$I$80,MATCH($A56,CADASTRO!$A$4:$A$80,0)),$B56)-CONFIG!$B$50*(COUNTIF($AC56:$AI56,"AB")+COUNTIF($AC56:$AI56,"FE")+COUNTIF($AC56:$AI56,"LM")))</f>
        <v/>
      </c>
      <c r="BB56" s="117">
        <f>SUMPRODUCT(($AJ56:$AL56="M")*6+($AJ56:$AL56="T")*6+($AJ56:$AL56="D")*12+($AJ56:$AL56="N")*12+($AJ56:$AL56="NT")*6+($AJ56:$AL56="C")*10+($AJ56:$AL56="A")*8+($AJ56:$AL56="J")*5+($AJ56:$AL56="CEP")*4+($AJ56:$AL56="CP")*6+($AJ56:$AL56="CRO")*6+($AJ56:$AL56="M+")*6+($AJ56:$AL56="T+")*6+($AJ56:$AL56="D+")*12+($AJ56:$AL56="N+")*12+($AJ56:$AL56="Dm+")*12+($AJ56:$AL56="Dt+")*12+($AJ56:$AL56="Tm-")*6+($AJ56:$AL56="Mt-")*6)+SUMPRODUCT(($AN56:$AQ56="M")*6+($AN56:$AQ56="T")*6+($AN56:$AQ56="D")*12+($AN56:$AQ56="N")*12+($AN56:$AQ56="NT")*6+($AN56:$AQ56="C")*10+($AN56:$AQ56="A")*8+($AN56:$AQ56="J")*5+($AN56:$AQ56="CEP")*4+($AN56:$AQ56="CP")*6+($AN56:$AQ56="CRO")*6+($AN56:$AQ56="M+")*6+($AN56:$AQ56="T+")*6+($AN56:$AQ56="D+")*12+($AN56:$AQ56="N+")*12+($AN56:$AQ56="Dm+")*12+($AN56:$AQ56="Dt+")*12+($AN56:$AQ56="Tm-")*6+($AN56:$AQ56="Mt-")*6)</f>
        <v/>
      </c>
      <c r="BC56" s="118">
        <f>BB56-MAX(0,IFERROR(INDEX(CADASTRO!$I$4:$I$80,MATCH($A56,CADASTRO!$A$4:$A$80,0)),$B56)-CONFIG!$B$50*(COUNTIF($AJ56:$AL56,"AB")+COUNTIF($AJ56:$AL56,"FE")+COUNTIF($AJ56:$AL56,"LM")+COUNTIF($AN56:$AQ56,"AB")+COUNTIF($AN56:$AQ56,"FE")+COUNTIF($AN56:$AQ56,"LM")))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ROUND(B56*4.29,0)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00" t="n"/>
      <c r="H57" s="136">
        <f>IFERROR(INDEX(AGO!AM$8:AM$73,MATCH($A57,AGO!$A$8:$A$73,0))&amp;"","")</f>
        <v/>
      </c>
      <c r="I57" s="114" t="n"/>
      <c r="J57" s="114" t="n"/>
      <c r="K57" s="114" t="n"/>
      <c r="L57" s="114" t="n"/>
      <c r="M57" s="124" t="inlineStr">
        <is>
          <t>D</t>
        </is>
      </c>
      <c r="N57" s="114" t="n"/>
      <c r="O57" s="124" t="inlineStr">
        <is>
          <t>D</t>
        </is>
      </c>
      <c r="P57" s="114" t="n"/>
      <c r="Q57" s="125" t="inlineStr">
        <is>
          <t>N</t>
        </is>
      </c>
      <c r="R57" s="114" t="n"/>
      <c r="S57" s="114" t="n"/>
      <c r="T57" s="114" t="n"/>
      <c r="U57" s="114" t="n"/>
      <c r="V57" s="114" t="n"/>
      <c r="W57" s="114" t="n"/>
      <c r="X57" s="125" t="inlineStr">
        <is>
          <t>N</t>
        </is>
      </c>
      <c r="Y57" s="114" t="n"/>
      <c r="Z57" s="114" t="n"/>
      <c r="AA57" s="124" t="inlineStr">
        <is>
          <t>D</t>
        </is>
      </c>
      <c r="AB57" s="114" t="n"/>
      <c r="AC57" s="125" t="inlineStr">
        <is>
          <t>N</t>
        </is>
      </c>
      <c r="AD57" s="114" t="n"/>
      <c r="AE57" s="125" t="inlineStr">
        <is>
          <t>N</t>
        </is>
      </c>
      <c r="AF57" s="114" t="n"/>
      <c r="AG57" s="114" t="n"/>
      <c r="AH57" s="114" t="n"/>
      <c r="AI57" s="114" t="n"/>
      <c r="AJ57" s="114" t="n"/>
      <c r="AK57" s="114" t="n"/>
      <c r="AL57" s="125" t="inlineStr">
        <is>
          <t>N</t>
        </is>
      </c>
      <c r="AM57" s="100" t="n"/>
      <c r="AN57" s="136">
        <f>IFERROR(INDEX(OUT!I$8:I$73,MATCH($A57,OUT!$A$8:$A$73,0))&amp;"","")</f>
        <v/>
      </c>
      <c r="AO57" s="136">
        <f>IFERROR(INDEX(OUT!J$8:J$73,MATCH($A57,OUT!$A$8:$A$73,0))&amp;"","")</f>
        <v/>
      </c>
      <c r="AP57" s="116">
        <f>IFERROR(INDEX(OUT!K$8:K$73,MATCH($A57,OUT!$A$8:$A$73,0))&amp;"","")</f>
        <v/>
      </c>
      <c r="AQ57" s="116">
        <f>IFERROR(INDEX(OUT!L$8:L$73,MATCH($A57,OUT!$A$8:$A$73,0))&amp;"","")</f>
        <v/>
      </c>
      <c r="AR57" s="100" t="n"/>
      <c r="AS57" s="100" t="n"/>
      <c r="AT57" s="117">
        <f>SUMPRODUCT(($H57:$N57="M")*6+($H57:$N57="T")*6+($H57:$N57="D")*12+($H57:$N57="N")*12+($H57:$N57="NT")*6+($H57:$N57="C")*10+($H57:$N57="A")*8+($H57:$N57="J")*5+($H57:$N57="CEP")*4+($H57:$N57="CP")*6+($H57:$N57="CRO")*6+($H57:$N57="M+")*6+($H57:$N57="T+")*6+($H57:$N57="D+")*12+($H57:$N57="N+")*12+($H57:$N57="Dm+")*12+($H57:$N57="Dt+")*12+($H57:$N57="Tm-")*6+($H57:$N57="Mt-")*6)</f>
        <v/>
      </c>
      <c r="AU57" s="118">
        <f>AT57-MAX(0,IFERROR(INDEX(CADASTRO!$I$4:$I$80,MATCH($A57,CADASTRO!$A$4:$A$80,0)),$B57)-CONFIG!$B$50*(COUNTIF($H57:$N57,"AB")+COUNTIF($H57:$N57,"FE")+COUNTIF($H57:$N57,"LM")))</f>
        <v/>
      </c>
      <c r="AV57" s="117">
        <f>SUMPRODUCT(($O57:$U57="M")*6+($O57:$U57="T")*6+($O57:$U57="D")*12+($O57:$U57="N")*12+($O57:$U57="NT")*6+($O57:$U57="C")*10+($O57:$U57="A")*8+($O57:$U57="J")*5+($O57:$U57="CEP")*4+($O57:$U57="CP")*6+($O57:$U57="CRO")*6+($O57:$U57="M+")*6+($O57:$U57="T+")*6+($O57:$U57="D+")*12+($O57:$U57="N+")*12+($O57:$U57="Dm+")*12+($O57:$U57="Dt+")*12+($O57:$U57="Tm-")*6+($O57:$U57="Mt-")*6)</f>
        <v/>
      </c>
      <c r="AW57" s="118">
        <f>AV57-MAX(0,IFERROR(INDEX(CADASTRO!$I$4:$I$80,MATCH($A57,CADASTRO!$A$4:$A$80,0)),$B57)-CONFIG!$B$50*(COUNTIF($O57:$U57,"AB")+COUNTIF($O57:$U57,"FE")+COUNTIF($O57:$U57,"LM")))</f>
        <v/>
      </c>
      <c r="AX57" s="117">
        <f>SUMPRODUCT(($V57:$AB57="M")*6+($V57:$AB57="T")*6+($V57:$AB57="D")*12+($V57:$AB57="N")*12+($V57:$AB57="NT")*6+($V57:$AB57="C")*10+($V57:$AB57="A")*8+($V57:$AB57="J")*5+($V57:$AB57="CEP")*4+($V57:$AB57="CP")*6+($V57:$AB57="CRO")*6+($V57:$AB57="M+")*6+($V57:$AB57="T+")*6+($V57:$AB57="D+")*12+($V57:$AB57="N+")*12+($V57:$AB57="Dm+")*12+($V57:$AB57="Dt+")*12+($V57:$AB57="Tm-")*6+($V57:$AB57="Mt-")*6)</f>
        <v/>
      </c>
      <c r="AY57" s="118">
        <f>AX57-MAX(0,IFERROR(INDEX(CADASTRO!$I$4:$I$80,MATCH($A57,CADASTRO!$A$4:$A$80,0)),$B57)-CONFIG!$B$50*(COUNTIF($V57:$AB57,"AB")+COUNTIF($V57:$AB57,"FE")+COUNTIF($V57:$AB57,"LM")))</f>
        <v/>
      </c>
      <c r="AZ57" s="117">
        <f>SUMPRODUCT(($AC57:$AI57="M")*6+($AC57:$AI57="T")*6+($AC57:$AI57="D")*12+($AC57:$AI57="N")*12+($AC57:$AI57="NT")*6+($AC57:$AI57="C")*10+($AC57:$AI57="A")*8+($AC57:$AI57="J")*5+($AC57:$AI57="CEP")*4+($AC57:$AI57="CP")*6+($AC57:$AI57="CRO")*6+($AC57:$AI57="M+")*6+($AC57:$AI57="T+")*6+($AC57:$AI57="D+")*12+($AC57:$AI57="N+")*12+($AC57:$AI57="Dm+")*12+($AC57:$AI57="Dt+")*12+($AC57:$AI57="Tm-")*6+($AC57:$AI57="Mt-")*6)</f>
        <v/>
      </c>
      <c r="BA57" s="118">
        <f>AZ57-MAX(0,IFERROR(INDEX(CADASTRO!$I$4:$I$80,MATCH($A57,CADASTRO!$A$4:$A$80,0)),$B57)-CONFIG!$B$50*(COUNTIF($AC57:$AI57,"AB")+COUNTIF($AC57:$AI57,"FE")+COUNTIF($AC57:$AI57,"LM")))</f>
        <v/>
      </c>
      <c r="BB57" s="117">
        <f>SUMPRODUCT(($AJ57:$AL57="M")*6+($AJ57:$AL57="T")*6+($AJ57:$AL57="D")*12+($AJ57:$AL57="N")*12+($AJ57:$AL57="NT")*6+($AJ57:$AL57="C")*10+($AJ57:$AL57="A")*8+($AJ57:$AL57="J")*5+($AJ57:$AL57="CEP")*4+($AJ57:$AL57="CP")*6+($AJ57:$AL57="CRO")*6+($AJ57:$AL57="M+")*6+($AJ57:$AL57="T+")*6+($AJ57:$AL57="D+")*12+($AJ57:$AL57="N+")*12+($AJ57:$AL57="Dm+")*12+($AJ57:$AL57="Dt+")*12+($AJ57:$AL57="Tm-")*6+($AJ57:$AL57="Mt-")*6)+SUMPRODUCT(($AN57:$AQ57="M")*6+($AN57:$AQ57="T")*6+($AN57:$AQ57="D")*12+($AN57:$AQ57="N")*12+($AN57:$AQ57="NT")*6+($AN57:$AQ57="C")*10+($AN57:$AQ57="A")*8+($AN57:$AQ57="J")*5+($AN57:$AQ57="CEP")*4+($AN57:$AQ57="CP")*6+($AN57:$AQ57="CRO")*6+($AN57:$AQ57="M+")*6+($AN57:$AQ57="T+")*6+($AN57:$AQ57="D+")*12+($AN57:$AQ57="N+")*12+($AN57:$AQ57="Dm+")*12+($AN57:$AQ57="Dt+")*12+($AN57:$AQ57="Tm-")*6+($AN57:$AQ57="Mt-")*6)</f>
        <v/>
      </c>
      <c r="BC57" s="118">
        <f>BB57-MAX(0,IFERROR(INDEX(CADASTRO!$I$4:$I$80,MATCH($A57,CADASTRO!$A$4:$A$80,0)),$B57)-CONFIG!$B$50*(COUNTIF($AJ57:$AL57,"AB")+COUNTIF($AJ57:$AL57,"FE")+COUNTIF($AJ57:$AL57,"LM")+COUNTIF($AN57:$AQ57,"AB")+COUNTIF($AN57:$AQ57,"FE")+COUNTIF($AN57:$AQ57,"LM")))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ROUND(B57*4.29,0)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00" t="n"/>
      <c r="H58" s="136">
        <f>IFERROR(INDEX(AGO!AM$8:AM$73,MATCH($A58,AGO!$A$8:$A$73,0))&amp;"","")</f>
        <v/>
      </c>
      <c r="I58" s="124" t="inlineStr">
        <is>
          <t>D</t>
        </is>
      </c>
      <c r="J58" s="114" t="n"/>
      <c r="K58" s="114" t="n"/>
      <c r="L58" s="124" t="inlineStr">
        <is>
          <t>D</t>
        </is>
      </c>
      <c r="M58" s="114" t="n"/>
      <c r="N58" s="114" t="n"/>
      <c r="O58" s="114" t="n"/>
      <c r="P58" s="114" t="n"/>
      <c r="Q58" s="114" t="n"/>
      <c r="R58" s="125" t="inlineStr">
        <is>
          <t>N</t>
        </is>
      </c>
      <c r="S58" s="114" t="n"/>
      <c r="T58" s="124" t="inlineStr">
        <is>
          <t>D</t>
        </is>
      </c>
      <c r="U58" s="114" t="n"/>
      <c r="V58" s="124" t="inlineStr">
        <is>
          <t>D</t>
        </is>
      </c>
      <c r="W58" s="114" t="n"/>
      <c r="X58" s="124" t="inlineStr">
        <is>
          <t>D</t>
        </is>
      </c>
      <c r="Y58" s="114" t="n"/>
      <c r="Z58" s="114" t="n"/>
      <c r="AA58" s="114" t="n"/>
      <c r="AB58" s="114" t="n"/>
      <c r="AC58" s="114" t="n"/>
      <c r="AD58" s="114" t="n"/>
      <c r="AE58" s="125" t="inlineStr">
        <is>
          <t>N</t>
        </is>
      </c>
      <c r="AF58" s="114" t="n"/>
      <c r="AG58" s="114" t="n"/>
      <c r="AH58" s="124" t="inlineStr">
        <is>
          <t>D</t>
        </is>
      </c>
      <c r="AI58" s="114" t="n"/>
      <c r="AJ58" s="124" t="inlineStr">
        <is>
          <t>D</t>
        </is>
      </c>
      <c r="AK58" s="114" t="n"/>
      <c r="AL58" s="125" t="inlineStr">
        <is>
          <t>N</t>
        </is>
      </c>
      <c r="AM58" s="100" t="n"/>
      <c r="AN58" s="136">
        <f>IFERROR(INDEX(OUT!I$8:I$73,MATCH($A58,OUT!$A$8:$A$73,0))&amp;"","")</f>
        <v/>
      </c>
      <c r="AO58" s="136">
        <f>IFERROR(INDEX(OUT!J$8:J$73,MATCH($A58,OUT!$A$8:$A$73,0))&amp;"","")</f>
        <v/>
      </c>
      <c r="AP58" s="116">
        <f>IFERROR(INDEX(OUT!K$8:K$73,MATCH($A58,OUT!$A$8:$A$73,0))&amp;"","")</f>
        <v/>
      </c>
      <c r="AQ58" s="116">
        <f>IFERROR(INDEX(OUT!L$8:L$73,MATCH($A58,OUT!$A$8:$A$73,0))&amp;"","")</f>
        <v/>
      </c>
      <c r="AR58" s="100" t="n"/>
      <c r="AS58" s="100" t="n"/>
      <c r="AT58" s="117">
        <f>SUMPRODUCT(($H58:$N58="M")*6+($H58:$N58="T")*6+($H58:$N58="D")*12+($H58:$N58="N")*12+($H58:$N58="NT")*6+($H58:$N58="C")*10+($H58:$N58="A")*8+($H58:$N58="J")*5+($H58:$N58="CEP")*4+($H58:$N58="CP")*6+($H58:$N58="CRO")*6+($H58:$N58="M+")*6+($H58:$N58="T+")*6+($H58:$N58="D+")*12+($H58:$N58="N+")*12+($H58:$N58="Dm+")*12+($H58:$N58="Dt+")*12+($H58:$N58="Tm-")*6+($H58:$N58="Mt-")*6)</f>
        <v/>
      </c>
      <c r="AU58" s="118">
        <f>AT58-MAX(0,IFERROR(INDEX(CADASTRO!$I$4:$I$80,MATCH($A58,CADASTRO!$A$4:$A$80,0)),$B58)-CONFIG!$B$50*(COUNTIF($H58:$N58,"AB")+COUNTIF($H58:$N58,"FE")+COUNTIF($H58:$N58,"LM")))</f>
        <v/>
      </c>
      <c r="AV58" s="117">
        <f>SUMPRODUCT(($O58:$U58="M")*6+($O58:$U58="T")*6+($O58:$U58="D")*12+($O58:$U58="N")*12+($O58:$U58="NT")*6+($O58:$U58="C")*10+($O58:$U58="A")*8+($O58:$U58="J")*5+($O58:$U58="CEP")*4+($O58:$U58="CP")*6+($O58:$U58="CRO")*6+($O58:$U58="M+")*6+($O58:$U58="T+")*6+($O58:$U58="D+")*12+($O58:$U58="N+")*12+($O58:$U58="Dm+")*12+($O58:$U58="Dt+")*12+($O58:$U58="Tm-")*6+($O58:$U58="Mt-")*6)</f>
        <v/>
      </c>
      <c r="AW58" s="118">
        <f>AV58-MAX(0,IFERROR(INDEX(CADASTRO!$I$4:$I$80,MATCH($A58,CADASTRO!$A$4:$A$80,0)),$B58)-CONFIG!$B$50*(COUNTIF($O58:$U58,"AB")+COUNTIF($O58:$U58,"FE")+COUNTIF($O58:$U58,"LM")))</f>
        <v/>
      </c>
      <c r="AX58" s="117">
        <f>SUMPRODUCT(($V58:$AB58="M")*6+($V58:$AB58="T")*6+($V58:$AB58="D")*12+($V58:$AB58="N")*12+($V58:$AB58="NT")*6+($V58:$AB58="C")*10+($V58:$AB58="A")*8+($V58:$AB58="J")*5+($V58:$AB58="CEP")*4+($V58:$AB58="CP")*6+($V58:$AB58="CRO")*6+($V58:$AB58="M+")*6+($V58:$AB58="T+")*6+($V58:$AB58="D+")*12+($V58:$AB58="N+")*12+($V58:$AB58="Dm+")*12+($V58:$AB58="Dt+")*12+($V58:$AB58="Tm-")*6+($V58:$AB58="Mt-")*6)</f>
        <v/>
      </c>
      <c r="AY58" s="118">
        <f>AX58-MAX(0,IFERROR(INDEX(CADASTRO!$I$4:$I$80,MATCH($A58,CADASTRO!$A$4:$A$80,0)),$B58)-CONFIG!$B$50*(COUNTIF($V58:$AB58,"AB")+COUNTIF($V58:$AB58,"FE")+COUNTIF($V58:$AB58,"LM")))</f>
        <v/>
      </c>
      <c r="AZ58" s="117">
        <f>SUMPRODUCT(($AC58:$AI58="M")*6+($AC58:$AI58="T")*6+($AC58:$AI58="D")*12+($AC58:$AI58="N")*12+($AC58:$AI58="NT")*6+($AC58:$AI58="C")*10+($AC58:$AI58="A")*8+($AC58:$AI58="J")*5+($AC58:$AI58="CEP")*4+($AC58:$AI58="CP")*6+($AC58:$AI58="CRO")*6+($AC58:$AI58="M+")*6+($AC58:$AI58="T+")*6+($AC58:$AI58="D+")*12+($AC58:$AI58="N+")*12+($AC58:$AI58="Dm+")*12+($AC58:$AI58="Dt+")*12+($AC58:$AI58="Tm-")*6+($AC58:$AI58="Mt-")*6)</f>
        <v/>
      </c>
      <c r="BA58" s="118">
        <f>AZ58-MAX(0,IFERROR(INDEX(CADASTRO!$I$4:$I$80,MATCH($A58,CADASTRO!$A$4:$A$80,0)),$B58)-CONFIG!$B$50*(COUNTIF($AC58:$AI58,"AB")+COUNTIF($AC58:$AI58,"FE")+COUNTIF($AC58:$AI58,"LM")))</f>
        <v/>
      </c>
      <c r="BB58" s="117">
        <f>SUMPRODUCT(($AJ58:$AL58="M")*6+($AJ58:$AL58="T")*6+($AJ58:$AL58="D")*12+($AJ58:$AL58="N")*12+($AJ58:$AL58="NT")*6+($AJ58:$AL58="C")*10+($AJ58:$AL58="A")*8+($AJ58:$AL58="J")*5+($AJ58:$AL58="CEP")*4+($AJ58:$AL58="CP")*6+($AJ58:$AL58="CRO")*6+($AJ58:$AL58="M+")*6+($AJ58:$AL58="T+")*6+($AJ58:$AL58="D+")*12+($AJ58:$AL58="N+")*12+($AJ58:$AL58="Dm+")*12+($AJ58:$AL58="Dt+")*12+($AJ58:$AL58="Tm-")*6+($AJ58:$AL58="Mt-")*6)+SUMPRODUCT(($AN58:$AQ58="M")*6+($AN58:$AQ58="T")*6+($AN58:$AQ58="D")*12+($AN58:$AQ58="N")*12+($AN58:$AQ58="NT")*6+($AN58:$AQ58="C")*10+($AN58:$AQ58="A")*8+($AN58:$AQ58="J")*5+($AN58:$AQ58="CEP")*4+($AN58:$AQ58="CP")*6+($AN58:$AQ58="CRO")*6+($AN58:$AQ58="M+")*6+($AN58:$AQ58="T+")*6+($AN58:$AQ58="D+")*12+($AN58:$AQ58="N+")*12+($AN58:$AQ58="Dm+")*12+($AN58:$AQ58="Dt+")*12+($AN58:$AQ58="Tm-")*6+($AN58:$AQ58="Mt-")*6)</f>
        <v/>
      </c>
      <c r="BC58" s="118">
        <f>BB58-MAX(0,IFERROR(INDEX(CADASTRO!$I$4:$I$80,MATCH($A58,CADASTRO!$A$4:$A$80,0)),$B58)-CONFIG!$B$50*(COUNTIF($AJ58:$AL58,"AB")+COUNTIF($AJ58:$AL58,"FE")+COUNTIF($AJ58:$AL58,"LM")+COUNTIF($AN58:$AQ58,"AB")+COUNTIF($AN58:$AQ58,"FE")+COUNTIF($AN58:$AQ58,"LM")))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ROUND(B58*4.29,0)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00" t="n"/>
      <c r="H59" s="136">
        <f>IFERROR(INDEX(AGO!AM$8:AM$73,MATCH($A59,AGO!$A$8:$A$73,0))&amp;"","")</f>
        <v/>
      </c>
      <c r="I59" s="127" t="inlineStr">
        <is>
          <t>T-</t>
        </is>
      </c>
      <c r="J59" s="125" t="inlineStr">
        <is>
          <t>N</t>
        </is>
      </c>
      <c r="K59" s="114" t="n"/>
      <c r="L59" s="114" t="n"/>
      <c r="M59" s="114" t="n"/>
      <c r="N59" s="126" t="inlineStr">
        <is>
          <t>T</t>
        </is>
      </c>
      <c r="O59" s="114" t="n"/>
      <c r="P59" s="114" t="n"/>
      <c r="Q59" s="125" t="inlineStr">
        <is>
          <t>N</t>
        </is>
      </c>
      <c r="R59" s="114" t="n"/>
      <c r="S59" s="114" t="n"/>
      <c r="T59" s="114" t="n"/>
      <c r="U59" s="125" t="inlineStr">
        <is>
          <t>N</t>
        </is>
      </c>
      <c r="V59" s="114" t="n"/>
      <c r="W59" s="114" t="n"/>
      <c r="X59" s="125" t="inlineStr">
        <is>
          <t>N</t>
        </is>
      </c>
      <c r="Y59" s="114" t="n"/>
      <c r="Z59" s="125" t="inlineStr">
        <is>
          <t>N</t>
        </is>
      </c>
      <c r="AA59" s="114" t="n"/>
      <c r="AB59" s="123" t="inlineStr">
        <is>
          <t>T+</t>
        </is>
      </c>
      <c r="AC59" s="114" t="n"/>
      <c r="AD59" s="123" t="inlineStr">
        <is>
          <t>N+</t>
        </is>
      </c>
      <c r="AE59" s="125" t="inlineStr">
        <is>
          <t>N</t>
        </is>
      </c>
      <c r="AF59" s="114" t="n"/>
      <c r="AG59" s="125" t="inlineStr">
        <is>
          <t>N</t>
        </is>
      </c>
      <c r="AH59" s="114" t="n"/>
      <c r="AI59" s="114" t="n"/>
      <c r="AJ59" s="114" t="n"/>
      <c r="AK59" s="114" t="n"/>
      <c r="AL59" s="127" t="inlineStr">
        <is>
          <t>N-</t>
        </is>
      </c>
      <c r="AM59" s="100" t="n"/>
      <c r="AN59" s="136">
        <f>IFERROR(INDEX(OUT!I$8:I$73,MATCH($A59,OUT!$A$8:$A$73,0))&amp;"","")</f>
        <v/>
      </c>
      <c r="AO59" s="136">
        <f>IFERROR(INDEX(OUT!J$8:J$73,MATCH($A59,OUT!$A$8:$A$73,0))&amp;"","")</f>
        <v/>
      </c>
      <c r="AP59" s="116">
        <f>IFERROR(INDEX(OUT!K$8:K$73,MATCH($A59,OUT!$A$8:$A$73,0))&amp;"","")</f>
        <v/>
      </c>
      <c r="AQ59" s="116">
        <f>IFERROR(INDEX(OUT!L$8:L$73,MATCH($A59,OUT!$A$8:$A$73,0))&amp;"","")</f>
        <v/>
      </c>
      <c r="AR59" s="100" t="n"/>
      <c r="AS59" s="100" t="n"/>
      <c r="AT59" s="117">
        <f>SUMPRODUCT(($H59:$N59="M")*6+($H59:$N59="T")*6+($H59:$N59="D")*12+($H59:$N59="N")*12+($H59:$N59="NT")*6+($H59:$N59="C")*10+($H59:$N59="A")*8+($H59:$N59="J")*5+($H59:$N59="CEP")*4+($H59:$N59="CP")*6+($H59:$N59="CRO")*6+($H59:$N59="M+")*6+($H59:$N59="T+")*6+($H59:$N59="D+")*12+($H59:$N59="N+")*12+($H59:$N59="Dm+")*12+($H59:$N59="Dt+")*12+($H59:$N59="Tm-")*6+($H59:$N59="Mt-")*6)</f>
        <v/>
      </c>
      <c r="AU59" s="118">
        <f>AT59-MAX(0,IFERROR(INDEX(CADASTRO!$I$4:$I$80,MATCH($A59,CADASTRO!$A$4:$A$80,0)),$B59)-CONFIG!$B$50*(COUNTIF($H59:$N59,"AB")+COUNTIF($H59:$N59,"FE")+COUNTIF($H59:$N59,"LM")))</f>
        <v/>
      </c>
      <c r="AV59" s="117">
        <f>SUMPRODUCT(($O59:$U59="M")*6+($O59:$U59="T")*6+($O59:$U59="D")*12+($O59:$U59="N")*12+($O59:$U59="NT")*6+($O59:$U59="C")*10+($O59:$U59="A")*8+($O59:$U59="J")*5+($O59:$U59="CEP")*4+($O59:$U59="CP")*6+($O59:$U59="CRO")*6+($O59:$U59="M+")*6+($O59:$U59="T+")*6+($O59:$U59="D+")*12+($O59:$U59="N+")*12+($O59:$U59="Dm+")*12+($O59:$U59="Dt+")*12+($O59:$U59="Tm-")*6+($O59:$U59="Mt-")*6)</f>
        <v/>
      </c>
      <c r="AW59" s="118">
        <f>AV59-MAX(0,IFERROR(INDEX(CADASTRO!$I$4:$I$80,MATCH($A59,CADASTRO!$A$4:$A$80,0)),$B59)-CONFIG!$B$50*(COUNTIF($O59:$U59,"AB")+COUNTIF($O59:$U59,"FE")+COUNTIF($O59:$U59,"LM")))</f>
        <v/>
      </c>
      <c r="AX59" s="117">
        <f>SUMPRODUCT(($V59:$AB59="M")*6+($V59:$AB59="T")*6+($V59:$AB59="D")*12+($V59:$AB59="N")*12+($V59:$AB59="NT")*6+($V59:$AB59="C")*10+($V59:$AB59="A")*8+($V59:$AB59="J")*5+($V59:$AB59="CEP")*4+($V59:$AB59="CP")*6+($V59:$AB59="CRO")*6+($V59:$AB59="M+")*6+($V59:$AB59="T+")*6+($V59:$AB59="D+")*12+($V59:$AB59="N+")*12+($V59:$AB59="Dm+")*12+($V59:$AB59="Dt+")*12+($V59:$AB59="Tm-")*6+($V59:$AB59="Mt-")*6)</f>
        <v/>
      </c>
      <c r="AY59" s="118">
        <f>AX59-MAX(0,IFERROR(INDEX(CADASTRO!$I$4:$I$80,MATCH($A59,CADASTRO!$A$4:$A$80,0)),$B59)-CONFIG!$B$50*(COUNTIF($V59:$AB59,"AB")+COUNTIF($V59:$AB59,"FE")+COUNTIF($V59:$AB59,"LM")))</f>
        <v/>
      </c>
      <c r="AZ59" s="117">
        <f>SUMPRODUCT(($AC59:$AI59="M")*6+($AC59:$AI59="T")*6+($AC59:$AI59="D")*12+($AC59:$AI59="N")*12+($AC59:$AI59="NT")*6+($AC59:$AI59="C")*10+($AC59:$AI59="A")*8+($AC59:$AI59="J")*5+($AC59:$AI59="CEP")*4+($AC59:$AI59="CP")*6+($AC59:$AI59="CRO")*6+($AC59:$AI59="M+")*6+($AC59:$AI59="T+")*6+($AC59:$AI59="D+")*12+($AC59:$AI59="N+")*12+($AC59:$AI59="Dm+")*12+($AC59:$AI59="Dt+")*12+($AC59:$AI59="Tm-")*6+($AC59:$AI59="Mt-")*6)</f>
        <v/>
      </c>
      <c r="BA59" s="118">
        <f>AZ59-MAX(0,IFERROR(INDEX(CADASTRO!$I$4:$I$80,MATCH($A59,CADASTRO!$A$4:$A$80,0)),$B59)-CONFIG!$B$50*(COUNTIF($AC59:$AI59,"AB")+COUNTIF($AC59:$AI59,"FE")+COUNTIF($AC59:$AI59,"LM")))</f>
        <v/>
      </c>
      <c r="BB59" s="117">
        <f>SUMPRODUCT(($AJ59:$AL59="M")*6+($AJ59:$AL59="T")*6+($AJ59:$AL59="D")*12+($AJ59:$AL59="N")*12+($AJ59:$AL59="NT")*6+($AJ59:$AL59="C")*10+($AJ59:$AL59="A")*8+($AJ59:$AL59="J")*5+($AJ59:$AL59="CEP")*4+($AJ59:$AL59="CP")*6+($AJ59:$AL59="CRO")*6+($AJ59:$AL59="M+")*6+($AJ59:$AL59="T+")*6+($AJ59:$AL59="D+")*12+($AJ59:$AL59="N+")*12+($AJ59:$AL59="Dm+")*12+($AJ59:$AL59="Dt+")*12+($AJ59:$AL59="Tm-")*6+($AJ59:$AL59="Mt-")*6)+SUMPRODUCT(($AN59:$AQ59="M")*6+($AN59:$AQ59="T")*6+($AN59:$AQ59="D")*12+($AN59:$AQ59="N")*12+($AN59:$AQ59="NT")*6+($AN59:$AQ59="C")*10+($AN59:$AQ59="A")*8+($AN59:$AQ59="J")*5+($AN59:$AQ59="CEP")*4+($AN59:$AQ59="CP")*6+($AN59:$AQ59="CRO")*6+($AN59:$AQ59="M+")*6+($AN59:$AQ59="T+")*6+($AN59:$AQ59="D+")*12+($AN59:$AQ59="N+")*12+($AN59:$AQ59="Dm+")*12+($AN59:$AQ59="Dt+")*12+($AN59:$AQ59="Tm-")*6+($AN59:$AQ59="Mt-")*6)</f>
        <v/>
      </c>
      <c r="BC59" s="118">
        <f>BB59-MAX(0,IFERROR(INDEX(CADASTRO!$I$4:$I$80,MATCH($A59,CADASTRO!$A$4:$A$80,0)),$B59)-CONFIG!$B$50*(COUNTIF($AJ59:$AL59,"AB")+COUNTIF($AJ59:$AL59,"FE")+COUNTIF($AJ59:$AL59,"LM")+COUNTIF($AN59:$AQ59,"AB")+COUNTIF($AN59:$AQ59,"FE")+COUNTIF($AN59:$AQ59,"LM")))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ROUND(B59*4.29,0)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00" t="n"/>
      <c r="H60" s="136">
        <f>IFERROR(INDEX(AGO!AM$8:AM$73,MATCH($A60,AGO!$A$8:$A$73,0))&amp;"","")</f>
        <v/>
      </c>
      <c r="I60" s="114" t="n"/>
      <c r="J60" s="125" t="inlineStr">
        <is>
          <t>N</t>
        </is>
      </c>
      <c r="K60" s="126" t="inlineStr">
        <is>
          <t>T</t>
        </is>
      </c>
      <c r="L60" s="125" t="inlineStr">
        <is>
          <t>N</t>
        </is>
      </c>
      <c r="M60" s="114" t="n"/>
      <c r="N60" s="114" t="n"/>
      <c r="O60" s="114" t="n"/>
      <c r="P60" s="114" t="n"/>
      <c r="Q60" s="125" t="inlineStr">
        <is>
          <t>N</t>
        </is>
      </c>
      <c r="R60" s="114" t="n"/>
      <c r="S60" s="114" t="n"/>
      <c r="T60" s="114" t="n"/>
      <c r="U60" s="124" t="inlineStr">
        <is>
          <t>D</t>
        </is>
      </c>
      <c r="V60" s="114" t="n"/>
      <c r="W60" s="114" t="n"/>
      <c r="X60" s="125" t="inlineStr">
        <is>
          <t>N</t>
        </is>
      </c>
      <c r="Y60" s="114" t="n"/>
      <c r="Z60" s="125" t="inlineStr">
        <is>
          <t>N</t>
        </is>
      </c>
      <c r="AA60" s="114" t="n"/>
      <c r="AB60" s="114" t="n"/>
      <c r="AC60" s="114" t="n"/>
      <c r="AD60" s="114" t="n"/>
      <c r="AE60" s="114" t="n"/>
      <c r="AF60" s="125" t="inlineStr">
        <is>
          <t>N</t>
        </is>
      </c>
      <c r="AG60" s="114" t="n"/>
      <c r="AH60" s="114" t="n"/>
      <c r="AI60" s="124" t="inlineStr">
        <is>
          <t>D</t>
        </is>
      </c>
      <c r="AJ60" s="114" t="n"/>
      <c r="AK60" s="114" t="n"/>
      <c r="AL60" s="125" t="inlineStr">
        <is>
          <t>N</t>
        </is>
      </c>
      <c r="AM60" s="100" t="n"/>
      <c r="AN60" s="136">
        <f>IFERROR(INDEX(OUT!I$8:I$73,MATCH($A60,OUT!$A$8:$A$73,0))&amp;"","")</f>
        <v/>
      </c>
      <c r="AO60" s="136">
        <f>IFERROR(INDEX(OUT!J$8:J$73,MATCH($A60,OUT!$A$8:$A$73,0))&amp;"","")</f>
        <v/>
      </c>
      <c r="AP60" s="116">
        <f>IFERROR(INDEX(OUT!K$8:K$73,MATCH($A60,OUT!$A$8:$A$73,0))&amp;"","")</f>
        <v/>
      </c>
      <c r="AQ60" s="116">
        <f>IFERROR(INDEX(OUT!L$8:L$73,MATCH($A60,OUT!$A$8:$A$73,0))&amp;"","")</f>
        <v/>
      </c>
      <c r="AR60" s="100" t="n"/>
      <c r="AS60" s="100" t="n"/>
      <c r="AT60" s="117">
        <f>SUMPRODUCT(($H60:$N60="M")*6+($H60:$N60="T")*6+($H60:$N60="D")*12+($H60:$N60="N")*12+($H60:$N60="NT")*6+($H60:$N60="C")*10+($H60:$N60="A")*8+($H60:$N60="J")*5+($H60:$N60="CEP")*4+($H60:$N60="CP")*6+($H60:$N60="CRO")*6+($H60:$N60="M+")*6+($H60:$N60="T+")*6+($H60:$N60="D+")*12+($H60:$N60="N+")*12+($H60:$N60="Dm+")*12+($H60:$N60="Dt+")*12+($H60:$N60="Tm-")*6+($H60:$N60="Mt-")*6)</f>
        <v/>
      </c>
      <c r="AU60" s="118">
        <f>AT60-MAX(0,IFERROR(INDEX(CADASTRO!$I$4:$I$80,MATCH($A60,CADASTRO!$A$4:$A$80,0)),$B60)-CONFIG!$B$50*(COUNTIF($H60:$N60,"AB")+COUNTIF($H60:$N60,"FE")+COUNTIF($H60:$N60,"LM")))</f>
        <v/>
      </c>
      <c r="AV60" s="117">
        <f>SUMPRODUCT(($O60:$U60="M")*6+($O60:$U60="T")*6+($O60:$U60="D")*12+($O60:$U60="N")*12+($O60:$U60="NT")*6+($O60:$U60="C")*10+($O60:$U60="A")*8+($O60:$U60="J")*5+($O60:$U60="CEP")*4+($O60:$U60="CP")*6+($O60:$U60="CRO")*6+($O60:$U60="M+")*6+($O60:$U60="T+")*6+($O60:$U60="D+")*12+($O60:$U60="N+")*12+($O60:$U60="Dm+")*12+($O60:$U60="Dt+")*12+($O60:$U60="Tm-")*6+($O60:$U60="Mt-")*6)</f>
        <v/>
      </c>
      <c r="AW60" s="118">
        <f>AV60-MAX(0,IFERROR(INDEX(CADASTRO!$I$4:$I$80,MATCH($A60,CADASTRO!$A$4:$A$80,0)),$B60)-CONFIG!$B$50*(COUNTIF($O60:$U60,"AB")+COUNTIF($O60:$U60,"FE")+COUNTIF($O60:$U60,"LM")))</f>
        <v/>
      </c>
      <c r="AX60" s="117">
        <f>SUMPRODUCT(($V60:$AB60="M")*6+($V60:$AB60="T")*6+($V60:$AB60="D")*12+($V60:$AB60="N")*12+($V60:$AB60="NT")*6+($V60:$AB60="C")*10+($V60:$AB60="A")*8+($V60:$AB60="J")*5+($V60:$AB60="CEP")*4+($V60:$AB60="CP")*6+($V60:$AB60="CRO")*6+($V60:$AB60="M+")*6+($V60:$AB60="T+")*6+($V60:$AB60="D+")*12+($V60:$AB60="N+")*12+($V60:$AB60="Dm+")*12+($V60:$AB60="Dt+")*12+($V60:$AB60="Tm-")*6+($V60:$AB60="Mt-")*6)</f>
        <v/>
      </c>
      <c r="AY60" s="118">
        <f>AX60-MAX(0,IFERROR(INDEX(CADASTRO!$I$4:$I$80,MATCH($A60,CADASTRO!$A$4:$A$80,0)),$B60)-CONFIG!$B$50*(COUNTIF($V60:$AB60,"AB")+COUNTIF($V60:$AB60,"FE")+COUNTIF($V60:$AB60,"LM")))</f>
        <v/>
      </c>
      <c r="AZ60" s="117">
        <f>SUMPRODUCT(($AC60:$AI60="M")*6+($AC60:$AI60="T")*6+($AC60:$AI60="D")*12+($AC60:$AI60="N")*12+($AC60:$AI60="NT")*6+($AC60:$AI60="C")*10+($AC60:$AI60="A")*8+($AC60:$AI60="J")*5+($AC60:$AI60="CEP")*4+($AC60:$AI60="CP")*6+($AC60:$AI60="CRO")*6+($AC60:$AI60="M+")*6+($AC60:$AI60="T+")*6+($AC60:$AI60="D+")*12+($AC60:$AI60="N+")*12+($AC60:$AI60="Dm+")*12+($AC60:$AI60="Dt+")*12+($AC60:$AI60="Tm-")*6+($AC60:$AI60="Mt-")*6)</f>
        <v/>
      </c>
      <c r="BA60" s="118">
        <f>AZ60-MAX(0,IFERROR(INDEX(CADASTRO!$I$4:$I$80,MATCH($A60,CADASTRO!$A$4:$A$80,0)),$B60)-CONFIG!$B$50*(COUNTIF($AC60:$AI60,"AB")+COUNTIF($AC60:$AI60,"FE")+COUNTIF($AC60:$AI60,"LM")))</f>
        <v/>
      </c>
      <c r="BB60" s="117">
        <f>SUMPRODUCT(($AJ60:$AL60="M")*6+($AJ60:$AL60="T")*6+($AJ60:$AL60="D")*12+($AJ60:$AL60="N")*12+($AJ60:$AL60="NT")*6+($AJ60:$AL60="C")*10+($AJ60:$AL60="A")*8+($AJ60:$AL60="J")*5+($AJ60:$AL60="CEP")*4+($AJ60:$AL60="CP")*6+($AJ60:$AL60="CRO")*6+($AJ60:$AL60="M+")*6+($AJ60:$AL60="T+")*6+($AJ60:$AL60="D+")*12+($AJ60:$AL60="N+")*12+($AJ60:$AL60="Dm+")*12+($AJ60:$AL60="Dt+")*12+($AJ60:$AL60="Tm-")*6+($AJ60:$AL60="Mt-")*6)+SUMPRODUCT(($AN60:$AQ60="M")*6+($AN60:$AQ60="T")*6+($AN60:$AQ60="D")*12+($AN60:$AQ60="N")*12+($AN60:$AQ60="NT")*6+($AN60:$AQ60="C")*10+($AN60:$AQ60="A")*8+($AN60:$AQ60="J")*5+($AN60:$AQ60="CEP")*4+($AN60:$AQ60="CP")*6+($AN60:$AQ60="CRO")*6+($AN60:$AQ60="M+")*6+($AN60:$AQ60="T+")*6+($AN60:$AQ60="D+")*12+($AN60:$AQ60="N+")*12+($AN60:$AQ60="Dm+")*12+($AN60:$AQ60="Dt+")*12+($AN60:$AQ60="Tm-")*6+($AN60:$AQ60="Mt-")*6)</f>
        <v/>
      </c>
      <c r="BC60" s="118">
        <f>BB60-MAX(0,IFERROR(INDEX(CADASTRO!$I$4:$I$80,MATCH($A60,CADASTRO!$A$4:$A$80,0)),$B60)-CONFIG!$B$50*(COUNTIF($AJ60:$AL60,"AB")+COUNTIF($AJ60:$AL60,"FE")+COUNTIF($AJ60:$AL60,"LM")+COUNTIF($AN60:$AQ60,"AB")+COUNTIF($AN60:$AQ60,"FE")+COUNTIF($AN60:$AQ60,"LM")))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ROUND(B60*4.29,0)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00" t="n"/>
      <c r="H61" s="136">
        <f>IFERROR(INDEX(AGO!AM$8:AM$73,MATCH($A61,AGO!$A$8:$A$73,0))&amp;"","")</f>
        <v/>
      </c>
      <c r="I61" s="114" t="n"/>
      <c r="J61" s="114" t="n"/>
      <c r="K61" s="114" t="n"/>
      <c r="L61" s="114" t="n"/>
      <c r="M61" s="114" t="n"/>
      <c r="N61" s="125" t="inlineStr">
        <is>
          <t>N</t>
        </is>
      </c>
      <c r="O61" s="114" t="n"/>
      <c r="P61" s="114" t="n"/>
      <c r="Q61" s="114" t="n"/>
      <c r="R61" s="124" t="inlineStr">
        <is>
          <t>D</t>
        </is>
      </c>
      <c r="S61" s="125" t="inlineStr">
        <is>
          <t>N</t>
        </is>
      </c>
      <c r="T61" s="114" t="n"/>
      <c r="U61" s="114" t="n"/>
      <c r="V61" s="124" t="inlineStr">
        <is>
          <t>D</t>
        </is>
      </c>
      <c r="W61" s="114" t="n"/>
      <c r="X61" s="114" t="n"/>
      <c r="Y61" s="124" t="inlineStr">
        <is>
          <t>D</t>
        </is>
      </c>
      <c r="Z61" s="114" t="n"/>
      <c r="AA61" s="114" t="n"/>
      <c r="AB61" s="114" t="n"/>
      <c r="AC61" s="124" t="inlineStr">
        <is>
          <t>D</t>
        </is>
      </c>
      <c r="AD61" s="114" t="n"/>
      <c r="AE61" s="114" t="n"/>
      <c r="AF61" s="114" t="n"/>
      <c r="AG61" s="114" t="n"/>
      <c r="AH61" s="114" t="n"/>
      <c r="AI61" s="124" t="inlineStr">
        <is>
          <t>D</t>
        </is>
      </c>
      <c r="AJ61" s="124" t="inlineStr">
        <is>
          <t>D</t>
        </is>
      </c>
      <c r="AK61" s="114" t="n"/>
      <c r="AL61" s="125" t="inlineStr">
        <is>
          <t>N</t>
        </is>
      </c>
      <c r="AM61" s="100" t="n"/>
      <c r="AN61" s="136">
        <f>IFERROR(INDEX(OUT!I$8:I$73,MATCH($A61,OUT!$A$8:$A$73,0))&amp;"","")</f>
        <v/>
      </c>
      <c r="AO61" s="136">
        <f>IFERROR(INDEX(OUT!J$8:J$73,MATCH($A61,OUT!$A$8:$A$73,0))&amp;"","")</f>
        <v/>
      </c>
      <c r="AP61" s="116">
        <f>IFERROR(INDEX(OUT!K$8:K$73,MATCH($A61,OUT!$A$8:$A$73,0))&amp;"","")</f>
        <v/>
      </c>
      <c r="AQ61" s="116">
        <f>IFERROR(INDEX(OUT!L$8:L$73,MATCH($A61,OUT!$A$8:$A$73,0))&amp;"","")</f>
        <v/>
      </c>
      <c r="AR61" s="100" t="n"/>
      <c r="AS61" s="100" t="n"/>
      <c r="AT61" s="117">
        <f>SUMPRODUCT(($H61:$N61="M")*6+($H61:$N61="T")*6+($H61:$N61="D")*12+($H61:$N61="N")*12+($H61:$N61="NT")*6+($H61:$N61="C")*10+($H61:$N61="A")*8+($H61:$N61="J")*5+($H61:$N61="CEP")*4+($H61:$N61="CP")*6+($H61:$N61="CRO")*6+($H61:$N61="M+")*6+($H61:$N61="T+")*6+($H61:$N61="D+")*12+($H61:$N61="N+")*12+($H61:$N61="Dm+")*12+($H61:$N61="Dt+")*12+($H61:$N61="Tm-")*6+($H61:$N61="Mt-")*6)</f>
        <v/>
      </c>
      <c r="AU61" s="118">
        <f>AT61-MAX(0,IFERROR(INDEX(CADASTRO!$I$4:$I$80,MATCH($A61,CADASTRO!$A$4:$A$80,0)),$B61)-CONFIG!$B$50*(COUNTIF($H61:$N61,"AB")+COUNTIF($H61:$N61,"FE")+COUNTIF($H61:$N61,"LM")))</f>
        <v/>
      </c>
      <c r="AV61" s="117">
        <f>SUMPRODUCT(($O61:$U61="M")*6+($O61:$U61="T")*6+($O61:$U61="D")*12+($O61:$U61="N")*12+($O61:$U61="NT")*6+($O61:$U61="C")*10+($O61:$U61="A")*8+($O61:$U61="J")*5+($O61:$U61="CEP")*4+($O61:$U61="CP")*6+($O61:$U61="CRO")*6+($O61:$U61="M+")*6+($O61:$U61="T+")*6+($O61:$U61="D+")*12+($O61:$U61="N+")*12+($O61:$U61="Dm+")*12+($O61:$U61="Dt+")*12+($O61:$U61="Tm-")*6+($O61:$U61="Mt-")*6)</f>
        <v/>
      </c>
      <c r="AW61" s="118">
        <f>AV61-MAX(0,IFERROR(INDEX(CADASTRO!$I$4:$I$80,MATCH($A61,CADASTRO!$A$4:$A$80,0)),$B61)-CONFIG!$B$50*(COUNTIF($O61:$U61,"AB")+COUNTIF($O61:$U61,"FE")+COUNTIF($O61:$U61,"LM")))</f>
        <v/>
      </c>
      <c r="AX61" s="117">
        <f>SUMPRODUCT(($V61:$AB61="M")*6+($V61:$AB61="T")*6+($V61:$AB61="D")*12+($V61:$AB61="N")*12+($V61:$AB61="NT")*6+($V61:$AB61="C")*10+($V61:$AB61="A")*8+($V61:$AB61="J")*5+($V61:$AB61="CEP")*4+($V61:$AB61="CP")*6+($V61:$AB61="CRO")*6+($V61:$AB61="M+")*6+($V61:$AB61="T+")*6+($V61:$AB61="D+")*12+($V61:$AB61="N+")*12+($V61:$AB61="Dm+")*12+($V61:$AB61="Dt+")*12+($V61:$AB61="Tm-")*6+($V61:$AB61="Mt-")*6)</f>
        <v/>
      </c>
      <c r="AY61" s="118">
        <f>AX61-MAX(0,IFERROR(INDEX(CADASTRO!$I$4:$I$80,MATCH($A61,CADASTRO!$A$4:$A$80,0)),$B61)-CONFIG!$B$50*(COUNTIF($V61:$AB61,"AB")+COUNTIF($V61:$AB61,"FE")+COUNTIF($V61:$AB61,"LM")))</f>
        <v/>
      </c>
      <c r="AZ61" s="117">
        <f>SUMPRODUCT(($AC61:$AI61="M")*6+($AC61:$AI61="T")*6+($AC61:$AI61="D")*12+($AC61:$AI61="N")*12+($AC61:$AI61="NT")*6+($AC61:$AI61="C")*10+($AC61:$AI61="A")*8+($AC61:$AI61="J")*5+($AC61:$AI61="CEP")*4+($AC61:$AI61="CP")*6+($AC61:$AI61="CRO")*6+($AC61:$AI61="M+")*6+($AC61:$AI61="T+")*6+($AC61:$AI61="D+")*12+($AC61:$AI61="N+")*12+($AC61:$AI61="Dm+")*12+($AC61:$AI61="Dt+")*12+($AC61:$AI61="Tm-")*6+($AC61:$AI61="Mt-")*6)</f>
        <v/>
      </c>
      <c r="BA61" s="118">
        <f>AZ61-MAX(0,IFERROR(INDEX(CADASTRO!$I$4:$I$80,MATCH($A61,CADASTRO!$A$4:$A$80,0)),$B61)-CONFIG!$B$50*(COUNTIF($AC61:$AI61,"AB")+COUNTIF($AC61:$AI61,"FE")+COUNTIF($AC61:$AI61,"LM")))</f>
        <v/>
      </c>
      <c r="BB61" s="117">
        <f>SUMPRODUCT(($AJ61:$AL61="M")*6+($AJ61:$AL61="T")*6+($AJ61:$AL61="D")*12+($AJ61:$AL61="N")*12+($AJ61:$AL61="NT")*6+($AJ61:$AL61="C")*10+($AJ61:$AL61="A")*8+($AJ61:$AL61="J")*5+($AJ61:$AL61="CEP")*4+($AJ61:$AL61="CP")*6+($AJ61:$AL61="CRO")*6+($AJ61:$AL61="M+")*6+($AJ61:$AL61="T+")*6+($AJ61:$AL61="D+")*12+($AJ61:$AL61="N+")*12+($AJ61:$AL61="Dm+")*12+($AJ61:$AL61="Dt+")*12+($AJ61:$AL61="Tm-")*6+($AJ61:$AL61="Mt-")*6)+SUMPRODUCT(($AN61:$AQ61="M")*6+($AN61:$AQ61="T")*6+($AN61:$AQ61="D")*12+($AN61:$AQ61="N")*12+($AN61:$AQ61="NT")*6+($AN61:$AQ61="C")*10+($AN61:$AQ61="A")*8+($AN61:$AQ61="J")*5+($AN61:$AQ61="CEP")*4+($AN61:$AQ61="CP")*6+($AN61:$AQ61="CRO")*6+($AN61:$AQ61="M+")*6+($AN61:$AQ61="T+")*6+($AN61:$AQ61="D+")*12+($AN61:$AQ61="N+")*12+($AN61:$AQ61="Dm+")*12+($AN61:$AQ61="Dt+")*12+($AN61:$AQ61="Tm-")*6+($AN61:$AQ61="Mt-")*6)</f>
        <v/>
      </c>
      <c r="BC61" s="118">
        <f>BB61-MAX(0,IFERROR(INDEX(CADASTRO!$I$4:$I$80,MATCH($A61,CADASTRO!$A$4:$A$80,0)),$B61)-CONFIG!$B$50*(COUNTIF($AJ61:$AL61,"AB")+COUNTIF($AJ61:$AL61,"FE")+COUNTIF($AJ61:$AL61,"LM")+COUNTIF($AN61:$AQ61,"AB")+COUNTIF($AN61:$AQ61,"FE")+COUNTIF($AN61:$AQ61,"LM")))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ROUND(B61*4.29,0)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00" t="n"/>
      <c r="H62" s="136">
        <f>IFERROR(INDEX(AGO!AM$8:AM$73,MATCH($A62,AGO!$A$8:$A$73,0))&amp;"","")</f>
        <v/>
      </c>
      <c r="I62" s="139" t="inlineStr">
        <is>
          <t>FE</t>
        </is>
      </c>
      <c r="J62" s="139" t="inlineStr">
        <is>
          <t>FE</t>
        </is>
      </c>
      <c r="K62" s="139" t="inlineStr">
        <is>
          <t>FE</t>
        </is>
      </c>
      <c r="L62" s="139" t="inlineStr">
        <is>
          <t>FE</t>
        </is>
      </c>
      <c r="M62" s="139" t="inlineStr">
        <is>
          <t>FE</t>
        </is>
      </c>
      <c r="N62" s="139" t="inlineStr">
        <is>
          <t>FE</t>
        </is>
      </c>
      <c r="O62" s="139" t="inlineStr">
        <is>
          <t>FE</t>
        </is>
      </c>
      <c r="P62" s="139" t="inlineStr">
        <is>
          <t>FE</t>
        </is>
      </c>
      <c r="Q62" s="139" t="inlineStr">
        <is>
          <t>FE</t>
        </is>
      </c>
      <c r="R62" s="139" t="inlineStr">
        <is>
          <t>FE</t>
        </is>
      </c>
      <c r="S62" s="139" t="inlineStr">
        <is>
          <t>FE</t>
        </is>
      </c>
      <c r="T62" s="139" t="inlineStr">
        <is>
          <t>FE</t>
        </is>
      </c>
      <c r="U62" s="139" t="inlineStr">
        <is>
          <t>FE</t>
        </is>
      </c>
      <c r="V62" s="139" t="inlineStr">
        <is>
          <t>FE</t>
        </is>
      </c>
      <c r="W62" s="125" t="inlineStr">
        <is>
          <t>N</t>
        </is>
      </c>
      <c r="X62" s="114" t="n"/>
      <c r="Y62" s="114" t="n"/>
      <c r="Z62" s="114" t="n"/>
      <c r="AA62" s="124" t="inlineStr">
        <is>
          <t>D</t>
        </is>
      </c>
      <c r="AB62" s="114" t="n"/>
      <c r="AC62" s="114" t="n"/>
      <c r="AD62" s="125" t="inlineStr">
        <is>
          <t>N</t>
        </is>
      </c>
      <c r="AE62" s="114" t="n"/>
      <c r="AF62" s="124" t="inlineStr">
        <is>
          <t>D</t>
        </is>
      </c>
      <c r="AG62" s="114" t="n"/>
      <c r="AH62" s="114" t="n"/>
      <c r="AI62" s="114" t="n"/>
      <c r="AJ62" s="114" t="n"/>
      <c r="AK62" s="125" t="inlineStr">
        <is>
          <t>N</t>
        </is>
      </c>
      <c r="AL62" s="114" t="n"/>
      <c r="AM62" s="100" t="n"/>
      <c r="AN62" s="136">
        <f>IFERROR(INDEX(OUT!I$8:I$73,MATCH($A62,OUT!$A$8:$A$73,0))&amp;"","")</f>
        <v/>
      </c>
      <c r="AO62" s="136">
        <f>IFERROR(INDEX(OUT!J$8:J$73,MATCH($A62,OUT!$A$8:$A$73,0))&amp;"","")</f>
        <v/>
      </c>
      <c r="AP62" s="116">
        <f>IFERROR(INDEX(OUT!K$8:K$73,MATCH($A62,OUT!$A$8:$A$73,0))&amp;"","")</f>
        <v/>
      </c>
      <c r="AQ62" s="116">
        <f>IFERROR(INDEX(OUT!L$8:L$73,MATCH($A62,OUT!$A$8:$A$73,0))&amp;"","")</f>
        <v/>
      </c>
      <c r="AR62" s="100" t="n"/>
      <c r="AS62" s="100" t="n"/>
      <c r="AT62" s="117">
        <f>SUMPRODUCT(($H62:$N62="M")*6+($H62:$N62="T")*6+($H62:$N62="D")*12+($H62:$N62="N")*12+($H62:$N62="NT")*6+($H62:$N62="C")*10+($H62:$N62="A")*8+($H62:$N62="J")*5+($H62:$N62="CEP")*4+($H62:$N62="CP")*6+($H62:$N62="CRO")*6+($H62:$N62="M+")*6+($H62:$N62="T+")*6+($H62:$N62="D+")*12+($H62:$N62="N+")*12+($H62:$N62="Dm+")*12+($H62:$N62="Dt+")*12+($H62:$N62="Tm-")*6+($H62:$N62="Mt-")*6)</f>
        <v/>
      </c>
      <c r="AU62" s="118">
        <f>AT62-MAX(0,IFERROR(INDEX(CADASTRO!$I$4:$I$80,MATCH($A62,CADASTRO!$A$4:$A$80,0)),$B62)-CONFIG!$B$50*(COUNTIF($H62:$N62,"AB")+COUNTIF($H62:$N62,"FE")+COUNTIF($H62:$N62,"LM")))</f>
        <v/>
      </c>
      <c r="AV62" s="117">
        <f>SUMPRODUCT(($O62:$U62="M")*6+($O62:$U62="T")*6+($O62:$U62="D")*12+($O62:$U62="N")*12+($O62:$U62="NT")*6+($O62:$U62="C")*10+($O62:$U62="A")*8+($O62:$U62="J")*5+($O62:$U62="CEP")*4+($O62:$U62="CP")*6+($O62:$U62="CRO")*6+($O62:$U62="M+")*6+($O62:$U62="T+")*6+($O62:$U62="D+")*12+($O62:$U62="N+")*12+($O62:$U62="Dm+")*12+($O62:$U62="Dt+")*12+($O62:$U62="Tm-")*6+($O62:$U62="Mt-")*6)</f>
        <v/>
      </c>
      <c r="AW62" s="118">
        <f>AV62-MAX(0,IFERROR(INDEX(CADASTRO!$I$4:$I$80,MATCH($A62,CADASTRO!$A$4:$A$80,0)),$B62)-CONFIG!$B$50*(COUNTIF($O62:$U62,"AB")+COUNTIF($O62:$U62,"FE")+COUNTIF($O62:$U62,"LM")))</f>
        <v/>
      </c>
      <c r="AX62" s="117">
        <f>SUMPRODUCT(($V62:$AB62="M")*6+($V62:$AB62="T")*6+($V62:$AB62="D")*12+($V62:$AB62="N")*12+($V62:$AB62="NT")*6+($V62:$AB62="C")*10+($V62:$AB62="A")*8+($V62:$AB62="J")*5+($V62:$AB62="CEP")*4+($V62:$AB62="CP")*6+($V62:$AB62="CRO")*6+($V62:$AB62="M+")*6+($V62:$AB62="T+")*6+($V62:$AB62="D+")*12+($V62:$AB62="N+")*12+($V62:$AB62="Dm+")*12+($V62:$AB62="Dt+")*12+($V62:$AB62="Tm-")*6+($V62:$AB62="Mt-")*6)</f>
        <v/>
      </c>
      <c r="AY62" s="118">
        <f>AX62-MAX(0,IFERROR(INDEX(CADASTRO!$I$4:$I$80,MATCH($A62,CADASTRO!$A$4:$A$80,0)),$B62)-CONFIG!$B$50*(COUNTIF($V62:$AB62,"AB")+COUNTIF($V62:$AB62,"FE")+COUNTIF($V62:$AB62,"LM")))</f>
        <v/>
      </c>
      <c r="AZ62" s="117">
        <f>SUMPRODUCT(($AC62:$AI62="M")*6+($AC62:$AI62="T")*6+($AC62:$AI62="D")*12+($AC62:$AI62="N")*12+($AC62:$AI62="NT")*6+($AC62:$AI62="C")*10+($AC62:$AI62="A")*8+($AC62:$AI62="J")*5+($AC62:$AI62="CEP")*4+($AC62:$AI62="CP")*6+($AC62:$AI62="CRO")*6+($AC62:$AI62="M+")*6+($AC62:$AI62="T+")*6+($AC62:$AI62="D+")*12+($AC62:$AI62="N+")*12+($AC62:$AI62="Dm+")*12+($AC62:$AI62="Dt+")*12+($AC62:$AI62="Tm-")*6+($AC62:$AI62="Mt-")*6)</f>
        <v/>
      </c>
      <c r="BA62" s="118">
        <f>AZ62-MAX(0,IFERROR(INDEX(CADASTRO!$I$4:$I$80,MATCH($A62,CADASTRO!$A$4:$A$80,0)),$B62)-CONFIG!$B$50*(COUNTIF($AC62:$AI62,"AB")+COUNTIF($AC62:$AI62,"FE")+COUNTIF($AC62:$AI62,"LM")))</f>
        <v/>
      </c>
      <c r="BB62" s="117">
        <f>SUMPRODUCT(($AJ62:$AL62="M")*6+($AJ62:$AL62="T")*6+($AJ62:$AL62="D")*12+($AJ62:$AL62="N")*12+($AJ62:$AL62="NT")*6+($AJ62:$AL62="C")*10+($AJ62:$AL62="A")*8+($AJ62:$AL62="J")*5+($AJ62:$AL62="CEP")*4+($AJ62:$AL62="CP")*6+($AJ62:$AL62="CRO")*6+($AJ62:$AL62="M+")*6+($AJ62:$AL62="T+")*6+($AJ62:$AL62="D+")*12+($AJ62:$AL62="N+")*12+($AJ62:$AL62="Dm+")*12+($AJ62:$AL62="Dt+")*12+($AJ62:$AL62="Tm-")*6+($AJ62:$AL62="Mt-")*6)+SUMPRODUCT(($AN62:$AQ62="M")*6+($AN62:$AQ62="T")*6+($AN62:$AQ62="D")*12+($AN62:$AQ62="N")*12+($AN62:$AQ62="NT")*6+($AN62:$AQ62="C")*10+($AN62:$AQ62="A")*8+($AN62:$AQ62="J")*5+($AN62:$AQ62="CEP")*4+($AN62:$AQ62="CP")*6+($AN62:$AQ62="CRO")*6+($AN62:$AQ62="M+")*6+($AN62:$AQ62="T+")*6+($AN62:$AQ62="D+")*12+($AN62:$AQ62="N+")*12+($AN62:$AQ62="Dm+")*12+($AN62:$AQ62="Dt+")*12+($AN62:$AQ62="Tm-")*6+($AN62:$AQ62="Mt-")*6)</f>
        <v/>
      </c>
      <c r="BC62" s="118">
        <f>BB62-MAX(0,IFERROR(INDEX(CADASTRO!$I$4:$I$80,MATCH($A62,CADASTRO!$A$4:$A$80,0)),$B62)-CONFIG!$B$50*(COUNTIF($AJ62:$AL62,"AB")+COUNTIF($AJ62:$AL62,"FE")+COUNTIF($AJ62:$AL62,"LM")+COUNTIF($AN62:$AQ62,"AB")+COUNTIF($AN62:$AQ62,"FE")+COUNTIF($AN62:$AQ62,"LM")))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ROUND(B62*4.29,0)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00" t="n"/>
      <c r="H63" s="136">
        <f>IFERROR(INDEX(AGO!AM$8:AM$73,MATCH($A63,AGO!$A$8:$A$73,0))&amp;"","")</f>
        <v/>
      </c>
      <c r="I63" s="114" t="n"/>
      <c r="J63" s="115" t="inlineStr">
        <is>
          <t>M</t>
        </is>
      </c>
      <c r="K63" s="124" t="inlineStr">
        <is>
          <t>D</t>
        </is>
      </c>
      <c r="L63" s="114" t="n"/>
      <c r="M63" s="114" t="n"/>
      <c r="N63" s="114" t="n"/>
      <c r="O63" s="139" t="inlineStr">
        <is>
          <t>FE</t>
        </is>
      </c>
      <c r="P63" s="139" t="inlineStr">
        <is>
          <t>FE</t>
        </is>
      </c>
      <c r="Q63" s="139" t="inlineStr">
        <is>
          <t>FE</t>
        </is>
      </c>
      <c r="R63" s="139" t="inlineStr">
        <is>
          <t>FE</t>
        </is>
      </c>
      <c r="S63" s="139" t="inlineStr">
        <is>
          <t>FE</t>
        </is>
      </c>
      <c r="T63" s="139" t="inlineStr">
        <is>
          <t>FE</t>
        </is>
      </c>
      <c r="U63" s="139" t="inlineStr">
        <is>
          <t>FE</t>
        </is>
      </c>
      <c r="V63" s="139" t="inlineStr">
        <is>
          <t>FE</t>
        </is>
      </c>
      <c r="W63" s="139" t="inlineStr">
        <is>
          <t>FE</t>
        </is>
      </c>
      <c r="X63" s="139" t="inlineStr">
        <is>
          <t>FE</t>
        </is>
      </c>
      <c r="Y63" s="139" t="inlineStr">
        <is>
          <t>FE</t>
        </is>
      </c>
      <c r="Z63" s="139" t="inlineStr">
        <is>
          <t>FE</t>
        </is>
      </c>
      <c r="AA63" s="139" t="inlineStr">
        <is>
          <t>FE</t>
        </is>
      </c>
      <c r="AB63" s="139" t="inlineStr">
        <is>
          <t>FE</t>
        </is>
      </c>
      <c r="AC63" s="139" t="inlineStr">
        <is>
          <t>FE</t>
        </is>
      </c>
      <c r="AD63" s="114" t="n"/>
      <c r="AE63" s="114" t="n"/>
      <c r="AF63" s="114" t="n"/>
      <c r="AG63" s="114" t="n"/>
      <c r="AH63" s="126" t="inlineStr">
        <is>
          <t>T</t>
        </is>
      </c>
      <c r="AI63" s="124" t="inlineStr">
        <is>
          <t>D</t>
        </is>
      </c>
      <c r="AJ63" s="124" t="inlineStr">
        <is>
          <t>D</t>
        </is>
      </c>
      <c r="AK63" s="114" t="n"/>
      <c r="AL63" s="114" t="n"/>
      <c r="AM63" s="100" t="n"/>
      <c r="AN63" s="136">
        <f>IFERROR(INDEX(OUT!I$8:I$73,MATCH($A63,OUT!$A$8:$A$73,0))&amp;"","")</f>
        <v/>
      </c>
      <c r="AO63" s="136">
        <f>IFERROR(INDEX(OUT!J$8:J$73,MATCH($A63,OUT!$A$8:$A$73,0))&amp;"","")</f>
        <v/>
      </c>
      <c r="AP63" s="116">
        <f>IFERROR(INDEX(OUT!K$8:K$73,MATCH($A63,OUT!$A$8:$A$73,0))&amp;"","")</f>
        <v/>
      </c>
      <c r="AQ63" s="116">
        <f>IFERROR(INDEX(OUT!L$8:L$73,MATCH($A63,OUT!$A$8:$A$73,0))&amp;"","")</f>
        <v/>
      </c>
      <c r="AR63" s="100" t="n"/>
      <c r="AS63" s="100" t="n"/>
      <c r="AT63" s="117">
        <f>SUMPRODUCT(($H63:$N63="M")*6+($H63:$N63="T")*6+($H63:$N63="D")*12+($H63:$N63="N")*12+($H63:$N63="NT")*6+($H63:$N63="C")*10+($H63:$N63="A")*8+($H63:$N63="J")*5+($H63:$N63="CEP")*4+($H63:$N63="CP")*6+($H63:$N63="CRO")*6+($H63:$N63="M+")*6+($H63:$N63="T+")*6+($H63:$N63="D+")*12+($H63:$N63="N+")*12+($H63:$N63="Dm+")*12+($H63:$N63="Dt+")*12+($H63:$N63="Tm-")*6+($H63:$N63="Mt-")*6)</f>
        <v/>
      </c>
      <c r="AU63" s="118">
        <f>AT63-MAX(0,IFERROR(INDEX(CADASTRO!$I$4:$I$80,MATCH($A63,CADASTRO!$A$4:$A$80,0)),$B63)-CONFIG!$B$50*(COUNTIF($H63:$N63,"AB")+COUNTIF($H63:$N63,"FE")+COUNTIF($H63:$N63,"LM")))</f>
        <v/>
      </c>
      <c r="AV63" s="117">
        <f>SUMPRODUCT(($O63:$U63="M")*6+($O63:$U63="T")*6+($O63:$U63="D")*12+($O63:$U63="N")*12+($O63:$U63="NT")*6+($O63:$U63="C")*10+($O63:$U63="A")*8+($O63:$U63="J")*5+($O63:$U63="CEP")*4+($O63:$U63="CP")*6+($O63:$U63="CRO")*6+($O63:$U63="M+")*6+($O63:$U63="T+")*6+($O63:$U63="D+")*12+($O63:$U63="N+")*12+($O63:$U63="Dm+")*12+($O63:$U63="Dt+")*12+($O63:$U63="Tm-")*6+($O63:$U63="Mt-")*6)</f>
        <v/>
      </c>
      <c r="AW63" s="118">
        <f>AV63-MAX(0,IFERROR(INDEX(CADASTRO!$I$4:$I$80,MATCH($A63,CADASTRO!$A$4:$A$80,0)),$B63)-CONFIG!$B$50*(COUNTIF($O63:$U63,"AB")+COUNTIF($O63:$U63,"FE")+COUNTIF($O63:$U63,"LM")))</f>
        <v/>
      </c>
      <c r="AX63" s="117">
        <f>SUMPRODUCT(($V63:$AB63="M")*6+($V63:$AB63="T")*6+($V63:$AB63="D")*12+($V63:$AB63="N")*12+($V63:$AB63="NT")*6+($V63:$AB63="C")*10+($V63:$AB63="A")*8+($V63:$AB63="J")*5+($V63:$AB63="CEP")*4+($V63:$AB63="CP")*6+($V63:$AB63="CRO")*6+($V63:$AB63="M+")*6+($V63:$AB63="T+")*6+($V63:$AB63="D+")*12+($V63:$AB63="N+")*12+($V63:$AB63="Dm+")*12+($V63:$AB63="Dt+")*12+($V63:$AB63="Tm-")*6+($V63:$AB63="Mt-")*6)</f>
        <v/>
      </c>
      <c r="AY63" s="118">
        <f>AX63-MAX(0,IFERROR(INDEX(CADASTRO!$I$4:$I$80,MATCH($A63,CADASTRO!$A$4:$A$80,0)),$B63)-CONFIG!$B$50*(COUNTIF($V63:$AB63,"AB")+COUNTIF($V63:$AB63,"FE")+COUNTIF($V63:$AB63,"LM")))</f>
        <v/>
      </c>
      <c r="AZ63" s="117">
        <f>SUMPRODUCT(($AC63:$AI63="M")*6+($AC63:$AI63="T")*6+($AC63:$AI63="D")*12+($AC63:$AI63="N")*12+($AC63:$AI63="NT")*6+($AC63:$AI63="C")*10+($AC63:$AI63="A")*8+($AC63:$AI63="J")*5+($AC63:$AI63="CEP")*4+($AC63:$AI63="CP")*6+($AC63:$AI63="CRO")*6+($AC63:$AI63="M+")*6+($AC63:$AI63="T+")*6+($AC63:$AI63="D+")*12+($AC63:$AI63="N+")*12+($AC63:$AI63="Dm+")*12+($AC63:$AI63="Dt+")*12+($AC63:$AI63="Tm-")*6+($AC63:$AI63="Mt-")*6)</f>
        <v/>
      </c>
      <c r="BA63" s="118">
        <f>AZ63-MAX(0,IFERROR(INDEX(CADASTRO!$I$4:$I$80,MATCH($A63,CADASTRO!$A$4:$A$80,0)),$B63)-CONFIG!$B$50*(COUNTIF($AC63:$AI63,"AB")+COUNTIF($AC63:$AI63,"FE")+COUNTIF($AC63:$AI63,"LM")))</f>
        <v/>
      </c>
      <c r="BB63" s="117">
        <f>SUMPRODUCT(($AJ63:$AL63="M")*6+($AJ63:$AL63="T")*6+($AJ63:$AL63="D")*12+($AJ63:$AL63="N")*12+($AJ63:$AL63="NT")*6+($AJ63:$AL63="C")*10+($AJ63:$AL63="A")*8+($AJ63:$AL63="J")*5+($AJ63:$AL63="CEP")*4+($AJ63:$AL63="CP")*6+($AJ63:$AL63="CRO")*6+($AJ63:$AL63="M+")*6+($AJ63:$AL63="T+")*6+($AJ63:$AL63="D+")*12+($AJ63:$AL63="N+")*12+($AJ63:$AL63="Dm+")*12+($AJ63:$AL63="Dt+")*12+($AJ63:$AL63="Tm-")*6+($AJ63:$AL63="Mt-")*6)+SUMPRODUCT(($AN63:$AQ63="M")*6+($AN63:$AQ63="T")*6+($AN63:$AQ63="D")*12+($AN63:$AQ63="N")*12+($AN63:$AQ63="NT")*6+($AN63:$AQ63="C")*10+($AN63:$AQ63="A")*8+($AN63:$AQ63="J")*5+($AN63:$AQ63="CEP")*4+($AN63:$AQ63="CP")*6+($AN63:$AQ63="CRO")*6+($AN63:$AQ63="M+")*6+($AN63:$AQ63="T+")*6+($AN63:$AQ63="D+")*12+($AN63:$AQ63="N+")*12+($AN63:$AQ63="Dm+")*12+($AN63:$AQ63="Dt+")*12+($AN63:$AQ63="Tm-")*6+($AN63:$AQ63="Mt-")*6)</f>
        <v/>
      </c>
      <c r="BC63" s="118">
        <f>BB63-MAX(0,IFERROR(INDEX(CADASTRO!$I$4:$I$80,MATCH($A63,CADASTRO!$A$4:$A$80,0)),$B63)-CONFIG!$B$50*(COUNTIF($AJ63:$AL63,"AB")+COUNTIF($AJ63:$AL63,"FE")+COUNTIF($AJ63:$AL63,"LM")+COUNTIF($AN63:$AQ63,"AB")+COUNTIF($AN63:$AQ63,"FE")+COUNTIF($AN63:$AQ63,"LM")))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ROUND(B63*4.29,0)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00" t="n"/>
      <c r="H64" s="136">
        <f>IFERROR(INDEX(AGO!AM$8:AM$73,MATCH($A64,AGO!$A$8:$A$73,0))&amp;"","")</f>
        <v/>
      </c>
      <c r="I64" s="126" t="inlineStr">
        <is>
          <t>T</t>
        </is>
      </c>
      <c r="J64" s="126" t="inlineStr">
        <is>
          <t>T</t>
        </is>
      </c>
      <c r="K64" s="114" t="n"/>
      <c r="L64" s="114" t="n"/>
      <c r="M64" s="114" t="n"/>
      <c r="N64" s="114" t="n"/>
      <c r="O64" s="125" t="inlineStr">
        <is>
          <t>N</t>
        </is>
      </c>
      <c r="P64" s="114" t="n"/>
      <c r="Q64" s="114" t="n"/>
      <c r="R64" s="114" t="n"/>
      <c r="S64" s="114" t="n"/>
      <c r="T64" s="125" t="inlineStr">
        <is>
          <t>N</t>
        </is>
      </c>
      <c r="U64" s="114" t="n"/>
      <c r="V64" s="126" t="inlineStr">
        <is>
          <t>T</t>
        </is>
      </c>
      <c r="W64" s="125" t="inlineStr">
        <is>
          <t>N</t>
        </is>
      </c>
      <c r="X64" s="126" t="inlineStr">
        <is>
          <t>T</t>
        </is>
      </c>
      <c r="Y64" s="114" t="n"/>
      <c r="Z64" s="114" t="n"/>
      <c r="AA64" s="114" t="n"/>
      <c r="AB64" s="114" t="n"/>
      <c r="AC64" s="114" t="n"/>
      <c r="AD64" s="114" t="n"/>
      <c r="AE64" s="114" t="n"/>
      <c r="AF64" s="126" t="inlineStr">
        <is>
          <t>T</t>
        </is>
      </c>
      <c r="AG64" s="126" t="inlineStr">
        <is>
          <t>T</t>
        </is>
      </c>
      <c r="AH64" s="125" t="inlineStr">
        <is>
          <t>N</t>
        </is>
      </c>
      <c r="AI64" s="114" t="n"/>
      <c r="AJ64" s="126" t="inlineStr">
        <is>
          <t>T</t>
        </is>
      </c>
      <c r="AK64" s="114" t="n"/>
      <c r="AL64" s="126" t="inlineStr">
        <is>
          <t>T</t>
        </is>
      </c>
      <c r="AM64" s="100" t="n"/>
      <c r="AN64" s="136">
        <f>IFERROR(INDEX(OUT!I$8:I$73,MATCH($A64,OUT!$A$8:$A$73,0))&amp;"","")</f>
        <v/>
      </c>
      <c r="AO64" s="136">
        <f>IFERROR(INDEX(OUT!J$8:J$73,MATCH($A64,OUT!$A$8:$A$73,0))&amp;"","")</f>
        <v/>
      </c>
      <c r="AP64" s="116">
        <f>IFERROR(INDEX(OUT!K$8:K$73,MATCH($A64,OUT!$A$8:$A$73,0))&amp;"","")</f>
        <v/>
      </c>
      <c r="AQ64" s="116">
        <f>IFERROR(INDEX(OUT!L$8:L$73,MATCH($A64,OUT!$A$8:$A$73,0))&amp;"","")</f>
        <v/>
      </c>
      <c r="AR64" s="100" t="n"/>
      <c r="AS64" s="100" t="n"/>
      <c r="AT64" s="117">
        <f>SUMPRODUCT(($H64:$N64="M")*6+($H64:$N64="T")*6+($H64:$N64="D")*12+($H64:$N64="N")*12+($H64:$N64="NT")*6+($H64:$N64="C")*10+($H64:$N64="A")*8+($H64:$N64="J")*5+($H64:$N64="CEP")*4+($H64:$N64="CP")*6+($H64:$N64="CRO")*6+($H64:$N64="M+")*6+($H64:$N64="T+")*6+($H64:$N64="D+")*12+($H64:$N64="N+")*12+($H64:$N64="Dm+")*12+($H64:$N64="Dt+")*12+($H64:$N64="Tm-")*6+($H64:$N64="Mt-")*6)</f>
        <v/>
      </c>
      <c r="AU64" s="118">
        <f>AT64-MAX(0,IFERROR(INDEX(CADASTRO!$I$4:$I$80,MATCH($A64,CADASTRO!$A$4:$A$80,0)),$B64)-CONFIG!$B$50*(COUNTIF($H64:$N64,"AB")+COUNTIF($H64:$N64,"FE")+COUNTIF($H64:$N64,"LM")))</f>
        <v/>
      </c>
      <c r="AV64" s="117">
        <f>SUMPRODUCT(($O64:$U64="M")*6+($O64:$U64="T")*6+($O64:$U64="D")*12+($O64:$U64="N")*12+($O64:$U64="NT")*6+($O64:$U64="C")*10+($O64:$U64="A")*8+($O64:$U64="J")*5+($O64:$U64="CEP")*4+($O64:$U64="CP")*6+($O64:$U64="CRO")*6+($O64:$U64="M+")*6+($O64:$U64="T+")*6+($O64:$U64="D+")*12+($O64:$U64="N+")*12+($O64:$U64="Dm+")*12+($O64:$U64="Dt+")*12+($O64:$U64="Tm-")*6+($O64:$U64="Mt-")*6)</f>
        <v/>
      </c>
      <c r="AW64" s="118">
        <f>AV64-MAX(0,IFERROR(INDEX(CADASTRO!$I$4:$I$80,MATCH($A64,CADASTRO!$A$4:$A$80,0)),$B64)-CONFIG!$B$50*(COUNTIF($O64:$U64,"AB")+COUNTIF($O64:$U64,"FE")+COUNTIF($O64:$U64,"LM")))</f>
        <v/>
      </c>
      <c r="AX64" s="117">
        <f>SUMPRODUCT(($V64:$AB64="M")*6+($V64:$AB64="T")*6+($V64:$AB64="D")*12+($V64:$AB64="N")*12+($V64:$AB64="NT")*6+($V64:$AB64="C")*10+($V64:$AB64="A")*8+($V64:$AB64="J")*5+($V64:$AB64="CEP")*4+($V64:$AB64="CP")*6+($V64:$AB64="CRO")*6+($V64:$AB64="M+")*6+($V64:$AB64="T+")*6+($V64:$AB64="D+")*12+($V64:$AB64="N+")*12+($V64:$AB64="Dm+")*12+($V64:$AB64="Dt+")*12+($V64:$AB64="Tm-")*6+($V64:$AB64="Mt-")*6)</f>
        <v/>
      </c>
      <c r="AY64" s="118">
        <f>AX64-MAX(0,IFERROR(INDEX(CADASTRO!$I$4:$I$80,MATCH($A64,CADASTRO!$A$4:$A$80,0)),$B64)-CONFIG!$B$50*(COUNTIF($V64:$AB64,"AB")+COUNTIF($V64:$AB64,"FE")+COUNTIF($V64:$AB64,"LM")))</f>
        <v/>
      </c>
      <c r="AZ64" s="117">
        <f>SUMPRODUCT(($AC64:$AI64="M")*6+($AC64:$AI64="T")*6+($AC64:$AI64="D")*12+($AC64:$AI64="N")*12+($AC64:$AI64="NT")*6+($AC64:$AI64="C")*10+($AC64:$AI64="A")*8+($AC64:$AI64="J")*5+($AC64:$AI64="CEP")*4+($AC64:$AI64="CP")*6+($AC64:$AI64="CRO")*6+($AC64:$AI64="M+")*6+($AC64:$AI64="T+")*6+($AC64:$AI64="D+")*12+($AC64:$AI64="N+")*12+($AC64:$AI64="Dm+")*12+($AC64:$AI64="Dt+")*12+($AC64:$AI64="Tm-")*6+($AC64:$AI64="Mt-")*6)</f>
        <v/>
      </c>
      <c r="BA64" s="118">
        <f>AZ64-MAX(0,IFERROR(INDEX(CADASTRO!$I$4:$I$80,MATCH($A64,CADASTRO!$A$4:$A$80,0)),$B64)-CONFIG!$B$50*(COUNTIF($AC64:$AI64,"AB")+COUNTIF($AC64:$AI64,"FE")+COUNTIF($AC64:$AI64,"LM")))</f>
        <v/>
      </c>
      <c r="BB64" s="117">
        <f>SUMPRODUCT(($AJ64:$AL64="M")*6+($AJ64:$AL64="T")*6+($AJ64:$AL64="D")*12+($AJ64:$AL64="N")*12+($AJ64:$AL64="NT")*6+($AJ64:$AL64="C")*10+($AJ64:$AL64="A")*8+($AJ64:$AL64="J")*5+($AJ64:$AL64="CEP")*4+($AJ64:$AL64="CP")*6+($AJ64:$AL64="CRO")*6+($AJ64:$AL64="M+")*6+($AJ64:$AL64="T+")*6+($AJ64:$AL64="D+")*12+($AJ64:$AL64="N+")*12+($AJ64:$AL64="Dm+")*12+($AJ64:$AL64="Dt+")*12+($AJ64:$AL64="Tm-")*6+($AJ64:$AL64="Mt-")*6)+SUMPRODUCT(($AN64:$AQ64="M")*6+($AN64:$AQ64="T")*6+($AN64:$AQ64="D")*12+($AN64:$AQ64="N")*12+($AN64:$AQ64="NT")*6+($AN64:$AQ64="C")*10+($AN64:$AQ64="A")*8+($AN64:$AQ64="J")*5+($AN64:$AQ64="CEP")*4+($AN64:$AQ64="CP")*6+($AN64:$AQ64="CRO")*6+($AN64:$AQ64="M+")*6+($AN64:$AQ64="T+")*6+($AN64:$AQ64="D+")*12+($AN64:$AQ64="N+")*12+($AN64:$AQ64="Dm+")*12+($AN64:$AQ64="Dt+")*12+($AN64:$AQ64="Tm-")*6+($AN64:$AQ64="Mt-")*6)</f>
        <v/>
      </c>
      <c r="BC64" s="118">
        <f>BB64-MAX(0,IFERROR(INDEX(CADASTRO!$I$4:$I$80,MATCH($A64,CADASTRO!$A$4:$A$80,0)),$B64)-CONFIG!$B$50*(COUNTIF($AJ64:$AL64,"AB")+COUNTIF($AJ64:$AL64,"FE")+COUNTIF($AJ64:$AL64,"LM")+COUNTIF($AN64:$AQ64,"AB")+COUNTIF($AN64:$AQ64,"FE")+COUNTIF($AN64:$AQ64,"LM")))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ROUND(B64*4.29,0)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00" t="n"/>
      <c r="H65" s="136">
        <f>IFERROR(INDEX(AGO!AM$8:AM$73,MATCH($A65,AGO!$A$8:$A$73,0))&amp;"","")</f>
        <v/>
      </c>
      <c r="I65" s="114" t="n"/>
      <c r="J65" s="114" t="n"/>
      <c r="K65" s="114" t="n"/>
      <c r="L65" s="124" t="inlineStr">
        <is>
          <t>D</t>
        </is>
      </c>
      <c r="M65" s="124" t="inlineStr">
        <is>
          <t>D</t>
        </is>
      </c>
      <c r="N65" s="114" t="n"/>
      <c r="O65" s="115" t="inlineStr">
        <is>
          <t>M</t>
        </is>
      </c>
      <c r="P65" s="114" t="n"/>
      <c r="Q65" s="114" t="n"/>
      <c r="R65" s="115" t="inlineStr">
        <is>
          <t>M</t>
        </is>
      </c>
      <c r="S65" s="124" t="inlineStr">
        <is>
          <t>D</t>
        </is>
      </c>
      <c r="T65" s="114" t="n"/>
      <c r="U65" s="114" t="n"/>
      <c r="V65" s="114" t="n"/>
      <c r="W65" s="114" t="n"/>
      <c r="X65" s="114" t="n"/>
      <c r="Y65" s="114" t="n"/>
      <c r="Z65" s="125" t="inlineStr">
        <is>
          <t>N</t>
        </is>
      </c>
      <c r="AA65" s="114" t="n"/>
      <c r="AB65" s="124" t="inlineStr">
        <is>
          <t>D</t>
        </is>
      </c>
      <c r="AC65" s="114" t="n"/>
      <c r="AD65" s="114" t="n"/>
      <c r="AE65" s="124" t="inlineStr">
        <is>
          <t>D</t>
        </is>
      </c>
      <c r="AF65" s="114" t="n"/>
      <c r="AG65" s="124" t="inlineStr">
        <is>
          <t>D</t>
        </is>
      </c>
      <c r="AH65" s="114" t="n"/>
      <c r="AI65" s="114" t="n"/>
      <c r="AJ65" s="114" t="n"/>
      <c r="AK65" s="114" t="n"/>
      <c r="AL65" s="124" t="inlineStr">
        <is>
          <t>D</t>
        </is>
      </c>
      <c r="AM65" s="100" t="n"/>
      <c r="AN65" s="136">
        <f>IFERROR(INDEX(OUT!I$8:I$73,MATCH($A65,OUT!$A$8:$A$73,0))&amp;"","")</f>
        <v/>
      </c>
      <c r="AO65" s="136">
        <f>IFERROR(INDEX(OUT!J$8:J$73,MATCH($A65,OUT!$A$8:$A$73,0))&amp;"","")</f>
        <v/>
      </c>
      <c r="AP65" s="116">
        <f>IFERROR(INDEX(OUT!K$8:K$73,MATCH($A65,OUT!$A$8:$A$73,0))&amp;"","")</f>
        <v/>
      </c>
      <c r="AQ65" s="116">
        <f>IFERROR(INDEX(OUT!L$8:L$73,MATCH($A65,OUT!$A$8:$A$73,0))&amp;"","")</f>
        <v/>
      </c>
      <c r="AR65" s="100" t="n"/>
      <c r="AS65" s="100" t="n"/>
      <c r="AT65" s="117">
        <f>SUMPRODUCT(($H65:$N65="M")*6+($H65:$N65="T")*6+($H65:$N65="D")*12+($H65:$N65="N")*12+($H65:$N65="NT")*6+($H65:$N65="C")*10+($H65:$N65="A")*8+($H65:$N65="J")*5+($H65:$N65="CEP")*4+($H65:$N65="CP")*6+($H65:$N65="CRO")*6+($H65:$N65="M+")*6+($H65:$N65="T+")*6+($H65:$N65="D+")*12+($H65:$N65="N+")*12+($H65:$N65="Dm+")*12+($H65:$N65="Dt+")*12+($H65:$N65="Tm-")*6+($H65:$N65="Mt-")*6)</f>
        <v/>
      </c>
      <c r="AU65" s="118">
        <f>AT65-MAX(0,IFERROR(INDEX(CADASTRO!$I$4:$I$80,MATCH($A65,CADASTRO!$A$4:$A$80,0)),$B65)-CONFIG!$B$50*(COUNTIF($H65:$N65,"AB")+COUNTIF($H65:$N65,"FE")+COUNTIF($H65:$N65,"LM")))</f>
        <v/>
      </c>
      <c r="AV65" s="117">
        <f>SUMPRODUCT(($O65:$U65="M")*6+($O65:$U65="T")*6+($O65:$U65="D")*12+($O65:$U65="N")*12+($O65:$U65="NT")*6+($O65:$U65="C")*10+($O65:$U65="A")*8+($O65:$U65="J")*5+($O65:$U65="CEP")*4+($O65:$U65="CP")*6+($O65:$U65="CRO")*6+($O65:$U65="M+")*6+($O65:$U65="T+")*6+($O65:$U65="D+")*12+($O65:$U65="N+")*12+($O65:$U65="Dm+")*12+($O65:$U65="Dt+")*12+($O65:$U65="Tm-")*6+($O65:$U65="Mt-")*6)</f>
        <v/>
      </c>
      <c r="AW65" s="118">
        <f>AV65-MAX(0,IFERROR(INDEX(CADASTRO!$I$4:$I$80,MATCH($A65,CADASTRO!$A$4:$A$80,0)),$B65)-CONFIG!$B$50*(COUNTIF($O65:$U65,"AB")+COUNTIF($O65:$U65,"FE")+COUNTIF($O65:$U65,"LM")))</f>
        <v/>
      </c>
      <c r="AX65" s="117">
        <f>SUMPRODUCT(($V65:$AB65="M")*6+($V65:$AB65="T")*6+($V65:$AB65="D")*12+($V65:$AB65="N")*12+($V65:$AB65="NT")*6+($V65:$AB65="C")*10+($V65:$AB65="A")*8+($V65:$AB65="J")*5+($V65:$AB65="CEP")*4+($V65:$AB65="CP")*6+($V65:$AB65="CRO")*6+($V65:$AB65="M+")*6+($V65:$AB65="T+")*6+($V65:$AB65="D+")*12+($V65:$AB65="N+")*12+($V65:$AB65="Dm+")*12+($V65:$AB65="Dt+")*12+($V65:$AB65="Tm-")*6+($V65:$AB65="Mt-")*6)</f>
        <v/>
      </c>
      <c r="AY65" s="118">
        <f>AX65-MAX(0,IFERROR(INDEX(CADASTRO!$I$4:$I$80,MATCH($A65,CADASTRO!$A$4:$A$80,0)),$B65)-CONFIG!$B$50*(COUNTIF($V65:$AB65,"AB")+COUNTIF($V65:$AB65,"FE")+COUNTIF($V65:$AB65,"LM")))</f>
        <v/>
      </c>
      <c r="AZ65" s="117">
        <f>SUMPRODUCT(($AC65:$AI65="M")*6+($AC65:$AI65="T")*6+($AC65:$AI65="D")*12+($AC65:$AI65="N")*12+($AC65:$AI65="NT")*6+($AC65:$AI65="C")*10+($AC65:$AI65="A")*8+($AC65:$AI65="J")*5+($AC65:$AI65="CEP")*4+($AC65:$AI65="CP")*6+($AC65:$AI65="CRO")*6+($AC65:$AI65="M+")*6+($AC65:$AI65="T+")*6+($AC65:$AI65="D+")*12+($AC65:$AI65="N+")*12+($AC65:$AI65="Dm+")*12+($AC65:$AI65="Dt+")*12+($AC65:$AI65="Tm-")*6+($AC65:$AI65="Mt-")*6)</f>
        <v/>
      </c>
      <c r="BA65" s="118">
        <f>AZ65-MAX(0,IFERROR(INDEX(CADASTRO!$I$4:$I$80,MATCH($A65,CADASTRO!$A$4:$A$80,0)),$B65)-CONFIG!$B$50*(COUNTIF($AC65:$AI65,"AB")+COUNTIF($AC65:$AI65,"FE")+COUNTIF($AC65:$AI65,"LM")))</f>
        <v/>
      </c>
      <c r="BB65" s="117">
        <f>SUMPRODUCT(($AJ65:$AL65="M")*6+($AJ65:$AL65="T")*6+($AJ65:$AL65="D")*12+($AJ65:$AL65="N")*12+($AJ65:$AL65="NT")*6+($AJ65:$AL65="C")*10+($AJ65:$AL65="A")*8+($AJ65:$AL65="J")*5+($AJ65:$AL65="CEP")*4+($AJ65:$AL65="CP")*6+($AJ65:$AL65="CRO")*6+($AJ65:$AL65="M+")*6+($AJ65:$AL65="T+")*6+($AJ65:$AL65="D+")*12+($AJ65:$AL65="N+")*12+($AJ65:$AL65="Dm+")*12+($AJ65:$AL65="Dt+")*12+($AJ65:$AL65="Tm-")*6+($AJ65:$AL65="Mt-")*6)+SUMPRODUCT(($AN65:$AQ65="M")*6+($AN65:$AQ65="T")*6+($AN65:$AQ65="D")*12+($AN65:$AQ65="N")*12+($AN65:$AQ65="NT")*6+($AN65:$AQ65="C")*10+($AN65:$AQ65="A")*8+($AN65:$AQ65="J")*5+($AN65:$AQ65="CEP")*4+($AN65:$AQ65="CP")*6+($AN65:$AQ65="CRO")*6+($AN65:$AQ65="M+")*6+($AN65:$AQ65="T+")*6+($AN65:$AQ65="D+")*12+($AN65:$AQ65="N+")*12+($AN65:$AQ65="Dm+")*12+($AN65:$AQ65="Dt+")*12+($AN65:$AQ65="Tm-")*6+($AN65:$AQ65="Mt-")*6)</f>
        <v/>
      </c>
      <c r="BC65" s="118">
        <f>BB65-MAX(0,IFERROR(INDEX(CADASTRO!$I$4:$I$80,MATCH($A65,CADASTRO!$A$4:$A$80,0)),$B65)-CONFIG!$B$50*(COUNTIF($AJ65:$AL65,"AB")+COUNTIF($AJ65:$AL65,"FE")+COUNTIF($AJ65:$AL65,"LM")+COUNTIF($AN65:$AQ65,"AB")+COUNTIF($AN65:$AQ65,"FE")+COUNTIF($AN65:$AQ65,"LM")))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ROUND(B65*4.29,0)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00" t="n"/>
      <c r="H66" s="136">
        <f>IFERROR(INDEX(AGO!AM$8:AM$73,MATCH($A66,AGO!$A$8:$A$73,0))&amp;"","")</f>
        <v/>
      </c>
      <c r="I66" s="114" t="n"/>
      <c r="J66" s="114" t="n"/>
      <c r="K66" s="125" t="inlineStr">
        <is>
          <t>N</t>
        </is>
      </c>
      <c r="L66" s="114" t="n"/>
      <c r="M66" s="114" t="n"/>
      <c r="N66" s="114" t="n"/>
      <c r="O66" s="114" t="n"/>
      <c r="P66" s="114" t="n"/>
      <c r="Q66" s="114" t="n"/>
      <c r="R66" s="125" t="inlineStr">
        <is>
          <t>N</t>
        </is>
      </c>
      <c r="S66" s="114" t="n"/>
      <c r="T66" s="124" t="inlineStr">
        <is>
          <t>D</t>
        </is>
      </c>
      <c r="U66" s="114" t="n"/>
      <c r="V66" s="125" t="inlineStr">
        <is>
          <t>N</t>
        </is>
      </c>
      <c r="W66" s="114" t="n"/>
      <c r="X66" s="114" t="n"/>
      <c r="Y66" s="126" t="inlineStr">
        <is>
          <t>T</t>
        </is>
      </c>
      <c r="Z66" s="126" t="inlineStr">
        <is>
          <t>T</t>
        </is>
      </c>
      <c r="AA66" s="114" t="n"/>
      <c r="AB66" s="114" t="n"/>
      <c r="AC66" s="114" t="n"/>
      <c r="AD66" s="114" t="n"/>
      <c r="AE66" s="114" t="n"/>
      <c r="AF66" s="114" t="n"/>
      <c r="AG66" s="125" t="inlineStr">
        <is>
          <t>N</t>
        </is>
      </c>
      <c r="AH66" s="114" t="n"/>
      <c r="AI66" s="124" t="inlineStr">
        <is>
          <t>D</t>
        </is>
      </c>
      <c r="AJ66" s="125" t="inlineStr">
        <is>
          <t>N</t>
        </is>
      </c>
      <c r="AK66" s="114" t="n"/>
      <c r="AL66" s="114" t="n"/>
      <c r="AM66" s="100" t="n"/>
      <c r="AN66" s="136">
        <f>IFERROR(INDEX(OUT!I$8:I$73,MATCH($A66,OUT!$A$8:$A$73,0))&amp;"","")</f>
        <v/>
      </c>
      <c r="AO66" s="136">
        <f>IFERROR(INDEX(OUT!J$8:J$73,MATCH($A66,OUT!$A$8:$A$73,0))&amp;"","")</f>
        <v/>
      </c>
      <c r="AP66" s="116">
        <f>IFERROR(INDEX(OUT!K$8:K$73,MATCH($A66,OUT!$A$8:$A$73,0))&amp;"","")</f>
        <v/>
      </c>
      <c r="AQ66" s="116">
        <f>IFERROR(INDEX(OUT!L$8:L$73,MATCH($A66,OUT!$A$8:$A$73,0))&amp;"","")</f>
        <v/>
      </c>
      <c r="AR66" s="100" t="n"/>
      <c r="AS66" s="100" t="n"/>
      <c r="AT66" s="117">
        <f>SUMPRODUCT(($H66:$N66="M")*6+($H66:$N66="T")*6+($H66:$N66="D")*12+($H66:$N66="N")*12+($H66:$N66="NT")*6+($H66:$N66="C")*10+($H66:$N66="A")*8+($H66:$N66="J")*5+($H66:$N66="CEP")*4+($H66:$N66="CP")*6+($H66:$N66="CRO")*6+($H66:$N66="M+")*6+($H66:$N66="T+")*6+($H66:$N66="D+")*12+($H66:$N66="N+")*12+($H66:$N66="Dm+")*12+($H66:$N66="Dt+")*12+($H66:$N66="Tm-")*6+($H66:$N66="Mt-")*6)</f>
        <v/>
      </c>
      <c r="AU66" s="118">
        <f>AT66-MAX(0,IFERROR(INDEX(CADASTRO!$I$4:$I$80,MATCH($A66,CADASTRO!$A$4:$A$80,0)),$B66)-CONFIG!$B$50*(COUNTIF($H66:$N66,"AB")+COUNTIF($H66:$N66,"FE")+COUNTIF($H66:$N66,"LM")))</f>
        <v/>
      </c>
      <c r="AV66" s="117">
        <f>SUMPRODUCT(($O66:$U66="M")*6+($O66:$U66="T")*6+($O66:$U66="D")*12+($O66:$U66="N")*12+($O66:$U66="NT")*6+($O66:$U66="C")*10+($O66:$U66="A")*8+($O66:$U66="J")*5+($O66:$U66="CEP")*4+($O66:$U66="CP")*6+($O66:$U66="CRO")*6+($O66:$U66="M+")*6+($O66:$U66="T+")*6+($O66:$U66="D+")*12+($O66:$U66="N+")*12+($O66:$U66="Dm+")*12+($O66:$U66="Dt+")*12+($O66:$U66="Tm-")*6+($O66:$U66="Mt-")*6)</f>
        <v/>
      </c>
      <c r="AW66" s="118">
        <f>AV66-MAX(0,IFERROR(INDEX(CADASTRO!$I$4:$I$80,MATCH($A66,CADASTRO!$A$4:$A$80,0)),$B66)-CONFIG!$B$50*(COUNTIF($O66:$U66,"AB")+COUNTIF($O66:$U66,"FE")+COUNTIF($O66:$U66,"LM")))</f>
        <v/>
      </c>
      <c r="AX66" s="117">
        <f>SUMPRODUCT(($V66:$AB66="M")*6+($V66:$AB66="T")*6+($V66:$AB66="D")*12+($V66:$AB66="N")*12+($V66:$AB66="NT")*6+($V66:$AB66="C")*10+($V66:$AB66="A")*8+($V66:$AB66="J")*5+($V66:$AB66="CEP")*4+($V66:$AB66="CP")*6+($V66:$AB66="CRO")*6+($V66:$AB66="M+")*6+($V66:$AB66="T+")*6+($V66:$AB66="D+")*12+($V66:$AB66="N+")*12+($V66:$AB66="Dm+")*12+($V66:$AB66="Dt+")*12+($V66:$AB66="Tm-")*6+($V66:$AB66="Mt-")*6)</f>
        <v/>
      </c>
      <c r="AY66" s="118">
        <f>AX66-MAX(0,IFERROR(INDEX(CADASTRO!$I$4:$I$80,MATCH($A66,CADASTRO!$A$4:$A$80,0)),$B66)-CONFIG!$B$50*(COUNTIF($V66:$AB66,"AB")+COUNTIF($V66:$AB66,"FE")+COUNTIF($V66:$AB66,"LM")))</f>
        <v/>
      </c>
      <c r="AZ66" s="117">
        <f>SUMPRODUCT(($AC66:$AI66="M")*6+($AC66:$AI66="T")*6+($AC66:$AI66="D")*12+($AC66:$AI66="N")*12+($AC66:$AI66="NT")*6+($AC66:$AI66="C")*10+($AC66:$AI66="A")*8+($AC66:$AI66="J")*5+($AC66:$AI66="CEP")*4+($AC66:$AI66="CP")*6+($AC66:$AI66="CRO")*6+($AC66:$AI66="M+")*6+($AC66:$AI66="T+")*6+($AC66:$AI66="D+")*12+($AC66:$AI66="N+")*12+($AC66:$AI66="Dm+")*12+($AC66:$AI66="Dt+")*12+($AC66:$AI66="Tm-")*6+($AC66:$AI66="Mt-")*6)</f>
        <v/>
      </c>
      <c r="BA66" s="118">
        <f>AZ66-MAX(0,IFERROR(INDEX(CADASTRO!$I$4:$I$80,MATCH($A66,CADASTRO!$A$4:$A$80,0)),$B66)-CONFIG!$B$50*(COUNTIF($AC66:$AI66,"AB")+COUNTIF($AC66:$AI66,"FE")+COUNTIF($AC66:$AI66,"LM")))</f>
        <v/>
      </c>
      <c r="BB66" s="117">
        <f>SUMPRODUCT(($AJ66:$AL66="M")*6+($AJ66:$AL66="T")*6+($AJ66:$AL66="D")*12+($AJ66:$AL66="N")*12+($AJ66:$AL66="NT")*6+($AJ66:$AL66="C")*10+($AJ66:$AL66="A")*8+($AJ66:$AL66="J")*5+($AJ66:$AL66="CEP")*4+($AJ66:$AL66="CP")*6+($AJ66:$AL66="CRO")*6+($AJ66:$AL66="M+")*6+($AJ66:$AL66="T+")*6+($AJ66:$AL66="D+")*12+($AJ66:$AL66="N+")*12+($AJ66:$AL66="Dm+")*12+($AJ66:$AL66="Dt+")*12+($AJ66:$AL66="Tm-")*6+($AJ66:$AL66="Mt-")*6)+SUMPRODUCT(($AN66:$AQ66="M")*6+($AN66:$AQ66="T")*6+($AN66:$AQ66="D")*12+($AN66:$AQ66="N")*12+($AN66:$AQ66="NT")*6+($AN66:$AQ66="C")*10+($AN66:$AQ66="A")*8+($AN66:$AQ66="J")*5+($AN66:$AQ66="CEP")*4+($AN66:$AQ66="CP")*6+($AN66:$AQ66="CRO")*6+($AN66:$AQ66="M+")*6+($AN66:$AQ66="T+")*6+($AN66:$AQ66="D+")*12+($AN66:$AQ66="N+")*12+($AN66:$AQ66="Dm+")*12+($AN66:$AQ66="Dt+")*12+($AN66:$AQ66="Tm-")*6+($AN66:$AQ66="Mt-")*6)</f>
        <v/>
      </c>
      <c r="BC66" s="118">
        <f>BB66-MAX(0,IFERROR(INDEX(CADASTRO!$I$4:$I$80,MATCH($A66,CADASTRO!$A$4:$A$80,0)),$B66)-CONFIG!$B$50*(COUNTIF($AJ66:$AL66,"AB")+COUNTIF($AJ66:$AL66,"FE")+COUNTIF($AJ66:$AL66,"LM")+COUNTIF($AN66:$AQ66,"AB")+COUNTIF($AN66:$AQ66,"FE")+COUNTIF($AN66:$AQ66,"LM")))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ROUND(B66*4.29,0)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00" t="n"/>
      <c r="H67" s="136">
        <f>IFERROR(INDEX(AGO!AM$8:AM$73,MATCH($A67,AGO!$A$8:$A$73,0))&amp;"","")</f>
        <v/>
      </c>
      <c r="I67" s="114" t="n"/>
      <c r="J67" s="131" t="inlineStr">
        <is>
          <t>CP</t>
        </is>
      </c>
      <c r="K67" s="115" t="inlineStr">
        <is>
          <t>M</t>
        </is>
      </c>
      <c r="L67" s="114" t="n"/>
      <c r="M67" s="115" t="inlineStr">
        <is>
          <t>M</t>
        </is>
      </c>
      <c r="N67" s="114" t="n"/>
      <c r="O67" s="114" t="n"/>
      <c r="P67" s="131" t="inlineStr">
        <is>
          <t>CP</t>
        </is>
      </c>
      <c r="Q67" s="131" t="inlineStr">
        <is>
          <t>CP</t>
        </is>
      </c>
      <c r="R67" s="114" t="n"/>
      <c r="S67" s="114" t="n"/>
      <c r="T67" s="125" t="inlineStr">
        <is>
          <t>N</t>
        </is>
      </c>
      <c r="U67" s="114" t="n"/>
      <c r="V67" s="131" t="inlineStr">
        <is>
          <t>CP</t>
        </is>
      </c>
      <c r="W67" s="114" t="n"/>
      <c r="X67" s="131" t="inlineStr">
        <is>
          <t>CP</t>
        </is>
      </c>
      <c r="Y67" s="114" t="n"/>
      <c r="Z67" s="125" t="inlineStr">
        <is>
          <t>N</t>
        </is>
      </c>
      <c r="AA67" s="114" t="n"/>
      <c r="AB67" s="114" t="n"/>
      <c r="AC67" s="114" t="n"/>
      <c r="AD67" s="131" t="inlineStr">
        <is>
          <t>CP</t>
        </is>
      </c>
      <c r="AE67" s="131" t="inlineStr">
        <is>
          <t>CP</t>
        </is>
      </c>
      <c r="AF67" s="114" t="n"/>
      <c r="AG67" s="114" t="n"/>
      <c r="AH67" s="125" t="inlineStr">
        <is>
          <t>N</t>
        </is>
      </c>
      <c r="AI67" s="114" t="n"/>
      <c r="AJ67" s="115" t="inlineStr">
        <is>
          <t>M</t>
        </is>
      </c>
      <c r="AK67" s="131" t="inlineStr">
        <is>
          <t>CP</t>
        </is>
      </c>
      <c r="AL67" s="131" t="inlineStr">
        <is>
          <t>CP</t>
        </is>
      </c>
      <c r="AM67" s="100" t="n"/>
      <c r="AN67" s="136">
        <f>IFERROR(INDEX(OUT!I$8:I$73,MATCH($A67,OUT!$A$8:$A$73,0))&amp;"","")</f>
        <v/>
      </c>
      <c r="AO67" s="136">
        <f>IFERROR(INDEX(OUT!J$8:J$73,MATCH($A67,OUT!$A$8:$A$73,0))&amp;"","")</f>
        <v/>
      </c>
      <c r="AP67" s="116">
        <f>IFERROR(INDEX(OUT!K$8:K$73,MATCH($A67,OUT!$A$8:$A$73,0))&amp;"","")</f>
        <v/>
      </c>
      <c r="AQ67" s="116">
        <f>IFERROR(INDEX(OUT!L$8:L$73,MATCH($A67,OUT!$A$8:$A$73,0))&amp;"","")</f>
        <v/>
      </c>
      <c r="AR67" s="100" t="n"/>
      <c r="AS67" s="100" t="n"/>
      <c r="AT67" s="117">
        <f>SUMPRODUCT(($H67:$N67="M")*6+($H67:$N67="T")*6+($H67:$N67="D")*12+($H67:$N67="N")*12+($H67:$N67="NT")*6+($H67:$N67="C")*10+($H67:$N67="A")*8+($H67:$N67="J")*5+($H67:$N67="CEP")*4+($H67:$N67="CP")*6+($H67:$N67="CRO")*6+($H67:$N67="M+")*6+($H67:$N67="T+")*6+($H67:$N67="D+")*12+($H67:$N67="N+")*12+($H67:$N67="Dm+")*12+($H67:$N67="Dt+")*12+($H67:$N67="Tm-")*6+($H67:$N67="Mt-")*6)</f>
        <v/>
      </c>
      <c r="AU67" s="118">
        <f>AT67-MAX(0,IFERROR(INDEX(CADASTRO!$I$4:$I$80,MATCH($A67,CADASTRO!$A$4:$A$80,0)),$B67)-CONFIG!$B$50*(COUNTIF($H67:$N67,"AB")+COUNTIF($H67:$N67,"FE")+COUNTIF($H67:$N67,"LM")))</f>
        <v/>
      </c>
      <c r="AV67" s="117">
        <f>SUMPRODUCT(($O67:$U67="M")*6+($O67:$U67="T")*6+($O67:$U67="D")*12+($O67:$U67="N")*12+($O67:$U67="NT")*6+($O67:$U67="C")*10+($O67:$U67="A")*8+($O67:$U67="J")*5+($O67:$U67="CEP")*4+($O67:$U67="CP")*6+($O67:$U67="CRO")*6+($O67:$U67="M+")*6+($O67:$U67="T+")*6+($O67:$U67="D+")*12+($O67:$U67="N+")*12+($O67:$U67="Dm+")*12+($O67:$U67="Dt+")*12+($O67:$U67="Tm-")*6+($O67:$U67="Mt-")*6)</f>
        <v/>
      </c>
      <c r="AW67" s="118">
        <f>AV67-MAX(0,IFERROR(INDEX(CADASTRO!$I$4:$I$80,MATCH($A67,CADASTRO!$A$4:$A$80,0)),$B67)-CONFIG!$B$50*(COUNTIF($O67:$U67,"AB")+COUNTIF($O67:$U67,"FE")+COUNTIF($O67:$U67,"LM")))</f>
        <v/>
      </c>
      <c r="AX67" s="117">
        <f>SUMPRODUCT(($V67:$AB67="M")*6+($V67:$AB67="T")*6+($V67:$AB67="D")*12+($V67:$AB67="N")*12+($V67:$AB67="NT")*6+($V67:$AB67="C")*10+($V67:$AB67="A")*8+($V67:$AB67="J")*5+($V67:$AB67="CEP")*4+($V67:$AB67="CP")*6+($V67:$AB67="CRO")*6+($V67:$AB67="M+")*6+($V67:$AB67="T+")*6+($V67:$AB67="D+")*12+($V67:$AB67="N+")*12+($V67:$AB67="Dm+")*12+($V67:$AB67="Dt+")*12+($V67:$AB67="Tm-")*6+($V67:$AB67="Mt-")*6)</f>
        <v/>
      </c>
      <c r="AY67" s="118">
        <f>AX67-MAX(0,IFERROR(INDEX(CADASTRO!$I$4:$I$80,MATCH($A67,CADASTRO!$A$4:$A$80,0)),$B67)-CONFIG!$B$50*(COUNTIF($V67:$AB67,"AB")+COUNTIF($V67:$AB67,"FE")+COUNTIF($V67:$AB67,"LM")))</f>
        <v/>
      </c>
      <c r="AZ67" s="117">
        <f>SUMPRODUCT(($AC67:$AI67="M")*6+($AC67:$AI67="T")*6+($AC67:$AI67="D")*12+($AC67:$AI67="N")*12+($AC67:$AI67="NT")*6+($AC67:$AI67="C")*10+($AC67:$AI67="A")*8+($AC67:$AI67="J")*5+($AC67:$AI67="CEP")*4+($AC67:$AI67="CP")*6+($AC67:$AI67="CRO")*6+($AC67:$AI67="M+")*6+($AC67:$AI67="T+")*6+($AC67:$AI67="D+")*12+($AC67:$AI67="N+")*12+($AC67:$AI67="Dm+")*12+($AC67:$AI67="Dt+")*12+($AC67:$AI67="Tm-")*6+($AC67:$AI67="Mt-")*6)</f>
        <v/>
      </c>
      <c r="BA67" s="118">
        <f>AZ67-MAX(0,IFERROR(INDEX(CADASTRO!$I$4:$I$80,MATCH($A67,CADASTRO!$A$4:$A$80,0)),$B67)-CONFIG!$B$50*(COUNTIF($AC67:$AI67,"AB")+COUNTIF($AC67:$AI67,"FE")+COUNTIF($AC67:$AI67,"LM")))</f>
        <v/>
      </c>
      <c r="BB67" s="117">
        <f>SUMPRODUCT(($AJ67:$AL67="M")*6+($AJ67:$AL67="T")*6+($AJ67:$AL67="D")*12+($AJ67:$AL67="N")*12+($AJ67:$AL67="NT")*6+($AJ67:$AL67="C")*10+($AJ67:$AL67="A")*8+($AJ67:$AL67="J")*5+($AJ67:$AL67="CEP")*4+($AJ67:$AL67="CP")*6+($AJ67:$AL67="CRO")*6+($AJ67:$AL67="M+")*6+($AJ67:$AL67="T+")*6+($AJ67:$AL67="D+")*12+($AJ67:$AL67="N+")*12+($AJ67:$AL67="Dm+")*12+($AJ67:$AL67="Dt+")*12+($AJ67:$AL67="Tm-")*6+($AJ67:$AL67="Mt-")*6)+SUMPRODUCT(($AN67:$AQ67="M")*6+($AN67:$AQ67="T")*6+($AN67:$AQ67="D")*12+($AN67:$AQ67="N")*12+($AN67:$AQ67="NT")*6+($AN67:$AQ67="C")*10+($AN67:$AQ67="A")*8+($AN67:$AQ67="J")*5+($AN67:$AQ67="CEP")*4+($AN67:$AQ67="CP")*6+($AN67:$AQ67="CRO")*6+($AN67:$AQ67="M+")*6+($AN67:$AQ67="T+")*6+($AN67:$AQ67="D+")*12+($AN67:$AQ67="N+")*12+($AN67:$AQ67="Dm+")*12+($AN67:$AQ67="Dt+")*12+($AN67:$AQ67="Tm-")*6+($AN67:$AQ67="Mt-")*6)</f>
        <v/>
      </c>
      <c r="BC67" s="118">
        <f>BB67-MAX(0,IFERROR(INDEX(CADASTRO!$I$4:$I$80,MATCH($A67,CADASTRO!$A$4:$A$80,0)),$B67)-CONFIG!$B$50*(COUNTIF($AJ67:$AL67,"AB")+COUNTIF($AJ67:$AL67,"FE")+COUNTIF($AJ67:$AL67,"LM")+COUNTIF($AN67:$AQ67,"AB")+COUNTIF($AN67:$AQ67,"FE")+COUNTIF($AN67:$AQ67,"LM")))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ROUND(B67*4.29,0)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00" t="n"/>
      <c r="H68" s="136">
        <f>IFERROR(INDEX(AGO!AM$8:AM$73,MATCH($A68,AGO!$A$8:$A$73,0))&amp;"","")</f>
        <v/>
      </c>
      <c r="I68" s="114" t="n"/>
      <c r="J68" s="114" t="n"/>
      <c r="K68" s="123" t="inlineStr">
        <is>
          <t>Dt+</t>
        </is>
      </c>
      <c r="L68" s="124" t="inlineStr">
        <is>
          <t>D</t>
        </is>
      </c>
      <c r="M68" s="114" t="n"/>
      <c r="N68" s="126" t="inlineStr">
        <is>
          <t>T</t>
        </is>
      </c>
      <c r="O68" s="124" t="inlineStr">
        <is>
          <t>D</t>
        </is>
      </c>
      <c r="P68" s="114" t="n"/>
      <c r="Q68" s="114" t="n"/>
      <c r="R68" s="127" t="inlineStr">
        <is>
          <t>D-</t>
        </is>
      </c>
      <c r="S68" s="114" t="n"/>
      <c r="T68" s="114" t="n"/>
      <c r="U68" s="114" t="n"/>
      <c r="V68" s="114" t="n"/>
      <c r="W68" s="114" t="n"/>
      <c r="X68" s="123" t="inlineStr">
        <is>
          <t>Dt+</t>
        </is>
      </c>
      <c r="Y68" s="114" t="n"/>
      <c r="Z68" s="125" t="inlineStr">
        <is>
          <t>N</t>
        </is>
      </c>
      <c r="AA68" s="114" t="n"/>
      <c r="AB68" s="115" t="inlineStr">
        <is>
          <t>M</t>
        </is>
      </c>
      <c r="AC68" s="114" t="n"/>
      <c r="AD68" s="114" t="n"/>
      <c r="AE68" s="114" t="n"/>
      <c r="AF68" s="114" t="n"/>
      <c r="AG68" s="114" t="n"/>
      <c r="AH68" s="114" t="n"/>
      <c r="AI68" s="114" t="n"/>
      <c r="AJ68" s="114" t="n"/>
      <c r="AK68" s="114" t="n"/>
      <c r="AL68" s="114" t="n"/>
      <c r="AM68" s="100" t="n"/>
      <c r="AN68" s="136">
        <f>IFERROR(INDEX(OUT!I$8:I$73,MATCH($A68,OUT!$A$8:$A$73,0))&amp;"","")</f>
        <v/>
      </c>
      <c r="AO68" s="136">
        <f>IFERROR(INDEX(OUT!J$8:J$73,MATCH($A68,OUT!$A$8:$A$73,0))&amp;"","")</f>
        <v/>
      </c>
      <c r="AP68" s="116">
        <f>IFERROR(INDEX(OUT!K$8:K$73,MATCH($A68,OUT!$A$8:$A$73,0))&amp;"","")</f>
        <v/>
      </c>
      <c r="AQ68" s="116">
        <f>IFERROR(INDEX(OUT!L$8:L$73,MATCH($A68,OUT!$A$8:$A$73,0))&amp;"","")</f>
        <v/>
      </c>
      <c r="AR68" s="100" t="n"/>
      <c r="AS68" s="100" t="n"/>
      <c r="AT68" s="117">
        <f>SUMPRODUCT(($H68:$N68="M")*6+($H68:$N68="T")*6+($H68:$N68="D")*12+($H68:$N68="N")*12+($H68:$N68="NT")*6+($H68:$N68="C")*10+($H68:$N68="A")*8+($H68:$N68="J")*5+($H68:$N68="CEP")*4+($H68:$N68="CP")*6+($H68:$N68="CRO")*6+($H68:$N68="M+")*6+($H68:$N68="T+")*6+($H68:$N68="D+")*12+($H68:$N68="N+")*12+($H68:$N68="Dm+")*12+($H68:$N68="Dt+")*12+($H68:$N68="Tm-")*6+($H68:$N68="Mt-")*6)</f>
        <v/>
      </c>
      <c r="AU68" s="118">
        <f>AT68-MAX(0,IFERROR(INDEX(CADASTRO!$I$4:$I$80,MATCH($A68,CADASTRO!$A$4:$A$80,0)),$B68)-CONFIG!$B$50*(COUNTIF($H68:$N68,"AB")+COUNTIF($H68:$N68,"FE")+COUNTIF($H68:$N68,"LM")))</f>
        <v/>
      </c>
      <c r="AV68" s="117">
        <f>SUMPRODUCT(($O68:$U68="M")*6+($O68:$U68="T")*6+($O68:$U68="D")*12+($O68:$U68="N")*12+($O68:$U68="NT")*6+($O68:$U68="C")*10+($O68:$U68="A")*8+($O68:$U68="J")*5+($O68:$U68="CEP")*4+($O68:$U68="CP")*6+($O68:$U68="CRO")*6+($O68:$U68="M+")*6+($O68:$U68="T+")*6+($O68:$U68="D+")*12+($O68:$U68="N+")*12+($O68:$U68="Dm+")*12+($O68:$U68="Dt+")*12+($O68:$U68="Tm-")*6+($O68:$U68="Mt-")*6)</f>
        <v/>
      </c>
      <c r="AW68" s="118">
        <f>AV68-MAX(0,IFERROR(INDEX(CADASTRO!$I$4:$I$80,MATCH($A68,CADASTRO!$A$4:$A$80,0)),$B68)-CONFIG!$B$50*(COUNTIF($O68:$U68,"AB")+COUNTIF($O68:$U68,"FE")+COUNTIF($O68:$U68,"LM")))</f>
        <v/>
      </c>
      <c r="AX68" s="117">
        <f>SUMPRODUCT(($V68:$AB68="M")*6+($V68:$AB68="T")*6+($V68:$AB68="D")*12+($V68:$AB68="N")*12+($V68:$AB68="NT")*6+($V68:$AB68="C")*10+($V68:$AB68="A")*8+($V68:$AB68="J")*5+($V68:$AB68="CEP")*4+($V68:$AB68="CP")*6+($V68:$AB68="CRO")*6+($V68:$AB68="M+")*6+($V68:$AB68="T+")*6+($V68:$AB68="D+")*12+($V68:$AB68="N+")*12+($V68:$AB68="Dm+")*12+($V68:$AB68="Dt+")*12+($V68:$AB68="Tm-")*6+($V68:$AB68="Mt-")*6)</f>
        <v/>
      </c>
      <c r="AY68" s="118">
        <f>AX68-MAX(0,IFERROR(INDEX(CADASTRO!$I$4:$I$80,MATCH($A68,CADASTRO!$A$4:$A$80,0)),$B68)-CONFIG!$B$50*(COUNTIF($V68:$AB68,"AB")+COUNTIF($V68:$AB68,"FE")+COUNTIF($V68:$AB68,"LM")))</f>
        <v/>
      </c>
      <c r="AZ68" s="117">
        <f>SUMPRODUCT(($AC68:$AI68="M")*6+($AC68:$AI68="T")*6+($AC68:$AI68="D")*12+($AC68:$AI68="N")*12+($AC68:$AI68="NT")*6+($AC68:$AI68="C")*10+($AC68:$AI68="A")*8+($AC68:$AI68="J")*5+($AC68:$AI68="CEP")*4+($AC68:$AI68="CP")*6+($AC68:$AI68="CRO")*6+($AC68:$AI68="M+")*6+($AC68:$AI68="T+")*6+($AC68:$AI68="D+")*12+($AC68:$AI68="N+")*12+($AC68:$AI68="Dm+")*12+($AC68:$AI68="Dt+")*12+($AC68:$AI68="Tm-")*6+($AC68:$AI68="Mt-")*6)</f>
        <v/>
      </c>
      <c r="BA68" s="118">
        <f>AZ68-MAX(0,IFERROR(INDEX(CADASTRO!$I$4:$I$80,MATCH($A68,CADASTRO!$A$4:$A$80,0)),$B68)-CONFIG!$B$50*(COUNTIF($AC68:$AI68,"AB")+COUNTIF($AC68:$AI68,"FE")+COUNTIF($AC68:$AI68,"LM")))</f>
        <v/>
      </c>
      <c r="BB68" s="117">
        <f>SUMPRODUCT(($AJ68:$AL68="M")*6+($AJ68:$AL68="T")*6+($AJ68:$AL68="D")*12+($AJ68:$AL68="N")*12+($AJ68:$AL68="NT")*6+($AJ68:$AL68="C")*10+($AJ68:$AL68="A")*8+($AJ68:$AL68="J")*5+($AJ68:$AL68="CEP")*4+($AJ68:$AL68="CP")*6+($AJ68:$AL68="CRO")*6+($AJ68:$AL68="M+")*6+($AJ68:$AL68="T+")*6+($AJ68:$AL68="D+")*12+($AJ68:$AL68="N+")*12+($AJ68:$AL68="Dm+")*12+($AJ68:$AL68="Dt+")*12+($AJ68:$AL68="Tm-")*6+($AJ68:$AL68="Mt-")*6)+SUMPRODUCT(($AN68:$AQ68="M")*6+($AN68:$AQ68="T")*6+($AN68:$AQ68="D")*12+($AN68:$AQ68="N")*12+($AN68:$AQ68="NT")*6+($AN68:$AQ68="C")*10+($AN68:$AQ68="A")*8+($AN68:$AQ68="J")*5+($AN68:$AQ68="CEP")*4+($AN68:$AQ68="CP")*6+($AN68:$AQ68="CRO")*6+($AN68:$AQ68="M+")*6+($AN68:$AQ68="T+")*6+($AN68:$AQ68="D+")*12+($AN68:$AQ68="N+")*12+($AN68:$AQ68="Dm+")*12+($AN68:$AQ68="Dt+")*12+($AN68:$AQ68="Tm-")*6+($AN68:$AQ68="Mt-")*6)</f>
        <v/>
      </c>
      <c r="BC68" s="118">
        <f>BB68-MAX(0,IFERROR(INDEX(CADASTRO!$I$4:$I$80,MATCH($A68,CADASTRO!$A$4:$A$80,0)),$B68)-CONFIG!$B$50*(COUNTIF($AJ68:$AL68,"AB")+COUNTIF($AJ68:$AL68,"FE")+COUNTIF($AJ68:$AL68,"LM")+COUNTIF($AN68:$AQ68,"AB")+COUNTIF($AN68:$AQ68,"FE")+COUNTIF($AN68:$AQ68,"LM")))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ROUND(B68*4.29,0)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00" t="n"/>
      <c r="H69" s="136">
        <f>IFERROR(INDEX(AGO!AM$8:AM$73,MATCH($A69,AGO!$A$8:$A$73,0))&amp;"","")</f>
        <v/>
      </c>
      <c r="I69" s="114" t="n"/>
      <c r="J69" s="115" t="inlineStr">
        <is>
          <t>M</t>
        </is>
      </c>
      <c r="K69" s="114" t="n"/>
      <c r="L69" s="126" t="inlineStr">
        <is>
          <t>T</t>
        </is>
      </c>
      <c r="M69" s="124" t="inlineStr">
        <is>
          <t>D</t>
        </is>
      </c>
      <c r="N69" s="114" t="n"/>
      <c r="O69" s="124" t="inlineStr">
        <is>
          <t>D</t>
        </is>
      </c>
      <c r="P69" s="114" t="n"/>
      <c r="Q69" s="126" t="inlineStr">
        <is>
          <t>T</t>
        </is>
      </c>
      <c r="R69" s="126" t="inlineStr">
        <is>
          <t>T</t>
        </is>
      </c>
      <c r="S69" s="114" t="n"/>
      <c r="T69" s="114" t="n"/>
      <c r="U69" s="114" t="n"/>
      <c r="V69" s="114" t="n"/>
      <c r="W69" s="114" t="n"/>
      <c r="X69" s="124" t="inlineStr">
        <is>
          <t>D</t>
        </is>
      </c>
      <c r="Y69" s="114" t="n"/>
      <c r="Z69" s="125" t="inlineStr">
        <is>
          <t>N</t>
        </is>
      </c>
      <c r="AA69" s="114" t="n"/>
      <c r="AB69" s="114" t="n"/>
      <c r="AC69" s="114" t="n"/>
      <c r="AD69" s="114" t="n"/>
      <c r="AE69" s="124" t="inlineStr">
        <is>
          <t>D</t>
        </is>
      </c>
      <c r="AF69" s="114" t="n"/>
      <c r="AG69" s="114" t="n"/>
      <c r="AH69" s="124" t="inlineStr">
        <is>
          <t>D</t>
        </is>
      </c>
      <c r="AI69" s="114" t="n"/>
      <c r="AJ69" s="114" t="n"/>
      <c r="AK69" s="114" t="n"/>
      <c r="AL69" s="124" t="inlineStr">
        <is>
          <t>D</t>
        </is>
      </c>
      <c r="AM69" s="100" t="n"/>
      <c r="AN69" s="136">
        <f>IFERROR(INDEX(OUT!I$8:I$73,MATCH($A69,OUT!$A$8:$A$73,0))&amp;"","")</f>
        <v/>
      </c>
      <c r="AO69" s="136">
        <f>IFERROR(INDEX(OUT!J$8:J$73,MATCH($A69,OUT!$A$8:$A$73,0))&amp;"","")</f>
        <v/>
      </c>
      <c r="AP69" s="116">
        <f>IFERROR(INDEX(OUT!K$8:K$73,MATCH($A69,OUT!$A$8:$A$73,0))&amp;"","")</f>
        <v/>
      </c>
      <c r="AQ69" s="116">
        <f>IFERROR(INDEX(OUT!L$8:L$73,MATCH($A69,OUT!$A$8:$A$73,0))&amp;"","")</f>
        <v/>
      </c>
      <c r="AR69" s="100" t="n"/>
      <c r="AS69" s="100" t="n"/>
      <c r="AT69" s="117">
        <f>SUMPRODUCT(($H69:$N69="M")*6+($H69:$N69="T")*6+($H69:$N69="D")*12+($H69:$N69="N")*12+($H69:$N69="NT")*6+($H69:$N69="C")*10+($H69:$N69="A")*8+($H69:$N69="J")*5+($H69:$N69="CEP")*4+($H69:$N69="CP")*6+($H69:$N69="CRO")*6+($H69:$N69="M+")*6+($H69:$N69="T+")*6+($H69:$N69="D+")*12+($H69:$N69="N+")*12+($H69:$N69="Dm+")*12+($H69:$N69="Dt+")*12+($H69:$N69="Tm-")*6+($H69:$N69="Mt-")*6)</f>
        <v/>
      </c>
      <c r="AU69" s="118">
        <f>AT69-MAX(0,IFERROR(INDEX(CADASTRO!$I$4:$I$80,MATCH($A69,CADASTRO!$A$4:$A$80,0)),$B69)-CONFIG!$B$50*(COUNTIF($H69:$N69,"AB")+COUNTIF($H69:$N69,"FE")+COUNTIF($H69:$N69,"LM")))</f>
        <v/>
      </c>
      <c r="AV69" s="117">
        <f>SUMPRODUCT(($O69:$U69="M")*6+($O69:$U69="T")*6+($O69:$U69="D")*12+($O69:$U69="N")*12+($O69:$U69="NT")*6+($O69:$U69="C")*10+($O69:$U69="A")*8+($O69:$U69="J")*5+($O69:$U69="CEP")*4+($O69:$U69="CP")*6+($O69:$U69="CRO")*6+($O69:$U69="M+")*6+($O69:$U69="T+")*6+($O69:$U69="D+")*12+($O69:$U69="N+")*12+($O69:$U69="Dm+")*12+($O69:$U69="Dt+")*12+($O69:$U69="Tm-")*6+($O69:$U69="Mt-")*6)</f>
        <v/>
      </c>
      <c r="AW69" s="118">
        <f>AV69-MAX(0,IFERROR(INDEX(CADASTRO!$I$4:$I$80,MATCH($A69,CADASTRO!$A$4:$A$80,0)),$B69)-CONFIG!$B$50*(COUNTIF($O69:$U69,"AB")+COUNTIF($O69:$U69,"FE")+COUNTIF($O69:$U69,"LM")))</f>
        <v/>
      </c>
      <c r="AX69" s="117">
        <f>SUMPRODUCT(($V69:$AB69="M")*6+($V69:$AB69="T")*6+($V69:$AB69="D")*12+($V69:$AB69="N")*12+($V69:$AB69="NT")*6+($V69:$AB69="C")*10+($V69:$AB69="A")*8+($V69:$AB69="J")*5+($V69:$AB69="CEP")*4+($V69:$AB69="CP")*6+($V69:$AB69="CRO")*6+($V69:$AB69="M+")*6+($V69:$AB69="T+")*6+($V69:$AB69="D+")*12+($V69:$AB69="N+")*12+($V69:$AB69="Dm+")*12+($V69:$AB69="Dt+")*12+($V69:$AB69="Tm-")*6+($V69:$AB69="Mt-")*6)</f>
        <v/>
      </c>
      <c r="AY69" s="118">
        <f>AX69-MAX(0,IFERROR(INDEX(CADASTRO!$I$4:$I$80,MATCH($A69,CADASTRO!$A$4:$A$80,0)),$B69)-CONFIG!$B$50*(COUNTIF($V69:$AB69,"AB")+COUNTIF($V69:$AB69,"FE")+COUNTIF($V69:$AB69,"LM")))</f>
        <v/>
      </c>
      <c r="AZ69" s="117">
        <f>SUMPRODUCT(($AC69:$AI69="M")*6+($AC69:$AI69="T")*6+($AC69:$AI69="D")*12+($AC69:$AI69="N")*12+($AC69:$AI69="NT")*6+($AC69:$AI69="C")*10+($AC69:$AI69="A")*8+($AC69:$AI69="J")*5+($AC69:$AI69="CEP")*4+($AC69:$AI69="CP")*6+($AC69:$AI69="CRO")*6+($AC69:$AI69="M+")*6+($AC69:$AI69="T+")*6+($AC69:$AI69="D+")*12+($AC69:$AI69="N+")*12+($AC69:$AI69="Dm+")*12+($AC69:$AI69="Dt+")*12+($AC69:$AI69="Tm-")*6+($AC69:$AI69="Mt-")*6)</f>
        <v/>
      </c>
      <c r="BA69" s="118">
        <f>AZ69-MAX(0,IFERROR(INDEX(CADASTRO!$I$4:$I$80,MATCH($A69,CADASTRO!$A$4:$A$80,0)),$B69)-CONFIG!$B$50*(COUNTIF($AC69:$AI69,"AB")+COUNTIF($AC69:$AI69,"FE")+COUNTIF($AC69:$AI69,"LM")))</f>
        <v/>
      </c>
      <c r="BB69" s="117">
        <f>SUMPRODUCT(($AJ69:$AL69="M")*6+($AJ69:$AL69="T")*6+($AJ69:$AL69="D")*12+($AJ69:$AL69="N")*12+($AJ69:$AL69="NT")*6+($AJ69:$AL69="C")*10+($AJ69:$AL69="A")*8+($AJ69:$AL69="J")*5+($AJ69:$AL69="CEP")*4+($AJ69:$AL69="CP")*6+($AJ69:$AL69="CRO")*6+($AJ69:$AL69="M+")*6+($AJ69:$AL69="T+")*6+($AJ69:$AL69="D+")*12+($AJ69:$AL69="N+")*12+($AJ69:$AL69="Dm+")*12+($AJ69:$AL69="Dt+")*12+($AJ69:$AL69="Tm-")*6+($AJ69:$AL69="Mt-")*6)+SUMPRODUCT(($AN69:$AQ69="M")*6+($AN69:$AQ69="T")*6+($AN69:$AQ69="D")*12+($AN69:$AQ69="N")*12+($AN69:$AQ69="NT")*6+($AN69:$AQ69="C")*10+($AN69:$AQ69="A")*8+($AN69:$AQ69="J")*5+($AN69:$AQ69="CEP")*4+($AN69:$AQ69="CP")*6+($AN69:$AQ69="CRO")*6+($AN69:$AQ69="M+")*6+($AN69:$AQ69="T+")*6+($AN69:$AQ69="D+")*12+($AN69:$AQ69="N+")*12+($AN69:$AQ69="Dm+")*12+($AN69:$AQ69="Dt+")*12+($AN69:$AQ69="Tm-")*6+($AN69:$AQ69="Mt-")*6)</f>
        <v/>
      </c>
      <c r="BC69" s="118">
        <f>BB69-MAX(0,IFERROR(INDEX(CADASTRO!$I$4:$I$80,MATCH($A69,CADASTRO!$A$4:$A$80,0)),$B69)-CONFIG!$B$50*(COUNTIF($AJ69:$AL69,"AB")+COUNTIF($AJ69:$AL69,"FE")+COUNTIF($AJ69:$AL69,"LM")+COUNTIF($AN69:$AQ69,"AB")+COUNTIF($AN69:$AQ69,"FE")+COUNTIF($AN69:$AQ69,"LM")))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ROUND(B69*4.29,0)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00" t="n"/>
      <c r="H70" s="136">
        <f>IFERROR(INDEX(AGO!AM$8:AM$73,MATCH($A70,AGO!$A$8:$A$73,0))&amp;"","")</f>
        <v/>
      </c>
      <c r="I70" s="125" t="inlineStr">
        <is>
          <t>N</t>
        </is>
      </c>
      <c r="J70" s="126" t="inlineStr">
        <is>
          <t>T</t>
        </is>
      </c>
      <c r="K70" s="115" t="inlineStr">
        <is>
          <t>M</t>
        </is>
      </c>
      <c r="L70" s="114" t="n"/>
      <c r="M70" s="114" t="n"/>
      <c r="N70" s="114" t="n"/>
      <c r="O70" s="114" t="n"/>
      <c r="P70" s="125" t="inlineStr">
        <is>
          <t>N</t>
        </is>
      </c>
      <c r="Q70" s="114" t="n"/>
      <c r="R70" s="114" t="n"/>
      <c r="S70" s="114" t="n"/>
      <c r="T70" s="114" t="n"/>
      <c r="U70" s="125" t="inlineStr">
        <is>
          <t>N</t>
        </is>
      </c>
      <c r="V70" s="114" t="n"/>
      <c r="W70" s="124" t="inlineStr">
        <is>
          <t>D</t>
        </is>
      </c>
      <c r="X70" s="114" t="n"/>
      <c r="Y70" s="114" t="n"/>
      <c r="Z70" s="114" t="n"/>
      <c r="AA70" s="114" t="n"/>
      <c r="AB70" s="124" t="inlineStr">
        <is>
          <t>D</t>
        </is>
      </c>
      <c r="AC70" s="114" t="n"/>
      <c r="AD70" s="124" t="inlineStr">
        <is>
          <t>D</t>
        </is>
      </c>
      <c r="AE70" s="114" t="n"/>
      <c r="AF70" s="124" t="inlineStr">
        <is>
          <t>D</t>
        </is>
      </c>
      <c r="AG70" s="114" t="n"/>
      <c r="AH70" s="114" t="n"/>
      <c r="AI70" s="114" t="n"/>
      <c r="AJ70" s="114" t="n"/>
      <c r="AK70" s="124" t="inlineStr">
        <is>
          <t>D</t>
        </is>
      </c>
      <c r="AL70" s="115" t="inlineStr">
        <is>
          <t>M</t>
        </is>
      </c>
      <c r="AM70" s="100" t="n"/>
      <c r="AN70" s="136">
        <f>IFERROR(INDEX(OUT!I$8:I$73,MATCH($A70,OUT!$A$8:$A$73,0))&amp;"","")</f>
        <v/>
      </c>
      <c r="AO70" s="136">
        <f>IFERROR(INDEX(OUT!J$8:J$73,MATCH($A70,OUT!$A$8:$A$73,0))&amp;"","")</f>
        <v/>
      </c>
      <c r="AP70" s="116">
        <f>IFERROR(INDEX(OUT!K$8:K$73,MATCH($A70,OUT!$A$8:$A$73,0))&amp;"","")</f>
        <v/>
      </c>
      <c r="AQ70" s="116">
        <f>IFERROR(INDEX(OUT!L$8:L$73,MATCH($A70,OUT!$A$8:$A$73,0))&amp;"","")</f>
        <v/>
      </c>
      <c r="AR70" s="100" t="n"/>
      <c r="AS70" s="100" t="n"/>
      <c r="AT70" s="117">
        <f>SUMPRODUCT(($H70:$N70="M")*6+($H70:$N70="T")*6+($H70:$N70="D")*12+($H70:$N70="N")*12+($H70:$N70="NT")*6+($H70:$N70="C")*10+($H70:$N70="A")*8+($H70:$N70="J")*5+($H70:$N70="CEP")*4+($H70:$N70="CP")*6+($H70:$N70="CRO")*6+($H70:$N70="M+")*6+($H70:$N70="T+")*6+($H70:$N70="D+")*12+($H70:$N70="N+")*12+($H70:$N70="Dm+")*12+($H70:$N70="Dt+")*12+($H70:$N70="Tm-")*6+($H70:$N70="Mt-")*6)</f>
        <v/>
      </c>
      <c r="AU70" s="118">
        <f>AT70-MAX(0,IFERROR(INDEX(CADASTRO!$I$4:$I$80,MATCH($A70,CADASTRO!$A$4:$A$80,0)),$B70)-CONFIG!$B$50*(COUNTIF($H70:$N70,"AB")+COUNTIF($H70:$N70,"FE")+COUNTIF($H70:$N70,"LM")))</f>
        <v/>
      </c>
      <c r="AV70" s="117">
        <f>SUMPRODUCT(($O70:$U70="M")*6+($O70:$U70="T")*6+($O70:$U70="D")*12+($O70:$U70="N")*12+($O70:$U70="NT")*6+($O70:$U70="C")*10+($O70:$U70="A")*8+($O70:$U70="J")*5+($O70:$U70="CEP")*4+($O70:$U70="CP")*6+($O70:$U70="CRO")*6+($O70:$U70="M+")*6+($O70:$U70="T+")*6+($O70:$U70="D+")*12+($O70:$U70="N+")*12+($O70:$U70="Dm+")*12+($O70:$U70="Dt+")*12+($O70:$U70="Tm-")*6+($O70:$U70="Mt-")*6)</f>
        <v/>
      </c>
      <c r="AW70" s="118">
        <f>AV70-MAX(0,IFERROR(INDEX(CADASTRO!$I$4:$I$80,MATCH($A70,CADASTRO!$A$4:$A$80,0)),$B70)-CONFIG!$B$50*(COUNTIF($O70:$U70,"AB")+COUNTIF($O70:$U70,"FE")+COUNTIF($O70:$U70,"LM")))</f>
        <v/>
      </c>
      <c r="AX70" s="117">
        <f>SUMPRODUCT(($V70:$AB70="M")*6+($V70:$AB70="T")*6+($V70:$AB70="D")*12+($V70:$AB70="N")*12+($V70:$AB70="NT")*6+($V70:$AB70="C")*10+($V70:$AB70="A")*8+($V70:$AB70="J")*5+($V70:$AB70="CEP")*4+($V70:$AB70="CP")*6+($V70:$AB70="CRO")*6+($V70:$AB70="M+")*6+($V70:$AB70="T+")*6+($V70:$AB70="D+")*12+($V70:$AB70="N+")*12+($V70:$AB70="Dm+")*12+($V70:$AB70="Dt+")*12+($V70:$AB70="Tm-")*6+($V70:$AB70="Mt-")*6)</f>
        <v/>
      </c>
      <c r="AY70" s="118">
        <f>AX70-MAX(0,IFERROR(INDEX(CADASTRO!$I$4:$I$80,MATCH($A70,CADASTRO!$A$4:$A$80,0)),$B70)-CONFIG!$B$50*(COUNTIF($V70:$AB70,"AB")+COUNTIF($V70:$AB70,"FE")+COUNTIF($V70:$AB70,"LM")))</f>
        <v/>
      </c>
      <c r="AZ70" s="117">
        <f>SUMPRODUCT(($AC70:$AI70="M")*6+($AC70:$AI70="T")*6+($AC70:$AI70="D")*12+($AC70:$AI70="N")*12+($AC70:$AI70="NT")*6+($AC70:$AI70="C")*10+($AC70:$AI70="A")*8+($AC70:$AI70="J")*5+($AC70:$AI70="CEP")*4+($AC70:$AI70="CP")*6+($AC70:$AI70="CRO")*6+($AC70:$AI70="M+")*6+($AC70:$AI70="T+")*6+($AC70:$AI70="D+")*12+($AC70:$AI70="N+")*12+($AC70:$AI70="Dm+")*12+($AC70:$AI70="Dt+")*12+($AC70:$AI70="Tm-")*6+($AC70:$AI70="Mt-")*6)</f>
        <v/>
      </c>
      <c r="BA70" s="118">
        <f>AZ70-MAX(0,IFERROR(INDEX(CADASTRO!$I$4:$I$80,MATCH($A70,CADASTRO!$A$4:$A$80,0)),$B70)-CONFIG!$B$50*(COUNTIF($AC70:$AI70,"AB")+COUNTIF($AC70:$AI70,"FE")+COUNTIF($AC70:$AI70,"LM")))</f>
        <v/>
      </c>
      <c r="BB70" s="117">
        <f>SUMPRODUCT(($AJ70:$AL70="M")*6+($AJ70:$AL70="T")*6+($AJ70:$AL70="D")*12+($AJ70:$AL70="N")*12+($AJ70:$AL70="NT")*6+($AJ70:$AL70="C")*10+($AJ70:$AL70="A")*8+($AJ70:$AL70="J")*5+($AJ70:$AL70="CEP")*4+($AJ70:$AL70="CP")*6+($AJ70:$AL70="CRO")*6+($AJ70:$AL70="M+")*6+($AJ70:$AL70="T+")*6+($AJ70:$AL70="D+")*12+($AJ70:$AL70="N+")*12+($AJ70:$AL70="Dm+")*12+($AJ70:$AL70="Dt+")*12+($AJ70:$AL70="Tm-")*6+($AJ70:$AL70="Mt-")*6)+SUMPRODUCT(($AN70:$AQ70="M")*6+($AN70:$AQ70="T")*6+($AN70:$AQ70="D")*12+($AN70:$AQ70="N")*12+($AN70:$AQ70="NT")*6+($AN70:$AQ70="C")*10+($AN70:$AQ70="A")*8+($AN70:$AQ70="J")*5+($AN70:$AQ70="CEP")*4+($AN70:$AQ70="CP")*6+($AN70:$AQ70="CRO")*6+($AN70:$AQ70="M+")*6+($AN70:$AQ70="T+")*6+($AN70:$AQ70="D+")*12+($AN70:$AQ70="N+")*12+($AN70:$AQ70="Dm+")*12+($AN70:$AQ70="Dt+")*12+($AN70:$AQ70="Tm-")*6+($AN70:$AQ70="Mt-")*6)</f>
        <v/>
      </c>
      <c r="BC70" s="118">
        <f>BB70-MAX(0,IFERROR(INDEX(CADASTRO!$I$4:$I$80,MATCH($A70,CADASTRO!$A$4:$A$80,0)),$B70)-CONFIG!$B$50*(COUNTIF($AJ70:$AL70,"AB")+COUNTIF($AJ70:$AL70,"FE")+COUNTIF($AJ70:$AL70,"LM")+COUNTIF($AN70:$AQ70,"AB")+COUNTIF($AN70:$AQ70,"FE")+COUNTIF($AN70:$AQ70,"LM")))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ROUND(B70*4.29,0)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00" t="n"/>
      <c r="H71" s="136">
        <f>IFERROR(INDEX(AGO!AM$8:AM$73,MATCH($A71,AGO!$A$8:$A$73,0))&amp;"","")</f>
        <v/>
      </c>
      <c r="I71" s="141" t="inlineStr">
        <is>
          <t>A</t>
        </is>
      </c>
      <c r="J71" s="114" t="n"/>
      <c r="K71" s="141" t="inlineStr">
        <is>
          <t>A</t>
        </is>
      </c>
      <c r="L71" s="114" t="n"/>
      <c r="M71" s="114" t="n"/>
      <c r="N71" s="114" t="n"/>
      <c r="O71" s="141" t="inlineStr">
        <is>
          <t>A</t>
        </is>
      </c>
      <c r="P71" s="141" t="inlineStr">
        <is>
          <t>A</t>
        </is>
      </c>
      <c r="Q71" s="114" t="n"/>
      <c r="R71" s="114" t="n"/>
      <c r="S71" s="114" t="n"/>
      <c r="T71" s="114" t="n"/>
      <c r="U71" s="141" t="inlineStr">
        <is>
          <t>A</t>
        </is>
      </c>
      <c r="V71" s="141" t="inlineStr">
        <is>
          <t>A</t>
        </is>
      </c>
      <c r="W71" s="141" t="inlineStr">
        <is>
          <t>A</t>
        </is>
      </c>
      <c r="X71" s="114" t="n"/>
      <c r="Y71" s="141" t="inlineStr">
        <is>
          <t>A</t>
        </is>
      </c>
      <c r="Z71" s="114" t="n"/>
      <c r="AA71" s="114" t="n"/>
      <c r="AB71" s="114" t="n"/>
      <c r="AC71" s="141" t="inlineStr">
        <is>
          <t>A</t>
        </is>
      </c>
      <c r="AD71" s="141" t="inlineStr">
        <is>
          <t>A</t>
        </is>
      </c>
      <c r="AE71" s="114" t="n"/>
      <c r="AF71" s="114" t="n"/>
      <c r="AG71" s="114" t="n"/>
      <c r="AH71" s="114" t="n"/>
      <c r="AI71" s="141" t="inlineStr">
        <is>
          <t>A</t>
        </is>
      </c>
      <c r="AJ71" s="141" t="inlineStr">
        <is>
          <t>A</t>
        </is>
      </c>
      <c r="AK71" s="114" t="n"/>
      <c r="AL71" s="141" t="inlineStr">
        <is>
          <t>A</t>
        </is>
      </c>
      <c r="AM71" s="100" t="n"/>
      <c r="AN71" s="136">
        <f>IFERROR(INDEX(OUT!I$8:I$73,MATCH($A71,OUT!$A$8:$A$73,0))&amp;"","")</f>
        <v/>
      </c>
      <c r="AO71" s="136">
        <f>IFERROR(INDEX(OUT!J$8:J$73,MATCH($A71,OUT!$A$8:$A$73,0))&amp;"","")</f>
        <v/>
      </c>
      <c r="AP71" s="116">
        <f>IFERROR(INDEX(OUT!K$8:K$73,MATCH($A71,OUT!$A$8:$A$73,0))&amp;"","")</f>
        <v/>
      </c>
      <c r="AQ71" s="116">
        <f>IFERROR(INDEX(OUT!L$8:L$73,MATCH($A71,OUT!$A$8:$A$73,0))&amp;"","")</f>
        <v/>
      </c>
      <c r="AR71" s="100" t="n"/>
      <c r="AS71" s="100" t="n"/>
      <c r="AT71" s="117">
        <f>SUMPRODUCT(($H71:$N71="M")*6+($H71:$N71="T")*6+($H71:$N71="D")*12+($H71:$N71="N")*12+($H71:$N71="NT")*6+($H71:$N71="C")*10+($H71:$N71="A")*8+($H71:$N71="J")*5+($H71:$N71="CEP")*4+($H71:$N71="CP")*6+($H71:$N71="CRO")*6+($H71:$N71="M+")*6+($H71:$N71="T+")*6+($H71:$N71="D+")*12+($H71:$N71="N+")*12+($H71:$N71="Dm+")*12+($H71:$N71="Dt+")*12+($H71:$N71="Tm-")*6+($H71:$N71="Mt-")*6)</f>
        <v/>
      </c>
      <c r="AU71" s="118">
        <f>AT71-MAX(0,IFERROR(INDEX(CADASTRO!$I$4:$I$80,MATCH($A71,CADASTRO!$A$4:$A$80,0)),$B71)-CONFIG!$B$50*(COUNTIF($H71:$N71,"AB")+COUNTIF($H71:$N71,"FE")+COUNTIF($H71:$N71,"LM")))</f>
        <v/>
      </c>
      <c r="AV71" s="117">
        <f>SUMPRODUCT(($O71:$U71="M")*6+($O71:$U71="T")*6+($O71:$U71="D")*12+($O71:$U71="N")*12+($O71:$U71="NT")*6+($O71:$U71="C")*10+($O71:$U71="A")*8+($O71:$U71="J")*5+($O71:$U71="CEP")*4+($O71:$U71="CP")*6+($O71:$U71="CRO")*6+($O71:$U71="M+")*6+($O71:$U71="T+")*6+($O71:$U71="D+")*12+($O71:$U71="N+")*12+($O71:$U71="Dm+")*12+($O71:$U71="Dt+")*12+($O71:$U71="Tm-")*6+($O71:$U71="Mt-")*6)</f>
        <v/>
      </c>
      <c r="AW71" s="118">
        <f>AV71-MAX(0,IFERROR(INDEX(CADASTRO!$I$4:$I$80,MATCH($A71,CADASTRO!$A$4:$A$80,0)),$B71)-CONFIG!$B$50*(COUNTIF($O71:$U71,"AB")+COUNTIF($O71:$U71,"FE")+COUNTIF($O71:$U71,"LM")))</f>
        <v/>
      </c>
      <c r="AX71" s="117">
        <f>SUMPRODUCT(($V71:$AB71="M")*6+($V71:$AB71="T")*6+($V71:$AB71="D")*12+($V71:$AB71="N")*12+($V71:$AB71="NT")*6+($V71:$AB71="C")*10+($V71:$AB71="A")*8+($V71:$AB71="J")*5+($V71:$AB71="CEP")*4+($V71:$AB71="CP")*6+($V71:$AB71="CRO")*6+($V71:$AB71="M+")*6+($V71:$AB71="T+")*6+($V71:$AB71="D+")*12+($V71:$AB71="N+")*12+($V71:$AB71="Dm+")*12+($V71:$AB71="Dt+")*12+($V71:$AB71="Tm-")*6+($V71:$AB71="Mt-")*6)</f>
        <v/>
      </c>
      <c r="AY71" s="118">
        <f>AX71-MAX(0,IFERROR(INDEX(CADASTRO!$I$4:$I$80,MATCH($A71,CADASTRO!$A$4:$A$80,0)),$B71)-CONFIG!$B$50*(COUNTIF($V71:$AB71,"AB")+COUNTIF($V71:$AB71,"FE")+COUNTIF($V71:$AB71,"LM")))</f>
        <v/>
      </c>
      <c r="AZ71" s="117">
        <f>SUMPRODUCT(($AC71:$AI71="M")*6+($AC71:$AI71="T")*6+($AC71:$AI71="D")*12+($AC71:$AI71="N")*12+($AC71:$AI71="NT")*6+($AC71:$AI71="C")*10+($AC71:$AI71="A")*8+($AC71:$AI71="J")*5+($AC71:$AI71="CEP")*4+($AC71:$AI71="CP")*6+($AC71:$AI71="CRO")*6+($AC71:$AI71="M+")*6+($AC71:$AI71="T+")*6+($AC71:$AI71="D+")*12+($AC71:$AI71="N+")*12+($AC71:$AI71="Dm+")*12+($AC71:$AI71="Dt+")*12+($AC71:$AI71="Tm-")*6+($AC71:$AI71="Mt-")*6)</f>
        <v/>
      </c>
      <c r="BA71" s="118">
        <f>AZ71-MAX(0,IFERROR(INDEX(CADASTRO!$I$4:$I$80,MATCH($A71,CADASTRO!$A$4:$A$80,0)),$B71)-CONFIG!$B$50*(COUNTIF($AC71:$AI71,"AB")+COUNTIF($AC71:$AI71,"FE")+COUNTIF($AC71:$AI71,"LM")))</f>
        <v/>
      </c>
      <c r="BB71" s="117">
        <f>SUMPRODUCT(($AJ71:$AL71="M")*6+($AJ71:$AL71="T")*6+($AJ71:$AL71="D")*12+($AJ71:$AL71="N")*12+($AJ71:$AL71="NT")*6+($AJ71:$AL71="C")*10+($AJ71:$AL71="A")*8+($AJ71:$AL71="J")*5+($AJ71:$AL71="CEP")*4+($AJ71:$AL71="CP")*6+($AJ71:$AL71="CRO")*6+($AJ71:$AL71="M+")*6+($AJ71:$AL71="T+")*6+($AJ71:$AL71="D+")*12+($AJ71:$AL71="N+")*12+($AJ71:$AL71="Dm+")*12+($AJ71:$AL71="Dt+")*12+($AJ71:$AL71="Tm-")*6+($AJ71:$AL71="Mt-")*6)+SUMPRODUCT(($AN71:$AQ71="M")*6+($AN71:$AQ71="T")*6+($AN71:$AQ71="D")*12+($AN71:$AQ71="N")*12+($AN71:$AQ71="NT")*6+($AN71:$AQ71="C")*10+($AN71:$AQ71="A")*8+($AN71:$AQ71="J")*5+($AN71:$AQ71="CEP")*4+($AN71:$AQ71="CP")*6+($AN71:$AQ71="CRO")*6+($AN71:$AQ71="M+")*6+($AN71:$AQ71="T+")*6+($AN71:$AQ71="D+")*12+($AN71:$AQ71="N+")*12+($AN71:$AQ71="Dm+")*12+($AN71:$AQ71="Dt+")*12+($AN71:$AQ71="Tm-")*6+($AN71:$AQ71="Mt-")*6)</f>
        <v/>
      </c>
      <c r="BC71" s="118">
        <f>BB71-MAX(0,IFERROR(INDEX(CADASTRO!$I$4:$I$80,MATCH($A71,CADASTRO!$A$4:$A$80,0)),$B71)-CONFIG!$B$50*(COUNTIF($AJ71:$AL71,"AB")+COUNTIF($AJ71:$AL71,"FE")+COUNTIF($AJ71:$AL71,"LM")+COUNTIF($AN71:$AQ71,"AB")+COUNTIF($AN71:$AQ71,"FE")+COUNTIF($AN71:$AQ71,"LM")))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ROUND(B71*4.29,0)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00" t="n"/>
      <c r="H72" s="136">
        <f>IFERROR(INDEX(AGO!AM$8:AM$73,MATCH($A72,AGO!$A$8:$A$73,0))&amp;"","")</f>
        <v/>
      </c>
      <c r="I72" s="114" t="n"/>
      <c r="J72" s="141" t="inlineStr">
        <is>
          <t>A</t>
        </is>
      </c>
      <c r="K72" s="114" t="n"/>
      <c r="L72" s="141" t="inlineStr">
        <is>
          <t>A</t>
        </is>
      </c>
      <c r="M72" s="114" t="n"/>
      <c r="N72" s="114" t="n"/>
      <c r="O72" s="114" t="n"/>
      <c r="P72" s="114" t="n"/>
      <c r="Q72" s="141" t="inlineStr">
        <is>
          <t>A</t>
        </is>
      </c>
      <c r="R72" s="141" t="inlineStr">
        <is>
          <t>A</t>
        </is>
      </c>
      <c r="S72" s="141" t="inlineStr">
        <is>
          <t>A</t>
        </is>
      </c>
      <c r="T72" s="114" t="n"/>
      <c r="U72" s="114" t="n"/>
      <c r="V72" s="114" t="n"/>
      <c r="W72" s="114" t="n"/>
      <c r="X72" s="141" t="inlineStr">
        <is>
          <t>A</t>
        </is>
      </c>
      <c r="Y72" s="141" t="inlineStr">
        <is>
          <t>A</t>
        </is>
      </c>
      <c r="Z72" s="141" t="inlineStr">
        <is>
          <t>A</t>
        </is>
      </c>
      <c r="AA72" s="114" t="n"/>
      <c r="AB72" s="114" t="n"/>
      <c r="AC72" s="114" t="n"/>
      <c r="AD72" s="114" t="n"/>
      <c r="AE72" s="141" t="inlineStr">
        <is>
          <t>A</t>
        </is>
      </c>
      <c r="AF72" s="141" t="inlineStr">
        <is>
          <t>A</t>
        </is>
      </c>
      <c r="AG72" s="141" t="inlineStr">
        <is>
          <t>A</t>
        </is>
      </c>
      <c r="AH72" s="114" t="n"/>
      <c r="AI72" s="114" t="n"/>
      <c r="AJ72" s="114" t="n"/>
      <c r="AK72" s="114" t="n"/>
      <c r="AL72" s="141" t="inlineStr">
        <is>
          <t>A</t>
        </is>
      </c>
      <c r="AM72" s="100" t="n"/>
      <c r="AN72" s="136">
        <f>IFERROR(INDEX(OUT!I$8:I$73,MATCH($A72,OUT!$A$8:$A$73,0))&amp;"","")</f>
        <v/>
      </c>
      <c r="AO72" s="136">
        <f>IFERROR(INDEX(OUT!J$8:J$73,MATCH($A72,OUT!$A$8:$A$73,0))&amp;"","")</f>
        <v/>
      </c>
      <c r="AP72" s="116">
        <f>IFERROR(INDEX(OUT!K$8:K$73,MATCH($A72,OUT!$A$8:$A$73,0))&amp;"","")</f>
        <v/>
      </c>
      <c r="AQ72" s="116">
        <f>IFERROR(INDEX(OUT!L$8:L$73,MATCH($A72,OUT!$A$8:$A$73,0))&amp;"","")</f>
        <v/>
      </c>
      <c r="AR72" s="100" t="n"/>
      <c r="AS72" s="100" t="n"/>
      <c r="AT72" s="117">
        <f>SUMPRODUCT(($H72:$N72="M")*6+($H72:$N72="T")*6+($H72:$N72="D")*12+($H72:$N72="N")*12+($H72:$N72="NT")*6+($H72:$N72="C")*10+($H72:$N72="A")*8+($H72:$N72="J")*5+($H72:$N72="CEP")*4+($H72:$N72="CP")*6+($H72:$N72="CRO")*6+($H72:$N72="M+")*6+($H72:$N72="T+")*6+($H72:$N72="D+")*12+($H72:$N72="N+")*12+($H72:$N72="Dm+")*12+($H72:$N72="Dt+")*12+($H72:$N72="Tm-")*6+($H72:$N72="Mt-")*6)</f>
        <v/>
      </c>
      <c r="AU72" s="118">
        <f>AT72-MAX(0,IFERROR(INDEX(CADASTRO!$I$4:$I$80,MATCH($A72,CADASTRO!$A$4:$A$80,0)),$B72)-CONFIG!$B$50*(COUNTIF($H72:$N72,"AB")+COUNTIF($H72:$N72,"FE")+COUNTIF($H72:$N72,"LM")))</f>
        <v/>
      </c>
      <c r="AV72" s="117">
        <f>SUMPRODUCT(($O72:$U72="M")*6+($O72:$U72="T")*6+($O72:$U72="D")*12+($O72:$U72="N")*12+($O72:$U72="NT")*6+($O72:$U72="C")*10+($O72:$U72="A")*8+($O72:$U72="J")*5+($O72:$U72="CEP")*4+($O72:$U72="CP")*6+($O72:$U72="CRO")*6+($O72:$U72="M+")*6+($O72:$U72="T+")*6+($O72:$U72="D+")*12+($O72:$U72="N+")*12+($O72:$U72="Dm+")*12+($O72:$U72="Dt+")*12+($O72:$U72="Tm-")*6+($O72:$U72="Mt-")*6)</f>
        <v/>
      </c>
      <c r="AW72" s="118">
        <f>AV72-MAX(0,IFERROR(INDEX(CADASTRO!$I$4:$I$80,MATCH($A72,CADASTRO!$A$4:$A$80,0)),$B72)-CONFIG!$B$50*(COUNTIF($O72:$U72,"AB")+COUNTIF($O72:$U72,"FE")+COUNTIF($O72:$U72,"LM")))</f>
        <v/>
      </c>
      <c r="AX72" s="117">
        <f>SUMPRODUCT(($V72:$AB72="M")*6+($V72:$AB72="T")*6+($V72:$AB72="D")*12+($V72:$AB72="N")*12+($V72:$AB72="NT")*6+($V72:$AB72="C")*10+($V72:$AB72="A")*8+($V72:$AB72="J")*5+($V72:$AB72="CEP")*4+($V72:$AB72="CP")*6+($V72:$AB72="CRO")*6+($V72:$AB72="M+")*6+($V72:$AB72="T+")*6+($V72:$AB72="D+")*12+($V72:$AB72="N+")*12+($V72:$AB72="Dm+")*12+($V72:$AB72="Dt+")*12+($V72:$AB72="Tm-")*6+($V72:$AB72="Mt-")*6)</f>
        <v/>
      </c>
      <c r="AY72" s="118">
        <f>AX72-MAX(0,IFERROR(INDEX(CADASTRO!$I$4:$I$80,MATCH($A72,CADASTRO!$A$4:$A$80,0)),$B72)-CONFIG!$B$50*(COUNTIF($V72:$AB72,"AB")+COUNTIF($V72:$AB72,"FE")+COUNTIF($V72:$AB72,"LM")))</f>
        <v/>
      </c>
      <c r="AZ72" s="117">
        <f>SUMPRODUCT(($AC72:$AI72="M")*6+($AC72:$AI72="T")*6+($AC72:$AI72="D")*12+($AC72:$AI72="N")*12+($AC72:$AI72="NT")*6+($AC72:$AI72="C")*10+($AC72:$AI72="A")*8+($AC72:$AI72="J")*5+($AC72:$AI72="CEP")*4+($AC72:$AI72="CP")*6+($AC72:$AI72="CRO")*6+($AC72:$AI72="M+")*6+($AC72:$AI72="T+")*6+($AC72:$AI72="D+")*12+($AC72:$AI72="N+")*12+($AC72:$AI72="Dm+")*12+($AC72:$AI72="Dt+")*12+($AC72:$AI72="Tm-")*6+($AC72:$AI72="Mt-")*6)</f>
        <v/>
      </c>
      <c r="BA72" s="118">
        <f>AZ72-MAX(0,IFERROR(INDEX(CADASTRO!$I$4:$I$80,MATCH($A72,CADASTRO!$A$4:$A$80,0)),$B72)-CONFIG!$B$50*(COUNTIF($AC72:$AI72,"AB")+COUNTIF($AC72:$AI72,"FE")+COUNTIF($AC72:$AI72,"LM")))</f>
        <v/>
      </c>
      <c r="BB72" s="117">
        <f>SUMPRODUCT(($AJ72:$AL72="M")*6+($AJ72:$AL72="T")*6+($AJ72:$AL72="D")*12+($AJ72:$AL72="N")*12+($AJ72:$AL72="NT")*6+($AJ72:$AL72="C")*10+($AJ72:$AL72="A")*8+($AJ72:$AL72="J")*5+($AJ72:$AL72="CEP")*4+($AJ72:$AL72="CP")*6+($AJ72:$AL72="CRO")*6+($AJ72:$AL72="M+")*6+($AJ72:$AL72="T+")*6+($AJ72:$AL72="D+")*12+($AJ72:$AL72="N+")*12+($AJ72:$AL72="Dm+")*12+($AJ72:$AL72="Dt+")*12+($AJ72:$AL72="Tm-")*6+($AJ72:$AL72="Mt-")*6)+SUMPRODUCT(($AN72:$AQ72="M")*6+($AN72:$AQ72="T")*6+($AN72:$AQ72="D")*12+($AN72:$AQ72="N")*12+($AN72:$AQ72="NT")*6+($AN72:$AQ72="C")*10+($AN72:$AQ72="A")*8+($AN72:$AQ72="J")*5+($AN72:$AQ72="CEP")*4+($AN72:$AQ72="CP")*6+($AN72:$AQ72="CRO")*6+($AN72:$AQ72="M+")*6+($AN72:$AQ72="T+")*6+($AN72:$AQ72="D+")*12+($AN72:$AQ72="N+")*12+($AN72:$AQ72="Dm+")*12+($AN72:$AQ72="Dt+")*12+($AN72:$AQ72="Tm-")*6+($AN72:$AQ72="Mt-")*6)</f>
        <v/>
      </c>
      <c r="BC72" s="118">
        <f>BB72-MAX(0,IFERROR(INDEX(CADASTRO!$I$4:$I$80,MATCH($A72,CADASTRO!$A$4:$A$80,0)),$B72)-CONFIG!$B$50*(COUNTIF($AJ72:$AL72,"AB")+COUNTIF($AJ72:$AL72,"FE")+COUNTIF($AJ72:$AL72,"LM")+COUNTIF($AN72:$AQ72,"AB")+COUNTIF($AN72:$AQ72,"FE")+COUNTIF($AN72:$AQ72,"LM")))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ROUND(B72*4.29,0)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00" t="n"/>
      <c r="H73" s="136">
        <f>IFERROR(INDEX(AGO!AM$8:AM$73,MATCH($A73,AGO!$A$8:$A$73,0))&amp;"","")</f>
        <v/>
      </c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14" t="n"/>
      <c r="AI73" s="114" t="n"/>
      <c r="AJ73" s="114" t="n"/>
      <c r="AK73" s="114" t="n"/>
      <c r="AL73" s="141" t="inlineStr">
        <is>
          <t>A</t>
        </is>
      </c>
      <c r="AM73" s="100" t="n"/>
      <c r="AN73" s="136">
        <f>IFERROR(INDEX(OUT!I$8:I$73,MATCH($A73,OUT!$A$8:$A$73,0))&amp;"","")</f>
        <v/>
      </c>
      <c r="AO73" s="136">
        <f>IFERROR(INDEX(OUT!J$8:J$73,MATCH($A73,OUT!$A$8:$A$73,0))&amp;"","")</f>
        <v/>
      </c>
      <c r="AP73" s="116">
        <f>IFERROR(INDEX(OUT!K$8:K$73,MATCH($A73,OUT!$A$8:$A$73,0))&amp;"","")</f>
        <v/>
      </c>
      <c r="AQ73" s="116">
        <f>IFERROR(INDEX(OUT!L$8:L$73,MATCH($A73,OUT!$A$8:$A$73,0))&amp;"","")</f>
        <v/>
      </c>
      <c r="AR73" s="100" t="n"/>
      <c r="AS73" s="100" t="n"/>
      <c r="AT73" s="117">
        <f>SUMPRODUCT(($H73:$N73="M")*6+($H73:$N73="T")*6+($H73:$N73="D")*12+($H73:$N73="N")*12+($H73:$N73="NT")*6+($H73:$N73="C")*10+($H73:$N73="A")*8+($H73:$N73="J")*5+($H73:$N73="CEP")*4+($H73:$N73="CP")*6+($H73:$N73="CRO")*6+($H73:$N73="M+")*6+($H73:$N73="T+")*6+($H73:$N73="D+")*12+($H73:$N73="N+")*12+($H73:$N73="Dm+")*12+($H73:$N73="Dt+")*12+($H73:$N73="Tm-")*6+($H73:$N73="Mt-")*6)</f>
        <v/>
      </c>
      <c r="AU73" s="118">
        <f>AT73-MAX(0,IFERROR(INDEX(CADASTRO!$I$4:$I$80,MATCH($A73,CADASTRO!$A$4:$A$80,0)),$B73)-CONFIG!$B$50*(COUNTIF($H73:$N73,"AB")+COUNTIF($H73:$N73,"FE")+COUNTIF($H73:$N73,"LM")))</f>
        <v/>
      </c>
      <c r="AV73" s="117">
        <f>SUMPRODUCT(($O73:$U73="M")*6+($O73:$U73="T")*6+($O73:$U73="D")*12+($O73:$U73="N")*12+($O73:$U73="NT")*6+($O73:$U73="C")*10+($O73:$U73="A")*8+($O73:$U73="J")*5+($O73:$U73="CEP")*4+($O73:$U73="CP")*6+($O73:$U73="CRO")*6+($O73:$U73="M+")*6+($O73:$U73="T+")*6+($O73:$U73="D+")*12+($O73:$U73="N+")*12+($O73:$U73="Dm+")*12+($O73:$U73="Dt+")*12+($O73:$U73="Tm-")*6+($O73:$U73="Mt-")*6)</f>
        <v/>
      </c>
      <c r="AW73" s="118">
        <f>AV73-MAX(0,IFERROR(INDEX(CADASTRO!$I$4:$I$80,MATCH($A73,CADASTRO!$A$4:$A$80,0)),$B73)-CONFIG!$B$50*(COUNTIF($O73:$U73,"AB")+COUNTIF($O73:$U73,"FE")+COUNTIF($O73:$U73,"LM")))</f>
        <v/>
      </c>
      <c r="AX73" s="117">
        <f>SUMPRODUCT(($V73:$AB73="M")*6+($V73:$AB73="T")*6+($V73:$AB73="D")*12+($V73:$AB73="N")*12+($V73:$AB73="NT")*6+($V73:$AB73="C")*10+($V73:$AB73="A")*8+($V73:$AB73="J")*5+($V73:$AB73="CEP")*4+($V73:$AB73="CP")*6+($V73:$AB73="CRO")*6+($V73:$AB73="M+")*6+($V73:$AB73="T+")*6+($V73:$AB73="D+")*12+($V73:$AB73="N+")*12+($V73:$AB73="Dm+")*12+($V73:$AB73="Dt+")*12+($V73:$AB73="Tm-")*6+($V73:$AB73="Mt-")*6)</f>
        <v/>
      </c>
      <c r="AY73" s="118">
        <f>AX73-MAX(0,IFERROR(INDEX(CADASTRO!$I$4:$I$80,MATCH($A73,CADASTRO!$A$4:$A$80,0)),$B73)-CONFIG!$B$50*(COUNTIF($V73:$AB73,"AB")+COUNTIF($V73:$AB73,"FE")+COUNTIF($V73:$AB73,"LM")))</f>
        <v/>
      </c>
      <c r="AZ73" s="117">
        <f>SUMPRODUCT(($AC73:$AI73="M")*6+($AC73:$AI73="T")*6+($AC73:$AI73="D")*12+($AC73:$AI73="N")*12+($AC73:$AI73="NT")*6+($AC73:$AI73="C")*10+($AC73:$AI73="A")*8+($AC73:$AI73="J")*5+($AC73:$AI73="CEP")*4+($AC73:$AI73="CP")*6+($AC73:$AI73="CRO")*6+($AC73:$AI73="M+")*6+($AC73:$AI73="T+")*6+($AC73:$AI73="D+")*12+($AC73:$AI73="N+")*12+($AC73:$AI73="Dm+")*12+($AC73:$AI73="Dt+")*12+($AC73:$AI73="Tm-")*6+($AC73:$AI73="Mt-")*6)</f>
        <v/>
      </c>
      <c r="BA73" s="118">
        <f>AZ73-MAX(0,IFERROR(INDEX(CADASTRO!$I$4:$I$80,MATCH($A73,CADASTRO!$A$4:$A$80,0)),$B73)-CONFIG!$B$50*(COUNTIF($AC73:$AI73,"AB")+COUNTIF($AC73:$AI73,"FE")+COUNTIF($AC73:$AI73,"LM")))</f>
        <v/>
      </c>
      <c r="BB73" s="117">
        <f>SUMPRODUCT(($AJ73:$AL73="M")*6+($AJ73:$AL73="T")*6+($AJ73:$AL73="D")*12+($AJ73:$AL73="N")*12+($AJ73:$AL73="NT")*6+($AJ73:$AL73="C")*10+($AJ73:$AL73="A")*8+($AJ73:$AL73="J")*5+($AJ73:$AL73="CEP")*4+($AJ73:$AL73="CP")*6+($AJ73:$AL73="CRO")*6+($AJ73:$AL73="M+")*6+($AJ73:$AL73="T+")*6+($AJ73:$AL73="D+")*12+($AJ73:$AL73="N+")*12+($AJ73:$AL73="Dm+")*12+($AJ73:$AL73="Dt+")*12+($AJ73:$AL73="Tm-")*6+($AJ73:$AL73="Mt-")*6)+SUMPRODUCT(($AN73:$AQ73="M")*6+($AN73:$AQ73="T")*6+($AN73:$AQ73="D")*12+($AN73:$AQ73="N")*12+($AN73:$AQ73="NT")*6+($AN73:$AQ73="C")*10+($AN73:$AQ73="A")*8+($AN73:$AQ73="J")*5+($AN73:$AQ73="CEP")*4+($AN73:$AQ73="CP")*6+($AN73:$AQ73="CRO")*6+($AN73:$AQ73="M+")*6+($AN73:$AQ73="T+")*6+($AN73:$AQ73="D+")*12+($AN73:$AQ73="N+")*12+($AN73:$AQ73="Dm+")*12+($AN73:$AQ73="Dt+")*12+($AN73:$AQ73="Tm-")*6+($AN73:$AQ73="Mt-")*6)</f>
        <v/>
      </c>
      <c r="BC73" s="118">
        <f>BB73-MAX(0,IFERROR(INDEX(CADASTRO!$I$4:$I$80,MATCH($A73,CADASTRO!$A$4:$A$80,0)),$B73)-CONFIG!$B$50*(COUNTIF($AJ73:$AL73,"AB")+COUNTIF($AJ73:$AL73,"FE")+COUNTIF($AJ73:$AL73,"LM")+COUNTIF($AN73:$AQ73,"AB")+COUNTIF($AN73:$AQ73,"FE")+COUNTIF($AN73:$AQ73,"LM")))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ROUND(B73*4.29,0)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39" t="n"/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39" t="n"/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133">
        <f>COUNTIF(AQ8:AQ73,"M")+COUNTIF(AQ8:AQ73,"D")+COUNTIF(AQ8:AQ73,"C")+COUNTIF(AQ8:AQ73,"J")+COUNTIF(AQ8:AQ73,"CEP")+COUNTIF(AQ8:AQ73,"M+")+COUNTIF(AQ8:AQ73,"D+")+COUNTIF(AQ8:AQ73,"Dm+")+COUNTIF(AQ8:AQ73,"Dt+")+COUNTIF(AQ8:AQ73,"Mt-")</f>
        <v/>
      </c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39" t="n"/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39" t="n"/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133">
        <f>COUNTIF(AQ8:AQ73,"T")+COUNTIF(AQ8:AQ73,"D")+COUNTIF(AQ8:AQ73,"C")+COUNTIF(AQ8:AQ73,"T+")+COUNTIF(AQ8:AQ73,"D+")+COUNTIF(AQ8:AQ73,"Dm+")+COUNTIF(AQ8:AQ73,"Dt+")+COUNTIF(AQ8:AQ73,"Tm-")</f>
        <v/>
      </c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39" t="n"/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39" t="n"/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133">
        <f>COUNTIF(AQ8:AQ73,"N")+COUNTIF(AQ8:AQ73,"NT")+COUNTIF(AQ8:AQ73,"N+")</f>
        <v/>
      </c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39" t="n"/>
      <c r="H78" s="135">
        <f>MAX(0,CONFIG!$B$9-H75)</f>
        <v/>
      </c>
      <c r="I78" s="135">
        <f>MAX(0,CONFIG!$B$9-I75)</f>
        <v/>
      </c>
      <c r="J78" s="135">
        <f>MAX(0,CONFIG!$B$9-J75)</f>
        <v/>
      </c>
      <c r="K78" s="135">
        <f>MAX(0,CONFIG!$B$9-K75)</f>
        <v/>
      </c>
      <c r="L78" s="135">
        <f>MAX(0,CONFIG!$B$9-L75)</f>
        <v/>
      </c>
      <c r="M78" s="135">
        <f>MAX(0,CONFIG!$B$10-M75)</f>
        <v/>
      </c>
      <c r="N78" s="135">
        <f>MAX(0,CONFIG!$B$11-N75)</f>
        <v/>
      </c>
      <c r="O78" s="135">
        <f>MAX(0,CONFIG!$B$9-O75)</f>
        <v/>
      </c>
      <c r="P78" s="135">
        <f>MAX(0,CONFIG!$B$9-P75)</f>
        <v/>
      </c>
      <c r="Q78" s="135">
        <f>MAX(0,CONFIG!$B$9-Q75)</f>
        <v/>
      </c>
      <c r="R78" s="135">
        <f>MAX(0,CONFIG!$B$9-R75)</f>
        <v/>
      </c>
      <c r="S78" s="135">
        <f>MAX(0,CONFIG!$B$9-S75)</f>
        <v/>
      </c>
      <c r="T78" s="135">
        <f>MAX(0,CONFIG!$B$10-T75)</f>
        <v/>
      </c>
      <c r="U78" s="135">
        <f>MAX(0,CONFIG!$B$11-U75)</f>
        <v/>
      </c>
      <c r="V78" s="135">
        <f>MAX(0,CONFIG!$B$9-V75)</f>
        <v/>
      </c>
      <c r="W78" s="135">
        <f>MAX(0,CONFIG!$B$9-W75)</f>
        <v/>
      </c>
      <c r="X78" s="135">
        <f>MAX(0,CONFIG!$B$9-X75)</f>
        <v/>
      </c>
      <c r="Y78" s="135">
        <f>MAX(0,CONFIG!$B$9-Y75)</f>
        <v/>
      </c>
      <c r="Z78" s="135">
        <f>MAX(0,CONFIG!$B$9-Z75)</f>
        <v/>
      </c>
      <c r="AA78" s="135">
        <f>MAX(0,CONFIG!$B$10-AA75)</f>
        <v/>
      </c>
      <c r="AB78" s="135">
        <f>MAX(0,CONFIG!$B$11-AB75)</f>
        <v/>
      </c>
      <c r="AC78" s="135">
        <f>MAX(0,CONFIG!$B$9-AC75)</f>
        <v/>
      </c>
      <c r="AD78" s="135">
        <f>MAX(0,CONFIG!$B$9-AD75)</f>
        <v/>
      </c>
      <c r="AE78" s="135">
        <f>MAX(0,CONFIG!$B$9-AE75)</f>
        <v/>
      </c>
      <c r="AF78" s="135">
        <f>MAX(0,CONFIG!$B$9-AF75)</f>
        <v/>
      </c>
      <c r="AG78" s="135">
        <f>MAX(0,CONFIG!$B$9-AG75)</f>
        <v/>
      </c>
      <c r="AH78" s="135">
        <f>MAX(0,CONFIG!$B$10-AH75)</f>
        <v/>
      </c>
      <c r="AI78" s="135">
        <f>MAX(0,CONFIG!$B$11-AI75)</f>
        <v/>
      </c>
      <c r="AJ78" s="135">
        <f>MAX(0,CONFIG!$B$9-AJ75)</f>
        <v/>
      </c>
      <c r="AK78" s="135">
        <f>MAX(0,CONFIG!$B$9-AK75)</f>
        <v/>
      </c>
      <c r="AL78" s="135">
        <f>MAX(0,CONFIG!$B$9-AL75)</f>
        <v/>
      </c>
      <c r="AM78" s="39" t="n"/>
      <c r="AN78" s="135">
        <f>MAX(0,CONFIG!$B$4-AN75)</f>
        <v/>
      </c>
      <c r="AO78" s="135">
        <f>MAX(0,CONFIG!$B$4-AO75)</f>
        <v/>
      </c>
      <c r="AP78" s="135">
        <f>MAX(0,CONFIG!$B$5-AP75)</f>
        <v/>
      </c>
      <c r="AQ78" s="135">
        <f>MAX(0,CONFIG!$B$6-AQ75)</f>
        <v/>
      </c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39" t="n"/>
      <c r="H79" s="135">
        <f>MAX(0,CONFIG!$C$9-H76)</f>
        <v/>
      </c>
      <c r="I79" s="135">
        <f>MAX(0,CONFIG!$C$9-I76)</f>
        <v/>
      </c>
      <c r="J79" s="135">
        <f>MAX(0,CONFIG!$C$9-J76)</f>
        <v/>
      </c>
      <c r="K79" s="135">
        <f>MAX(0,CONFIG!$C$9-K76)</f>
        <v/>
      </c>
      <c r="L79" s="135">
        <f>MAX(0,CONFIG!$C$9-L76)</f>
        <v/>
      </c>
      <c r="M79" s="135">
        <f>MAX(0,CONFIG!$C$10-M76)</f>
        <v/>
      </c>
      <c r="N79" s="135">
        <f>MAX(0,CONFIG!$C$11-N76)</f>
        <v/>
      </c>
      <c r="O79" s="135">
        <f>MAX(0,CONFIG!$C$9-O76)</f>
        <v/>
      </c>
      <c r="P79" s="135">
        <f>MAX(0,CONFIG!$C$9-P76)</f>
        <v/>
      </c>
      <c r="Q79" s="135">
        <f>MAX(0,CONFIG!$C$9-Q76)</f>
        <v/>
      </c>
      <c r="R79" s="135">
        <f>MAX(0,CONFIG!$C$9-R76)</f>
        <v/>
      </c>
      <c r="S79" s="135">
        <f>MAX(0,CONFIG!$C$9-S76)</f>
        <v/>
      </c>
      <c r="T79" s="135">
        <f>MAX(0,CONFIG!$C$10-T76)</f>
        <v/>
      </c>
      <c r="U79" s="135">
        <f>MAX(0,CONFIG!$C$11-U76)</f>
        <v/>
      </c>
      <c r="V79" s="135">
        <f>MAX(0,CONFIG!$C$9-V76)</f>
        <v/>
      </c>
      <c r="W79" s="135">
        <f>MAX(0,CONFIG!$C$9-W76)</f>
        <v/>
      </c>
      <c r="X79" s="135">
        <f>MAX(0,CONFIG!$C$9-X76)</f>
        <v/>
      </c>
      <c r="Y79" s="135">
        <f>MAX(0,CONFIG!$C$9-Y76)</f>
        <v/>
      </c>
      <c r="Z79" s="135">
        <f>MAX(0,CONFIG!$C$9-Z76)</f>
        <v/>
      </c>
      <c r="AA79" s="135">
        <f>MAX(0,CONFIG!$C$10-AA76)</f>
        <v/>
      </c>
      <c r="AB79" s="135">
        <f>MAX(0,CONFIG!$C$11-AB76)</f>
        <v/>
      </c>
      <c r="AC79" s="135">
        <f>MAX(0,CONFIG!$C$9-AC76)</f>
        <v/>
      </c>
      <c r="AD79" s="135">
        <f>MAX(0,CONFIG!$C$9-AD76)</f>
        <v/>
      </c>
      <c r="AE79" s="135">
        <f>MAX(0,CONFIG!$C$9-AE76)</f>
        <v/>
      </c>
      <c r="AF79" s="135">
        <f>MAX(0,CONFIG!$C$9-AF76)</f>
        <v/>
      </c>
      <c r="AG79" s="135">
        <f>MAX(0,CONFIG!$C$9-AG76)</f>
        <v/>
      </c>
      <c r="AH79" s="135">
        <f>MAX(0,CONFIG!$C$10-AH76)</f>
        <v/>
      </c>
      <c r="AI79" s="135">
        <f>MAX(0,CONFIG!$C$11-AI76)</f>
        <v/>
      </c>
      <c r="AJ79" s="135">
        <f>MAX(0,CONFIG!$C$9-AJ76)</f>
        <v/>
      </c>
      <c r="AK79" s="135">
        <f>MAX(0,CONFIG!$C$9-AK76)</f>
        <v/>
      </c>
      <c r="AL79" s="135">
        <f>MAX(0,CONFIG!$C$9-AL76)</f>
        <v/>
      </c>
      <c r="AM79" s="39" t="n"/>
      <c r="AN79" s="135">
        <f>MAX(0,CONFIG!$C$4-AN76)</f>
        <v/>
      </c>
      <c r="AO79" s="135">
        <f>MAX(0,CONFIG!$C$4-AO76)</f>
        <v/>
      </c>
      <c r="AP79" s="135">
        <f>MAX(0,CONFIG!$C$5-AP76)</f>
        <v/>
      </c>
      <c r="AQ79" s="135">
        <f>MAX(0,CONFIG!$C$6-AQ76)</f>
        <v/>
      </c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39" t="n"/>
      <c r="H80" s="135">
        <f>MAX(0,CONFIG!$D$9-H77)</f>
        <v/>
      </c>
      <c r="I80" s="135">
        <f>MAX(0,CONFIG!$D$9-I77)</f>
        <v/>
      </c>
      <c r="J80" s="135">
        <f>MAX(0,CONFIG!$D$9-J77)</f>
        <v/>
      </c>
      <c r="K80" s="135">
        <f>MAX(0,CONFIG!$D$9-K77)</f>
        <v/>
      </c>
      <c r="L80" s="135">
        <f>MAX(0,CONFIG!$D$9-L77)</f>
        <v/>
      </c>
      <c r="M80" s="135">
        <f>MAX(0,CONFIG!$D$10-M77)</f>
        <v/>
      </c>
      <c r="N80" s="135">
        <f>MAX(0,CONFIG!$D$11-N77)</f>
        <v/>
      </c>
      <c r="O80" s="135">
        <f>MAX(0,CONFIG!$D$9-O77)</f>
        <v/>
      </c>
      <c r="P80" s="135">
        <f>MAX(0,CONFIG!$D$9-P77)</f>
        <v/>
      </c>
      <c r="Q80" s="135">
        <f>MAX(0,CONFIG!$D$9-Q77)</f>
        <v/>
      </c>
      <c r="R80" s="135">
        <f>MAX(0,CONFIG!$D$9-R77)</f>
        <v/>
      </c>
      <c r="S80" s="135">
        <f>MAX(0,CONFIG!$D$9-S77)</f>
        <v/>
      </c>
      <c r="T80" s="135">
        <f>MAX(0,CONFIG!$D$10-T77)</f>
        <v/>
      </c>
      <c r="U80" s="135">
        <f>MAX(0,CONFIG!$D$11-U77)</f>
        <v/>
      </c>
      <c r="V80" s="135">
        <f>MAX(0,CONFIG!$D$9-V77)</f>
        <v/>
      </c>
      <c r="W80" s="135">
        <f>MAX(0,CONFIG!$D$9-W77)</f>
        <v/>
      </c>
      <c r="X80" s="135">
        <f>MAX(0,CONFIG!$D$9-X77)</f>
        <v/>
      </c>
      <c r="Y80" s="135">
        <f>MAX(0,CONFIG!$D$9-Y77)</f>
        <v/>
      </c>
      <c r="Z80" s="135">
        <f>MAX(0,CONFIG!$D$9-Z77)</f>
        <v/>
      </c>
      <c r="AA80" s="135">
        <f>MAX(0,CONFIG!$D$10-AA77)</f>
        <v/>
      </c>
      <c r="AB80" s="135">
        <f>MAX(0,CONFIG!$D$11-AB77)</f>
        <v/>
      </c>
      <c r="AC80" s="135">
        <f>MAX(0,CONFIG!$D$9-AC77)</f>
        <v/>
      </c>
      <c r="AD80" s="135">
        <f>MAX(0,CONFIG!$D$9-AD77)</f>
        <v/>
      </c>
      <c r="AE80" s="135">
        <f>MAX(0,CONFIG!$D$9-AE77)</f>
        <v/>
      </c>
      <c r="AF80" s="135">
        <f>MAX(0,CONFIG!$D$9-AF77)</f>
        <v/>
      </c>
      <c r="AG80" s="135">
        <f>MAX(0,CONFIG!$D$9-AG77)</f>
        <v/>
      </c>
      <c r="AH80" s="135">
        <f>MAX(0,CONFIG!$D$10-AH77)</f>
        <v/>
      </c>
      <c r="AI80" s="135">
        <f>MAX(0,CONFIG!$D$11-AI77)</f>
        <v/>
      </c>
      <c r="AJ80" s="135">
        <f>MAX(0,CONFIG!$D$9-AJ77)</f>
        <v/>
      </c>
      <c r="AK80" s="135">
        <f>MAX(0,CONFIG!$D$9-AK77)</f>
        <v/>
      </c>
      <c r="AL80" s="135">
        <f>MAX(0,CONFIG!$D$9-AL77)</f>
        <v/>
      </c>
      <c r="AM80" s="39" t="n"/>
      <c r="AN80" s="135">
        <f>MAX(0,CONFIG!$D$4-AN77)</f>
        <v/>
      </c>
      <c r="AO80" s="135">
        <f>MAX(0,CONFIG!$D$4-AO77)</f>
        <v/>
      </c>
      <c r="AP80" s="135">
        <f>MAX(0,CONFIG!$D$5-AP77)</f>
        <v/>
      </c>
      <c r="AQ80" s="135">
        <f>MAX(0,CONFIG!$D$6-AQ77)</f>
        <v/>
      </c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A299CB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Outubro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1" t="inlineStr">
        <is>
          <t>28/09</t>
        </is>
      </c>
      <c r="G2" s="101" t="inlineStr">
        <is>
          <t>29/09</t>
        </is>
      </c>
      <c r="H2" s="101" t="inlineStr">
        <is>
          <t>30/09</t>
        </is>
      </c>
      <c r="I2" s="103" t="n">
        <v>1</v>
      </c>
      <c r="J2" s="103" t="n">
        <v>2</v>
      </c>
      <c r="K2" s="104" t="n">
        <v>3</v>
      </c>
      <c r="L2" s="104" t="n">
        <v>4</v>
      </c>
      <c r="M2" s="103" t="n">
        <v>5</v>
      </c>
      <c r="N2" s="103" t="n">
        <v>6</v>
      </c>
      <c r="O2" s="103" t="n">
        <v>7</v>
      </c>
      <c r="P2" s="103" t="n">
        <v>8</v>
      </c>
      <c r="Q2" s="103" t="n">
        <v>9</v>
      </c>
      <c r="R2" s="104" t="n">
        <v>10</v>
      </c>
      <c r="S2" s="104" t="n">
        <v>11</v>
      </c>
      <c r="T2" s="102" t="n">
        <v>12</v>
      </c>
      <c r="U2" s="103" t="n">
        <v>13</v>
      </c>
      <c r="V2" s="103" t="n">
        <v>14</v>
      </c>
      <c r="W2" s="103" t="n">
        <v>15</v>
      </c>
      <c r="X2" s="103" t="n">
        <v>16</v>
      </c>
      <c r="Y2" s="104" t="n">
        <v>17</v>
      </c>
      <c r="Z2" s="104" t="n">
        <v>18</v>
      </c>
      <c r="AA2" s="103" t="n">
        <v>19</v>
      </c>
      <c r="AB2" s="103" t="n">
        <v>20</v>
      </c>
      <c r="AC2" s="103" t="n">
        <v>21</v>
      </c>
      <c r="AD2" s="103" t="n">
        <v>22</v>
      </c>
      <c r="AE2" s="103" t="n">
        <v>23</v>
      </c>
      <c r="AF2" s="104" t="n">
        <v>24</v>
      </c>
      <c r="AG2" s="104" t="n">
        <v>25</v>
      </c>
      <c r="AH2" s="103" t="n">
        <v>26</v>
      </c>
      <c r="AI2" s="103" t="n">
        <v>27</v>
      </c>
      <c r="AJ2" s="103" t="n">
        <v>28</v>
      </c>
      <c r="AK2" s="103" t="n">
        <v>29</v>
      </c>
      <c r="AL2" s="103" t="n">
        <v>30</v>
      </c>
      <c r="AM2" s="104" t="n">
        <v>31</v>
      </c>
      <c r="AN2" s="105" t="inlineStr">
        <is>
          <t>01/11</t>
        </is>
      </c>
      <c r="AO2" s="100" t="n"/>
      <c r="AP2" s="100" t="n"/>
      <c r="AQ2" s="100" t="n"/>
      <c r="AR2" s="100" t="n"/>
      <c r="AS2" s="100" t="n"/>
      <c r="AT2" s="106" t="inlineStr">
        <is>
          <t>28/09–04/10</t>
        </is>
      </c>
      <c r="AU2" s="39" t="n"/>
      <c r="AV2" s="106" t="inlineStr">
        <is>
          <t>05/10–11/10</t>
        </is>
      </c>
      <c r="AW2" s="39" t="n"/>
      <c r="AX2" s="106" t="inlineStr">
        <is>
          <t>12/10–18/10</t>
        </is>
      </c>
      <c r="AY2" s="39" t="n"/>
      <c r="AZ2" s="106" t="inlineStr">
        <is>
          <t>19/10–25/10</t>
        </is>
      </c>
      <c r="BA2" s="39" t="n"/>
      <c r="BB2" s="106" t="inlineStr">
        <is>
          <t>26/10–01/11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7" t="inlineStr">
        <is>
          <t>seg</t>
        </is>
      </c>
      <c r="G3" s="107" t="inlineStr">
        <is>
          <t>ter</t>
        </is>
      </c>
      <c r="H3" s="107" t="inlineStr">
        <is>
          <t>qua</t>
        </is>
      </c>
      <c r="I3" s="107" t="inlineStr">
        <is>
          <t>qui</t>
        </is>
      </c>
      <c r="J3" s="107" t="inlineStr">
        <is>
          <t>sex</t>
        </is>
      </c>
      <c r="K3" s="109" t="inlineStr">
        <is>
          <t>sáb</t>
        </is>
      </c>
      <c r="L3" s="109" t="inlineStr">
        <is>
          <t>dom</t>
        </is>
      </c>
      <c r="M3" s="107" t="inlineStr">
        <is>
          <t>seg</t>
        </is>
      </c>
      <c r="N3" s="107" t="inlineStr">
        <is>
          <t>ter</t>
        </is>
      </c>
      <c r="O3" s="107" t="inlineStr">
        <is>
          <t>qua</t>
        </is>
      </c>
      <c r="P3" s="107" t="inlineStr">
        <is>
          <t>qui</t>
        </is>
      </c>
      <c r="Q3" s="107" t="inlineStr">
        <is>
          <t>sex</t>
        </is>
      </c>
      <c r="R3" s="109" t="inlineStr">
        <is>
          <t>sáb</t>
        </is>
      </c>
      <c r="S3" s="109" t="inlineStr">
        <is>
          <t>dom</t>
        </is>
      </c>
      <c r="T3" s="108" t="inlineStr">
        <is>
          <t>N.Sra</t>
        </is>
      </c>
      <c r="U3" s="107" t="inlineStr">
        <is>
          <t>ter</t>
        </is>
      </c>
      <c r="V3" s="107" t="inlineStr">
        <is>
          <t>qua</t>
        </is>
      </c>
      <c r="W3" s="107" t="inlineStr">
        <is>
          <t>qui</t>
        </is>
      </c>
      <c r="X3" s="107" t="inlineStr">
        <is>
          <t>sex</t>
        </is>
      </c>
      <c r="Y3" s="109" t="inlineStr">
        <is>
          <t>sáb</t>
        </is>
      </c>
      <c r="Z3" s="109" t="inlineStr">
        <is>
          <t>dom</t>
        </is>
      </c>
      <c r="AA3" s="107" t="inlineStr">
        <is>
          <t>seg</t>
        </is>
      </c>
      <c r="AB3" s="107" t="inlineStr">
        <is>
          <t>ter</t>
        </is>
      </c>
      <c r="AC3" s="107" t="inlineStr">
        <is>
          <t>qua</t>
        </is>
      </c>
      <c r="AD3" s="107" t="inlineStr">
        <is>
          <t>qui</t>
        </is>
      </c>
      <c r="AE3" s="107" t="inlineStr">
        <is>
          <t>sex</t>
        </is>
      </c>
      <c r="AF3" s="109" t="inlineStr">
        <is>
          <t>sáb</t>
        </is>
      </c>
      <c r="AG3" s="109" t="inlineStr">
        <is>
          <t>dom</t>
        </is>
      </c>
      <c r="AH3" s="107" t="inlineStr">
        <is>
          <t>seg</t>
        </is>
      </c>
      <c r="AI3" s="107" t="inlineStr">
        <is>
          <t>ter</t>
        </is>
      </c>
      <c r="AJ3" s="107" t="inlineStr">
        <is>
          <t>qua</t>
        </is>
      </c>
      <c r="AK3" s="107" t="inlineStr">
        <is>
          <t>qui</t>
        </is>
      </c>
      <c r="AL3" s="107" t="inlineStr">
        <is>
          <t>sex</t>
        </is>
      </c>
      <c r="AM3" s="109" t="inlineStr">
        <is>
          <t>sáb</t>
        </is>
      </c>
      <c r="AN3" s="109" t="inlineStr">
        <is>
          <t>dom</t>
        </is>
      </c>
      <c r="AO3" s="100" t="n"/>
      <c r="AP3" s="100" t="n"/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1</v>
      </c>
      <c r="L4" s="39" t="n">
        <v>1</v>
      </c>
      <c r="M4" s="39" t="n">
        <v>0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1</v>
      </c>
      <c r="S4" s="39" t="n">
        <v>1</v>
      </c>
      <c r="T4" s="39" t="n">
        <v>0</v>
      </c>
      <c r="U4" s="39" t="n">
        <v>0</v>
      </c>
      <c r="V4" s="39" t="n">
        <v>0</v>
      </c>
      <c r="W4" s="39" t="n">
        <v>0</v>
      </c>
      <c r="X4" s="39" t="n">
        <v>0</v>
      </c>
      <c r="Y4" s="39" t="n">
        <v>1</v>
      </c>
      <c r="Z4" s="39" t="n">
        <v>1</v>
      </c>
      <c r="AA4" s="39" t="n">
        <v>0</v>
      </c>
      <c r="AB4" s="39" t="n">
        <v>0</v>
      </c>
      <c r="AC4" s="39" t="n">
        <v>0</v>
      </c>
      <c r="AD4" s="39" t="n">
        <v>0</v>
      </c>
      <c r="AE4" s="39" t="n">
        <v>0</v>
      </c>
      <c r="AF4" s="39" t="n">
        <v>1</v>
      </c>
      <c r="AG4" s="39" t="n">
        <v>1</v>
      </c>
      <c r="AH4" s="39" t="n">
        <v>0</v>
      </c>
      <c r="AI4" s="39" t="n">
        <v>0</v>
      </c>
      <c r="AJ4" s="39" t="n">
        <v>0</v>
      </c>
      <c r="AK4" s="39" t="n">
        <v>0</v>
      </c>
      <c r="AL4" s="39" t="n">
        <v>0</v>
      </c>
      <c r="AM4" s="39" t="n">
        <v>1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1</v>
      </c>
      <c r="K5" s="39" t="n">
        <v>0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1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1</v>
      </c>
      <c r="Y5" s="39" t="n">
        <v>0</v>
      </c>
      <c r="Z5" s="39" t="n">
        <v>0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1</v>
      </c>
      <c r="AF5" s="39" t="n">
        <v>0</v>
      </c>
      <c r="AG5" s="39" t="n">
        <v>0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1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1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36">
        <f>IFERROR(INDEX(SET!AJ$8:AJ$73,MATCH($A8,SET!$A$8:$A$73,0))&amp;"","")</f>
        <v/>
      </c>
      <c r="G8" s="136">
        <f>IFERROR(INDEX(SET!AK$8:AK$73,MATCH($A8,SET!$A$8:$A$73,0))&amp;"","")</f>
        <v/>
      </c>
      <c r="H8" s="136">
        <f>IFERROR(INDEX(SET!AL$8:AL$73,MATCH($A8,SET!$A$8:$A$73,0))&amp;"","")</f>
        <v/>
      </c>
      <c r="I8" s="115" t="inlineStr">
        <is>
          <t>M</t>
        </is>
      </c>
      <c r="J8" s="115" t="inlineStr">
        <is>
          <t>M</t>
        </is>
      </c>
      <c r="K8" s="114" t="n"/>
      <c r="L8" s="114" t="n"/>
      <c r="M8" s="115" t="inlineStr">
        <is>
          <t>M</t>
        </is>
      </c>
      <c r="N8" s="115" t="inlineStr">
        <is>
          <t>M</t>
        </is>
      </c>
      <c r="O8" s="115" t="inlineStr">
        <is>
          <t>M</t>
        </is>
      </c>
      <c r="P8" s="115" t="inlineStr">
        <is>
          <t>M</t>
        </is>
      </c>
      <c r="Q8" s="115" t="inlineStr">
        <is>
          <t>M</t>
        </is>
      </c>
      <c r="R8" s="114" t="n"/>
      <c r="S8" s="114" t="n"/>
      <c r="T8" s="114" t="n"/>
      <c r="U8" s="115" t="inlineStr">
        <is>
          <t>M</t>
        </is>
      </c>
      <c r="V8" s="115" t="inlineStr">
        <is>
          <t>M</t>
        </is>
      </c>
      <c r="W8" s="115" t="inlineStr">
        <is>
          <t>M</t>
        </is>
      </c>
      <c r="X8" s="115" t="inlineStr">
        <is>
          <t>M</t>
        </is>
      </c>
      <c r="Y8" s="114" t="n"/>
      <c r="Z8" s="114" t="n"/>
      <c r="AA8" s="115" t="inlineStr">
        <is>
          <t>M</t>
        </is>
      </c>
      <c r="AB8" s="115" t="inlineStr">
        <is>
          <t>M</t>
        </is>
      </c>
      <c r="AC8" s="115" t="inlineStr">
        <is>
          <t>M</t>
        </is>
      </c>
      <c r="AD8" s="115" t="inlineStr">
        <is>
          <t>M</t>
        </is>
      </c>
      <c r="AE8" s="115" t="inlineStr">
        <is>
          <t>M</t>
        </is>
      </c>
      <c r="AF8" s="114" t="n"/>
      <c r="AG8" s="114" t="n"/>
      <c r="AH8" s="115" t="inlineStr">
        <is>
          <t>M</t>
        </is>
      </c>
      <c r="AI8" s="115" t="inlineStr">
        <is>
          <t>M</t>
        </is>
      </c>
      <c r="AJ8" s="115" t="inlineStr">
        <is>
          <t>M</t>
        </is>
      </c>
      <c r="AK8" s="115" t="inlineStr">
        <is>
          <t>M</t>
        </is>
      </c>
      <c r="AL8" s="115" t="inlineStr">
        <is>
          <t>M</t>
        </is>
      </c>
      <c r="AM8" s="114" t="n"/>
      <c r="AN8" s="116">
        <f>IFERROR(INDEX(NOV!I$8:I$73,MATCH($A8,NOV!$A$8:$A$73,0))&amp;"","")</f>
        <v/>
      </c>
      <c r="AO8" s="100" t="n"/>
      <c r="AP8" s="100" t="n"/>
      <c r="AQ8" s="100" t="n"/>
      <c r="AR8" s="100" t="n"/>
      <c r="AS8" s="100" t="n"/>
      <c r="AT8" s="117">
        <f>SUMPRODUCT(($F8:$L8="M")*6+($F8:$L8="T")*6+($F8:$L8="D")*12+($F8:$L8="N")*12+($F8:$L8="NT")*6+($F8:$L8="C")*10+($F8:$L8="A")*8+($F8:$L8="J")*5+($F8:$L8="CEP")*4+($F8:$L8="CP")*6+($F8:$L8="CRO")*6+($F8:$L8="M+")*6+($F8:$L8="T+")*6+($F8:$L8="D+")*12+($F8:$L8="N+")*12+($F8:$L8="Dm+")*12+($F8:$L8="Dt+")*12+($F8:$L8="Tm-")*6+($F8:$L8="Mt-")*6)</f>
        <v/>
      </c>
      <c r="AU8" s="118">
        <f>AT8-MAX(0,IFERROR(INDEX(CADASTRO!$I$4:$I$80,MATCH($A8,CADASTRO!$A$4:$A$80,0)),$B8)-CONFIG!$B$50*(COUNTIF($F8:$L8,"AB")+COUNTIF($F8:$L8,"FE")+COUNTIF($F8:$L8,"LM")))</f>
        <v/>
      </c>
      <c r="AV8" s="117">
        <f>SUMPRODUCT(($M8:$S8="M")*6+($M8:$S8="T")*6+($M8:$S8="D")*12+($M8:$S8="N")*12+($M8:$S8="NT")*6+($M8:$S8="C")*10+($M8:$S8="A")*8+($M8:$S8="J")*5+($M8:$S8="CEP")*4+($M8:$S8="CP")*6+($M8:$S8="CRO")*6+($M8:$S8="M+")*6+($M8:$S8="T+")*6+($M8:$S8="D+")*12+($M8:$S8="N+")*12+($M8:$S8="Dm+")*12+($M8:$S8="Dt+")*12+($M8:$S8="Tm-")*6+($M8:$S8="Mt-")*6)</f>
        <v/>
      </c>
      <c r="AW8" s="118">
        <f>AV8-MAX(0,IFERROR(INDEX(CADASTRO!$I$4:$I$80,MATCH($A8,CADASTRO!$A$4:$A$80,0)),$B8)-CONFIG!$B$50*(COUNTIF($M8:$S8,"AB")+COUNTIF($M8:$S8,"FE")+COUNTIF($M8:$S8,"LM")))</f>
        <v/>
      </c>
      <c r="AX8" s="117">
        <f>SUMPRODUCT(($T8:$Z8="M")*6+($T8:$Z8="T")*6+($T8:$Z8="D")*12+($T8:$Z8="N")*12+($T8:$Z8="NT")*6+($T8:$Z8="C")*10+($T8:$Z8="A")*8+($T8:$Z8="J")*5+($T8:$Z8="CEP")*4+($T8:$Z8="CP")*6+($T8:$Z8="CRO")*6+($T8:$Z8="M+")*6+($T8:$Z8="T+")*6+($T8:$Z8="D+")*12+($T8:$Z8="N+")*12+($T8:$Z8="Dm+")*12+($T8:$Z8="Dt+")*12+($T8:$Z8="Tm-")*6+($T8:$Z8="Mt-")*6)</f>
        <v/>
      </c>
      <c r="AY8" s="118">
        <f>AX8-MAX(0,IFERROR(INDEX(CADASTRO!$I$4:$I$80,MATCH($A8,CADASTRO!$A$4:$A$80,0)),$B8)-CONFIG!$B$50*(COUNTIF($T8:$Z8,"AB")+COUNTIF($T8:$Z8,"FE")+COUNTIF($T8:$Z8,"LM")))</f>
        <v/>
      </c>
      <c r="AZ8" s="117">
        <f>SUMPRODUCT(($AA8:$AG8="M")*6+($AA8:$AG8="T")*6+($AA8:$AG8="D")*12+($AA8:$AG8="N")*12+($AA8:$AG8="NT")*6+($AA8:$AG8="C")*10+($AA8:$AG8="A")*8+($AA8:$AG8="J")*5+($AA8:$AG8="CEP")*4+($AA8:$AG8="CP")*6+($AA8:$AG8="CRO")*6+($AA8:$AG8="M+")*6+($AA8:$AG8="T+")*6+($AA8:$AG8="D+")*12+($AA8:$AG8="N+")*12+($AA8:$AG8="Dm+")*12+($AA8:$AG8="Dt+")*12+($AA8:$AG8="Tm-")*6+($AA8:$AG8="Mt-")*6)</f>
        <v/>
      </c>
      <c r="BA8" s="118">
        <f>AZ8-MAX(0,IFERROR(INDEX(CADASTRO!$I$4:$I$80,MATCH($A8,CADASTRO!$A$4:$A$80,0)),$B8)-CONFIG!$B$50*(COUNTIF($AA8:$AG8,"AB")+COUNTIF($AA8:$AG8,"FE")+COUNTIF($AA8:$AG8,"LM")))</f>
        <v/>
      </c>
      <c r="BB8" s="117">
        <f>SUMPRODUCT(($AH8:$AM8="M")*6+($AH8:$AM8="T")*6+($AH8:$AM8="D")*12+($AH8:$AM8="N")*12+($AH8:$AM8="NT")*6+($AH8:$AM8="C")*10+($AH8:$AM8="A")*8+($AH8:$AM8="J")*5+($AH8:$AM8="CEP")*4+($AH8:$AM8="CP")*6+($AH8:$AM8="CRO")*6+($AH8:$AM8="M+")*6+($AH8:$AM8="T+")*6+($AH8:$AM8="D+")*12+($AH8:$AM8="N+")*12+($AH8:$AM8="Dm+")*12+($AH8:$AM8="Dt+")*12+($AH8:$AM8="Tm-")*6+($AH8:$AM8="Mt-")*6)+SUMPRODUCT(($AN8:$AN8="M")*6+($AN8:$AN8="T")*6+($AN8:$AN8="D")*12+($AN8:$AN8="N")*12+($AN8:$AN8="NT")*6+($AN8:$AN8="C")*10+($AN8:$AN8="A")*8+($AN8:$AN8="J")*5+($AN8:$AN8="CEP")*4+($AN8:$AN8="CP")*6+($AN8:$AN8="CRO")*6+($AN8:$AN8="M+")*6+($AN8:$AN8="T+")*6+($AN8:$AN8="D+")*12+($AN8:$AN8="N+")*12+($AN8:$AN8="Dm+")*12+($AN8:$AN8="Dt+")*12+($AN8:$AN8="Tm-")*6+($AN8:$AN8="Mt-")*6)</f>
        <v/>
      </c>
      <c r="BC8" s="118">
        <f>BB8-MAX(0,IFERROR(INDEX(CADASTRO!$I$4:$I$80,MATCH($A8,CADASTRO!$A$4:$A$80,0)),$B8)-CONFIG!$B$50*(COUNTIF($AH8:$AM8,"AB")+COUNTIF($AH8:$AM8,"FE")+COUNTIF($AH8:$AM8,"LM")+COUNTIF($AN8:$AN8,"AB")+COUNTIF($AN8:$AN8,"FE")+COUNTIF($AN8:$AN8,"LM")))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36">
        <f>IFERROR(INDEX(SET!AJ$8:AJ$73,MATCH($A9,SET!$A$8:$A$73,0))&amp;"","")</f>
        <v/>
      </c>
      <c r="G9" s="136">
        <f>IFERROR(INDEX(SET!AK$8:AK$73,MATCH($A9,SET!$A$8:$A$73,0))&amp;"","")</f>
        <v/>
      </c>
      <c r="H9" s="136">
        <f>IFERROR(INDEX(SET!AL$8:AL$73,MATCH($A9,SET!$A$8:$A$73,0))&amp;"","")</f>
        <v/>
      </c>
      <c r="I9" s="115" t="inlineStr">
        <is>
          <t>M</t>
        </is>
      </c>
      <c r="J9" s="115" t="inlineStr">
        <is>
          <t>M</t>
        </is>
      </c>
      <c r="K9" s="114" t="n"/>
      <c r="L9" s="114" t="n"/>
      <c r="M9" s="115" t="inlineStr">
        <is>
          <t>M</t>
        </is>
      </c>
      <c r="N9" s="115" t="inlineStr">
        <is>
          <t>M</t>
        </is>
      </c>
      <c r="O9" s="115" t="inlineStr">
        <is>
          <t>M</t>
        </is>
      </c>
      <c r="P9" s="115" t="inlineStr">
        <is>
          <t>M</t>
        </is>
      </c>
      <c r="Q9" s="115" t="inlineStr">
        <is>
          <t>M</t>
        </is>
      </c>
      <c r="R9" s="114" t="n"/>
      <c r="S9" s="114" t="n"/>
      <c r="T9" s="114" t="n"/>
      <c r="U9" s="115" t="inlineStr">
        <is>
          <t>M</t>
        </is>
      </c>
      <c r="V9" s="115" t="inlineStr">
        <is>
          <t>M</t>
        </is>
      </c>
      <c r="W9" s="115" t="inlineStr">
        <is>
          <t>M</t>
        </is>
      </c>
      <c r="X9" s="115" t="inlineStr">
        <is>
          <t>M</t>
        </is>
      </c>
      <c r="Y9" s="114" t="n"/>
      <c r="Z9" s="114" t="n"/>
      <c r="AA9" s="115" t="inlineStr">
        <is>
          <t>M</t>
        </is>
      </c>
      <c r="AB9" s="115" t="inlineStr">
        <is>
          <t>M</t>
        </is>
      </c>
      <c r="AC9" s="115" t="inlineStr">
        <is>
          <t>M</t>
        </is>
      </c>
      <c r="AD9" s="115" t="inlineStr">
        <is>
          <t>M</t>
        </is>
      </c>
      <c r="AE9" s="115" t="inlineStr">
        <is>
          <t>M</t>
        </is>
      </c>
      <c r="AF9" s="114" t="n"/>
      <c r="AG9" s="114" t="n"/>
      <c r="AH9" s="115" t="inlineStr">
        <is>
          <t>M</t>
        </is>
      </c>
      <c r="AI9" s="115" t="inlineStr">
        <is>
          <t>M</t>
        </is>
      </c>
      <c r="AJ9" s="115" t="inlineStr">
        <is>
          <t>M</t>
        </is>
      </c>
      <c r="AK9" s="115" t="inlineStr">
        <is>
          <t>M</t>
        </is>
      </c>
      <c r="AL9" s="115" t="inlineStr">
        <is>
          <t>M</t>
        </is>
      </c>
      <c r="AM9" s="114" t="n"/>
      <c r="AN9" s="116">
        <f>IFERROR(INDEX(NOV!I$8:I$73,MATCH($A9,NOV!$A$8:$A$73,0))&amp;"","")</f>
        <v/>
      </c>
      <c r="AO9" s="100" t="n"/>
      <c r="AP9" s="100" t="n"/>
      <c r="AQ9" s="100" t="n"/>
      <c r="AR9" s="100" t="n"/>
      <c r="AS9" s="100" t="n"/>
      <c r="AT9" s="117">
        <f>SUMPRODUCT(($F9:$L9="M")*6+($F9:$L9="T")*6+($F9:$L9="D")*12+($F9:$L9="N")*12+($F9:$L9="NT")*6+($F9:$L9="C")*10+($F9:$L9="A")*8+($F9:$L9="J")*5+($F9:$L9="CEP")*4+($F9:$L9="CP")*6+($F9:$L9="CRO")*6+($F9:$L9="M+")*6+($F9:$L9="T+")*6+($F9:$L9="D+")*12+($F9:$L9="N+")*12+($F9:$L9="Dm+")*12+($F9:$L9="Dt+")*12+($F9:$L9="Tm-")*6+($F9:$L9="Mt-")*6)</f>
        <v/>
      </c>
      <c r="AU9" s="118">
        <f>AT9-MAX(0,IFERROR(INDEX(CADASTRO!$I$4:$I$80,MATCH($A9,CADASTRO!$A$4:$A$80,0)),$B9)-CONFIG!$B$50*(COUNTIF($F9:$L9,"AB")+COUNTIF($F9:$L9,"FE")+COUNTIF($F9:$L9,"LM")))</f>
        <v/>
      </c>
      <c r="AV9" s="117">
        <f>SUMPRODUCT(($M9:$S9="M")*6+($M9:$S9="T")*6+($M9:$S9="D")*12+($M9:$S9="N")*12+($M9:$S9="NT")*6+($M9:$S9="C")*10+($M9:$S9="A")*8+($M9:$S9="J")*5+($M9:$S9="CEP")*4+($M9:$S9="CP")*6+($M9:$S9="CRO")*6+($M9:$S9="M+")*6+($M9:$S9="T+")*6+($M9:$S9="D+")*12+($M9:$S9="N+")*12+($M9:$S9="Dm+")*12+($M9:$S9="Dt+")*12+($M9:$S9="Tm-")*6+($M9:$S9="Mt-")*6)</f>
        <v/>
      </c>
      <c r="AW9" s="118">
        <f>AV9-MAX(0,IFERROR(INDEX(CADASTRO!$I$4:$I$80,MATCH($A9,CADASTRO!$A$4:$A$80,0)),$B9)-CONFIG!$B$50*(COUNTIF($M9:$S9,"AB")+COUNTIF($M9:$S9,"FE")+COUNTIF($M9:$S9,"LM")))</f>
        <v/>
      </c>
      <c r="AX9" s="117">
        <f>SUMPRODUCT(($T9:$Z9="M")*6+($T9:$Z9="T")*6+($T9:$Z9="D")*12+($T9:$Z9="N")*12+($T9:$Z9="NT")*6+($T9:$Z9="C")*10+($T9:$Z9="A")*8+($T9:$Z9="J")*5+($T9:$Z9="CEP")*4+($T9:$Z9="CP")*6+($T9:$Z9="CRO")*6+($T9:$Z9="M+")*6+($T9:$Z9="T+")*6+($T9:$Z9="D+")*12+($T9:$Z9="N+")*12+($T9:$Z9="Dm+")*12+($T9:$Z9="Dt+")*12+($T9:$Z9="Tm-")*6+($T9:$Z9="Mt-")*6)</f>
        <v/>
      </c>
      <c r="AY9" s="118">
        <f>AX9-MAX(0,IFERROR(INDEX(CADASTRO!$I$4:$I$80,MATCH($A9,CADASTRO!$A$4:$A$80,0)),$B9)-CONFIG!$B$50*(COUNTIF($T9:$Z9,"AB")+COUNTIF($T9:$Z9,"FE")+COUNTIF($T9:$Z9,"LM")))</f>
        <v/>
      </c>
      <c r="AZ9" s="117">
        <f>SUMPRODUCT(($AA9:$AG9="M")*6+($AA9:$AG9="T")*6+($AA9:$AG9="D")*12+($AA9:$AG9="N")*12+($AA9:$AG9="NT")*6+($AA9:$AG9="C")*10+($AA9:$AG9="A")*8+($AA9:$AG9="J")*5+($AA9:$AG9="CEP")*4+($AA9:$AG9="CP")*6+($AA9:$AG9="CRO")*6+($AA9:$AG9="M+")*6+($AA9:$AG9="T+")*6+($AA9:$AG9="D+")*12+($AA9:$AG9="N+")*12+($AA9:$AG9="Dm+")*12+($AA9:$AG9="Dt+")*12+($AA9:$AG9="Tm-")*6+($AA9:$AG9="Mt-")*6)</f>
        <v/>
      </c>
      <c r="BA9" s="118">
        <f>AZ9-MAX(0,IFERROR(INDEX(CADASTRO!$I$4:$I$80,MATCH($A9,CADASTRO!$A$4:$A$80,0)),$B9)-CONFIG!$B$50*(COUNTIF($AA9:$AG9,"AB")+COUNTIF($AA9:$AG9,"FE")+COUNTIF($AA9:$AG9,"LM")))</f>
        <v/>
      </c>
      <c r="BB9" s="117">
        <f>SUMPRODUCT(($AH9:$AM9="M")*6+($AH9:$AM9="T")*6+($AH9:$AM9="D")*12+($AH9:$AM9="N")*12+($AH9:$AM9="NT")*6+($AH9:$AM9="C")*10+($AH9:$AM9="A")*8+($AH9:$AM9="J")*5+($AH9:$AM9="CEP")*4+($AH9:$AM9="CP")*6+($AH9:$AM9="CRO")*6+($AH9:$AM9="M+")*6+($AH9:$AM9="T+")*6+($AH9:$AM9="D+")*12+($AH9:$AM9="N+")*12+($AH9:$AM9="Dm+")*12+($AH9:$AM9="Dt+")*12+($AH9:$AM9="Tm-")*6+($AH9:$AM9="Mt-")*6)+SUMPRODUCT(($AN9:$AN9="M")*6+($AN9:$AN9="T")*6+($AN9:$AN9="D")*12+($AN9:$AN9="N")*12+($AN9:$AN9="NT")*6+($AN9:$AN9="C")*10+($AN9:$AN9="A")*8+($AN9:$AN9="J")*5+($AN9:$AN9="CEP")*4+($AN9:$AN9="CP")*6+($AN9:$AN9="CRO")*6+($AN9:$AN9="M+")*6+($AN9:$AN9="T+")*6+($AN9:$AN9="D+")*12+($AN9:$AN9="N+")*12+($AN9:$AN9="Dm+")*12+($AN9:$AN9="Dt+")*12+($AN9:$AN9="Tm-")*6+($AN9:$AN9="Mt-")*6)</f>
        <v/>
      </c>
      <c r="BC9" s="118">
        <f>BB9-MAX(0,IFERROR(INDEX(CADASTRO!$I$4:$I$80,MATCH($A9,CADASTRO!$A$4:$A$80,0)),$B9)-CONFIG!$B$50*(COUNTIF($AH9:$AM9,"AB")+COUNTIF($AH9:$AM9,"FE")+COUNTIF($AH9:$AM9,"LM")+COUNTIF($AN9:$AN9,"AB")+COUNTIF($AN9:$AN9,"FE")+COUNTIF($AN9:$AN9,"LM")))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36">
        <f>IFERROR(INDEX(SET!AJ$8:AJ$73,MATCH($A10,SET!$A$8:$A$73,0))&amp;"","")</f>
        <v/>
      </c>
      <c r="G10" s="136">
        <f>IFERROR(INDEX(SET!AK$8:AK$73,MATCH($A10,SET!$A$8:$A$73,0))&amp;"","")</f>
        <v/>
      </c>
      <c r="H10" s="136">
        <f>IFERROR(INDEX(SET!AL$8:AL$73,MATCH($A10,SET!$A$8:$A$73,0))&amp;"","")</f>
        <v/>
      </c>
      <c r="I10" s="115" t="inlineStr">
        <is>
          <t>M</t>
        </is>
      </c>
      <c r="J10" s="115" t="inlineStr">
        <is>
          <t>M</t>
        </is>
      </c>
      <c r="K10" s="114" t="n"/>
      <c r="L10" s="114" t="n"/>
      <c r="M10" s="115" t="inlineStr">
        <is>
          <t>M</t>
        </is>
      </c>
      <c r="N10" s="115" t="inlineStr">
        <is>
          <t>M</t>
        </is>
      </c>
      <c r="O10" s="115" t="inlineStr">
        <is>
          <t>M</t>
        </is>
      </c>
      <c r="P10" s="115" t="inlineStr">
        <is>
          <t>M</t>
        </is>
      </c>
      <c r="Q10" s="115" t="inlineStr">
        <is>
          <t>M</t>
        </is>
      </c>
      <c r="R10" s="114" t="n"/>
      <c r="S10" s="114" t="n"/>
      <c r="T10" s="115" t="inlineStr">
        <is>
          <t>M</t>
        </is>
      </c>
      <c r="U10" s="115" t="inlineStr">
        <is>
          <t>M</t>
        </is>
      </c>
      <c r="V10" s="115" t="inlineStr">
        <is>
          <t>M</t>
        </is>
      </c>
      <c r="W10" s="115" t="inlineStr">
        <is>
          <t>M</t>
        </is>
      </c>
      <c r="X10" s="115" t="inlineStr">
        <is>
          <t>M</t>
        </is>
      </c>
      <c r="Y10" s="114" t="n"/>
      <c r="Z10" s="114" t="n"/>
      <c r="AA10" s="115" t="inlineStr">
        <is>
          <t>M</t>
        </is>
      </c>
      <c r="AB10" s="115" t="inlineStr">
        <is>
          <t>M</t>
        </is>
      </c>
      <c r="AC10" s="115" t="inlineStr">
        <is>
          <t>M</t>
        </is>
      </c>
      <c r="AD10" s="115" t="inlineStr">
        <is>
          <t>M</t>
        </is>
      </c>
      <c r="AE10" s="115" t="inlineStr">
        <is>
          <t>M</t>
        </is>
      </c>
      <c r="AF10" s="114" t="n"/>
      <c r="AG10" s="114" t="n"/>
      <c r="AH10" s="115" t="inlineStr">
        <is>
          <t>M</t>
        </is>
      </c>
      <c r="AI10" s="115" t="inlineStr">
        <is>
          <t>M</t>
        </is>
      </c>
      <c r="AJ10" s="115" t="inlineStr">
        <is>
          <t>M</t>
        </is>
      </c>
      <c r="AK10" s="115" t="inlineStr">
        <is>
          <t>M</t>
        </is>
      </c>
      <c r="AL10" s="115" t="inlineStr">
        <is>
          <t>M</t>
        </is>
      </c>
      <c r="AM10" s="114" t="n"/>
      <c r="AN10" s="116">
        <f>IFERROR(INDEX(NOV!I$8:I$73,MATCH($A10,NOV!$A$8:$A$73,0))&amp;"","")</f>
        <v/>
      </c>
      <c r="AO10" s="100" t="n"/>
      <c r="AP10" s="100" t="n"/>
      <c r="AQ10" s="100" t="n"/>
      <c r="AR10" s="100" t="n"/>
      <c r="AS10" s="100" t="n"/>
      <c r="AT10" s="117">
        <f>SUMPRODUCT(($F10:$L10="M")*6+($F10:$L10="T")*6+($F10:$L10="D")*12+($F10:$L10="N")*12+($F10:$L10="NT")*6+($F10:$L10="C")*10+($F10:$L10="A")*8+($F10:$L10="J")*5+($F10:$L10="CEP")*4+($F10:$L10="CP")*6+($F10:$L10="CRO")*6+($F10:$L10="M+")*6+($F10:$L10="T+")*6+($F10:$L10="D+")*12+($F10:$L10="N+")*12+($F10:$L10="Dm+")*12+($F10:$L10="Dt+")*12+($F10:$L10="Tm-")*6+($F10:$L10="Mt-")*6)</f>
        <v/>
      </c>
      <c r="AU10" s="118">
        <f>AT10-MAX(0,IFERROR(INDEX(CADASTRO!$I$4:$I$80,MATCH($A10,CADASTRO!$A$4:$A$80,0)),$B10)-CONFIG!$B$50*(COUNTIF($F10:$L10,"AB")+COUNTIF($F10:$L10,"FE")+COUNTIF($F10:$L10,"LM")))</f>
        <v/>
      </c>
      <c r="AV10" s="117">
        <f>SUMPRODUCT(($M10:$S10="M")*6+($M10:$S10="T")*6+($M10:$S10="D")*12+($M10:$S10="N")*12+($M10:$S10="NT")*6+($M10:$S10="C")*10+($M10:$S10="A")*8+($M10:$S10="J")*5+($M10:$S10="CEP")*4+($M10:$S10="CP")*6+($M10:$S10="CRO")*6+($M10:$S10="M+")*6+($M10:$S10="T+")*6+($M10:$S10="D+")*12+($M10:$S10="N+")*12+($M10:$S10="Dm+")*12+($M10:$S10="Dt+")*12+($M10:$S10="Tm-")*6+($M10:$S10="Mt-")*6)</f>
        <v/>
      </c>
      <c r="AW10" s="118">
        <f>AV10-MAX(0,IFERROR(INDEX(CADASTRO!$I$4:$I$80,MATCH($A10,CADASTRO!$A$4:$A$80,0)),$B10)-CONFIG!$B$50*(COUNTIF($M10:$S10,"AB")+COUNTIF($M10:$S10,"FE")+COUNTIF($M10:$S10,"LM")))</f>
        <v/>
      </c>
      <c r="AX10" s="117">
        <f>SUMPRODUCT(($T10:$Z10="M")*6+($T10:$Z10="T")*6+($T10:$Z10="D")*12+($T10:$Z10="N")*12+($T10:$Z10="NT")*6+($T10:$Z10="C")*10+($T10:$Z10="A")*8+($T10:$Z10="J")*5+($T10:$Z10="CEP")*4+($T10:$Z10="CP")*6+($T10:$Z10="CRO")*6+($T10:$Z10="M+")*6+($T10:$Z10="T+")*6+($T10:$Z10="D+")*12+($T10:$Z10="N+")*12+($T10:$Z10="Dm+")*12+($T10:$Z10="Dt+")*12+($T10:$Z10="Tm-")*6+($T10:$Z10="Mt-")*6)</f>
        <v/>
      </c>
      <c r="AY10" s="118">
        <f>AX10-MAX(0,IFERROR(INDEX(CADASTRO!$I$4:$I$80,MATCH($A10,CADASTRO!$A$4:$A$80,0)),$B10)-CONFIG!$B$50*(COUNTIF($T10:$Z10,"AB")+COUNTIF($T10:$Z10,"FE")+COUNTIF($T10:$Z10,"LM")))</f>
        <v/>
      </c>
      <c r="AZ10" s="117">
        <f>SUMPRODUCT(($AA10:$AG10="M")*6+($AA10:$AG10="T")*6+($AA10:$AG10="D")*12+($AA10:$AG10="N")*12+($AA10:$AG10="NT")*6+($AA10:$AG10="C")*10+($AA10:$AG10="A")*8+($AA10:$AG10="J")*5+($AA10:$AG10="CEP")*4+($AA10:$AG10="CP")*6+($AA10:$AG10="CRO")*6+($AA10:$AG10="M+")*6+($AA10:$AG10="T+")*6+($AA10:$AG10="D+")*12+($AA10:$AG10="N+")*12+($AA10:$AG10="Dm+")*12+($AA10:$AG10="Dt+")*12+($AA10:$AG10="Tm-")*6+($AA10:$AG10="Mt-")*6)</f>
        <v/>
      </c>
      <c r="BA10" s="118">
        <f>AZ10-MAX(0,IFERROR(INDEX(CADASTRO!$I$4:$I$80,MATCH($A10,CADASTRO!$A$4:$A$80,0)),$B10)-CONFIG!$B$50*(COUNTIF($AA10:$AG10,"AB")+COUNTIF($AA10:$AG10,"FE")+COUNTIF($AA10:$AG10,"LM")))</f>
        <v/>
      </c>
      <c r="BB10" s="117">
        <f>SUMPRODUCT(($AH10:$AM10="M")*6+($AH10:$AM10="T")*6+($AH10:$AM10="D")*12+($AH10:$AM10="N")*12+($AH10:$AM10="NT")*6+($AH10:$AM10="C")*10+($AH10:$AM10="A")*8+($AH10:$AM10="J")*5+($AH10:$AM10="CEP")*4+($AH10:$AM10="CP")*6+($AH10:$AM10="CRO")*6+($AH10:$AM10="M+")*6+($AH10:$AM10="T+")*6+($AH10:$AM10="D+")*12+($AH10:$AM10="N+")*12+($AH10:$AM10="Dm+")*12+($AH10:$AM10="Dt+")*12+($AH10:$AM10="Tm-")*6+($AH10:$AM10="Mt-")*6)+SUMPRODUCT(($AN10:$AN10="M")*6+($AN10:$AN10="T")*6+($AN10:$AN10="D")*12+($AN10:$AN10="N")*12+($AN10:$AN10="NT")*6+($AN10:$AN10="C")*10+($AN10:$AN10="A")*8+($AN10:$AN10="J")*5+($AN10:$AN10="CEP")*4+($AN10:$AN10="CP")*6+($AN10:$AN10="CRO")*6+($AN10:$AN10="M+")*6+($AN10:$AN10="T+")*6+($AN10:$AN10="D+")*12+($AN10:$AN10="N+")*12+($AN10:$AN10="Dm+")*12+($AN10:$AN10="Dt+")*12+($AN10:$AN10="Tm-")*6+($AN10:$AN10="Mt-")*6)</f>
        <v/>
      </c>
      <c r="BC10" s="118">
        <f>BB10-MAX(0,IFERROR(INDEX(CADASTRO!$I$4:$I$80,MATCH($A10,CADASTRO!$A$4:$A$80,0)),$B10)-CONFIG!$B$50*(COUNTIF($AH10:$AM10,"AB")+COUNTIF($AH10:$AM10,"FE")+COUNTIF($AH10:$AM10,"LM")+COUNTIF($AN10:$AN10,"AB")+COUNTIF($AN10:$AN10,"FE")+COUNTIF($AN10:$AN10,"LM")))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36">
        <f>IFERROR(INDEX(SET!AJ$8:AJ$73,MATCH($A11,SET!$A$8:$A$73,0))&amp;"","")</f>
        <v/>
      </c>
      <c r="G11" s="136">
        <f>IFERROR(INDEX(SET!AK$8:AK$73,MATCH($A11,SET!$A$8:$A$73,0))&amp;"","")</f>
        <v/>
      </c>
      <c r="H11" s="136">
        <f>IFERROR(INDEX(SET!AL$8:AL$73,MATCH($A11,SET!$A$8:$A$73,0))&amp;"","")</f>
        <v/>
      </c>
      <c r="I11" s="124" t="inlineStr">
        <is>
          <t>D</t>
        </is>
      </c>
      <c r="J11" s="115" t="inlineStr">
        <is>
          <t>M</t>
        </is>
      </c>
      <c r="K11" s="114" t="n"/>
      <c r="L11" s="125" t="inlineStr">
        <is>
          <t>N</t>
        </is>
      </c>
      <c r="M11" s="115" t="inlineStr">
        <is>
          <t>M</t>
        </is>
      </c>
      <c r="N11" s="115" t="inlineStr">
        <is>
          <t>M</t>
        </is>
      </c>
      <c r="O11" s="115" t="inlineStr">
        <is>
          <t>M</t>
        </is>
      </c>
      <c r="P11" s="124" t="inlineStr">
        <is>
          <t>D</t>
        </is>
      </c>
      <c r="Q11" s="124" t="inlineStr">
        <is>
          <t>D</t>
        </is>
      </c>
      <c r="R11" s="114" t="n"/>
      <c r="S11" s="114" t="n"/>
      <c r="T11" s="114" t="n"/>
      <c r="U11" s="115" t="inlineStr">
        <is>
          <t>M</t>
        </is>
      </c>
      <c r="V11" s="115" t="inlineStr">
        <is>
          <t>M</t>
        </is>
      </c>
      <c r="W11" s="124" t="inlineStr">
        <is>
          <t>D</t>
        </is>
      </c>
      <c r="X11" s="115" t="inlineStr">
        <is>
          <t>M</t>
        </is>
      </c>
      <c r="Y11" s="114" t="n"/>
      <c r="Z11" s="125" t="inlineStr">
        <is>
          <t>N</t>
        </is>
      </c>
      <c r="AA11" s="115" t="inlineStr">
        <is>
          <t>M</t>
        </is>
      </c>
      <c r="AB11" s="115" t="inlineStr">
        <is>
          <t>M</t>
        </is>
      </c>
      <c r="AC11" s="115" t="inlineStr">
        <is>
          <t>M</t>
        </is>
      </c>
      <c r="AD11" s="124" t="inlineStr">
        <is>
          <t>D</t>
        </is>
      </c>
      <c r="AE11" s="115" t="inlineStr">
        <is>
          <t>M</t>
        </is>
      </c>
      <c r="AF11" s="115" t="inlineStr">
        <is>
          <t>M</t>
        </is>
      </c>
      <c r="AG11" s="114" t="n"/>
      <c r="AH11" s="115" t="inlineStr">
        <is>
          <t>M</t>
        </is>
      </c>
      <c r="AI11" s="115" t="inlineStr">
        <is>
          <t>M</t>
        </is>
      </c>
      <c r="AJ11" s="115" t="inlineStr">
        <is>
          <t>M</t>
        </is>
      </c>
      <c r="AK11" s="124" t="inlineStr">
        <is>
          <t>D</t>
        </is>
      </c>
      <c r="AL11" s="115" t="inlineStr">
        <is>
          <t>M</t>
        </is>
      </c>
      <c r="AM11" s="114" t="n"/>
      <c r="AN11" s="116">
        <f>IFERROR(INDEX(NOV!I$8:I$73,MATCH($A11,NOV!$A$8:$A$73,0))&amp;"","")</f>
        <v/>
      </c>
      <c r="AO11" s="100" t="n"/>
      <c r="AP11" s="100" t="n"/>
      <c r="AQ11" s="100" t="n"/>
      <c r="AR11" s="100" t="n"/>
      <c r="AS11" s="100" t="n"/>
      <c r="AT11" s="117">
        <f>SUMPRODUCT(($F11:$L11="M")*6+($F11:$L11="T")*6+($F11:$L11="D")*12+($F11:$L11="N")*12+($F11:$L11="NT")*6+($F11:$L11="C")*10+($F11:$L11="A")*8+($F11:$L11="J")*5+($F11:$L11="CEP")*4+($F11:$L11="CP")*6+($F11:$L11="CRO")*6+($F11:$L11="M+")*6+($F11:$L11="T+")*6+($F11:$L11="D+")*12+($F11:$L11="N+")*12+($F11:$L11="Dm+")*12+($F11:$L11="Dt+")*12+($F11:$L11="Tm-")*6+($F11:$L11="Mt-")*6)</f>
        <v/>
      </c>
      <c r="AU11" s="118">
        <f>AT11-MAX(0,IFERROR(INDEX(CADASTRO!$I$4:$I$80,MATCH($A11,CADASTRO!$A$4:$A$80,0)),$B11)-CONFIG!$B$50*(COUNTIF($F11:$L11,"AB")+COUNTIF($F11:$L11,"FE")+COUNTIF($F11:$L11,"LM")))</f>
        <v/>
      </c>
      <c r="AV11" s="117">
        <f>SUMPRODUCT(($M11:$S11="M")*6+($M11:$S11="T")*6+($M11:$S11="D")*12+($M11:$S11="N")*12+($M11:$S11="NT")*6+($M11:$S11="C")*10+($M11:$S11="A")*8+($M11:$S11="J")*5+($M11:$S11="CEP")*4+($M11:$S11="CP")*6+($M11:$S11="CRO")*6+($M11:$S11="M+")*6+($M11:$S11="T+")*6+($M11:$S11="D+")*12+($M11:$S11="N+")*12+($M11:$S11="Dm+")*12+($M11:$S11="Dt+")*12+($M11:$S11="Tm-")*6+($M11:$S11="Mt-")*6)</f>
        <v/>
      </c>
      <c r="AW11" s="118">
        <f>AV11-MAX(0,IFERROR(INDEX(CADASTRO!$I$4:$I$80,MATCH($A11,CADASTRO!$A$4:$A$80,0)),$B11)-CONFIG!$B$50*(COUNTIF($M11:$S11,"AB")+COUNTIF($M11:$S11,"FE")+COUNTIF($M11:$S11,"LM")))</f>
        <v/>
      </c>
      <c r="AX11" s="117">
        <f>SUMPRODUCT(($T11:$Z11="M")*6+($T11:$Z11="T")*6+($T11:$Z11="D")*12+($T11:$Z11="N")*12+($T11:$Z11="NT")*6+($T11:$Z11="C")*10+($T11:$Z11="A")*8+($T11:$Z11="J")*5+($T11:$Z11="CEP")*4+($T11:$Z11="CP")*6+($T11:$Z11="CRO")*6+($T11:$Z11="M+")*6+($T11:$Z11="T+")*6+($T11:$Z11="D+")*12+($T11:$Z11="N+")*12+($T11:$Z11="Dm+")*12+($T11:$Z11="Dt+")*12+($T11:$Z11="Tm-")*6+($T11:$Z11="Mt-")*6)</f>
        <v/>
      </c>
      <c r="AY11" s="118">
        <f>AX11-MAX(0,IFERROR(INDEX(CADASTRO!$I$4:$I$80,MATCH($A11,CADASTRO!$A$4:$A$80,0)),$B11)-CONFIG!$B$50*(COUNTIF($T11:$Z11,"AB")+COUNTIF($T11:$Z11,"FE")+COUNTIF($T11:$Z11,"LM")))</f>
        <v/>
      </c>
      <c r="AZ11" s="117">
        <f>SUMPRODUCT(($AA11:$AG11="M")*6+($AA11:$AG11="T")*6+($AA11:$AG11="D")*12+($AA11:$AG11="N")*12+($AA11:$AG11="NT")*6+($AA11:$AG11="C")*10+($AA11:$AG11="A")*8+($AA11:$AG11="J")*5+($AA11:$AG11="CEP")*4+($AA11:$AG11="CP")*6+($AA11:$AG11="CRO")*6+($AA11:$AG11="M+")*6+($AA11:$AG11="T+")*6+($AA11:$AG11="D+")*12+($AA11:$AG11="N+")*12+($AA11:$AG11="Dm+")*12+($AA11:$AG11="Dt+")*12+($AA11:$AG11="Tm-")*6+($AA11:$AG11="Mt-")*6)</f>
        <v/>
      </c>
      <c r="BA11" s="118">
        <f>AZ11-MAX(0,IFERROR(INDEX(CADASTRO!$I$4:$I$80,MATCH($A11,CADASTRO!$A$4:$A$80,0)),$B11)-CONFIG!$B$50*(COUNTIF($AA11:$AG11,"AB")+COUNTIF($AA11:$AG11,"FE")+COUNTIF($AA11:$AG11,"LM")))</f>
        <v/>
      </c>
      <c r="BB11" s="117">
        <f>SUMPRODUCT(($AH11:$AM11="M")*6+($AH11:$AM11="T")*6+($AH11:$AM11="D")*12+($AH11:$AM11="N")*12+($AH11:$AM11="NT")*6+($AH11:$AM11="C")*10+($AH11:$AM11="A")*8+($AH11:$AM11="J")*5+($AH11:$AM11="CEP")*4+($AH11:$AM11="CP")*6+($AH11:$AM11="CRO")*6+($AH11:$AM11="M+")*6+($AH11:$AM11="T+")*6+($AH11:$AM11="D+")*12+($AH11:$AM11="N+")*12+($AH11:$AM11="Dm+")*12+($AH11:$AM11="Dt+")*12+($AH11:$AM11="Tm-")*6+($AH11:$AM11="Mt-")*6)+SUMPRODUCT(($AN11:$AN11="M")*6+($AN11:$AN11="T")*6+($AN11:$AN11="D")*12+($AN11:$AN11="N")*12+($AN11:$AN11="NT")*6+($AN11:$AN11="C")*10+($AN11:$AN11="A")*8+($AN11:$AN11="J")*5+($AN11:$AN11="CEP")*4+($AN11:$AN11="CP")*6+($AN11:$AN11="CRO")*6+($AN11:$AN11="M+")*6+($AN11:$AN11="T+")*6+($AN11:$AN11="D+")*12+($AN11:$AN11="N+")*12+($AN11:$AN11="Dm+")*12+($AN11:$AN11="Dt+")*12+($AN11:$AN11="Tm-")*6+($AN11:$AN11="Mt-")*6)</f>
        <v/>
      </c>
      <c r="BC11" s="118">
        <f>BB11-MAX(0,IFERROR(INDEX(CADASTRO!$I$4:$I$80,MATCH($A11,CADASTRO!$A$4:$A$80,0)),$B11)-CONFIG!$B$50*(COUNTIF($AH11:$AM11,"AB")+COUNTIF($AH11:$AM11,"FE")+COUNTIF($AH11:$AM11,"LM")+COUNTIF($AN11:$AN11,"AB")+COUNTIF($AN11:$AN11,"FE")+COUNTIF($AN11:$AN11,"LM")))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36">
        <f>IFERROR(INDEX(SET!AJ$8:AJ$73,MATCH($A12,SET!$A$8:$A$73,0))&amp;"","")</f>
        <v/>
      </c>
      <c r="G12" s="136">
        <f>IFERROR(INDEX(SET!AK$8:AK$73,MATCH($A12,SET!$A$8:$A$73,0))&amp;"","")</f>
        <v/>
      </c>
      <c r="H12" s="136">
        <f>IFERROR(INDEX(SET!AL$8:AL$73,MATCH($A12,SET!$A$8:$A$73,0))&amp;"","")</f>
        <v/>
      </c>
      <c r="I12" s="126" t="inlineStr">
        <is>
          <t>T</t>
        </is>
      </c>
      <c r="J12" s="126" t="inlineStr">
        <is>
          <t>T</t>
        </is>
      </c>
      <c r="K12" s="114" t="n"/>
      <c r="L12" s="126" t="inlineStr">
        <is>
          <t>T</t>
        </is>
      </c>
      <c r="M12" s="126" t="inlineStr">
        <is>
          <t>T</t>
        </is>
      </c>
      <c r="N12" s="124" t="inlineStr">
        <is>
          <t>D</t>
        </is>
      </c>
      <c r="O12" s="114" t="n"/>
      <c r="P12" s="126" t="inlineStr">
        <is>
          <t>T</t>
        </is>
      </c>
      <c r="Q12" s="126" t="inlineStr">
        <is>
          <t>T</t>
        </is>
      </c>
      <c r="R12" s="114" t="n"/>
      <c r="S12" s="124" t="inlineStr">
        <is>
          <t>D</t>
        </is>
      </c>
      <c r="T12" s="126" t="inlineStr">
        <is>
          <t>T</t>
        </is>
      </c>
      <c r="U12" s="124" t="inlineStr">
        <is>
          <t>D</t>
        </is>
      </c>
      <c r="V12" s="114" t="n"/>
      <c r="W12" s="124" t="inlineStr">
        <is>
          <t>D</t>
        </is>
      </c>
      <c r="X12" s="114" t="n"/>
      <c r="Y12" s="126" t="inlineStr">
        <is>
          <t>T</t>
        </is>
      </c>
      <c r="Z12" s="115" t="inlineStr">
        <is>
          <t>M</t>
        </is>
      </c>
      <c r="AA12" s="126" t="inlineStr">
        <is>
          <t>T</t>
        </is>
      </c>
      <c r="AB12" s="126" t="inlineStr">
        <is>
          <t>T</t>
        </is>
      </c>
      <c r="AC12" s="114" t="n"/>
      <c r="AD12" s="124" t="inlineStr">
        <is>
          <t>D</t>
        </is>
      </c>
      <c r="AE12" s="126" t="inlineStr">
        <is>
          <t>T</t>
        </is>
      </c>
      <c r="AF12" s="114" t="n"/>
      <c r="AG12" s="124" t="inlineStr">
        <is>
          <t>D</t>
        </is>
      </c>
      <c r="AH12" s="126" t="inlineStr">
        <is>
          <t>T</t>
        </is>
      </c>
      <c r="AI12" s="124" t="inlineStr">
        <is>
          <t>D</t>
        </is>
      </c>
      <c r="AJ12" s="114" t="n"/>
      <c r="AK12" s="124" t="inlineStr">
        <is>
          <t>D</t>
        </is>
      </c>
      <c r="AL12" s="126" t="inlineStr">
        <is>
          <t>T</t>
        </is>
      </c>
      <c r="AM12" s="114" t="n"/>
      <c r="AN12" s="116">
        <f>IFERROR(INDEX(NOV!I$8:I$73,MATCH($A12,NOV!$A$8:$A$73,0))&amp;"","")</f>
        <v/>
      </c>
      <c r="AO12" s="100" t="n"/>
      <c r="AP12" s="100" t="n"/>
      <c r="AQ12" s="100" t="n"/>
      <c r="AR12" s="100" t="n"/>
      <c r="AS12" s="100" t="n"/>
      <c r="AT12" s="117">
        <f>SUMPRODUCT(($F12:$L12="M")*6+($F12:$L12="T")*6+($F12:$L12="D")*12+($F12:$L12="N")*12+($F12:$L12="NT")*6+($F12:$L12="C")*10+($F12:$L12="A")*8+($F12:$L12="J")*5+($F12:$L12="CEP")*4+($F12:$L12="CP")*6+($F12:$L12="CRO")*6+($F12:$L12="M+")*6+($F12:$L12="T+")*6+($F12:$L12="D+")*12+($F12:$L12="N+")*12+($F12:$L12="Dm+")*12+($F12:$L12="Dt+")*12+($F12:$L12="Tm-")*6+($F12:$L12="Mt-")*6)</f>
        <v/>
      </c>
      <c r="AU12" s="118">
        <f>AT12-MAX(0,IFERROR(INDEX(CADASTRO!$I$4:$I$80,MATCH($A12,CADASTRO!$A$4:$A$80,0)),$B12)-CONFIG!$B$50*(COUNTIF($F12:$L12,"AB")+COUNTIF($F12:$L12,"FE")+COUNTIF($F12:$L12,"LM")))</f>
        <v/>
      </c>
      <c r="AV12" s="117">
        <f>SUMPRODUCT(($M12:$S12="M")*6+($M12:$S12="T")*6+($M12:$S12="D")*12+($M12:$S12="N")*12+($M12:$S12="NT")*6+($M12:$S12="C")*10+($M12:$S12="A")*8+($M12:$S12="J")*5+($M12:$S12="CEP")*4+($M12:$S12="CP")*6+($M12:$S12="CRO")*6+($M12:$S12="M+")*6+($M12:$S12="T+")*6+($M12:$S12="D+")*12+($M12:$S12="N+")*12+($M12:$S12="Dm+")*12+($M12:$S12="Dt+")*12+($M12:$S12="Tm-")*6+($M12:$S12="Mt-")*6)</f>
        <v/>
      </c>
      <c r="AW12" s="118">
        <f>AV12-MAX(0,IFERROR(INDEX(CADASTRO!$I$4:$I$80,MATCH($A12,CADASTRO!$A$4:$A$80,0)),$B12)-CONFIG!$B$50*(COUNTIF($M12:$S12,"AB")+COUNTIF($M12:$S12,"FE")+COUNTIF($M12:$S12,"LM")))</f>
        <v/>
      </c>
      <c r="AX12" s="117">
        <f>SUMPRODUCT(($T12:$Z12="M")*6+($T12:$Z12="T")*6+($T12:$Z12="D")*12+($T12:$Z12="N")*12+($T12:$Z12="NT")*6+($T12:$Z12="C")*10+($T12:$Z12="A")*8+($T12:$Z12="J")*5+($T12:$Z12="CEP")*4+($T12:$Z12="CP")*6+($T12:$Z12="CRO")*6+($T12:$Z12="M+")*6+($T12:$Z12="T+")*6+($T12:$Z12="D+")*12+($T12:$Z12="N+")*12+($T12:$Z12="Dm+")*12+($T12:$Z12="Dt+")*12+($T12:$Z12="Tm-")*6+($T12:$Z12="Mt-")*6)</f>
        <v/>
      </c>
      <c r="AY12" s="118">
        <f>AX12-MAX(0,IFERROR(INDEX(CADASTRO!$I$4:$I$80,MATCH($A12,CADASTRO!$A$4:$A$80,0)),$B12)-CONFIG!$B$50*(COUNTIF($T12:$Z12,"AB")+COUNTIF($T12:$Z12,"FE")+COUNTIF($T12:$Z12,"LM")))</f>
        <v/>
      </c>
      <c r="AZ12" s="117">
        <f>SUMPRODUCT(($AA12:$AG12="M")*6+($AA12:$AG12="T")*6+($AA12:$AG12="D")*12+($AA12:$AG12="N")*12+($AA12:$AG12="NT")*6+($AA12:$AG12="C")*10+($AA12:$AG12="A")*8+($AA12:$AG12="J")*5+($AA12:$AG12="CEP")*4+($AA12:$AG12="CP")*6+($AA12:$AG12="CRO")*6+($AA12:$AG12="M+")*6+($AA12:$AG12="T+")*6+($AA12:$AG12="D+")*12+($AA12:$AG12="N+")*12+($AA12:$AG12="Dm+")*12+($AA12:$AG12="Dt+")*12+($AA12:$AG12="Tm-")*6+($AA12:$AG12="Mt-")*6)</f>
        <v/>
      </c>
      <c r="BA12" s="118">
        <f>AZ12-MAX(0,IFERROR(INDEX(CADASTRO!$I$4:$I$80,MATCH($A12,CADASTRO!$A$4:$A$80,0)),$B12)-CONFIG!$B$50*(COUNTIF($AA12:$AG12,"AB")+COUNTIF($AA12:$AG12,"FE")+COUNTIF($AA12:$AG12,"LM")))</f>
        <v/>
      </c>
      <c r="BB12" s="117">
        <f>SUMPRODUCT(($AH12:$AM12="M")*6+($AH12:$AM12="T")*6+($AH12:$AM12="D")*12+($AH12:$AM12="N")*12+($AH12:$AM12="NT")*6+($AH12:$AM12="C")*10+($AH12:$AM12="A")*8+($AH12:$AM12="J")*5+($AH12:$AM12="CEP")*4+($AH12:$AM12="CP")*6+($AH12:$AM12="CRO")*6+($AH12:$AM12="M+")*6+($AH12:$AM12="T+")*6+($AH12:$AM12="D+")*12+($AH12:$AM12="N+")*12+($AH12:$AM12="Dm+")*12+($AH12:$AM12="Dt+")*12+($AH12:$AM12="Tm-")*6+($AH12:$AM12="Mt-")*6)+SUMPRODUCT(($AN12:$AN12="M")*6+($AN12:$AN12="T")*6+($AN12:$AN12="D")*12+($AN12:$AN12="N")*12+($AN12:$AN12="NT")*6+($AN12:$AN12="C")*10+($AN12:$AN12="A")*8+($AN12:$AN12="J")*5+($AN12:$AN12="CEP")*4+($AN12:$AN12="CP")*6+($AN12:$AN12="CRO")*6+($AN12:$AN12="M+")*6+($AN12:$AN12="T+")*6+($AN12:$AN12="D+")*12+($AN12:$AN12="N+")*12+($AN12:$AN12="Dm+")*12+($AN12:$AN12="Dt+")*12+($AN12:$AN12="Tm-")*6+($AN12:$AN12="Mt-")*6)</f>
        <v/>
      </c>
      <c r="BC12" s="118">
        <f>BB12-MAX(0,IFERROR(INDEX(CADASTRO!$I$4:$I$80,MATCH($A12,CADASTRO!$A$4:$A$80,0)),$B12)-CONFIG!$B$50*(COUNTIF($AH12:$AM12,"AB")+COUNTIF($AH12:$AM12,"FE")+COUNTIF($AH12:$AM12,"LM")+COUNTIF($AN12:$AN12,"AB")+COUNTIF($AN12:$AN12,"FE")+COUNTIF($AN12:$AN12,"LM")))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36">
        <f>IFERROR(INDEX(SET!AJ$8:AJ$73,MATCH($A13,SET!$A$8:$A$73,0))&amp;"","")</f>
        <v/>
      </c>
      <c r="G13" s="136">
        <f>IFERROR(INDEX(SET!AK$8:AK$73,MATCH($A13,SET!$A$8:$A$73,0))&amp;"","")</f>
        <v/>
      </c>
      <c r="H13" s="136">
        <f>IFERROR(INDEX(SET!AL$8:AL$73,MATCH($A13,SET!$A$8:$A$73,0))&amp;"","")</f>
        <v/>
      </c>
      <c r="I13" s="115" t="inlineStr">
        <is>
          <t>M</t>
        </is>
      </c>
      <c r="J13" s="115" t="inlineStr">
        <is>
          <t>M</t>
        </is>
      </c>
      <c r="K13" s="125" t="inlineStr">
        <is>
          <t>N</t>
        </is>
      </c>
      <c r="L13" s="114" t="n"/>
      <c r="M13" s="115" t="inlineStr">
        <is>
          <t>M</t>
        </is>
      </c>
      <c r="N13" s="115" t="inlineStr">
        <is>
          <t>M</t>
        </is>
      </c>
      <c r="O13" s="115" t="inlineStr">
        <is>
          <t>M</t>
        </is>
      </c>
      <c r="P13" s="115" t="inlineStr">
        <is>
          <t>M</t>
        </is>
      </c>
      <c r="Q13" s="115" t="inlineStr">
        <is>
          <t>M</t>
        </is>
      </c>
      <c r="R13" s="114" t="n"/>
      <c r="S13" s="114" t="n"/>
      <c r="T13" s="139" t="inlineStr">
        <is>
          <t>FE</t>
        </is>
      </c>
      <c r="U13" s="139" t="inlineStr">
        <is>
          <t>FE</t>
        </is>
      </c>
      <c r="V13" s="139" t="inlineStr">
        <is>
          <t>FE</t>
        </is>
      </c>
      <c r="W13" s="139" t="inlineStr">
        <is>
          <t>FE</t>
        </is>
      </c>
      <c r="X13" s="139" t="inlineStr">
        <is>
          <t>FE</t>
        </is>
      </c>
      <c r="Y13" s="139" t="inlineStr">
        <is>
          <t>FE</t>
        </is>
      </c>
      <c r="Z13" s="139" t="inlineStr">
        <is>
          <t>FE</t>
        </is>
      </c>
      <c r="AA13" s="139" t="inlineStr">
        <is>
          <t>FE</t>
        </is>
      </c>
      <c r="AB13" s="139" t="inlineStr">
        <is>
          <t>FE</t>
        </is>
      </c>
      <c r="AC13" s="139" t="inlineStr">
        <is>
          <t>FE</t>
        </is>
      </c>
      <c r="AD13" s="139" t="inlineStr">
        <is>
          <t>FE</t>
        </is>
      </c>
      <c r="AE13" s="139" t="inlineStr">
        <is>
          <t>FE</t>
        </is>
      </c>
      <c r="AF13" s="139" t="inlineStr">
        <is>
          <t>FE</t>
        </is>
      </c>
      <c r="AG13" s="139" t="inlineStr">
        <is>
          <t>FE</t>
        </is>
      </c>
      <c r="AH13" s="139" t="inlineStr">
        <is>
          <t>FE</t>
        </is>
      </c>
      <c r="AI13" s="123" t="inlineStr">
        <is>
          <t>M+</t>
        </is>
      </c>
      <c r="AJ13" s="115" t="inlineStr">
        <is>
          <t>M</t>
        </is>
      </c>
      <c r="AK13" s="115" t="inlineStr">
        <is>
          <t>M</t>
        </is>
      </c>
      <c r="AL13" s="115" t="inlineStr">
        <is>
          <t>M</t>
        </is>
      </c>
      <c r="AM13" s="125" t="inlineStr">
        <is>
          <t>N</t>
        </is>
      </c>
      <c r="AN13" s="116">
        <f>IFERROR(INDEX(NOV!I$8:I$73,MATCH($A13,NOV!$A$8:$A$73,0))&amp;"","")</f>
        <v/>
      </c>
      <c r="AO13" s="100" t="n"/>
      <c r="AP13" s="100" t="n"/>
      <c r="AQ13" s="100" t="n"/>
      <c r="AR13" s="100" t="n"/>
      <c r="AS13" s="100" t="n"/>
      <c r="AT13" s="117">
        <f>SUMPRODUCT(($F13:$L13="M")*6+($F13:$L13="T")*6+($F13:$L13="D")*12+($F13:$L13="N")*12+($F13:$L13="NT")*6+($F13:$L13="C")*10+($F13:$L13="A")*8+($F13:$L13="J")*5+($F13:$L13="CEP")*4+($F13:$L13="CP")*6+($F13:$L13="CRO")*6+($F13:$L13="M+")*6+($F13:$L13="T+")*6+($F13:$L13="D+")*12+($F13:$L13="N+")*12+($F13:$L13="Dm+")*12+($F13:$L13="Dt+")*12+($F13:$L13="Tm-")*6+($F13:$L13="Mt-")*6)</f>
        <v/>
      </c>
      <c r="AU13" s="118">
        <f>AT13-MAX(0,IFERROR(INDEX(CADASTRO!$I$4:$I$80,MATCH($A13,CADASTRO!$A$4:$A$80,0)),$B13)-CONFIG!$B$50*(COUNTIF($F13:$L13,"AB")+COUNTIF($F13:$L13,"FE")+COUNTIF($F13:$L13,"LM")))</f>
        <v/>
      </c>
      <c r="AV13" s="117">
        <f>SUMPRODUCT(($M13:$S13="M")*6+($M13:$S13="T")*6+($M13:$S13="D")*12+($M13:$S13="N")*12+($M13:$S13="NT")*6+($M13:$S13="C")*10+($M13:$S13="A")*8+($M13:$S13="J")*5+($M13:$S13="CEP")*4+($M13:$S13="CP")*6+($M13:$S13="CRO")*6+($M13:$S13="M+")*6+($M13:$S13="T+")*6+($M13:$S13="D+")*12+($M13:$S13="N+")*12+($M13:$S13="Dm+")*12+($M13:$S13="Dt+")*12+($M13:$S13="Tm-")*6+($M13:$S13="Mt-")*6)</f>
        <v/>
      </c>
      <c r="AW13" s="118">
        <f>AV13-MAX(0,IFERROR(INDEX(CADASTRO!$I$4:$I$80,MATCH($A13,CADASTRO!$A$4:$A$80,0)),$B13)-CONFIG!$B$50*(COUNTIF($M13:$S13,"AB")+COUNTIF($M13:$S13,"FE")+COUNTIF($M13:$S13,"LM")))</f>
        <v/>
      </c>
      <c r="AX13" s="117">
        <f>SUMPRODUCT(($T13:$Z13="M")*6+($T13:$Z13="T")*6+($T13:$Z13="D")*12+($T13:$Z13="N")*12+($T13:$Z13="NT")*6+($T13:$Z13="C")*10+($T13:$Z13="A")*8+($T13:$Z13="J")*5+($T13:$Z13="CEP")*4+($T13:$Z13="CP")*6+($T13:$Z13="CRO")*6+($T13:$Z13="M+")*6+($T13:$Z13="T+")*6+($T13:$Z13="D+")*12+($T13:$Z13="N+")*12+($T13:$Z13="Dm+")*12+($T13:$Z13="Dt+")*12+($T13:$Z13="Tm-")*6+($T13:$Z13="Mt-")*6)</f>
        <v/>
      </c>
      <c r="AY13" s="118">
        <f>AX13-MAX(0,IFERROR(INDEX(CADASTRO!$I$4:$I$80,MATCH($A13,CADASTRO!$A$4:$A$80,0)),$B13)-CONFIG!$B$50*(COUNTIF($T13:$Z13,"AB")+COUNTIF($T13:$Z13,"FE")+COUNTIF($T13:$Z13,"LM")))</f>
        <v/>
      </c>
      <c r="AZ13" s="117">
        <f>SUMPRODUCT(($AA13:$AG13="M")*6+($AA13:$AG13="T")*6+($AA13:$AG13="D")*12+($AA13:$AG13="N")*12+($AA13:$AG13="NT")*6+($AA13:$AG13="C")*10+($AA13:$AG13="A")*8+($AA13:$AG13="J")*5+($AA13:$AG13="CEP")*4+($AA13:$AG13="CP")*6+($AA13:$AG13="CRO")*6+($AA13:$AG13="M+")*6+($AA13:$AG13="T+")*6+($AA13:$AG13="D+")*12+($AA13:$AG13="N+")*12+($AA13:$AG13="Dm+")*12+($AA13:$AG13="Dt+")*12+($AA13:$AG13="Tm-")*6+($AA13:$AG13="Mt-")*6)</f>
        <v/>
      </c>
      <c r="BA13" s="118">
        <f>AZ13-MAX(0,IFERROR(INDEX(CADASTRO!$I$4:$I$80,MATCH($A13,CADASTRO!$A$4:$A$80,0)),$B13)-CONFIG!$B$50*(COUNTIF($AA13:$AG13,"AB")+COUNTIF($AA13:$AG13,"FE")+COUNTIF($AA13:$AG13,"LM")))</f>
        <v/>
      </c>
      <c r="BB13" s="117">
        <f>SUMPRODUCT(($AH13:$AM13="M")*6+($AH13:$AM13="T")*6+($AH13:$AM13="D")*12+($AH13:$AM13="N")*12+($AH13:$AM13="NT")*6+($AH13:$AM13="C")*10+($AH13:$AM13="A")*8+($AH13:$AM13="J")*5+($AH13:$AM13="CEP")*4+($AH13:$AM13="CP")*6+($AH13:$AM13="CRO")*6+($AH13:$AM13="M+")*6+($AH13:$AM13="T+")*6+($AH13:$AM13="D+")*12+($AH13:$AM13="N+")*12+($AH13:$AM13="Dm+")*12+($AH13:$AM13="Dt+")*12+($AH13:$AM13="Tm-")*6+($AH13:$AM13="Mt-")*6)+SUMPRODUCT(($AN13:$AN13="M")*6+($AN13:$AN13="T")*6+($AN13:$AN13="D")*12+($AN13:$AN13="N")*12+($AN13:$AN13="NT")*6+($AN13:$AN13="C")*10+($AN13:$AN13="A")*8+($AN13:$AN13="J")*5+($AN13:$AN13="CEP")*4+($AN13:$AN13="CP")*6+($AN13:$AN13="CRO")*6+($AN13:$AN13="M+")*6+($AN13:$AN13="T+")*6+($AN13:$AN13="D+")*12+($AN13:$AN13="N+")*12+($AN13:$AN13="Dm+")*12+($AN13:$AN13="Dt+")*12+($AN13:$AN13="Tm-")*6+($AN13:$AN13="Mt-")*6)</f>
        <v/>
      </c>
      <c r="BC13" s="118">
        <f>BB13-MAX(0,IFERROR(INDEX(CADASTRO!$I$4:$I$80,MATCH($A13,CADASTRO!$A$4:$A$80,0)),$B13)-CONFIG!$B$50*(COUNTIF($AH13:$AM13,"AB")+COUNTIF($AH13:$AM13,"FE")+COUNTIF($AH13:$AM13,"LM")+COUNTIF($AN13:$AN13,"AB")+COUNTIF($AN13:$AN13,"FE")+COUNTIF($AN13:$AN13,"LM")))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36">
        <f>IFERROR(INDEX(SET!AJ$8:AJ$73,MATCH($A14,SET!$A$8:$A$73,0))&amp;"","")</f>
        <v/>
      </c>
      <c r="G14" s="136">
        <f>IFERROR(INDEX(SET!AK$8:AK$73,MATCH($A14,SET!$A$8:$A$73,0))&amp;"","")</f>
        <v/>
      </c>
      <c r="H14" s="136">
        <f>IFERROR(INDEX(SET!AL$8:AL$73,MATCH($A14,SET!$A$8:$A$73,0))&amp;"","")</f>
        <v/>
      </c>
      <c r="I14" s="115" t="inlineStr">
        <is>
          <t>M</t>
        </is>
      </c>
      <c r="J14" s="115" t="inlineStr">
        <is>
          <t>M</t>
        </is>
      </c>
      <c r="K14" s="123" t="inlineStr">
        <is>
          <t>D+</t>
        </is>
      </c>
      <c r="L14" s="115" t="inlineStr">
        <is>
          <t>M</t>
        </is>
      </c>
      <c r="M14" s="115" t="inlineStr">
        <is>
          <t>M</t>
        </is>
      </c>
      <c r="N14" s="126" t="inlineStr">
        <is>
          <t>T</t>
        </is>
      </c>
      <c r="O14" s="114" t="n"/>
      <c r="P14" s="115" t="inlineStr">
        <is>
          <t>M</t>
        </is>
      </c>
      <c r="Q14" s="126" t="inlineStr">
        <is>
          <t>T</t>
        </is>
      </c>
      <c r="R14" s="124" t="inlineStr">
        <is>
          <t>D</t>
        </is>
      </c>
      <c r="S14" s="114" t="n"/>
      <c r="T14" s="124" t="inlineStr">
        <is>
          <t>D</t>
        </is>
      </c>
      <c r="U14" s="114" t="n"/>
      <c r="V14" s="114" t="n"/>
      <c r="W14" s="115" t="inlineStr">
        <is>
          <t>M</t>
        </is>
      </c>
      <c r="X14" s="124" t="inlineStr">
        <is>
          <t>D</t>
        </is>
      </c>
      <c r="Y14" s="123" t="inlineStr">
        <is>
          <t>D+</t>
        </is>
      </c>
      <c r="Z14" s="115" t="inlineStr">
        <is>
          <t>M</t>
        </is>
      </c>
      <c r="AA14" s="124" t="inlineStr">
        <is>
          <t>D</t>
        </is>
      </c>
      <c r="AB14" s="124" t="inlineStr">
        <is>
          <t>D</t>
        </is>
      </c>
      <c r="AC14" s="114" t="n"/>
      <c r="AD14" s="115" t="inlineStr">
        <is>
          <t>M</t>
        </is>
      </c>
      <c r="AE14" s="115" t="inlineStr">
        <is>
          <t>M</t>
        </is>
      </c>
      <c r="AF14" s="114" t="n"/>
      <c r="AG14" s="114" t="n"/>
      <c r="AH14" s="127" t="inlineStr">
        <is>
          <t>M-</t>
        </is>
      </c>
      <c r="AI14" s="127" t="inlineStr">
        <is>
          <t>M-</t>
        </is>
      </c>
      <c r="AJ14" s="127" t="inlineStr">
        <is>
          <t>M-</t>
        </is>
      </c>
      <c r="AK14" s="127" t="inlineStr">
        <is>
          <t>M-</t>
        </is>
      </c>
      <c r="AL14" s="114" t="n"/>
      <c r="AM14" s="114" t="n"/>
      <c r="AN14" s="116">
        <f>IFERROR(INDEX(NOV!I$8:I$73,MATCH($A14,NOV!$A$8:$A$73,0))&amp;"","")</f>
        <v/>
      </c>
      <c r="AO14" s="100" t="n"/>
      <c r="AP14" s="100" t="n"/>
      <c r="AQ14" s="100" t="n"/>
      <c r="AR14" s="100" t="n"/>
      <c r="AS14" s="100" t="n"/>
      <c r="AT14" s="117">
        <f>SUMPRODUCT(($F14:$L14="M")*6+($F14:$L14="T")*6+($F14:$L14="D")*12+($F14:$L14="N")*12+($F14:$L14="NT")*6+($F14:$L14="C")*10+($F14:$L14="A")*8+($F14:$L14="J")*5+($F14:$L14="CEP")*4+($F14:$L14="CP")*6+($F14:$L14="CRO")*6+($F14:$L14="M+")*6+($F14:$L14="T+")*6+($F14:$L14="D+")*12+($F14:$L14="N+")*12+($F14:$L14="Dm+")*12+($F14:$L14="Dt+")*12+($F14:$L14="Tm-")*6+($F14:$L14="Mt-")*6)</f>
        <v/>
      </c>
      <c r="AU14" s="118">
        <f>AT14-MAX(0,IFERROR(INDEX(CADASTRO!$I$4:$I$80,MATCH($A14,CADASTRO!$A$4:$A$80,0)),$B14)-CONFIG!$B$50*(COUNTIF($F14:$L14,"AB")+COUNTIF($F14:$L14,"FE")+COUNTIF($F14:$L14,"LM")))</f>
        <v/>
      </c>
      <c r="AV14" s="117">
        <f>SUMPRODUCT(($M14:$S14="M")*6+($M14:$S14="T")*6+($M14:$S14="D")*12+($M14:$S14="N")*12+($M14:$S14="NT")*6+($M14:$S14="C")*10+($M14:$S14="A")*8+($M14:$S14="J")*5+($M14:$S14="CEP")*4+($M14:$S14="CP")*6+($M14:$S14="CRO")*6+($M14:$S14="M+")*6+($M14:$S14="T+")*6+($M14:$S14="D+")*12+($M14:$S14="N+")*12+($M14:$S14="Dm+")*12+($M14:$S14="Dt+")*12+($M14:$S14="Tm-")*6+($M14:$S14="Mt-")*6)</f>
        <v/>
      </c>
      <c r="AW14" s="118">
        <f>AV14-MAX(0,IFERROR(INDEX(CADASTRO!$I$4:$I$80,MATCH($A14,CADASTRO!$A$4:$A$80,0)),$B14)-CONFIG!$B$50*(COUNTIF($M14:$S14,"AB")+COUNTIF($M14:$S14,"FE")+COUNTIF($M14:$S14,"LM")))</f>
        <v/>
      </c>
      <c r="AX14" s="117">
        <f>SUMPRODUCT(($T14:$Z14="M")*6+($T14:$Z14="T")*6+($T14:$Z14="D")*12+($T14:$Z14="N")*12+($T14:$Z14="NT")*6+($T14:$Z14="C")*10+($T14:$Z14="A")*8+($T14:$Z14="J")*5+($T14:$Z14="CEP")*4+($T14:$Z14="CP")*6+($T14:$Z14="CRO")*6+($T14:$Z14="M+")*6+($T14:$Z14="T+")*6+($T14:$Z14="D+")*12+($T14:$Z14="N+")*12+($T14:$Z14="Dm+")*12+($T14:$Z14="Dt+")*12+($T14:$Z14="Tm-")*6+($T14:$Z14="Mt-")*6)</f>
        <v/>
      </c>
      <c r="AY14" s="118">
        <f>AX14-MAX(0,IFERROR(INDEX(CADASTRO!$I$4:$I$80,MATCH($A14,CADASTRO!$A$4:$A$80,0)),$B14)-CONFIG!$B$50*(COUNTIF($T14:$Z14,"AB")+COUNTIF($T14:$Z14,"FE")+COUNTIF($T14:$Z14,"LM")))</f>
        <v/>
      </c>
      <c r="AZ14" s="117">
        <f>SUMPRODUCT(($AA14:$AG14="M")*6+($AA14:$AG14="T")*6+($AA14:$AG14="D")*12+($AA14:$AG14="N")*12+($AA14:$AG14="NT")*6+($AA14:$AG14="C")*10+($AA14:$AG14="A")*8+($AA14:$AG14="J")*5+($AA14:$AG14="CEP")*4+($AA14:$AG14="CP")*6+($AA14:$AG14="CRO")*6+($AA14:$AG14="M+")*6+($AA14:$AG14="T+")*6+($AA14:$AG14="D+")*12+($AA14:$AG14="N+")*12+($AA14:$AG14="Dm+")*12+($AA14:$AG14="Dt+")*12+($AA14:$AG14="Tm-")*6+($AA14:$AG14="Mt-")*6)</f>
        <v/>
      </c>
      <c r="BA14" s="118">
        <f>AZ14-MAX(0,IFERROR(INDEX(CADASTRO!$I$4:$I$80,MATCH($A14,CADASTRO!$A$4:$A$80,0)),$B14)-CONFIG!$B$50*(COUNTIF($AA14:$AG14,"AB")+COUNTIF($AA14:$AG14,"FE")+COUNTIF($AA14:$AG14,"LM")))</f>
        <v/>
      </c>
      <c r="BB14" s="117">
        <f>SUMPRODUCT(($AH14:$AM14="M")*6+($AH14:$AM14="T")*6+($AH14:$AM14="D")*12+($AH14:$AM14="N")*12+($AH14:$AM14="NT")*6+($AH14:$AM14="C")*10+($AH14:$AM14="A")*8+($AH14:$AM14="J")*5+($AH14:$AM14="CEP")*4+($AH14:$AM14="CP")*6+($AH14:$AM14="CRO")*6+($AH14:$AM14="M+")*6+($AH14:$AM14="T+")*6+($AH14:$AM14="D+")*12+($AH14:$AM14="N+")*12+($AH14:$AM14="Dm+")*12+($AH14:$AM14="Dt+")*12+($AH14:$AM14="Tm-")*6+($AH14:$AM14="Mt-")*6)+SUMPRODUCT(($AN14:$AN14="M")*6+($AN14:$AN14="T")*6+($AN14:$AN14="D")*12+($AN14:$AN14="N")*12+($AN14:$AN14="NT")*6+($AN14:$AN14="C")*10+($AN14:$AN14="A")*8+($AN14:$AN14="J")*5+($AN14:$AN14="CEP")*4+($AN14:$AN14="CP")*6+($AN14:$AN14="CRO")*6+($AN14:$AN14="M+")*6+($AN14:$AN14="T+")*6+($AN14:$AN14="D+")*12+($AN14:$AN14="N+")*12+($AN14:$AN14="Dm+")*12+($AN14:$AN14="Dt+")*12+($AN14:$AN14="Tm-")*6+($AN14:$AN14="Mt-")*6)</f>
        <v/>
      </c>
      <c r="BC14" s="118">
        <f>BB14-MAX(0,IFERROR(INDEX(CADASTRO!$I$4:$I$80,MATCH($A14,CADASTRO!$A$4:$A$80,0)),$B14)-CONFIG!$B$50*(COUNTIF($AH14:$AM14,"AB")+COUNTIF($AH14:$AM14,"FE")+COUNTIF($AH14:$AM14,"LM")+COUNTIF($AN14:$AN14,"AB")+COUNTIF($AN14:$AN14,"FE")+COUNTIF($AN14:$AN14,"LM")))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36">
        <f>IFERROR(INDEX(SET!AJ$8:AJ$73,MATCH($A15,SET!$A$8:$A$73,0))&amp;"","")</f>
        <v/>
      </c>
      <c r="G15" s="136">
        <f>IFERROR(INDEX(SET!AK$8:AK$73,MATCH($A15,SET!$A$8:$A$73,0))&amp;"","")</f>
        <v/>
      </c>
      <c r="H15" s="136">
        <f>IFERROR(INDEX(SET!AL$8:AL$73,MATCH($A15,SET!$A$8:$A$73,0))&amp;"","")</f>
        <v/>
      </c>
      <c r="I15" s="115" t="inlineStr">
        <is>
          <t>M</t>
        </is>
      </c>
      <c r="J15" s="115" t="inlineStr">
        <is>
          <t>M</t>
        </is>
      </c>
      <c r="K15" s="125" t="inlineStr">
        <is>
          <t>N</t>
        </is>
      </c>
      <c r="L15" s="114" t="n"/>
      <c r="M15" s="115" t="inlineStr">
        <is>
          <t>M</t>
        </is>
      </c>
      <c r="N15" s="115" t="inlineStr">
        <is>
          <t>M</t>
        </is>
      </c>
      <c r="O15" s="115" t="inlineStr">
        <is>
          <t>M</t>
        </is>
      </c>
      <c r="P15" s="115" t="inlineStr">
        <is>
          <t>M</t>
        </is>
      </c>
      <c r="Q15" s="124" t="inlineStr">
        <is>
          <t>D</t>
        </is>
      </c>
      <c r="R15" s="114" t="n"/>
      <c r="S15" s="114" t="n"/>
      <c r="T15" s="115" t="inlineStr">
        <is>
          <t>M</t>
        </is>
      </c>
      <c r="U15" s="115" t="inlineStr">
        <is>
          <t>M</t>
        </is>
      </c>
      <c r="V15" s="115" t="inlineStr">
        <is>
          <t>M</t>
        </is>
      </c>
      <c r="W15" s="115" t="inlineStr">
        <is>
          <t>M</t>
        </is>
      </c>
      <c r="X15" s="115" t="inlineStr">
        <is>
          <t>M</t>
        </is>
      </c>
      <c r="Y15" s="125" t="inlineStr">
        <is>
          <t>N</t>
        </is>
      </c>
      <c r="Z15" s="114" t="n"/>
      <c r="AA15" s="115" t="inlineStr">
        <is>
          <t>M</t>
        </is>
      </c>
      <c r="AB15" s="115" t="inlineStr">
        <is>
          <t>M</t>
        </is>
      </c>
      <c r="AC15" s="115" t="inlineStr">
        <is>
          <t>M</t>
        </is>
      </c>
      <c r="AD15" s="115" t="inlineStr">
        <is>
          <t>M</t>
        </is>
      </c>
      <c r="AE15" s="124" t="inlineStr">
        <is>
          <t>D</t>
        </is>
      </c>
      <c r="AF15" s="114" t="n"/>
      <c r="AG15" s="114" t="n"/>
      <c r="AH15" s="115" t="inlineStr">
        <is>
          <t>M</t>
        </is>
      </c>
      <c r="AI15" s="115" t="inlineStr">
        <is>
          <t>M</t>
        </is>
      </c>
      <c r="AJ15" s="115" t="inlineStr">
        <is>
          <t>M</t>
        </is>
      </c>
      <c r="AK15" s="115" t="inlineStr">
        <is>
          <t>M</t>
        </is>
      </c>
      <c r="AL15" s="115" t="inlineStr">
        <is>
          <t>M</t>
        </is>
      </c>
      <c r="AM15" s="125" t="inlineStr">
        <is>
          <t>N</t>
        </is>
      </c>
      <c r="AN15" s="116">
        <f>IFERROR(INDEX(NOV!I$8:I$73,MATCH($A15,NOV!$A$8:$A$73,0))&amp;"","")</f>
        <v/>
      </c>
      <c r="AO15" s="100" t="n"/>
      <c r="AP15" s="100" t="n"/>
      <c r="AQ15" s="100" t="n"/>
      <c r="AR15" s="100" t="n"/>
      <c r="AS15" s="100" t="n"/>
      <c r="AT15" s="117">
        <f>SUMPRODUCT(($F15:$L15="M")*6+($F15:$L15="T")*6+($F15:$L15="D")*12+($F15:$L15="N")*12+($F15:$L15="NT")*6+($F15:$L15="C")*10+($F15:$L15="A")*8+($F15:$L15="J")*5+($F15:$L15="CEP")*4+($F15:$L15="CP")*6+($F15:$L15="CRO")*6+($F15:$L15="M+")*6+($F15:$L15="T+")*6+($F15:$L15="D+")*12+($F15:$L15="N+")*12+($F15:$L15="Dm+")*12+($F15:$L15="Dt+")*12+($F15:$L15="Tm-")*6+($F15:$L15="Mt-")*6)</f>
        <v/>
      </c>
      <c r="AU15" s="118">
        <f>AT15-MAX(0,IFERROR(INDEX(CADASTRO!$I$4:$I$80,MATCH($A15,CADASTRO!$A$4:$A$80,0)),$B15)-CONFIG!$B$50*(COUNTIF($F15:$L15,"AB")+COUNTIF($F15:$L15,"FE")+COUNTIF($F15:$L15,"LM")))</f>
        <v/>
      </c>
      <c r="AV15" s="117">
        <f>SUMPRODUCT(($M15:$S15="M")*6+($M15:$S15="T")*6+($M15:$S15="D")*12+($M15:$S15="N")*12+($M15:$S15="NT")*6+($M15:$S15="C")*10+($M15:$S15="A")*8+($M15:$S15="J")*5+($M15:$S15="CEP")*4+($M15:$S15="CP")*6+($M15:$S15="CRO")*6+($M15:$S15="M+")*6+($M15:$S15="T+")*6+($M15:$S15="D+")*12+($M15:$S15="N+")*12+($M15:$S15="Dm+")*12+($M15:$S15="Dt+")*12+($M15:$S15="Tm-")*6+($M15:$S15="Mt-")*6)</f>
        <v/>
      </c>
      <c r="AW15" s="118">
        <f>AV15-MAX(0,IFERROR(INDEX(CADASTRO!$I$4:$I$80,MATCH($A15,CADASTRO!$A$4:$A$80,0)),$B15)-CONFIG!$B$50*(COUNTIF($M15:$S15,"AB")+COUNTIF($M15:$S15,"FE")+COUNTIF($M15:$S15,"LM")))</f>
        <v/>
      </c>
      <c r="AX15" s="117">
        <f>SUMPRODUCT(($T15:$Z15="M")*6+($T15:$Z15="T")*6+($T15:$Z15="D")*12+($T15:$Z15="N")*12+($T15:$Z15="NT")*6+($T15:$Z15="C")*10+($T15:$Z15="A")*8+($T15:$Z15="J")*5+($T15:$Z15="CEP")*4+($T15:$Z15="CP")*6+($T15:$Z15="CRO")*6+($T15:$Z15="M+")*6+($T15:$Z15="T+")*6+($T15:$Z15="D+")*12+($T15:$Z15="N+")*12+($T15:$Z15="Dm+")*12+($T15:$Z15="Dt+")*12+($T15:$Z15="Tm-")*6+($T15:$Z15="Mt-")*6)</f>
        <v/>
      </c>
      <c r="AY15" s="118">
        <f>AX15-MAX(0,IFERROR(INDEX(CADASTRO!$I$4:$I$80,MATCH($A15,CADASTRO!$A$4:$A$80,0)),$B15)-CONFIG!$B$50*(COUNTIF($T15:$Z15,"AB")+COUNTIF($T15:$Z15,"FE")+COUNTIF($T15:$Z15,"LM")))</f>
        <v/>
      </c>
      <c r="AZ15" s="117">
        <f>SUMPRODUCT(($AA15:$AG15="M")*6+($AA15:$AG15="T")*6+($AA15:$AG15="D")*12+($AA15:$AG15="N")*12+($AA15:$AG15="NT")*6+($AA15:$AG15="C")*10+($AA15:$AG15="A")*8+($AA15:$AG15="J")*5+($AA15:$AG15="CEP")*4+($AA15:$AG15="CP")*6+($AA15:$AG15="CRO")*6+($AA15:$AG15="M+")*6+($AA15:$AG15="T+")*6+($AA15:$AG15="D+")*12+($AA15:$AG15="N+")*12+($AA15:$AG15="Dm+")*12+($AA15:$AG15="Dt+")*12+($AA15:$AG15="Tm-")*6+($AA15:$AG15="Mt-")*6)</f>
        <v/>
      </c>
      <c r="BA15" s="118">
        <f>AZ15-MAX(0,IFERROR(INDEX(CADASTRO!$I$4:$I$80,MATCH($A15,CADASTRO!$A$4:$A$80,0)),$B15)-CONFIG!$B$50*(COUNTIF($AA15:$AG15,"AB")+COUNTIF($AA15:$AG15,"FE")+COUNTIF($AA15:$AG15,"LM")))</f>
        <v/>
      </c>
      <c r="BB15" s="117">
        <f>SUMPRODUCT(($AH15:$AM15="M")*6+($AH15:$AM15="T")*6+($AH15:$AM15="D")*12+($AH15:$AM15="N")*12+($AH15:$AM15="NT")*6+($AH15:$AM15="C")*10+($AH15:$AM15="A")*8+($AH15:$AM15="J")*5+($AH15:$AM15="CEP")*4+($AH15:$AM15="CP")*6+($AH15:$AM15="CRO")*6+($AH15:$AM15="M+")*6+($AH15:$AM15="T+")*6+($AH15:$AM15="D+")*12+($AH15:$AM15="N+")*12+($AH15:$AM15="Dm+")*12+($AH15:$AM15="Dt+")*12+($AH15:$AM15="Tm-")*6+($AH15:$AM15="Mt-")*6)+SUMPRODUCT(($AN15:$AN15="M")*6+($AN15:$AN15="T")*6+($AN15:$AN15="D")*12+($AN15:$AN15="N")*12+($AN15:$AN15="NT")*6+($AN15:$AN15="C")*10+($AN15:$AN15="A")*8+($AN15:$AN15="J")*5+($AN15:$AN15="CEP")*4+($AN15:$AN15="CP")*6+($AN15:$AN15="CRO")*6+($AN15:$AN15="M+")*6+($AN15:$AN15="T+")*6+($AN15:$AN15="D+")*12+($AN15:$AN15="N+")*12+($AN15:$AN15="Dm+")*12+($AN15:$AN15="Dt+")*12+($AN15:$AN15="Tm-")*6+($AN15:$AN15="Mt-")*6)</f>
        <v/>
      </c>
      <c r="BC15" s="118">
        <f>BB15-MAX(0,IFERROR(INDEX(CADASTRO!$I$4:$I$80,MATCH($A15,CADASTRO!$A$4:$A$80,0)),$B15)-CONFIG!$B$50*(COUNTIF($AH15:$AM15,"AB")+COUNTIF($AH15:$AM15,"FE")+COUNTIF($AH15:$AM15,"LM")+COUNTIF($AN15:$AN15,"AB")+COUNTIF($AN15:$AN15,"FE")+COUNTIF($AN15:$AN15,"LM")))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36">
        <f>IFERROR(INDEX(SET!AJ$8:AJ$73,MATCH($A16,SET!$A$8:$A$73,0))&amp;"","")</f>
        <v/>
      </c>
      <c r="G16" s="136">
        <f>IFERROR(INDEX(SET!AK$8:AK$73,MATCH($A16,SET!$A$8:$A$73,0))&amp;"","")</f>
        <v/>
      </c>
      <c r="H16" s="136">
        <f>IFERROR(INDEX(SET!AL$8:AL$73,MATCH($A16,SET!$A$8:$A$73,0))&amp;"","")</f>
        <v/>
      </c>
      <c r="I16" s="140" t="inlineStr">
        <is>
          <t>J</t>
        </is>
      </c>
      <c r="J16" s="140" t="inlineStr">
        <is>
          <t>J</t>
        </is>
      </c>
      <c r="K16" s="140" t="inlineStr">
        <is>
          <t>J</t>
        </is>
      </c>
      <c r="L16" s="114" t="n"/>
      <c r="M16" s="140" t="inlineStr">
        <is>
          <t>J</t>
        </is>
      </c>
      <c r="N16" s="140" t="inlineStr">
        <is>
          <t>J</t>
        </is>
      </c>
      <c r="O16" s="140" t="inlineStr">
        <is>
          <t>J</t>
        </is>
      </c>
      <c r="P16" s="140" t="inlineStr">
        <is>
          <t>J</t>
        </is>
      </c>
      <c r="Q16" s="140" t="inlineStr">
        <is>
          <t>J</t>
        </is>
      </c>
      <c r="R16" s="140" t="inlineStr">
        <is>
          <t>J</t>
        </is>
      </c>
      <c r="S16" s="114" t="n"/>
      <c r="T16" s="140" t="inlineStr">
        <is>
          <t>J</t>
        </is>
      </c>
      <c r="U16" s="140" t="inlineStr">
        <is>
          <t>J</t>
        </is>
      </c>
      <c r="V16" s="140" t="inlineStr">
        <is>
          <t>J</t>
        </is>
      </c>
      <c r="W16" s="140" t="inlineStr">
        <is>
          <t>J</t>
        </is>
      </c>
      <c r="X16" s="140" t="inlineStr">
        <is>
          <t>J</t>
        </is>
      </c>
      <c r="Y16" s="140" t="inlineStr">
        <is>
          <t>J</t>
        </is>
      </c>
      <c r="Z16" s="114" t="n"/>
      <c r="AA16" s="140" t="inlineStr">
        <is>
          <t>J</t>
        </is>
      </c>
      <c r="AB16" s="140" t="inlineStr">
        <is>
          <t>J</t>
        </is>
      </c>
      <c r="AC16" s="140" t="inlineStr">
        <is>
          <t>J</t>
        </is>
      </c>
      <c r="AD16" s="140" t="inlineStr">
        <is>
          <t>J</t>
        </is>
      </c>
      <c r="AE16" s="140" t="inlineStr">
        <is>
          <t>J</t>
        </is>
      </c>
      <c r="AF16" s="140" t="inlineStr">
        <is>
          <t>J</t>
        </is>
      </c>
      <c r="AG16" s="114" t="n"/>
      <c r="AH16" s="140" t="inlineStr">
        <is>
          <t>J</t>
        </is>
      </c>
      <c r="AI16" s="140" t="inlineStr">
        <is>
          <t>J</t>
        </is>
      </c>
      <c r="AJ16" s="140" t="inlineStr">
        <is>
          <t>J</t>
        </is>
      </c>
      <c r="AK16" s="140" t="inlineStr">
        <is>
          <t>J</t>
        </is>
      </c>
      <c r="AL16" s="140" t="inlineStr">
        <is>
          <t>J</t>
        </is>
      </c>
      <c r="AM16" s="140" t="inlineStr">
        <is>
          <t>J</t>
        </is>
      </c>
      <c r="AN16" s="116">
        <f>IFERROR(INDEX(NOV!I$8:I$73,MATCH($A16,NOV!$A$8:$A$73,0))&amp;"","")</f>
        <v/>
      </c>
      <c r="AO16" s="100" t="n"/>
      <c r="AP16" s="100" t="n"/>
      <c r="AQ16" s="100" t="n"/>
      <c r="AR16" s="100" t="n"/>
      <c r="AS16" s="100" t="n"/>
      <c r="AT16" s="117">
        <f>SUMPRODUCT(($F16:$L16="M")*6+($F16:$L16="T")*6+($F16:$L16="D")*12+($F16:$L16="N")*12+($F16:$L16="NT")*6+($F16:$L16="C")*10+($F16:$L16="A")*8+($F16:$L16="J")*5+($F16:$L16="CEP")*4+($F16:$L16="CP")*6+($F16:$L16="CRO")*6+($F16:$L16="M+")*6+($F16:$L16="T+")*6+($F16:$L16="D+")*12+($F16:$L16="N+")*12+($F16:$L16="Dm+")*12+($F16:$L16="Dt+")*12+($F16:$L16="Tm-")*6+($F16:$L16="Mt-")*6)</f>
        <v/>
      </c>
      <c r="AU16" s="118">
        <f>AT16-MAX(0,IFERROR(INDEX(CADASTRO!$I$4:$I$80,MATCH($A16,CADASTRO!$A$4:$A$80,0)),$B16)-CONFIG!$B$50*(COUNTIF($F16:$L16,"AB")+COUNTIF($F16:$L16,"FE")+COUNTIF($F16:$L16,"LM")))</f>
        <v/>
      </c>
      <c r="AV16" s="117">
        <f>SUMPRODUCT(($M16:$S16="M")*6+($M16:$S16="T")*6+($M16:$S16="D")*12+($M16:$S16="N")*12+($M16:$S16="NT")*6+($M16:$S16="C")*10+($M16:$S16="A")*8+($M16:$S16="J")*5+($M16:$S16="CEP")*4+($M16:$S16="CP")*6+($M16:$S16="CRO")*6+($M16:$S16="M+")*6+($M16:$S16="T+")*6+($M16:$S16="D+")*12+($M16:$S16="N+")*12+($M16:$S16="Dm+")*12+($M16:$S16="Dt+")*12+($M16:$S16="Tm-")*6+($M16:$S16="Mt-")*6)</f>
        <v/>
      </c>
      <c r="AW16" s="118">
        <f>AV16-MAX(0,IFERROR(INDEX(CADASTRO!$I$4:$I$80,MATCH($A16,CADASTRO!$A$4:$A$80,0)),$B16)-CONFIG!$B$50*(COUNTIF($M16:$S16,"AB")+COUNTIF($M16:$S16,"FE")+COUNTIF($M16:$S16,"LM")))</f>
        <v/>
      </c>
      <c r="AX16" s="117">
        <f>SUMPRODUCT(($T16:$Z16="M")*6+($T16:$Z16="T")*6+($T16:$Z16="D")*12+($T16:$Z16="N")*12+($T16:$Z16="NT")*6+($T16:$Z16="C")*10+($T16:$Z16="A")*8+($T16:$Z16="J")*5+($T16:$Z16="CEP")*4+($T16:$Z16="CP")*6+($T16:$Z16="CRO")*6+($T16:$Z16="M+")*6+($T16:$Z16="T+")*6+($T16:$Z16="D+")*12+($T16:$Z16="N+")*12+($T16:$Z16="Dm+")*12+($T16:$Z16="Dt+")*12+($T16:$Z16="Tm-")*6+($T16:$Z16="Mt-")*6)</f>
        <v/>
      </c>
      <c r="AY16" s="118">
        <f>AX16-MAX(0,IFERROR(INDEX(CADASTRO!$I$4:$I$80,MATCH($A16,CADASTRO!$A$4:$A$80,0)),$B16)-CONFIG!$B$50*(COUNTIF($T16:$Z16,"AB")+COUNTIF($T16:$Z16,"FE")+COUNTIF($T16:$Z16,"LM")))</f>
        <v/>
      </c>
      <c r="AZ16" s="117">
        <f>SUMPRODUCT(($AA16:$AG16="M")*6+($AA16:$AG16="T")*6+($AA16:$AG16="D")*12+($AA16:$AG16="N")*12+($AA16:$AG16="NT")*6+($AA16:$AG16="C")*10+($AA16:$AG16="A")*8+($AA16:$AG16="J")*5+($AA16:$AG16="CEP")*4+($AA16:$AG16="CP")*6+($AA16:$AG16="CRO")*6+($AA16:$AG16="M+")*6+($AA16:$AG16="T+")*6+($AA16:$AG16="D+")*12+($AA16:$AG16="N+")*12+($AA16:$AG16="Dm+")*12+($AA16:$AG16="Dt+")*12+($AA16:$AG16="Tm-")*6+($AA16:$AG16="Mt-")*6)</f>
        <v/>
      </c>
      <c r="BA16" s="118">
        <f>AZ16-MAX(0,IFERROR(INDEX(CADASTRO!$I$4:$I$80,MATCH($A16,CADASTRO!$A$4:$A$80,0)),$B16)-CONFIG!$B$50*(COUNTIF($AA16:$AG16,"AB")+COUNTIF($AA16:$AG16,"FE")+COUNTIF($AA16:$AG16,"LM")))</f>
        <v/>
      </c>
      <c r="BB16" s="117">
        <f>SUMPRODUCT(($AH16:$AM16="M")*6+($AH16:$AM16="T")*6+($AH16:$AM16="D")*12+($AH16:$AM16="N")*12+($AH16:$AM16="NT")*6+($AH16:$AM16="C")*10+($AH16:$AM16="A")*8+($AH16:$AM16="J")*5+($AH16:$AM16="CEP")*4+($AH16:$AM16="CP")*6+($AH16:$AM16="CRO")*6+($AH16:$AM16="M+")*6+($AH16:$AM16="T+")*6+($AH16:$AM16="D+")*12+($AH16:$AM16="N+")*12+($AH16:$AM16="Dm+")*12+($AH16:$AM16="Dt+")*12+($AH16:$AM16="Tm-")*6+($AH16:$AM16="Mt-")*6)+SUMPRODUCT(($AN16:$AN16="M")*6+($AN16:$AN16="T")*6+($AN16:$AN16="D")*12+($AN16:$AN16="N")*12+($AN16:$AN16="NT")*6+($AN16:$AN16="C")*10+($AN16:$AN16="A")*8+($AN16:$AN16="J")*5+($AN16:$AN16="CEP")*4+($AN16:$AN16="CP")*6+($AN16:$AN16="CRO")*6+($AN16:$AN16="M+")*6+($AN16:$AN16="T+")*6+($AN16:$AN16="D+")*12+($AN16:$AN16="N+")*12+($AN16:$AN16="Dm+")*12+($AN16:$AN16="Dt+")*12+($AN16:$AN16="Tm-")*6+($AN16:$AN16="Mt-")*6)</f>
        <v/>
      </c>
      <c r="BC16" s="118">
        <f>BB16-MAX(0,IFERROR(INDEX(CADASTRO!$I$4:$I$80,MATCH($A16,CADASTRO!$A$4:$A$80,0)),$B16)-CONFIG!$B$50*(COUNTIF($AH16:$AM16,"AB")+COUNTIF($AH16:$AM16,"FE")+COUNTIF($AH16:$AM16,"LM")+COUNTIF($AN16:$AN16,"AB")+COUNTIF($AN16:$AN16,"FE")+COUNTIF($AN16:$AN16,"LM")))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36">
        <f>IFERROR(INDEX(SET!AJ$8:AJ$73,MATCH($A17,SET!$A$8:$A$73,0))&amp;"","")</f>
        <v/>
      </c>
      <c r="G17" s="136">
        <f>IFERROR(INDEX(SET!AK$8:AK$73,MATCH($A17,SET!$A$8:$A$73,0))&amp;"","")</f>
        <v/>
      </c>
      <c r="H17" s="136">
        <f>IFERROR(INDEX(SET!AL$8:AL$73,MATCH($A17,SET!$A$8:$A$73,0))&amp;"","")</f>
        <v/>
      </c>
      <c r="I17" s="114" t="n"/>
      <c r="J17" s="125" t="inlineStr">
        <is>
          <t>N</t>
        </is>
      </c>
      <c r="K17" s="126" t="inlineStr">
        <is>
          <t>T</t>
        </is>
      </c>
      <c r="L17" s="114" t="n"/>
      <c r="M17" s="125" t="inlineStr">
        <is>
          <t>N</t>
        </is>
      </c>
      <c r="N17" s="129" t="inlineStr">
        <is>
          <t>CEP</t>
        </is>
      </c>
      <c r="O17" s="126" t="inlineStr">
        <is>
          <t>T</t>
        </is>
      </c>
      <c r="P17" s="126" t="inlineStr">
        <is>
          <t>T</t>
        </is>
      </c>
      <c r="Q17" s="114" t="n"/>
      <c r="R17" s="125" t="inlineStr">
        <is>
          <t>N</t>
        </is>
      </c>
      <c r="S17" s="114" t="n"/>
      <c r="T17" s="125" t="inlineStr">
        <is>
          <t>N</t>
        </is>
      </c>
      <c r="U17" s="129" t="inlineStr">
        <is>
          <t>CEP</t>
        </is>
      </c>
      <c r="V17" s="124" t="inlineStr">
        <is>
          <t>D</t>
        </is>
      </c>
      <c r="W17" s="125" t="inlineStr">
        <is>
          <t>N</t>
        </is>
      </c>
      <c r="X17" s="114" t="n"/>
      <c r="Y17" s="114" t="n"/>
      <c r="Z17" s="114" t="n"/>
      <c r="AA17" s="139" t="inlineStr">
        <is>
          <t>FE</t>
        </is>
      </c>
      <c r="AB17" s="139" t="inlineStr">
        <is>
          <t>FE</t>
        </is>
      </c>
      <c r="AC17" s="139" t="inlineStr">
        <is>
          <t>FE</t>
        </is>
      </c>
      <c r="AD17" s="139" t="inlineStr">
        <is>
          <t>FE</t>
        </is>
      </c>
      <c r="AE17" s="139" t="inlineStr">
        <is>
          <t>FE</t>
        </is>
      </c>
      <c r="AF17" s="139" t="inlineStr">
        <is>
          <t>FE</t>
        </is>
      </c>
      <c r="AG17" s="139" t="inlineStr">
        <is>
          <t>FE</t>
        </is>
      </c>
      <c r="AH17" s="139" t="inlineStr">
        <is>
          <t>FE</t>
        </is>
      </c>
      <c r="AI17" s="139" t="inlineStr">
        <is>
          <t>FE</t>
        </is>
      </c>
      <c r="AJ17" s="139" t="inlineStr">
        <is>
          <t>FE</t>
        </is>
      </c>
      <c r="AK17" s="139" t="inlineStr">
        <is>
          <t>FE</t>
        </is>
      </c>
      <c r="AL17" s="139" t="inlineStr">
        <is>
          <t>FE</t>
        </is>
      </c>
      <c r="AM17" s="139" t="inlineStr">
        <is>
          <t>FE</t>
        </is>
      </c>
      <c r="AN17" s="116">
        <f>IFERROR(INDEX(NOV!I$8:I$73,MATCH($A17,NOV!$A$8:$A$73,0))&amp;"","")</f>
        <v/>
      </c>
      <c r="AO17" s="100" t="n"/>
      <c r="AP17" s="100" t="n"/>
      <c r="AQ17" s="100" t="n"/>
      <c r="AR17" s="100" t="n"/>
      <c r="AS17" s="100" t="n"/>
      <c r="AT17" s="117">
        <f>SUMPRODUCT(($F17:$L17="M")*6+($F17:$L17="T")*6+($F17:$L17="D")*12+($F17:$L17="N")*12+($F17:$L17="NT")*6+($F17:$L17="C")*10+($F17:$L17="A")*8+($F17:$L17="J")*5+($F17:$L17="CEP")*4+($F17:$L17="CP")*6+($F17:$L17="CRO")*6+($F17:$L17="M+")*6+($F17:$L17="T+")*6+($F17:$L17="D+")*12+($F17:$L17="N+")*12+($F17:$L17="Dm+")*12+($F17:$L17="Dt+")*12+($F17:$L17="Tm-")*6+($F17:$L17="Mt-")*6)</f>
        <v/>
      </c>
      <c r="AU17" s="118">
        <f>AT17-MAX(0,IFERROR(INDEX(CADASTRO!$I$4:$I$80,MATCH($A17,CADASTRO!$A$4:$A$80,0)),$B17)-CONFIG!$B$50*(COUNTIF($F17:$L17,"AB")+COUNTIF($F17:$L17,"FE")+COUNTIF($F17:$L17,"LM")))</f>
        <v/>
      </c>
      <c r="AV17" s="117">
        <f>SUMPRODUCT(($M17:$S17="M")*6+($M17:$S17="T")*6+($M17:$S17="D")*12+($M17:$S17="N")*12+($M17:$S17="NT")*6+($M17:$S17="C")*10+($M17:$S17="A")*8+($M17:$S17="J")*5+($M17:$S17="CEP")*4+($M17:$S17="CP")*6+($M17:$S17="CRO")*6+($M17:$S17="M+")*6+($M17:$S17="T+")*6+($M17:$S17="D+")*12+($M17:$S17="N+")*12+($M17:$S17="Dm+")*12+($M17:$S17="Dt+")*12+($M17:$S17="Tm-")*6+($M17:$S17="Mt-")*6)</f>
        <v/>
      </c>
      <c r="AW17" s="118">
        <f>AV17-MAX(0,IFERROR(INDEX(CADASTRO!$I$4:$I$80,MATCH($A17,CADASTRO!$A$4:$A$80,0)),$B17)-CONFIG!$B$50*(COUNTIF($M17:$S17,"AB")+COUNTIF($M17:$S17,"FE")+COUNTIF($M17:$S17,"LM")))</f>
        <v/>
      </c>
      <c r="AX17" s="117">
        <f>SUMPRODUCT(($T17:$Z17="M")*6+($T17:$Z17="T")*6+($T17:$Z17="D")*12+($T17:$Z17="N")*12+($T17:$Z17="NT")*6+($T17:$Z17="C")*10+($T17:$Z17="A")*8+($T17:$Z17="J")*5+($T17:$Z17="CEP")*4+($T17:$Z17="CP")*6+($T17:$Z17="CRO")*6+($T17:$Z17="M+")*6+($T17:$Z17="T+")*6+($T17:$Z17="D+")*12+($T17:$Z17="N+")*12+($T17:$Z17="Dm+")*12+($T17:$Z17="Dt+")*12+($T17:$Z17="Tm-")*6+($T17:$Z17="Mt-")*6)</f>
        <v/>
      </c>
      <c r="AY17" s="118">
        <f>AX17-MAX(0,IFERROR(INDEX(CADASTRO!$I$4:$I$80,MATCH($A17,CADASTRO!$A$4:$A$80,0)),$B17)-CONFIG!$B$50*(COUNTIF($T17:$Z17,"AB")+COUNTIF($T17:$Z17,"FE")+COUNTIF($T17:$Z17,"LM")))</f>
        <v/>
      </c>
      <c r="AZ17" s="117">
        <f>SUMPRODUCT(($AA17:$AG17="M")*6+($AA17:$AG17="T")*6+($AA17:$AG17="D")*12+($AA17:$AG17="N")*12+($AA17:$AG17="NT")*6+($AA17:$AG17="C")*10+($AA17:$AG17="A")*8+($AA17:$AG17="J")*5+($AA17:$AG17="CEP")*4+($AA17:$AG17="CP")*6+($AA17:$AG17="CRO")*6+($AA17:$AG17="M+")*6+($AA17:$AG17="T+")*6+($AA17:$AG17="D+")*12+($AA17:$AG17="N+")*12+($AA17:$AG17="Dm+")*12+($AA17:$AG17="Dt+")*12+($AA17:$AG17="Tm-")*6+($AA17:$AG17="Mt-")*6)</f>
        <v/>
      </c>
      <c r="BA17" s="118">
        <f>AZ17-MAX(0,IFERROR(INDEX(CADASTRO!$I$4:$I$80,MATCH($A17,CADASTRO!$A$4:$A$80,0)),$B17)-CONFIG!$B$50*(COUNTIF($AA17:$AG17,"AB")+COUNTIF($AA17:$AG17,"FE")+COUNTIF($AA17:$AG17,"LM")))</f>
        <v/>
      </c>
      <c r="BB17" s="117">
        <f>SUMPRODUCT(($AH17:$AM17="M")*6+($AH17:$AM17="T")*6+($AH17:$AM17="D")*12+($AH17:$AM17="N")*12+($AH17:$AM17="NT")*6+($AH17:$AM17="C")*10+($AH17:$AM17="A")*8+($AH17:$AM17="J")*5+($AH17:$AM17="CEP")*4+($AH17:$AM17="CP")*6+($AH17:$AM17="CRO")*6+($AH17:$AM17="M+")*6+($AH17:$AM17="T+")*6+($AH17:$AM17="D+")*12+($AH17:$AM17="N+")*12+($AH17:$AM17="Dm+")*12+($AH17:$AM17="Dt+")*12+($AH17:$AM17="Tm-")*6+($AH17:$AM17="Mt-")*6)+SUMPRODUCT(($AN17:$AN17="M")*6+($AN17:$AN17="T")*6+($AN17:$AN17="D")*12+($AN17:$AN17="N")*12+($AN17:$AN17="NT")*6+($AN17:$AN17="C")*10+($AN17:$AN17="A")*8+($AN17:$AN17="J")*5+($AN17:$AN17="CEP")*4+($AN17:$AN17="CP")*6+($AN17:$AN17="CRO")*6+($AN17:$AN17="M+")*6+($AN17:$AN17="T+")*6+($AN17:$AN17="D+")*12+($AN17:$AN17="N+")*12+($AN17:$AN17="Dm+")*12+($AN17:$AN17="Dt+")*12+($AN17:$AN17="Tm-")*6+($AN17:$AN17="Mt-")*6)</f>
        <v/>
      </c>
      <c r="BC17" s="118">
        <f>BB17-MAX(0,IFERROR(INDEX(CADASTRO!$I$4:$I$80,MATCH($A17,CADASTRO!$A$4:$A$80,0)),$B17)-CONFIG!$B$50*(COUNTIF($AH17:$AM17,"AB")+COUNTIF($AH17:$AM17,"FE")+COUNTIF($AH17:$AM17,"LM")+COUNTIF($AN17:$AN17,"AB")+COUNTIF($AN17:$AN17,"FE")+COUNTIF($AN17:$AN17,"LM")))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36">
        <f>IFERROR(INDEX(SET!AJ$8:AJ$73,MATCH($A18,SET!$A$8:$A$73,0))&amp;"","")</f>
        <v/>
      </c>
      <c r="G18" s="136">
        <f>IFERROR(INDEX(SET!AK$8:AK$73,MATCH($A18,SET!$A$8:$A$73,0))&amp;"","")</f>
        <v/>
      </c>
      <c r="H18" s="136">
        <f>IFERROR(INDEX(SET!AL$8:AL$73,MATCH($A18,SET!$A$8:$A$73,0))&amp;"","")</f>
        <v/>
      </c>
      <c r="I18" s="126" t="inlineStr">
        <is>
          <t>T</t>
        </is>
      </c>
      <c r="J18" s="124" t="inlineStr">
        <is>
          <t>D</t>
        </is>
      </c>
      <c r="K18" s="114" t="n"/>
      <c r="L18" s="114" t="n"/>
      <c r="M18" s="126" t="inlineStr">
        <is>
          <t>T</t>
        </is>
      </c>
      <c r="N18" s="114" t="n"/>
      <c r="O18" s="126" t="inlineStr">
        <is>
          <t>T</t>
        </is>
      </c>
      <c r="P18" s="114" t="n"/>
      <c r="Q18" s="125" t="inlineStr">
        <is>
          <t>N</t>
        </is>
      </c>
      <c r="R18" s="114" t="n"/>
      <c r="S18" s="124" t="inlineStr">
        <is>
          <t>D</t>
        </is>
      </c>
      <c r="T18" s="124" t="inlineStr">
        <is>
          <t>D</t>
        </is>
      </c>
      <c r="U18" s="126" t="inlineStr">
        <is>
          <t>T</t>
        </is>
      </c>
      <c r="V18" s="124" t="inlineStr">
        <is>
          <t>D</t>
        </is>
      </c>
      <c r="W18" s="126" t="inlineStr">
        <is>
          <t>T</t>
        </is>
      </c>
      <c r="X18" s="114" t="n"/>
      <c r="Y18" s="114" t="n"/>
      <c r="Z18" s="114" t="n"/>
      <c r="AA18" s="126" t="inlineStr">
        <is>
          <t>T</t>
        </is>
      </c>
      <c r="AB18" s="126" t="inlineStr">
        <is>
          <t>T</t>
        </is>
      </c>
      <c r="AC18" s="126" t="inlineStr">
        <is>
          <t>T</t>
        </is>
      </c>
      <c r="AD18" s="114" t="n"/>
      <c r="AE18" s="126" t="inlineStr">
        <is>
          <t>T</t>
        </is>
      </c>
      <c r="AF18" s="114" t="n"/>
      <c r="AG18" s="124" t="inlineStr">
        <is>
          <t>D</t>
        </is>
      </c>
      <c r="AH18" s="126" t="inlineStr">
        <is>
          <t>T</t>
        </is>
      </c>
      <c r="AI18" s="126" t="inlineStr">
        <is>
          <t>T</t>
        </is>
      </c>
      <c r="AJ18" s="126" t="inlineStr">
        <is>
          <t>T</t>
        </is>
      </c>
      <c r="AK18" s="114" t="n"/>
      <c r="AL18" s="114" t="n"/>
      <c r="AM18" s="125" t="inlineStr">
        <is>
          <t>N</t>
        </is>
      </c>
      <c r="AN18" s="116">
        <f>IFERROR(INDEX(NOV!I$8:I$73,MATCH($A18,NOV!$A$8:$A$73,0))&amp;"","")</f>
        <v/>
      </c>
      <c r="AO18" s="100" t="n"/>
      <c r="AP18" s="100" t="n"/>
      <c r="AQ18" s="100" t="n"/>
      <c r="AR18" s="100" t="n"/>
      <c r="AS18" s="100" t="n"/>
      <c r="AT18" s="117">
        <f>SUMPRODUCT(($F18:$L18="M")*6+($F18:$L18="T")*6+($F18:$L18="D")*12+($F18:$L18="N")*12+($F18:$L18="NT")*6+($F18:$L18="C")*10+($F18:$L18="A")*8+($F18:$L18="J")*5+($F18:$L18="CEP")*4+($F18:$L18="CP")*6+($F18:$L18="CRO")*6+($F18:$L18="M+")*6+($F18:$L18="T+")*6+($F18:$L18="D+")*12+($F18:$L18="N+")*12+($F18:$L18="Dm+")*12+($F18:$L18="Dt+")*12+($F18:$L18="Tm-")*6+($F18:$L18="Mt-")*6)</f>
        <v/>
      </c>
      <c r="AU18" s="118">
        <f>AT18-MAX(0,IFERROR(INDEX(CADASTRO!$I$4:$I$80,MATCH($A18,CADASTRO!$A$4:$A$80,0)),$B18)-CONFIG!$B$50*(COUNTIF($F18:$L18,"AB")+COUNTIF($F18:$L18,"FE")+COUNTIF($F18:$L18,"LM")))</f>
        <v/>
      </c>
      <c r="AV18" s="117">
        <f>SUMPRODUCT(($M18:$S18="M")*6+($M18:$S18="T")*6+($M18:$S18="D")*12+($M18:$S18="N")*12+($M18:$S18="NT")*6+($M18:$S18="C")*10+($M18:$S18="A")*8+($M18:$S18="J")*5+($M18:$S18="CEP")*4+($M18:$S18="CP")*6+($M18:$S18="CRO")*6+($M18:$S18="M+")*6+($M18:$S18="T+")*6+($M18:$S18="D+")*12+($M18:$S18="N+")*12+($M18:$S18="Dm+")*12+($M18:$S18="Dt+")*12+($M18:$S18="Tm-")*6+($M18:$S18="Mt-")*6)</f>
        <v/>
      </c>
      <c r="AW18" s="118">
        <f>AV18-MAX(0,IFERROR(INDEX(CADASTRO!$I$4:$I$80,MATCH($A18,CADASTRO!$A$4:$A$80,0)),$B18)-CONFIG!$B$50*(COUNTIF($M18:$S18,"AB")+COUNTIF($M18:$S18,"FE")+COUNTIF($M18:$S18,"LM")))</f>
        <v/>
      </c>
      <c r="AX18" s="117">
        <f>SUMPRODUCT(($T18:$Z18="M")*6+($T18:$Z18="T")*6+($T18:$Z18="D")*12+($T18:$Z18="N")*12+($T18:$Z18="NT")*6+($T18:$Z18="C")*10+($T18:$Z18="A")*8+($T18:$Z18="J")*5+($T18:$Z18="CEP")*4+($T18:$Z18="CP")*6+($T18:$Z18="CRO")*6+($T18:$Z18="M+")*6+($T18:$Z18="T+")*6+($T18:$Z18="D+")*12+($T18:$Z18="N+")*12+($T18:$Z18="Dm+")*12+($T18:$Z18="Dt+")*12+($T18:$Z18="Tm-")*6+($T18:$Z18="Mt-")*6)</f>
        <v/>
      </c>
      <c r="AY18" s="118">
        <f>AX18-MAX(0,IFERROR(INDEX(CADASTRO!$I$4:$I$80,MATCH($A18,CADASTRO!$A$4:$A$80,0)),$B18)-CONFIG!$B$50*(COUNTIF($T18:$Z18,"AB")+COUNTIF($T18:$Z18,"FE")+COUNTIF($T18:$Z18,"LM")))</f>
        <v/>
      </c>
      <c r="AZ18" s="117">
        <f>SUMPRODUCT(($AA18:$AG18="M")*6+($AA18:$AG18="T")*6+($AA18:$AG18="D")*12+($AA18:$AG18="N")*12+($AA18:$AG18="NT")*6+($AA18:$AG18="C")*10+($AA18:$AG18="A")*8+($AA18:$AG18="J")*5+($AA18:$AG18="CEP")*4+($AA18:$AG18="CP")*6+($AA18:$AG18="CRO")*6+($AA18:$AG18="M+")*6+($AA18:$AG18="T+")*6+($AA18:$AG18="D+")*12+($AA18:$AG18="N+")*12+($AA18:$AG18="Dm+")*12+($AA18:$AG18="Dt+")*12+($AA18:$AG18="Tm-")*6+($AA18:$AG18="Mt-")*6)</f>
        <v/>
      </c>
      <c r="BA18" s="118">
        <f>AZ18-MAX(0,IFERROR(INDEX(CADASTRO!$I$4:$I$80,MATCH($A18,CADASTRO!$A$4:$A$80,0)),$B18)-CONFIG!$B$50*(COUNTIF($AA18:$AG18,"AB")+COUNTIF($AA18:$AG18,"FE")+COUNTIF($AA18:$AG18,"LM")))</f>
        <v/>
      </c>
      <c r="BB18" s="117">
        <f>SUMPRODUCT(($AH18:$AM18="M")*6+($AH18:$AM18="T")*6+($AH18:$AM18="D")*12+($AH18:$AM18="N")*12+($AH18:$AM18="NT")*6+($AH18:$AM18="C")*10+($AH18:$AM18="A")*8+($AH18:$AM18="J")*5+($AH18:$AM18="CEP")*4+($AH18:$AM18="CP")*6+($AH18:$AM18="CRO")*6+($AH18:$AM18="M+")*6+($AH18:$AM18="T+")*6+($AH18:$AM18="D+")*12+($AH18:$AM18="N+")*12+($AH18:$AM18="Dm+")*12+($AH18:$AM18="Dt+")*12+($AH18:$AM18="Tm-")*6+($AH18:$AM18="Mt-")*6)+SUMPRODUCT(($AN18:$AN18="M")*6+($AN18:$AN18="T")*6+($AN18:$AN18="D")*12+($AN18:$AN18="N")*12+($AN18:$AN18="NT")*6+($AN18:$AN18="C")*10+($AN18:$AN18="A")*8+($AN18:$AN18="J")*5+($AN18:$AN18="CEP")*4+($AN18:$AN18="CP")*6+($AN18:$AN18="CRO")*6+($AN18:$AN18="M+")*6+($AN18:$AN18="T+")*6+($AN18:$AN18="D+")*12+($AN18:$AN18="N+")*12+($AN18:$AN18="Dm+")*12+($AN18:$AN18="Dt+")*12+($AN18:$AN18="Tm-")*6+($AN18:$AN18="Mt-")*6)</f>
        <v/>
      </c>
      <c r="BC18" s="118">
        <f>BB18-MAX(0,IFERROR(INDEX(CADASTRO!$I$4:$I$80,MATCH($A18,CADASTRO!$A$4:$A$80,0)),$B18)-CONFIG!$B$50*(COUNTIF($AH18:$AM18,"AB")+COUNTIF($AH18:$AM18,"FE")+COUNTIF($AH18:$AM18,"LM")+COUNTIF($AN18:$AN18,"AB")+COUNTIF($AN18:$AN18,"FE")+COUNTIF($AN18:$AN18,"LM")))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36">
        <f>IFERROR(INDEX(SET!AJ$8:AJ$73,MATCH($A19,SET!$A$8:$A$73,0))&amp;"","")</f>
        <v/>
      </c>
      <c r="G19" s="136">
        <f>IFERROR(INDEX(SET!AK$8:AK$73,MATCH($A19,SET!$A$8:$A$73,0))&amp;"","")</f>
        <v/>
      </c>
      <c r="H19" s="136">
        <f>IFERROR(INDEX(SET!AL$8:AL$73,MATCH($A19,SET!$A$8:$A$73,0))&amp;"","")</f>
        <v/>
      </c>
      <c r="I19" s="125" t="inlineStr">
        <is>
          <t>N</t>
        </is>
      </c>
      <c r="J19" s="114" t="n"/>
      <c r="K19" s="114" t="n"/>
      <c r="L19" s="125" t="inlineStr">
        <is>
          <t>N</t>
        </is>
      </c>
      <c r="M19" s="114" t="n"/>
      <c r="N19" s="114" t="n"/>
      <c r="O19" s="125" t="inlineStr">
        <is>
          <t>N</t>
        </is>
      </c>
      <c r="P19" s="125" t="inlineStr">
        <is>
          <t>N</t>
        </is>
      </c>
      <c r="Q19" s="114" t="n"/>
      <c r="R19" s="114" t="n"/>
      <c r="S19" s="125" t="inlineStr">
        <is>
          <t>N</t>
        </is>
      </c>
      <c r="T19" s="114" t="n"/>
      <c r="U19" s="114" t="n"/>
      <c r="V19" s="125" t="inlineStr">
        <is>
          <t>N</t>
        </is>
      </c>
      <c r="W19" s="125" t="inlineStr">
        <is>
          <t>N</t>
        </is>
      </c>
      <c r="X19" s="114" t="n"/>
      <c r="Y19" s="114" t="n"/>
      <c r="Z19" s="125" t="inlineStr">
        <is>
          <t>N</t>
        </is>
      </c>
      <c r="AA19" s="114" t="n"/>
      <c r="AB19" s="125" t="inlineStr">
        <is>
          <t>N</t>
        </is>
      </c>
      <c r="AC19" s="125" t="inlineStr">
        <is>
          <t>N</t>
        </is>
      </c>
      <c r="AD19" s="114" t="n"/>
      <c r="AE19" s="125" t="inlineStr">
        <is>
          <t>N</t>
        </is>
      </c>
      <c r="AF19" s="114" t="n"/>
      <c r="AG19" s="114" t="n"/>
      <c r="AH19" s="114" t="n"/>
      <c r="AI19" s="114" t="n"/>
      <c r="AJ19" s="125" t="inlineStr">
        <is>
          <t>N</t>
        </is>
      </c>
      <c r="AK19" s="125" t="inlineStr">
        <is>
          <t>N</t>
        </is>
      </c>
      <c r="AL19" s="114" t="n"/>
      <c r="AM19" s="114" t="n"/>
      <c r="AN19" s="116">
        <f>IFERROR(INDEX(NOV!I$8:I$73,MATCH($A19,NOV!$A$8:$A$73,0))&amp;"","")</f>
        <v/>
      </c>
      <c r="AO19" s="100" t="n"/>
      <c r="AP19" s="100" t="n"/>
      <c r="AQ19" s="100" t="n"/>
      <c r="AR19" s="100" t="n"/>
      <c r="AS19" s="100" t="n"/>
      <c r="AT19" s="117">
        <f>SUMPRODUCT(($F19:$L19="M")*6+($F19:$L19="T")*6+($F19:$L19="D")*12+($F19:$L19="N")*12+($F19:$L19="NT")*6+($F19:$L19="C")*10+($F19:$L19="A")*8+($F19:$L19="J")*5+($F19:$L19="CEP")*4+($F19:$L19="CP")*6+($F19:$L19="CRO")*6+($F19:$L19="M+")*6+($F19:$L19="T+")*6+($F19:$L19="D+")*12+($F19:$L19="N+")*12+($F19:$L19="Dm+")*12+($F19:$L19="Dt+")*12+($F19:$L19="Tm-")*6+($F19:$L19="Mt-")*6)</f>
        <v/>
      </c>
      <c r="AU19" s="118">
        <f>AT19-MAX(0,IFERROR(INDEX(CADASTRO!$I$4:$I$80,MATCH($A19,CADASTRO!$A$4:$A$80,0)),$B19)-CONFIG!$B$50*(COUNTIF($F19:$L19,"AB")+COUNTIF($F19:$L19,"FE")+COUNTIF($F19:$L19,"LM")))</f>
        <v/>
      </c>
      <c r="AV19" s="117">
        <f>SUMPRODUCT(($M19:$S19="M")*6+($M19:$S19="T")*6+($M19:$S19="D")*12+($M19:$S19="N")*12+($M19:$S19="NT")*6+($M19:$S19="C")*10+($M19:$S19="A")*8+($M19:$S19="J")*5+($M19:$S19="CEP")*4+($M19:$S19="CP")*6+($M19:$S19="CRO")*6+($M19:$S19="M+")*6+($M19:$S19="T+")*6+($M19:$S19="D+")*12+($M19:$S19="N+")*12+($M19:$S19="Dm+")*12+($M19:$S19="Dt+")*12+($M19:$S19="Tm-")*6+($M19:$S19="Mt-")*6)</f>
        <v/>
      </c>
      <c r="AW19" s="118">
        <f>AV19-MAX(0,IFERROR(INDEX(CADASTRO!$I$4:$I$80,MATCH($A19,CADASTRO!$A$4:$A$80,0)),$B19)-CONFIG!$B$50*(COUNTIF($M19:$S19,"AB")+COUNTIF($M19:$S19,"FE")+COUNTIF($M19:$S19,"LM")))</f>
        <v/>
      </c>
      <c r="AX19" s="117">
        <f>SUMPRODUCT(($T19:$Z19="M")*6+($T19:$Z19="T")*6+($T19:$Z19="D")*12+($T19:$Z19="N")*12+($T19:$Z19="NT")*6+($T19:$Z19="C")*10+($T19:$Z19="A")*8+($T19:$Z19="J")*5+($T19:$Z19="CEP")*4+($T19:$Z19="CP")*6+($T19:$Z19="CRO")*6+($T19:$Z19="M+")*6+($T19:$Z19="T+")*6+($T19:$Z19="D+")*12+($T19:$Z19="N+")*12+($T19:$Z19="Dm+")*12+($T19:$Z19="Dt+")*12+($T19:$Z19="Tm-")*6+($T19:$Z19="Mt-")*6)</f>
        <v/>
      </c>
      <c r="AY19" s="118">
        <f>AX19-MAX(0,IFERROR(INDEX(CADASTRO!$I$4:$I$80,MATCH($A19,CADASTRO!$A$4:$A$80,0)),$B19)-CONFIG!$B$50*(COUNTIF($T19:$Z19,"AB")+COUNTIF($T19:$Z19,"FE")+COUNTIF($T19:$Z19,"LM")))</f>
        <v/>
      </c>
      <c r="AZ19" s="117">
        <f>SUMPRODUCT(($AA19:$AG19="M")*6+($AA19:$AG19="T")*6+($AA19:$AG19="D")*12+($AA19:$AG19="N")*12+($AA19:$AG19="NT")*6+($AA19:$AG19="C")*10+($AA19:$AG19="A")*8+($AA19:$AG19="J")*5+($AA19:$AG19="CEP")*4+($AA19:$AG19="CP")*6+($AA19:$AG19="CRO")*6+($AA19:$AG19="M+")*6+($AA19:$AG19="T+")*6+($AA19:$AG19="D+")*12+($AA19:$AG19="N+")*12+($AA19:$AG19="Dm+")*12+($AA19:$AG19="Dt+")*12+($AA19:$AG19="Tm-")*6+($AA19:$AG19="Mt-")*6)</f>
        <v/>
      </c>
      <c r="BA19" s="118">
        <f>AZ19-MAX(0,IFERROR(INDEX(CADASTRO!$I$4:$I$80,MATCH($A19,CADASTRO!$A$4:$A$80,0)),$B19)-CONFIG!$B$50*(COUNTIF($AA19:$AG19,"AB")+COUNTIF($AA19:$AG19,"FE")+COUNTIF($AA19:$AG19,"LM")))</f>
        <v/>
      </c>
      <c r="BB19" s="117">
        <f>SUMPRODUCT(($AH19:$AM19="M")*6+($AH19:$AM19="T")*6+($AH19:$AM19="D")*12+($AH19:$AM19="N")*12+($AH19:$AM19="NT")*6+($AH19:$AM19="C")*10+($AH19:$AM19="A")*8+($AH19:$AM19="J")*5+($AH19:$AM19="CEP")*4+($AH19:$AM19="CP")*6+($AH19:$AM19="CRO")*6+($AH19:$AM19="M+")*6+($AH19:$AM19="T+")*6+($AH19:$AM19="D+")*12+($AH19:$AM19="N+")*12+($AH19:$AM19="Dm+")*12+($AH19:$AM19="Dt+")*12+($AH19:$AM19="Tm-")*6+($AH19:$AM19="Mt-")*6)+SUMPRODUCT(($AN19:$AN19="M")*6+($AN19:$AN19="T")*6+($AN19:$AN19="D")*12+($AN19:$AN19="N")*12+($AN19:$AN19="NT")*6+($AN19:$AN19="C")*10+($AN19:$AN19="A")*8+($AN19:$AN19="J")*5+($AN19:$AN19="CEP")*4+($AN19:$AN19="CP")*6+($AN19:$AN19="CRO")*6+($AN19:$AN19="M+")*6+($AN19:$AN19="T+")*6+($AN19:$AN19="D+")*12+($AN19:$AN19="N+")*12+($AN19:$AN19="Dm+")*12+($AN19:$AN19="Dt+")*12+($AN19:$AN19="Tm-")*6+($AN19:$AN19="Mt-")*6)</f>
        <v/>
      </c>
      <c r="BC19" s="118">
        <f>BB19-MAX(0,IFERROR(INDEX(CADASTRO!$I$4:$I$80,MATCH($A19,CADASTRO!$A$4:$A$80,0)),$B19)-CONFIG!$B$50*(COUNTIF($AH19:$AM19,"AB")+COUNTIF($AH19:$AM19,"FE")+COUNTIF($AH19:$AM19,"LM")+COUNTIF($AN19:$AN19,"AB")+COUNTIF($AN19:$AN19,"FE")+COUNTIF($AN19:$AN19,"LM")))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36">
        <f>IFERROR(INDEX(SET!AJ$8:AJ$73,MATCH($A20,SET!$A$8:$A$73,0))&amp;"","")</f>
        <v/>
      </c>
      <c r="G20" s="136">
        <f>IFERROR(INDEX(SET!AK$8:AK$73,MATCH($A20,SET!$A$8:$A$73,0))&amp;"","")</f>
        <v/>
      </c>
      <c r="H20" s="136">
        <f>IFERROR(INDEX(SET!AL$8:AL$73,MATCH($A20,SET!$A$8:$A$73,0))&amp;"","")</f>
        <v/>
      </c>
      <c r="I20" s="125" t="inlineStr">
        <is>
          <t>N</t>
        </is>
      </c>
      <c r="J20" s="114" t="n"/>
      <c r="K20" s="114" t="n"/>
      <c r="L20" s="114" t="n"/>
      <c r="M20" s="114" t="n"/>
      <c r="N20" s="125" t="inlineStr">
        <is>
          <t>N</t>
        </is>
      </c>
      <c r="O20" s="114" t="n"/>
      <c r="P20" s="125" t="inlineStr">
        <is>
          <t>N</t>
        </is>
      </c>
      <c r="Q20" s="114" t="n"/>
      <c r="R20" s="125" t="inlineStr">
        <is>
          <t>N</t>
        </is>
      </c>
      <c r="S20" s="114" t="n"/>
      <c r="T20" s="114" t="n"/>
      <c r="U20" s="125" t="inlineStr">
        <is>
          <t>N</t>
        </is>
      </c>
      <c r="V20" s="114" t="n"/>
      <c r="W20" s="125" t="inlineStr">
        <is>
          <t>N</t>
        </is>
      </c>
      <c r="X20" s="114" t="n"/>
      <c r="Y20" s="114" t="n"/>
      <c r="Z20" s="125" t="inlineStr">
        <is>
          <t>N</t>
        </is>
      </c>
      <c r="AA20" s="114" t="n"/>
      <c r="AB20" s="125" t="inlineStr">
        <is>
          <t>N</t>
        </is>
      </c>
      <c r="AC20" s="125" t="inlineStr">
        <is>
          <t>N</t>
        </is>
      </c>
      <c r="AD20" s="125" t="inlineStr">
        <is>
          <t>N</t>
        </is>
      </c>
      <c r="AE20" s="114" t="n"/>
      <c r="AF20" s="114" t="n"/>
      <c r="AG20" s="114" t="n"/>
      <c r="AH20" s="114" t="n"/>
      <c r="AI20" s="114" t="n"/>
      <c r="AJ20" s="125" t="inlineStr">
        <is>
          <t>N</t>
        </is>
      </c>
      <c r="AK20" s="125" t="inlineStr">
        <is>
          <t>N</t>
        </is>
      </c>
      <c r="AL20" s="114" t="n"/>
      <c r="AM20" s="114" t="n"/>
      <c r="AN20" s="116">
        <f>IFERROR(INDEX(NOV!I$8:I$73,MATCH($A20,NOV!$A$8:$A$73,0))&amp;"","")</f>
        <v/>
      </c>
      <c r="AO20" s="100" t="n"/>
      <c r="AP20" s="100" t="n"/>
      <c r="AQ20" s="100" t="n"/>
      <c r="AR20" s="100" t="n"/>
      <c r="AS20" s="100" t="n"/>
      <c r="AT20" s="117">
        <f>SUMPRODUCT(($F20:$L20="M")*6+($F20:$L20="T")*6+($F20:$L20="D")*12+($F20:$L20="N")*12+($F20:$L20="NT")*6+($F20:$L20="C")*10+($F20:$L20="A")*8+($F20:$L20="J")*5+($F20:$L20="CEP")*4+($F20:$L20="CP")*6+($F20:$L20="CRO")*6+($F20:$L20="M+")*6+($F20:$L20="T+")*6+($F20:$L20="D+")*12+($F20:$L20="N+")*12+($F20:$L20="Dm+")*12+($F20:$L20="Dt+")*12+($F20:$L20="Tm-")*6+($F20:$L20="Mt-")*6)</f>
        <v/>
      </c>
      <c r="AU20" s="118">
        <f>AT20-MAX(0,IFERROR(INDEX(CADASTRO!$I$4:$I$80,MATCH($A20,CADASTRO!$A$4:$A$80,0)),$B20)-CONFIG!$B$50*(COUNTIF($F20:$L20,"AB")+COUNTIF($F20:$L20,"FE")+COUNTIF($F20:$L20,"LM")))</f>
        <v/>
      </c>
      <c r="AV20" s="117">
        <f>SUMPRODUCT(($M20:$S20="M")*6+($M20:$S20="T")*6+($M20:$S20="D")*12+($M20:$S20="N")*12+($M20:$S20="NT")*6+($M20:$S20="C")*10+($M20:$S20="A")*8+($M20:$S20="J")*5+($M20:$S20="CEP")*4+($M20:$S20="CP")*6+($M20:$S20="CRO")*6+($M20:$S20="M+")*6+($M20:$S20="T+")*6+($M20:$S20="D+")*12+($M20:$S20="N+")*12+($M20:$S20="Dm+")*12+($M20:$S20="Dt+")*12+($M20:$S20="Tm-")*6+($M20:$S20="Mt-")*6)</f>
        <v/>
      </c>
      <c r="AW20" s="118">
        <f>AV20-MAX(0,IFERROR(INDEX(CADASTRO!$I$4:$I$80,MATCH($A20,CADASTRO!$A$4:$A$80,0)),$B20)-CONFIG!$B$50*(COUNTIF($M20:$S20,"AB")+COUNTIF($M20:$S20,"FE")+COUNTIF($M20:$S20,"LM")))</f>
        <v/>
      </c>
      <c r="AX20" s="117">
        <f>SUMPRODUCT(($T20:$Z20="M")*6+($T20:$Z20="T")*6+($T20:$Z20="D")*12+($T20:$Z20="N")*12+($T20:$Z20="NT")*6+($T20:$Z20="C")*10+($T20:$Z20="A")*8+($T20:$Z20="J")*5+($T20:$Z20="CEP")*4+($T20:$Z20="CP")*6+($T20:$Z20="CRO")*6+($T20:$Z20="M+")*6+($T20:$Z20="T+")*6+($T20:$Z20="D+")*12+($T20:$Z20="N+")*12+($T20:$Z20="Dm+")*12+($T20:$Z20="Dt+")*12+($T20:$Z20="Tm-")*6+($T20:$Z20="Mt-")*6)</f>
        <v/>
      </c>
      <c r="AY20" s="118">
        <f>AX20-MAX(0,IFERROR(INDEX(CADASTRO!$I$4:$I$80,MATCH($A20,CADASTRO!$A$4:$A$80,0)),$B20)-CONFIG!$B$50*(COUNTIF($T20:$Z20,"AB")+COUNTIF($T20:$Z20,"FE")+COUNTIF($T20:$Z20,"LM")))</f>
        <v/>
      </c>
      <c r="AZ20" s="117">
        <f>SUMPRODUCT(($AA20:$AG20="M")*6+($AA20:$AG20="T")*6+($AA20:$AG20="D")*12+($AA20:$AG20="N")*12+($AA20:$AG20="NT")*6+($AA20:$AG20="C")*10+($AA20:$AG20="A")*8+($AA20:$AG20="J")*5+($AA20:$AG20="CEP")*4+($AA20:$AG20="CP")*6+($AA20:$AG20="CRO")*6+($AA20:$AG20="M+")*6+($AA20:$AG20="T+")*6+($AA20:$AG20="D+")*12+($AA20:$AG20="N+")*12+($AA20:$AG20="Dm+")*12+($AA20:$AG20="Dt+")*12+($AA20:$AG20="Tm-")*6+($AA20:$AG20="Mt-")*6)</f>
        <v/>
      </c>
      <c r="BA20" s="118">
        <f>AZ20-MAX(0,IFERROR(INDEX(CADASTRO!$I$4:$I$80,MATCH($A20,CADASTRO!$A$4:$A$80,0)),$B20)-CONFIG!$B$50*(COUNTIF($AA20:$AG20,"AB")+COUNTIF($AA20:$AG20,"FE")+COUNTIF($AA20:$AG20,"LM")))</f>
        <v/>
      </c>
      <c r="BB20" s="117">
        <f>SUMPRODUCT(($AH20:$AM20="M")*6+($AH20:$AM20="T")*6+($AH20:$AM20="D")*12+($AH20:$AM20="N")*12+($AH20:$AM20="NT")*6+($AH20:$AM20="C")*10+($AH20:$AM20="A")*8+($AH20:$AM20="J")*5+($AH20:$AM20="CEP")*4+($AH20:$AM20="CP")*6+($AH20:$AM20="CRO")*6+($AH20:$AM20="M+")*6+($AH20:$AM20="T+")*6+($AH20:$AM20="D+")*12+($AH20:$AM20="N+")*12+($AH20:$AM20="Dm+")*12+($AH20:$AM20="Dt+")*12+($AH20:$AM20="Tm-")*6+($AH20:$AM20="Mt-")*6)+SUMPRODUCT(($AN20:$AN20="M")*6+($AN20:$AN20="T")*6+($AN20:$AN20="D")*12+($AN20:$AN20="N")*12+($AN20:$AN20="NT")*6+($AN20:$AN20="C")*10+($AN20:$AN20="A")*8+($AN20:$AN20="J")*5+($AN20:$AN20="CEP")*4+($AN20:$AN20="CP")*6+($AN20:$AN20="CRO")*6+($AN20:$AN20="M+")*6+($AN20:$AN20="T+")*6+($AN20:$AN20="D+")*12+($AN20:$AN20="N+")*12+($AN20:$AN20="Dm+")*12+($AN20:$AN20="Dt+")*12+($AN20:$AN20="Tm-")*6+($AN20:$AN20="Mt-")*6)</f>
        <v/>
      </c>
      <c r="BC20" s="118">
        <f>BB20-MAX(0,IFERROR(INDEX(CADASTRO!$I$4:$I$80,MATCH($A20,CADASTRO!$A$4:$A$80,0)),$B20)-CONFIG!$B$50*(COUNTIF($AH20:$AM20,"AB")+COUNTIF($AH20:$AM20,"FE")+COUNTIF($AH20:$AM20,"LM")+COUNTIF($AN20:$AN20,"AB")+COUNTIF($AN20:$AN20,"FE")+COUNTIF($AN20:$AN20,"LM")))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36">
        <f>IFERROR(INDEX(SET!AJ$8:AJ$73,MATCH($A21,SET!$A$8:$A$73,0))&amp;"","")</f>
        <v/>
      </c>
      <c r="G21" s="136">
        <f>IFERROR(INDEX(SET!AK$8:AK$73,MATCH($A21,SET!$A$8:$A$73,0))&amp;"","")</f>
        <v/>
      </c>
      <c r="H21" s="136">
        <f>IFERROR(INDEX(SET!AL$8:AL$73,MATCH($A21,SET!$A$8:$A$73,0))&amp;"","")</f>
        <v/>
      </c>
      <c r="I21" s="126" t="inlineStr">
        <is>
          <t>T</t>
        </is>
      </c>
      <c r="J21" s="126" t="inlineStr">
        <is>
          <t>T</t>
        </is>
      </c>
      <c r="K21" s="114" t="n"/>
      <c r="L21" s="125" t="inlineStr">
        <is>
          <t>N</t>
        </is>
      </c>
      <c r="M21" s="126" t="inlineStr">
        <is>
          <t>T</t>
        </is>
      </c>
      <c r="N21" s="114" t="n"/>
      <c r="O21" s="126" t="inlineStr">
        <is>
          <t>T</t>
        </is>
      </c>
      <c r="P21" s="124" t="inlineStr">
        <is>
          <t>D</t>
        </is>
      </c>
      <c r="Q21" s="114" t="n"/>
      <c r="R21" s="115" t="inlineStr">
        <is>
          <t>M</t>
        </is>
      </c>
      <c r="S21" s="115" t="inlineStr">
        <is>
          <t>M</t>
        </is>
      </c>
      <c r="T21" s="126" t="inlineStr">
        <is>
          <t>T</t>
        </is>
      </c>
      <c r="U21" s="114" t="n"/>
      <c r="V21" s="124" t="inlineStr">
        <is>
          <t>D</t>
        </is>
      </c>
      <c r="W21" s="124" t="inlineStr">
        <is>
          <t>D</t>
        </is>
      </c>
      <c r="X21" s="126" t="inlineStr">
        <is>
          <t>T</t>
        </is>
      </c>
      <c r="Y21" s="114" t="n"/>
      <c r="Z21" s="114" t="n"/>
      <c r="AA21" s="114" t="n"/>
      <c r="AB21" s="114" t="n"/>
      <c r="AC21" s="124" t="inlineStr">
        <is>
          <t>D</t>
        </is>
      </c>
      <c r="AD21" s="114" t="n"/>
      <c r="AE21" s="125" t="inlineStr">
        <is>
          <t>N</t>
        </is>
      </c>
      <c r="AF21" s="114" t="n"/>
      <c r="AG21" s="125" t="inlineStr">
        <is>
          <t>N</t>
        </is>
      </c>
      <c r="AH21" s="125" t="inlineStr">
        <is>
          <t>N</t>
        </is>
      </c>
      <c r="AI21" s="114" t="n"/>
      <c r="AJ21" s="124" t="inlineStr">
        <is>
          <t>D</t>
        </is>
      </c>
      <c r="AK21" s="126" t="inlineStr">
        <is>
          <t>T</t>
        </is>
      </c>
      <c r="AL21" s="126" t="inlineStr">
        <is>
          <t>T</t>
        </is>
      </c>
      <c r="AM21" s="114" t="n"/>
      <c r="AN21" s="116">
        <f>IFERROR(INDEX(NOV!I$8:I$73,MATCH($A21,NOV!$A$8:$A$73,0))&amp;"","")</f>
        <v/>
      </c>
      <c r="AO21" s="100" t="n"/>
      <c r="AP21" s="100" t="n"/>
      <c r="AQ21" s="100" t="n"/>
      <c r="AR21" s="100" t="n"/>
      <c r="AS21" s="100" t="n"/>
      <c r="AT21" s="117">
        <f>SUMPRODUCT(($F21:$L21="M")*6+($F21:$L21="T")*6+($F21:$L21="D")*12+($F21:$L21="N")*12+($F21:$L21="NT")*6+($F21:$L21="C")*10+($F21:$L21="A")*8+($F21:$L21="J")*5+($F21:$L21="CEP")*4+($F21:$L21="CP")*6+($F21:$L21="CRO")*6+($F21:$L21="M+")*6+($F21:$L21="T+")*6+($F21:$L21="D+")*12+($F21:$L21="N+")*12+($F21:$L21="Dm+")*12+($F21:$L21="Dt+")*12+($F21:$L21="Tm-")*6+($F21:$L21="Mt-")*6)</f>
        <v/>
      </c>
      <c r="AU21" s="118">
        <f>AT21-MAX(0,IFERROR(INDEX(CADASTRO!$I$4:$I$80,MATCH($A21,CADASTRO!$A$4:$A$80,0)),$B21)-CONFIG!$B$50*(COUNTIF($F21:$L21,"AB")+COUNTIF($F21:$L21,"FE")+COUNTIF($F21:$L21,"LM")))</f>
        <v/>
      </c>
      <c r="AV21" s="117">
        <f>SUMPRODUCT(($M21:$S21="M")*6+($M21:$S21="T")*6+($M21:$S21="D")*12+($M21:$S21="N")*12+($M21:$S21="NT")*6+($M21:$S21="C")*10+($M21:$S21="A")*8+($M21:$S21="J")*5+($M21:$S21="CEP")*4+($M21:$S21="CP")*6+($M21:$S21="CRO")*6+($M21:$S21="M+")*6+($M21:$S21="T+")*6+($M21:$S21="D+")*12+($M21:$S21="N+")*12+($M21:$S21="Dm+")*12+($M21:$S21="Dt+")*12+($M21:$S21="Tm-")*6+($M21:$S21="Mt-")*6)</f>
        <v/>
      </c>
      <c r="AW21" s="118">
        <f>AV21-MAX(0,IFERROR(INDEX(CADASTRO!$I$4:$I$80,MATCH($A21,CADASTRO!$A$4:$A$80,0)),$B21)-CONFIG!$B$50*(COUNTIF($M21:$S21,"AB")+COUNTIF($M21:$S21,"FE")+COUNTIF($M21:$S21,"LM")))</f>
        <v/>
      </c>
      <c r="AX21" s="117">
        <f>SUMPRODUCT(($T21:$Z21="M")*6+($T21:$Z21="T")*6+($T21:$Z21="D")*12+($T21:$Z21="N")*12+($T21:$Z21="NT")*6+($T21:$Z21="C")*10+($T21:$Z21="A")*8+($T21:$Z21="J")*5+($T21:$Z21="CEP")*4+($T21:$Z21="CP")*6+($T21:$Z21="CRO")*6+($T21:$Z21="M+")*6+($T21:$Z21="T+")*6+($T21:$Z21="D+")*12+($T21:$Z21="N+")*12+($T21:$Z21="Dm+")*12+($T21:$Z21="Dt+")*12+($T21:$Z21="Tm-")*6+($T21:$Z21="Mt-")*6)</f>
        <v/>
      </c>
      <c r="AY21" s="118">
        <f>AX21-MAX(0,IFERROR(INDEX(CADASTRO!$I$4:$I$80,MATCH($A21,CADASTRO!$A$4:$A$80,0)),$B21)-CONFIG!$B$50*(COUNTIF($T21:$Z21,"AB")+COUNTIF($T21:$Z21,"FE")+COUNTIF($T21:$Z21,"LM")))</f>
        <v/>
      </c>
      <c r="AZ21" s="117">
        <f>SUMPRODUCT(($AA21:$AG21="M")*6+($AA21:$AG21="T")*6+($AA21:$AG21="D")*12+($AA21:$AG21="N")*12+($AA21:$AG21="NT")*6+($AA21:$AG21="C")*10+($AA21:$AG21="A")*8+($AA21:$AG21="J")*5+($AA21:$AG21="CEP")*4+($AA21:$AG21="CP")*6+($AA21:$AG21="CRO")*6+($AA21:$AG21="M+")*6+($AA21:$AG21="T+")*6+($AA21:$AG21="D+")*12+($AA21:$AG21="N+")*12+($AA21:$AG21="Dm+")*12+($AA21:$AG21="Dt+")*12+($AA21:$AG21="Tm-")*6+($AA21:$AG21="Mt-")*6)</f>
        <v/>
      </c>
      <c r="BA21" s="118">
        <f>AZ21-MAX(0,IFERROR(INDEX(CADASTRO!$I$4:$I$80,MATCH($A21,CADASTRO!$A$4:$A$80,0)),$B21)-CONFIG!$B$50*(COUNTIF($AA21:$AG21,"AB")+COUNTIF($AA21:$AG21,"FE")+COUNTIF($AA21:$AG21,"LM")))</f>
        <v/>
      </c>
      <c r="BB21" s="117">
        <f>SUMPRODUCT(($AH21:$AM21="M")*6+($AH21:$AM21="T")*6+($AH21:$AM21="D")*12+($AH21:$AM21="N")*12+($AH21:$AM21="NT")*6+($AH21:$AM21="C")*10+($AH21:$AM21="A")*8+($AH21:$AM21="J")*5+($AH21:$AM21="CEP")*4+($AH21:$AM21="CP")*6+($AH21:$AM21="CRO")*6+($AH21:$AM21="M+")*6+($AH21:$AM21="T+")*6+($AH21:$AM21="D+")*12+($AH21:$AM21="N+")*12+($AH21:$AM21="Dm+")*12+($AH21:$AM21="Dt+")*12+($AH21:$AM21="Tm-")*6+($AH21:$AM21="Mt-")*6)+SUMPRODUCT(($AN21:$AN21="M")*6+($AN21:$AN21="T")*6+($AN21:$AN21="D")*12+($AN21:$AN21="N")*12+($AN21:$AN21="NT")*6+($AN21:$AN21="C")*10+($AN21:$AN21="A")*8+($AN21:$AN21="J")*5+($AN21:$AN21="CEP")*4+($AN21:$AN21="CP")*6+($AN21:$AN21="CRO")*6+($AN21:$AN21="M+")*6+($AN21:$AN21="T+")*6+($AN21:$AN21="D+")*12+($AN21:$AN21="N+")*12+($AN21:$AN21="Dm+")*12+($AN21:$AN21="Dt+")*12+($AN21:$AN21="Tm-")*6+($AN21:$AN21="Mt-")*6)</f>
        <v/>
      </c>
      <c r="BC21" s="118">
        <f>BB21-MAX(0,IFERROR(INDEX(CADASTRO!$I$4:$I$80,MATCH($A21,CADASTRO!$A$4:$A$80,0)),$B21)-CONFIG!$B$50*(COUNTIF($AH21:$AM21,"AB")+COUNTIF($AH21:$AM21,"FE")+COUNTIF($AH21:$AM21,"LM")+COUNTIF($AN21:$AN21,"AB")+COUNTIF($AN21:$AN21,"FE")+COUNTIF($AN21:$AN21,"LM")))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36">
        <f>IFERROR(INDEX(SET!AJ$8:AJ$73,MATCH($A22,SET!$A$8:$A$73,0))&amp;"","")</f>
        <v/>
      </c>
      <c r="G22" s="136">
        <f>IFERROR(INDEX(SET!AK$8:AK$73,MATCH($A22,SET!$A$8:$A$73,0))&amp;"","")</f>
        <v/>
      </c>
      <c r="H22" s="136">
        <f>IFERROR(INDEX(SET!AL$8:AL$73,MATCH($A22,SET!$A$8:$A$73,0))&amp;"","")</f>
        <v/>
      </c>
      <c r="I22" s="124" t="inlineStr">
        <is>
          <t>D</t>
        </is>
      </c>
      <c r="J22" s="114" t="n"/>
      <c r="K22" s="114" t="n"/>
      <c r="L22" s="114" t="n"/>
      <c r="M22" s="114" t="n"/>
      <c r="N22" s="124" t="inlineStr">
        <is>
          <t>D</t>
        </is>
      </c>
      <c r="O22" s="114" t="n"/>
      <c r="P22" s="114" t="n"/>
      <c r="Q22" s="114" t="n"/>
      <c r="R22" s="126" t="inlineStr">
        <is>
          <t>T</t>
        </is>
      </c>
      <c r="S22" s="124" t="inlineStr">
        <is>
          <t>D</t>
        </is>
      </c>
      <c r="T22" s="125" t="inlineStr">
        <is>
          <t>N</t>
        </is>
      </c>
      <c r="U22" s="114" t="n"/>
      <c r="V22" s="115" t="inlineStr">
        <is>
          <t>M</t>
        </is>
      </c>
      <c r="W22" s="114" t="n"/>
      <c r="X22" s="114" t="n"/>
      <c r="Y22" s="124" t="inlineStr">
        <is>
          <t>D</t>
        </is>
      </c>
      <c r="Z22" s="114" t="n"/>
      <c r="AA22" s="114" t="n"/>
      <c r="AB22" s="124" t="inlineStr">
        <is>
          <t>D</t>
        </is>
      </c>
      <c r="AC22" s="115" t="inlineStr">
        <is>
          <t>M</t>
        </is>
      </c>
      <c r="AD22" s="124" t="inlineStr">
        <is>
          <t>D</t>
        </is>
      </c>
      <c r="AE22" s="114" t="n"/>
      <c r="AF22" s="114" t="n"/>
      <c r="AG22" s="114" t="n"/>
      <c r="AH22" s="114" t="n"/>
      <c r="AI22" s="125" t="inlineStr">
        <is>
          <t>N</t>
        </is>
      </c>
      <c r="AJ22" s="114" t="n"/>
      <c r="AK22" s="115" t="inlineStr">
        <is>
          <t>M</t>
        </is>
      </c>
      <c r="AL22" s="124" t="inlineStr">
        <is>
          <t>D</t>
        </is>
      </c>
      <c r="AM22" s="114" t="n"/>
      <c r="AN22" s="116">
        <f>IFERROR(INDEX(NOV!I$8:I$73,MATCH($A22,NOV!$A$8:$A$73,0))&amp;"","")</f>
        <v/>
      </c>
      <c r="AO22" s="100" t="n"/>
      <c r="AP22" s="100" t="n"/>
      <c r="AQ22" s="100" t="n"/>
      <c r="AR22" s="100" t="n"/>
      <c r="AS22" s="100" t="n"/>
      <c r="AT22" s="117">
        <f>SUMPRODUCT(($F22:$L22="M")*6+($F22:$L22="T")*6+($F22:$L22="D")*12+($F22:$L22="N")*12+($F22:$L22="NT")*6+($F22:$L22="C")*10+($F22:$L22="A")*8+($F22:$L22="J")*5+($F22:$L22="CEP")*4+($F22:$L22="CP")*6+($F22:$L22="CRO")*6+($F22:$L22="M+")*6+($F22:$L22="T+")*6+($F22:$L22="D+")*12+($F22:$L22="N+")*12+($F22:$L22="Dm+")*12+($F22:$L22="Dt+")*12+($F22:$L22="Tm-")*6+($F22:$L22="Mt-")*6)</f>
        <v/>
      </c>
      <c r="AU22" s="118">
        <f>AT22-MAX(0,IFERROR(INDEX(CADASTRO!$I$4:$I$80,MATCH($A22,CADASTRO!$A$4:$A$80,0)),$B22)-CONFIG!$B$50*(COUNTIF($F22:$L22,"AB")+COUNTIF($F22:$L22,"FE")+COUNTIF($F22:$L22,"LM")))</f>
        <v/>
      </c>
      <c r="AV22" s="117">
        <f>SUMPRODUCT(($M22:$S22="M")*6+($M22:$S22="T")*6+($M22:$S22="D")*12+($M22:$S22="N")*12+($M22:$S22="NT")*6+($M22:$S22="C")*10+($M22:$S22="A")*8+($M22:$S22="J")*5+($M22:$S22="CEP")*4+($M22:$S22="CP")*6+($M22:$S22="CRO")*6+($M22:$S22="M+")*6+($M22:$S22="T+")*6+($M22:$S22="D+")*12+($M22:$S22="N+")*12+($M22:$S22="Dm+")*12+($M22:$S22="Dt+")*12+($M22:$S22="Tm-")*6+($M22:$S22="Mt-")*6)</f>
        <v/>
      </c>
      <c r="AW22" s="118">
        <f>AV22-MAX(0,IFERROR(INDEX(CADASTRO!$I$4:$I$80,MATCH($A22,CADASTRO!$A$4:$A$80,0)),$B22)-CONFIG!$B$50*(COUNTIF($M22:$S22,"AB")+COUNTIF($M22:$S22,"FE")+COUNTIF($M22:$S22,"LM")))</f>
        <v/>
      </c>
      <c r="AX22" s="117">
        <f>SUMPRODUCT(($T22:$Z22="M")*6+($T22:$Z22="T")*6+($T22:$Z22="D")*12+($T22:$Z22="N")*12+($T22:$Z22="NT")*6+($T22:$Z22="C")*10+($T22:$Z22="A")*8+($T22:$Z22="J")*5+($T22:$Z22="CEP")*4+($T22:$Z22="CP")*6+($T22:$Z22="CRO")*6+($T22:$Z22="M+")*6+($T22:$Z22="T+")*6+($T22:$Z22="D+")*12+($T22:$Z22="N+")*12+($T22:$Z22="Dm+")*12+($T22:$Z22="Dt+")*12+($T22:$Z22="Tm-")*6+($T22:$Z22="Mt-")*6)</f>
        <v/>
      </c>
      <c r="AY22" s="118">
        <f>AX22-MAX(0,IFERROR(INDEX(CADASTRO!$I$4:$I$80,MATCH($A22,CADASTRO!$A$4:$A$80,0)),$B22)-CONFIG!$B$50*(COUNTIF($T22:$Z22,"AB")+COUNTIF($T22:$Z22,"FE")+COUNTIF($T22:$Z22,"LM")))</f>
        <v/>
      </c>
      <c r="AZ22" s="117">
        <f>SUMPRODUCT(($AA22:$AG22="M")*6+($AA22:$AG22="T")*6+($AA22:$AG22="D")*12+($AA22:$AG22="N")*12+($AA22:$AG22="NT")*6+($AA22:$AG22="C")*10+($AA22:$AG22="A")*8+($AA22:$AG22="J")*5+($AA22:$AG22="CEP")*4+($AA22:$AG22="CP")*6+($AA22:$AG22="CRO")*6+($AA22:$AG22="M+")*6+($AA22:$AG22="T+")*6+($AA22:$AG22="D+")*12+($AA22:$AG22="N+")*12+($AA22:$AG22="Dm+")*12+($AA22:$AG22="Dt+")*12+($AA22:$AG22="Tm-")*6+($AA22:$AG22="Mt-")*6)</f>
        <v/>
      </c>
      <c r="BA22" s="118">
        <f>AZ22-MAX(0,IFERROR(INDEX(CADASTRO!$I$4:$I$80,MATCH($A22,CADASTRO!$A$4:$A$80,0)),$B22)-CONFIG!$B$50*(COUNTIF($AA22:$AG22,"AB")+COUNTIF($AA22:$AG22,"FE")+COUNTIF($AA22:$AG22,"LM")))</f>
        <v/>
      </c>
      <c r="BB22" s="117">
        <f>SUMPRODUCT(($AH22:$AM22="M")*6+($AH22:$AM22="T")*6+($AH22:$AM22="D")*12+($AH22:$AM22="N")*12+($AH22:$AM22="NT")*6+($AH22:$AM22="C")*10+($AH22:$AM22="A")*8+($AH22:$AM22="J")*5+($AH22:$AM22="CEP")*4+($AH22:$AM22="CP")*6+($AH22:$AM22="CRO")*6+($AH22:$AM22="M+")*6+($AH22:$AM22="T+")*6+($AH22:$AM22="D+")*12+($AH22:$AM22="N+")*12+($AH22:$AM22="Dm+")*12+($AH22:$AM22="Dt+")*12+($AH22:$AM22="Tm-")*6+($AH22:$AM22="Mt-")*6)+SUMPRODUCT(($AN22:$AN22="M")*6+($AN22:$AN22="T")*6+($AN22:$AN22="D")*12+($AN22:$AN22="N")*12+($AN22:$AN22="NT")*6+($AN22:$AN22="C")*10+($AN22:$AN22="A")*8+($AN22:$AN22="J")*5+($AN22:$AN22="CEP")*4+($AN22:$AN22="CP")*6+($AN22:$AN22="CRO")*6+($AN22:$AN22="M+")*6+($AN22:$AN22="T+")*6+($AN22:$AN22="D+")*12+($AN22:$AN22="N+")*12+($AN22:$AN22="Dm+")*12+($AN22:$AN22="Dt+")*12+($AN22:$AN22="Tm-")*6+($AN22:$AN22="Mt-")*6)</f>
        <v/>
      </c>
      <c r="BC22" s="118">
        <f>BB22-MAX(0,IFERROR(INDEX(CADASTRO!$I$4:$I$80,MATCH($A22,CADASTRO!$A$4:$A$80,0)),$B22)-CONFIG!$B$50*(COUNTIF($AH22:$AM22,"AB")+COUNTIF($AH22:$AM22,"FE")+COUNTIF($AH22:$AM22,"LM")+COUNTIF($AN22:$AN22,"AB")+COUNTIF($AN22:$AN22,"FE")+COUNTIF($AN22:$AN22,"LM")))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36">
        <f>IFERROR(INDEX(SET!AJ$8:AJ$73,MATCH($A23,SET!$A$8:$A$73,0))&amp;"","")</f>
        <v/>
      </c>
      <c r="G23" s="136">
        <f>IFERROR(INDEX(SET!AK$8:AK$73,MATCH($A23,SET!$A$8:$A$73,0))&amp;"","")</f>
        <v/>
      </c>
      <c r="H23" s="136">
        <f>IFERROR(INDEX(SET!AL$8:AL$73,MATCH($A23,SET!$A$8:$A$73,0))&amp;"","")</f>
        <v/>
      </c>
      <c r="I23" s="123" t="inlineStr">
        <is>
          <t>D+</t>
        </is>
      </c>
      <c r="J23" s="114" t="n"/>
      <c r="K23" s="124" t="inlineStr">
        <is>
          <t>D</t>
        </is>
      </c>
      <c r="L23" s="124" t="inlineStr">
        <is>
          <t>D</t>
        </is>
      </c>
      <c r="M23" s="124" t="inlineStr">
        <is>
          <t>D</t>
        </is>
      </c>
      <c r="N23" s="127" t="inlineStr">
        <is>
          <t>D-</t>
        </is>
      </c>
      <c r="O23" s="114" t="n"/>
      <c r="P23" s="124" t="inlineStr">
        <is>
          <t>D</t>
        </is>
      </c>
      <c r="Q23" s="114" t="n"/>
      <c r="R23" s="114" t="n"/>
      <c r="S23" s="114" t="n"/>
      <c r="T23" s="114" t="n"/>
      <c r="U23" s="124" t="inlineStr">
        <is>
          <t>D</t>
        </is>
      </c>
      <c r="V23" s="114" t="n"/>
      <c r="W23" s="124" t="inlineStr">
        <is>
          <t>D</t>
        </is>
      </c>
      <c r="X23" s="114" t="n"/>
      <c r="Y23" s="124" t="inlineStr">
        <is>
          <t>D</t>
        </is>
      </c>
      <c r="Z23" s="114" t="n"/>
      <c r="AA23" s="124" t="inlineStr">
        <is>
          <t>D</t>
        </is>
      </c>
      <c r="AB23" s="124" t="inlineStr">
        <is>
          <t>D</t>
        </is>
      </c>
      <c r="AC23" s="114" t="n"/>
      <c r="AD23" s="124" t="inlineStr">
        <is>
          <t>D</t>
        </is>
      </c>
      <c r="AE23" s="114" t="n"/>
      <c r="AF23" s="114" t="n"/>
      <c r="AG23" s="114" t="n"/>
      <c r="AH23" s="124" t="inlineStr">
        <is>
          <t>D</t>
        </is>
      </c>
      <c r="AI23" s="124" t="inlineStr">
        <is>
          <t>D</t>
        </is>
      </c>
      <c r="AJ23" s="114" t="n"/>
      <c r="AK23" s="115" t="inlineStr">
        <is>
          <t>M</t>
        </is>
      </c>
      <c r="AL23" s="114" t="n"/>
      <c r="AM23" s="114" t="n"/>
      <c r="AN23" s="116">
        <f>IFERROR(INDEX(NOV!I$8:I$73,MATCH($A23,NOV!$A$8:$A$73,0))&amp;"","")</f>
        <v/>
      </c>
      <c r="AO23" s="100" t="n"/>
      <c r="AP23" s="100" t="n"/>
      <c r="AQ23" s="100" t="n"/>
      <c r="AR23" s="100" t="n"/>
      <c r="AS23" s="100" t="n"/>
      <c r="AT23" s="117">
        <f>SUMPRODUCT(($F23:$L23="M")*6+($F23:$L23="T")*6+($F23:$L23="D")*12+($F23:$L23="N")*12+($F23:$L23="NT")*6+($F23:$L23="C")*10+($F23:$L23="A")*8+($F23:$L23="J")*5+($F23:$L23="CEP")*4+($F23:$L23="CP")*6+($F23:$L23="CRO")*6+($F23:$L23="M+")*6+($F23:$L23="T+")*6+($F23:$L23="D+")*12+($F23:$L23="N+")*12+($F23:$L23="Dm+")*12+($F23:$L23="Dt+")*12+($F23:$L23="Tm-")*6+($F23:$L23="Mt-")*6)</f>
        <v/>
      </c>
      <c r="AU23" s="118">
        <f>AT23-MAX(0,IFERROR(INDEX(CADASTRO!$I$4:$I$80,MATCH($A23,CADASTRO!$A$4:$A$80,0)),$B23)-CONFIG!$B$50*(COUNTIF($F23:$L23,"AB")+COUNTIF($F23:$L23,"FE")+COUNTIF($F23:$L23,"LM")))</f>
        <v/>
      </c>
      <c r="AV23" s="117">
        <f>SUMPRODUCT(($M23:$S23="M")*6+($M23:$S23="T")*6+($M23:$S23="D")*12+($M23:$S23="N")*12+($M23:$S23="NT")*6+($M23:$S23="C")*10+($M23:$S23="A")*8+($M23:$S23="J")*5+($M23:$S23="CEP")*4+($M23:$S23="CP")*6+($M23:$S23="CRO")*6+($M23:$S23="M+")*6+($M23:$S23="T+")*6+($M23:$S23="D+")*12+($M23:$S23="N+")*12+($M23:$S23="Dm+")*12+($M23:$S23="Dt+")*12+($M23:$S23="Tm-")*6+($M23:$S23="Mt-")*6)</f>
        <v/>
      </c>
      <c r="AW23" s="118">
        <f>AV23-MAX(0,IFERROR(INDEX(CADASTRO!$I$4:$I$80,MATCH($A23,CADASTRO!$A$4:$A$80,0)),$B23)-CONFIG!$B$50*(COUNTIF($M23:$S23,"AB")+COUNTIF($M23:$S23,"FE")+COUNTIF($M23:$S23,"LM")))</f>
        <v/>
      </c>
      <c r="AX23" s="117">
        <f>SUMPRODUCT(($T23:$Z23="M")*6+($T23:$Z23="T")*6+($T23:$Z23="D")*12+($T23:$Z23="N")*12+($T23:$Z23="NT")*6+($T23:$Z23="C")*10+($T23:$Z23="A")*8+($T23:$Z23="J")*5+($T23:$Z23="CEP")*4+($T23:$Z23="CP")*6+($T23:$Z23="CRO")*6+($T23:$Z23="M+")*6+($T23:$Z23="T+")*6+($T23:$Z23="D+")*12+($T23:$Z23="N+")*12+($T23:$Z23="Dm+")*12+($T23:$Z23="Dt+")*12+($T23:$Z23="Tm-")*6+($T23:$Z23="Mt-")*6)</f>
        <v/>
      </c>
      <c r="AY23" s="118">
        <f>AX23-MAX(0,IFERROR(INDEX(CADASTRO!$I$4:$I$80,MATCH($A23,CADASTRO!$A$4:$A$80,0)),$B23)-CONFIG!$B$50*(COUNTIF($T23:$Z23,"AB")+COUNTIF($T23:$Z23,"FE")+COUNTIF($T23:$Z23,"LM")))</f>
        <v/>
      </c>
      <c r="AZ23" s="117">
        <f>SUMPRODUCT(($AA23:$AG23="M")*6+($AA23:$AG23="T")*6+($AA23:$AG23="D")*12+($AA23:$AG23="N")*12+($AA23:$AG23="NT")*6+($AA23:$AG23="C")*10+($AA23:$AG23="A")*8+($AA23:$AG23="J")*5+($AA23:$AG23="CEP")*4+($AA23:$AG23="CP")*6+($AA23:$AG23="CRO")*6+($AA23:$AG23="M+")*6+($AA23:$AG23="T+")*6+($AA23:$AG23="D+")*12+($AA23:$AG23="N+")*12+($AA23:$AG23="Dm+")*12+($AA23:$AG23="Dt+")*12+($AA23:$AG23="Tm-")*6+($AA23:$AG23="Mt-")*6)</f>
        <v/>
      </c>
      <c r="BA23" s="118">
        <f>AZ23-MAX(0,IFERROR(INDEX(CADASTRO!$I$4:$I$80,MATCH($A23,CADASTRO!$A$4:$A$80,0)),$B23)-CONFIG!$B$50*(COUNTIF($AA23:$AG23,"AB")+COUNTIF($AA23:$AG23,"FE")+COUNTIF($AA23:$AG23,"LM")))</f>
        <v/>
      </c>
      <c r="BB23" s="117">
        <f>SUMPRODUCT(($AH23:$AM23="M")*6+($AH23:$AM23="T")*6+($AH23:$AM23="D")*12+($AH23:$AM23="N")*12+($AH23:$AM23="NT")*6+($AH23:$AM23="C")*10+($AH23:$AM23="A")*8+($AH23:$AM23="J")*5+($AH23:$AM23="CEP")*4+($AH23:$AM23="CP")*6+($AH23:$AM23="CRO")*6+($AH23:$AM23="M+")*6+($AH23:$AM23="T+")*6+($AH23:$AM23="D+")*12+($AH23:$AM23="N+")*12+($AH23:$AM23="Dm+")*12+($AH23:$AM23="Dt+")*12+($AH23:$AM23="Tm-")*6+($AH23:$AM23="Mt-")*6)+SUMPRODUCT(($AN23:$AN23="M")*6+($AN23:$AN23="T")*6+($AN23:$AN23="D")*12+($AN23:$AN23="N")*12+($AN23:$AN23="NT")*6+($AN23:$AN23="C")*10+($AN23:$AN23="A")*8+($AN23:$AN23="J")*5+($AN23:$AN23="CEP")*4+($AN23:$AN23="CP")*6+($AN23:$AN23="CRO")*6+($AN23:$AN23="M+")*6+($AN23:$AN23="T+")*6+($AN23:$AN23="D+")*12+($AN23:$AN23="N+")*12+($AN23:$AN23="Dm+")*12+($AN23:$AN23="Dt+")*12+($AN23:$AN23="Tm-")*6+($AN23:$AN23="Mt-")*6)</f>
        <v/>
      </c>
      <c r="BC23" s="118">
        <f>BB23-MAX(0,IFERROR(INDEX(CADASTRO!$I$4:$I$80,MATCH($A23,CADASTRO!$A$4:$A$80,0)),$B23)-CONFIG!$B$50*(COUNTIF($AH23:$AM23,"AB")+COUNTIF($AH23:$AM23,"FE")+COUNTIF($AH23:$AM23,"LM")+COUNTIF($AN23:$AN23,"AB")+COUNTIF($AN23:$AN23,"FE")+COUNTIF($AN23:$AN23,"LM")))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36">
        <f>IFERROR(INDEX(SET!AJ$8:AJ$73,MATCH($A24,SET!$A$8:$A$73,0))&amp;"","")</f>
        <v/>
      </c>
      <c r="G24" s="136">
        <f>IFERROR(INDEX(SET!AK$8:AK$73,MATCH($A24,SET!$A$8:$A$73,0))&amp;"","")</f>
        <v/>
      </c>
      <c r="H24" s="136">
        <f>IFERROR(INDEX(SET!AL$8:AL$73,MATCH($A24,SET!$A$8:$A$73,0))&amp;"","")</f>
        <v/>
      </c>
      <c r="I24" s="126" t="inlineStr">
        <is>
          <t>T</t>
        </is>
      </c>
      <c r="J24" s="115" t="inlineStr">
        <is>
          <t>M</t>
        </is>
      </c>
      <c r="K24" s="125" t="inlineStr">
        <is>
          <t>N</t>
        </is>
      </c>
      <c r="L24" s="114" t="n"/>
      <c r="M24" s="114" t="n"/>
      <c r="N24" s="124" t="inlineStr">
        <is>
          <t>D</t>
        </is>
      </c>
      <c r="O24" s="115" t="inlineStr">
        <is>
          <t>M</t>
        </is>
      </c>
      <c r="P24" s="124" t="inlineStr">
        <is>
          <t>D</t>
        </is>
      </c>
      <c r="Q24" s="115" t="inlineStr">
        <is>
          <t>M</t>
        </is>
      </c>
      <c r="R24" s="114" t="n"/>
      <c r="S24" s="114" t="n"/>
      <c r="T24" s="114" t="n"/>
      <c r="U24" s="124" t="inlineStr">
        <is>
          <t>D</t>
        </is>
      </c>
      <c r="V24" s="114" t="n"/>
      <c r="W24" s="124" t="inlineStr">
        <is>
          <t>D</t>
        </is>
      </c>
      <c r="X24" s="125" t="inlineStr">
        <is>
          <t>N</t>
        </is>
      </c>
      <c r="Y24" s="114" t="n"/>
      <c r="Z24" s="114" t="n"/>
      <c r="AA24" s="114" t="n"/>
      <c r="AB24" s="125" t="inlineStr">
        <is>
          <t>N</t>
        </is>
      </c>
      <c r="AC24" s="114" t="n"/>
      <c r="AD24" s="124" t="inlineStr">
        <is>
          <t>D</t>
        </is>
      </c>
      <c r="AE24" s="114" t="n"/>
      <c r="AF24" s="124" t="inlineStr">
        <is>
          <t>D</t>
        </is>
      </c>
      <c r="AG24" s="114" t="n"/>
      <c r="AH24" s="114" t="n"/>
      <c r="AI24" s="124" t="inlineStr">
        <is>
          <t>D</t>
        </is>
      </c>
      <c r="AJ24" s="114" t="n"/>
      <c r="AK24" s="124" t="inlineStr">
        <is>
          <t>D</t>
        </is>
      </c>
      <c r="AL24" s="114" t="n"/>
      <c r="AM24" s="125" t="inlineStr">
        <is>
          <t>N</t>
        </is>
      </c>
      <c r="AN24" s="116">
        <f>IFERROR(INDEX(NOV!I$8:I$73,MATCH($A24,NOV!$A$8:$A$73,0))&amp;"","")</f>
        <v/>
      </c>
      <c r="AO24" s="100" t="n"/>
      <c r="AP24" s="100" t="n"/>
      <c r="AQ24" s="100" t="n"/>
      <c r="AR24" s="100" t="n"/>
      <c r="AS24" s="100" t="n"/>
      <c r="AT24" s="117">
        <f>SUMPRODUCT(($F24:$L24="M")*6+($F24:$L24="T")*6+($F24:$L24="D")*12+($F24:$L24="N")*12+($F24:$L24="NT")*6+($F24:$L24="C")*10+($F24:$L24="A")*8+($F24:$L24="J")*5+($F24:$L24="CEP")*4+($F24:$L24="CP")*6+($F24:$L24="CRO")*6+($F24:$L24="M+")*6+($F24:$L24="T+")*6+($F24:$L24="D+")*12+($F24:$L24="N+")*12+($F24:$L24="Dm+")*12+($F24:$L24="Dt+")*12+($F24:$L24="Tm-")*6+($F24:$L24="Mt-")*6)</f>
        <v/>
      </c>
      <c r="AU24" s="118">
        <f>AT24-MAX(0,IFERROR(INDEX(CADASTRO!$I$4:$I$80,MATCH($A24,CADASTRO!$A$4:$A$80,0)),$B24)-CONFIG!$B$50*(COUNTIF($F24:$L24,"AB")+COUNTIF($F24:$L24,"FE")+COUNTIF($F24:$L24,"LM")))</f>
        <v/>
      </c>
      <c r="AV24" s="117">
        <f>SUMPRODUCT(($M24:$S24="M")*6+($M24:$S24="T")*6+($M24:$S24="D")*12+($M24:$S24="N")*12+($M24:$S24="NT")*6+($M24:$S24="C")*10+($M24:$S24="A")*8+($M24:$S24="J")*5+($M24:$S24="CEP")*4+($M24:$S24="CP")*6+($M24:$S24="CRO")*6+($M24:$S24="M+")*6+($M24:$S24="T+")*6+($M24:$S24="D+")*12+($M24:$S24="N+")*12+($M24:$S24="Dm+")*12+($M24:$S24="Dt+")*12+($M24:$S24="Tm-")*6+($M24:$S24="Mt-")*6)</f>
        <v/>
      </c>
      <c r="AW24" s="118">
        <f>AV24-MAX(0,IFERROR(INDEX(CADASTRO!$I$4:$I$80,MATCH($A24,CADASTRO!$A$4:$A$80,0)),$B24)-CONFIG!$B$50*(COUNTIF($M24:$S24,"AB")+COUNTIF($M24:$S24,"FE")+COUNTIF($M24:$S24,"LM")))</f>
        <v/>
      </c>
      <c r="AX24" s="117">
        <f>SUMPRODUCT(($T24:$Z24="M")*6+($T24:$Z24="T")*6+($T24:$Z24="D")*12+($T24:$Z24="N")*12+($T24:$Z24="NT")*6+($T24:$Z24="C")*10+($T24:$Z24="A")*8+($T24:$Z24="J")*5+($T24:$Z24="CEP")*4+($T24:$Z24="CP")*6+($T24:$Z24="CRO")*6+($T24:$Z24="M+")*6+($T24:$Z24="T+")*6+($T24:$Z24="D+")*12+($T24:$Z24="N+")*12+($T24:$Z24="Dm+")*12+($T24:$Z24="Dt+")*12+($T24:$Z24="Tm-")*6+($T24:$Z24="Mt-")*6)</f>
        <v/>
      </c>
      <c r="AY24" s="118">
        <f>AX24-MAX(0,IFERROR(INDEX(CADASTRO!$I$4:$I$80,MATCH($A24,CADASTRO!$A$4:$A$80,0)),$B24)-CONFIG!$B$50*(COUNTIF($T24:$Z24,"AB")+COUNTIF($T24:$Z24,"FE")+COUNTIF($T24:$Z24,"LM")))</f>
        <v/>
      </c>
      <c r="AZ24" s="117">
        <f>SUMPRODUCT(($AA24:$AG24="M")*6+($AA24:$AG24="T")*6+($AA24:$AG24="D")*12+($AA24:$AG24="N")*12+($AA24:$AG24="NT")*6+($AA24:$AG24="C")*10+($AA24:$AG24="A")*8+($AA24:$AG24="J")*5+($AA24:$AG24="CEP")*4+($AA24:$AG24="CP")*6+($AA24:$AG24="CRO")*6+($AA24:$AG24="M+")*6+($AA24:$AG24="T+")*6+($AA24:$AG24="D+")*12+($AA24:$AG24="N+")*12+($AA24:$AG24="Dm+")*12+($AA24:$AG24="Dt+")*12+($AA24:$AG24="Tm-")*6+($AA24:$AG24="Mt-")*6)</f>
        <v/>
      </c>
      <c r="BA24" s="118">
        <f>AZ24-MAX(0,IFERROR(INDEX(CADASTRO!$I$4:$I$80,MATCH($A24,CADASTRO!$A$4:$A$80,0)),$B24)-CONFIG!$B$50*(COUNTIF($AA24:$AG24,"AB")+COUNTIF($AA24:$AG24,"FE")+COUNTIF($AA24:$AG24,"LM")))</f>
        <v/>
      </c>
      <c r="BB24" s="117">
        <f>SUMPRODUCT(($AH24:$AM24="M")*6+($AH24:$AM24="T")*6+($AH24:$AM24="D")*12+($AH24:$AM24="N")*12+($AH24:$AM24="NT")*6+($AH24:$AM24="C")*10+($AH24:$AM24="A")*8+($AH24:$AM24="J")*5+($AH24:$AM24="CEP")*4+($AH24:$AM24="CP")*6+($AH24:$AM24="CRO")*6+($AH24:$AM24="M+")*6+($AH24:$AM24="T+")*6+($AH24:$AM24="D+")*12+($AH24:$AM24="N+")*12+($AH24:$AM24="Dm+")*12+($AH24:$AM24="Dt+")*12+($AH24:$AM24="Tm-")*6+($AH24:$AM24="Mt-")*6)+SUMPRODUCT(($AN24:$AN24="M")*6+($AN24:$AN24="T")*6+($AN24:$AN24="D")*12+($AN24:$AN24="N")*12+($AN24:$AN24="NT")*6+($AN24:$AN24="C")*10+($AN24:$AN24="A")*8+($AN24:$AN24="J")*5+($AN24:$AN24="CEP")*4+($AN24:$AN24="CP")*6+($AN24:$AN24="CRO")*6+($AN24:$AN24="M+")*6+($AN24:$AN24="T+")*6+($AN24:$AN24="D+")*12+($AN24:$AN24="N+")*12+($AN24:$AN24="Dm+")*12+($AN24:$AN24="Dt+")*12+($AN24:$AN24="Tm-")*6+($AN24:$AN24="Mt-")*6)</f>
        <v/>
      </c>
      <c r="BC24" s="118">
        <f>BB24-MAX(0,IFERROR(INDEX(CADASTRO!$I$4:$I$80,MATCH($A24,CADASTRO!$A$4:$A$80,0)),$B24)-CONFIG!$B$50*(COUNTIF($AH24:$AM24,"AB")+COUNTIF($AH24:$AM24,"FE")+COUNTIF($AH24:$AM24,"LM")+COUNTIF($AN24:$AN24,"AB")+COUNTIF($AN24:$AN24,"FE")+COUNTIF($AN24:$AN24,"LM")))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36">
        <f>IFERROR(INDEX(SET!AJ$8:AJ$73,MATCH($A25,SET!$A$8:$A$73,0))&amp;"","")</f>
        <v/>
      </c>
      <c r="G25" s="136">
        <f>IFERROR(INDEX(SET!AK$8:AK$73,MATCH($A25,SET!$A$8:$A$73,0))&amp;"","")</f>
        <v/>
      </c>
      <c r="H25" s="136">
        <f>IFERROR(INDEX(SET!AL$8:AL$73,MATCH($A25,SET!$A$8:$A$73,0))&amp;"","")</f>
        <v/>
      </c>
      <c r="I25" s="114" t="n"/>
      <c r="J25" s="114" t="n"/>
      <c r="K25" s="114" t="n"/>
      <c r="L25" s="123" t="inlineStr">
        <is>
          <t>N+</t>
        </is>
      </c>
      <c r="M25" s="114" t="n"/>
      <c r="N25" s="125" t="inlineStr">
        <is>
          <t>N</t>
        </is>
      </c>
      <c r="O25" s="125" t="inlineStr">
        <is>
          <t>N</t>
        </is>
      </c>
      <c r="P25" s="114" t="n"/>
      <c r="Q25" s="114" t="n"/>
      <c r="R25" s="114" t="n"/>
      <c r="S25" s="125" t="inlineStr">
        <is>
          <t>N</t>
        </is>
      </c>
      <c r="T25" s="114" t="n"/>
      <c r="U25" s="125" t="inlineStr">
        <is>
          <t>N</t>
        </is>
      </c>
      <c r="V25" s="125" t="inlineStr">
        <is>
          <t>N</t>
        </is>
      </c>
      <c r="W25" s="114" t="n"/>
      <c r="X25" s="114" t="n"/>
      <c r="Y25" s="127" t="inlineStr">
        <is>
          <t>N-</t>
        </is>
      </c>
      <c r="Z25" s="114" t="n"/>
      <c r="AA25" s="139" t="inlineStr">
        <is>
          <t>FE</t>
        </is>
      </c>
      <c r="AB25" s="139" t="inlineStr">
        <is>
          <t>FE</t>
        </is>
      </c>
      <c r="AC25" s="139" t="inlineStr">
        <is>
          <t>FE</t>
        </is>
      </c>
      <c r="AD25" s="139" t="inlineStr">
        <is>
          <t>FE</t>
        </is>
      </c>
      <c r="AE25" s="139" t="inlineStr">
        <is>
          <t>FE</t>
        </is>
      </c>
      <c r="AF25" s="139" t="inlineStr">
        <is>
          <t>FE</t>
        </is>
      </c>
      <c r="AG25" s="139" t="inlineStr">
        <is>
          <t>FE</t>
        </is>
      </c>
      <c r="AH25" s="139" t="inlineStr">
        <is>
          <t>FE</t>
        </is>
      </c>
      <c r="AI25" s="139" t="inlineStr">
        <is>
          <t>FE</t>
        </is>
      </c>
      <c r="AJ25" s="139" t="inlineStr">
        <is>
          <t>FE</t>
        </is>
      </c>
      <c r="AK25" s="139" t="inlineStr">
        <is>
          <t>FE</t>
        </is>
      </c>
      <c r="AL25" s="139" t="inlineStr">
        <is>
          <t>FE</t>
        </is>
      </c>
      <c r="AM25" s="139" t="inlineStr">
        <is>
          <t>FE</t>
        </is>
      </c>
      <c r="AN25" s="116">
        <f>IFERROR(INDEX(NOV!I$8:I$73,MATCH($A25,NOV!$A$8:$A$73,0))&amp;"","")</f>
        <v/>
      </c>
      <c r="AO25" s="100" t="n"/>
      <c r="AP25" s="100" t="n"/>
      <c r="AQ25" s="100" t="n"/>
      <c r="AR25" s="100" t="n"/>
      <c r="AS25" s="100" t="n"/>
      <c r="AT25" s="117">
        <f>SUMPRODUCT(($F25:$L25="M")*6+($F25:$L25="T")*6+($F25:$L25="D")*12+($F25:$L25="N")*12+($F25:$L25="NT")*6+($F25:$L25="C")*10+($F25:$L25="A")*8+($F25:$L25="J")*5+($F25:$L25="CEP")*4+($F25:$L25="CP")*6+($F25:$L25="CRO")*6+($F25:$L25="M+")*6+($F25:$L25="T+")*6+($F25:$L25="D+")*12+($F25:$L25="N+")*12+($F25:$L25="Dm+")*12+($F25:$L25="Dt+")*12+($F25:$L25="Tm-")*6+($F25:$L25="Mt-")*6)</f>
        <v/>
      </c>
      <c r="AU25" s="118">
        <f>AT25-MAX(0,IFERROR(INDEX(CADASTRO!$I$4:$I$80,MATCH($A25,CADASTRO!$A$4:$A$80,0)),$B25)-CONFIG!$B$50*(COUNTIF($F25:$L25,"AB")+COUNTIF($F25:$L25,"FE")+COUNTIF($F25:$L25,"LM")))</f>
        <v/>
      </c>
      <c r="AV25" s="117">
        <f>SUMPRODUCT(($M25:$S25="M")*6+($M25:$S25="T")*6+($M25:$S25="D")*12+($M25:$S25="N")*12+($M25:$S25="NT")*6+($M25:$S25="C")*10+($M25:$S25="A")*8+($M25:$S25="J")*5+($M25:$S25="CEP")*4+($M25:$S25="CP")*6+($M25:$S25="CRO")*6+($M25:$S25="M+")*6+($M25:$S25="T+")*6+($M25:$S25="D+")*12+($M25:$S25="N+")*12+($M25:$S25="Dm+")*12+($M25:$S25="Dt+")*12+($M25:$S25="Tm-")*6+($M25:$S25="Mt-")*6)</f>
        <v/>
      </c>
      <c r="AW25" s="118">
        <f>AV25-MAX(0,IFERROR(INDEX(CADASTRO!$I$4:$I$80,MATCH($A25,CADASTRO!$A$4:$A$80,0)),$B25)-CONFIG!$B$50*(COUNTIF($M25:$S25,"AB")+COUNTIF($M25:$S25,"FE")+COUNTIF($M25:$S25,"LM")))</f>
        <v/>
      </c>
      <c r="AX25" s="117">
        <f>SUMPRODUCT(($T25:$Z25="M")*6+($T25:$Z25="T")*6+($T25:$Z25="D")*12+($T25:$Z25="N")*12+($T25:$Z25="NT")*6+($T25:$Z25="C")*10+($T25:$Z25="A")*8+($T25:$Z25="J")*5+($T25:$Z25="CEP")*4+($T25:$Z25="CP")*6+($T25:$Z25="CRO")*6+($T25:$Z25="M+")*6+($T25:$Z25="T+")*6+($T25:$Z25="D+")*12+($T25:$Z25="N+")*12+($T25:$Z25="Dm+")*12+($T25:$Z25="Dt+")*12+($T25:$Z25="Tm-")*6+($T25:$Z25="Mt-")*6)</f>
        <v/>
      </c>
      <c r="AY25" s="118">
        <f>AX25-MAX(0,IFERROR(INDEX(CADASTRO!$I$4:$I$80,MATCH($A25,CADASTRO!$A$4:$A$80,0)),$B25)-CONFIG!$B$50*(COUNTIF($T25:$Z25,"AB")+COUNTIF($T25:$Z25,"FE")+COUNTIF($T25:$Z25,"LM")))</f>
        <v/>
      </c>
      <c r="AZ25" s="117">
        <f>SUMPRODUCT(($AA25:$AG25="M")*6+($AA25:$AG25="T")*6+($AA25:$AG25="D")*12+($AA25:$AG25="N")*12+($AA25:$AG25="NT")*6+($AA25:$AG25="C")*10+($AA25:$AG25="A")*8+($AA25:$AG25="J")*5+($AA25:$AG25="CEP")*4+($AA25:$AG25="CP")*6+($AA25:$AG25="CRO")*6+($AA25:$AG25="M+")*6+($AA25:$AG25="T+")*6+($AA25:$AG25="D+")*12+($AA25:$AG25="N+")*12+($AA25:$AG25="Dm+")*12+($AA25:$AG25="Dt+")*12+($AA25:$AG25="Tm-")*6+($AA25:$AG25="Mt-")*6)</f>
        <v/>
      </c>
      <c r="BA25" s="118">
        <f>AZ25-MAX(0,IFERROR(INDEX(CADASTRO!$I$4:$I$80,MATCH($A25,CADASTRO!$A$4:$A$80,0)),$B25)-CONFIG!$B$50*(COUNTIF($AA25:$AG25,"AB")+COUNTIF($AA25:$AG25,"FE")+COUNTIF($AA25:$AG25,"LM")))</f>
        <v/>
      </c>
      <c r="BB25" s="117">
        <f>SUMPRODUCT(($AH25:$AM25="M")*6+($AH25:$AM25="T")*6+($AH25:$AM25="D")*12+($AH25:$AM25="N")*12+($AH25:$AM25="NT")*6+($AH25:$AM25="C")*10+($AH25:$AM25="A")*8+($AH25:$AM25="J")*5+($AH25:$AM25="CEP")*4+($AH25:$AM25="CP")*6+($AH25:$AM25="CRO")*6+($AH25:$AM25="M+")*6+($AH25:$AM25="T+")*6+($AH25:$AM25="D+")*12+($AH25:$AM25="N+")*12+($AH25:$AM25="Dm+")*12+($AH25:$AM25="Dt+")*12+($AH25:$AM25="Tm-")*6+($AH25:$AM25="Mt-")*6)+SUMPRODUCT(($AN25:$AN25="M")*6+($AN25:$AN25="T")*6+($AN25:$AN25="D")*12+($AN25:$AN25="N")*12+($AN25:$AN25="NT")*6+($AN25:$AN25="C")*10+($AN25:$AN25="A")*8+($AN25:$AN25="J")*5+($AN25:$AN25="CEP")*4+($AN25:$AN25="CP")*6+($AN25:$AN25="CRO")*6+($AN25:$AN25="M+")*6+($AN25:$AN25="T+")*6+($AN25:$AN25="D+")*12+($AN25:$AN25="N+")*12+($AN25:$AN25="Dm+")*12+($AN25:$AN25="Dt+")*12+($AN25:$AN25="Tm-")*6+($AN25:$AN25="Mt-")*6)</f>
        <v/>
      </c>
      <c r="BC25" s="118">
        <f>BB25-MAX(0,IFERROR(INDEX(CADASTRO!$I$4:$I$80,MATCH($A25,CADASTRO!$A$4:$A$80,0)),$B25)-CONFIG!$B$50*(COUNTIF($AH25:$AM25,"AB")+COUNTIF($AH25:$AM25,"FE")+COUNTIF($AH25:$AM25,"LM")+COUNTIF($AN25:$AN25,"AB")+COUNTIF($AN25:$AN25,"FE")+COUNTIF($AN25:$AN25,"LM")))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36">
        <f>IFERROR(INDEX(SET!AJ$8:AJ$73,MATCH($A26,SET!$A$8:$A$73,0))&amp;"","")</f>
        <v/>
      </c>
      <c r="G26" s="136">
        <f>IFERROR(INDEX(SET!AK$8:AK$73,MATCH($A26,SET!$A$8:$A$73,0))&amp;"","")</f>
        <v/>
      </c>
      <c r="H26" s="136">
        <f>IFERROR(INDEX(SET!AL$8:AL$73,MATCH($A26,SET!$A$8:$A$73,0))&amp;"","")</f>
        <v/>
      </c>
      <c r="I26" s="126" t="inlineStr">
        <is>
          <t>T</t>
        </is>
      </c>
      <c r="J26" s="126" t="inlineStr">
        <is>
          <t>T</t>
        </is>
      </c>
      <c r="K26" s="114" t="n"/>
      <c r="L26" s="125" t="inlineStr">
        <is>
          <t>N</t>
        </is>
      </c>
      <c r="M26" s="126" t="inlineStr">
        <is>
          <t>T</t>
        </is>
      </c>
      <c r="N26" s="125" t="inlineStr">
        <is>
          <t>N</t>
        </is>
      </c>
      <c r="O26" s="114" t="n"/>
      <c r="P26" s="126" t="inlineStr">
        <is>
          <t>T</t>
        </is>
      </c>
      <c r="Q26" s="124" t="inlineStr">
        <is>
          <t>D</t>
        </is>
      </c>
      <c r="R26" s="114" t="n"/>
      <c r="S26" s="114" t="n"/>
      <c r="T26" s="114" t="n"/>
      <c r="U26" s="124" t="inlineStr">
        <is>
          <t>D</t>
        </is>
      </c>
      <c r="V26" s="126" t="inlineStr">
        <is>
          <t>T</t>
        </is>
      </c>
      <c r="W26" s="114" t="n"/>
      <c r="X26" s="126" t="inlineStr">
        <is>
          <t>T</t>
        </is>
      </c>
      <c r="Y26" s="114" t="n"/>
      <c r="Z26" s="125" t="inlineStr">
        <is>
          <t>N</t>
        </is>
      </c>
      <c r="AA26" s="114" t="n"/>
      <c r="AB26" s="125" t="inlineStr">
        <is>
          <t>N</t>
        </is>
      </c>
      <c r="AC26" s="126" t="inlineStr">
        <is>
          <t>T</t>
        </is>
      </c>
      <c r="AD26" s="114" t="n"/>
      <c r="AE26" s="124" t="inlineStr">
        <is>
          <t>D</t>
        </is>
      </c>
      <c r="AF26" s="114" t="n"/>
      <c r="AG26" s="115" t="inlineStr">
        <is>
          <t>M</t>
        </is>
      </c>
      <c r="AH26" s="114" t="n"/>
      <c r="AI26" s="125" t="inlineStr">
        <is>
          <t>N</t>
        </is>
      </c>
      <c r="AJ26" s="114" t="n"/>
      <c r="AK26" s="124" t="inlineStr">
        <is>
          <t>D</t>
        </is>
      </c>
      <c r="AL26" s="114" t="n"/>
      <c r="AM26" s="114" t="n"/>
      <c r="AN26" s="116">
        <f>IFERROR(INDEX(NOV!I$8:I$73,MATCH($A26,NOV!$A$8:$A$73,0))&amp;"","")</f>
        <v/>
      </c>
      <c r="AO26" s="100" t="n"/>
      <c r="AP26" s="100" t="n"/>
      <c r="AQ26" s="100" t="n"/>
      <c r="AR26" s="100" t="n"/>
      <c r="AS26" s="100" t="n"/>
      <c r="AT26" s="117">
        <f>SUMPRODUCT(($F26:$L26="M")*6+($F26:$L26="T")*6+($F26:$L26="D")*12+($F26:$L26="N")*12+($F26:$L26="NT")*6+($F26:$L26="C")*10+($F26:$L26="A")*8+($F26:$L26="J")*5+($F26:$L26="CEP")*4+($F26:$L26="CP")*6+($F26:$L26="CRO")*6+($F26:$L26="M+")*6+($F26:$L26="T+")*6+($F26:$L26="D+")*12+($F26:$L26="N+")*12+($F26:$L26="Dm+")*12+($F26:$L26="Dt+")*12+($F26:$L26="Tm-")*6+($F26:$L26="Mt-")*6)</f>
        <v/>
      </c>
      <c r="AU26" s="118">
        <f>AT26-MAX(0,IFERROR(INDEX(CADASTRO!$I$4:$I$80,MATCH($A26,CADASTRO!$A$4:$A$80,0)),$B26)-CONFIG!$B$50*(COUNTIF($F26:$L26,"AB")+COUNTIF($F26:$L26,"FE")+COUNTIF($F26:$L26,"LM")))</f>
        <v/>
      </c>
      <c r="AV26" s="117">
        <f>SUMPRODUCT(($M26:$S26="M")*6+($M26:$S26="T")*6+($M26:$S26="D")*12+($M26:$S26="N")*12+($M26:$S26="NT")*6+($M26:$S26="C")*10+($M26:$S26="A")*8+($M26:$S26="J")*5+($M26:$S26="CEP")*4+($M26:$S26="CP")*6+($M26:$S26="CRO")*6+($M26:$S26="M+")*6+($M26:$S26="T+")*6+($M26:$S26="D+")*12+($M26:$S26="N+")*12+($M26:$S26="Dm+")*12+($M26:$S26="Dt+")*12+($M26:$S26="Tm-")*6+($M26:$S26="Mt-")*6)</f>
        <v/>
      </c>
      <c r="AW26" s="118">
        <f>AV26-MAX(0,IFERROR(INDEX(CADASTRO!$I$4:$I$80,MATCH($A26,CADASTRO!$A$4:$A$80,0)),$B26)-CONFIG!$B$50*(COUNTIF($M26:$S26,"AB")+COUNTIF($M26:$S26,"FE")+COUNTIF($M26:$S26,"LM")))</f>
        <v/>
      </c>
      <c r="AX26" s="117">
        <f>SUMPRODUCT(($T26:$Z26="M")*6+($T26:$Z26="T")*6+($T26:$Z26="D")*12+($T26:$Z26="N")*12+($T26:$Z26="NT")*6+($T26:$Z26="C")*10+($T26:$Z26="A")*8+($T26:$Z26="J")*5+($T26:$Z26="CEP")*4+($T26:$Z26="CP")*6+($T26:$Z26="CRO")*6+($T26:$Z26="M+")*6+($T26:$Z26="T+")*6+($T26:$Z26="D+")*12+($T26:$Z26="N+")*12+($T26:$Z26="Dm+")*12+($T26:$Z26="Dt+")*12+($T26:$Z26="Tm-")*6+($T26:$Z26="Mt-")*6)</f>
        <v/>
      </c>
      <c r="AY26" s="118">
        <f>AX26-MAX(0,IFERROR(INDEX(CADASTRO!$I$4:$I$80,MATCH($A26,CADASTRO!$A$4:$A$80,0)),$B26)-CONFIG!$B$50*(COUNTIF($T26:$Z26,"AB")+COUNTIF($T26:$Z26,"FE")+COUNTIF($T26:$Z26,"LM")))</f>
        <v/>
      </c>
      <c r="AZ26" s="117">
        <f>SUMPRODUCT(($AA26:$AG26="M")*6+($AA26:$AG26="T")*6+($AA26:$AG26="D")*12+($AA26:$AG26="N")*12+($AA26:$AG26="NT")*6+($AA26:$AG26="C")*10+($AA26:$AG26="A")*8+($AA26:$AG26="J")*5+($AA26:$AG26="CEP")*4+($AA26:$AG26="CP")*6+($AA26:$AG26="CRO")*6+($AA26:$AG26="M+")*6+($AA26:$AG26="T+")*6+($AA26:$AG26="D+")*12+($AA26:$AG26="N+")*12+($AA26:$AG26="Dm+")*12+($AA26:$AG26="Dt+")*12+($AA26:$AG26="Tm-")*6+($AA26:$AG26="Mt-")*6)</f>
        <v/>
      </c>
      <c r="BA26" s="118">
        <f>AZ26-MAX(0,IFERROR(INDEX(CADASTRO!$I$4:$I$80,MATCH($A26,CADASTRO!$A$4:$A$80,0)),$B26)-CONFIG!$B$50*(COUNTIF($AA26:$AG26,"AB")+COUNTIF($AA26:$AG26,"FE")+COUNTIF($AA26:$AG26,"LM")))</f>
        <v/>
      </c>
      <c r="BB26" s="117">
        <f>SUMPRODUCT(($AH26:$AM26="M")*6+($AH26:$AM26="T")*6+($AH26:$AM26="D")*12+($AH26:$AM26="N")*12+($AH26:$AM26="NT")*6+($AH26:$AM26="C")*10+($AH26:$AM26="A")*8+($AH26:$AM26="J")*5+($AH26:$AM26="CEP")*4+($AH26:$AM26="CP")*6+($AH26:$AM26="CRO")*6+($AH26:$AM26="M+")*6+($AH26:$AM26="T+")*6+($AH26:$AM26="D+")*12+($AH26:$AM26="N+")*12+($AH26:$AM26="Dm+")*12+($AH26:$AM26="Dt+")*12+($AH26:$AM26="Tm-")*6+($AH26:$AM26="Mt-")*6)+SUMPRODUCT(($AN26:$AN26="M")*6+($AN26:$AN26="T")*6+($AN26:$AN26="D")*12+($AN26:$AN26="N")*12+($AN26:$AN26="NT")*6+($AN26:$AN26="C")*10+($AN26:$AN26="A")*8+($AN26:$AN26="J")*5+($AN26:$AN26="CEP")*4+($AN26:$AN26="CP")*6+($AN26:$AN26="CRO")*6+($AN26:$AN26="M+")*6+($AN26:$AN26="T+")*6+($AN26:$AN26="D+")*12+($AN26:$AN26="N+")*12+($AN26:$AN26="Dm+")*12+($AN26:$AN26="Dt+")*12+($AN26:$AN26="Tm-")*6+($AN26:$AN26="Mt-")*6)</f>
        <v/>
      </c>
      <c r="BC26" s="118">
        <f>BB26-MAX(0,IFERROR(INDEX(CADASTRO!$I$4:$I$80,MATCH($A26,CADASTRO!$A$4:$A$80,0)),$B26)-CONFIG!$B$50*(COUNTIF($AH26:$AM26,"AB")+COUNTIF($AH26:$AM26,"FE")+COUNTIF($AH26:$AM26,"LM")+COUNTIF($AN26:$AN26,"AB")+COUNTIF($AN26:$AN26,"FE")+COUNTIF($AN26:$AN26,"LM")))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36">
        <f>IFERROR(INDEX(SET!AJ$8:AJ$73,MATCH($A27,SET!$A$8:$A$73,0))&amp;"","")</f>
        <v/>
      </c>
      <c r="G27" s="136">
        <f>IFERROR(INDEX(SET!AK$8:AK$73,MATCH($A27,SET!$A$8:$A$73,0))&amp;"","")</f>
        <v/>
      </c>
      <c r="H27" s="136">
        <f>IFERROR(INDEX(SET!AL$8:AL$73,MATCH($A27,SET!$A$8:$A$73,0))&amp;"","")</f>
        <v/>
      </c>
      <c r="I27" s="125" t="inlineStr">
        <is>
          <t>N</t>
        </is>
      </c>
      <c r="J27" s="130" t="inlineStr">
        <is>
          <t>CRO</t>
        </is>
      </c>
      <c r="K27" s="114" t="n"/>
      <c r="L27" s="114" t="n"/>
      <c r="M27" s="114" t="n"/>
      <c r="N27" s="125" t="inlineStr">
        <is>
          <t>N</t>
        </is>
      </c>
      <c r="O27" s="114" t="n"/>
      <c r="P27" s="125" t="inlineStr">
        <is>
          <t>N</t>
        </is>
      </c>
      <c r="Q27" s="130" t="inlineStr">
        <is>
          <t>CRO</t>
        </is>
      </c>
      <c r="R27" s="125" t="inlineStr">
        <is>
          <t>N</t>
        </is>
      </c>
      <c r="S27" s="114" t="n"/>
      <c r="T27" s="114" t="n"/>
      <c r="U27" s="125" t="inlineStr">
        <is>
          <t>N</t>
        </is>
      </c>
      <c r="V27" s="114" t="n"/>
      <c r="W27" s="125" t="inlineStr">
        <is>
          <t>N</t>
        </is>
      </c>
      <c r="X27" s="114" t="n"/>
      <c r="Y27" s="125" t="inlineStr">
        <is>
          <t>N</t>
        </is>
      </c>
      <c r="Z27" s="114" t="n"/>
      <c r="AA27" s="114" t="n"/>
      <c r="AB27" s="125" t="inlineStr">
        <is>
          <t>N</t>
        </is>
      </c>
      <c r="AC27" s="114" t="n"/>
      <c r="AD27" s="125" t="inlineStr">
        <is>
          <t>N</t>
        </is>
      </c>
      <c r="AE27" s="114" t="n"/>
      <c r="AF27" s="125" t="inlineStr">
        <is>
          <t>N</t>
        </is>
      </c>
      <c r="AG27" s="114" t="n"/>
      <c r="AH27" s="114" t="n"/>
      <c r="AI27" s="125" t="inlineStr">
        <is>
          <t>N</t>
        </is>
      </c>
      <c r="AJ27" s="114" t="n"/>
      <c r="AK27" s="125" t="inlineStr">
        <is>
          <t>N</t>
        </is>
      </c>
      <c r="AL27" s="114" t="n"/>
      <c r="AM27" s="125" t="inlineStr">
        <is>
          <t>N</t>
        </is>
      </c>
      <c r="AN27" s="116">
        <f>IFERROR(INDEX(NOV!I$8:I$73,MATCH($A27,NOV!$A$8:$A$73,0))&amp;"","")</f>
        <v/>
      </c>
      <c r="AO27" s="100" t="n"/>
      <c r="AP27" s="100" t="n"/>
      <c r="AQ27" s="100" t="n"/>
      <c r="AR27" s="100" t="n"/>
      <c r="AS27" s="100" t="n"/>
      <c r="AT27" s="117">
        <f>SUMPRODUCT(($F27:$L27="M")*6+($F27:$L27="T")*6+($F27:$L27="D")*12+($F27:$L27="N")*12+($F27:$L27="NT")*6+($F27:$L27="C")*10+($F27:$L27="A")*8+($F27:$L27="J")*5+($F27:$L27="CEP")*4+($F27:$L27="CP")*6+($F27:$L27="CRO")*6+($F27:$L27="M+")*6+($F27:$L27="T+")*6+($F27:$L27="D+")*12+($F27:$L27="N+")*12+($F27:$L27="Dm+")*12+($F27:$L27="Dt+")*12+($F27:$L27="Tm-")*6+($F27:$L27="Mt-")*6)</f>
        <v/>
      </c>
      <c r="AU27" s="118">
        <f>AT27-MAX(0,IFERROR(INDEX(CADASTRO!$I$4:$I$80,MATCH($A27,CADASTRO!$A$4:$A$80,0)),$B27)-CONFIG!$B$50*(COUNTIF($F27:$L27,"AB")+COUNTIF($F27:$L27,"FE")+COUNTIF($F27:$L27,"LM")))</f>
        <v/>
      </c>
      <c r="AV27" s="117">
        <f>SUMPRODUCT(($M27:$S27="M")*6+($M27:$S27="T")*6+($M27:$S27="D")*12+($M27:$S27="N")*12+($M27:$S27="NT")*6+($M27:$S27="C")*10+($M27:$S27="A")*8+($M27:$S27="J")*5+($M27:$S27="CEP")*4+($M27:$S27="CP")*6+($M27:$S27="CRO")*6+($M27:$S27="M+")*6+($M27:$S27="T+")*6+($M27:$S27="D+")*12+($M27:$S27="N+")*12+($M27:$S27="Dm+")*12+($M27:$S27="Dt+")*12+($M27:$S27="Tm-")*6+($M27:$S27="Mt-")*6)</f>
        <v/>
      </c>
      <c r="AW27" s="118">
        <f>AV27-MAX(0,IFERROR(INDEX(CADASTRO!$I$4:$I$80,MATCH($A27,CADASTRO!$A$4:$A$80,0)),$B27)-CONFIG!$B$50*(COUNTIF($M27:$S27,"AB")+COUNTIF($M27:$S27,"FE")+COUNTIF($M27:$S27,"LM")))</f>
        <v/>
      </c>
      <c r="AX27" s="117">
        <f>SUMPRODUCT(($T27:$Z27="M")*6+($T27:$Z27="T")*6+($T27:$Z27="D")*12+($T27:$Z27="N")*12+($T27:$Z27="NT")*6+($T27:$Z27="C")*10+($T27:$Z27="A")*8+($T27:$Z27="J")*5+($T27:$Z27="CEP")*4+($T27:$Z27="CP")*6+($T27:$Z27="CRO")*6+($T27:$Z27="M+")*6+($T27:$Z27="T+")*6+($T27:$Z27="D+")*12+($T27:$Z27="N+")*12+($T27:$Z27="Dm+")*12+($T27:$Z27="Dt+")*12+($T27:$Z27="Tm-")*6+($T27:$Z27="Mt-")*6)</f>
        <v/>
      </c>
      <c r="AY27" s="118">
        <f>AX27-MAX(0,IFERROR(INDEX(CADASTRO!$I$4:$I$80,MATCH($A27,CADASTRO!$A$4:$A$80,0)),$B27)-CONFIG!$B$50*(COUNTIF($T27:$Z27,"AB")+COUNTIF($T27:$Z27,"FE")+COUNTIF($T27:$Z27,"LM")))</f>
        <v/>
      </c>
      <c r="AZ27" s="117">
        <f>SUMPRODUCT(($AA27:$AG27="M")*6+($AA27:$AG27="T")*6+($AA27:$AG27="D")*12+($AA27:$AG27="N")*12+($AA27:$AG27="NT")*6+($AA27:$AG27="C")*10+($AA27:$AG27="A")*8+($AA27:$AG27="J")*5+($AA27:$AG27="CEP")*4+($AA27:$AG27="CP")*6+($AA27:$AG27="CRO")*6+($AA27:$AG27="M+")*6+($AA27:$AG27="T+")*6+($AA27:$AG27="D+")*12+($AA27:$AG27="N+")*12+($AA27:$AG27="Dm+")*12+($AA27:$AG27="Dt+")*12+($AA27:$AG27="Tm-")*6+($AA27:$AG27="Mt-")*6)</f>
        <v/>
      </c>
      <c r="BA27" s="118">
        <f>AZ27-MAX(0,IFERROR(INDEX(CADASTRO!$I$4:$I$80,MATCH($A27,CADASTRO!$A$4:$A$80,0)),$B27)-CONFIG!$B$50*(COUNTIF($AA27:$AG27,"AB")+COUNTIF($AA27:$AG27,"FE")+COUNTIF($AA27:$AG27,"LM")))</f>
        <v/>
      </c>
      <c r="BB27" s="117">
        <f>SUMPRODUCT(($AH27:$AM27="M")*6+($AH27:$AM27="T")*6+($AH27:$AM27="D")*12+($AH27:$AM27="N")*12+($AH27:$AM27="NT")*6+($AH27:$AM27="C")*10+($AH27:$AM27="A")*8+($AH27:$AM27="J")*5+($AH27:$AM27="CEP")*4+($AH27:$AM27="CP")*6+($AH27:$AM27="CRO")*6+($AH27:$AM27="M+")*6+($AH27:$AM27="T+")*6+($AH27:$AM27="D+")*12+($AH27:$AM27="N+")*12+($AH27:$AM27="Dm+")*12+($AH27:$AM27="Dt+")*12+($AH27:$AM27="Tm-")*6+($AH27:$AM27="Mt-")*6)+SUMPRODUCT(($AN27:$AN27="M")*6+($AN27:$AN27="T")*6+($AN27:$AN27="D")*12+($AN27:$AN27="N")*12+($AN27:$AN27="NT")*6+($AN27:$AN27="C")*10+($AN27:$AN27="A")*8+($AN27:$AN27="J")*5+($AN27:$AN27="CEP")*4+($AN27:$AN27="CP")*6+($AN27:$AN27="CRO")*6+($AN27:$AN27="M+")*6+($AN27:$AN27="T+")*6+($AN27:$AN27="D+")*12+($AN27:$AN27="N+")*12+($AN27:$AN27="Dm+")*12+($AN27:$AN27="Dt+")*12+($AN27:$AN27="Tm-")*6+($AN27:$AN27="Mt-")*6)</f>
        <v/>
      </c>
      <c r="BC27" s="118">
        <f>BB27-MAX(0,IFERROR(INDEX(CADASTRO!$I$4:$I$80,MATCH($A27,CADASTRO!$A$4:$A$80,0)),$B27)-CONFIG!$B$50*(COUNTIF($AH27:$AM27,"AB")+COUNTIF($AH27:$AM27,"FE")+COUNTIF($AH27:$AM27,"LM")+COUNTIF($AN27:$AN27,"AB")+COUNTIF($AN27:$AN27,"FE")+COUNTIF($AN27:$AN27,"LM")))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36">
        <f>IFERROR(INDEX(SET!AJ$8:AJ$73,MATCH($A28,SET!$A$8:$A$73,0))&amp;"","")</f>
        <v/>
      </c>
      <c r="G28" s="136">
        <f>IFERROR(INDEX(SET!AK$8:AK$73,MATCH($A28,SET!$A$8:$A$73,0))&amp;"","")</f>
        <v/>
      </c>
      <c r="H28" s="136">
        <f>IFERROR(INDEX(SET!AL$8:AL$73,MATCH($A28,SET!$A$8:$A$73,0))&amp;"","")</f>
        <v/>
      </c>
      <c r="I28" s="139" t="inlineStr">
        <is>
          <t>FE</t>
        </is>
      </c>
      <c r="J28" s="139" t="inlineStr">
        <is>
          <t>FE</t>
        </is>
      </c>
      <c r="K28" s="139" t="inlineStr">
        <is>
          <t>FE</t>
        </is>
      </c>
      <c r="L28" s="139" t="inlineStr">
        <is>
          <t>FE</t>
        </is>
      </c>
      <c r="M28" s="139" t="inlineStr">
        <is>
          <t>FE</t>
        </is>
      </c>
      <c r="N28" s="139" t="inlineStr">
        <is>
          <t>FE</t>
        </is>
      </c>
      <c r="O28" s="139" t="inlineStr">
        <is>
          <t>FE</t>
        </is>
      </c>
      <c r="P28" s="139" t="inlineStr">
        <is>
          <t>FE</t>
        </is>
      </c>
      <c r="Q28" s="139" t="inlineStr">
        <is>
          <t>FE</t>
        </is>
      </c>
      <c r="R28" s="139" t="inlineStr">
        <is>
          <t>FE</t>
        </is>
      </c>
      <c r="S28" s="139" t="inlineStr">
        <is>
          <t>FE</t>
        </is>
      </c>
      <c r="T28" s="114" t="n"/>
      <c r="U28" s="124" t="inlineStr">
        <is>
          <t>D</t>
        </is>
      </c>
      <c r="V28" s="126" t="inlineStr">
        <is>
          <t>T</t>
        </is>
      </c>
      <c r="W28" s="114" t="n"/>
      <c r="X28" s="114" t="n"/>
      <c r="Y28" s="114" t="n"/>
      <c r="Z28" s="126" t="inlineStr">
        <is>
          <t>T</t>
        </is>
      </c>
      <c r="AA28" s="125" t="inlineStr">
        <is>
          <t>N</t>
        </is>
      </c>
      <c r="AB28" s="114" t="n"/>
      <c r="AC28" s="114" t="n"/>
      <c r="AD28" s="114" t="n"/>
      <c r="AE28" s="126" t="inlineStr">
        <is>
          <t>T</t>
        </is>
      </c>
      <c r="AF28" s="114" t="n"/>
      <c r="AG28" s="124" t="inlineStr">
        <is>
          <t>D</t>
        </is>
      </c>
      <c r="AH28" s="114" t="n"/>
      <c r="AI28" s="124" t="inlineStr">
        <is>
          <t>D</t>
        </is>
      </c>
      <c r="AJ28" s="114" t="n"/>
      <c r="AK28" s="126" t="inlineStr">
        <is>
          <t>T</t>
        </is>
      </c>
      <c r="AL28" s="125" t="inlineStr">
        <is>
          <t>N</t>
        </is>
      </c>
      <c r="AM28" s="114" t="n"/>
      <c r="AN28" s="116">
        <f>IFERROR(INDEX(NOV!I$8:I$73,MATCH($A28,NOV!$A$8:$A$73,0))&amp;"","")</f>
        <v/>
      </c>
      <c r="AO28" s="100" t="n"/>
      <c r="AP28" s="100" t="n"/>
      <c r="AQ28" s="100" t="n"/>
      <c r="AR28" s="100" t="n"/>
      <c r="AS28" s="100" t="n"/>
      <c r="AT28" s="117">
        <f>SUMPRODUCT(($F28:$L28="M")*6+($F28:$L28="T")*6+($F28:$L28="D")*12+($F28:$L28="N")*12+($F28:$L28="NT")*6+($F28:$L28="C")*10+($F28:$L28="A")*8+($F28:$L28="J")*5+($F28:$L28="CEP")*4+($F28:$L28="CP")*6+($F28:$L28="CRO")*6+($F28:$L28="M+")*6+($F28:$L28="T+")*6+($F28:$L28="D+")*12+($F28:$L28="N+")*12+($F28:$L28="Dm+")*12+($F28:$L28="Dt+")*12+($F28:$L28="Tm-")*6+($F28:$L28="Mt-")*6)</f>
        <v/>
      </c>
      <c r="AU28" s="118">
        <f>AT28-MAX(0,IFERROR(INDEX(CADASTRO!$I$4:$I$80,MATCH($A28,CADASTRO!$A$4:$A$80,0)),$B28)-CONFIG!$B$50*(COUNTIF($F28:$L28,"AB")+COUNTIF($F28:$L28,"FE")+COUNTIF($F28:$L28,"LM")))</f>
        <v/>
      </c>
      <c r="AV28" s="117">
        <f>SUMPRODUCT(($M28:$S28="M")*6+($M28:$S28="T")*6+($M28:$S28="D")*12+($M28:$S28="N")*12+($M28:$S28="NT")*6+($M28:$S28="C")*10+($M28:$S28="A")*8+($M28:$S28="J")*5+($M28:$S28="CEP")*4+($M28:$S28="CP")*6+($M28:$S28="CRO")*6+($M28:$S28="M+")*6+($M28:$S28="T+")*6+($M28:$S28="D+")*12+($M28:$S28="N+")*12+($M28:$S28="Dm+")*12+($M28:$S28="Dt+")*12+($M28:$S28="Tm-")*6+($M28:$S28="Mt-")*6)</f>
        <v/>
      </c>
      <c r="AW28" s="118">
        <f>AV28-MAX(0,IFERROR(INDEX(CADASTRO!$I$4:$I$80,MATCH($A28,CADASTRO!$A$4:$A$80,0)),$B28)-CONFIG!$B$50*(COUNTIF($M28:$S28,"AB")+COUNTIF($M28:$S28,"FE")+COUNTIF($M28:$S28,"LM")))</f>
        <v/>
      </c>
      <c r="AX28" s="117">
        <f>SUMPRODUCT(($T28:$Z28="M")*6+($T28:$Z28="T")*6+($T28:$Z28="D")*12+($T28:$Z28="N")*12+($T28:$Z28="NT")*6+($T28:$Z28="C")*10+($T28:$Z28="A")*8+($T28:$Z28="J")*5+($T28:$Z28="CEP")*4+($T28:$Z28="CP")*6+($T28:$Z28="CRO")*6+($T28:$Z28="M+")*6+($T28:$Z28="T+")*6+($T28:$Z28="D+")*12+($T28:$Z28="N+")*12+($T28:$Z28="Dm+")*12+($T28:$Z28="Dt+")*12+($T28:$Z28="Tm-")*6+($T28:$Z28="Mt-")*6)</f>
        <v/>
      </c>
      <c r="AY28" s="118">
        <f>AX28-MAX(0,IFERROR(INDEX(CADASTRO!$I$4:$I$80,MATCH($A28,CADASTRO!$A$4:$A$80,0)),$B28)-CONFIG!$B$50*(COUNTIF($T28:$Z28,"AB")+COUNTIF($T28:$Z28,"FE")+COUNTIF($T28:$Z28,"LM")))</f>
        <v/>
      </c>
      <c r="AZ28" s="117">
        <f>SUMPRODUCT(($AA28:$AG28="M")*6+($AA28:$AG28="T")*6+($AA28:$AG28="D")*12+($AA28:$AG28="N")*12+($AA28:$AG28="NT")*6+($AA28:$AG28="C")*10+($AA28:$AG28="A")*8+($AA28:$AG28="J")*5+($AA28:$AG28="CEP")*4+($AA28:$AG28="CP")*6+($AA28:$AG28="CRO")*6+($AA28:$AG28="M+")*6+($AA28:$AG28="T+")*6+($AA28:$AG28="D+")*12+($AA28:$AG28="N+")*12+($AA28:$AG28="Dm+")*12+($AA28:$AG28="Dt+")*12+($AA28:$AG28="Tm-")*6+($AA28:$AG28="Mt-")*6)</f>
        <v/>
      </c>
      <c r="BA28" s="118">
        <f>AZ28-MAX(0,IFERROR(INDEX(CADASTRO!$I$4:$I$80,MATCH($A28,CADASTRO!$A$4:$A$80,0)),$B28)-CONFIG!$B$50*(COUNTIF($AA28:$AG28,"AB")+COUNTIF($AA28:$AG28,"FE")+COUNTIF($AA28:$AG28,"LM")))</f>
        <v/>
      </c>
      <c r="BB28" s="117">
        <f>SUMPRODUCT(($AH28:$AM28="M")*6+($AH28:$AM28="T")*6+($AH28:$AM28="D")*12+($AH28:$AM28="N")*12+($AH28:$AM28="NT")*6+($AH28:$AM28="C")*10+($AH28:$AM28="A")*8+($AH28:$AM28="J")*5+($AH28:$AM28="CEP")*4+($AH28:$AM28="CP")*6+($AH28:$AM28="CRO")*6+($AH28:$AM28="M+")*6+($AH28:$AM28="T+")*6+($AH28:$AM28="D+")*12+($AH28:$AM28="N+")*12+($AH28:$AM28="Dm+")*12+($AH28:$AM28="Dt+")*12+($AH28:$AM28="Tm-")*6+($AH28:$AM28="Mt-")*6)+SUMPRODUCT(($AN28:$AN28="M")*6+($AN28:$AN28="T")*6+($AN28:$AN28="D")*12+($AN28:$AN28="N")*12+($AN28:$AN28="NT")*6+($AN28:$AN28="C")*10+($AN28:$AN28="A")*8+($AN28:$AN28="J")*5+($AN28:$AN28="CEP")*4+($AN28:$AN28="CP")*6+($AN28:$AN28="CRO")*6+($AN28:$AN28="M+")*6+($AN28:$AN28="T+")*6+($AN28:$AN28="D+")*12+($AN28:$AN28="N+")*12+($AN28:$AN28="Dm+")*12+($AN28:$AN28="Dt+")*12+($AN28:$AN28="Tm-")*6+($AN28:$AN28="Mt-")*6)</f>
        <v/>
      </c>
      <c r="BC28" s="118">
        <f>BB28-MAX(0,IFERROR(INDEX(CADASTRO!$I$4:$I$80,MATCH($A28,CADASTRO!$A$4:$A$80,0)),$B28)-CONFIG!$B$50*(COUNTIF($AH28:$AM28,"AB")+COUNTIF($AH28:$AM28,"FE")+COUNTIF($AH28:$AM28,"LM")+COUNTIF($AN28:$AN28,"AB")+COUNTIF($AN28:$AN28,"FE")+COUNTIF($AN28:$AN28,"LM")))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36">
        <f>IFERROR(INDEX(SET!AJ$8:AJ$73,MATCH($A29,SET!$A$8:$A$73,0))&amp;"","")</f>
        <v/>
      </c>
      <c r="G29" s="136">
        <f>IFERROR(INDEX(SET!AK$8:AK$73,MATCH($A29,SET!$A$8:$A$73,0))&amp;"","")</f>
        <v/>
      </c>
      <c r="H29" s="136">
        <f>IFERROR(INDEX(SET!AL$8:AL$73,MATCH($A29,SET!$A$8:$A$73,0))&amp;"","")</f>
        <v/>
      </c>
      <c r="I29" s="115" t="inlineStr">
        <is>
          <t>M</t>
        </is>
      </c>
      <c r="J29" s="114" t="n"/>
      <c r="K29" s="115" t="inlineStr">
        <is>
          <t>M</t>
        </is>
      </c>
      <c r="L29" s="115" t="inlineStr">
        <is>
          <t>M</t>
        </is>
      </c>
      <c r="M29" s="125" t="inlineStr">
        <is>
          <t>N</t>
        </is>
      </c>
      <c r="N29" s="114" t="n"/>
      <c r="O29" s="115" t="inlineStr">
        <is>
          <t>M</t>
        </is>
      </c>
      <c r="P29" s="115" t="inlineStr">
        <is>
          <t>M</t>
        </is>
      </c>
      <c r="Q29" s="114" t="n"/>
      <c r="R29" s="115" t="inlineStr">
        <is>
          <t>M</t>
        </is>
      </c>
      <c r="S29" s="114" t="n"/>
      <c r="T29" s="125" t="inlineStr">
        <is>
          <t>N</t>
        </is>
      </c>
      <c r="U29" s="114" t="n"/>
      <c r="V29" s="115" t="inlineStr">
        <is>
          <t>M</t>
        </is>
      </c>
      <c r="W29" s="115" t="inlineStr">
        <is>
          <t>M</t>
        </is>
      </c>
      <c r="X29" s="114" t="n"/>
      <c r="Y29" s="127" t="inlineStr">
        <is>
          <t>M-</t>
        </is>
      </c>
      <c r="Z29" s="114" t="n"/>
      <c r="AA29" s="125" t="inlineStr">
        <is>
          <t>N</t>
        </is>
      </c>
      <c r="AB29" s="114" t="n"/>
      <c r="AC29" s="115" t="inlineStr">
        <is>
          <t>M</t>
        </is>
      </c>
      <c r="AD29" s="114" t="n"/>
      <c r="AE29" s="125" t="inlineStr">
        <is>
          <t>N</t>
        </is>
      </c>
      <c r="AF29" s="114" t="n"/>
      <c r="AG29" s="123" t="inlineStr">
        <is>
          <t>M+</t>
        </is>
      </c>
      <c r="AH29" s="125" t="inlineStr">
        <is>
          <t>N</t>
        </is>
      </c>
      <c r="AI29" s="114" t="n"/>
      <c r="AJ29" s="115" t="inlineStr">
        <is>
          <t>M</t>
        </is>
      </c>
      <c r="AK29" s="115" t="inlineStr">
        <is>
          <t>M</t>
        </is>
      </c>
      <c r="AL29" s="114" t="n"/>
      <c r="AM29" s="115" t="inlineStr">
        <is>
          <t>M</t>
        </is>
      </c>
      <c r="AN29" s="116">
        <f>IFERROR(INDEX(NOV!I$8:I$73,MATCH($A29,NOV!$A$8:$A$73,0))&amp;"","")</f>
        <v/>
      </c>
      <c r="AO29" s="100" t="n"/>
      <c r="AP29" s="100" t="n"/>
      <c r="AQ29" s="100" t="n"/>
      <c r="AR29" s="100" t="n"/>
      <c r="AS29" s="100" t="n"/>
      <c r="AT29" s="117">
        <f>SUMPRODUCT(($F29:$L29="M")*6+($F29:$L29="T")*6+($F29:$L29="D")*12+($F29:$L29="N")*12+($F29:$L29="NT")*6+($F29:$L29="C")*10+($F29:$L29="A")*8+($F29:$L29="J")*5+($F29:$L29="CEP")*4+($F29:$L29="CP")*6+($F29:$L29="CRO")*6+($F29:$L29="M+")*6+($F29:$L29="T+")*6+($F29:$L29="D+")*12+($F29:$L29="N+")*12+($F29:$L29="Dm+")*12+($F29:$L29="Dt+")*12+($F29:$L29="Tm-")*6+($F29:$L29="Mt-")*6)</f>
        <v/>
      </c>
      <c r="AU29" s="118">
        <f>AT29-MAX(0,IFERROR(INDEX(CADASTRO!$I$4:$I$80,MATCH($A29,CADASTRO!$A$4:$A$80,0)),$B29)-CONFIG!$B$50*(COUNTIF($F29:$L29,"AB")+COUNTIF($F29:$L29,"FE")+COUNTIF($F29:$L29,"LM")))</f>
        <v/>
      </c>
      <c r="AV29" s="117">
        <f>SUMPRODUCT(($M29:$S29="M")*6+($M29:$S29="T")*6+($M29:$S29="D")*12+($M29:$S29="N")*12+($M29:$S29="NT")*6+($M29:$S29="C")*10+($M29:$S29="A")*8+($M29:$S29="J")*5+($M29:$S29="CEP")*4+($M29:$S29="CP")*6+($M29:$S29="CRO")*6+($M29:$S29="M+")*6+($M29:$S29="T+")*6+($M29:$S29="D+")*12+($M29:$S29="N+")*12+($M29:$S29="Dm+")*12+($M29:$S29="Dt+")*12+($M29:$S29="Tm-")*6+($M29:$S29="Mt-")*6)</f>
        <v/>
      </c>
      <c r="AW29" s="118">
        <f>AV29-MAX(0,IFERROR(INDEX(CADASTRO!$I$4:$I$80,MATCH($A29,CADASTRO!$A$4:$A$80,0)),$B29)-CONFIG!$B$50*(COUNTIF($M29:$S29,"AB")+COUNTIF($M29:$S29,"FE")+COUNTIF($M29:$S29,"LM")))</f>
        <v/>
      </c>
      <c r="AX29" s="117">
        <f>SUMPRODUCT(($T29:$Z29="M")*6+($T29:$Z29="T")*6+($T29:$Z29="D")*12+($T29:$Z29="N")*12+($T29:$Z29="NT")*6+($T29:$Z29="C")*10+($T29:$Z29="A")*8+($T29:$Z29="J")*5+($T29:$Z29="CEP")*4+($T29:$Z29="CP")*6+($T29:$Z29="CRO")*6+($T29:$Z29="M+")*6+($T29:$Z29="T+")*6+($T29:$Z29="D+")*12+($T29:$Z29="N+")*12+($T29:$Z29="Dm+")*12+($T29:$Z29="Dt+")*12+($T29:$Z29="Tm-")*6+($T29:$Z29="Mt-")*6)</f>
        <v/>
      </c>
      <c r="AY29" s="118">
        <f>AX29-MAX(0,IFERROR(INDEX(CADASTRO!$I$4:$I$80,MATCH($A29,CADASTRO!$A$4:$A$80,0)),$B29)-CONFIG!$B$50*(COUNTIF($T29:$Z29,"AB")+COUNTIF($T29:$Z29,"FE")+COUNTIF($T29:$Z29,"LM")))</f>
        <v/>
      </c>
      <c r="AZ29" s="117">
        <f>SUMPRODUCT(($AA29:$AG29="M")*6+($AA29:$AG29="T")*6+($AA29:$AG29="D")*12+($AA29:$AG29="N")*12+($AA29:$AG29="NT")*6+($AA29:$AG29="C")*10+($AA29:$AG29="A")*8+($AA29:$AG29="J")*5+($AA29:$AG29="CEP")*4+($AA29:$AG29="CP")*6+($AA29:$AG29="CRO")*6+($AA29:$AG29="M+")*6+($AA29:$AG29="T+")*6+($AA29:$AG29="D+")*12+($AA29:$AG29="N+")*12+($AA29:$AG29="Dm+")*12+($AA29:$AG29="Dt+")*12+($AA29:$AG29="Tm-")*6+($AA29:$AG29="Mt-")*6)</f>
        <v/>
      </c>
      <c r="BA29" s="118">
        <f>AZ29-MAX(0,IFERROR(INDEX(CADASTRO!$I$4:$I$80,MATCH($A29,CADASTRO!$A$4:$A$80,0)),$B29)-CONFIG!$B$50*(COUNTIF($AA29:$AG29,"AB")+COUNTIF($AA29:$AG29,"FE")+COUNTIF($AA29:$AG29,"LM")))</f>
        <v/>
      </c>
      <c r="BB29" s="117">
        <f>SUMPRODUCT(($AH29:$AM29="M")*6+($AH29:$AM29="T")*6+($AH29:$AM29="D")*12+($AH29:$AM29="N")*12+($AH29:$AM29="NT")*6+($AH29:$AM29="C")*10+($AH29:$AM29="A")*8+($AH29:$AM29="J")*5+($AH29:$AM29="CEP")*4+($AH29:$AM29="CP")*6+($AH29:$AM29="CRO")*6+($AH29:$AM29="M+")*6+($AH29:$AM29="T+")*6+($AH29:$AM29="D+")*12+($AH29:$AM29="N+")*12+($AH29:$AM29="Dm+")*12+($AH29:$AM29="Dt+")*12+($AH29:$AM29="Tm-")*6+($AH29:$AM29="Mt-")*6)+SUMPRODUCT(($AN29:$AN29="M")*6+($AN29:$AN29="T")*6+($AN29:$AN29="D")*12+($AN29:$AN29="N")*12+($AN29:$AN29="NT")*6+($AN29:$AN29="C")*10+($AN29:$AN29="A")*8+($AN29:$AN29="J")*5+($AN29:$AN29="CEP")*4+($AN29:$AN29="CP")*6+($AN29:$AN29="CRO")*6+($AN29:$AN29="M+")*6+($AN29:$AN29="T+")*6+($AN29:$AN29="D+")*12+($AN29:$AN29="N+")*12+($AN29:$AN29="Dm+")*12+($AN29:$AN29="Dt+")*12+($AN29:$AN29="Tm-")*6+($AN29:$AN29="Mt-")*6)</f>
        <v/>
      </c>
      <c r="BC29" s="118">
        <f>BB29-MAX(0,IFERROR(INDEX(CADASTRO!$I$4:$I$80,MATCH($A29,CADASTRO!$A$4:$A$80,0)),$B29)-CONFIG!$B$50*(COUNTIF($AH29:$AM29,"AB")+COUNTIF($AH29:$AM29,"FE")+COUNTIF($AH29:$AM29,"LM")+COUNTIF($AN29:$AN29,"AB")+COUNTIF($AN29:$AN29,"FE")+COUNTIF($AN29:$AN29,"LM")))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36">
        <f>IFERROR(INDEX(SET!AJ$8:AJ$73,MATCH($A30,SET!$A$8:$A$73,0))&amp;"","")</f>
        <v/>
      </c>
      <c r="G30" s="136">
        <f>IFERROR(INDEX(SET!AK$8:AK$73,MATCH($A30,SET!$A$8:$A$73,0))&amp;"","")</f>
        <v/>
      </c>
      <c r="H30" s="136">
        <f>IFERROR(INDEX(SET!AL$8:AL$73,MATCH($A30,SET!$A$8:$A$73,0))&amp;"","")</f>
        <v/>
      </c>
      <c r="I30" s="139" t="inlineStr">
        <is>
          <t>FE</t>
        </is>
      </c>
      <c r="J30" s="139" t="inlineStr">
        <is>
          <t>FE</t>
        </is>
      </c>
      <c r="K30" s="139" t="inlineStr">
        <is>
          <t>FE</t>
        </is>
      </c>
      <c r="L30" s="139" t="inlineStr">
        <is>
          <t>FE</t>
        </is>
      </c>
      <c r="M30" s="139" t="inlineStr">
        <is>
          <t>FE</t>
        </is>
      </c>
      <c r="N30" s="114" t="n"/>
      <c r="O30" s="124" t="inlineStr">
        <is>
          <t>D</t>
        </is>
      </c>
      <c r="P30" s="114" t="n"/>
      <c r="Q30" s="114" t="n"/>
      <c r="R30" s="114" t="n"/>
      <c r="S30" s="125" t="inlineStr">
        <is>
          <t>N</t>
        </is>
      </c>
      <c r="T30" s="114" t="n"/>
      <c r="U30" s="114" t="n"/>
      <c r="V30" s="125" t="inlineStr">
        <is>
          <t>N</t>
        </is>
      </c>
      <c r="W30" s="126" t="inlineStr">
        <is>
          <t>T</t>
        </is>
      </c>
      <c r="X30" s="114" t="n"/>
      <c r="Y30" s="114" t="n"/>
      <c r="Z30" s="125" t="inlineStr">
        <is>
          <t>N</t>
        </is>
      </c>
      <c r="AA30" s="114" t="n"/>
      <c r="AB30" s="114" t="n"/>
      <c r="AC30" s="124" t="inlineStr">
        <is>
          <t>D</t>
        </is>
      </c>
      <c r="AD30" s="114" t="n"/>
      <c r="AE30" s="125" t="inlineStr">
        <is>
          <t>N</t>
        </is>
      </c>
      <c r="AF30" s="114" t="n"/>
      <c r="AG30" s="126" t="inlineStr">
        <is>
          <t>T</t>
        </is>
      </c>
      <c r="AH30" s="114" t="n"/>
      <c r="AI30" s="114" t="n"/>
      <c r="AJ30" s="125" t="inlineStr">
        <is>
          <t>N</t>
        </is>
      </c>
      <c r="AK30" s="126" t="inlineStr">
        <is>
          <t>T</t>
        </is>
      </c>
      <c r="AL30" s="114" t="n"/>
      <c r="AM30" s="114" t="n"/>
      <c r="AN30" s="116">
        <f>IFERROR(INDEX(NOV!I$8:I$73,MATCH($A30,NOV!$A$8:$A$73,0))&amp;"","")</f>
        <v/>
      </c>
      <c r="AO30" s="100" t="n"/>
      <c r="AP30" s="100" t="n"/>
      <c r="AQ30" s="100" t="n"/>
      <c r="AR30" s="100" t="n"/>
      <c r="AS30" s="100" t="n"/>
      <c r="AT30" s="117">
        <f>SUMPRODUCT(($F30:$L30="M")*6+($F30:$L30="T")*6+($F30:$L30="D")*12+($F30:$L30="N")*12+($F30:$L30="NT")*6+($F30:$L30="C")*10+($F30:$L30="A")*8+($F30:$L30="J")*5+($F30:$L30="CEP")*4+($F30:$L30="CP")*6+($F30:$L30="CRO")*6+($F30:$L30="M+")*6+($F30:$L30="T+")*6+($F30:$L30="D+")*12+($F30:$L30="N+")*12+($F30:$L30="Dm+")*12+($F30:$L30="Dt+")*12+($F30:$L30="Tm-")*6+($F30:$L30="Mt-")*6)</f>
        <v/>
      </c>
      <c r="AU30" s="118">
        <f>AT30-MAX(0,IFERROR(INDEX(CADASTRO!$I$4:$I$80,MATCH($A30,CADASTRO!$A$4:$A$80,0)),$B30)-CONFIG!$B$50*(COUNTIF($F30:$L30,"AB")+COUNTIF($F30:$L30,"FE")+COUNTIF($F30:$L30,"LM")))</f>
        <v/>
      </c>
      <c r="AV30" s="117">
        <f>SUMPRODUCT(($M30:$S30="M")*6+($M30:$S30="T")*6+($M30:$S30="D")*12+($M30:$S30="N")*12+($M30:$S30="NT")*6+($M30:$S30="C")*10+($M30:$S30="A")*8+($M30:$S30="J")*5+($M30:$S30="CEP")*4+($M30:$S30="CP")*6+($M30:$S30="CRO")*6+($M30:$S30="M+")*6+($M30:$S30="T+")*6+($M30:$S30="D+")*12+($M30:$S30="N+")*12+($M30:$S30="Dm+")*12+($M30:$S30="Dt+")*12+($M30:$S30="Tm-")*6+($M30:$S30="Mt-")*6)</f>
        <v/>
      </c>
      <c r="AW30" s="118">
        <f>AV30-MAX(0,IFERROR(INDEX(CADASTRO!$I$4:$I$80,MATCH($A30,CADASTRO!$A$4:$A$80,0)),$B30)-CONFIG!$B$50*(COUNTIF($M30:$S30,"AB")+COUNTIF($M30:$S30,"FE")+COUNTIF($M30:$S30,"LM")))</f>
        <v/>
      </c>
      <c r="AX30" s="117">
        <f>SUMPRODUCT(($T30:$Z30="M")*6+($T30:$Z30="T")*6+($T30:$Z30="D")*12+($T30:$Z30="N")*12+($T30:$Z30="NT")*6+($T30:$Z30="C")*10+($T30:$Z30="A")*8+($T30:$Z30="J")*5+($T30:$Z30="CEP")*4+($T30:$Z30="CP")*6+($T30:$Z30="CRO")*6+($T30:$Z30="M+")*6+($T30:$Z30="T+")*6+($T30:$Z30="D+")*12+($T30:$Z30="N+")*12+($T30:$Z30="Dm+")*12+($T30:$Z30="Dt+")*12+($T30:$Z30="Tm-")*6+($T30:$Z30="Mt-")*6)</f>
        <v/>
      </c>
      <c r="AY30" s="118">
        <f>AX30-MAX(0,IFERROR(INDEX(CADASTRO!$I$4:$I$80,MATCH($A30,CADASTRO!$A$4:$A$80,0)),$B30)-CONFIG!$B$50*(COUNTIF($T30:$Z30,"AB")+COUNTIF($T30:$Z30,"FE")+COUNTIF($T30:$Z30,"LM")))</f>
        <v/>
      </c>
      <c r="AZ30" s="117">
        <f>SUMPRODUCT(($AA30:$AG30="M")*6+($AA30:$AG30="T")*6+($AA30:$AG30="D")*12+($AA30:$AG30="N")*12+($AA30:$AG30="NT")*6+($AA30:$AG30="C")*10+($AA30:$AG30="A")*8+($AA30:$AG30="J")*5+($AA30:$AG30="CEP")*4+($AA30:$AG30="CP")*6+($AA30:$AG30="CRO")*6+($AA30:$AG30="M+")*6+($AA30:$AG30="T+")*6+($AA30:$AG30="D+")*12+($AA30:$AG30="N+")*12+($AA30:$AG30="Dm+")*12+($AA30:$AG30="Dt+")*12+($AA30:$AG30="Tm-")*6+($AA30:$AG30="Mt-")*6)</f>
        <v/>
      </c>
      <c r="BA30" s="118">
        <f>AZ30-MAX(0,IFERROR(INDEX(CADASTRO!$I$4:$I$80,MATCH($A30,CADASTRO!$A$4:$A$80,0)),$B30)-CONFIG!$B$50*(COUNTIF($AA30:$AG30,"AB")+COUNTIF($AA30:$AG30,"FE")+COUNTIF($AA30:$AG30,"LM")))</f>
        <v/>
      </c>
      <c r="BB30" s="117">
        <f>SUMPRODUCT(($AH30:$AM30="M")*6+($AH30:$AM30="T")*6+($AH30:$AM30="D")*12+($AH30:$AM30="N")*12+($AH30:$AM30="NT")*6+($AH30:$AM30="C")*10+($AH30:$AM30="A")*8+($AH30:$AM30="J")*5+($AH30:$AM30="CEP")*4+($AH30:$AM30="CP")*6+($AH30:$AM30="CRO")*6+($AH30:$AM30="M+")*6+($AH30:$AM30="T+")*6+($AH30:$AM30="D+")*12+($AH30:$AM30="N+")*12+($AH30:$AM30="Dm+")*12+($AH30:$AM30="Dt+")*12+($AH30:$AM30="Tm-")*6+($AH30:$AM30="Mt-")*6)+SUMPRODUCT(($AN30:$AN30="M")*6+($AN30:$AN30="T")*6+($AN30:$AN30="D")*12+($AN30:$AN30="N")*12+($AN30:$AN30="NT")*6+($AN30:$AN30="C")*10+($AN30:$AN30="A")*8+($AN30:$AN30="J")*5+($AN30:$AN30="CEP")*4+($AN30:$AN30="CP")*6+($AN30:$AN30="CRO")*6+($AN30:$AN30="M+")*6+($AN30:$AN30="T+")*6+($AN30:$AN30="D+")*12+($AN30:$AN30="N+")*12+($AN30:$AN30="Dm+")*12+($AN30:$AN30="Dt+")*12+($AN30:$AN30="Tm-")*6+($AN30:$AN30="Mt-")*6)</f>
        <v/>
      </c>
      <c r="BC30" s="118">
        <f>BB30-MAX(0,IFERROR(INDEX(CADASTRO!$I$4:$I$80,MATCH($A30,CADASTRO!$A$4:$A$80,0)),$B30)-CONFIG!$B$50*(COUNTIF($AH30:$AM30,"AB")+COUNTIF($AH30:$AM30,"FE")+COUNTIF($AH30:$AM30,"LM")+COUNTIF($AN30:$AN30,"AB")+COUNTIF($AN30:$AN30,"FE")+COUNTIF($AN30:$AN30,"LM")))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36">
        <f>IFERROR(INDEX(SET!AJ$8:AJ$73,MATCH($A31,SET!$A$8:$A$73,0))&amp;"","")</f>
        <v/>
      </c>
      <c r="G31" s="136">
        <f>IFERROR(INDEX(SET!AK$8:AK$73,MATCH($A31,SET!$A$8:$A$73,0))&amp;"","")</f>
        <v/>
      </c>
      <c r="H31" s="136">
        <f>IFERROR(INDEX(SET!AL$8:AL$73,MATCH($A31,SET!$A$8:$A$73,0))&amp;"","")</f>
        <v/>
      </c>
      <c r="I31" s="115" t="inlineStr">
        <is>
          <t>M</t>
        </is>
      </c>
      <c r="J31" s="115" t="inlineStr">
        <is>
          <t>M</t>
        </is>
      </c>
      <c r="K31" s="114" t="n"/>
      <c r="L31" s="114" t="n"/>
      <c r="M31" s="114" t="n"/>
      <c r="N31" s="126" t="inlineStr">
        <is>
          <t>T</t>
        </is>
      </c>
      <c r="O31" s="115" t="inlineStr">
        <is>
          <t>M</t>
        </is>
      </c>
      <c r="P31" s="114" t="n"/>
      <c r="Q31" s="115" t="inlineStr">
        <is>
          <t>M</t>
        </is>
      </c>
      <c r="R31" s="114" t="n"/>
      <c r="S31" s="125" t="inlineStr">
        <is>
          <t>N</t>
        </is>
      </c>
      <c r="T31" s="114" t="n"/>
      <c r="U31" s="126" t="inlineStr">
        <is>
          <t>T</t>
        </is>
      </c>
      <c r="V31" s="115" t="inlineStr">
        <is>
          <t>M</t>
        </is>
      </c>
      <c r="W31" s="126" t="inlineStr">
        <is>
          <t>T</t>
        </is>
      </c>
      <c r="X31" s="125" t="inlineStr">
        <is>
          <t>N</t>
        </is>
      </c>
      <c r="Y31" s="114" t="n"/>
      <c r="Z31" s="114" t="n"/>
      <c r="AA31" s="114" t="n"/>
      <c r="AB31" s="126" t="inlineStr">
        <is>
          <t>T</t>
        </is>
      </c>
      <c r="AC31" s="114" t="n"/>
      <c r="AD31" s="114" t="n"/>
      <c r="AE31" s="115" t="inlineStr">
        <is>
          <t>M</t>
        </is>
      </c>
      <c r="AF31" s="115" t="inlineStr">
        <is>
          <t>M</t>
        </is>
      </c>
      <c r="AG31" s="125" t="inlineStr">
        <is>
          <t>N</t>
        </is>
      </c>
      <c r="AH31" s="114" t="n"/>
      <c r="AI31" s="126" t="inlineStr">
        <is>
          <t>T</t>
        </is>
      </c>
      <c r="AJ31" s="124" t="inlineStr">
        <is>
          <t>D</t>
        </is>
      </c>
      <c r="AK31" s="114" t="n"/>
      <c r="AL31" s="115" t="inlineStr">
        <is>
          <t>M</t>
        </is>
      </c>
      <c r="AM31" s="114" t="n"/>
      <c r="AN31" s="116">
        <f>IFERROR(INDEX(NOV!I$8:I$73,MATCH($A31,NOV!$A$8:$A$73,0))&amp;"","")</f>
        <v/>
      </c>
      <c r="AO31" s="100" t="n"/>
      <c r="AP31" s="100" t="n"/>
      <c r="AQ31" s="100" t="n"/>
      <c r="AR31" s="100" t="n"/>
      <c r="AS31" s="100" t="n"/>
      <c r="AT31" s="117">
        <f>SUMPRODUCT(($F31:$L31="M")*6+($F31:$L31="T")*6+($F31:$L31="D")*12+($F31:$L31="N")*12+($F31:$L31="NT")*6+($F31:$L31="C")*10+($F31:$L31="A")*8+($F31:$L31="J")*5+($F31:$L31="CEP")*4+($F31:$L31="CP")*6+($F31:$L31="CRO")*6+($F31:$L31="M+")*6+($F31:$L31="T+")*6+($F31:$L31="D+")*12+($F31:$L31="N+")*12+($F31:$L31="Dm+")*12+($F31:$L31="Dt+")*12+($F31:$L31="Tm-")*6+($F31:$L31="Mt-")*6)</f>
        <v/>
      </c>
      <c r="AU31" s="118">
        <f>AT31-MAX(0,IFERROR(INDEX(CADASTRO!$I$4:$I$80,MATCH($A31,CADASTRO!$A$4:$A$80,0)),$B31)-CONFIG!$B$50*(COUNTIF($F31:$L31,"AB")+COUNTIF($F31:$L31,"FE")+COUNTIF($F31:$L31,"LM")))</f>
        <v/>
      </c>
      <c r="AV31" s="117">
        <f>SUMPRODUCT(($M31:$S31="M")*6+($M31:$S31="T")*6+($M31:$S31="D")*12+($M31:$S31="N")*12+($M31:$S31="NT")*6+($M31:$S31="C")*10+($M31:$S31="A")*8+($M31:$S31="J")*5+($M31:$S31="CEP")*4+($M31:$S31="CP")*6+($M31:$S31="CRO")*6+($M31:$S31="M+")*6+($M31:$S31="T+")*6+($M31:$S31="D+")*12+($M31:$S31="N+")*12+($M31:$S31="Dm+")*12+($M31:$S31="Dt+")*12+($M31:$S31="Tm-")*6+($M31:$S31="Mt-")*6)</f>
        <v/>
      </c>
      <c r="AW31" s="118">
        <f>AV31-MAX(0,IFERROR(INDEX(CADASTRO!$I$4:$I$80,MATCH($A31,CADASTRO!$A$4:$A$80,0)),$B31)-CONFIG!$B$50*(COUNTIF($M31:$S31,"AB")+COUNTIF($M31:$S31,"FE")+COUNTIF($M31:$S31,"LM")))</f>
        <v/>
      </c>
      <c r="AX31" s="117">
        <f>SUMPRODUCT(($T31:$Z31="M")*6+($T31:$Z31="T")*6+($T31:$Z31="D")*12+($T31:$Z31="N")*12+($T31:$Z31="NT")*6+($T31:$Z31="C")*10+($T31:$Z31="A")*8+($T31:$Z31="J")*5+($T31:$Z31="CEP")*4+($T31:$Z31="CP")*6+($T31:$Z31="CRO")*6+($T31:$Z31="M+")*6+($T31:$Z31="T+")*6+($T31:$Z31="D+")*12+($T31:$Z31="N+")*12+($T31:$Z31="Dm+")*12+($T31:$Z31="Dt+")*12+($T31:$Z31="Tm-")*6+($T31:$Z31="Mt-")*6)</f>
        <v/>
      </c>
      <c r="AY31" s="118">
        <f>AX31-MAX(0,IFERROR(INDEX(CADASTRO!$I$4:$I$80,MATCH($A31,CADASTRO!$A$4:$A$80,0)),$B31)-CONFIG!$B$50*(COUNTIF($T31:$Z31,"AB")+COUNTIF($T31:$Z31,"FE")+COUNTIF($T31:$Z31,"LM")))</f>
        <v/>
      </c>
      <c r="AZ31" s="117">
        <f>SUMPRODUCT(($AA31:$AG31="M")*6+($AA31:$AG31="T")*6+($AA31:$AG31="D")*12+($AA31:$AG31="N")*12+($AA31:$AG31="NT")*6+($AA31:$AG31="C")*10+($AA31:$AG31="A")*8+($AA31:$AG31="J")*5+($AA31:$AG31="CEP")*4+($AA31:$AG31="CP")*6+($AA31:$AG31="CRO")*6+($AA31:$AG31="M+")*6+($AA31:$AG31="T+")*6+($AA31:$AG31="D+")*12+($AA31:$AG31="N+")*12+($AA31:$AG31="Dm+")*12+($AA31:$AG31="Dt+")*12+($AA31:$AG31="Tm-")*6+($AA31:$AG31="Mt-")*6)</f>
        <v/>
      </c>
      <c r="BA31" s="118">
        <f>AZ31-MAX(0,IFERROR(INDEX(CADASTRO!$I$4:$I$80,MATCH($A31,CADASTRO!$A$4:$A$80,0)),$B31)-CONFIG!$B$50*(COUNTIF($AA31:$AG31,"AB")+COUNTIF($AA31:$AG31,"FE")+COUNTIF($AA31:$AG31,"LM")))</f>
        <v/>
      </c>
      <c r="BB31" s="117">
        <f>SUMPRODUCT(($AH31:$AM31="M")*6+($AH31:$AM31="T")*6+($AH31:$AM31="D")*12+($AH31:$AM31="N")*12+($AH31:$AM31="NT")*6+($AH31:$AM31="C")*10+($AH31:$AM31="A")*8+($AH31:$AM31="J")*5+($AH31:$AM31="CEP")*4+($AH31:$AM31="CP")*6+($AH31:$AM31="CRO")*6+($AH31:$AM31="M+")*6+($AH31:$AM31="T+")*6+($AH31:$AM31="D+")*12+($AH31:$AM31="N+")*12+($AH31:$AM31="Dm+")*12+($AH31:$AM31="Dt+")*12+($AH31:$AM31="Tm-")*6+($AH31:$AM31="Mt-")*6)+SUMPRODUCT(($AN31:$AN31="M")*6+($AN31:$AN31="T")*6+($AN31:$AN31="D")*12+($AN31:$AN31="N")*12+($AN31:$AN31="NT")*6+($AN31:$AN31="C")*10+($AN31:$AN31="A")*8+($AN31:$AN31="J")*5+($AN31:$AN31="CEP")*4+($AN31:$AN31="CP")*6+($AN31:$AN31="CRO")*6+($AN31:$AN31="M+")*6+($AN31:$AN31="T+")*6+($AN31:$AN31="D+")*12+($AN31:$AN31="N+")*12+($AN31:$AN31="Dm+")*12+($AN31:$AN31="Dt+")*12+($AN31:$AN31="Tm-")*6+($AN31:$AN31="Mt-")*6)</f>
        <v/>
      </c>
      <c r="BC31" s="118">
        <f>BB31-MAX(0,IFERROR(INDEX(CADASTRO!$I$4:$I$80,MATCH($A31,CADASTRO!$A$4:$A$80,0)),$B31)-CONFIG!$B$50*(COUNTIF($AH31:$AM31,"AB")+COUNTIF($AH31:$AM31,"FE")+COUNTIF($AH31:$AM31,"LM")+COUNTIF($AN31:$AN31,"AB")+COUNTIF($AN31:$AN31,"FE")+COUNTIF($AN31:$AN31,"LM")))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36">
        <f>IFERROR(INDEX(SET!AJ$8:AJ$73,MATCH($A32,SET!$A$8:$A$73,0))&amp;"","")</f>
        <v/>
      </c>
      <c r="G32" s="136">
        <f>IFERROR(INDEX(SET!AK$8:AK$73,MATCH($A32,SET!$A$8:$A$73,0))&amp;"","")</f>
        <v/>
      </c>
      <c r="H32" s="136">
        <f>IFERROR(INDEX(SET!AL$8:AL$73,MATCH($A32,SET!$A$8:$A$73,0))&amp;"","")</f>
        <v/>
      </c>
      <c r="I32" s="139" t="inlineStr">
        <is>
          <t>FE</t>
        </is>
      </c>
      <c r="J32" s="139" t="inlineStr">
        <is>
          <t>FE</t>
        </is>
      </c>
      <c r="K32" s="139" t="inlineStr">
        <is>
          <t>FE</t>
        </is>
      </c>
      <c r="L32" s="139" t="inlineStr">
        <is>
          <t>FE</t>
        </is>
      </c>
      <c r="M32" s="139" t="inlineStr">
        <is>
          <t>FE</t>
        </is>
      </c>
      <c r="N32" s="114" t="n"/>
      <c r="O32" s="114" t="n"/>
      <c r="P32" s="114" t="n"/>
      <c r="Q32" s="126" t="inlineStr">
        <is>
          <t>T</t>
        </is>
      </c>
      <c r="R32" s="115" t="inlineStr">
        <is>
          <t>M</t>
        </is>
      </c>
      <c r="S32" s="125" t="inlineStr">
        <is>
          <t>N</t>
        </is>
      </c>
      <c r="T32" s="125" t="inlineStr">
        <is>
          <t>N</t>
        </is>
      </c>
      <c r="U32" s="114" t="n"/>
      <c r="V32" s="126" t="inlineStr">
        <is>
          <t>T</t>
        </is>
      </c>
      <c r="W32" s="115" t="inlineStr">
        <is>
          <t>M</t>
        </is>
      </c>
      <c r="X32" s="115" t="inlineStr">
        <is>
          <t>M</t>
        </is>
      </c>
      <c r="Y32" s="114" t="n"/>
      <c r="Z32" s="114" t="n"/>
      <c r="AA32" s="114" t="n"/>
      <c r="AB32" s="114" t="n"/>
      <c r="AC32" s="114" t="n"/>
      <c r="AD32" s="114" t="n"/>
      <c r="AE32" s="125" t="inlineStr">
        <is>
          <t>N</t>
        </is>
      </c>
      <c r="AF32" s="126" t="inlineStr">
        <is>
          <t>T</t>
        </is>
      </c>
      <c r="AG32" s="124" t="inlineStr">
        <is>
          <t>D</t>
        </is>
      </c>
      <c r="AH32" s="124" t="inlineStr">
        <is>
          <t>D</t>
        </is>
      </c>
      <c r="AI32" s="114" t="n"/>
      <c r="AJ32" s="114" t="n"/>
      <c r="AK32" s="124" t="inlineStr">
        <is>
          <t>D</t>
        </is>
      </c>
      <c r="AL32" s="115" t="inlineStr">
        <is>
          <t>M</t>
        </is>
      </c>
      <c r="AM32" s="114" t="n"/>
      <c r="AN32" s="116">
        <f>IFERROR(INDEX(NOV!I$8:I$73,MATCH($A32,NOV!$A$8:$A$73,0))&amp;"","")</f>
        <v/>
      </c>
      <c r="AO32" s="100" t="n"/>
      <c r="AP32" s="100" t="n"/>
      <c r="AQ32" s="100" t="n"/>
      <c r="AR32" s="100" t="n"/>
      <c r="AS32" s="100" t="n"/>
      <c r="AT32" s="117">
        <f>SUMPRODUCT(($F32:$L32="M")*6+($F32:$L32="T")*6+($F32:$L32="D")*12+($F32:$L32="N")*12+($F32:$L32="NT")*6+($F32:$L32="C")*10+($F32:$L32="A")*8+($F32:$L32="J")*5+($F32:$L32="CEP")*4+($F32:$L32="CP")*6+($F32:$L32="CRO")*6+($F32:$L32="M+")*6+($F32:$L32="T+")*6+($F32:$L32="D+")*12+($F32:$L32="N+")*12+($F32:$L32="Dm+")*12+($F32:$L32="Dt+")*12+($F32:$L32="Tm-")*6+($F32:$L32="Mt-")*6)</f>
        <v/>
      </c>
      <c r="AU32" s="118">
        <f>AT32-MAX(0,IFERROR(INDEX(CADASTRO!$I$4:$I$80,MATCH($A32,CADASTRO!$A$4:$A$80,0)),$B32)-CONFIG!$B$50*(COUNTIF($F32:$L32,"AB")+COUNTIF($F32:$L32,"FE")+COUNTIF($F32:$L32,"LM")))</f>
        <v/>
      </c>
      <c r="AV32" s="117">
        <f>SUMPRODUCT(($M32:$S32="M")*6+($M32:$S32="T")*6+($M32:$S32="D")*12+($M32:$S32="N")*12+($M32:$S32="NT")*6+($M32:$S32="C")*10+($M32:$S32="A")*8+($M32:$S32="J")*5+($M32:$S32="CEP")*4+($M32:$S32="CP")*6+($M32:$S32="CRO")*6+($M32:$S32="M+")*6+($M32:$S32="T+")*6+($M32:$S32="D+")*12+($M32:$S32="N+")*12+($M32:$S32="Dm+")*12+($M32:$S32="Dt+")*12+($M32:$S32="Tm-")*6+($M32:$S32="Mt-")*6)</f>
        <v/>
      </c>
      <c r="AW32" s="118">
        <f>AV32-MAX(0,IFERROR(INDEX(CADASTRO!$I$4:$I$80,MATCH($A32,CADASTRO!$A$4:$A$80,0)),$B32)-CONFIG!$B$50*(COUNTIF($M32:$S32,"AB")+COUNTIF($M32:$S32,"FE")+COUNTIF($M32:$S32,"LM")))</f>
        <v/>
      </c>
      <c r="AX32" s="117">
        <f>SUMPRODUCT(($T32:$Z32="M")*6+($T32:$Z32="T")*6+($T32:$Z32="D")*12+($T32:$Z32="N")*12+($T32:$Z32="NT")*6+($T32:$Z32="C")*10+($T32:$Z32="A")*8+($T32:$Z32="J")*5+($T32:$Z32="CEP")*4+($T32:$Z32="CP")*6+($T32:$Z32="CRO")*6+($T32:$Z32="M+")*6+($T32:$Z32="T+")*6+($T32:$Z32="D+")*12+($T32:$Z32="N+")*12+($T32:$Z32="Dm+")*12+($T32:$Z32="Dt+")*12+($T32:$Z32="Tm-")*6+($T32:$Z32="Mt-")*6)</f>
        <v/>
      </c>
      <c r="AY32" s="118">
        <f>AX32-MAX(0,IFERROR(INDEX(CADASTRO!$I$4:$I$80,MATCH($A32,CADASTRO!$A$4:$A$80,0)),$B32)-CONFIG!$B$50*(COUNTIF($T32:$Z32,"AB")+COUNTIF($T32:$Z32,"FE")+COUNTIF($T32:$Z32,"LM")))</f>
        <v/>
      </c>
      <c r="AZ32" s="117">
        <f>SUMPRODUCT(($AA32:$AG32="M")*6+($AA32:$AG32="T")*6+($AA32:$AG32="D")*12+($AA32:$AG32="N")*12+($AA32:$AG32="NT")*6+($AA32:$AG32="C")*10+($AA32:$AG32="A")*8+($AA32:$AG32="J")*5+($AA32:$AG32="CEP")*4+($AA32:$AG32="CP")*6+($AA32:$AG32="CRO")*6+($AA32:$AG32="M+")*6+($AA32:$AG32="T+")*6+($AA32:$AG32="D+")*12+($AA32:$AG32="N+")*12+($AA32:$AG32="Dm+")*12+($AA32:$AG32="Dt+")*12+($AA32:$AG32="Tm-")*6+($AA32:$AG32="Mt-")*6)</f>
        <v/>
      </c>
      <c r="BA32" s="118">
        <f>AZ32-MAX(0,IFERROR(INDEX(CADASTRO!$I$4:$I$80,MATCH($A32,CADASTRO!$A$4:$A$80,0)),$B32)-CONFIG!$B$50*(COUNTIF($AA32:$AG32,"AB")+COUNTIF($AA32:$AG32,"FE")+COUNTIF($AA32:$AG32,"LM")))</f>
        <v/>
      </c>
      <c r="BB32" s="117">
        <f>SUMPRODUCT(($AH32:$AM32="M")*6+($AH32:$AM32="T")*6+($AH32:$AM32="D")*12+($AH32:$AM32="N")*12+($AH32:$AM32="NT")*6+($AH32:$AM32="C")*10+($AH32:$AM32="A")*8+($AH32:$AM32="J")*5+($AH32:$AM32="CEP")*4+($AH32:$AM32="CP")*6+($AH32:$AM32="CRO")*6+($AH32:$AM32="M+")*6+($AH32:$AM32="T+")*6+($AH32:$AM32="D+")*12+($AH32:$AM32="N+")*12+($AH32:$AM32="Dm+")*12+($AH32:$AM32="Dt+")*12+($AH32:$AM32="Tm-")*6+($AH32:$AM32="Mt-")*6)+SUMPRODUCT(($AN32:$AN32="M")*6+($AN32:$AN32="T")*6+($AN32:$AN32="D")*12+($AN32:$AN32="N")*12+($AN32:$AN32="NT")*6+($AN32:$AN32="C")*10+($AN32:$AN32="A")*8+($AN32:$AN32="J")*5+($AN32:$AN32="CEP")*4+($AN32:$AN32="CP")*6+($AN32:$AN32="CRO")*6+($AN32:$AN32="M+")*6+($AN32:$AN32="T+")*6+($AN32:$AN32="D+")*12+($AN32:$AN32="N+")*12+($AN32:$AN32="Dm+")*12+($AN32:$AN32="Dt+")*12+($AN32:$AN32="Tm-")*6+($AN32:$AN32="Mt-")*6)</f>
        <v/>
      </c>
      <c r="BC32" s="118">
        <f>BB32-MAX(0,IFERROR(INDEX(CADASTRO!$I$4:$I$80,MATCH($A32,CADASTRO!$A$4:$A$80,0)),$B32)-CONFIG!$B$50*(COUNTIF($AH32:$AM32,"AB")+COUNTIF($AH32:$AM32,"FE")+COUNTIF($AH32:$AM32,"LM")+COUNTIF($AN32:$AN32,"AB")+COUNTIF($AN32:$AN32,"FE")+COUNTIF($AN32:$AN32,"LM")))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36">
        <f>IFERROR(INDEX(SET!AJ$8:AJ$73,MATCH($A33,SET!$A$8:$A$73,0))&amp;"","")</f>
        <v/>
      </c>
      <c r="G33" s="136">
        <f>IFERROR(INDEX(SET!AK$8:AK$73,MATCH($A33,SET!$A$8:$A$73,0))&amp;"","")</f>
        <v/>
      </c>
      <c r="H33" s="136">
        <f>IFERROR(INDEX(SET!AL$8:AL$73,MATCH($A33,SET!$A$8:$A$73,0))&amp;"","")</f>
        <v/>
      </c>
      <c r="I33" s="114" t="n"/>
      <c r="J33" s="126" t="inlineStr">
        <is>
          <t>T</t>
        </is>
      </c>
      <c r="K33" s="115" t="inlineStr">
        <is>
          <t>M</t>
        </is>
      </c>
      <c r="L33" s="114" t="n"/>
      <c r="M33" s="124" t="inlineStr">
        <is>
          <t>D</t>
        </is>
      </c>
      <c r="N33" s="114" t="n"/>
      <c r="O33" s="114" t="n"/>
      <c r="P33" s="114" t="n"/>
      <c r="Q33" s="114" t="n"/>
      <c r="R33" s="124" t="inlineStr">
        <is>
          <t>D</t>
        </is>
      </c>
      <c r="S33" s="114" t="n"/>
      <c r="T33" s="115" t="inlineStr">
        <is>
          <t>M</t>
        </is>
      </c>
      <c r="U33" s="114" t="n"/>
      <c r="V33" s="114" t="n"/>
      <c r="W33" s="114" t="n"/>
      <c r="X33" s="126" t="inlineStr">
        <is>
          <t>T</t>
        </is>
      </c>
      <c r="Y33" s="115" t="inlineStr">
        <is>
          <t>M</t>
        </is>
      </c>
      <c r="Z33" s="115" t="inlineStr">
        <is>
          <t>M</t>
        </is>
      </c>
      <c r="AA33" s="124" t="inlineStr">
        <is>
          <t>D</t>
        </is>
      </c>
      <c r="AB33" s="114" t="n"/>
      <c r="AC33" s="114" t="n"/>
      <c r="AD33" s="114" t="n"/>
      <c r="AE33" s="124" t="inlineStr">
        <is>
          <t>D</t>
        </is>
      </c>
      <c r="AF33" s="114" t="n"/>
      <c r="AG33" s="114" t="n"/>
      <c r="AH33" s="124" t="inlineStr">
        <is>
          <t>D</t>
        </is>
      </c>
      <c r="AI33" s="114" t="n"/>
      <c r="AJ33" s="114" t="n"/>
      <c r="AK33" s="114" t="n"/>
      <c r="AL33" s="125" t="inlineStr">
        <is>
          <t>N</t>
        </is>
      </c>
      <c r="AM33" s="114" t="n"/>
      <c r="AN33" s="116">
        <f>IFERROR(INDEX(NOV!I$8:I$73,MATCH($A33,NOV!$A$8:$A$73,0))&amp;"","")</f>
        <v/>
      </c>
      <c r="AO33" s="100" t="n"/>
      <c r="AP33" s="100" t="n"/>
      <c r="AQ33" s="100" t="n"/>
      <c r="AR33" s="100" t="n"/>
      <c r="AS33" s="100" t="n"/>
      <c r="AT33" s="117">
        <f>SUMPRODUCT(($F33:$L33="M")*6+($F33:$L33="T")*6+($F33:$L33="D")*12+($F33:$L33="N")*12+($F33:$L33="NT")*6+($F33:$L33="C")*10+($F33:$L33="A")*8+($F33:$L33="J")*5+($F33:$L33="CEP")*4+($F33:$L33="CP")*6+($F33:$L33="CRO")*6+($F33:$L33="M+")*6+($F33:$L33="T+")*6+($F33:$L33="D+")*12+($F33:$L33="N+")*12+($F33:$L33="Dm+")*12+($F33:$L33="Dt+")*12+($F33:$L33="Tm-")*6+($F33:$L33="Mt-")*6)</f>
        <v/>
      </c>
      <c r="AU33" s="118">
        <f>AT33-MAX(0,IFERROR(INDEX(CADASTRO!$I$4:$I$80,MATCH($A33,CADASTRO!$A$4:$A$80,0)),$B33)-CONFIG!$B$50*(COUNTIF($F33:$L33,"AB")+COUNTIF($F33:$L33,"FE")+COUNTIF($F33:$L33,"LM")))</f>
        <v/>
      </c>
      <c r="AV33" s="117">
        <f>SUMPRODUCT(($M33:$S33="M")*6+($M33:$S33="T")*6+($M33:$S33="D")*12+($M33:$S33="N")*12+($M33:$S33="NT")*6+($M33:$S33="C")*10+($M33:$S33="A")*8+($M33:$S33="J")*5+($M33:$S33="CEP")*4+($M33:$S33="CP")*6+($M33:$S33="CRO")*6+($M33:$S33="M+")*6+($M33:$S33="T+")*6+($M33:$S33="D+")*12+($M33:$S33="N+")*12+($M33:$S33="Dm+")*12+($M33:$S33="Dt+")*12+($M33:$S33="Tm-")*6+($M33:$S33="Mt-")*6)</f>
        <v/>
      </c>
      <c r="AW33" s="118">
        <f>AV33-MAX(0,IFERROR(INDEX(CADASTRO!$I$4:$I$80,MATCH($A33,CADASTRO!$A$4:$A$80,0)),$B33)-CONFIG!$B$50*(COUNTIF($M33:$S33,"AB")+COUNTIF($M33:$S33,"FE")+COUNTIF($M33:$S33,"LM")))</f>
        <v/>
      </c>
      <c r="AX33" s="117">
        <f>SUMPRODUCT(($T33:$Z33="M")*6+($T33:$Z33="T")*6+($T33:$Z33="D")*12+($T33:$Z33="N")*12+($T33:$Z33="NT")*6+($T33:$Z33="C")*10+($T33:$Z33="A")*8+($T33:$Z33="J")*5+($T33:$Z33="CEP")*4+($T33:$Z33="CP")*6+($T33:$Z33="CRO")*6+($T33:$Z33="M+")*6+($T33:$Z33="T+")*6+($T33:$Z33="D+")*12+($T33:$Z33="N+")*12+($T33:$Z33="Dm+")*12+($T33:$Z33="Dt+")*12+($T33:$Z33="Tm-")*6+($T33:$Z33="Mt-")*6)</f>
        <v/>
      </c>
      <c r="AY33" s="118">
        <f>AX33-MAX(0,IFERROR(INDEX(CADASTRO!$I$4:$I$80,MATCH($A33,CADASTRO!$A$4:$A$80,0)),$B33)-CONFIG!$B$50*(COUNTIF($T33:$Z33,"AB")+COUNTIF($T33:$Z33,"FE")+COUNTIF($T33:$Z33,"LM")))</f>
        <v/>
      </c>
      <c r="AZ33" s="117">
        <f>SUMPRODUCT(($AA33:$AG33="M")*6+($AA33:$AG33="T")*6+($AA33:$AG33="D")*12+($AA33:$AG33="N")*12+($AA33:$AG33="NT")*6+($AA33:$AG33="C")*10+($AA33:$AG33="A")*8+($AA33:$AG33="J")*5+($AA33:$AG33="CEP")*4+($AA33:$AG33="CP")*6+($AA33:$AG33="CRO")*6+($AA33:$AG33="M+")*6+($AA33:$AG33="T+")*6+($AA33:$AG33="D+")*12+($AA33:$AG33="N+")*12+($AA33:$AG33="Dm+")*12+($AA33:$AG33="Dt+")*12+($AA33:$AG33="Tm-")*6+($AA33:$AG33="Mt-")*6)</f>
        <v/>
      </c>
      <c r="BA33" s="118">
        <f>AZ33-MAX(0,IFERROR(INDEX(CADASTRO!$I$4:$I$80,MATCH($A33,CADASTRO!$A$4:$A$80,0)),$B33)-CONFIG!$B$50*(COUNTIF($AA33:$AG33,"AB")+COUNTIF($AA33:$AG33,"FE")+COUNTIF($AA33:$AG33,"LM")))</f>
        <v/>
      </c>
      <c r="BB33" s="117">
        <f>SUMPRODUCT(($AH33:$AM33="M")*6+($AH33:$AM33="T")*6+($AH33:$AM33="D")*12+($AH33:$AM33="N")*12+($AH33:$AM33="NT")*6+($AH33:$AM33="C")*10+($AH33:$AM33="A")*8+($AH33:$AM33="J")*5+($AH33:$AM33="CEP")*4+($AH33:$AM33="CP")*6+($AH33:$AM33="CRO")*6+($AH33:$AM33="M+")*6+($AH33:$AM33="T+")*6+($AH33:$AM33="D+")*12+($AH33:$AM33="N+")*12+($AH33:$AM33="Dm+")*12+($AH33:$AM33="Dt+")*12+($AH33:$AM33="Tm-")*6+($AH33:$AM33="Mt-")*6)+SUMPRODUCT(($AN33:$AN33="M")*6+($AN33:$AN33="T")*6+($AN33:$AN33="D")*12+($AN33:$AN33="N")*12+($AN33:$AN33="NT")*6+($AN33:$AN33="C")*10+($AN33:$AN33="A")*8+($AN33:$AN33="J")*5+($AN33:$AN33="CEP")*4+($AN33:$AN33="CP")*6+($AN33:$AN33="CRO")*6+($AN33:$AN33="M+")*6+($AN33:$AN33="T+")*6+($AN33:$AN33="D+")*12+($AN33:$AN33="N+")*12+($AN33:$AN33="Dm+")*12+($AN33:$AN33="Dt+")*12+($AN33:$AN33="Tm-")*6+($AN33:$AN33="Mt-")*6)</f>
        <v/>
      </c>
      <c r="BC33" s="118">
        <f>BB33-MAX(0,IFERROR(INDEX(CADASTRO!$I$4:$I$80,MATCH($A33,CADASTRO!$A$4:$A$80,0)),$B33)-CONFIG!$B$50*(COUNTIF($AH33:$AM33,"AB")+COUNTIF($AH33:$AM33,"FE")+COUNTIF($AH33:$AM33,"LM")+COUNTIF($AN33:$AN33,"AB")+COUNTIF($AN33:$AN33,"FE")+COUNTIF($AN33:$AN33,"LM")))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36">
        <f>IFERROR(INDEX(SET!AJ$8:AJ$73,MATCH($A34,SET!$A$8:$A$73,0))&amp;"","")</f>
        <v/>
      </c>
      <c r="G34" s="136">
        <f>IFERROR(INDEX(SET!AK$8:AK$73,MATCH($A34,SET!$A$8:$A$73,0))&amp;"","")</f>
        <v/>
      </c>
      <c r="H34" s="136">
        <f>IFERROR(INDEX(SET!AL$8:AL$73,MATCH($A34,SET!$A$8:$A$73,0))&amp;"","")</f>
        <v/>
      </c>
      <c r="I34" s="114" t="n"/>
      <c r="J34" s="114" t="n"/>
      <c r="K34" s="124" t="inlineStr">
        <is>
          <t>D</t>
        </is>
      </c>
      <c r="L34" s="115" t="inlineStr">
        <is>
          <t>M</t>
        </is>
      </c>
      <c r="M34" s="114" t="n"/>
      <c r="N34" s="124" t="inlineStr">
        <is>
          <t>D</t>
        </is>
      </c>
      <c r="O34" s="115" t="inlineStr">
        <is>
          <t>M</t>
        </is>
      </c>
      <c r="P34" s="114" t="n"/>
      <c r="Q34" s="114" t="n"/>
      <c r="R34" s="124" t="inlineStr">
        <is>
          <t>D</t>
        </is>
      </c>
      <c r="S34" s="114" t="n"/>
      <c r="T34" s="115" t="inlineStr">
        <is>
          <t>M</t>
        </is>
      </c>
      <c r="U34" s="114" t="n"/>
      <c r="V34" s="124" t="inlineStr">
        <is>
          <t>D</t>
        </is>
      </c>
      <c r="W34" s="114" t="n"/>
      <c r="X34" s="125" t="inlineStr">
        <is>
          <t>N</t>
        </is>
      </c>
      <c r="Y34" s="114" t="n"/>
      <c r="Z34" s="114" t="n"/>
      <c r="AA34" s="124" t="inlineStr">
        <is>
          <t>D</t>
        </is>
      </c>
      <c r="AB34" s="115" t="inlineStr">
        <is>
          <t>M</t>
        </is>
      </c>
      <c r="AC34" s="124" t="inlineStr">
        <is>
          <t>D</t>
        </is>
      </c>
      <c r="AD34" s="114" t="n"/>
      <c r="AE34" s="114" t="n"/>
      <c r="AF34" s="114" t="n"/>
      <c r="AG34" s="114" t="n"/>
      <c r="AH34" s="114" t="n"/>
      <c r="AI34" s="124" t="inlineStr">
        <is>
          <t>D</t>
        </is>
      </c>
      <c r="AJ34" s="124" t="inlineStr">
        <is>
          <t>D</t>
        </is>
      </c>
      <c r="AK34" s="115" t="inlineStr">
        <is>
          <t>M</t>
        </is>
      </c>
      <c r="AL34" s="114" t="n"/>
      <c r="AM34" s="114" t="n"/>
      <c r="AN34" s="116">
        <f>IFERROR(INDEX(NOV!I$8:I$73,MATCH($A34,NOV!$A$8:$A$73,0))&amp;"","")</f>
        <v/>
      </c>
      <c r="AO34" s="100" t="n"/>
      <c r="AP34" s="100" t="n"/>
      <c r="AQ34" s="100" t="n"/>
      <c r="AR34" s="100" t="n"/>
      <c r="AS34" s="100" t="n"/>
      <c r="AT34" s="117">
        <f>SUMPRODUCT(($F34:$L34="M")*6+($F34:$L34="T")*6+($F34:$L34="D")*12+($F34:$L34="N")*12+($F34:$L34="NT")*6+($F34:$L34="C")*10+($F34:$L34="A")*8+($F34:$L34="J")*5+($F34:$L34="CEP")*4+($F34:$L34="CP")*6+($F34:$L34="CRO")*6+($F34:$L34="M+")*6+($F34:$L34="T+")*6+($F34:$L34="D+")*12+($F34:$L34="N+")*12+($F34:$L34="Dm+")*12+($F34:$L34="Dt+")*12+($F34:$L34="Tm-")*6+($F34:$L34="Mt-")*6)</f>
        <v/>
      </c>
      <c r="AU34" s="118">
        <f>AT34-MAX(0,IFERROR(INDEX(CADASTRO!$I$4:$I$80,MATCH($A34,CADASTRO!$A$4:$A$80,0)),$B34)-CONFIG!$B$50*(COUNTIF($F34:$L34,"AB")+COUNTIF($F34:$L34,"FE")+COUNTIF($F34:$L34,"LM")))</f>
        <v/>
      </c>
      <c r="AV34" s="117">
        <f>SUMPRODUCT(($M34:$S34="M")*6+($M34:$S34="T")*6+($M34:$S34="D")*12+($M34:$S34="N")*12+($M34:$S34="NT")*6+($M34:$S34="C")*10+($M34:$S34="A")*8+($M34:$S34="J")*5+($M34:$S34="CEP")*4+($M34:$S34="CP")*6+($M34:$S34="CRO")*6+($M34:$S34="M+")*6+($M34:$S34="T+")*6+($M34:$S34="D+")*12+($M34:$S34="N+")*12+($M34:$S34="Dm+")*12+($M34:$S34="Dt+")*12+($M34:$S34="Tm-")*6+($M34:$S34="Mt-")*6)</f>
        <v/>
      </c>
      <c r="AW34" s="118">
        <f>AV34-MAX(0,IFERROR(INDEX(CADASTRO!$I$4:$I$80,MATCH($A34,CADASTRO!$A$4:$A$80,0)),$B34)-CONFIG!$B$50*(COUNTIF($M34:$S34,"AB")+COUNTIF($M34:$S34,"FE")+COUNTIF($M34:$S34,"LM")))</f>
        <v/>
      </c>
      <c r="AX34" s="117">
        <f>SUMPRODUCT(($T34:$Z34="M")*6+($T34:$Z34="T")*6+($T34:$Z34="D")*12+($T34:$Z34="N")*12+($T34:$Z34="NT")*6+($T34:$Z34="C")*10+($T34:$Z34="A")*8+($T34:$Z34="J")*5+($T34:$Z34="CEP")*4+($T34:$Z34="CP")*6+($T34:$Z34="CRO")*6+($T34:$Z34="M+")*6+($T34:$Z34="T+")*6+($T34:$Z34="D+")*12+($T34:$Z34="N+")*12+($T34:$Z34="Dm+")*12+($T34:$Z34="Dt+")*12+($T34:$Z34="Tm-")*6+($T34:$Z34="Mt-")*6)</f>
        <v/>
      </c>
      <c r="AY34" s="118">
        <f>AX34-MAX(0,IFERROR(INDEX(CADASTRO!$I$4:$I$80,MATCH($A34,CADASTRO!$A$4:$A$80,0)),$B34)-CONFIG!$B$50*(COUNTIF($T34:$Z34,"AB")+COUNTIF($T34:$Z34,"FE")+COUNTIF($T34:$Z34,"LM")))</f>
        <v/>
      </c>
      <c r="AZ34" s="117">
        <f>SUMPRODUCT(($AA34:$AG34="M")*6+($AA34:$AG34="T")*6+($AA34:$AG34="D")*12+($AA34:$AG34="N")*12+($AA34:$AG34="NT")*6+($AA34:$AG34="C")*10+($AA34:$AG34="A")*8+($AA34:$AG34="J")*5+($AA34:$AG34="CEP")*4+($AA34:$AG34="CP")*6+($AA34:$AG34="CRO")*6+($AA34:$AG34="M+")*6+($AA34:$AG34="T+")*6+($AA34:$AG34="D+")*12+($AA34:$AG34="N+")*12+($AA34:$AG34="Dm+")*12+($AA34:$AG34="Dt+")*12+($AA34:$AG34="Tm-")*6+($AA34:$AG34="Mt-")*6)</f>
        <v/>
      </c>
      <c r="BA34" s="118">
        <f>AZ34-MAX(0,IFERROR(INDEX(CADASTRO!$I$4:$I$80,MATCH($A34,CADASTRO!$A$4:$A$80,0)),$B34)-CONFIG!$B$50*(COUNTIF($AA34:$AG34,"AB")+COUNTIF($AA34:$AG34,"FE")+COUNTIF($AA34:$AG34,"LM")))</f>
        <v/>
      </c>
      <c r="BB34" s="117">
        <f>SUMPRODUCT(($AH34:$AM34="M")*6+($AH34:$AM34="T")*6+($AH34:$AM34="D")*12+($AH34:$AM34="N")*12+($AH34:$AM34="NT")*6+($AH34:$AM34="C")*10+($AH34:$AM34="A")*8+($AH34:$AM34="J")*5+($AH34:$AM34="CEP")*4+($AH34:$AM34="CP")*6+($AH34:$AM34="CRO")*6+($AH34:$AM34="M+")*6+($AH34:$AM34="T+")*6+($AH34:$AM34="D+")*12+($AH34:$AM34="N+")*12+($AH34:$AM34="Dm+")*12+($AH34:$AM34="Dt+")*12+($AH34:$AM34="Tm-")*6+($AH34:$AM34="Mt-")*6)+SUMPRODUCT(($AN34:$AN34="M")*6+($AN34:$AN34="T")*6+($AN34:$AN34="D")*12+($AN34:$AN34="N")*12+($AN34:$AN34="NT")*6+($AN34:$AN34="C")*10+($AN34:$AN34="A")*8+($AN34:$AN34="J")*5+($AN34:$AN34="CEP")*4+($AN34:$AN34="CP")*6+($AN34:$AN34="CRO")*6+($AN34:$AN34="M+")*6+($AN34:$AN34="T+")*6+($AN34:$AN34="D+")*12+($AN34:$AN34="N+")*12+($AN34:$AN34="Dm+")*12+($AN34:$AN34="Dt+")*12+($AN34:$AN34="Tm-")*6+($AN34:$AN34="Mt-")*6)</f>
        <v/>
      </c>
      <c r="BC34" s="118">
        <f>BB34-MAX(0,IFERROR(INDEX(CADASTRO!$I$4:$I$80,MATCH($A34,CADASTRO!$A$4:$A$80,0)),$B34)-CONFIG!$B$50*(COUNTIF($AH34:$AM34,"AB")+COUNTIF($AH34:$AM34,"FE")+COUNTIF($AH34:$AM34,"LM")+COUNTIF($AN34:$AN34,"AB")+COUNTIF($AN34:$AN34,"FE")+COUNTIF($AN34:$AN34,"LM")))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36">
        <f>IFERROR(INDEX(SET!AJ$8:AJ$73,MATCH($A35,SET!$A$8:$A$73,0))&amp;"","")</f>
        <v/>
      </c>
      <c r="G35" s="136">
        <f>IFERROR(INDEX(SET!AK$8:AK$73,MATCH($A35,SET!$A$8:$A$73,0))&amp;"","")</f>
        <v/>
      </c>
      <c r="H35" s="136">
        <f>IFERROR(INDEX(SET!AL$8:AL$73,MATCH($A35,SET!$A$8:$A$73,0))&amp;"","")</f>
        <v/>
      </c>
      <c r="I35" s="125" t="inlineStr">
        <is>
          <t>N</t>
        </is>
      </c>
      <c r="J35" s="126" t="inlineStr">
        <is>
          <t>T</t>
        </is>
      </c>
      <c r="K35" s="114" t="n"/>
      <c r="L35" s="114" t="n"/>
      <c r="M35" s="114" t="n"/>
      <c r="N35" s="114" t="n"/>
      <c r="O35" s="114" t="n"/>
      <c r="P35" s="114" t="n"/>
      <c r="Q35" s="125" t="inlineStr">
        <is>
          <t>N</t>
        </is>
      </c>
      <c r="R35" s="125" t="inlineStr">
        <is>
          <t>N</t>
        </is>
      </c>
      <c r="S35" s="126" t="inlineStr">
        <is>
          <t>T</t>
        </is>
      </c>
      <c r="T35" s="125" t="inlineStr">
        <is>
          <t>N</t>
        </is>
      </c>
      <c r="U35" s="114" t="n"/>
      <c r="V35" s="114" t="n"/>
      <c r="W35" s="126" t="inlineStr">
        <is>
          <t>T</t>
        </is>
      </c>
      <c r="X35" s="114" t="n"/>
      <c r="Y35" s="114" t="n"/>
      <c r="Z35" s="124" t="inlineStr">
        <is>
          <t>D</t>
        </is>
      </c>
      <c r="AA35" s="125" t="inlineStr">
        <is>
          <t>N</t>
        </is>
      </c>
      <c r="AB35" s="114" t="n"/>
      <c r="AC35" s="126" t="inlineStr">
        <is>
          <t>T</t>
        </is>
      </c>
      <c r="AD35" s="114" t="n"/>
      <c r="AE35" s="124" t="inlineStr">
        <is>
          <t>D</t>
        </is>
      </c>
      <c r="AF35" s="114" t="n"/>
      <c r="AG35" s="114" t="n"/>
      <c r="AH35" s="125" t="inlineStr">
        <is>
          <t>N</t>
        </is>
      </c>
      <c r="AI35" s="114" t="n"/>
      <c r="AJ35" s="126" t="inlineStr">
        <is>
          <t>T</t>
        </is>
      </c>
      <c r="AK35" s="114" t="n"/>
      <c r="AL35" s="124" t="inlineStr">
        <is>
          <t>D</t>
        </is>
      </c>
      <c r="AM35" s="114" t="n"/>
      <c r="AN35" s="116">
        <f>IFERROR(INDEX(NOV!I$8:I$73,MATCH($A35,NOV!$A$8:$A$73,0))&amp;"","")</f>
        <v/>
      </c>
      <c r="AO35" s="100" t="n"/>
      <c r="AP35" s="100" t="n"/>
      <c r="AQ35" s="100" t="n"/>
      <c r="AR35" s="100" t="n"/>
      <c r="AS35" s="100" t="n"/>
      <c r="AT35" s="117">
        <f>SUMPRODUCT(($F35:$L35="M")*6+($F35:$L35="T")*6+($F35:$L35="D")*12+($F35:$L35="N")*12+($F35:$L35="NT")*6+($F35:$L35="C")*10+($F35:$L35="A")*8+($F35:$L35="J")*5+($F35:$L35="CEP")*4+($F35:$L35="CP")*6+($F35:$L35="CRO")*6+($F35:$L35="M+")*6+($F35:$L35="T+")*6+($F35:$L35="D+")*12+($F35:$L35="N+")*12+($F35:$L35="Dm+")*12+($F35:$L35="Dt+")*12+($F35:$L35="Tm-")*6+($F35:$L35="Mt-")*6)</f>
        <v/>
      </c>
      <c r="AU35" s="118">
        <f>AT35-MAX(0,IFERROR(INDEX(CADASTRO!$I$4:$I$80,MATCH($A35,CADASTRO!$A$4:$A$80,0)),$B35)-CONFIG!$B$50*(COUNTIF($F35:$L35,"AB")+COUNTIF($F35:$L35,"FE")+COUNTIF($F35:$L35,"LM")))</f>
        <v/>
      </c>
      <c r="AV35" s="117">
        <f>SUMPRODUCT(($M35:$S35="M")*6+($M35:$S35="T")*6+($M35:$S35="D")*12+($M35:$S35="N")*12+($M35:$S35="NT")*6+($M35:$S35="C")*10+($M35:$S35="A")*8+($M35:$S35="J")*5+($M35:$S35="CEP")*4+($M35:$S35="CP")*6+($M35:$S35="CRO")*6+($M35:$S35="M+")*6+($M35:$S35="T+")*6+($M35:$S35="D+")*12+($M35:$S35="N+")*12+($M35:$S35="Dm+")*12+($M35:$S35="Dt+")*12+($M35:$S35="Tm-")*6+($M35:$S35="Mt-")*6)</f>
        <v/>
      </c>
      <c r="AW35" s="118">
        <f>AV35-MAX(0,IFERROR(INDEX(CADASTRO!$I$4:$I$80,MATCH($A35,CADASTRO!$A$4:$A$80,0)),$B35)-CONFIG!$B$50*(COUNTIF($M35:$S35,"AB")+COUNTIF($M35:$S35,"FE")+COUNTIF($M35:$S35,"LM")))</f>
        <v/>
      </c>
      <c r="AX35" s="117">
        <f>SUMPRODUCT(($T35:$Z35="M")*6+($T35:$Z35="T")*6+($T35:$Z35="D")*12+($T35:$Z35="N")*12+($T35:$Z35="NT")*6+($T35:$Z35="C")*10+($T35:$Z35="A")*8+($T35:$Z35="J")*5+($T35:$Z35="CEP")*4+($T35:$Z35="CP")*6+($T35:$Z35="CRO")*6+($T35:$Z35="M+")*6+($T35:$Z35="T+")*6+($T35:$Z35="D+")*12+($T35:$Z35="N+")*12+($T35:$Z35="Dm+")*12+($T35:$Z35="Dt+")*12+($T35:$Z35="Tm-")*6+($T35:$Z35="Mt-")*6)</f>
        <v/>
      </c>
      <c r="AY35" s="118">
        <f>AX35-MAX(0,IFERROR(INDEX(CADASTRO!$I$4:$I$80,MATCH($A35,CADASTRO!$A$4:$A$80,0)),$B35)-CONFIG!$B$50*(COUNTIF($T35:$Z35,"AB")+COUNTIF($T35:$Z35,"FE")+COUNTIF($T35:$Z35,"LM")))</f>
        <v/>
      </c>
      <c r="AZ35" s="117">
        <f>SUMPRODUCT(($AA35:$AG35="M")*6+($AA35:$AG35="T")*6+($AA35:$AG35="D")*12+($AA35:$AG35="N")*12+($AA35:$AG35="NT")*6+($AA35:$AG35="C")*10+($AA35:$AG35="A")*8+($AA35:$AG35="J")*5+($AA35:$AG35="CEP")*4+($AA35:$AG35="CP")*6+($AA35:$AG35="CRO")*6+($AA35:$AG35="M+")*6+($AA35:$AG35="T+")*6+($AA35:$AG35="D+")*12+($AA35:$AG35="N+")*12+($AA35:$AG35="Dm+")*12+($AA35:$AG35="Dt+")*12+($AA35:$AG35="Tm-")*6+($AA35:$AG35="Mt-")*6)</f>
        <v/>
      </c>
      <c r="BA35" s="118">
        <f>AZ35-MAX(0,IFERROR(INDEX(CADASTRO!$I$4:$I$80,MATCH($A35,CADASTRO!$A$4:$A$80,0)),$B35)-CONFIG!$B$50*(COUNTIF($AA35:$AG35,"AB")+COUNTIF($AA35:$AG35,"FE")+COUNTIF($AA35:$AG35,"LM")))</f>
        <v/>
      </c>
      <c r="BB35" s="117">
        <f>SUMPRODUCT(($AH35:$AM35="M")*6+($AH35:$AM35="T")*6+($AH35:$AM35="D")*12+($AH35:$AM35="N")*12+($AH35:$AM35="NT")*6+($AH35:$AM35="C")*10+($AH35:$AM35="A")*8+($AH35:$AM35="J")*5+($AH35:$AM35="CEP")*4+($AH35:$AM35="CP")*6+($AH35:$AM35="CRO")*6+($AH35:$AM35="M+")*6+($AH35:$AM35="T+")*6+($AH35:$AM35="D+")*12+($AH35:$AM35="N+")*12+($AH35:$AM35="Dm+")*12+($AH35:$AM35="Dt+")*12+($AH35:$AM35="Tm-")*6+($AH35:$AM35="Mt-")*6)+SUMPRODUCT(($AN35:$AN35="M")*6+($AN35:$AN35="T")*6+($AN35:$AN35="D")*12+($AN35:$AN35="N")*12+($AN35:$AN35="NT")*6+($AN35:$AN35="C")*10+($AN35:$AN35="A")*8+($AN35:$AN35="J")*5+($AN35:$AN35="CEP")*4+($AN35:$AN35="CP")*6+($AN35:$AN35="CRO")*6+($AN35:$AN35="M+")*6+($AN35:$AN35="T+")*6+($AN35:$AN35="D+")*12+($AN35:$AN35="N+")*12+($AN35:$AN35="Dm+")*12+($AN35:$AN35="Dt+")*12+($AN35:$AN35="Tm-")*6+($AN35:$AN35="Mt-")*6)</f>
        <v/>
      </c>
      <c r="BC35" s="118">
        <f>BB35-MAX(0,IFERROR(INDEX(CADASTRO!$I$4:$I$80,MATCH($A35,CADASTRO!$A$4:$A$80,0)),$B35)-CONFIG!$B$50*(COUNTIF($AH35:$AM35,"AB")+COUNTIF($AH35:$AM35,"FE")+COUNTIF($AH35:$AM35,"LM")+COUNTIF($AN35:$AN35,"AB")+COUNTIF($AN35:$AN35,"FE")+COUNTIF($AN35:$AN35,"LM")))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36">
        <f>IFERROR(INDEX(SET!AJ$8:AJ$73,MATCH($A36,SET!$A$8:$A$73,0))&amp;"","")</f>
        <v/>
      </c>
      <c r="G36" s="136">
        <f>IFERROR(INDEX(SET!AK$8:AK$73,MATCH($A36,SET!$A$8:$A$73,0))&amp;"","")</f>
        <v/>
      </c>
      <c r="H36" s="136">
        <f>IFERROR(INDEX(SET!AL$8:AL$73,MATCH($A36,SET!$A$8:$A$73,0))&amp;"","")</f>
        <v/>
      </c>
      <c r="I36" s="114" t="n"/>
      <c r="J36" s="124" t="inlineStr">
        <is>
          <t>D</t>
        </is>
      </c>
      <c r="K36" s="114" t="n"/>
      <c r="L36" s="126" t="inlineStr">
        <is>
          <t>T</t>
        </is>
      </c>
      <c r="M36" s="115" t="inlineStr">
        <is>
          <t>M</t>
        </is>
      </c>
      <c r="N36" s="125" t="inlineStr">
        <is>
          <t>N</t>
        </is>
      </c>
      <c r="O36" s="114" t="n"/>
      <c r="P36" s="114" t="n"/>
      <c r="Q36" s="114" t="n"/>
      <c r="R36" s="124" t="inlineStr">
        <is>
          <t>D</t>
        </is>
      </c>
      <c r="S36" s="114" t="n"/>
      <c r="T36" s="114" t="n"/>
      <c r="U36" s="125" t="inlineStr">
        <is>
          <t>N</t>
        </is>
      </c>
      <c r="V36" s="114" t="n"/>
      <c r="W36" s="126" t="inlineStr">
        <is>
          <t>T</t>
        </is>
      </c>
      <c r="X36" s="124" t="inlineStr">
        <is>
          <t>D</t>
        </is>
      </c>
      <c r="Y36" s="114" t="n"/>
      <c r="Z36" s="114" t="n"/>
      <c r="AA36" s="125" t="inlineStr">
        <is>
          <t>N</t>
        </is>
      </c>
      <c r="AB36" s="125" t="inlineStr">
        <is>
          <t>N</t>
        </is>
      </c>
      <c r="AC36" s="114" t="n"/>
      <c r="AD36" s="114" t="n"/>
      <c r="AE36" s="114" t="n"/>
      <c r="AF36" s="114" t="n"/>
      <c r="AG36" s="115" t="inlineStr">
        <is>
          <t>M</t>
        </is>
      </c>
      <c r="AH36" s="114" t="n"/>
      <c r="AI36" s="124" t="inlineStr">
        <is>
          <t>D</t>
        </is>
      </c>
      <c r="AJ36" s="114" t="n"/>
      <c r="AK36" s="114" t="n"/>
      <c r="AL36" s="126" t="inlineStr">
        <is>
          <t>T</t>
        </is>
      </c>
      <c r="AM36" s="114" t="n"/>
      <c r="AN36" s="116">
        <f>IFERROR(INDEX(NOV!I$8:I$73,MATCH($A36,NOV!$A$8:$A$73,0))&amp;"","")</f>
        <v/>
      </c>
      <c r="AO36" s="100" t="n"/>
      <c r="AP36" s="100" t="n"/>
      <c r="AQ36" s="100" t="n"/>
      <c r="AR36" s="100" t="n"/>
      <c r="AS36" s="100" t="n"/>
      <c r="AT36" s="117">
        <f>SUMPRODUCT(($F36:$L36="M")*6+($F36:$L36="T")*6+($F36:$L36="D")*12+($F36:$L36="N")*12+($F36:$L36="NT")*6+($F36:$L36="C")*10+($F36:$L36="A")*8+($F36:$L36="J")*5+($F36:$L36="CEP")*4+($F36:$L36="CP")*6+($F36:$L36="CRO")*6+($F36:$L36="M+")*6+($F36:$L36="T+")*6+($F36:$L36="D+")*12+($F36:$L36="N+")*12+($F36:$L36="Dm+")*12+($F36:$L36="Dt+")*12+($F36:$L36="Tm-")*6+($F36:$L36="Mt-")*6)</f>
        <v/>
      </c>
      <c r="AU36" s="118">
        <f>AT36-MAX(0,IFERROR(INDEX(CADASTRO!$I$4:$I$80,MATCH($A36,CADASTRO!$A$4:$A$80,0)),$B36)-CONFIG!$B$50*(COUNTIF($F36:$L36,"AB")+COUNTIF($F36:$L36,"FE")+COUNTIF($F36:$L36,"LM")))</f>
        <v/>
      </c>
      <c r="AV36" s="117">
        <f>SUMPRODUCT(($M36:$S36="M")*6+($M36:$S36="T")*6+($M36:$S36="D")*12+($M36:$S36="N")*12+($M36:$S36="NT")*6+($M36:$S36="C")*10+($M36:$S36="A")*8+($M36:$S36="J")*5+($M36:$S36="CEP")*4+($M36:$S36="CP")*6+($M36:$S36="CRO")*6+($M36:$S36="M+")*6+($M36:$S36="T+")*6+($M36:$S36="D+")*12+($M36:$S36="N+")*12+($M36:$S36="Dm+")*12+($M36:$S36="Dt+")*12+($M36:$S36="Tm-")*6+($M36:$S36="Mt-")*6)</f>
        <v/>
      </c>
      <c r="AW36" s="118">
        <f>AV36-MAX(0,IFERROR(INDEX(CADASTRO!$I$4:$I$80,MATCH($A36,CADASTRO!$A$4:$A$80,0)),$B36)-CONFIG!$B$50*(COUNTIF($M36:$S36,"AB")+COUNTIF($M36:$S36,"FE")+COUNTIF($M36:$S36,"LM")))</f>
        <v/>
      </c>
      <c r="AX36" s="117">
        <f>SUMPRODUCT(($T36:$Z36="M")*6+($T36:$Z36="T")*6+($T36:$Z36="D")*12+($T36:$Z36="N")*12+($T36:$Z36="NT")*6+($T36:$Z36="C")*10+($T36:$Z36="A")*8+($T36:$Z36="J")*5+($T36:$Z36="CEP")*4+($T36:$Z36="CP")*6+($T36:$Z36="CRO")*6+($T36:$Z36="M+")*6+($T36:$Z36="T+")*6+($T36:$Z36="D+")*12+($T36:$Z36="N+")*12+($T36:$Z36="Dm+")*12+($T36:$Z36="Dt+")*12+($T36:$Z36="Tm-")*6+($T36:$Z36="Mt-")*6)</f>
        <v/>
      </c>
      <c r="AY36" s="118">
        <f>AX36-MAX(0,IFERROR(INDEX(CADASTRO!$I$4:$I$80,MATCH($A36,CADASTRO!$A$4:$A$80,0)),$B36)-CONFIG!$B$50*(COUNTIF($T36:$Z36,"AB")+COUNTIF($T36:$Z36,"FE")+COUNTIF($T36:$Z36,"LM")))</f>
        <v/>
      </c>
      <c r="AZ36" s="117">
        <f>SUMPRODUCT(($AA36:$AG36="M")*6+($AA36:$AG36="T")*6+($AA36:$AG36="D")*12+($AA36:$AG36="N")*12+($AA36:$AG36="NT")*6+($AA36:$AG36="C")*10+($AA36:$AG36="A")*8+($AA36:$AG36="J")*5+($AA36:$AG36="CEP")*4+($AA36:$AG36="CP")*6+($AA36:$AG36="CRO")*6+($AA36:$AG36="M+")*6+($AA36:$AG36="T+")*6+($AA36:$AG36="D+")*12+($AA36:$AG36="N+")*12+($AA36:$AG36="Dm+")*12+($AA36:$AG36="Dt+")*12+($AA36:$AG36="Tm-")*6+($AA36:$AG36="Mt-")*6)</f>
        <v/>
      </c>
      <c r="BA36" s="118">
        <f>AZ36-MAX(0,IFERROR(INDEX(CADASTRO!$I$4:$I$80,MATCH($A36,CADASTRO!$A$4:$A$80,0)),$B36)-CONFIG!$B$50*(COUNTIF($AA36:$AG36,"AB")+COUNTIF($AA36:$AG36,"FE")+COUNTIF($AA36:$AG36,"LM")))</f>
        <v/>
      </c>
      <c r="BB36" s="117">
        <f>SUMPRODUCT(($AH36:$AM36="M")*6+($AH36:$AM36="T")*6+($AH36:$AM36="D")*12+($AH36:$AM36="N")*12+($AH36:$AM36="NT")*6+($AH36:$AM36="C")*10+($AH36:$AM36="A")*8+($AH36:$AM36="J")*5+($AH36:$AM36="CEP")*4+($AH36:$AM36="CP")*6+($AH36:$AM36="CRO")*6+($AH36:$AM36="M+")*6+($AH36:$AM36="T+")*6+($AH36:$AM36="D+")*12+($AH36:$AM36="N+")*12+($AH36:$AM36="Dm+")*12+($AH36:$AM36="Dt+")*12+($AH36:$AM36="Tm-")*6+($AH36:$AM36="Mt-")*6)+SUMPRODUCT(($AN36:$AN36="M")*6+($AN36:$AN36="T")*6+($AN36:$AN36="D")*12+($AN36:$AN36="N")*12+($AN36:$AN36="NT")*6+($AN36:$AN36="C")*10+($AN36:$AN36="A")*8+($AN36:$AN36="J")*5+($AN36:$AN36="CEP")*4+($AN36:$AN36="CP")*6+($AN36:$AN36="CRO")*6+($AN36:$AN36="M+")*6+($AN36:$AN36="T+")*6+($AN36:$AN36="D+")*12+($AN36:$AN36="N+")*12+($AN36:$AN36="Dm+")*12+($AN36:$AN36="Dt+")*12+($AN36:$AN36="Tm-")*6+($AN36:$AN36="Mt-")*6)</f>
        <v/>
      </c>
      <c r="BC36" s="118">
        <f>BB36-MAX(0,IFERROR(INDEX(CADASTRO!$I$4:$I$80,MATCH($A36,CADASTRO!$A$4:$A$80,0)),$B36)-CONFIG!$B$50*(COUNTIF($AH36:$AM36,"AB")+COUNTIF($AH36:$AM36,"FE")+COUNTIF($AH36:$AM36,"LM")+COUNTIF($AN36:$AN36,"AB")+COUNTIF($AN36:$AN36,"FE")+COUNTIF($AN36:$AN36,"LM")))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36">
        <f>IFERROR(INDEX(SET!AJ$8:AJ$73,MATCH($A37,SET!$A$8:$A$73,0))&amp;"","")</f>
        <v/>
      </c>
      <c r="G37" s="136">
        <f>IFERROR(INDEX(SET!AK$8:AK$73,MATCH($A37,SET!$A$8:$A$73,0))&amp;"","")</f>
        <v/>
      </c>
      <c r="H37" s="136">
        <f>IFERROR(INDEX(SET!AL$8:AL$73,MATCH($A37,SET!$A$8:$A$73,0))&amp;"","")</f>
        <v/>
      </c>
      <c r="I37" s="139" t="inlineStr">
        <is>
          <t>FE</t>
        </is>
      </c>
      <c r="J37" s="139" t="inlineStr">
        <is>
          <t>FE</t>
        </is>
      </c>
      <c r="K37" s="139" t="inlineStr">
        <is>
          <t>FE</t>
        </is>
      </c>
      <c r="L37" s="139" t="inlineStr">
        <is>
          <t>FE</t>
        </is>
      </c>
      <c r="M37" s="139" t="inlineStr">
        <is>
          <t>FE</t>
        </is>
      </c>
      <c r="N37" s="139" t="inlineStr">
        <is>
          <t>FE</t>
        </is>
      </c>
      <c r="O37" s="139" t="inlineStr">
        <is>
          <t>FE</t>
        </is>
      </c>
      <c r="P37" s="139" t="inlineStr">
        <is>
          <t>FE</t>
        </is>
      </c>
      <c r="Q37" s="139" t="inlineStr">
        <is>
          <t>FE</t>
        </is>
      </c>
      <c r="R37" s="139" t="inlineStr">
        <is>
          <t>FE</t>
        </is>
      </c>
      <c r="S37" s="139" t="inlineStr">
        <is>
          <t>FE</t>
        </is>
      </c>
      <c r="T37" s="139" t="inlineStr">
        <is>
          <t>FE</t>
        </is>
      </c>
      <c r="U37" s="114" t="n"/>
      <c r="V37" s="114" t="n"/>
      <c r="W37" s="126" t="inlineStr">
        <is>
          <t>T</t>
        </is>
      </c>
      <c r="X37" s="114" t="n"/>
      <c r="Y37" s="125" t="inlineStr">
        <is>
          <t>N</t>
        </is>
      </c>
      <c r="Z37" s="126" t="inlineStr">
        <is>
          <t>T</t>
        </is>
      </c>
      <c r="AA37" s="114" t="n"/>
      <c r="AB37" s="126" t="inlineStr">
        <is>
          <t>T</t>
        </is>
      </c>
      <c r="AC37" s="124" t="inlineStr">
        <is>
          <t>D</t>
        </is>
      </c>
      <c r="AD37" s="114" t="n"/>
      <c r="AE37" s="125" t="inlineStr">
        <is>
          <t>N</t>
        </is>
      </c>
      <c r="AF37" s="114" t="n"/>
      <c r="AG37" s="114" t="n"/>
      <c r="AH37" s="114" t="n"/>
      <c r="AI37" s="124" t="inlineStr">
        <is>
          <t>D</t>
        </is>
      </c>
      <c r="AJ37" s="126" t="inlineStr">
        <is>
          <t>T</t>
        </is>
      </c>
      <c r="AK37" s="114" t="n"/>
      <c r="AL37" s="115" t="inlineStr">
        <is>
          <t>M</t>
        </is>
      </c>
      <c r="AM37" s="114" t="n"/>
      <c r="AN37" s="116">
        <f>IFERROR(INDEX(NOV!I$8:I$73,MATCH($A37,NOV!$A$8:$A$73,0))&amp;"","")</f>
        <v/>
      </c>
      <c r="AO37" s="100" t="n"/>
      <c r="AP37" s="100" t="n"/>
      <c r="AQ37" s="100" t="n"/>
      <c r="AR37" s="100" t="n"/>
      <c r="AS37" s="100" t="n"/>
      <c r="AT37" s="117">
        <f>SUMPRODUCT(($F37:$L37="M")*6+($F37:$L37="T")*6+($F37:$L37="D")*12+($F37:$L37="N")*12+($F37:$L37="NT")*6+($F37:$L37="C")*10+($F37:$L37="A")*8+($F37:$L37="J")*5+($F37:$L37="CEP")*4+($F37:$L37="CP")*6+($F37:$L37="CRO")*6+($F37:$L37="M+")*6+($F37:$L37="T+")*6+($F37:$L37="D+")*12+($F37:$L37="N+")*12+($F37:$L37="Dm+")*12+($F37:$L37="Dt+")*12+($F37:$L37="Tm-")*6+($F37:$L37="Mt-")*6)</f>
        <v/>
      </c>
      <c r="AU37" s="118">
        <f>AT37-MAX(0,IFERROR(INDEX(CADASTRO!$I$4:$I$80,MATCH($A37,CADASTRO!$A$4:$A$80,0)),$B37)-CONFIG!$B$50*(COUNTIF($F37:$L37,"AB")+COUNTIF($F37:$L37,"FE")+COUNTIF($F37:$L37,"LM")))</f>
        <v/>
      </c>
      <c r="AV37" s="117">
        <f>SUMPRODUCT(($M37:$S37="M")*6+($M37:$S37="T")*6+($M37:$S37="D")*12+($M37:$S37="N")*12+($M37:$S37="NT")*6+($M37:$S37="C")*10+($M37:$S37="A")*8+($M37:$S37="J")*5+($M37:$S37="CEP")*4+($M37:$S37="CP")*6+($M37:$S37="CRO")*6+($M37:$S37="M+")*6+($M37:$S37="T+")*6+($M37:$S37="D+")*12+($M37:$S37="N+")*12+($M37:$S37="Dm+")*12+($M37:$S37="Dt+")*12+($M37:$S37="Tm-")*6+($M37:$S37="Mt-")*6)</f>
        <v/>
      </c>
      <c r="AW37" s="118">
        <f>AV37-MAX(0,IFERROR(INDEX(CADASTRO!$I$4:$I$80,MATCH($A37,CADASTRO!$A$4:$A$80,0)),$B37)-CONFIG!$B$50*(COUNTIF($M37:$S37,"AB")+COUNTIF($M37:$S37,"FE")+COUNTIF($M37:$S37,"LM")))</f>
        <v/>
      </c>
      <c r="AX37" s="117">
        <f>SUMPRODUCT(($T37:$Z37="M")*6+($T37:$Z37="T")*6+($T37:$Z37="D")*12+($T37:$Z37="N")*12+($T37:$Z37="NT")*6+($T37:$Z37="C")*10+($T37:$Z37="A")*8+($T37:$Z37="J")*5+($T37:$Z37="CEP")*4+($T37:$Z37="CP")*6+($T37:$Z37="CRO")*6+($T37:$Z37="M+")*6+($T37:$Z37="T+")*6+($T37:$Z37="D+")*12+($T37:$Z37="N+")*12+($T37:$Z37="Dm+")*12+($T37:$Z37="Dt+")*12+($T37:$Z37="Tm-")*6+($T37:$Z37="Mt-")*6)</f>
        <v/>
      </c>
      <c r="AY37" s="118">
        <f>AX37-MAX(0,IFERROR(INDEX(CADASTRO!$I$4:$I$80,MATCH($A37,CADASTRO!$A$4:$A$80,0)),$B37)-CONFIG!$B$50*(COUNTIF($T37:$Z37,"AB")+COUNTIF($T37:$Z37,"FE")+COUNTIF($T37:$Z37,"LM")))</f>
        <v/>
      </c>
      <c r="AZ37" s="117">
        <f>SUMPRODUCT(($AA37:$AG37="M")*6+($AA37:$AG37="T")*6+($AA37:$AG37="D")*12+($AA37:$AG37="N")*12+($AA37:$AG37="NT")*6+($AA37:$AG37="C")*10+($AA37:$AG37="A")*8+($AA37:$AG37="J")*5+($AA37:$AG37="CEP")*4+($AA37:$AG37="CP")*6+($AA37:$AG37="CRO")*6+($AA37:$AG37="M+")*6+($AA37:$AG37="T+")*6+($AA37:$AG37="D+")*12+($AA37:$AG37="N+")*12+($AA37:$AG37="Dm+")*12+($AA37:$AG37="Dt+")*12+($AA37:$AG37="Tm-")*6+($AA37:$AG37="Mt-")*6)</f>
        <v/>
      </c>
      <c r="BA37" s="118">
        <f>AZ37-MAX(0,IFERROR(INDEX(CADASTRO!$I$4:$I$80,MATCH($A37,CADASTRO!$A$4:$A$80,0)),$B37)-CONFIG!$B$50*(COUNTIF($AA37:$AG37,"AB")+COUNTIF($AA37:$AG37,"FE")+COUNTIF($AA37:$AG37,"LM")))</f>
        <v/>
      </c>
      <c r="BB37" s="117">
        <f>SUMPRODUCT(($AH37:$AM37="M")*6+($AH37:$AM37="T")*6+($AH37:$AM37="D")*12+($AH37:$AM37="N")*12+($AH37:$AM37="NT")*6+($AH37:$AM37="C")*10+($AH37:$AM37="A")*8+($AH37:$AM37="J")*5+($AH37:$AM37="CEP")*4+($AH37:$AM37="CP")*6+($AH37:$AM37="CRO")*6+($AH37:$AM37="M+")*6+($AH37:$AM37="T+")*6+($AH37:$AM37="D+")*12+($AH37:$AM37="N+")*12+($AH37:$AM37="Dm+")*12+($AH37:$AM37="Dt+")*12+($AH37:$AM37="Tm-")*6+($AH37:$AM37="Mt-")*6)+SUMPRODUCT(($AN37:$AN37="M")*6+($AN37:$AN37="T")*6+($AN37:$AN37="D")*12+($AN37:$AN37="N")*12+($AN37:$AN37="NT")*6+($AN37:$AN37="C")*10+($AN37:$AN37="A")*8+($AN37:$AN37="J")*5+($AN37:$AN37="CEP")*4+($AN37:$AN37="CP")*6+($AN37:$AN37="CRO")*6+($AN37:$AN37="M+")*6+($AN37:$AN37="T+")*6+($AN37:$AN37="D+")*12+($AN37:$AN37="N+")*12+($AN37:$AN37="Dm+")*12+($AN37:$AN37="Dt+")*12+($AN37:$AN37="Tm-")*6+($AN37:$AN37="Mt-")*6)</f>
        <v/>
      </c>
      <c r="BC37" s="118">
        <f>BB37-MAX(0,IFERROR(INDEX(CADASTRO!$I$4:$I$80,MATCH($A37,CADASTRO!$A$4:$A$80,0)),$B37)-CONFIG!$B$50*(COUNTIF($AH37:$AM37,"AB")+COUNTIF($AH37:$AM37,"FE")+COUNTIF($AH37:$AM37,"LM")+COUNTIF($AN37:$AN37,"AB")+COUNTIF($AN37:$AN37,"FE")+COUNTIF($AN37:$AN37,"LM")))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36">
        <f>IFERROR(INDEX(SET!AJ$8:AJ$73,MATCH($A38,SET!$A$8:$A$73,0))&amp;"","")</f>
        <v/>
      </c>
      <c r="G38" s="136">
        <f>IFERROR(INDEX(SET!AK$8:AK$73,MATCH($A38,SET!$A$8:$A$73,0))&amp;"","")</f>
        <v/>
      </c>
      <c r="H38" s="136">
        <f>IFERROR(INDEX(SET!AL$8:AL$73,MATCH($A38,SET!$A$8:$A$73,0))&amp;"","")</f>
        <v/>
      </c>
      <c r="I38" s="114" t="n"/>
      <c r="J38" s="125" t="inlineStr">
        <is>
          <t>N</t>
        </is>
      </c>
      <c r="K38" s="114" t="n"/>
      <c r="L38" s="114" t="n"/>
      <c r="M38" s="124" t="inlineStr">
        <is>
          <t>D</t>
        </is>
      </c>
      <c r="N38" s="114" t="n"/>
      <c r="O38" s="114" t="n"/>
      <c r="P38" s="125" t="inlineStr">
        <is>
          <t>N</t>
        </is>
      </c>
      <c r="Q38" s="114" t="n"/>
      <c r="R38" s="114" t="n"/>
      <c r="S38" s="114" t="n"/>
      <c r="T38" s="124" t="inlineStr">
        <is>
          <t>D</t>
        </is>
      </c>
      <c r="U38" s="114" t="n"/>
      <c r="V38" s="114" t="n"/>
      <c r="W38" s="114" t="n"/>
      <c r="X38" s="114" t="n"/>
      <c r="Y38" s="125" t="inlineStr">
        <is>
          <t>N</t>
        </is>
      </c>
      <c r="Z38" s="114" t="n"/>
      <c r="AA38" s="115" t="inlineStr">
        <is>
          <t>M</t>
        </is>
      </c>
      <c r="AB38" s="115" t="inlineStr">
        <is>
          <t>M</t>
        </is>
      </c>
      <c r="AC38" s="114" t="n"/>
      <c r="AD38" s="114" t="n"/>
      <c r="AE38" s="114" t="n"/>
      <c r="AF38" s="114" t="n"/>
      <c r="AG38" s="125" t="inlineStr">
        <is>
          <t>N</t>
        </is>
      </c>
      <c r="AH38" s="114" t="n"/>
      <c r="AI38" s="114" t="n"/>
      <c r="AJ38" s="114" t="n"/>
      <c r="AK38" s="125" t="inlineStr">
        <is>
          <t>N</t>
        </is>
      </c>
      <c r="AL38" s="114" t="n"/>
      <c r="AM38" s="124" t="inlineStr">
        <is>
          <t>D</t>
        </is>
      </c>
      <c r="AN38" s="116">
        <f>IFERROR(INDEX(NOV!I$8:I$73,MATCH($A38,NOV!$A$8:$A$73,0))&amp;"","")</f>
        <v/>
      </c>
      <c r="AO38" s="100" t="n"/>
      <c r="AP38" s="100" t="n"/>
      <c r="AQ38" s="100" t="n"/>
      <c r="AR38" s="100" t="n"/>
      <c r="AS38" s="100" t="n"/>
      <c r="AT38" s="117">
        <f>SUMPRODUCT(($F38:$L38="M")*6+($F38:$L38="T")*6+($F38:$L38="D")*12+($F38:$L38="N")*12+($F38:$L38="NT")*6+($F38:$L38="C")*10+($F38:$L38="A")*8+($F38:$L38="J")*5+($F38:$L38="CEP")*4+($F38:$L38="CP")*6+($F38:$L38="CRO")*6+($F38:$L38="M+")*6+($F38:$L38="T+")*6+($F38:$L38="D+")*12+($F38:$L38="N+")*12+($F38:$L38="Dm+")*12+($F38:$L38="Dt+")*12+($F38:$L38="Tm-")*6+($F38:$L38="Mt-")*6)</f>
        <v/>
      </c>
      <c r="AU38" s="118">
        <f>AT38-MAX(0,IFERROR(INDEX(CADASTRO!$I$4:$I$80,MATCH($A38,CADASTRO!$A$4:$A$80,0)),$B38)-CONFIG!$B$50*(COUNTIF($F38:$L38,"AB")+COUNTIF($F38:$L38,"FE")+COUNTIF($F38:$L38,"LM")))</f>
        <v/>
      </c>
      <c r="AV38" s="117">
        <f>SUMPRODUCT(($M38:$S38="M")*6+($M38:$S38="T")*6+($M38:$S38="D")*12+($M38:$S38="N")*12+($M38:$S38="NT")*6+($M38:$S38="C")*10+($M38:$S38="A")*8+($M38:$S38="J")*5+($M38:$S38="CEP")*4+($M38:$S38="CP")*6+($M38:$S38="CRO")*6+($M38:$S38="M+")*6+($M38:$S38="T+")*6+($M38:$S38="D+")*12+($M38:$S38="N+")*12+($M38:$S38="Dm+")*12+($M38:$S38="Dt+")*12+($M38:$S38="Tm-")*6+($M38:$S38="Mt-")*6)</f>
        <v/>
      </c>
      <c r="AW38" s="118">
        <f>AV38-MAX(0,IFERROR(INDEX(CADASTRO!$I$4:$I$80,MATCH($A38,CADASTRO!$A$4:$A$80,0)),$B38)-CONFIG!$B$50*(COUNTIF($M38:$S38,"AB")+COUNTIF($M38:$S38,"FE")+COUNTIF($M38:$S38,"LM")))</f>
        <v/>
      </c>
      <c r="AX38" s="117">
        <f>SUMPRODUCT(($T38:$Z38="M")*6+($T38:$Z38="T")*6+($T38:$Z38="D")*12+($T38:$Z38="N")*12+($T38:$Z38="NT")*6+($T38:$Z38="C")*10+($T38:$Z38="A")*8+($T38:$Z38="J")*5+($T38:$Z38="CEP")*4+($T38:$Z38="CP")*6+($T38:$Z38="CRO")*6+($T38:$Z38="M+")*6+($T38:$Z38="T+")*6+($T38:$Z38="D+")*12+($T38:$Z38="N+")*12+($T38:$Z38="Dm+")*12+($T38:$Z38="Dt+")*12+($T38:$Z38="Tm-")*6+($T38:$Z38="Mt-")*6)</f>
        <v/>
      </c>
      <c r="AY38" s="118">
        <f>AX38-MAX(0,IFERROR(INDEX(CADASTRO!$I$4:$I$80,MATCH($A38,CADASTRO!$A$4:$A$80,0)),$B38)-CONFIG!$B$50*(COUNTIF($T38:$Z38,"AB")+COUNTIF($T38:$Z38,"FE")+COUNTIF($T38:$Z38,"LM")))</f>
        <v/>
      </c>
      <c r="AZ38" s="117">
        <f>SUMPRODUCT(($AA38:$AG38="M")*6+($AA38:$AG38="T")*6+($AA38:$AG38="D")*12+($AA38:$AG38="N")*12+($AA38:$AG38="NT")*6+($AA38:$AG38="C")*10+($AA38:$AG38="A")*8+($AA38:$AG38="J")*5+($AA38:$AG38="CEP")*4+($AA38:$AG38="CP")*6+($AA38:$AG38="CRO")*6+($AA38:$AG38="M+")*6+($AA38:$AG38="T+")*6+($AA38:$AG38="D+")*12+($AA38:$AG38="N+")*12+($AA38:$AG38="Dm+")*12+($AA38:$AG38="Dt+")*12+($AA38:$AG38="Tm-")*6+($AA38:$AG38="Mt-")*6)</f>
        <v/>
      </c>
      <c r="BA38" s="118">
        <f>AZ38-MAX(0,IFERROR(INDEX(CADASTRO!$I$4:$I$80,MATCH($A38,CADASTRO!$A$4:$A$80,0)),$B38)-CONFIG!$B$50*(COUNTIF($AA38:$AG38,"AB")+COUNTIF($AA38:$AG38,"FE")+COUNTIF($AA38:$AG38,"LM")))</f>
        <v/>
      </c>
      <c r="BB38" s="117">
        <f>SUMPRODUCT(($AH38:$AM38="M")*6+($AH38:$AM38="T")*6+($AH38:$AM38="D")*12+($AH38:$AM38="N")*12+($AH38:$AM38="NT")*6+($AH38:$AM38="C")*10+($AH38:$AM38="A")*8+($AH38:$AM38="J")*5+($AH38:$AM38="CEP")*4+($AH38:$AM38="CP")*6+($AH38:$AM38="CRO")*6+($AH38:$AM38="M+")*6+($AH38:$AM38="T+")*6+($AH38:$AM38="D+")*12+($AH38:$AM38="N+")*12+($AH38:$AM38="Dm+")*12+($AH38:$AM38="Dt+")*12+($AH38:$AM38="Tm-")*6+($AH38:$AM38="Mt-")*6)+SUMPRODUCT(($AN38:$AN38="M")*6+($AN38:$AN38="T")*6+($AN38:$AN38="D")*12+($AN38:$AN38="N")*12+($AN38:$AN38="NT")*6+($AN38:$AN38="C")*10+($AN38:$AN38="A")*8+($AN38:$AN38="J")*5+($AN38:$AN38="CEP")*4+($AN38:$AN38="CP")*6+($AN38:$AN38="CRO")*6+($AN38:$AN38="M+")*6+($AN38:$AN38="T+")*6+($AN38:$AN38="D+")*12+($AN38:$AN38="N+")*12+($AN38:$AN38="Dm+")*12+($AN38:$AN38="Dt+")*12+($AN38:$AN38="Tm-")*6+($AN38:$AN38="Mt-")*6)</f>
        <v/>
      </c>
      <c r="BC38" s="118">
        <f>BB38-MAX(0,IFERROR(INDEX(CADASTRO!$I$4:$I$80,MATCH($A38,CADASTRO!$A$4:$A$80,0)),$B38)-CONFIG!$B$50*(COUNTIF($AH38:$AM38,"AB")+COUNTIF($AH38:$AM38,"FE")+COUNTIF($AH38:$AM38,"LM")+COUNTIF($AN38:$AN38,"AB")+COUNTIF($AN38:$AN38,"FE")+COUNTIF($AN38:$AN38,"LM")))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36">
        <f>IFERROR(INDEX(SET!AJ$8:AJ$73,MATCH($A39,SET!$A$8:$A$73,0))&amp;"","")</f>
        <v/>
      </c>
      <c r="G39" s="136">
        <f>IFERROR(INDEX(SET!AK$8:AK$73,MATCH($A39,SET!$A$8:$A$73,0))&amp;"","")</f>
        <v/>
      </c>
      <c r="H39" s="136">
        <f>IFERROR(INDEX(SET!AL$8:AL$73,MATCH($A39,SET!$A$8:$A$73,0))&amp;"","")</f>
        <v/>
      </c>
      <c r="I39" s="114" t="n"/>
      <c r="J39" s="114" t="n"/>
      <c r="K39" s="123" t="inlineStr">
        <is>
          <t>N+</t>
        </is>
      </c>
      <c r="L39" s="114" t="n"/>
      <c r="M39" s="126" t="inlineStr">
        <is>
          <t>T</t>
        </is>
      </c>
      <c r="N39" s="114" t="n"/>
      <c r="O39" s="124" t="inlineStr">
        <is>
          <t>D</t>
        </is>
      </c>
      <c r="P39" s="114" t="n"/>
      <c r="Q39" s="115" t="inlineStr">
        <is>
          <t>M</t>
        </is>
      </c>
      <c r="R39" s="114" t="n"/>
      <c r="S39" s="114" t="n"/>
      <c r="T39" s="126" t="inlineStr">
        <is>
          <t>T</t>
        </is>
      </c>
      <c r="U39" s="114" t="n"/>
      <c r="V39" s="127" t="inlineStr">
        <is>
          <t>D-</t>
        </is>
      </c>
      <c r="W39" s="114" t="n"/>
      <c r="X39" s="115" t="inlineStr">
        <is>
          <t>M</t>
        </is>
      </c>
      <c r="Y39" s="114" t="n"/>
      <c r="Z39" s="114" t="n"/>
      <c r="AA39" s="126" t="inlineStr">
        <is>
          <t>T</t>
        </is>
      </c>
      <c r="AB39" s="114" t="n"/>
      <c r="AC39" s="124" t="inlineStr">
        <is>
          <t>D</t>
        </is>
      </c>
      <c r="AD39" s="114" t="n"/>
      <c r="AE39" s="115" t="inlineStr">
        <is>
          <t>M</t>
        </is>
      </c>
      <c r="AF39" s="114" t="n"/>
      <c r="AG39" s="114" t="n"/>
      <c r="AH39" s="114" t="n"/>
      <c r="AI39" s="114" t="n"/>
      <c r="AJ39" s="114" t="n"/>
      <c r="AK39" s="114" t="n"/>
      <c r="AL39" s="125" t="inlineStr">
        <is>
          <t>N</t>
        </is>
      </c>
      <c r="AM39" s="125" t="inlineStr">
        <is>
          <t>N</t>
        </is>
      </c>
      <c r="AN39" s="116">
        <f>IFERROR(INDEX(NOV!I$8:I$73,MATCH($A39,NOV!$A$8:$A$73,0))&amp;"","")</f>
        <v/>
      </c>
      <c r="AO39" s="100" t="n"/>
      <c r="AP39" s="100" t="n"/>
      <c r="AQ39" s="100" t="n"/>
      <c r="AR39" s="100" t="n"/>
      <c r="AS39" s="100" t="n"/>
      <c r="AT39" s="117">
        <f>SUMPRODUCT(($F39:$L39="M")*6+($F39:$L39="T")*6+($F39:$L39="D")*12+($F39:$L39="N")*12+($F39:$L39="NT")*6+($F39:$L39="C")*10+($F39:$L39="A")*8+($F39:$L39="J")*5+($F39:$L39="CEP")*4+($F39:$L39="CP")*6+($F39:$L39="CRO")*6+($F39:$L39="M+")*6+($F39:$L39="T+")*6+($F39:$L39="D+")*12+($F39:$L39="N+")*12+($F39:$L39="Dm+")*12+($F39:$L39="Dt+")*12+($F39:$L39="Tm-")*6+($F39:$L39="Mt-")*6)</f>
        <v/>
      </c>
      <c r="AU39" s="118">
        <f>AT39-MAX(0,IFERROR(INDEX(CADASTRO!$I$4:$I$80,MATCH($A39,CADASTRO!$A$4:$A$80,0)),$B39)-CONFIG!$B$50*(COUNTIF($F39:$L39,"AB")+COUNTIF($F39:$L39,"FE")+COUNTIF($F39:$L39,"LM")))</f>
        <v/>
      </c>
      <c r="AV39" s="117">
        <f>SUMPRODUCT(($M39:$S39="M")*6+($M39:$S39="T")*6+($M39:$S39="D")*12+($M39:$S39="N")*12+($M39:$S39="NT")*6+($M39:$S39="C")*10+($M39:$S39="A")*8+($M39:$S39="J")*5+($M39:$S39="CEP")*4+($M39:$S39="CP")*6+($M39:$S39="CRO")*6+($M39:$S39="M+")*6+($M39:$S39="T+")*6+($M39:$S39="D+")*12+($M39:$S39="N+")*12+($M39:$S39="Dm+")*12+($M39:$S39="Dt+")*12+($M39:$S39="Tm-")*6+($M39:$S39="Mt-")*6)</f>
        <v/>
      </c>
      <c r="AW39" s="118">
        <f>AV39-MAX(0,IFERROR(INDEX(CADASTRO!$I$4:$I$80,MATCH($A39,CADASTRO!$A$4:$A$80,0)),$B39)-CONFIG!$B$50*(COUNTIF($M39:$S39,"AB")+COUNTIF($M39:$S39,"FE")+COUNTIF($M39:$S39,"LM")))</f>
        <v/>
      </c>
      <c r="AX39" s="117">
        <f>SUMPRODUCT(($T39:$Z39="M")*6+($T39:$Z39="T")*6+($T39:$Z39="D")*12+($T39:$Z39="N")*12+($T39:$Z39="NT")*6+($T39:$Z39="C")*10+($T39:$Z39="A")*8+($T39:$Z39="J")*5+($T39:$Z39="CEP")*4+($T39:$Z39="CP")*6+($T39:$Z39="CRO")*6+($T39:$Z39="M+")*6+($T39:$Z39="T+")*6+($T39:$Z39="D+")*12+($T39:$Z39="N+")*12+($T39:$Z39="Dm+")*12+($T39:$Z39="Dt+")*12+($T39:$Z39="Tm-")*6+($T39:$Z39="Mt-")*6)</f>
        <v/>
      </c>
      <c r="AY39" s="118">
        <f>AX39-MAX(0,IFERROR(INDEX(CADASTRO!$I$4:$I$80,MATCH($A39,CADASTRO!$A$4:$A$80,0)),$B39)-CONFIG!$B$50*(COUNTIF($T39:$Z39,"AB")+COUNTIF($T39:$Z39,"FE")+COUNTIF($T39:$Z39,"LM")))</f>
        <v/>
      </c>
      <c r="AZ39" s="117">
        <f>SUMPRODUCT(($AA39:$AG39="M")*6+($AA39:$AG39="T")*6+($AA39:$AG39="D")*12+($AA39:$AG39="N")*12+($AA39:$AG39="NT")*6+($AA39:$AG39="C")*10+($AA39:$AG39="A")*8+($AA39:$AG39="J")*5+($AA39:$AG39="CEP")*4+($AA39:$AG39="CP")*6+($AA39:$AG39="CRO")*6+($AA39:$AG39="M+")*6+($AA39:$AG39="T+")*6+($AA39:$AG39="D+")*12+($AA39:$AG39="N+")*12+($AA39:$AG39="Dm+")*12+($AA39:$AG39="Dt+")*12+($AA39:$AG39="Tm-")*6+($AA39:$AG39="Mt-")*6)</f>
        <v/>
      </c>
      <c r="BA39" s="118">
        <f>AZ39-MAX(0,IFERROR(INDEX(CADASTRO!$I$4:$I$80,MATCH($A39,CADASTRO!$A$4:$A$80,0)),$B39)-CONFIG!$B$50*(COUNTIF($AA39:$AG39,"AB")+COUNTIF($AA39:$AG39,"FE")+COUNTIF($AA39:$AG39,"LM")))</f>
        <v/>
      </c>
      <c r="BB39" s="117">
        <f>SUMPRODUCT(($AH39:$AM39="M")*6+($AH39:$AM39="T")*6+($AH39:$AM39="D")*12+($AH39:$AM39="N")*12+($AH39:$AM39="NT")*6+($AH39:$AM39="C")*10+($AH39:$AM39="A")*8+($AH39:$AM39="J")*5+($AH39:$AM39="CEP")*4+($AH39:$AM39="CP")*6+($AH39:$AM39="CRO")*6+($AH39:$AM39="M+")*6+($AH39:$AM39="T+")*6+($AH39:$AM39="D+")*12+($AH39:$AM39="N+")*12+($AH39:$AM39="Dm+")*12+($AH39:$AM39="Dt+")*12+($AH39:$AM39="Tm-")*6+($AH39:$AM39="Mt-")*6)+SUMPRODUCT(($AN39:$AN39="M")*6+($AN39:$AN39="T")*6+($AN39:$AN39="D")*12+($AN39:$AN39="N")*12+($AN39:$AN39="NT")*6+($AN39:$AN39="C")*10+($AN39:$AN39="A")*8+($AN39:$AN39="J")*5+($AN39:$AN39="CEP")*4+($AN39:$AN39="CP")*6+($AN39:$AN39="CRO")*6+($AN39:$AN39="M+")*6+($AN39:$AN39="T+")*6+($AN39:$AN39="D+")*12+($AN39:$AN39="N+")*12+($AN39:$AN39="Dm+")*12+($AN39:$AN39="Dt+")*12+($AN39:$AN39="Tm-")*6+($AN39:$AN39="Mt-")*6)</f>
        <v/>
      </c>
      <c r="BC39" s="118">
        <f>BB39-MAX(0,IFERROR(INDEX(CADASTRO!$I$4:$I$80,MATCH($A39,CADASTRO!$A$4:$A$80,0)),$B39)-CONFIG!$B$50*(COUNTIF($AH39:$AM39,"AB")+COUNTIF($AH39:$AM39,"FE")+COUNTIF($AH39:$AM39,"LM")+COUNTIF($AN39:$AN39,"AB")+COUNTIF($AN39:$AN39,"FE")+COUNTIF($AN39:$AN39,"LM")))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36">
        <f>IFERROR(INDEX(SET!AJ$8:AJ$73,MATCH($A40,SET!$A$8:$A$73,0))&amp;"","")</f>
        <v/>
      </c>
      <c r="G40" s="136">
        <f>IFERROR(INDEX(SET!AK$8:AK$73,MATCH($A40,SET!$A$8:$A$73,0))&amp;"","")</f>
        <v/>
      </c>
      <c r="H40" s="136">
        <f>IFERROR(INDEX(SET!AL$8:AL$73,MATCH($A40,SET!$A$8:$A$73,0))&amp;"","")</f>
        <v/>
      </c>
      <c r="I40" s="138" t="inlineStr">
        <is>
          <t>LM</t>
        </is>
      </c>
      <c r="J40" s="138" t="inlineStr">
        <is>
          <t>LM</t>
        </is>
      </c>
      <c r="K40" s="138" t="inlineStr">
        <is>
          <t>LM</t>
        </is>
      </c>
      <c r="L40" s="138" t="inlineStr">
        <is>
          <t>LM</t>
        </is>
      </c>
      <c r="M40" s="138" t="inlineStr">
        <is>
          <t>LM</t>
        </is>
      </c>
      <c r="N40" s="138" t="inlineStr">
        <is>
          <t>LM</t>
        </is>
      </c>
      <c r="O40" s="138" t="inlineStr">
        <is>
          <t>LM</t>
        </is>
      </c>
      <c r="P40" s="138" t="inlineStr">
        <is>
          <t>LM</t>
        </is>
      </c>
      <c r="Q40" s="138" t="inlineStr">
        <is>
          <t>LM</t>
        </is>
      </c>
      <c r="R40" s="138" t="inlineStr">
        <is>
          <t>LM</t>
        </is>
      </c>
      <c r="S40" s="138" t="inlineStr">
        <is>
          <t>LM</t>
        </is>
      </c>
      <c r="T40" s="138" t="inlineStr">
        <is>
          <t>LM</t>
        </is>
      </c>
      <c r="U40" s="138" t="inlineStr">
        <is>
          <t>LM</t>
        </is>
      </c>
      <c r="V40" s="138" t="inlineStr">
        <is>
          <t>LM</t>
        </is>
      </c>
      <c r="W40" s="138" t="inlineStr">
        <is>
          <t>LM</t>
        </is>
      </c>
      <c r="X40" s="138" t="inlineStr">
        <is>
          <t>LM</t>
        </is>
      </c>
      <c r="Y40" s="138" t="inlineStr">
        <is>
          <t>LM</t>
        </is>
      </c>
      <c r="Z40" s="138" t="inlineStr">
        <is>
          <t>LM</t>
        </is>
      </c>
      <c r="AA40" s="138" t="inlineStr">
        <is>
          <t>LM</t>
        </is>
      </c>
      <c r="AB40" s="138" t="inlineStr">
        <is>
          <t>LM</t>
        </is>
      </c>
      <c r="AC40" s="138" t="inlineStr">
        <is>
          <t>LM</t>
        </is>
      </c>
      <c r="AD40" s="138" t="inlineStr">
        <is>
          <t>LM</t>
        </is>
      </c>
      <c r="AE40" s="138" t="inlineStr">
        <is>
          <t>LM</t>
        </is>
      </c>
      <c r="AF40" s="138" t="inlineStr">
        <is>
          <t>LM</t>
        </is>
      </c>
      <c r="AG40" s="138" t="inlineStr">
        <is>
          <t>LM</t>
        </is>
      </c>
      <c r="AH40" s="114" t="n"/>
      <c r="AI40" s="125" t="inlineStr">
        <is>
          <t>N</t>
        </is>
      </c>
      <c r="AJ40" s="114" t="n"/>
      <c r="AK40" s="125" t="inlineStr">
        <is>
          <t>N</t>
        </is>
      </c>
      <c r="AL40" s="114" t="n"/>
      <c r="AM40" s="114" t="n"/>
      <c r="AN40" s="116">
        <f>IFERROR(INDEX(NOV!I$8:I$73,MATCH($A40,NOV!$A$8:$A$73,0))&amp;"","")</f>
        <v/>
      </c>
      <c r="AO40" s="100" t="n"/>
      <c r="AP40" s="100" t="n"/>
      <c r="AQ40" s="100" t="n"/>
      <c r="AR40" s="100" t="n"/>
      <c r="AS40" s="100" t="n"/>
      <c r="AT40" s="117">
        <f>SUMPRODUCT(($F40:$L40="M")*6+($F40:$L40="T")*6+($F40:$L40="D")*12+($F40:$L40="N")*12+($F40:$L40="NT")*6+($F40:$L40="C")*10+($F40:$L40="A")*8+($F40:$L40="J")*5+($F40:$L40="CEP")*4+($F40:$L40="CP")*6+($F40:$L40="CRO")*6+($F40:$L40="M+")*6+($F40:$L40="T+")*6+($F40:$L40="D+")*12+($F40:$L40="N+")*12+($F40:$L40="Dm+")*12+($F40:$L40="Dt+")*12+($F40:$L40="Tm-")*6+($F40:$L40="Mt-")*6)</f>
        <v/>
      </c>
      <c r="AU40" s="118">
        <f>AT40-MAX(0,IFERROR(INDEX(CADASTRO!$I$4:$I$80,MATCH($A40,CADASTRO!$A$4:$A$80,0)),$B40)-CONFIG!$B$50*(COUNTIF($F40:$L40,"AB")+COUNTIF($F40:$L40,"FE")+COUNTIF($F40:$L40,"LM")))</f>
        <v/>
      </c>
      <c r="AV40" s="117">
        <f>SUMPRODUCT(($M40:$S40="M")*6+($M40:$S40="T")*6+($M40:$S40="D")*12+($M40:$S40="N")*12+($M40:$S40="NT")*6+($M40:$S40="C")*10+($M40:$S40="A")*8+($M40:$S40="J")*5+($M40:$S40="CEP")*4+($M40:$S40="CP")*6+($M40:$S40="CRO")*6+($M40:$S40="M+")*6+($M40:$S40="T+")*6+($M40:$S40="D+")*12+($M40:$S40="N+")*12+($M40:$S40="Dm+")*12+($M40:$S40="Dt+")*12+($M40:$S40="Tm-")*6+($M40:$S40="Mt-")*6)</f>
        <v/>
      </c>
      <c r="AW40" s="118">
        <f>AV40-MAX(0,IFERROR(INDEX(CADASTRO!$I$4:$I$80,MATCH($A40,CADASTRO!$A$4:$A$80,0)),$B40)-CONFIG!$B$50*(COUNTIF($M40:$S40,"AB")+COUNTIF($M40:$S40,"FE")+COUNTIF($M40:$S40,"LM")))</f>
        <v/>
      </c>
      <c r="AX40" s="117">
        <f>SUMPRODUCT(($T40:$Z40="M")*6+($T40:$Z40="T")*6+($T40:$Z40="D")*12+($T40:$Z40="N")*12+($T40:$Z40="NT")*6+($T40:$Z40="C")*10+($T40:$Z40="A")*8+($T40:$Z40="J")*5+($T40:$Z40="CEP")*4+($T40:$Z40="CP")*6+($T40:$Z40="CRO")*6+($T40:$Z40="M+")*6+($T40:$Z40="T+")*6+($T40:$Z40="D+")*12+($T40:$Z40="N+")*12+($T40:$Z40="Dm+")*12+($T40:$Z40="Dt+")*12+($T40:$Z40="Tm-")*6+($T40:$Z40="Mt-")*6)</f>
        <v/>
      </c>
      <c r="AY40" s="118">
        <f>AX40-MAX(0,IFERROR(INDEX(CADASTRO!$I$4:$I$80,MATCH($A40,CADASTRO!$A$4:$A$80,0)),$B40)-CONFIG!$B$50*(COUNTIF($T40:$Z40,"AB")+COUNTIF($T40:$Z40,"FE")+COUNTIF($T40:$Z40,"LM")))</f>
        <v/>
      </c>
      <c r="AZ40" s="117">
        <f>SUMPRODUCT(($AA40:$AG40="M")*6+($AA40:$AG40="T")*6+($AA40:$AG40="D")*12+($AA40:$AG40="N")*12+($AA40:$AG40="NT")*6+($AA40:$AG40="C")*10+($AA40:$AG40="A")*8+($AA40:$AG40="J")*5+($AA40:$AG40="CEP")*4+($AA40:$AG40="CP")*6+($AA40:$AG40="CRO")*6+($AA40:$AG40="M+")*6+($AA40:$AG40="T+")*6+($AA40:$AG40="D+")*12+($AA40:$AG40="N+")*12+($AA40:$AG40="Dm+")*12+($AA40:$AG40="Dt+")*12+($AA40:$AG40="Tm-")*6+($AA40:$AG40="Mt-")*6)</f>
        <v/>
      </c>
      <c r="BA40" s="118">
        <f>AZ40-MAX(0,IFERROR(INDEX(CADASTRO!$I$4:$I$80,MATCH($A40,CADASTRO!$A$4:$A$80,0)),$B40)-CONFIG!$B$50*(COUNTIF($AA40:$AG40,"AB")+COUNTIF($AA40:$AG40,"FE")+COUNTIF($AA40:$AG40,"LM")))</f>
        <v/>
      </c>
      <c r="BB40" s="117">
        <f>SUMPRODUCT(($AH40:$AM40="M")*6+($AH40:$AM40="T")*6+($AH40:$AM40="D")*12+($AH40:$AM40="N")*12+($AH40:$AM40="NT")*6+($AH40:$AM40="C")*10+($AH40:$AM40="A")*8+($AH40:$AM40="J")*5+($AH40:$AM40="CEP")*4+($AH40:$AM40="CP")*6+($AH40:$AM40="CRO")*6+($AH40:$AM40="M+")*6+($AH40:$AM40="T+")*6+($AH40:$AM40="D+")*12+($AH40:$AM40="N+")*12+($AH40:$AM40="Dm+")*12+($AH40:$AM40="Dt+")*12+($AH40:$AM40="Tm-")*6+($AH40:$AM40="Mt-")*6)+SUMPRODUCT(($AN40:$AN40="M")*6+($AN40:$AN40="T")*6+($AN40:$AN40="D")*12+($AN40:$AN40="N")*12+($AN40:$AN40="NT")*6+($AN40:$AN40="C")*10+($AN40:$AN40="A")*8+($AN40:$AN40="J")*5+($AN40:$AN40="CEP")*4+($AN40:$AN40="CP")*6+($AN40:$AN40="CRO")*6+($AN40:$AN40="M+")*6+($AN40:$AN40="T+")*6+($AN40:$AN40="D+")*12+($AN40:$AN40="N+")*12+($AN40:$AN40="Dm+")*12+($AN40:$AN40="Dt+")*12+($AN40:$AN40="Tm-")*6+($AN40:$AN40="Mt-")*6)</f>
        <v/>
      </c>
      <c r="BC40" s="118">
        <f>BB40-MAX(0,IFERROR(INDEX(CADASTRO!$I$4:$I$80,MATCH($A40,CADASTRO!$A$4:$A$80,0)),$B40)-CONFIG!$B$50*(COUNTIF($AH40:$AM40,"AB")+COUNTIF($AH40:$AM40,"FE")+COUNTIF($AH40:$AM40,"LM")+COUNTIF($AN40:$AN40,"AB")+COUNTIF($AN40:$AN40,"FE")+COUNTIF($AN40:$AN40,"LM")))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36">
        <f>IFERROR(INDEX(SET!AJ$8:AJ$73,MATCH($A41,SET!$A$8:$A$73,0))&amp;"","")</f>
        <v/>
      </c>
      <c r="G41" s="136">
        <f>IFERROR(INDEX(SET!AK$8:AK$73,MATCH($A41,SET!$A$8:$A$73,0))&amp;"","")</f>
        <v/>
      </c>
      <c r="H41" s="136">
        <f>IFERROR(INDEX(SET!AL$8:AL$73,MATCH($A41,SET!$A$8:$A$73,0))&amp;"","")</f>
        <v/>
      </c>
      <c r="I41" s="114" t="n"/>
      <c r="J41" s="126" t="inlineStr">
        <is>
          <t>T</t>
        </is>
      </c>
      <c r="K41" s="114" t="n"/>
      <c r="L41" s="124" t="inlineStr">
        <is>
          <t>D</t>
        </is>
      </c>
      <c r="M41" s="123" t="inlineStr">
        <is>
          <t>Dm+</t>
        </is>
      </c>
      <c r="N41" s="114" t="n"/>
      <c r="O41" s="114" t="n"/>
      <c r="P41" s="124" t="inlineStr">
        <is>
          <t>D</t>
        </is>
      </c>
      <c r="Q41" s="114" t="n"/>
      <c r="R41" s="126" t="inlineStr">
        <is>
          <t>T</t>
        </is>
      </c>
      <c r="S41" s="114" t="n"/>
      <c r="T41" s="126" t="inlineStr">
        <is>
          <t>T</t>
        </is>
      </c>
      <c r="U41" s="124" t="inlineStr">
        <is>
          <t>D</t>
        </is>
      </c>
      <c r="V41" s="127" t="inlineStr">
        <is>
          <t>M-</t>
        </is>
      </c>
      <c r="W41" s="114" t="n"/>
      <c r="X41" s="114" t="n"/>
      <c r="Y41" s="114" t="n"/>
      <c r="Z41" s="114" t="n"/>
      <c r="AA41" s="114" t="n"/>
      <c r="AB41" s="114" t="n"/>
      <c r="AC41" s="114" t="n"/>
      <c r="AD41" s="124" t="inlineStr">
        <is>
          <t>D</t>
        </is>
      </c>
      <c r="AE41" s="114" t="n"/>
      <c r="AF41" s="124" t="inlineStr">
        <is>
          <t>D</t>
        </is>
      </c>
      <c r="AG41" s="114" t="n"/>
      <c r="AH41" s="124" t="inlineStr">
        <is>
          <t>D</t>
        </is>
      </c>
      <c r="AI41" s="114" t="n"/>
      <c r="AJ41" s="114" t="n"/>
      <c r="AK41" s="114" t="n"/>
      <c r="AL41" s="125" t="inlineStr">
        <is>
          <t>N</t>
        </is>
      </c>
      <c r="AM41" s="114" t="n"/>
      <c r="AN41" s="116">
        <f>IFERROR(INDEX(NOV!I$8:I$73,MATCH($A41,NOV!$A$8:$A$73,0))&amp;"","")</f>
        <v/>
      </c>
      <c r="AO41" s="100" t="n"/>
      <c r="AP41" s="100" t="n"/>
      <c r="AQ41" s="100" t="n"/>
      <c r="AR41" s="100" t="n"/>
      <c r="AS41" s="100" t="n"/>
      <c r="AT41" s="117">
        <f>SUMPRODUCT(($F41:$L41="M")*6+($F41:$L41="T")*6+($F41:$L41="D")*12+($F41:$L41="N")*12+($F41:$L41="NT")*6+($F41:$L41="C")*10+($F41:$L41="A")*8+($F41:$L41="J")*5+($F41:$L41="CEP")*4+($F41:$L41="CP")*6+($F41:$L41="CRO")*6+($F41:$L41="M+")*6+($F41:$L41="T+")*6+($F41:$L41="D+")*12+($F41:$L41="N+")*12+($F41:$L41="Dm+")*12+($F41:$L41="Dt+")*12+($F41:$L41="Tm-")*6+($F41:$L41="Mt-")*6)</f>
        <v/>
      </c>
      <c r="AU41" s="118">
        <f>AT41-MAX(0,IFERROR(INDEX(CADASTRO!$I$4:$I$80,MATCH($A41,CADASTRO!$A$4:$A$80,0)),$B41)-CONFIG!$B$50*(COUNTIF($F41:$L41,"AB")+COUNTIF($F41:$L41,"FE")+COUNTIF($F41:$L41,"LM")))</f>
        <v/>
      </c>
      <c r="AV41" s="117">
        <f>SUMPRODUCT(($M41:$S41="M")*6+($M41:$S41="T")*6+($M41:$S41="D")*12+($M41:$S41="N")*12+($M41:$S41="NT")*6+($M41:$S41="C")*10+($M41:$S41="A")*8+($M41:$S41="J")*5+($M41:$S41="CEP")*4+($M41:$S41="CP")*6+($M41:$S41="CRO")*6+($M41:$S41="M+")*6+($M41:$S41="T+")*6+($M41:$S41="D+")*12+($M41:$S41="N+")*12+($M41:$S41="Dm+")*12+($M41:$S41="Dt+")*12+($M41:$S41="Tm-")*6+($M41:$S41="Mt-")*6)</f>
        <v/>
      </c>
      <c r="AW41" s="118">
        <f>AV41-MAX(0,IFERROR(INDEX(CADASTRO!$I$4:$I$80,MATCH($A41,CADASTRO!$A$4:$A$80,0)),$B41)-CONFIG!$B$50*(COUNTIF($M41:$S41,"AB")+COUNTIF($M41:$S41,"FE")+COUNTIF($M41:$S41,"LM")))</f>
        <v/>
      </c>
      <c r="AX41" s="117">
        <f>SUMPRODUCT(($T41:$Z41="M")*6+($T41:$Z41="T")*6+($T41:$Z41="D")*12+($T41:$Z41="N")*12+($T41:$Z41="NT")*6+($T41:$Z41="C")*10+($T41:$Z41="A")*8+($T41:$Z41="J")*5+($T41:$Z41="CEP")*4+($T41:$Z41="CP")*6+($T41:$Z41="CRO")*6+($T41:$Z41="M+")*6+($T41:$Z41="T+")*6+($T41:$Z41="D+")*12+($T41:$Z41="N+")*12+($T41:$Z41="Dm+")*12+($T41:$Z41="Dt+")*12+($T41:$Z41="Tm-")*6+($T41:$Z41="Mt-")*6)</f>
        <v/>
      </c>
      <c r="AY41" s="118">
        <f>AX41-MAX(0,IFERROR(INDEX(CADASTRO!$I$4:$I$80,MATCH($A41,CADASTRO!$A$4:$A$80,0)),$B41)-CONFIG!$B$50*(COUNTIF($T41:$Z41,"AB")+COUNTIF($T41:$Z41,"FE")+COUNTIF($T41:$Z41,"LM")))</f>
        <v/>
      </c>
      <c r="AZ41" s="117">
        <f>SUMPRODUCT(($AA41:$AG41="M")*6+($AA41:$AG41="T")*6+($AA41:$AG41="D")*12+($AA41:$AG41="N")*12+($AA41:$AG41="NT")*6+($AA41:$AG41="C")*10+($AA41:$AG41="A")*8+($AA41:$AG41="J")*5+($AA41:$AG41="CEP")*4+($AA41:$AG41="CP")*6+($AA41:$AG41="CRO")*6+($AA41:$AG41="M+")*6+($AA41:$AG41="T+")*6+($AA41:$AG41="D+")*12+($AA41:$AG41="N+")*12+($AA41:$AG41="Dm+")*12+($AA41:$AG41="Dt+")*12+($AA41:$AG41="Tm-")*6+($AA41:$AG41="Mt-")*6)</f>
        <v/>
      </c>
      <c r="BA41" s="118">
        <f>AZ41-MAX(0,IFERROR(INDEX(CADASTRO!$I$4:$I$80,MATCH($A41,CADASTRO!$A$4:$A$80,0)),$B41)-CONFIG!$B$50*(COUNTIF($AA41:$AG41,"AB")+COUNTIF($AA41:$AG41,"FE")+COUNTIF($AA41:$AG41,"LM")))</f>
        <v/>
      </c>
      <c r="BB41" s="117">
        <f>SUMPRODUCT(($AH41:$AM41="M")*6+($AH41:$AM41="T")*6+($AH41:$AM41="D")*12+($AH41:$AM41="N")*12+($AH41:$AM41="NT")*6+($AH41:$AM41="C")*10+($AH41:$AM41="A")*8+($AH41:$AM41="J")*5+($AH41:$AM41="CEP")*4+($AH41:$AM41="CP")*6+($AH41:$AM41="CRO")*6+($AH41:$AM41="M+")*6+($AH41:$AM41="T+")*6+($AH41:$AM41="D+")*12+($AH41:$AM41="N+")*12+($AH41:$AM41="Dm+")*12+($AH41:$AM41="Dt+")*12+($AH41:$AM41="Tm-")*6+($AH41:$AM41="Mt-")*6)+SUMPRODUCT(($AN41:$AN41="M")*6+($AN41:$AN41="T")*6+($AN41:$AN41="D")*12+($AN41:$AN41="N")*12+($AN41:$AN41="NT")*6+($AN41:$AN41="C")*10+($AN41:$AN41="A")*8+($AN41:$AN41="J")*5+($AN41:$AN41="CEP")*4+($AN41:$AN41="CP")*6+($AN41:$AN41="CRO")*6+($AN41:$AN41="M+")*6+($AN41:$AN41="T+")*6+($AN41:$AN41="D+")*12+($AN41:$AN41="N+")*12+($AN41:$AN41="Dm+")*12+($AN41:$AN41="Dt+")*12+($AN41:$AN41="Tm-")*6+($AN41:$AN41="Mt-")*6)</f>
        <v/>
      </c>
      <c r="BC41" s="118">
        <f>BB41-MAX(0,IFERROR(INDEX(CADASTRO!$I$4:$I$80,MATCH($A41,CADASTRO!$A$4:$A$80,0)),$B41)-CONFIG!$B$50*(COUNTIF($AH41:$AM41,"AB")+COUNTIF($AH41:$AM41,"FE")+COUNTIF($AH41:$AM41,"LM")+COUNTIF($AN41:$AN41,"AB")+COUNTIF($AN41:$AN41,"FE")+COUNTIF($AN41:$AN41,"LM")))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36">
        <f>IFERROR(INDEX(SET!AJ$8:AJ$73,MATCH($A42,SET!$A$8:$A$73,0))&amp;"","")</f>
        <v/>
      </c>
      <c r="G42" s="136">
        <f>IFERROR(INDEX(SET!AK$8:AK$73,MATCH($A42,SET!$A$8:$A$73,0))&amp;"","")</f>
        <v/>
      </c>
      <c r="H42" s="136">
        <f>IFERROR(INDEX(SET!AL$8:AL$73,MATCH($A42,SET!$A$8:$A$73,0))&amp;"","")</f>
        <v/>
      </c>
      <c r="I42" s="125" t="inlineStr">
        <is>
          <t>N</t>
        </is>
      </c>
      <c r="J42" s="114" t="n"/>
      <c r="K42" s="114" t="n"/>
      <c r="L42" s="114" t="n"/>
      <c r="M42" s="114" t="n"/>
      <c r="N42" s="114" t="n"/>
      <c r="O42" s="125" t="inlineStr">
        <is>
          <t>N</t>
        </is>
      </c>
      <c r="P42" s="114" t="n"/>
      <c r="Q42" s="114" t="n"/>
      <c r="R42" s="125" t="inlineStr">
        <is>
          <t>N</t>
        </is>
      </c>
      <c r="S42" s="114" t="n"/>
      <c r="T42" s="124" t="inlineStr">
        <is>
          <t>D</t>
        </is>
      </c>
      <c r="U42" s="114" t="n"/>
      <c r="V42" s="114" t="n"/>
      <c r="W42" s="114" t="n"/>
      <c r="X42" s="125" t="inlineStr">
        <is>
          <t>N</t>
        </is>
      </c>
      <c r="Y42" s="114" t="n"/>
      <c r="Z42" s="114" t="n"/>
      <c r="AA42" s="139" t="inlineStr">
        <is>
          <t>FE</t>
        </is>
      </c>
      <c r="AB42" s="139" t="inlineStr">
        <is>
          <t>FE</t>
        </is>
      </c>
      <c r="AC42" s="139" t="inlineStr">
        <is>
          <t>FE</t>
        </is>
      </c>
      <c r="AD42" s="139" t="inlineStr">
        <is>
          <t>FE</t>
        </is>
      </c>
      <c r="AE42" s="139" t="inlineStr">
        <is>
          <t>FE</t>
        </is>
      </c>
      <c r="AF42" s="139" t="inlineStr">
        <is>
          <t>FE</t>
        </is>
      </c>
      <c r="AG42" s="139" t="inlineStr">
        <is>
          <t>FE</t>
        </is>
      </c>
      <c r="AH42" s="139" t="inlineStr">
        <is>
          <t>FE</t>
        </is>
      </c>
      <c r="AI42" s="139" t="inlineStr">
        <is>
          <t>FE</t>
        </is>
      </c>
      <c r="AJ42" s="139" t="inlineStr">
        <is>
          <t>FE</t>
        </is>
      </c>
      <c r="AK42" s="139" t="inlineStr">
        <is>
          <t>FE</t>
        </is>
      </c>
      <c r="AL42" s="139" t="inlineStr">
        <is>
          <t>FE</t>
        </is>
      </c>
      <c r="AM42" s="139" t="inlineStr">
        <is>
          <t>FE</t>
        </is>
      </c>
      <c r="AN42" s="116">
        <f>IFERROR(INDEX(NOV!I$8:I$73,MATCH($A42,NOV!$A$8:$A$73,0))&amp;"","")</f>
        <v/>
      </c>
      <c r="AO42" s="100" t="n"/>
      <c r="AP42" s="100" t="n"/>
      <c r="AQ42" s="100" t="n"/>
      <c r="AR42" s="100" t="n"/>
      <c r="AS42" s="100" t="n"/>
      <c r="AT42" s="117">
        <f>SUMPRODUCT(($F42:$L42="M")*6+($F42:$L42="T")*6+($F42:$L42="D")*12+($F42:$L42="N")*12+($F42:$L42="NT")*6+($F42:$L42="C")*10+($F42:$L42="A")*8+($F42:$L42="J")*5+($F42:$L42="CEP")*4+($F42:$L42="CP")*6+($F42:$L42="CRO")*6+($F42:$L42="M+")*6+($F42:$L42="T+")*6+($F42:$L42="D+")*12+($F42:$L42="N+")*12+($F42:$L42="Dm+")*12+($F42:$L42="Dt+")*12+($F42:$L42="Tm-")*6+($F42:$L42="Mt-")*6)</f>
        <v/>
      </c>
      <c r="AU42" s="118">
        <f>AT42-MAX(0,IFERROR(INDEX(CADASTRO!$I$4:$I$80,MATCH($A42,CADASTRO!$A$4:$A$80,0)),$B42)-CONFIG!$B$50*(COUNTIF($F42:$L42,"AB")+COUNTIF($F42:$L42,"FE")+COUNTIF($F42:$L42,"LM")))</f>
        <v/>
      </c>
      <c r="AV42" s="117">
        <f>SUMPRODUCT(($M42:$S42="M")*6+($M42:$S42="T")*6+($M42:$S42="D")*12+($M42:$S42="N")*12+($M42:$S42="NT")*6+($M42:$S42="C")*10+($M42:$S42="A")*8+($M42:$S42="J")*5+($M42:$S42="CEP")*4+($M42:$S42="CP")*6+($M42:$S42="CRO")*6+($M42:$S42="M+")*6+($M42:$S42="T+")*6+($M42:$S42="D+")*12+($M42:$S42="N+")*12+($M42:$S42="Dm+")*12+($M42:$S42="Dt+")*12+($M42:$S42="Tm-")*6+($M42:$S42="Mt-")*6)</f>
        <v/>
      </c>
      <c r="AW42" s="118">
        <f>AV42-MAX(0,IFERROR(INDEX(CADASTRO!$I$4:$I$80,MATCH($A42,CADASTRO!$A$4:$A$80,0)),$B42)-CONFIG!$B$50*(COUNTIF($M42:$S42,"AB")+COUNTIF($M42:$S42,"FE")+COUNTIF($M42:$S42,"LM")))</f>
        <v/>
      </c>
      <c r="AX42" s="117">
        <f>SUMPRODUCT(($T42:$Z42="M")*6+($T42:$Z42="T")*6+($T42:$Z42="D")*12+($T42:$Z42="N")*12+($T42:$Z42="NT")*6+($T42:$Z42="C")*10+($T42:$Z42="A")*8+($T42:$Z42="J")*5+($T42:$Z42="CEP")*4+($T42:$Z42="CP")*6+($T42:$Z42="CRO")*6+($T42:$Z42="M+")*6+($T42:$Z42="T+")*6+($T42:$Z42="D+")*12+($T42:$Z42="N+")*12+($T42:$Z42="Dm+")*12+($T42:$Z42="Dt+")*12+($T42:$Z42="Tm-")*6+($T42:$Z42="Mt-")*6)</f>
        <v/>
      </c>
      <c r="AY42" s="118">
        <f>AX42-MAX(0,IFERROR(INDEX(CADASTRO!$I$4:$I$80,MATCH($A42,CADASTRO!$A$4:$A$80,0)),$B42)-CONFIG!$B$50*(COUNTIF($T42:$Z42,"AB")+COUNTIF($T42:$Z42,"FE")+COUNTIF($T42:$Z42,"LM")))</f>
        <v/>
      </c>
      <c r="AZ42" s="117">
        <f>SUMPRODUCT(($AA42:$AG42="M")*6+($AA42:$AG42="T")*6+($AA42:$AG42="D")*12+($AA42:$AG42="N")*12+($AA42:$AG42="NT")*6+($AA42:$AG42="C")*10+($AA42:$AG42="A")*8+($AA42:$AG42="J")*5+($AA42:$AG42="CEP")*4+($AA42:$AG42="CP")*6+($AA42:$AG42="CRO")*6+($AA42:$AG42="M+")*6+($AA42:$AG42="T+")*6+($AA42:$AG42="D+")*12+($AA42:$AG42="N+")*12+($AA42:$AG42="Dm+")*12+($AA42:$AG42="Dt+")*12+($AA42:$AG42="Tm-")*6+($AA42:$AG42="Mt-")*6)</f>
        <v/>
      </c>
      <c r="BA42" s="118">
        <f>AZ42-MAX(0,IFERROR(INDEX(CADASTRO!$I$4:$I$80,MATCH($A42,CADASTRO!$A$4:$A$80,0)),$B42)-CONFIG!$B$50*(COUNTIF($AA42:$AG42,"AB")+COUNTIF($AA42:$AG42,"FE")+COUNTIF($AA42:$AG42,"LM")))</f>
        <v/>
      </c>
      <c r="BB42" s="117">
        <f>SUMPRODUCT(($AH42:$AM42="M")*6+($AH42:$AM42="T")*6+($AH42:$AM42="D")*12+($AH42:$AM42="N")*12+($AH42:$AM42="NT")*6+($AH42:$AM42="C")*10+($AH42:$AM42="A")*8+($AH42:$AM42="J")*5+($AH42:$AM42="CEP")*4+($AH42:$AM42="CP")*6+($AH42:$AM42="CRO")*6+($AH42:$AM42="M+")*6+($AH42:$AM42="T+")*6+($AH42:$AM42="D+")*12+($AH42:$AM42="N+")*12+($AH42:$AM42="Dm+")*12+($AH42:$AM42="Dt+")*12+($AH42:$AM42="Tm-")*6+($AH42:$AM42="Mt-")*6)+SUMPRODUCT(($AN42:$AN42="M")*6+($AN42:$AN42="T")*6+($AN42:$AN42="D")*12+($AN42:$AN42="N")*12+($AN42:$AN42="NT")*6+($AN42:$AN42="C")*10+($AN42:$AN42="A")*8+($AN42:$AN42="J")*5+($AN42:$AN42="CEP")*4+($AN42:$AN42="CP")*6+($AN42:$AN42="CRO")*6+($AN42:$AN42="M+")*6+($AN42:$AN42="T+")*6+($AN42:$AN42="D+")*12+($AN42:$AN42="N+")*12+($AN42:$AN42="Dm+")*12+($AN42:$AN42="Dt+")*12+($AN42:$AN42="Tm-")*6+($AN42:$AN42="Mt-")*6)</f>
        <v/>
      </c>
      <c r="BC42" s="118">
        <f>BB42-MAX(0,IFERROR(INDEX(CADASTRO!$I$4:$I$80,MATCH($A42,CADASTRO!$A$4:$A$80,0)),$B42)-CONFIG!$B$50*(COUNTIF($AH42:$AM42,"AB")+COUNTIF($AH42:$AM42,"FE")+COUNTIF($AH42:$AM42,"LM")+COUNTIF($AN42:$AN42,"AB")+COUNTIF($AN42:$AN42,"FE")+COUNTIF($AN42:$AN42,"LM")))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36">
        <f>IFERROR(INDEX(SET!AJ$8:AJ$73,MATCH($A43,SET!$A$8:$A$73,0))&amp;"","")</f>
        <v/>
      </c>
      <c r="G43" s="136">
        <f>IFERROR(INDEX(SET!AK$8:AK$73,MATCH($A43,SET!$A$8:$A$73,0))&amp;"","")</f>
        <v/>
      </c>
      <c r="H43" s="136">
        <f>IFERROR(INDEX(SET!AL$8:AL$73,MATCH($A43,SET!$A$8:$A$73,0))&amp;"","")</f>
        <v/>
      </c>
      <c r="I43" s="114" t="n"/>
      <c r="J43" s="125" t="inlineStr">
        <is>
          <t>N</t>
        </is>
      </c>
      <c r="K43" s="114" t="n"/>
      <c r="L43" s="114" t="n"/>
      <c r="M43" s="125" t="inlineStr">
        <is>
          <t>N</t>
        </is>
      </c>
      <c r="N43" s="114" t="n"/>
      <c r="O43" s="125" t="inlineStr">
        <is>
          <t>N</t>
        </is>
      </c>
      <c r="P43" s="114" t="n"/>
      <c r="Q43" s="114" t="n"/>
      <c r="R43" s="114" t="n"/>
      <c r="S43" s="114" t="n"/>
      <c r="T43" s="114" t="n"/>
      <c r="U43" s="114" t="n"/>
      <c r="V43" s="114" t="n"/>
      <c r="W43" s="125" t="inlineStr">
        <is>
          <t>N</t>
        </is>
      </c>
      <c r="X43" s="114" t="n"/>
      <c r="Y43" s="125" t="inlineStr">
        <is>
          <t>N</t>
        </is>
      </c>
      <c r="Z43" s="114" t="n"/>
      <c r="AA43" s="114" t="n"/>
      <c r="AB43" s="114" t="n"/>
      <c r="AC43" s="114" t="n"/>
      <c r="AD43" s="125" t="inlineStr">
        <is>
          <t>N</t>
        </is>
      </c>
      <c r="AE43" s="114" t="n"/>
      <c r="AF43" s="125" t="inlineStr">
        <is>
          <t>N</t>
        </is>
      </c>
      <c r="AG43" s="114" t="n"/>
      <c r="AH43" s="125" t="inlineStr">
        <is>
          <t>N</t>
        </is>
      </c>
      <c r="AI43" s="114" t="n"/>
      <c r="AJ43" s="114" t="n"/>
      <c r="AK43" s="125" t="inlineStr">
        <is>
          <t>N</t>
        </is>
      </c>
      <c r="AL43" s="114" t="n"/>
      <c r="AM43" s="114" t="n"/>
      <c r="AN43" s="116">
        <f>IFERROR(INDEX(NOV!I$8:I$73,MATCH($A43,NOV!$A$8:$A$73,0))&amp;"","")</f>
        <v/>
      </c>
      <c r="AO43" s="100" t="n"/>
      <c r="AP43" s="100" t="n"/>
      <c r="AQ43" s="100" t="n"/>
      <c r="AR43" s="100" t="n"/>
      <c r="AS43" s="100" t="n"/>
      <c r="AT43" s="117">
        <f>SUMPRODUCT(($F43:$L43="M")*6+($F43:$L43="T")*6+($F43:$L43="D")*12+($F43:$L43="N")*12+($F43:$L43="NT")*6+($F43:$L43="C")*10+($F43:$L43="A")*8+($F43:$L43="J")*5+($F43:$L43="CEP")*4+($F43:$L43="CP")*6+($F43:$L43="CRO")*6+($F43:$L43="M+")*6+($F43:$L43="T+")*6+($F43:$L43="D+")*12+($F43:$L43="N+")*12+($F43:$L43="Dm+")*12+($F43:$L43="Dt+")*12+($F43:$L43="Tm-")*6+($F43:$L43="Mt-")*6)</f>
        <v/>
      </c>
      <c r="AU43" s="118">
        <f>AT43-MAX(0,IFERROR(INDEX(CADASTRO!$I$4:$I$80,MATCH($A43,CADASTRO!$A$4:$A$80,0)),$B43)-CONFIG!$B$50*(COUNTIF($F43:$L43,"AB")+COUNTIF($F43:$L43,"FE")+COUNTIF($F43:$L43,"LM")))</f>
        <v/>
      </c>
      <c r="AV43" s="117">
        <f>SUMPRODUCT(($M43:$S43="M")*6+($M43:$S43="T")*6+($M43:$S43="D")*12+($M43:$S43="N")*12+($M43:$S43="NT")*6+($M43:$S43="C")*10+($M43:$S43="A")*8+($M43:$S43="J")*5+($M43:$S43="CEP")*4+($M43:$S43="CP")*6+($M43:$S43="CRO")*6+($M43:$S43="M+")*6+($M43:$S43="T+")*6+($M43:$S43="D+")*12+($M43:$S43="N+")*12+($M43:$S43="Dm+")*12+($M43:$S43="Dt+")*12+($M43:$S43="Tm-")*6+($M43:$S43="Mt-")*6)</f>
        <v/>
      </c>
      <c r="AW43" s="118">
        <f>AV43-MAX(0,IFERROR(INDEX(CADASTRO!$I$4:$I$80,MATCH($A43,CADASTRO!$A$4:$A$80,0)),$B43)-CONFIG!$B$50*(COUNTIF($M43:$S43,"AB")+COUNTIF($M43:$S43,"FE")+COUNTIF($M43:$S43,"LM")))</f>
        <v/>
      </c>
      <c r="AX43" s="117">
        <f>SUMPRODUCT(($T43:$Z43="M")*6+($T43:$Z43="T")*6+($T43:$Z43="D")*12+($T43:$Z43="N")*12+($T43:$Z43="NT")*6+($T43:$Z43="C")*10+($T43:$Z43="A")*8+($T43:$Z43="J")*5+($T43:$Z43="CEP")*4+($T43:$Z43="CP")*6+($T43:$Z43="CRO")*6+($T43:$Z43="M+")*6+($T43:$Z43="T+")*6+($T43:$Z43="D+")*12+($T43:$Z43="N+")*12+($T43:$Z43="Dm+")*12+($T43:$Z43="Dt+")*12+($T43:$Z43="Tm-")*6+($T43:$Z43="Mt-")*6)</f>
        <v/>
      </c>
      <c r="AY43" s="118">
        <f>AX43-MAX(0,IFERROR(INDEX(CADASTRO!$I$4:$I$80,MATCH($A43,CADASTRO!$A$4:$A$80,0)),$B43)-CONFIG!$B$50*(COUNTIF($T43:$Z43,"AB")+COUNTIF($T43:$Z43,"FE")+COUNTIF($T43:$Z43,"LM")))</f>
        <v/>
      </c>
      <c r="AZ43" s="117">
        <f>SUMPRODUCT(($AA43:$AG43="M")*6+($AA43:$AG43="T")*6+($AA43:$AG43="D")*12+($AA43:$AG43="N")*12+($AA43:$AG43="NT")*6+($AA43:$AG43="C")*10+($AA43:$AG43="A")*8+($AA43:$AG43="J")*5+($AA43:$AG43="CEP")*4+($AA43:$AG43="CP")*6+($AA43:$AG43="CRO")*6+($AA43:$AG43="M+")*6+($AA43:$AG43="T+")*6+($AA43:$AG43="D+")*12+($AA43:$AG43="N+")*12+($AA43:$AG43="Dm+")*12+($AA43:$AG43="Dt+")*12+($AA43:$AG43="Tm-")*6+($AA43:$AG43="Mt-")*6)</f>
        <v/>
      </c>
      <c r="BA43" s="118">
        <f>AZ43-MAX(0,IFERROR(INDEX(CADASTRO!$I$4:$I$80,MATCH($A43,CADASTRO!$A$4:$A$80,0)),$B43)-CONFIG!$B$50*(COUNTIF($AA43:$AG43,"AB")+COUNTIF($AA43:$AG43,"FE")+COUNTIF($AA43:$AG43,"LM")))</f>
        <v/>
      </c>
      <c r="BB43" s="117">
        <f>SUMPRODUCT(($AH43:$AM43="M")*6+($AH43:$AM43="T")*6+($AH43:$AM43="D")*12+($AH43:$AM43="N")*12+($AH43:$AM43="NT")*6+($AH43:$AM43="C")*10+($AH43:$AM43="A")*8+($AH43:$AM43="J")*5+($AH43:$AM43="CEP")*4+($AH43:$AM43="CP")*6+($AH43:$AM43="CRO")*6+($AH43:$AM43="M+")*6+($AH43:$AM43="T+")*6+($AH43:$AM43="D+")*12+($AH43:$AM43="N+")*12+($AH43:$AM43="Dm+")*12+($AH43:$AM43="Dt+")*12+($AH43:$AM43="Tm-")*6+($AH43:$AM43="Mt-")*6)+SUMPRODUCT(($AN43:$AN43="M")*6+($AN43:$AN43="T")*6+($AN43:$AN43="D")*12+($AN43:$AN43="N")*12+($AN43:$AN43="NT")*6+($AN43:$AN43="C")*10+($AN43:$AN43="A")*8+($AN43:$AN43="J")*5+($AN43:$AN43="CEP")*4+($AN43:$AN43="CP")*6+($AN43:$AN43="CRO")*6+($AN43:$AN43="M+")*6+($AN43:$AN43="T+")*6+($AN43:$AN43="D+")*12+($AN43:$AN43="N+")*12+($AN43:$AN43="Dm+")*12+($AN43:$AN43="Dt+")*12+($AN43:$AN43="Tm-")*6+($AN43:$AN43="Mt-")*6)</f>
        <v/>
      </c>
      <c r="BC43" s="118">
        <f>BB43-MAX(0,IFERROR(INDEX(CADASTRO!$I$4:$I$80,MATCH($A43,CADASTRO!$A$4:$A$80,0)),$B43)-CONFIG!$B$50*(COUNTIF($AH43:$AM43,"AB")+COUNTIF($AH43:$AM43,"FE")+COUNTIF($AH43:$AM43,"LM")+COUNTIF($AN43:$AN43,"AB")+COUNTIF($AN43:$AN43,"FE")+COUNTIF($AN43:$AN43,"LM")))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36">
        <f>IFERROR(INDEX(SET!AJ$8:AJ$73,MATCH($A44,SET!$A$8:$A$73,0))&amp;"","")</f>
        <v/>
      </c>
      <c r="G44" s="136">
        <f>IFERROR(INDEX(SET!AK$8:AK$73,MATCH($A44,SET!$A$8:$A$73,0))&amp;"","")</f>
        <v/>
      </c>
      <c r="H44" s="136">
        <f>IFERROR(INDEX(SET!AL$8:AL$73,MATCH($A44,SET!$A$8:$A$73,0))&amp;"","")</f>
        <v/>
      </c>
      <c r="I44" s="114" t="n"/>
      <c r="J44" s="126" t="inlineStr">
        <is>
          <t>T</t>
        </is>
      </c>
      <c r="K44" s="114" t="n"/>
      <c r="L44" s="114" t="n"/>
      <c r="M44" s="114" t="n"/>
      <c r="N44" s="124" t="inlineStr">
        <is>
          <t>D</t>
        </is>
      </c>
      <c r="O44" s="114" t="n"/>
      <c r="P44" s="114" t="n"/>
      <c r="Q44" s="126" t="inlineStr">
        <is>
          <t>T</t>
        </is>
      </c>
      <c r="R44" s="114" t="n"/>
      <c r="S44" s="115" t="inlineStr">
        <is>
          <t>M</t>
        </is>
      </c>
      <c r="T44" s="114" t="n"/>
      <c r="U44" s="114" t="n"/>
      <c r="V44" s="124" t="inlineStr">
        <is>
          <t>D</t>
        </is>
      </c>
      <c r="W44" s="114" t="n"/>
      <c r="X44" s="114" t="n"/>
      <c r="Y44" s="114" t="n"/>
      <c r="Z44" s="124" t="inlineStr">
        <is>
          <t>D</t>
        </is>
      </c>
      <c r="AA44" s="114" t="n"/>
      <c r="AB44" s="114" t="n"/>
      <c r="AC44" s="126" t="inlineStr">
        <is>
          <t>T</t>
        </is>
      </c>
      <c r="AD44" s="126" t="inlineStr">
        <is>
          <t>T</t>
        </is>
      </c>
      <c r="AE44" s="114" t="n"/>
      <c r="AF44" s="124" t="inlineStr">
        <is>
          <t>D</t>
        </is>
      </c>
      <c r="AG44" s="114" t="n"/>
      <c r="AH44" s="114" t="n"/>
      <c r="AI44" s="126" t="inlineStr">
        <is>
          <t>T</t>
        </is>
      </c>
      <c r="AJ44" s="126" t="inlineStr">
        <is>
          <t>T</t>
        </is>
      </c>
      <c r="AK44" s="114" t="n"/>
      <c r="AL44" s="125" t="inlineStr">
        <is>
          <t>N</t>
        </is>
      </c>
      <c r="AM44" s="114" t="n"/>
      <c r="AN44" s="116">
        <f>IFERROR(INDEX(NOV!I$8:I$73,MATCH($A44,NOV!$A$8:$A$73,0))&amp;"","")</f>
        <v/>
      </c>
      <c r="AO44" s="100" t="n"/>
      <c r="AP44" s="100" t="n"/>
      <c r="AQ44" s="100" t="n"/>
      <c r="AR44" s="100" t="n"/>
      <c r="AS44" s="100" t="n"/>
      <c r="AT44" s="117">
        <f>SUMPRODUCT(($F44:$L44="M")*6+($F44:$L44="T")*6+($F44:$L44="D")*12+($F44:$L44="N")*12+($F44:$L44="NT")*6+($F44:$L44="C")*10+($F44:$L44="A")*8+($F44:$L44="J")*5+($F44:$L44="CEP")*4+($F44:$L44="CP")*6+($F44:$L44="CRO")*6+($F44:$L44="M+")*6+($F44:$L44="T+")*6+($F44:$L44="D+")*12+($F44:$L44="N+")*12+($F44:$L44="Dm+")*12+($F44:$L44="Dt+")*12+($F44:$L44="Tm-")*6+($F44:$L44="Mt-")*6)</f>
        <v/>
      </c>
      <c r="AU44" s="118">
        <f>AT44-MAX(0,IFERROR(INDEX(CADASTRO!$I$4:$I$80,MATCH($A44,CADASTRO!$A$4:$A$80,0)),$B44)-CONFIG!$B$50*(COUNTIF($F44:$L44,"AB")+COUNTIF($F44:$L44,"FE")+COUNTIF($F44:$L44,"LM")))</f>
        <v/>
      </c>
      <c r="AV44" s="117">
        <f>SUMPRODUCT(($M44:$S44="M")*6+($M44:$S44="T")*6+($M44:$S44="D")*12+($M44:$S44="N")*12+($M44:$S44="NT")*6+($M44:$S44="C")*10+($M44:$S44="A")*8+($M44:$S44="J")*5+($M44:$S44="CEP")*4+($M44:$S44="CP")*6+($M44:$S44="CRO")*6+($M44:$S44="M+")*6+($M44:$S44="T+")*6+($M44:$S44="D+")*12+($M44:$S44="N+")*12+($M44:$S44="Dm+")*12+($M44:$S44="Dt+")*12+($M44:$S44="Tm-")*6+($M44:$S44="Mt-")*6)</f>
        <v/>
      </c>
      <c r="AW44" s="118">
        <f>AV44-MAX(0,IFERROR(INDEX(CADASTRO!$I$4:$I$80,MATCH($A44,CADASTRO!$A$4:$A$80,0)),$B44)-CONFIG!$B$50*(COUNTIF($M44:$S44,"AB")+COUNTIF($M44:$S44,"FE")+COUNTIF($M44:$S44,"LM")))</f>
        <v/>
      </c>
      <c r="AX44" s="117">
        <f>SUMPRODUCT(($T44:$Z44="M")*6+($T44:$Z44="T")*6+($T44:$Z44="D")*12+($T44:$Z44="N")*12+($T44:$Z44="NT")*6+($T44:$Z44="C")*10+($T44:$Z44="A")*8+($T44:$Z44="J")*5+($T44:$Z44="CEP")*4+($T44:$Z44="CP")*6+($T44:$Z44="CRO")*6+($T44:$Z44="M+")*6+($T44:$Z44="T+")*6+($T44:$Z44="D+")*12+($T44:$Z44="N+")*12+($T44:$Z44="Dm+")*12+($T44:$Z44="Dt+")*12+($T44:$Z44="Tm-")*6+($T44:$Z44="Mt-")*6)</f>
        <v/>
      </c>
      <c r="AY44" s="118">
        <f>AX44-MAX(0,IFERROR(INDEX(CADASTRO!$I$4:$I$80,MATCH($A44,CADASTRO!$A$4:$A$80,0)),$B44)-CONFIG!$B$50*(COUNTIF($T44:$Z44,"AB")+COUNTIF($T44:$Z44,"FE")+COUNTIF($T44:$Z44,"LM")))</f>
        <v/>
      </c>
      <c r="AZ44" s="117">
        <f>SUMPRODUCT(($AA44:$AG44="M")*6+($AA44:$AG44="T")*6+($AA44:$AG44="D")*12+($AA44:$AG44="N")*12+($AA44:$AG44="NT")*6+($AA44:$AG44="C")*10+($AA44:$AG44="A")*8+($AA44:$AG44="J")*5+($AA44:$AG44="CEP")*4+($AA44:$AG44="CP")*6+($AA44:$AG44="CRO")*6+($AA44:$AG44="M+")*6+($AA44:$AG44="T+")*6+($AA44:$AG44="D+")*12+($AA44:$AG44="N+")*12+($AA44:$AG44="Dm+")*12+($AA44:$AG44="Dt+")*12+($AA44:$AG44="Tm-")*6+($AA44:$AG44="Mt-")*6)</f>
        <v/>
      </c>
      <c r="BA44" s="118">
        <f>AZ44-MAX(0,IFERROR(INDEX(CADASTRO!$I$4:$I$80,MATCH($A44,CADASTRO!$A$4:$A$80,0)),$B44)-CONFIG!$B$50*(COUNTIF($AA44:$AG44,"AB")+COUNTIF($AA44:$AG44,"FE")+COUNTIF($AA44:$AG44,"LM")))</f>
        <v/>
      </c>
      <c r="BB44" s="117">
        <f>SUMPRODUCT(($AH44:$AM44="M")*6+($AH44:$AM44="T")*6+($AH44:$AM44="D")*12+($AH44:$AM44="N")*12+($AH44:$AM44="NT")*6+($AH44:$AM44="C")*10+($AH44:$AM44="A")*8+($AH44:$AM44="J")*5+($AH44:$AM44="CEP")*4+($AH44:$AM44="CP")*6+($AH44:$AM44="CRO")*6+($AH44:$AM44="M+")*6+($AH44:$AM44="T+")*6+($AH44:$AM44="D+")*12+($AH44:$AM44="N+")*12+($AH44:$AM44="Dm+")*12+($AH44:$AM44="Dt+")*12+($AH44:$AM44="Tm-")*6+($AH44:$AM44="Mt-")*6)+SUMPRODUCT(($AN44:$AN44="M")*6+($AN44:$AN44="T")*6+($AN44:$AN44="D")*12+($AN44:$AN44="N")*12+($AN44:$AN44="NT")*6+($AN44:$AN44="C")*10+($AN44:$AN44="A")*8+($AN44:$AN44="J")*5+($AN44:$AN44="CEP")*4+($AN44:$AN44="CP")*6+($AN44:$AN44="CRO")*6+($AN44:$AN44="M+")*6+($AN44:$AN44="T+")*6+($AN44:$AN44="D+")*12+($AN44:$AN44="N+")*12+($AN44:$AN44="Dm+")*12+($AN44:$AN44="Dt+")*12+($AN44:$AN44="Tm-")*6+($AN44:$AN44="Mt-")*6)</f>
        <v/>
      </c>
      <c r="BC44" s="118">
        <f>BB44-MAX(0,IFERROR(INDEX(CADASTRO!$I$4:$I$80,MATCH($A44,CADASTRO!$A$4:$A$80,0)),$B44)-CONFIG!$B$50*(COUNTIF($AH44:$AM44,"AB")+COUNTIF($AH44:$AM44,"FE")+COUNTIF($AH44:$AM44,"LM")+COUNTIF($AN44:$AN44,"AB")+COUNTIF($AN44:$AN44,"FE")+COUNTIF($AN44:$AN44,"LM")))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36">
        <f>IFERROR(INDEX(SET!AJ$8:AJ$73,MATCH($A45,SET!$A$8:$A$73,0))&amp;"","")</f>
        <v/>
      </c>
      <c r="G45" s="136">
        <f>IFERROR(INDEX(SET!AK$8:AK$73,MATCH($A45,SET!$A$8:$A$73,0))&amp;"","")</f>
        <v/>
      </c>
      <c r="H45" s="136">
        <f>IFERROR(INDEX(SET!AL$8:AL$73,MATCH($A45,SET!$A$8:$A$73,0))&amp;"","")</f>
        <v/>
      </c>
      <c r="I45" s="115" t="inlineStr">
        <is>
          <t>M</t>
        </is>
      </c>
      <c r="J45" s="114" t="n"/>
      <c r="K45" s="125" t="inlineStr">
        <is>
          <t>N</t>
        </is>
      </c>
      <c r="L45" s="114" t="n"/>
      <c r="M45" s="115" t="inlineStr">
        <is>
          <t>M</t>
        </is>
      </c>
      <c r="N45" s="115" t="inlineStr">
        <is>
          <t>M</t>
        </is>
      </c>
      <c r="O45" s="114" t="n"/>
      <c r="P45" s="115" t="inlineStr">
        <is>
          <t>M</t>
        </is>
      </c>
      <c r="Q45" s="126" t="inlineStr">
        <is>
          <t>T</t>
        </is>
      </c>
      <c r="R45" s="114" t="n"/>
      <c r="S45" s="114" t="n"/>
      <c r="T45" s="115" t="inlineStr">
        <is>
          <t>M</t>
        </is>
      </c>
      <c r="U45" s="115" t="inlineStr">
        <is>
          <t>M</t>
        </is>
      </c>
      <c r="V45" s="125" t="inlineStr">
        <is>
          <t>N</t>
        </is>
      </c>
      <c r="W45" s="114" t="n"/>
      <c r="X45" s="114" t="n"/>
      <c r="Y45" s="114" t="n"/>
      <c r="Z45" s="114" t="n"/>
      <c r="AA45" s="114" t="n"/>
      <c r="AB45" s="115" t="inlineStr">
        <is>
          <t>M</t>
        </is>
      </c>
      <c r="AC45" s="114" t="n"/>
      <c r="AD45" s="115" t="inlineStr">
        <is>
          <t>M</t>
        </is>
      </c>
      <c r="AE45" s="114" t="n"/>
      <c r="AF45" s="125" t="inlineStr">
        <is>
          <t>N</t>
        </is>
      </c>
      <c r="AG45" s="114" t="n"/>
      <c r="AH45" s="115" t="inlineStr">
        <is>
          <t>M</t>
        </is>
      </c>
      <c r="AI45" s="115" t="inlineStr">
        <is>
          <t>M</t>
        </is>
      </c>
      <c r="AJ45" s="114" t="n"/>
      <c r="AK45" s="114" t="n"/>
      <c r="AL45" s="115" t="inlineStr">
        <is>
          <t>M</t>
        </is>
      </c>
      <c r="AM45" s="115" t="inlineStr">
        <is>
          <t>M</t>
        </is>
      </c>
      <c r="AN45" s="116">
        <f>IFERROR(INDEX(NOV!I$8:I$73,MATCH($A45,NOV!$A$8:$A$73,0))&amp;"","")</f>
        <v/>
      </c>
      <c r="AO45" s="100" t="n"/>
      <c r="AP45" s="100" t="n"/>
      <c r="AQ45" s="100" t="n"/>
      <c r="AR45" s="100" t="n"/>
      <c r="AS45" s="100" t="n"/>
      <c r="AT45" s="117">
        <f>SUMPRODUCT(($F45:$L45="M")*6+($F45:$L45="T")*6+($F45:$L45="D")*12+($F45:$L45="N")*12+($F45:$L45="NT")*6+($F45:$L45="C")*10+($F45:$L45="A")*8+($F45:$L45="J")*5+($F45:$L45="CEP")*4+($F45:$L45="CP")*6+($F45:$L45="CRO")*6+($F45:$L45="M+")*6+($F45:$L45="T+")*6+($F45:$L45="D+")*12+($F45:$L45="N+")*12+($F45:$L45="Dm+")*12+($F45:$L45="Dt+")*12+($F45:$L45="Tm-")*6+($F45:$L45="Mt-")*6)</f>
        <v/>
      </c>
      <c r="AU45" s="118">
        <f>AT45-MAX(0,IFERROR(INDEX(CADASTRO!$I$4:$I$80,MATCH($A45,CADASTRO!$A$4:$A$80,0)),$B45)-CONFIG!$B$50*(COUNTIF($F45:$L45,"AB")+COUNTIF($F45:$L45,"FE")+COUNTIF($F45:$L45,"LM")))</f>
        <v/>
      </c>
      <c r="AV45" s="117">
        <f>SUMPRODUCT(($M45:$S45="M")*6+($M45:$S45="T")*6+($M45:$S45="D")*12+($M45:$S45="N")*12+($M45:$S45="NT")*6+($M45:$S45="C")*10+($M45:$S45="A")*8+($M45:$S45="J")*5+($M45:$S45="CEP")*4+($M45:$S45="CP")*6+($M45:$S45="CRO")*6+($M45:$S45="M+")*6+($M45:$S45="T+")*6+($M45:$S45="D+")*12+($M45:$S45="N+")*12+($M45:$S45="Dm+")*12+($M45:$S45="Dt+")*12+($M45:$S45="Tm-")*6+($M45:$S45="Mt-")*6)</f>
        <v/>
      </c>
      <c r="AW45" s="118">
        <f>AV45-MAX(0,IFERROR(INDEX(CADASTRO!$I$4:$I$80,MATCH($A45,CADASTRO!$A$4:$A$80,0)),$B45)-CONFIG!$B$50*(COUNTIF($M45:$S45,"AB")+COUNTIF($M45:$S45,"FE")+COUNTIF($M45:$S45,"LM")))</f>
        <v/>
      </c>
      <c r="AX45" s="117">
        <f>SUMPRODUCT(($T45:$Z45="M")*6+($T45:$Z45="T")*6+($T45:$Z45="D")*12+($T45:$Z45="N")*12+($T45:$Z45="NT")*6+($T45:$Z45="C")*10+($T45:$Z45="A")*8+($T45:$Z45="J")*5+($T45:$Z45="CEP")*4+($T45:$Z45="CP")*6+($T45:$Z45="CRO")*6+($T45:$Z45="M+")*6+($T45:$Z45="T+")*6+($T45:$Z45="D+")*12+($T45:$Z45="N+")*12+($T45:$Z45="Dm+")*12+($T45:$Z45="Dt+")*12+($T45:$Z45="Tm-")*6+($T45:$Z45="Mt-")*6)</f>
        <v/>
      </c>
      <c r="AY45" s="118">
        <f>AX45-MAX(0,IFERROR(INDEX(CADASTRO!$I$4:$I$80,MATCH($A45,CADASTRO!$A$4:$A$80,0)),$B45)-CONFIG!$B$50*(COUNTIF($T45:$Z45,"AB")+COUNTIF($T45:$Z45,"FE")+COUNTIF($T45:$Z45,"LM")))</f>
        <v/>
      </c>
      <c r="AZ45" s="117">
        <f>SUMPRODUCT(($AA45:$AG45="M")*6+($AA45:$AG45="T")*6+($AA45:$AG45="D")*12+($AA45:$AG45="N")*12+($AA45:$AG45="NT")*6+($AA45:$AG45="C")*10+($AA45:$AG45="A")*8+($AA45:$AG45="J")*5+($AA45:$AG45="CEP")*4+($AA45:$AG45="CP")*6+($AA45:$AG45="CRO")*6+($AA45:$AG45="M+")*6+($AA45:$AG45="T+")*6+($AA45:$AG45="D+")*12+($AA45:$AG45="N+")*12+($AA45:$AG45="Dm+")*12+($AA45:$AG45="Dt+")*12+($AA45:$AG45="Tm-")*6+($AA45:$AG45="Mt-")*6)</f>
        <v/>
      </c>
      <c r="BA45" s="118">
        <f>AZ45-MAX(0,IFERROR(INDEX(CADASTRO!$I$4:$I$80,MATCH($A45,CADASTRO!$A$4:$A$80,0)),$B45)-CONFIG!$B$50*(COUNTIF($AA45:$AG45,"AB")+COUNTIF($AA45:$AG45,"FE")+COUNTIF($AA45:$AG45,"LM")))</f>
        <v/>
      </c>
      <c r="BB45" s="117">
        <f>SUMPRODUCT(($AH45:$AM45="M")*6+($AH45:$AM45="T")*6+($AH45:$AM45="D")*12+($AH45:$AM45="N")*12+($AH45:$AM45="NT")*6+($AH45:$AM45="C")*10+($AH45:$AM45="A")*8+($AH45:$AM45="J")*5+($AH45:$AM45="CEP")*4+($AH45:$AM45="CP")*6+($AH45:$AM45="CRO")*6+($AH45:$AM45="M+")*6+($AH45:$AM45="T+")*6+($AH45:$AM45="D+")*12+($AH45:$AM45="N+")*12+($AH45:$AM45="Dm+")*12+($AH45:$AM45="Dt+")*12+($AH45:$AM45="Tm-")*6+($AH45:$AM45="Mt-")*6)+SUMPRODUCT(($AN45:$AN45="M")*6+($AN45:$AN45="T")*6+($AN45:$AN45="D")*12+($AN45:$AN45="N")*12+($AN45:$AN45="NT")*6+($AN45:$AN45="C")*10+($AN45:$AN45="A")*8+($AN45:$AN45="J")*5+($AN45:$AN45="CEP")*4+($AN45:$AN45="CP")*6+($AN45:$AN45="CRO")*6+($AN45:$AN45="M+")*6+($AN45:$AN45="T+")*6+($AN45:$AN45="D+")*12+($AN45:$AN45="N+")*12+($AN45:$AN45="Dm+")*12+($AN45:$AN45="Dt+")*12+($AN45:$AN45="Tm-")*6+($AN45:$AN45="Mt-")*6)</f>
        <v/>
      </c>
      <c r="BC45" s="118">
        <f>BB45-MAX(0,IFERROR(INDEX(CADASTRO!$I$4:$I$80,MATCH($A45,CADASTRO!$A$4:$A$80,0)),$B45)-CONFIG!$B$50*(COUNTIF($AH45:$AM45,"AB")+COUNTIF($AH45:$AM45,"FE")+COUNTIF($AH45:$AM45,"LM")+COUNTIF($AN45:$AN45,"AB")+COUNTIF($AN45:$AN45,"FE")+COUNTIF($AN45:$AN45,"LM")))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36">
        <f>IFERROR(INDEX(SET!AJ$8:AJ$73,MATCH($A46,SET!$A$8:$A$73,0))&amp;"","")</f>
        <v/>
      </c>
      <c r="G46" s="136">
        <f>IFERROR(INDEX(SET!AK$8:AK$73,MATCH($A46,SET!$A$8:$A$73,0))&amp;"","")</f>
        <v/>
      </c>
      <c r="H46" s="136">
        <f>IFERROR(INDEX(SET!AL$8:AL$73,MATCH($A46,SET!$A$8:$A$73,0))&amp;"","")</f>
        <v/>
      </c>
      <c r="I46" s="114" t="n"/>
      <c r="J46" s="114" t="n"/>
      <c r="K46" s="114" t="n"/>
      <c r="L46" s="125" t="inlineStr">
        <is>
          <t>N</t>
        </is>
      </c>
      <c r="M46" s="114" t="n"/>
      <c r="N46" s="114" t="n"/>
      <c r="O46" s="124" t="inlineStr">
        <is>
          <t>D</t>
        </is>
      </c>
      <c r="P46" s="114" t="n"/>
      <c r="Q46" s="125" t="inlineStr">
        <is>
          <t>N</t>
        </is>
      </c>
      <c r="R46" s="114" t="n"/>
      <c r="S46" s="114" t="n"/>
      <c r="T46" s="114" t="n"/>
      <c r="U46" s="114" t="n"/>
      <c r="V46" s="124" t="inlineStr">
        <is>
          <t>D</t>
        </is>
      </c>
      <c r="W46" s="114" t="n"/>
      <c r="X46" s="114" t="n"/>
      <c r="Y46" s="114" t="n"/>
      <c r="Z46" s="124" t="inlineStr">
        <is>
          <t>D</t>
        </is>
      </c>
      <c r="AA46" s="114" t="n"/>
      <c r="AB46" s="114" t="n"/>
      <c r="AC46" s="124" t="inlineStr">
        <is>
          <t>D</t>
        </is>
      </c>
      <c r="AD46" s="114" t="n"/>
      <c r="AE46" s="125" t="inlineStr">
        <is>
          <t>N</t>
        </is>
      </c>
      <c r="AF46" s="114" t="n"/>
      <c r="AG46" s="114" t="n"/>
      <c r="AH46" s="114" t="n"/>
      <c r="AI46" s="114" t="n"/>
      <c r="AJ46" s="124" t="inlineStr">
        <is>
          <t>D</t>
        </is>
      </c>
      <c r="AK46" s="114" t="n"/>
      <c r="AL46" s="126" t="inlineStr">
        <is>
          <t>T</t>
        </is>
      </c>
      <c r="AM46" s="114" t="n"/>
      <c r="AN46" s="116">
        <f>IFERROR(INDEX(NOV!I$8:I$73,MATCH($A46,NOV!$A$8:$A$73,0))&amp;"","")</f>
        <v/>
      </c>
      <c r="AO46" s="100" t="n"/>
      <c r="AP46" s="100" t="n"/>
      <c r="AQ46" s="100" t="n"/>
      <c r="AR46" s="100" t="n"/>
      <c r="AS46" s="100" t="n"/>
      <c r="AT46" s="117">
        <f>SUMPRODUCT(($F46:$L46="M")*6+($F46:$L46="T")*6+($F46:$L46="D")*12+($F46:$L46="N")*12+($F46:$L46="NT")*6+($F46:$L46="C")*10+($F46:$L46="A")*8+($F46:$L46="J")*5+($F46:$L46="CEP")*4+($F46:$L46="CP")*6+($F46:$L46="CRO")*6+($F46:$L46="M+")*6+($F46:$L46="T+")*6+($F46:$L46="D+")*12+($F46:$L46="N+")*12+($F46:$L46="Dm+")*12+($F46:$L46="Dt+")*12+($F46:$L46="Tm-")*6+($F46:$L46="Mt-")*6)</f>
        <v/>
      </c>
      <c r="AU46" s="118">
        <f>AT46-MAX(0,IFERROR(INDEX(CADASTRO!$I$4:$I$80,MATCH($A46,CADASTRO!$A$4:$A$80,0)),$B46)-CONFIG!$B$50*(COUNTIF($F46:$L46,"AB")+COUNTIF($F46:$L46,"FE")+COUNTIF($F46:$L46,"LM")))</f>
        <v/>
      </c>
      <c r="AV46" s="117">
        <f>SUMPRODUCT(($M46:$S46="M")*6+($M46:$S46="T")*6+($M46:$S46="D")*12+($M46:$S46="N")*12+($M46:$S46="NT")*6+($M46:$S46="C")*10+($M46:$S46="A")*8+($M46:$S46="J")*5+($M46:$S46="CEP")*4+($M46:$S46="CP")*6+($M46:$S46="CRO")*6+($M46:$S46="M+")*6+($M46:$S46="T+")*6+($M46:$S46="D+")*12+($M46:$S46="N+")*12+($M46:$S46="Dm+")*12+($M46:$S46="Dt+")*12+($M46:$S46="Tm-")*6+($M46:$S46="Mt-")*6)</f>
        <v/>
      </c>
      <c r="AW46" s="118">
        <f>AV46-MAX(0,IFERROR(INDEX(CADASTRO!$I$4:$I$80,MATCH($A46,CADASTRO!$A$4:$A$80,0)),$B46)-CONFIG!$B$50*(COUNTIF($M46:$S46,"AB")+COUNTIF($M46:$S46,"FE")+COUNTIF($M46:$S46,"LM")))</f>
        <v/>
      </c>
      <c r="AX46" s="117">
        <f>SUMPRODUCT(($T46:$Z46="M")*6+($T46:$Z46="T")*6+($T46:$Z46="D")*12+($T46:$Z46="N")*12+($T46:$Z46="NT")*6+($T46:$Z46="C")*10+($T46:$Z46="A")*8+($T46:$Z46="J")*5+($T46:$Z46="CEP")*4+($T46:$Z46="CP")*6+($T46:$Z46="CRO")*6+($T46:$Z46="M+")*6+($T46:$Z46="T+")*6+($T46:$Z46="D+")*12+($T46:$Z46="N+")*12+($T46:$Z46="Dm+")*12+($T46:$Z46="Dt+")*12+($T46:$Z46="Tm-")*6+($T46:$Z46="Mt-")*6)</f>
        <v/>
      </c>
      <c r="AY46" s="118">
        <f>AX46-MAX(0,IFERROR(INDEX(CADASTRO!$I$4:$I$80,MATCH($A46,CADASTRO!$A$4:$A$80,0)),$B46)-CONFIG!$B$50*(COUNTIF($T46:$Z46,"AB")+COUNTIF($T46:$Z46,"FE")+COUNTIF($T46:$Z46,"LM")))</f>
        <v/>
      </c>
      <c r="AZ46" s="117">
        <f>SUMPRODUCT(($AA46:$AG46="M")*6+($AA46:$AG46="T")*6+($AA46:$AG46="D")*12+($AA46:$AG46="N")*12+($AA46:$AG46="NT")*6+($AA46:$AG46="C")*10+($AA46:$AG46="A")*8+($AA46:$AG46="J")*5+($AA46:$AG46="CEP")*4+($AA46:$AG46="CP")*6+($AA46:$AG46="CRO")*6+($AA46:$AG46="M+")*6+($AA46:$AG46="T+")*6+($AA46:$AG46="D+")*12+($AA46:$AG46="N+")*12+($AA46:$AG46="Dm+")*12+($AA46:$AG46="Dt+")*12+($AA46:$AG46="Tm-")*6+($AA46:$AG46="Mt-")*6)</f>
        <v/>
      </c>
      <c r="BA46" s="118">
        <f>AZ46-MAX(0,IFERROR(INDEX(CADASTRO!$I$4:$I$80,MATCH($A46,CADASTRO!$A$4:$A$80,0)),$B46)-CONFIG!$B$50*(COUNTIF($AA46:$AG46,"AB")+COUNTIF($AA46:$AG46,"FE")+COUNTIF($AA46:$AG46,"LM")))</f>
        <v/>
      </c>
      <c r="BB46" s="117">
        <f>SUMPRODUCT(($AH46:$AM46="M")*6+($AH46:$AM46="T")*6+($AH46:$AM46="D")*12+($AH46:$AM46="N")*12+($AH46:$AM46="NT")*6+($AH46:$AM46="C")*10+($AH46:$AM46="A")*8+($AH46:$AM46="J")*5+($AH46:$AM46="CEP")*4+($AH46:$AM46="CP")*6+($AH46:$AM46="CRO")*6+($AH46:$AM46="M+")*6+($AH46:$AM46="T+")*6+($AH46:$AM46="D+")*12+($AH46:$AM46="N+")*12+($AH46:$AM46="Dm+")*12+($AH46:$AM46="Dt+")*12+($AH46:$AM46="Tm-")*6+($AH46:$AM46="Mt-")*6)+SUMPRODUCT(($AN46:$AN46="M")*6+($AN46:$AN46="T")*6+($AN46:$AN46="D")*12+($AN46:$AN46="N")*12+($AN46:$AN46="NT")*6+($AN46:$AN46="C")*10+($AN46:$AN46="A")*8+($AN46:$AN46="J")*5+($AN46:$AN46="CEP")*4+($AN46:$AN46="CP")*6+($AN46:$AN46="CRO")*6+($AN46:$AN46="M+")*6+($AN46:$AN46="T+")*6+($AN46:$AN46="D+")*12+($AN46:$AN46="N+")*12+($AN46:$AN46="Dm+")*12+($AN46:$AN46="Dt+")*12+($AN46:$AN46="Tm-")*6+($AN46:$AN46="Mt-")*6)</f>
        <v/>
      </c>
      <c r="BC46" s="118">
        <f>BB46-MAX(0,IFERROR(INDEX(CADASTRO!$I$4:$I$80,MATCH($A46,CADASTRO!$A$4:$A$80,0)),$B46)-CONFIG!$B$50*(COUNTIF($AH46:$AM46,"AB")+COUNTIF($AH46:$AM46,"FE")+COUNTIF($AH46:$AM46,"LM")+COUNTIF($AN46:$AN46,"AB")+COUNTIF($AN46:$AN46,"FE")+COUNTIF($AN46:$AN46,"LM")))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36">
        <f>IFERROR(INDEX(SET!AJ$8:AJ$73,MATCH($A47,SET!$A$8:$A$73,0))&amp;"","")</f>
        <v/>
      </c>
      <c r="G47" s="136">
        <f>IFERROR(INDEX(SET!AK$8:AK$73,MATCH($A47,SET!$A$8:$A$73,0))&amp;"","")</f>
        <v/>
      </c>
      <c r="H47" s="136">
        <f>IFERROR(INDEX(SET!AL$8:AL$73,MATCH($A47,SET!$A$8:$A$73,0))&amp;"","")</f>
        <v/>
      </c>
      <c r="I47" s="124" t="inlineStr">
        <is>
          <t>D</t>
        </is>
      </c>
      <c r="J47" s="114" t="n"/>
      <c r="K47" s="114" t="n"/>
      <c r="L47" s="114" t="n"/>
      <c r="M47" s="125" t="inlineStr">
        <is>
          <t>N</t>
        </is>
      </c>
      <c r="N47" s="114" t="n"/>
      <c r="O47" s="114" t="n"/>
      <c r="P47" s="124" t="inlineStr">
        <is>
          <t>D</t>
        </is>
      </c>
      <c r="Q47" s="114" t="n"/>
      <c r="R47" s="114" t="n"/>
      <c r="S47" s="114" t="n"/>
      <c r="T47" s="114" t="n"/>
      <c r="U47" s="125" t="inlineStr">
        <is>
          <t>N</t>
        </is>
      </c>
      <c r="V47" s="114" t="n"/>
      <c r="W47" s="114" t="n"/>
      <c r="X47" s="125" t="inlineStr">
        <is>
          <t>N</t>
        </is>
      </c>
      <c r="Y47" s="114" t="n"/>
      <c r="Z47" s="114" t="n"/>
      <c r="AA47" s="115" t="inlineStr">
        <is>
          <t>M</t>
        </is>
      </c>
      <c r="AB47" s="114" t="n"/>
      <c r="AC47" s="114" t="n"/>
      <c r="AD47" s="114" t="n"/>
      <c r="AE47" s="114" t="n"/>
      <c r="AF47" s="126" t="inlineStr">
        <is>
          <t>T</t>
        </is>
      </c>
      <c r="AG47" s="124" t="inlineStr">
        <is>
          <t>D</t>
        </is>
      </c>
      <c r="AH47" s="114" t="n"/>
      <c r="AI47" s="125" t="inlineStr">
        <is>
          <t>N</t>
        </is>
      </c>
      <c r="AJ47" s="114" t="n"/>
      <c r="AK47" s="124" t="inlineStr">
        <is>
          <t>D</t>
        </is>
      </c>
      <c r="AL47" s="114" t="n"/>
      <c r="AM47" s="114" t="n"/>
      <c r="AN47" s="116">
        <f>IFERROR(INDEX(NOV!I$8:I$73,MATCH($A47,NOV!$A$8:$A$73,0))&amp;"","")</f>
        <v/>
      </c>
      <c r="AO47" s="100" t="n"/>
      <c r="AP47" s="100" t="n"/>
      <c r="AQ47" s="100" t="n"/>
      <c r="AR47" s="100" t="n"/>
      <c r="AS47" s="100" t="n"/>
      <c r="AT47" s="117">
        <f>SUMPRODUCT(($F47:$L47="M")*6+($F47:$L47="T")*6+($F47:$L47="D")*12+($F47:$L47="N")*12+($F47:$L47="NT")*6+($F47:$L47="C")*10+($F47:$L47="A")*8+($F47:$L47="J")*5+($F47:$L47="CEP")*4+($F47:$L47="CP")*6+($F47:$L47="CRO")*6+($F47:$L47="M+")*6+($F47:$L47="T+")*6+($F47:$L47="D+")*12+($F47:$L47="N+")*12+($F47:$L47="Dm+")*12+($F47:$L47="Dt+")*12+($F47:$L47="Tm-")*6+($F47:$L47="Mt-")*6)</f>
        <v/>
      </c>
      <c r="AU47" s="118">
        <f>AT47-MAX(0,IFERROR(INDEX(CADASTRO!$I$4:$I$80,MATCH($A47,CADASTRO!$A$4:$A$80,0)),$B47)-CONFIG!$B$50*(COUNTIF($F47:$L47,"AB")+COUNTIF($F47:$L47,"FE")+COUNTIF($F47:$L47,"LM")))</f>
        <v/>
      </c>
      <c r="AV47" s="117">
        <f>SUMPRODUCT(($M47:$S47="M")*6+($M47:$S47="T")*6+($M47:$S47="D")*12+($M47:$S47="N")*12+($M47:$S47="NT")*6+($M47:$S47="C")*10+($M47:$S47="A")*8+($M47:$S47="J")*5+($M47:$S47="CEP")*4+($M47:$S47="CP")*6+($M47:$S47="CRO")*6+($M47:$S47="M+")*6+($M47:$S47="T+")*6+($M47:$S47="D+")*12+($M47:$S47="N+")*12+($M47:$S47="Dm+")*12+($M47:$S47="Dt+")*12+($M47:$S47="Tm-")*6+($M47:$S47="Mt-")*6)</f>
        <v/>
      </c>
      <c r="AW47" s="118">
        <f>AV47-MAX(0,IFERROR(INDEX(CADASTRO!$I$4:$I$80,MATCH($A47,CADASTRO!$A$4:$A$80,0)),$B47)-CONFIG!$B$50*(COUNTIF($M47:$S47,"AB")+COUNTIF($M47:$S47,"FE")+COUNTIF($M47:$S47,"LM")))</f>
        <v/>
      </c>
      <c r="AX47" s="117">
        <f>SUMPRODUCT(($T47:$Z47="M")*6+($T47:$Z47="T")*6+($T47:$Z47="D")*12+($T47:$Z47="N")*12+($T47:$Z47="NT")*6+($T47:$Z47="C")*10+($T47:$Z47="A")*8+($T47:$Z47="J")*5+($T47:$Z47="CEP")*4+($T47:$Z47="CP")*6+($T47:$Z47="CRO")*6+($T47:$Z47="M+")*6+($T47:$Z47="T+")*6+($T47:$Z47="D+")*12+($T47:$Z47="N+")*12+($T47:$Z47="Dm+")*12+($T47:$Z47="Dt+")*12+($T47:$Z47="Tm-")*6+($T47:$Z47="Mt-")*6)</f>
        <v/>
      </c>
      <c r="AY47" s="118">
        <f>AX47-MAX(0,IFERROR(INDEX(CADASTRO!$I$4:$I$80,MATCH($A47,CADASTRO!$A$4:$A$80,0)),$B47)-CONFIG!$B$50*(COUNTIF($T47:$Z47,"AB")+COUNTIF($T47:$Z47,"FE")+COUNTIF($T47:$Z47,"LM")))</f>
        <v/>
      </c>
      <c r="AZ47" s="117">
        <f>SUMPRODUCT(($AA47:$AG47="M")*6+($AA47:$AG47="T")*6+($AA47:$AG47="D")*12+($AA47:$AG47="N")*12+($AA47:$AG47="NT")*6+($AA47:$AG47="C")*10+($AA47:$AG47="A")*8+($AA47:$AG47="J")*5+($AA47:$AG47="CEP")*4+($AA47:$AG47="CP")*6+($AA47:$AG47="CRO")*6+($AA47:$AG47="M+")*6+($AA47:$AG47="T+")*6+($AA47:$AG47="D+")*12+($AA47:$AG47="N+")*12+($AA47:$AG47="Dm+")*12+($AA47:$AG47="Dt+")*12+($AA47:$AG47="Tm-")*6+($AA47:$AG47="Mt-")*6)</f>
        <v/>
      </c>
      <c r="BA47" s="118">
        <f>AZ47-MAX(0,IFERROR(INDEX(CADASTRO!$I$4:$I$80,MATCH($A47,CADASTRO!$A$4:$A$80,0)),$B47)-CONFIG!$B$50*(COUNTIF($AA47:$AG47,"AB")+COUNTIF($AA47:$AG47,"FE")+COUNTIF($AA47:$AG47,"LM")))</f>
        <v/>
      </c>
      <c r="BB47" s="117">
        <f>SUMPRODUCT(($AH47:$AM47="M")*6+($AH47:$AM47="T")*6+($AH47:$AM47="D")*12+($AH47:$AM47="N")*12+($AH47:$AM47="NT")*6+($AH47:$AM47="C")*10+($AH47:$AM47="A")*8+($AH47:$AM47="J")*5+($AH47:$AM47="CEP")*4+($AH47:$AM47="CP")*6+($AH47:$AM47="CRO")*6+($AH47:$AM47="M+")*6+($AH47:$AM47="T+")*6+($AH47:$AM47="D+")*12+($AH47:$AM47="N+")*12+($AH47:$AM47="Dm+")*12+($AH47:$AM47="Dt+")*12+($AH47:$AM47="Tm-")*6+($AH47:$AM47="Mt-")*6)+SUMPRODUCT(($AN47:$AN47="M")*6+($AN47:$AN47="T")*6+($AN47:$AN47="D")*12+($AN47:$AN47="N")*12+($AN47:$AN47="NT")*6+($AN47:$AN47="C")*10+($AN47:$AN47="A")*8+($AN47:$AN47="J")*5+($AN47:$AN47="CEP")*4+($AN47:$AN47="CP")*6+($AN47:$AN47="CRO")*6+($AN47:$AN47="M+")*6+($AN47:$AN47="T+")*6+($AN47:$AN47="D+")*12+($AN47:$AN47="N+")*12+($AN47:$AN47="Dm+")*12+($AN47:$AN47="Dt+")*12+($AN47:$AN47="Tm-")*6+($AN47:$AN47="Mt-")*6)</f>
        <v/>
      </c>
      <c r="BC47" s="118">
        <f>BB47-MAX(0,IFERROR(INDEX(CADASTRO!$I$4:$I$80,MATCH($A47,CADASTRO!$A$4:$A$80,0)),$B47)-CONFIG!$B$50*(COUNTIF($AH47:$AM47,"AB")+COUNTIF($AH47:$AM47,"FE")+COUNTIF($AH47:$AM47,"LM")+COUNTIF($AN47:$AN47,"AB")+COUNTIF($AN47:$AN47,"FE")+COUNTIF($AN47:$AN47,"LM")))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36">
        <f>IFERROR(INDEX(SET!AJ$8:AJ$73,MATCH($A48,SET!$A$8:$A$73,0))&amp;"","")</f>
        <v/>
      </c>
      <c r="G48" s="136">
        <f>IFERROR(INDEX(SET!AK$8:AK$73,MATCH($A48,SET!$A$8:$A$73,0))&amp;"","")</f>
        <v/>
      </c>
      <c r="H48" s="136">
        <f>IFERROR(INDEX(SET!AL$8:AL$73,MATCH($A48,SET!$A$8:$A$73,0))&amp;"","")</f>
        <v/>
      </c>
      <c r="I48" s="114" t="n"/>
      <c r="J48" s="125" t="inlineStr">
        <is>
          <t>N</t>
        </is>
      </c>
      <c r="K48" s="114" t="n"/>
      <c r="L48" s="115" t="inlineStr">
        <is>
          <t>M</t>
        </is>
      </c>
      <c r="M48" s="114" t="n"/>
      <c r="N48" s="115" t="inlineStr">
        <is>
          <t>M</t>
        </is>
      </c>
      <c r="O48" s="114" t="n"/>
      <c r="P48" s="115" t="inlineStr">
        <is>
          <t>M</t>
        </is>
      </c>
      <c r="Q48" s="115" t="inlineStr">
        <is>
          <t>M</t>
        </is>
      </c>
      <c r="R48" s="115" t="inlineStr">
        <is>
          <t>M</t>
        </is>
      </c>
      <c r="S48" s="114" t="n"/>
      <c r="T48" s="114" t="n"/>
      <c r="U48" s="115" t="inlineStr">
        <is>
          <t>M</t>
        </is>
      </c>
      <c r="V48" s="114" t="n"/>
      <c r="W48" s="115" t="inlineStr">
        <is>
          <t>M</t>
        </is>
      </c>
      <c r="X48" s="126" t="inlineStr">
        <is>
          <t>T</t>
        </is>
      </c>
      <c r="Y48" s="115" t="inlineStr">
        <is>
          <t>M</t>
        </is>
      </c>
      <c r="Z48" s="114" t="n"/>
      <c r="AA48" s="114" t="n"/>
      <c r="AB48" s="126" t="inlineStr">
        <is>
          <t>T</t>
        </is>
      </c>
      <c r="AC48" s="114" t="n"/>
      <c r="AD48" s="115" t="inlineStr">
        <is>
          <t>M</t>
        </is>
      </c>
      <c r="AE48" s="115" t="inlineStr">
        <is>
          <t>M</t>
        </is>
      </c>
      <c r="AF48" s="115" t="inlineStr">
        <is>
          <t>M</t>
        </is>
      </c>
      <c r="AG48" s="114" t="n"/>
      <c r="AH48" s="114" t="n"/>
      <c r="AI48" s="115" t="inlineStr">
        <is>
          <t>M</t>
        </is>
      </c>
      <c r="AJ48" s="114" t="n"/>
      <c r="AK48" s="115" t="inlineStr">
        <is>
          <t>M</t>
        </is>
      </c>
      <c r="AL48" s="114" t="n"/>
      <c r="AM48" s="124" t="inlineStr">
        <is>
          <t>D</t>
        </is>
      </c>
      <c r="AN48" s="116">
        <f>IFERROR(INDEX(NOV!I$8:I$73,MATCH($A48,NOV!$A$8:$A$73,0))&amp;"","")</f>
        <v/>
      </c>
      <c r="AO48" s="100" t="n"/>
      <c r="AP48" s="100" t="n"/>
      <c r="AQ48" s="100" t="n"/>
      <c r="AR48" s="100" t="n"/>
      <c r="AS48" s="100" t="n"/>
      <c r="AT48" s="117">
        <f>SUMPRODUCT(($F48:$L48="M")*6+($F48:$L48="T")*6+($F48:$L48="D")*12+($F48:$L48="N")*12+($F48:$L48="NT")*6+($F48:$L48="C")*10+($F48:$L48="A")*8+($F48:$L48="J")*5+($F48:$L48="CEP")*4+($F48:$L48="CP")*6+($F48:$L48="CRO")*6+($F48:$L48="M+")*6+($F48:$L48="T+")*6+($F48:$L48="D+")*12+($F48:$L48="N+")*12+($F48:$L48="Dm+")*12+($F48:$L48="Dt+")*12+($F48:$L48="Tm-")*6+($F48:$L48="Mt-")*6)</f>
        <v/>
      </c>
      <c r="AU48" s="118">
        <f>AT48-MAX(0,IFERROR(INDEX(CADASTRO!$I$4:$I$80,MATCH($A48,CADASTRO!$A$4:$A$80,0)),$B48)-CONFIG!$B$50*(COUNTIF($F48:$L48,"AB")+COUNTIF($F48:$L48,"FE")+COUNTIF($F48:$L48,"LM")))</f>
        <v/>
      </c>
      <c r="AV48" s="117">
        <f>SUMPRODUCT(($M48:$S48="M")*6+($M48:$S48="T")*6+($M48:$S48="D")*12+($M48:$S48="N")*12+($M48:$S48="NT")*6+($M48:$S48="C")*10+($M48:$S48="A")*8+($M48:$S48="J")*5+($M48:$S48="CEP")*4+($M48:$S48="CP")*6+($M48:$S48="CRO")*6+($M48:$S48="M+")*6+($M48:$S48="T+")*6+($M48:$S48="D+")*12+($M48:$S48="N+")*12+($M48:$S48="Dm+")*12+($M48:$S48="Dt+")*12+($M48:$S48="Tm-")*6+($M48:$S48="Mt-")*6)</f>
        <v/>
      </c>
      <c r="AW48" s="118">
        <f>AV48-MAX(0,IFERROR(INDEX(CADASTRO!$I$4:$I$80,MATCH($A48,CADASTRO!$A$4:$A$80,0)),$B48)-CONFIG!$B$50*(COUNTIF($M48:$S48,"AB")+COUNTIF($M48:$S48,"FE")+COUNTIF($M48:$S48,"LM")))</f>
        <v/>
      </c>
      <c r="AX48" s="117">
        <f>SUMPRODUCT(($T48:$Z48="M")*6+($T48:$Z48="T")*6+($T48:$Z48="D")*12+($T48:$Z48="N")*12+($T48:$Z48="NT")*6+($T48:$Z48="C")*10+($T48:$Z48="A")*8+($T48:$Z48="J")*5+($T48:$Z48="CEP")*4+($T48:$Z48="CP")*6+($T48:$Z48="CRO")*6+($T48:$Z48="M+")*6+($T48:$Z48="T+")*6+($T48:$Z48="D+")*12+($T48:$Z48="N+")*12+($T48:$Z48="Dm+")*12+($T48:$Z48="Dt+")*12+($T48:$Z48="Tm-")*6+($T48:$Z48="Mt-")*6)</f>
        <v/>
      </c>
      <c r="AY48" s="118">
        <f>AX48-MAX(0,IFERROR(INDEX(CADASTRO!$I$4:$I$80,MATCH($A48,CADASTRO!$A$4:$A$80,0)),$B48)-CONFIG!$B$50*(COUNTIF($T48:$Z48,"AB")+COUNTIF($T48:$Z48,"FE")+COUNTIF($T48:$Z48,"LM")))</f>
        <v/>
      </c>
      <c r="AZ48" s="117">
        <f>SUMPRODUCT(($AA48:$AG48="M")*6+($AA48:$AG48="T")*6+($AA48:$AG48="D")*12+($AA48:$AG48="N")*12+($AA48:$AG48="NT")*6+($AA48:$AG48="C")*10+($AA48:$AG48="A")*8+($AA48:$AG48="J")*5+($AA48:$AG48="CEP")*4+($AA48:$AG48="CP")*6+($AA48:$AG48="CRO")*6+($AA48:$AG48="M+")*6+($AA48:$AG48="T+")*6+($AA48:$AG48="D+")*12+($AA48:$AG48="N+")*12+($AA48:$AG48="Dm+")*12+($AA48:$AG48="Dt+")*12+($AA48:$AG48="Tm-")*6+($AA48:$AG48="Mt-")*6)</f>
        <v/>
      </c>
      <c r="BA48" s="118">
        <f>AZ48-MAX(0,IFERROR(INDEX(CADASTRO!$I$4:$I$80,MATCH($A48,CADASTRO!$A$4:$A$80,0)),$B48)-CONFIG!$B$50*(COUNTIF($AA48:$AG48,"AB")+COUNTIF($AA48:$AG48,"FE")+COUNTIF($AA48:$AG48,"LM")))</f>
        <v/>
      </c>
      <c r="BB48" s="117">
        <f>SUMPRODUCT(($AH48:$AM48="M")*6+($AH48:$AM48="T")*6+($AH48:$AM48="D")*12+($AH48:$AM48="N")*12+($AH48:$AM48="NT")*6+($AH48:$AM48="C")*10+($AH48:$AM48="A")*8+($AH48:$AM48="J")*5+($AH48:$AM48="CEP")*4+($AH48:$AM48="CP")*6+($AH48:$AM48="CRO")*6+($AH48:$AM48="M+")*6+($AH48:$AM48="T+")*6+($AH48:$AM48="D+")*12+($AH48:$AM48="N+")*12+($AH48:$AM48="Dm+")*12+($AH48:$AM48="Dt+")*12+($AH48:$AM48="Tm-")*6+($AH48:$AM48="Mt-")*6)+SUMPRODUCT(($AN48:$AN48="M")*6+($AN48:$AN48="T")*6+($AN48:$AN48="D")*12+($AN48:$AN48="N")*12+($AN48:$AN48="NT")*6+($AN48:$AN48="C")*10+($AN48:$AN48="A")*8+($AN48:$AN48="J")*5+($AN48:$AN48="CEP")*4+($AN48:$AN48="CP")*6+($AN48:$AN48="CRO")*6+($AN48:$AN48="M+")*6+($AN48:$AN48="T+")*6+($AN48:$AN48="D+")*12+($AN48:$AN48="N+")*12+($AN48:$AN48="Dm+")*12+($AN48:$AN48="Dt+")*12+($AN48:$AN48="Tm-")*6+($AN48:$AN48="Mt-")*6)</f>
        <v/>
      </c>
      <c r="BC48" s="118">
        <f>BB48-MAX(0,IFERROR(INDEX(CADASTRO!$I$4:$I$80,MATCH($A48,CADASTRO!$A$4:$A$80,0)),$B48)-CONFIG!$B$50*(COUNTIF($AH48:$AM48,"AB")+COUNTIF($AH48:$AM48,"FE")+COUNTIF($AH48:$AM48,"LM")+COUNTIF($AN48:$AN48,"AB")+COUNTIF($AN48:$AN48,"FE")+COUNTIF($AN48:$AN48,"LM")))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36">
        <f>IFERROR(INDEX(SET!AJ$8:AJ$73,MATCH($A49,SET!$A$8:$A$73,0))&amp;"","")</f>
        <v/>
      </c>
      <c r="G49" s="136">
        <f>IFERROR(INDEX(SET!AK$8:AK$73,MATCH($A49,SET!$A$8:$A$73,0))&amp;"","")</f>
        <v/>
      </c>
      <c r="H49" s="136">
        <f>IFERROR(INDEX(SET!AL$8:AL$73,MATCH($A49,SET!$A$8:$A$73,0))&amp;"","")</f>
        <v/>
      </c>
      <c r="I49" s="114" t="n"/>
      <c r="J49" s="114" t="n"/>
      <c r="K49" s="115" t="inlineStr">
        <is>
          <t>M</t>
        </is>
      </c>
      <c r="L49" s="114" t="n"/>
      <c r="M49" s="114" t="n"/>
      <c r="N49" s="114" t="n"/>
      <c r="O49" s="124" t="inlineStr">
        <is>
          <t>D</t>
        </is>
      </c>
      <c r="P49" s="114" t="n"/>
      <c r="Q49" s="114" t="n"/>
      <c r="R49" s="114" t="n"/>
      <c r="S49" s="124" t="inlineStr">
        <is>
          <t>D</t>
        </is>
      </c>
      <c r="T49" s="115" t="inlineStr">
        <is>
          <t>M</t>
        </is>
      </c>
      <c r="U49" s="114" t="n"/>
      <c r="V49" s="124" t="inlineStr">
        <is>
          <t>D</t>
        </is>
      </c>
      <c r="W49" s="114" t="n"/>
      <c r="X49" s="114" t="n"/>
      <c r="Y49" s="114" t="n"/>
      <c r="Z49" s="115" t="inlineStr">
        <is>
          <t>M</t>
        </is>
      </c>
      <c r="AA49" s="114" t="n"/>
      <c r="AB49" s="114" t="n"/>
      <c r="AC49" s="124" t="inlineStr">
        <is>
          <t>D</t>
        </is>
      </c>
      <c r="AD49" s="114" t="n"/>
      <c r="AE49" s="125" t="inlineStr">
        <is>
          <t>N</t>
        </is>
      </c>
      <c r="AF49" s="114" t="n"/>
      <c r="AG49" s="114" t="n"/>
      <c r="AH49" s="124" t="inlineStr">
        <is>
          <t>D</t>
        </is>
      </c>
      <c r="AI49" s="114" t="n"/>
      <c r="AJ49" s="124" t="inlineStr">
        <is>
          <t>D</t>
        </is>
      </c>
      <c r="AK49" s="114" t="n"/>
      <c r="AL49" s="114" t="n"/>
      <c r="AM49" s="114" t="n"/>
      <c r="AN49" s="116">
        <f>IFERROR(INDEX(NOV!I$8:I$73,MATCH($A49,NOV!$A$8:$A$73,0))&amp;"","")</f>
        <v/>
      </c>
      <c r="AO49" s="100" t="n"/>
      <c r="AP49" s="100" t="n"/>
      <c r="AQ49" s="100" t="n"/>
      <c r="AR49" s="100" t="n"/>
      <c r="AS49" s="100" t="n"/>
      <c r="AT49" s="117">
        <f>SUMPRODUCT(($F49:$L49="M")*6+($F49:$L49="T")*6+($F49:$L49="D")*12+($F49:$L49="N")*12+($F49:$L49="NT")*6+($F49:$L49="C")*10+($F49:$L49="A")*8+($F49:$L49="J")*5+($F49:$L49="CEP")*4+($F49:$L49="CP")*6+($F49:$L49="CRO")*6+($F49:$L49="M+")*6+($F49:$L49="T+")*6+($F49:$L49="D+")*12+($F49:$L49="N+")*12+($F49:$L49="Dm+")*12+($F49:$L49="Dt+")*12+($F49:$L49="Tm-")*6+($F49:$L49="Mt-")*6)</f>
        <v/>
      </c>
      <c r="AU49" s="118">
        <f>AT49-MAX(0,IFERROR(INDEX(CADASTRO!$I$4:$I$80,MATCH($A49,CADASTRO!$A$4:$A$80,0)),$B49)-CONFIG!$B$50*(COUNTIF($F49:$L49,"AB")+COUNTIF($F49:$L49,"FE")+COUNTIF($F49:$L49,"LM")))</f>
        <v/>
      </c>
      <c r="AV49" s="117">
        <f>SUMPRODUCT(($M49:$S49="M")*6+($M49:$S49="T")*6+($M49:$S49="D")*12+($M49:$S49="N")*12+($M49:$S49="NT")*6+($M49:$S49="C")*10+($M49:$S49="A")*8+($M49:$S49="J")*5+($M49:$S49="CEP")*4+($M49:$S49="CP")*6+($M49:$S49="CRO")*6+($M49:$S49="M+")*6+($M49:$S49="T+")*6+($M49:$S49="D+")*12+($M49:$S49="N+")*12+($M49:$S49="Dm+")*12+($M49:$S49="Dt+")*12+($M49:$S49="Tm-")*6+($M49:$S49="Mt-")*6)</f>
        <v/>
      </c>
      <c r="AW49" s="118">
        <f>AV49-MAX(0,IFERROR(INDEX(CADASTRO!$I$4:$I$80,MATCH($A49,CADASTRO!$A$4:$A$80,0)),$B49)-CONFIG!$B$50*(COUNTIF($M49:$S49,"AB")+COUNTIF($M49:$S49,"FE")+COUNTIF($M49:$S49,"LM")))</f>
        <v/>
      </c>
      <c r="AX49" s="117">
        <f>SUMPRODUCT(($T49:$Z49="M")*6+($T49:$Z49="T")*6+($T49:$Z49="D")*12+($T49:$Z49="N")*12+($T49:$Z49="NT")*6+($T49:$Z49="C")*10+($T49:$Z49="A")*8+($T49:$Z49="J")*5+($T49:$Z49="CEP")*4+($T49:$Z49="CP")*6+($T49:$Z49="CRO")*6+($T49:$Z49="M+")*6+($T49:$Z49="T+")*6+($T49:$Z49="D+")*12+($T49:$Z49="N+")*12+($T49:$Z49="Dm+")*12+($T49:$Z49="Dt+")*12+($T49:$Z49="Tm-")*6+($T49:$Z49="Mt-")*6)</f>
        <v/>
      </c>
      <c r="AY49" s="118">
        <f>AX49-MAX(0,IFERROR(INDEX(CADASTRO!$I$4:$I$80,MATCH($A49,CADASTRO!$A$4:$A$80,0)),$B49)-CONFIG!$B$50*(COUNTIF($T49:$Z49,"AB")+COUNTIF($T49:$Z49,"FE")+COUNTIF($T49:$Z49,"LM")))</f>
        <v/>
      </c>
      <c r="AZ49" s="117">
        <f>SUMPRODUCT(($AA49:$AG49="M")*6+($AA49:$AG49="T")*6+($AA49:$AG49="D")*12+($AA49:$AG49="N")*12+($AA49:$AG49="NT")*6+($AA49:$AG49="C")*10+($AA49:$AG49="A")*8+($AA49:$AG49="J")*5+($AA49:$AG49="CEP")*4+($AA49:$AG49="CP")*6+($AA49:$AG49="CRO")*6+($AA49:$AG49="M+")*6+($AA49:$AG49="T+")*6+($AA49:$AG49="D+")*12+($AA49:$AG49="N+")*12+($AA49:$AG49="Dm+")*12+($AA49:$AG49="Dt+")*12+($AA49:$AG49="Tm-")*6+($AA49:$AG49="Mt-")*6)</f>
        <v/>
      </c>
      <c r="BA49" s="118">
        <f>AZ49-MAX(0,IFERROR(INDEX(CADASTRO!$I$4:$I$80,MATCH($A49,CADASTRO!$A$4:$A$80,0)),$B49)-CONFIG!$B$50*(COUNTIF($AA49:$AG49,"AB")+COUNTIF($AA49:$AG49,"FE")+COUNTIF($AA49:$AG49,"LM")))</f>
        <v/>
      </c>
      <c r="BB49" s="117">
        <f>SUMPRODUCT(($AH49:$AM49="M")*6+($AH49:$AM49="T")*6+($AH49:$AM49="D")*12+($AH49:$AM49="N")*12+($AH49:$AM49="NT")*6+($AH49:$AM49="C")*10+($AH49:$AM49="A")*8+($AH49:$AM49="J")*5+($AH49:$AM49="CEP")*4+($AH49:$AM49="CP")*6+($AH49:$AM49="CRO")*6+($AH49:$AM49="M+")*6+($AH49:$AM49="T+")*6+($AH49:$AM49="D+")*12+($AH49:$AM49="N+")*12+($AH49:$AM49="Dm+")*12+($AH49:$AM49="Dt+")*12+($AH49:$AM49="Tm-")*6+($AH49:$AM49="Mt-")*6)+SUMPRODUCT(($AN49:$AN49="M")*6+($AN49:$AN49="T")*6+($AN49:$AN49="D")*12+($AN49:$AN49="N")*12+($AN49:$AN49="NT")*6+($AN49:$AN49="C")*10+($AN49:$AN49="A")*8+($AN49:$AN49="J")*5+($AN49:$AN49="CEP")*4+($AN49:$AN49="CP")*6+($AN49:$AN49="CRO")*6+($AN49:$AN49="M+")*6+($AN49:$AN49="T+")*6+($AN49:$AN49="D+")*12+($AN49:$AN49="N+")*12+($AN49:$AN49="Dm+")*12+($AN49:$AN49="Dt+")*12+($AN49:$AN49="Tm-")*6+($AN49:$AN49="Mt-")*6)</f>
        <v/>
      </c>
      <c r="BC49" s="118">
        <f>BB49-MAX(0,IFERROR(INDEX(CADASTRO!$I$4:$I$80,MATCH($A49,CADASTRO!$A$4:$A$80,0)),$B49)-CONFIG!$B$50*(COUNTIF($AH49:$AM49,"AB")+COUNTIF($AH49:$AM49,"FE")+COUNTIF($AH49:$AM49,"LM")+COUNTIF($AN49:$AN49,"AB")+COUNTIF($AN49:$AN49,"FE")+COUNTIF($AN49:$AN49,"LM")))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36">
        <f>IFERROR(INDEX(SET!AJ$8:AJ$73,MATCH($A50,SET!$A$8:$A$73,0))&amp;"","")</f>
        <v/>
      </c>
      <c r="G50" s="136">
        <f>IFERROR(INDEX(SET!AK$8:AK$73,MATCH($A50,SET!$A$8:$A$73,0))&amp;"","")</f>
        <v/>
      </c>
      <c r="H50" s="136">
        <f>IFERROR(INDEX(SET!AL$8:AL$73,MATCH($A50,SET!$A$8:$A$73,0))&amp;"","")</f>
        <v/>
      </c>
      <c r="I50" s="114" t="n"/>
      <c r="J50" s="125" t="inlineStr">
        <is>
          <t>N</t>
        </is>
      </c>
      <c r="K50" s="114" t="n"/>
      <c r="L50" s="114" t="n"/>
      <c r="M50" s="114" t="n"/>
      <c r="N50" s="124" t="inlineStr">
        <is>
          <t>D</t>
        </is>
      </c>
      <c r="O50" s="114" t="n"/>
      <c r="P50" s="126" t="inlineStr">
        <is>
          <t>T</t>
        </is>
      </c>
      <c r="Q50" s="114" t="n"/>
      <c r="R50" s="114" t="n"/>
      <c r="S50" s="126" t="inlineStr">
        <is>
          <t>T</t>
        </is>
      </c>
      <c r="T50" s="114" t="n"/>
      <c r="U50" s="124" t="inlineStr">
        <is>
          <t>D</t>
        </is>
      </c>
      <c r="V50" s="114" t="n"/>
      <c r="W50" s="114" t="n"/>
      <c r="X50" s="125" t="inlineStr">
        <is>
          <t>N</t>
        </is>
      </c>
      <c r="Y50" s="114" t="n"/>
      <c r="Z50" s="114" t="n"/>
      <c r="AA50" s="114" t="n"/>
      <c r="AB50" s="114" t="n"/>
      <c r="AC50" s="125" t="inlineStr">
        <is>
          <t>N</t>
        </is>
      </c>
      <c r="AD50" s="114" t="n"/>
      <c r="AE50" s="114" t="n"/>
      <c r="AF50" s="114" t="n"/>
      <c r="AG50" s="125" t="inlineStr">
        <is>
          <t>N</t>
        </is>
      </c>
      <c r="AH50" s="114" t="n"/>
      <c r="AI50" s="126" t="inlineStr">
        <is>
          <t>T</t>
        </is>
      </c>
      <c r="AJ50" s="125" t="inlineStr">
        <is>
          <t>N</t>
        </is>
      </c>
      <c r="AK50" s="114" t="n"/>
      <c r="AL50" s="114" t="n"/>
      <c r="AM50" s="126" t="inlineStr">
        <is>
          <t>T</t>
        </is>
      </c>
      <c r="AN50" s="116">
        <f>IFERROR(INDEX(NOV!I$8:I$73,MATCH($A50,NOV!$A$8:$A$73,0))&amp;"","")</f>
        <v/>
      </c>
      <c r="AO50" s="100" t="n"/>
      <c r="AP50" s="100" t="n"/>
      <c r="AQ50" s="100" t="n"/>
      <c r="AR50" s="100" t="n"/>
      <c r="AS50" s="100" t="n"/>
      <c r="AT50" s="117">
        <f>SUMPRODUCT(($F50:$L50="M")*6+($F50:$L50="T")*6+($F50:$L50="D")*12+($F50:$L50="N")*12+($F50:$L50="NT")*6+($F50:$L50="C")*10+($F50:$L50="A")*8+($F50:$L50="J")*5+($F50:$L50="CEP")*4+($F50:$L50="CP")*6+($F50:$L50="CRO")*6+($F50:$L50="M+")*6+($F50:$L50="T+")*6+($F50:$L50="D+")*12+($F50:$L50="N+")*12+($F50:$L50="Dm+")*12+($F50:$L50="Dt+")*12+($F50:$L50="Tm-")*6+($F50:$L50="Mt-")*6)</f>
        <v/>
      </c>
      <c r="AU50" s="118">
        <f>AT50-MAX(0,IFERROR(INDEX(CADASTRO!$I$4:$I$80,MATCH($A50,CADASTRO!$A$4:$A$80,0)),$B50)-CONFIG!$B$50*(COUNTIF($F50:$L50,"AB")+COUNTIF($F50:$L50,"FE")+COUNTIF($F50:$L50,"LM")))</f>
        <v/>
      </c>
      <c r="AV50" s="117">
        <f>SUMPRODUCT(($M50:$S50="M")*6+($M50:$S50="T")*6+($M50:$S50="D")*12+($M50:$S50="N")*12+($M50:$S50="NT")*6+($M50:$S50="C")*10+($M50:$S50="A")*8+($M50:$S50="J")*5+($M50:$S50="CEP")*4+($M50:$S50="CP")*6+($M50:$S50="CRO")*6+($M50:$S50="M+")*6+($M50:$S50="T+")*6+($M50:$S50="D+")*12+($M50:$S50="N+")*12+($M50:$S50="Dm+")*12+($M50:$S50="Dt+")*12+($M50:$S50="Tm-")*6+($M50:$S50="Mt-")*6)</f>
        <v/>
      </c>
      <c r="AW50" s="118">
        <f>AV50-MAX(0,IFERROR(INDEX(CADASTRO!$I$4:$I$80,MATCH($A50,CADASTRO!$A$4:$A$80,0)),$B50)-CONFIG!$B$50*(COUNTIF($M50:$S50,"AB")+COUNTIF($M50:$S50,"FE")+COUNTIF($M50:$S50,"LM")))</f>
        <v/>
      </c>
      <c r="AX50" s="117">
        <f>SUMPRODUCT(($T50:$Z50="M")*6+($T50:$Z50="T")*6+($T50:$Z50="D")*12+($T50:$Z50="N")*12+($T50:$Z50="NT")*6+($T50:$Z50="C")*10+($T50:$Z50="A")*8+($T50:$Z50="J")*5+($T50:$Z50="CEP")*4+($T50:$Z50="CP")*6+($T50:$Z50="CRO")*6+($T50:$Z50="M+")*6+($T50:$Z50="T+")*6+($T50:$Z50="D+")*12+($T50:$Z50="N+")*12+($T50:$Z50="Dm+")*12+($T50:$Z50="Dt+")*12+($T50:$Z50="Tm-")*6+($T50:$Z50="Mt-")*6)</f>
        <v/>
      </c>
      <c r="AY50" s="118">
        <f>AX50-MAX(0,IFERROR(INDEX(CADASTRO!$I$4:$I$80,MATCH($A50,CADASTRO!$A$4:$A$80,0)),$B50)-CONFIG!$B$50*(COUNTIF($T50:$Z50,"AB")+COUNTIF($T50:$Z50,"FE")+COUNTIF($T50:$Z50,"LM")))</f>
        <v/>
      </c>
      <c r="AZ50" s="117">
        <f>SUMPRODUCT(($AA50:$AG50="M")*6+($AA50:$AG50="T")*6+($AA50:$AG50="D")*12+($AA50:$AG50="N")*12+($AA50:$AG50="NT")*6+($AA50:$AG50="C")*10+($AA50:$AG50="A")*8+($AA50:$AG50="J")*5+($AA50:$AG50="CEP")*4+($AA50:$AG50="CP")*6+($AA50:$AG50="CRO")*6+($AA50:$AG50="M+")*6+($AA50:$AG50="T+")*6+($AA50:$AG50="D+")*12+($AA50:$AG50="N+")*12+($AA50:$AG50="Dm+")*12+($AA50:$AG50="Dt+")*12+($AA50:$AG50="Tm-")*6+($AA50:$AG50="Mt-")*6)</f>
        <v/>
      </c>
      <c r="BA50" s="118">
        <f>AZ50-MAX(0,IFERROR(INDEX(CADASTRO!$I$4:$I$80,MATCH($A50,CADASTRO!$A$4:$A$80,0)),$B50)-CONFIG!$B$50*(COUNTIF($AA50:$AG50,"AB")+COUNTIF($AA50:$AG50,"FE")+COUNTIF($AA50:$AG50,"LM")))</f>
        <v/>
      </c>
      <c r="BB50" s="117">
        <f>SUMPRODUCT(($AH50:$AM50="M")*6+($AH50:$AM50="T")*6+($AH50:$AM50="D")*12+($AH50:$AM50="N")*12+($AH50:$AM50="NT")*6+($AH50:$AM50="C")*10+($AH50:$AM50="A")*8+($AH50:$AM50="J")*5+($AH50:$AM50="CEP")*4+($AH50:$AM50="CP")*6+($AH50:$AM50="CRO")*6+($AH50:$AM50="M+")*6+($AH50:$AM50="T+")*6+($AH50:$AM50="D+")*12+($AH50:$AM50="N+")*12+($AH50:$AM50="Dm+")*12+($AH50:$AM50="Dt+")*12+($AH50:$AM50="Tm-")*6+($AH50:$AM50="Mt-")*6)+SUMPRODUCT(($AN50:$AN50="M")*6+($AN50:$AN50="T")*6+($AN50:$AN50="D")*12+($AN50:$AN50="N")*12+($AN50:$AN50="NT")*6+($AN50:$AN50="C")*10+($AN50:$AN50="A")*8+($AN50:$AN50="J")*5+($AN50:$AN50="CEP")*4+($AN50:$AN50="CP")*6+($AN50:$AN50="CRO")*6+($AN50:$AN50="M+")*6+($AN50:$AN50="T+")*6+($AN50:$AN50="D+")*12+($AN50:$AN50="N+")*12+($AN50:$AN50="Dm+")*12+($AN50:$AN50="Dt+")*12+($AN50:$AN50="Tm-")*6+($AN50:$AN50="Mt-")*6)</f>
        <v/>
      </c>
      <c r="BC50" s="118">
        <f>BB50-MAX(0,IFERROR(INDEX(CADASTRO!$I$4:$I$80,MATCH($A50,CADASTRO!$A$4:$A$80,0)),$B50)-CONFIG!$B$50*(COUNTIF($AH50:$AM50,"AB")+COUNTIF($AH50:$AM50,"FE")+COUNTIF($AH50:$AM50,"LM")+COUNTIF($AN50:$AN50,"AB")+COUNTIF($AN50:$AN50,"FE")+COUNTIF($AN50:$AN50,"LM")))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36">
        <f>IFERROR(INDEX(SET!AJ$8:AJ$73,MATCH($A51,SET!$A$8:$A$73,0))&amp;"","")</f>
        <v/>
      </c>
      <c r="G51" s="136">
        <f>IFERROR(INDEX(SET!AK$8:AK$73,MATCH($A51,SET!$A$8:$A$73,0))&amp;"","")</f>
        <v/>
      </c>
      <c r="H51" s="136">
        <f>IFERROR(INDEX(SET!AL$8:AL$73,MATCH($A51,SET!$A$8:$A$73,0))&amp;"","")</f>
        <v/>
      </c>
      <c r="I51" s="126" t="inlineStr">
        <is>
          <t>T</t>
        </is>
      </c>
      <c r="J51" s="114" t="n"/>
      <c r="K51" s="126" t="inlineStr">
        <is>
          <t>T</t>
        </is>
      </c>
      <c r="L51" s="115" t="inlineStr">
        <is>
          <t>M</t>
        </is>
      </c>
      <c r="M51" s="114" t="n"/>
      <c r="N51" s="124" t="inlineStr">
        <is>
          <t>D</t>
        </is>
      </c>
      <c r="O51" s="114" t="n"/>
      <c r="P51" s="114" t="n"/>
      <c r="Q51" s="114" t="n"/>
      <c r="R51" s="114" t="n"/>
      <c r="S51" s="124" t="inlineStr">
        <is>
          <t>D</t>
        </is>
      </c>
      <c r="T51" s="114" t="n"/>
      <c r="U51" s="124" t="inlineStr">
        <is>
          <t>D</t>
        </is>
      </c>
      <c r="V51" s="114" t="n"/>
      <c r="W51" s="114" t="n"/>
      <c r="X51" s="124" t="inlineStr">
        <is>
          <t>D</t>
        </is>
      </c>
      <c r="Y51" s="114" t="n"/>
      <c r="Z51" s="114" t="n"/>
      <c r="AA51" s="114" t="n"/>
      <c r="AB51" s="124" t="inlineStr">
        <is>
          <t>D</t>
        </is>
      </c>
      <c r="AC51" s="114" t="n"/>
      <c r="AD51" s="125" t="inlineStr">
        <is>
          <t>N</t>
        </is>
      </c>
      <c r="AE51" s="114" t="n"/>
      <c r="AF51" s="114" t="n"/>
      <c r="AG51" s="114" t="n"/>
      <c r="AH51" s="114" t="n"/>
      <c r="AI51" s="114" t="n"/>
      <c r="AJ51" s="124" t="inlineStr">
        <is>
          <t>D</t>
        </is>
      </c>
      <c r="AK51" s="114" t="n"/>
      <c r="AL51" s="124" t="inlineStr">
        <is>
          <t>D</t>
        </is>
      </c>
      <c r="AM51" s="114" t="n"/>
      <c r="AN51" s="116">
        <f>IFERROR(INDEX(NOV!I$8:I$73,MATCH($A51,NOV!$A$8:$A$73,0))&amp;"","")</f>
        <v/>
      </c>
      <c r="AO51" s="100" t="n"/>
      <c r="AP51" s="100" t="n"/>
      <c r="AQ51" s="100" t="n"/>
      <c r="AR51" s="100" t="n"/>
      <c r="AS51" s="100" t="n"/>
      <c r="AT51" s="117">
        <f>SUMPRODUCT(($F51:$L51="M")*6+($F51:$L51="T")*6+($F51:$L51="D")*12+($F51:$L51="N")*12+($F51:$L51="NT")*6+($F51:$L51="C")*10+($F51:$L51="A")*8+($F51:$L51="J")*5+($F51:$L51="CEP")*4+($F51:$L51="CP")*6+($F51:$L51="CRO")*6+($F51:$L51="M+")*6+($F51:$L51="T+")*6+($F51:$L51="D+")*12+($F51:$L51="N+")*12+($F51:$L51="Dm+")*12+($F51:$L51="Dt+")*12+($F51:$L51="Tm-")*6+($F51:$L51="Mt-")*6)</f>
        <v/>
      </c>
      <c r="AU51" s="118">
        <f>AT51-MAX(0,IFERROR(INDEX(CADASTRO!$I$4:$I$80,MATCH($A51,CADASTRO!$A$4:$A$80,0)),$B51)-CONFIG!$B$50*(COUNTIF($F51:$L51,"AB")+COUNTIF($F51:$L51,"FE")+COUNTIF($F51:$L51,"LM")))</f>
        <v/>
      </c>
      <c r="AV51" s="117">
        <f>SUMPRODUCT(($M51:$S51="M")*6+($M51:$S51="T")*6+($M51:$S51="D")*12+($M51:$S51="N")*12+($M51:$S51="NT")*6+($M51:$S51="C")*10+($M51:$S51="A")*8+($M51:$S51="J")*5+($M51:$S51="CEP")*4+($M51:$S51="CP")*6+($M51:$S51="CRO")*6+($M51:$S51="M+")*6+($M51:$S51="T+")*6+($M51:$S51="D+")*12+($M51:$S51="N+")*12+($M51:$S51="Dm+")*12+($M51:$S51="Dt+")*12+($M51:$S51="Tm-")*6+($M51:$S51="Mt-")*6)</f>
        <v/>
      </c>
      <c r="AW51" s="118">
        <f>AV51-MAX(0,IFERROR(INDEX(CADASTRO!$I$4:$I$80,MATCH($A51,CADASTRO!$A$4:$A$80,0)),$B51)-CONFIG!$B$50*(COUNTIF($M51:$S51,"AB")+COUNTIF($M51:$S51,"FE")+COUNTIF($M51:$S51,"LM")))</f>
        <v/>
      </c>
      <c r="AX51" s="117">
        <f>SUMPRODUCT(($T51:$Z51="M")*6+($T51:$Z51="T")*6+($T51:$Z51="D")*12+($T51:$Z51="N")*12+($T51:$Z51="NT")*6+($T51:$Z51="C")*10+($T51:$Z51="A")*8+($T51:$Z51="J")*5+($T51:$Z51="CEP")*4+($T51:$Z51="CP")*6+($T51:$Z51="CRO")*6+($T51:$Z51="M+")*6+($T51:$Z51="T+")*6+($T51:$Z51="D+")*12+($T51:$Z51="N+")*12+($T51:$Z51="Dm+")*12+($T51:$Z51="Dt+")*12+($T51:$Z51="Tm-")*6+($T51:$Z51="Mt-")*6)</f>
        <v/>
      </c>
      <c r="AY51" s="118">
        <f>AX51-MAX(0,IFERROR(INDEX(CADASTRO!$I$4:$I$80,MATCH($A51,CADASTRO!$A$4:$A$80,0)),$B51)-CONFIG!$B$50*(COUNTIF($T51:$Z51,"AB")+COUNTIF($T51:$Z51,"FE")+COUNTIF($T51:$Z51,"LM")))</f>
        <v/>
      </c>
      <c r="AZ51" s="117">
        <f>SUMPRODUCT(($AA51:$AG51="M")*6+($AA51:$AG51="T")*6+($AA51:$AG51="D")*12+($AA51:$AG51="N")*12+($AA51:$AG51="NT")*6+($AA51:$AG51="C")*10+($AA51:$AG51="A")*8+($AA51:$AG51="J")*5+($AA51:$AG51="CEP")*4+($AA51:$AG51="CP")*6+($AA51:$AG51="CRO")*6+($AA51:$AG51="M+")*6+($AA51:$AG51="T+")*6+($AA51:$AG51="D+")*12+($AA51:$AG51="N+")*12+($AA51:$AG51="Dm+")*12+($AA51:$AG51="Dt+")*12+($AA51:$AG51="Tm-")*6+($AA51:$AG51="Mt-")*6)</f>
        <v/>
      </c>
      <c r="BA51" s="118">
        <f>AZ51-MAX(0,IFERROR(INDEX(CADASTRO!$I$4:$I$80,MATCH($A51,CADASTRO!$A$4:$A$80,0)),$B51)-CONFIG!$B$50*(COUNTIF($AA51:$AG51,"AB")+COUNTIF($AA51:$AG51,"FE")+COUNTIF($AA51:$AG51,"LM")))</f>
        <v/>
      </c>
      <c r="BB51" s="117">
        <f>SUMPRODUCT(($AH51:$AM51="M")*6+($AH51:$AM51="T")*6+($AH51:$AM51="D")*12+($AH51:$AM51="N")*12+($AH51:$AM51="NT")*6+($AH51:$AM51="C")*10+($AH51:$AM51="A")*8+($AH51:$AM51="J")*5+($AH51:$AM51="CEP")*4+($AH51:$AM51="CP")*6+($AH51:$AM51="CRO")*6+($AH51:$AM51="M+")*6+($AH51:$AM51="T+")*6+($AH51:$AM51="D+")*12+($AH51:$AM51="N+")*12+($AH51:$AM51="Dm+")*12+($AH51:$AM51="Dt+")*12+($AH51:$AM51="Tm-")*6+($AH51:$AM51="Mt-")*6)+SUMPRODUCT(($AN51:$AN51="M")*6+($AN51:$AN51="T")*6+($AN51:$AN51="D")*12+($AN51:$AN51="N")*12+($AN51:$AN51="NT")*6+($AN51:$AN51="C")*10+($AN51:$AN51="A")*8+($AN51:$AN51="J")*5+($AN51:$AN51="CEP")*4+($AN51:$AN51="CP")*6+($AN51:$AN51="CRO")*6+($AN51:$AN51="M+")*6+($AN51:$AN51="T+")*6+($AN51:$AN51="D+")*12+($AN51:$AN51="N+")*12+($AN51:$AN51="Dm+")*12+($AN51:$AN51="Dt+")*12+($AN51:$AN51="Tm-")*6+($AN51:$AN51="Mt-")*6)</f>
        <v/>
      </c>
      <c r="BC51" s="118">
        <f>BB51-MAX(0,IFERROR(INDEX(CADASTRO!$I$4:$I$80,MATCH($A51,CADASTRO!$A$4:$A$80,0)),$B51)-CONFIG!$B$50*(COUNTIF($AH51:$AM51,"AB")+COUNTIF($AH51:$AM51,"FE")+COUNTIF($AH51:$AM51,"LM")+COUNTIF($AN51:$AN51,"AB")+COUNTIF($AN51:$AN51,"FE")+COUNTIF($AN51:$AN51,"LM")))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36">
        <f>IFERROR(INDEX(SET!AJ$8:AJ$73,MATCH($A52,SET!$A$8:$A$73,0))&amp;"","")</f>
        <v/>
      </c>
      <c r="G52" s="136">
        <f>IFERROR(INDEX(SET!AK$8:AK$73,MATCH($A52,SET!$A$8:$A$73,0))&amp;"","")</f>
        <v/>
      </c>
      <c r="H52" s="136">
        <f>IFERROR(INDEX(SET!AL$8:AL$73,MATCH($A52,SET!$A$8:$A$73,0))&amp;"","")</f>
        <v/>
      </c>
      <c r="I52" s="114" t="n"/>
      <c r="J52" s="125" t="inlineStr">
        <is>
          <t>N</t>
        </is>
      </c>
      <c r="K52" s="114" t="n"/>
      <c r="L52" s="114" t="n"/>
      <c r="M52" s="125" t="inlineStr">
        <is>
          <t>N</t>
        </is>
      </c>
      <c r="N52" s="114" t="n"/>
      <c r="O52" s="114" t="n"/>
      <c r="P52" s="114" t="n"/>
      <c r="Q52" s="114" t="n"/>
      <c r="R52" s="125" t="inlineStr">
        <is>
          <t>N</t>
        </is>
      </c>
      <c r="S52" s="114" t="n"/>
      <c r="T52" s="125" t="inlineStr">
        <is>
          <t>N</t>
        </is>
      </c>
      <c r="U52" s="114" t="n"/>
      <c r="V52" s="114" t="n"/>
      <c r="W52" s="125" t="inlineStr">
        <is>
          <t>N</t>
        </is>
      </c>
      <c r="X52" s="114" t="n"/>
      <c r="Y52" s="114" t="n"/>
      <c r="Z52" s="114" t="n"/>
      <c r="AA52" s="125" t="inlineStr">
        <is>
          <t>N</t>
        </is>
      </c>
      <c r="AB52" s="114" t="n"/>
      <c r="AC52" s="125" t="inlineStr">
        <is>
          <t>N</t>
        </is>
      </c>
      <c r="AD52" s="114" t="n"/>
      <c r="AE52" s="114" t="n"/>
      <c r="AF52" s="114" t="n"/>
      <c r="AG52" s="114" t="n"/>
      <c r="AH52" s="125" t="inlineStr">
        <is>
          <t>N</t>
        </is>
      </c>
      <c r="AI52" s="114" t="n"/>
      <c r="AJ52" s="114" t="n"/>
      <c r="AK52" s="114" t="n"/>
      <c r="AL52" s="114" t="n"/>
      <c r="AM52" s="125" t="inlineStr">
        <is>
          <t>N</t>
        </is>
      </c>
      <c r="AN52" s="116">
        <f>IFERROR(INDEX(NOV!I$8:I$73,MATCH($A52,NOV!$A$8:$A$73,0))&amp;"","")</f>
        <v/>
      </c>
      <c r="AO52" s="100" t="n"/>
      <c r="AP52" s="100" t="n"/>
      <c r="AQ52" s="100" t="n"/>
      <c r="AR52" s="100" t="n"/>
      <c r="AS52" s="100" t="n"/>
      <c r="AT52" s="117">
        <f>SUMPRODUCT(($F52:$L52="M")*6+($F52:$L52="T")*6+($F52:$L52="D")*12+($F52:$L52="N")*12+($F52:$L52="NT")*6+($F52:$L52="C")*10+($F52:$L52="A")*8+($F52:$L52="J")*5+($F52:$L52="CEP")*4+($F52:$L52="CP")*6+($F52:$L52="CRO")*6+($F52:$L52="M+")*6+($F52:$L52="T+")*6+($F52:$L52="D+")*12+($F52:$L52="N+")*12+($F52:$L52="Dm+")*12+($F52:$L52="Dt+")*12+($F52:$L52="Tm-")*6+($F52:$L52="Mt-")*6)</f>
        <v/>
      </c>
      <c r="AU52" s="118">
        <f>AT52-MAX(0,IFERROR(INDEX(CADASTRO!$I$4:$I$80,MATCH($A52,CADASTRO!$A$4:$A$80,0)),$B52)-CONFIG!$B$50*(COUNTIF($F52:$L52,"AB")+COUNTIF($F52:$L52,"FE")+COUNTIF($F52:$L52,"LM")))</f>
        <v/>
      </c>
      <c r="AV52" s="117">
        <f>SUMPRODUCT(($M52:$S52="M")*6+($M52:$S52="T")*6+($M52:$S52="D")*12+($M52:$S52="N")*12+($M52:$S52="NT")*6+($M52:$S52="C")*10+($M52:$S52="A")*8+($M52:$S52="J")*5+($M52:$S52="CEP")*4+($M52:$S52="CP")*6+($M52:$S52="CRO")*6+($M52:$S52="M+")*6+($M52:$S52="T+")*6+($M52:$S52="D+")*12+($M52:$S52="N+")*12+($M52:$S52="Dm+")*12+($M52:$S52="Dt+")*12+($M52:$S52="Tm-")*6+($M52:$S52="Mt-")*6)</f>
        <v/>
      </c>
      <c r="AW52" s="118">
        <f>AV52-MAX(0,IFERROR(INDEX(CADASTRO!$I$4:$I$80,MATCH($A52,CADASTRO!$A$4:$A$80,0)),$B52)-CONFIG!$B$50*(COUNTIF($M52:$S52,"AB")+COUNTIF($M52:$S52,"FE")+COUNTIF($M52:$S52,"LM")))</f>
        <v/>
      </c>
      <c r="AX52" s="117">
        <f>SUMPRODUCT(($T52:$Z52="M")*6+($T52:$Z52="T")*6+($T52:$Z52="D")*12+($T52:$Z52="N")*12+($T52:$Z52="NT")*6+($T52:$Z52="C")*10+($T52:$Z52="A")*8+($T52:$Z52="J")*5+($T52:$Z52="CEP")*4+($T52:$Z52="CP")*6+($T52:$Z52="CRO")*6+($T52:$Z52="M+")*6+($T52:$Z52="T+")*6+($T52:$Z52="D+")*12+($T52:$Z52="N+")*12+($T52:$Z52="Dm+")*12+($T52:$Z52="Dt+")*12+($T52:$Z52="Tm-")*6+($T52:$Z52="Mt-")*6)</f>
        <v/>
      </c>
      <c r="AY52" s="118">
        <f>AX52-MAX(0,IFERROR(INDEX(CADASTRO!$I$4:$I$80,MATCH($A52,CADASTRO!$A$4:$A$80,0)),$B52)-CONFIG!$B$50*(COUNTIF($T52:$Z52,"AB")+COUNTIF($T52:$Z52,"FE")+COUNTIF($T52:$Z52,"LM")))</f>
        <v/>
      </c>
      <c r="AZ52" s="117">
        <f>SUMPRODUCT(($AA52:$AG52="M")*6+($AA52:$AG52="T")*6+($AA52:$AG52="D")*12+($AA52:$AG52="N")*12+($AA52:$AG52="NT")*6+($AA52:$AG52="C")*10+($AA52:$AG52="A")*8+($AA52:$AG52="J")*5+($AA52:$AG52="CEP")*4+($AA52:$AG52="CP")*6+($AA52:$AG52="CRO")*6+($AA52:$AG52="M+")*6+($AA52:$AG52="T+")*6+($AA52:$AG52="D+")*12+($AA52:$AG52="N+")*12+($AA52:$AG52="Dm+")*12+($AA52:$AG52="Dt+")*12+($AA52:$AG52="Tm-")*6+($AA52:$AG52="Mt-")*6)</f>
        <v/>
      </c>
      <c r="BA52" s="118">
        <f>AZ52-MAX(0,IFERROR(INDEX(CADASTRO!$I$4:$I$80,MATCH($A52,CADASTRO!$A$4:$A$80,0)),$B52)-CONFIG!$B$50*(COUNTIF($AA52:$AG52,"AB")+COUNTIF($AA52:$AG52,"FE")+COUNTIF($AA52:$AG52,"LM")))</f>
        <v/>
      </c>
      <c r="BB52" s="117">
        <f>SUMPRODUCT(($AH52:$AM52="M")*6+($AH52:$AM52="T")*6+($AH52:$AM52="D")*12+($AH52:$AM52="N")*12+($AH52:$AM52="NT")*6+($AH52:$AM52="C")*10+($AH52:$AM52="A")*8+($AH52:$AM52="J")*5+($AH52:$AM52="CEP")*4+($AH52:$AM52="CP")*6+($AH52:$AM52="CRO")*6+($AH52:$AM52="M+")*6+($AH52:$AM52="T+")*6+($AH52:$AM52="D+")*12+($AH52:$AM52="N+")*12+($AH52:$AM52="Dm+")*12+($AH52:$AM52="Dt+")*12+($AH52:$AM52="Tm-")*6+($AH52:$AM52="Mt-")*6)+SUMPRODUCT(($AN52:$AN52="M")*6+($AN52:$AN52="T")*6+($AN52:$AN52="D")*12+($AN52:$AN52="N")*12+($AN52:$AN52="NT")*6+($AN52:$AN52="C")*10+($AN52:$AN52="A")*8+($AN52:$AN52="J")*5+($AN52:$AN52="CEP")*4+($AN52:$AN52="CP")*6+($AN52:$AN52="CRO")*6+($AN52:$AN52="M+")*6+($AN52:$AN52="T+")*6+($AN52:$AN52="D+")*12+($AN52:$AN52="N+")*12+($AN52:$AN52="Dm+")*12+($AN52:$AN52="Dt+")*12+($AN52:$AN52="Tm-")*6+($AN52:$AN52="Mt-")*6)</f>
        <v/>
      </c>
      <c r="BC52" s="118">
        <f>BB52-MAX(0,IFERROR(INDEX(CADASTRO!$I$4:$I$80,MATCH($A52,CADASTRO!$A$4:$A$80,0)),$B52)-CONFIG!$B$50*(COUNTIF($AH52:$AM52,"AB")+COUNTIF($AH52:$AM52,"FE")+COUNTIF($AH52:$AM52,"LM")+COUNTIF($AN52:$AN52,"AB")+COUNTIF($AN52:$AN52,"FE")+COUNTIF($AN52:$AN52,"LM")))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36">
        <f>IFERROR(INDEX(SET!AJ$8:AJ$73,MATCH($A53,SET!$A$8:$A$73,0))&amp;"","")</f>
        <v/>
      </c>
      <c r="G53" s="136">
        <f>IFERROR(INDEX(SET!AK$8:AK$73,MATCH($A53,SET!$A$8:$A$73,0))&amp;"","")</f>
        <v/>
      </c>
      <c r="H53" s="136">
        <f>IFERROR(INDEX(SET!AL$8:AL$73,MATCH($A53,SET!$A$8:$A$73,0))&amp;"","")</f>
        <v/>
      </c>
      <c r="I53" s="114" t="n"/>
      <c r="J53" s="114" t="n"/>
      <c r="K53" s="114" t="n"/>
      <c r="L53" s="114" t="n"/>
      <c r="M53" s="114" t="n"/>
      <c r="N53" s="125" t="inlineStr">
        <is>
          <t>N</t>
        </is>
      </c>
      <c r="O53" s="114" t="n"/>
      <c r="P53" s="114" t="n"/>
      <c r="Q53" s="114" t="n"/>
      <c r="R53" s="114" t="n"/>
      <c r="S53" s="125" t="inlineStr">
        <is>
          <t>N</t>
        </is>
      </c>
      <c r="T53" s="114" t="n"/>
      <c r="U53" s="125" t="inlineStr">
        <is>
          <t>N</t>
        </is>
      </c>
      <c r="V53" s="114" t="n"/>
      <c r="W53" s="114" t="n"/>
      <c r="X53" s="125" t="inlineStr">
        <is>
          <t>N</t>
        </is>
      </c>
      <c r="Y53" s="114" t="n"/>
      <c r="Z53" s="114" t="n"/>
      <c r="AA53" s="125" t="inlineStr">
        <is>
          <t>N</t>
        </is>
      </c>
      <c r="AB53" s="114" t="n"/>
      <c r="AC53" s="114" t="n"/>
      <c r="AD53" s="114" t="n"/>
      <c r="AE53" s="114" t="n"/>
      <c r="AF53" s="114" t="n"/>
      <c r="AG53" s="125" t="inlineStr">
        <is>
          <t>N</t>
        </is>
      </c>
      <c r="AH53" s="125" t="inlineStr">
        <is>
          <t>N</t>
        </is>
      </c>
      <c r="AI53" s="114" t="n"/>
      <c r="AJ53" s="114" t="n"/>
      <c r="AK53" s="114" t="n"/>
      <c r="AL53" s="114" t="n"/>
      <c r="AM53" s="114" t="n"/>
      <c r="AN53" s="116">
        <f>IFERROR(INDEX(NOV!I$8:I$73,MATCH($A53,NOV!$A$8:$A$73,0))&amp;"","")</f>
        <v/>
      </c>
      <c r="AO53" s="100" t="n"/>
      <c r="AP53" s="100" t="n"/>
      <c r="AQ53" s="100" t="n"/>
      <c r="AR53" s="100" t="n"/>
      <c r="AS53" s="100" t="n"/>
      <c r="AT53" s="117">
        <f>SUMPRODUCT(($F53:$L53="M")*6+($F53:$L53="T")*6+($F53:$L53="D")*12+($F53:$L53="N")*12+($F53:$L53="NT")*6+($F53:$L53="C")*10+($F53:$L53="A")*8+($F53:$L53="J")*5+($F53:$L53="CEP")*4+($F53:$L53="CP")*6+($F53:$L53="CRO")*6+($F53:$L53="M+")*6+($F53:$L53="T+")*6+($F53:$L53="D+")*12+($F53:$L53="N+")*12+($F53:$L53="Dm+")*12+($F53:$L53="Dt+")*12+($F53:$L53="Tm-")*6+($F53:$L53="Mt-")*6)</f>
        <v/>
      </c>
      <c r="AU53" s="118">
        <f>AT53-MAX(0,IFERROR(INDEX(CADASTRO!$I$4:$I$80,MATCH($A53,CADASTRO!$A$4:$A$80,0)),$B53)-CONFIG!$B$50*(COUNTIF($F53:$L53,"AB")+COUNTIF($F53:$L53,"FE")+COUNTIF($F53:$L53,"LM")))</f>
        <v/>
      </c>
      <c r="AV53" s="117">
        <f>SUMPRODUCT(($M53:$S53="M")*6+($M53:$S53="T")*6+($M53:$S53="D")*12+($M53:$S53="N")*12+($M53:$S53="NT")*6+($M53:$S53="C")*10+($M53:$S53="A")*8+($M53:$S53="J")*5+($M53:$S53="CEP")*4+($M53:$S53="CP")*6+($M53:$S53="CRO")*6+($M53:$S53="M+")*6+($M53:$S53="T+")*6+($M53:$S53="D+")*12+($M53:$S53="N+")*12+($M53:$S53="Dm+")*12+($M53:$S53="Dt+")*12+($M53:$S53="Tm-")*6+($M53:$S53="Mt-")*6)</f>
        <v/>
      </c>
      <c r="AW53" s="118">
        <f>AV53-MAX(0,IFERROR(INDEX(CADASTRO!$I$4:$I$80,MATCH($A53,CADASTRO!$A$4:$A$80,0)),$B53)-CONFIG!$B$50*(COUNTIF($M53:$S53,"AB")+COUNTIF($M53:$S53,"FE")+COUNTIF($M53:$S53,"LM")))</f>
        <v/>
      </c>
      <c r="AX53" s="117">
        <f>SUMPRODUCT(($T53:$Z53="M")*6+($T53:$Z53="T")*6+($T53:$Z53="D")*12+($T53:$Z53="N")*12+($T53:$Z53="NT")*6+($T53:$Z53="C")*10+($T53:$Z53="A")*8+($T53:$Z53="J")*5+($T53:$Z53="CEP")*4+($T53:$Z53="CP")*6+($T53:$Z53="CRO")*6+($T53:$Z53="M+")*6+($T53:$Z53="T+")*6+($T53:$Z53="D+")*12+($T53:$Z53="N+")*12+($T53:$Z53="Dm+")*12+($T53:$Z53="Dt+")*12+($T53:$Z53="Tm-")*6+($T53:$Z53="Mt-")*6)</f>
        <v/>
      </c>
      <c r="AY53" s="118">
        <f>AX53-MAX(0,IFERROR(INDEX(CADASTRO!$I$4:$I$80,MATCH($A53,CADASTRO!$A$4:$A$80,0)),$B53)-CONFIG!$B$50*(COUNTIF($T53:$Z53,"AB")+COUNTIF($T53:$Z53,"FE")+COUNTIF($T53:$Z53,"LM")))</f>
        <v/>
      </c>
      <c r="AZ53" s="117">
        <f>SUMPRODUCT(($AA53:$AG53="M")*6+($AA53:$AG53="T")*6+($AA53:$AG53="D")*12+($AA53:$AG53="N")*12+($AA53:$AG53="NT")*6+($AA53:$AG53="C")*10+($AA53:$AG53="A")*8+($AA53:$AG53="J")*5+($AA53:$AG53="CEP")*4+($AA53:$AG53="CP")*6+($AA53:$AG53="CRO")*6+($AA53:$AG53="M+")*6+($AA53:$AG53="T+")*6+($AA53:$AG53="D+")*12+($AA53:$AG53="N+")*12+($AA53:$AG53="Dm+")*12+($AA53:$AG53="Dt+")*12+($AA53:$AG53="Tm-")*6+($AA53:$AG53="Mt-")*6)</f>
        <v/>
      </c>
      <c r="BA53" s="118">
        <f>AZ53-MAX(0,IFERROR(INDEX(CADASTRO!$I$4:$I$80,MATCH($A53,CADASTRO!$A$4:$A$80,0)),$B53)-CONFIG!$B$50*(COUNTIF($AA53:$AG53,"AB")+COUNTIF($AA53:$AG53,"FE")+COUNTIF($AA53:$AG53,"LM")))</f>
        <v/>
      </c>
      <c r="BB53" s="117">
        <f>SUMPRODUCT(($AH53:$AM53="M")*6+($AH53:$AM53="T")*6+($AH53:$AM53="D")*12+($AH53:$AM53="N")*12+($AH53:$AM53="NT")*6+($AH53:$AM53="C")*10+($AH53:$AM53="A")*8+($AH53:$AM53="J")*5+($AH53:$AM53="CEP")*4+($AH53:$AM53="CP")*6+($AH53:$AM53="CRO")*6+($AH53:$AM53="M+")*6+($AH53:$AM53="T+")*6+($AH53:$AM53="D+")*12+($AH53:$AM53="N+")*12+($AH53:$AM53="Dm+")*12+($AH53:$AM53="Dt+")*12+($AH53:$AM53="Tm-")*6+($AH53:$AM53="Mt-")*6)+SUMPRODUCT(($AN53:$AN53="M")*6+($AN53:$AN53="T")*6+($AN53:$AN53="D")*12+($AN53:$AN53="N")*12+($AN53:$AN53="NT")*6+($AN53:$AN53="C")*10+($AN53:$AN53="A")*8+($AN53:$AN53="J")*5+($AN53:$AN53="CEP")*4+($AN53:$AN53="CP")*6+($AN53:$AN53="CRO")*6+($AN53:$AN53="M+")*6+($AN53:$AN53="T+")*6+($AN53:$AN53="D+")*12+($AN53:$AN53="N+")*12+($AN53:$AN53="Dm+")*12+($AN53:$AN53="Dt+")*12+($AN53:$AN53="Tm-")*6+($AN53:$AN53="Mt-")*6)</f>
        <v/>
      </c>
      <c r="BC53" s="118">
        <f>BB53-MAX(0,IFERROR(INDEX(CADASTRO!$I$4:$I$80,MATCH($A53,CADASTRO!$A$4:$A$80,0)),$B53)-CONFIG!$B$50*(COUNTIF($AH53:$AM53,"AB")+COUNTIF($AH53:$AM53,"FE")+COUNTIF($AH53:$AM53,"LM")+COUNTIF($AN53:$AN53,"AB")+COUNTIF($AN53:$AN53,"FE")+COUNTIF($AN53:$AN53,"LM")))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36">
        <f>IFERROR(INDEX(SET!AJ$8:AJ$73,MATCH($A54,SET!$A$8:$A$73,0))&amp;"","")</f>
        <v/>
      </c>
      <c r="G54" s="136">
        <f>IFERROR(INDEX(SET!AK$8:AK$73,MATCH($A54,SET!$A$8:$A$73,0))&amp;"","")</f>
        <v/>
      </c>
      <c r="H54" s="136">
        <f>IFERROR(INDEX(SET!AL$8:AL$73,MATCH($A54,SET!$A$8:$A$73,0))&amp;"","")</f>
        <v/>
      </c>
      <c r="I54" s="125" t="inlineStr">
        <is>
          <t>N</t>
        </is>
      </c>
      <c r="J54" s="114" t="n"/>
      <c r="K54" s="114" t="n"/>
      <c r="L54" s="124" t="inlineStr">
        <is>
          <t>D</t>
        </is>
      </c>
      <c r="M54" s="139" t="inlineStr">
        <is>
          <t>FE</t>
        </is>
      </c>
      <c r="N54" s="139" t="inlineStr">
        <is>
          <t>FE</t>
        </is>
      </c>
      <c r="O54" s="139" t="inlineStr">
        <is>
          <t>FE</t>
        </is>
      </c>
      <c r="P54" s="139" t="inlineStr">
        <is>
          <t>FE</t>
        </is>
      </c>
      <c r="Q54" s="139" t="inlineStr">
        <is>
          <t>FE</t>
        </is>
      </c>
      <c r="R54" s="139" t="inlineStr">
        <is>
          <t>FE</t>
        </is>
      </c>
      <c r="S54" s="139" t="inlineStr">
        <is>
          <t>FE</t>
        </is>
      </c>
      <c r="T54" s="139" t="inlineStr">
        <is>
          <t>FE</t>
        </is>
      </c>
      <c r="U54" s="139" t="inlineStr">
        <is>
          <t>FE</t>
        </is>
      </c>
      <c r="V54" s="139" t="inlineStr">
        <is>
          <t>FE</t>
        </is>
      </c>
      <c r="W54" s="139" t="inlineStr">
        <is>
          <t>FE</t>
        </is>
      </c>
      <c r="X54" s="139" t="inlineStr">
        <is>
          <t>FE</t>
        </is>
      </c>
      <c r="Y54" s="139" t="inlineStr">
        <is>
          <t>FE</t>
        </is>
      </c>
      <c r="Z54" s="139" t="inlineStr">
        <is>
          <t>FE</t>
        </is>
      </c>
      <c r="AA54" s="139" t="inlineStr">
        <is>
          <t>FE</t>
        </is>
      </c>
      <c r="AB54" s="114" t="n"/>
      <c r="AC54" s="114" t="n"/>
      <c r="AD54" s="126" t="inlineStr">
        <is>
          <t>T</t>
        </is>
      </c>
      <c r="AE54" s="114" t="n"/>
      <c r="AF54" s="125" t="inlineStr">
        <is>
          <t>N</t>
        </is>
      </c>
      <c r="AG54" s="114" t="n"/>
      <c r="AH54" s="114" t="n"/>
      <c r="AI54" s="114" t="n"/>
      <c r="AJ54" s="114" t="n"/>
      <c r="AK54" s="125" t="inlineStr">
        <is>
          <t>N</t>
        </is>
      </c>
      <c r="AL54" s="125" t="inlineStr">
        <is>
          <t>N</t>
        </is>
      </c>
      <c r="AM54" s="114" t="n"/>
      <c r="AN54" s="116">
        <f>IFERROR(INDEX(NOV!I$8:I$73,MATCH($A54,NOV!$A$8:$A$73,0))&amp;"","")</f>
        <v/>
      </c>
      <c r="AO54" s="100" t="n"/>
      <c r="AP54" s="100" t="n"/>
      <c r="AQ54" s="100" t="n"/>
      <c r="AR54" s="100" t="n"/>
      <c r="AS54" s="100" t="n"/>
      <c r="AT54" s="117">
        <f>SUMPRODUCT(($F54:$L54="M")*6+($F54:$L54="T")*6+($F54:$L54="D")*12+($F54:$L54="N")*12+($F54:$L54="NT")*6+($F54:$L54="C")*10+($F54:$L54="A")*8+($F54:$L54="J")*5+($F54:$L54="CEP")*4+($F54:$L54="CP")*6+($F54:$L54="CRO")*6+($F54:$L54="M+")*6+($F54:$L54="T+")*6+($F54:$L54="D+")*12+($F54:$L54="N+")*12+($F54:$L54="Dm+")*12+($F54:$L54="Dt+")*12+($F54:$L54="Tm-")*6+($F54:$L54="Mt-")*6)</f>
        <v/>
      </c>
      <c r="AU54" s="118">
        <f>AT54-MAX(0,IFERROR(INDEX(CADASTRO!$I$4:$I$80,MATCH($A54,CADASTRO!$A$4:$A$80,0)),$B54)-CONFIG!$B$50*(COUNTIF($F54:$L54,"AB")+COUNTIF($F54:$L54,"FE")+COUNTIF($F54:$L54,"LM")))</f>
        <v/>
      </c>
      <c r="AV54" s="117">
        <f>SUMPRODUCT(($M54:$S54="M")*6+($M54:$S54="T")*6+($M54:$S54="D")*12+($M54:$S54="N")*12+($M54:$S54="NT")*6+($M54:$S54="C")*10+($M54:$S54="A")*8+($M54:$S54="J")*5+($M54:$S54="CEP")*4+($M54:$S54="CP")*6+($M54:$S54="CRO")*6+($M54:$S54="M+")*6+($M54:$S54="T+")*6+($M54:$S54="D+")*12+($M54:$S54="N+")*12+($M54:$S54="Dm+")*12+($M54:$S54="Dt+")*12+($M54:$S54="Tm-")*6+($M54:$S54="Mt-")*6)</f>
        <v/>
      </c>
      <c r="AW54" s="118">
        <f>AV54-MAX(0,IFERROR(INDEX(CADASTRO!$I$4:$I$80,MATCH($A54,CADASTRO!$A$4:$A$80,0)),$B54)-CONFIG!$B$50*(COUNTIF($M54:$S54,"AB")+COUNTIF($M54:$S54,"FE")+COUNTIF($M54:$S54,"LM")))</f>
        <v/>
      </c>
      <c r="AX54" s="117">
        <f>SUMPRODUCT(($T54:$Z54="M")*6+($T54:$Z54="T")*6+($T54:$Z54="D")*12+($T54:$Z54="N")*12+($T54:$Z54="NT")*6+($T54:$Z54="C")*10+($T54:$Z54="A")*8+($T54:$Z54="J")*5+($T54:$Z54="CEP")*4+($T54:$Z54="CP")*6+($T54:$Z54="CRO")*6+($T54:$Z54="M+")*6+($T54:$Z54="T+")*6+($T54:$Z54="D+")*12+($T54:$Z54="N+")*12+($T54:$Z54="Dm+")*12+($T54:$Z54="Dt+")*12+($T54:$Z54="Tm-")*6+($T54:$Z54="Mt-")*6)</f>
        <v/>
      </c>
      <c r="AY54" s="118">
        <f>AX54-MAX(0,IFERROR(INDEX(CADASTRO!$I$4:$I$80,MATCH($A54,CADASTRO!$A$4:$A$80,0)),$B54)-CONFIG!$B$50*(COUNTIF($T54:$Z54,"AB")+COUNTIF($T54:$Z54,"FE")+COUNTIF($T54:$Z54,"LM")))</f>
        <v/>
      </c>
      <c r="AZ54" s="117">
        <f>SUMPRODUCT(($AA54:$AG54="M")*6+($AA54:$AG54="T")*6+($AA54:$AG54="D")*12+($AA54:$AG54="N")*12+($AA54:$AG54="NT")*6+($AA54:$AG54="C")*10+($AA54:$AG54="A")*8+($AA54:$AG54="J")*5+($AA54:$AG54="CEP")*4+($AA54:$AG54="CP")*6+($AA54:$AG54="CRO")*6+($AA54:$AG54="M+")*6+($AA54:$AG54="T+")*6+($AA54:$AG54="D+")*12+($AA54:$AG54="N+")*12+($AA54:$AG54="Dm+")*12+($AA54:$AG54="Dt+")*12+($AA54:$AG54="Tm-")*6+($AA54:$AG54="Mt-")*6)</f>
        <v/>
      </c>
      <c r="BA54" s="118">
        <f>AZ54-MAX(0,IFERROR(INDEX(CADASTRO!$I$4:$I$80,MATCH($A54,CADASTRO!$A$4:$A$80,0)),$B54)-CONFIG!$B$50*(COUNTIF($AA54:$AG54,"AB")+COUNTIF($AA54:$AG54,"FE")+COUNTIF($AA54:$AG54,"LM")))</f>
        <v/>
      </c>
      <c r="BB54" s="117">
        <f>SUMPRODUCT(($AH54:$AM54="M")*6+($AH54:$AM54="T")*6+($AH54:$AM54="D")*12+($AH54:$AM54="N")*12+($AH54:$AM54="NT")*6+($AH54:$AM54="C")*10+($AH54:$AM54="A")*8+($AH54:$AM54="J")*5+($AH54:$AM54="CEP")*4+($AH54:$AM54="CP")*6+($AH54:$AM54="CRO")*6+($AH54:$AM54="M+")*6+($AH54:$AM54="T+")*6+($AH54:$AM54="D+")*12+($AH54:$AM54="N+")*12+($AH54:$AM54="Dm+")*12+($AH54:$AM54="Dt+")*12+($AH54:$AM54="Tm-")*6+($AH54:$AM54="Mt-")*6)+SUMPRODUCT(($AN54:$AN54="M")*6+($AN54:$AN54="T")*6+($AN54:$AN54="D")*12+($AN54:$AN54="N")*12+($AN54:$AN54="NT")*6+($AN54:$AN54="C")*10+($AN54:$AN54="A")*8+($AN54:$AN54="J")*5+($AN54:$AN54="CEP")*4+($AN54:$AN54="CP")*6+($AN54:$AN54="CRO")*6+($AN54:$AN54="M+")*6+($AN54:$AN54="T+")*6+($AN54:$AN54="D+")*12+($AN54:$AN54="N+")*12+($AN54:$AN54="Dm+")*12+($AN54:$AN54="Dt+")*12+($AN54:$AN54="Tm-")*6+($AN54:$AN54="Mt-")*6)</f>
        <v/>
      </c>
      <c r="BC54" s="118">
        <f>BB54-MAX(0,IFERROR(INDEX(CADASTRO!$I$4:$I$80,MATCH($A54,CADASTRO!$A$4:$A$80,0)),$B54)-CONFIG!$B$50*(COUNTIF($AH54:$AM54,"AB")+COUNTIF($AH54:$AM54,"FE")+COUNTIF($AH54:$AM54,"LM")+COUNTIF($AN54:$AN54,"AB")+COUNTIF($AN54:$AN54,"FE")+COUNTIF($AN54:$AN54,"LM")))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36">
        <f>IFERROR(INDEX(SET!AJ$8:AJ$73,MATCH($A55,SET!$A$8:$A$73,0))&amp;"","")</f>
        <v/>
      </c>
      <c r="G55" s="136">
        <f>IFERROR(INDEX(SET!AK$8:AK$73,MATCH($A55,SET!$A$8:$A$73,0))&amp;"","")</f>
        <v/>
      </c>
      <c r="H55" s="136">
        <f>IFERROR(INDEX(SET!AL$8:AL$73,MATCH($A55,SET!$A$8:$A$73,0))&amp;"","")</f>
        <v/>
      </c>
      <c r="I55" s="126" t="inlineStr">
        <is>
          <t>T</t>
        </is>
      </c>
      <c r="J55" s="114" t="n"/>
      <c r="K55" s="114" t="n"/>
      <c r="L55" s="123" t="inlineStr">
        <is>
          <t>T+</t>
        </is>
      </c>
      <c r="M55" s="114" t="n"/>
      <c r="N55" s="114" t="n"/>
      <c r="O55" s="115" t="inlineStr">
        <is>
          <t>M</t>
        </is>
      </c>
      <c r="P55" s="127" t="inlineStr">
        <is>
          <t>M-</t>
        </is>
      </c>
      <c r="Q55" s="115" t="inlineStr">
        <is>
          <t>M</t>
        </is>
      </c>
      <c r="R55" s="115" t="inlineStr">
        <is>
          <t>M</t>
        </is>
      </c>
      <c r="S55" s="114" t="n"/>
      <c r="T55" s="115" t="inlineStr">
        <is>
          <t>M</t>
        </is>
      </c>
      <c r="U55" s="114" t="n"/>
      <c r="V55" s="114" t="n"/>
      <c r="W55" s="115" t="inlineStr">
        <is>
          <t>M</t>
        </is>
      </c>
      <c r="X55" s="115" t="inlineStr">
        <is>
          <t>M</t>
        </is>
      </c>
      <c r="Y55" s="114" t="n"/>
      <c r="Z55" s="126" t="inlineStr">
        <is>
          <t>T</t>
        </is>
      </c>
      <c r="AA55" s="126" t="inlineStr">
        <is>
          <t>T</t>
        </is>
      </c>
      <c r="AB55" s="114" t="n"/>
      <c r="AC55" s="114" t="n"/>
      <c r="AD55" s="125" t="inlineStr">
        <is>
          <t>N</t>
        </is>
      </c>
      <c r="AE55" s="114" t="n"/>
      <c r="AF55" s="115" t="inlineStr">
        <is>
          <t>M</t>
        </is>
      </c>
      <c r="AG55" s="114" t="n"/>
      <c r="AH55" s="115" t="inlineStr">
        <is>
          <t>M</t>
        </is>
      </c>
      <c r="AI55" s="114" t="n"/>
      <c r="AJ55" s="115" t="inlineStr">
        <is>
          <t>M</t>
        </is>
      </c>
      <c r="AK55" s="114" t="n"/>
      <c r="AL55" s="114" t="n"/>
      <c r="AM55" s="115" t="inlineStr">
        <is>
          <t>M</t>
        </is>
      </c>
      <c r="AN55" s="116">
        <f>IFERROR(INDEX(NOV!I$8:I$73,MATCH($A55,NOV!$A$8:$A$73,0))&amp;"","")</f>
        <v/>
      </c>
      <c r="AO55" s="100" t="n"/>
      <c r="AP55" s="100" t="n"/>
      <c r="AQ55" s="100" t="n"/>
      <c r="AR55" s="100" t="n"/>
      <c r="AS55" s="100" t="n"/>
      <c r="AT55" s="117">
        <f>SUMPRODUCT(($F55:$L55="M")*6+($F55:$L55="T")*6+($F55:$L55="D")*12+($F55:$L55="N")*12+($F55:$L55="NT")*6+($F55:$L55="C")*10+($F55:$L55="A")*8+($F55:$L55="J")*5+($F55:$L55="CEP")*4+($F55:$L55="CP")*6+($F55:$L55="CRO")*6+($F55:$L55="M+")*6+($F55:$L55="T+")*6+($F55:$L55="D+")*12+($F55:$L55="N+")*12+($F55:$L55="Dm+")*12+($F55:$L55="Dt+")*12+($F55:$L55="Tm-")*6+($F55:$L55="Mt-")*6)</f>
        <v/>
      </c>
      <c r="AU55" s="118">
        <f>AT55-MAX(0,IFERROR(INDEX(CADASTRO!$I$4:$I$80,MATCH($A55,CADASTRO!$A$4:$A$80,0)),$B55)-CONFIG!$B$50*(COUNTIF($F55:$L55,"AB")+COUNTIF($F55:$L55,"FE")+COUNTIF($F55:$L55,"LM")))</f>
        <v/>
      </c>
      <c r="AV55" s="117">
        <f>SUMPRODUCT(($M55:$S55="M")*6+($M55:$S55="T")*6+($M55:$S55="D")*12+($M55:$S55="N")*12+($M55:$S55="NT")*6+($M55:$S55="C")*10+($M55:$S55="A")*8+($M55:$S55="J")*5+($M55:$S55="CEP")*4+($M55:$S55="CP")*6+($M55:$S55="CRO")*6+($M55:$S55="M+")*6+($M55:$S55="T+")*6+($M55:$S55="D+")*12+($M55:$S55="N+")*12+($M55:$S55="Dm+")*12+($M55:$S55="Dt+")*12+($M55:$S55="Tm-")*6+($M55:$S55="Mt-")*6)</f>
        <v/>
      </c>
      <c r="AW55" s="118">
        <f>AV55-MAX(0,IFERROR(INDEX(CADASTRO!$I$4:$I$80,MATCH($A55,CADASTRO!$A$4:$A$80,0)),$B55)-CONFIG!$B$50*(COUNTIF($M55:$S55,"AB")+COUNTIF($M55:$S55,"FE")+COUNTIF($M55:$S55,"LM")))</f>
        <v/>
      </c>
      <c r="AX55" s="117">
        <f>SUMPRODUCT(($T55:$Z55="M")*6+($T55:$Z55="T")*6+($T55:$Z55="D")*12+($T55:$Z55="N")*12+($T55:$Z55="NT")*6+($T55:$Z55="C")*10+($T55:$Z55="A")*8+($T55:$Z55="J")*5+($T55:$Z55="CEP")*4+($T55:$Z55="CP")*6+($T55:$Z55="CRO")*6+($T55:$Z55="M+")*6+($T55:$Z55="T+")*6+($T55:$Z55="D+")*12+($T55:$Z55="N+")*12+($T55:$Z55="Dm+")*12+($T55:$Z55="Dt+")*12+($T55:$Z55="Tm-")*6+($T55:$Z55="Mt-")*6)</f>
        <v/>
      </c>
      <c r="AY55" s="118">
        <f>AX55-MAX(0,IFERROR(INDEX(CADASTRO!$I$4:$I$80,MATCH($A55,CADASTRO!$A$4:$A$80,0)),$B55)-CONFIG!$B$50*(COUNTIF($T55:$Z55,"AB")+COUNTIF($T55:$Z55,"FE")+COUNTIF($T55:$Z55,"LM")))</f>
        <v/>
      </c>
      <c r="AZ55" s="117">
        <f>SUMPRODUCT(($AA55:$AG55="M")*6+($AA55:$AG55="T")*6+($AA55:$AG55="D")*12+($AA55:$AG55="N")*12+($AA55:$AG55="NT")*6+($AA55:$AG55="C")*10+($AA55:$AG55="A")*8+($AA55:$AG55="J")*5+($AA55:$AG55="CEP")*4+($AA55:$AG55="CP")*6+($AA55:$AG55="CRO")*6+($AA55:$AG55="M+")*6+($AA55:$AG55="T+")*6+($AA55:$AG55="D+")*12+($AA55:$AG55="N+")*12+($AA55:$AG55="Dm+")*12+($AA55:$AG55="Dt+")*12+($AA55:$AG55="Tm-")*6+($AA55:$AG55="Mt-")*6)</f>
        <v/>
      </c>
      <c r="BA55" s="118">
        <f>AZ55-MAX(0,IFERROR(INDEX(CADASTRO!$I$4:$I$80,MATCH($A55,CADASTRO!$A$4:$A$80,0)),$B55)-CONFIG!$B$50*(COUNTIF($AA55:$AG55,"AB")+COUNTIF($AA55:$AG55,"FE")+COUNTIF($AA55:$AG55,"LM")))</f>
        <v/>
      </c>
      <c r="BB55" s="117">
        <f>SUMPRODUCT(($AH55:$AM55="M")*6+($AH55:$AM55="T")*6+($AH55:$AM55="D")*12+($AH55:$AM55="N")*12+($AH55:$AM55="NT")*6+($AH55:$AM55="C")*10+($AH55:$AM55="A")*8+($AH55:$AM55="J")*5+($AH55:$AM55="CEP")*4+($AH55:$AM55="CP")*6+($AH55:$AM55="CRO")*6+($AH55:$AM55="M+")*6+($AH55:$AM55="T+")*6+($AH55:$AM55="D+")*12+($AH55:$AM55="N+")*12+($AH55:$AM55="Dm+")*12+($AH55:$AM55="Dt+")*12+($AH55:$AM55="Tm-")*6+($AH55:$AM55="Mt-")*6)+SUMPRODUCT(($AN55:$AN55="M")*6+($AN55:$AN55="T")*6+($AN55:$AN55="D")*12+($AN55:$AN55="N")*12+($AN55:$AN55="NT")*6+($AN55:$AN55="C")*10+($AN55:$AN55="A")*8+($AN55:$AN55="J")*5+($AN55:$AN55="CEP")*4+($AN55:$AN55="CP")*6+($AN55:$AN55="CRO")*6+($AN55:$AN55="M+")*6+($AN55:$AN55="T+")*6+($AN55:$AN55="D+")*12+($AN55:$AN55="N+")*12+($AN55:$AN55="Dm+")*12+($AN55:$AN55="Dt+")*12+($AN55:$AN55="Tm-")*6+($AN55:$AN55="Mt-")*6)</f>
        <v/>
      </c>
      <c r="BC55" s="118">
        <f>BB55-MAX(0,IFERROR(INDEX(CADASTRO!$I$4:$I$80,MATCH($A55,CADASTRO!$A$4:$A$80,0)),$B55)-CONFIG!$B$50*(COUNTIF($AH55:$AM55,"AB")+COUNTIF($AH55:$AM55,"FE")+COUNTIF($AH55:$AM55,"LM")+COUNTIF($AN55:$AN55,"AB")+COUNTIF($AN55:$AN55,"FE")+COUNTIF($AN55:$AN55,"LM")))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36">
        <f>IFERROR(INDEX(SET!AJ$8:AJ$73,MATCH($A56,SET!$A$8:$A$73,0))&amp;"","")</f>
        <v/>
      </c>
      <c r="G56" s="136">
        <f>IFERROR(INDEX(SET!AK$8:AK$73,MATCH($A56,SET!$A$8:$A$73,0))&amp;"","")</f>
        <v/>
      </c>
      <c r="H56" s="136">
        <f>IFERROR(INDEX(SET!AL$8:AL$73,MATCH($A56,SET!$A$8:$A$73,0))&amp;"","")</f>
        <v/>
      </c>
      <c r="I56" s="139" t="inlineStr">
        <is>
          <t>FE</t>
        </is>
      </c>
      <c r="J56" s="139" t="inlineStr">
        <is>
          <t>FE</t>
        </is>
      </c>
      <c r="K56" s="139" t="inlineStr">
        <is>
          <t>FE</t>
        </is>
      </c>
      <c r="L56" s="139" t="inlineStr">
        <is>
          <t>FE</t>
        </is>
      </c>
      <c r="M56" s="139" t="inlineStr">
        <is>
          <t>FE</t>
        </is>
      </c>
      <c r="N56" s="126" t="inlineStr">
        <is>
          <t>T</t>
        </is>
      </c>
      <c r="O56" s="124" t="inlineStr">
        <is>
          <t>D</t>
        </is>
      </c>
      <c r="P56" s="114" t="n"/>
      <c r="Q56" s="114" t="n"/>
      <c r="R56" s="114" t="n"/>
      <c r="S56" s="114" t="n"/>
      <c r="T56" s="114" t="n"/>
      <c r="U56" s="114" t="n"/>
      <c r="V56" s="114" t="n"/>
      <c r="W56" s="115" t="inlineStr">
        <is>
          <t>M</t>
        </is>
      </c>
      <c r="X56" s="114" t="n"/>
      <c r="Y56" s="124" t="inlineStr">
        <is>
          <t>D</t>
        </is>
      </c>
      <c r="Z56" s="126" t="inlineStr">
        <is>
          <t>T</t>
        </is>
      </c>
      <c r="AA56" s="114" t="n"/>
      <c r="AB56" s="124" t="inlineStr">
        <is>
          <t>D</t>
        </is>
      </c>
      <c r="AC56" s="114" t="n"/>
      <c r="AD56" s="124" t="inlineStr">
        <is>
          <t>D</t>
        </is>
      </c>
      <c r="AE56" s="114" t="n"/>
      <c r="AF56" s="114" t="n"/>
      <c r="AG56" s="114" t="n"/>
      <c r="AH56" s="114" t="n"/>
      <c r="AI56" s="114" t="n"/>
      <c r="AJ56" s="114" t="n"/>
      <c r="AK56" s="124" t="inlineStr">
        <is>
          <t>D</t>
        </is>
      </c>
      <c r="AL56" s="114" t="n"/>
      <c r="AM56" s="124" t="inlineStr">
        <is>
          <t>D</t>
        </is>
      </c>
      <c r="AN56" s="116">
        <f>IFERROR(INDEX(NOV!I$8:I$73,MATCH($A56,NOV!$A$8:$A$73,0))&amp;"","")</f>
        <v/>
      </c>
      <c r="AO56" s="100" t="n"/>
      <c r="AP56" s="100" t="n"/>
      <c r="AQ56" s="100" t="n"/>
      <c r="AR56" s="100" t="n"/>
      <c r="AS56" s="100" t="n"/>
      <c r="AT56" s="117">
        <f>SUMPRODUCT(($F56:$L56="M")*6+($F56:$L56="T")*6+($F56:$L56="D")*12+($F56:$L56="N")*12+($F56:$L56="NT")*6+($F56:$L56="C")*10+($F56:$L56="A")*8+($F56:$L56="J")*5+($F56:$L56="CEP")*4+($F56:$L56="CP")*6+($F56:$L56="CRO")*6+($F56:$L56="M+")*6+($F56:$L56="T+")*6+($F56:$L56="D+")*12+($F56:$L56="N+")*12+($F56:$L56="Dm+")*12+($F56:$L56="Dt+")*12+($F56:$L56="Tm-")*6+($F56:$L56="Mt-")*6)</f>
        <v/>
      </c>
      <c r="AU56" s="118">
        <f>AT56-MAX(0,IFERROR(INDEX(CADASTRO!$I$4:$I$80,MATCH($A56,CADASTRO!$A$4:$A$80,0)),$B56)-CONFIG!$B$50*(COUNTIF($F56:$L56,"AB")+COUNTIF($F56:$L56,"FE")+COUNTIF($F56:$L56,"LM")))</f>
        <v/>
      </c>
      <c r="AV56" s="117">
        <f>SUMPRODUCT(($M56:$S56="M")*6+($M56:$S56="T")*6+($M56:$S56="D")*12+($M56:$S56="N")*12+($M56:$S56="NT")*6+($M56:$S56="C")*10+($M56:$S56="A")*8+($M56:$S56="J")*5+($M56:$S56="CEP")*4+($M56:$S56="CP")*6+($M56:$S56="CRO")*6+($M56:$S56="M+")*6+($M56:$S56="T+")*6+($M56:$S56="D+")*12+($M56:$S56="N+")*12+($M56:$S56="Dm+")*12+($M56:$S56="Dt+")*12+($M56:$S56="Tm-")*6+($M56:$S56="Mt-")*6)</f>
        <v/>
      </c>
      <c r="AW56" s="118">
        <f>AV56-MAX(0,IFERROR(INDEX(CADASTRO!$I$4:$I$80,MATCH($A56,CADASTRO!$A$4:$A$80,0)),$B56)-CONFIG!$B$50*(COUNTIF($M56:$S56,"AB")+COUNTIF($M56:$S56,"FE")+COUNTIF($M56:$S56,"LM")))</f>
        <v/>
      </c>
      <c r="AX56" s="117">
        <f>SUMPRODUCT(($T56:$Z56="M")*6+($T56:$Z56="T")*6+($T56:$Z56="D")*12+($T56:$Z56="N")*12+($T56:$Z56="NT")*6+($T56:$Z56="C")*10+($T56:$Z56="A")*8+($T56:$Z56="J")*5+($T56:$Z56="CEP")*4+($T56:$Z56="CP")*6+($T56:$Z56="CRO")*6+($T56:$Z56="M+")*6+($T56:$Z56="T+")*6+($T56:$Z56="D+")*12+($T56:$Z56="N+")*12+($T56:$Z56="Dm+")*12+($T56:$Z56="Dt+")*12+($T56:$Z56="Tm-")*6+($T56:$Z56="Mt-")*6)</f>
        <v/>
      </c>
      <c r="AY56" s="118">
        <f>AX56-MAX(0,IFERROR(INDEX(CADASTRO!$I$4:$I$80,MATCH($A56,CADASTRO!$A$4:$A$80,0)),$B56)-CONFIG!$B$50*(COUNTIF($T56:$Z56,"AB")+COUNTIF($T56:$Z56,"FE")+COUNTIF($T56:$Z56,"LM")))</f>
        <v/>
      </c>
      <c r="AZ56" s="117">
        <f>SUMPRODUCT(($AA56:$AG56="M")*6+($AA56:$AG56="T")*6+($AA56:$AG56="D")*12+($AA56:$AG56="N")*12+($AA56:$AG56="NT")*6+($AA56:$AG56="C")*10+($AA56:$AG56="A")*8+($AA56:$AG56="J")*5+($AA56:$AG56="CEP")*4+($AA56:$AG56="CP")*6+($AA56:$AG56="CRO")*6+($AA56:$AG56="M+")*6+($AA56:$AG56="T+")*6+($AA56:$AG56="D+")*12+($AA56:$AG56="N+")*12+($AA56:$AG56="Dm+")*12+($AA56:$AG56="Dt+")*12+($AA56:$AG56="Tm-")*6+($AA56:$AG56="Mt-")*6)</f>
        <v/>
      </c>
      <c r="BA56" s="118">
        <f>AZ56-MAX(0,IFERROR(INDEX(CADASTRO!$I$4:$I$80,MATCH($A56,CADASTRO!$A$4:$A$80,0)),$B56)-CONFIG!$B$50*(COUNTIF($AA56:$AG56,"AB")+COUNTIF($AA56:$AG56,"FE")+COUNTIF($AA56:$AG56,"LM")))</f>
        <v/>
      </c>
      <c r="BB56" s="117">
        <f>SUMPRODUCT(($AH56:$AM56="M")*6+($AH56:$AM56="T")*6+($AH56:$AM56="D")*12+($AH56:$AM56="N")*12+($AH56:$AM56="NT")*6+($AH56:$AM56="C")*10+($AH56:$AM56="A")*8+($AH56:$AM56="J")*5+($AH56:$AM56="CEP")*4+($AH56:$AM56="CP")*6+($AH56:$AM56="CRO")*6+($AH56:$AM56="M+")*6+($AH56:$AM56="T+")*6+($AH56:$AM56="D+")*12+($AH56:$AM56="N+")*12+($AH56:$AM56="Dm+")*12+($AH56:$AM56="Dt+")*12+($AH56:$AM56="Tm-")*6+($AH56:$AM56="Mt-")*6)+SUMPRODUCT(($AN56:$AN56="M")*6+($AN56:$AN56="T")*6+($AN56:$AN56="D")*12+($AN56:$AN56="N")*12+($AN56:$AN56="NT")*6+($AN56:$AN56="C")*10+($AN56:$AN56="A")*8+($AN56:$AN56="J")*5+($AN56:$AN56="CEP")*4+($AN56:$AN56="CP")*6+($AN56:$AN56="CRO")*6+($AN56:$AN56="M+")*6+($AN56:$AN56="T+")*6+($AN56:$AN56="D+")*12+($AN56:$AN56="N+")*12+($AN56:$AN56="Dm+")*12+($AN56:$AN56="Dt+")*12+($AN56:$AN56="Tm-")*6+($AN56:$AN56="Mt-")*6)</f>
        <v/>
      </c>
      <c r="BC56" s="118">
        <f>BB56-MAX(0,IFERROR(INDEX(CADASTRO!$I$4:$I$80,MATCH($A56,CADASTRO!$A$4:$A$80,0)),$B56)-CONFIG!$B$50*(COUNTIF($AH56:$AM56,"AB")+COUNTIF($AH56:$AM56,"FE")+COUNTIF($AH56:$AM56,"LM")+COUNTIF($AN56:$AN56,"AB")+COUNTIF($AN56:$AN56,"FE")+COUNTIF($AN56:$AN56,"LM")))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36">
        <f>IFERROR(INDEX(SET!AJ$8:AJ$73,MATCH($A57,SET!$A$8:$A$73,0))&amp;"","")</f>
        <v/>
      </c>
      <c r="G57" s="136">
        <f>IFERROR(INDEX(SET!AK$8:AK$73,MATCH($A57,SET!$A$8:$A$73,0))&amp;"","")</f>
        <v/>
      </c>
      <c r="H57" s="136">
        <f>IFERROR(INDEX(SET!AL$8:AL$73,MATCH($A57,SET!$A$8:$A$73,0))&amp;"","")</f>
        <v/>
      </c>
      <c r="I57" s="114" t="n"/>
      <c r="J57" s="114" t="n"/>
      <c r="K57" s="125" t="inlineStr">
        <is>
          <t>N</t>
        </is>
      </c>
      <c r="L57" s="114" t="n"/>
      <c r="M57" s="125" t="inlineStr">
        <is>
          <t>N</t>
        </is>
      </c>
      <c r="N57" s="114" t="n"/>
      <c r="O57" s="114" t="n"/>
      <c r="P57" s="114" t="n"/>
      <c r="Q57" s="125" t="inlineStr">
        <is>
          <t>N</t>
        </is>
      </c>
      <c r="R57" s="114" t="n"/>
      <c r="S57" s="114" t="n"/>
      <c r="T57" s="125" t="inlineStr">
        <is>
          <t>N</t>
        </is>
      </c>
      <c r="U57" s="114" t="n"/>
      <c r="V57" s="125" t="inlineStr">
        <is>
          <t>N</t>
        </is>
      </c>
      <c r="W57" s="114" t="n"/>
      <c r="X57" s="114" t="n"/>
      <c r="Y57" s="114" t="n"/>
      <c r="Z57" s="114" t="n"/>
      <c r="AA57" s="125" t="inlineStr">
        <is>
          <t>N</t>
        </is>
      </c>
      <c r="AB57" s="114" t="n"/>
      <c r="AC57" s="114" t="n"/>
      <c r="AD57" s="114" t="n"/>
      <c r="AE57" s="114" t="n"/>
      <c r="AF57" s="124" t="inlineStr">
        <is>
          <t>D</t>
        </is>
      </c>
      <c r="AG57" s="114" t="n"/>
      <c r="AH57" s="125" t="inlineStr">
        <is>
          <t>N</t>
        </is>
      </c>
      <c r="AI57" s="114" t="n"/>
      <c r="AJ57" s="125" t="inlineStr">
        <is>
          <t>N</t>
        </is>
      </c>
      <c r="AK57" s="114" t="n"/>
      <c r="AL57" s="114" t="n"/>
      <c r="AM57" s="114" t="n"/>
      <c r="AN57" s="116">
        <f>IFERROR(INDEX(NOV!I$8:I$73,MATCH($A57,NOV!$A$8:$A$73,0))&amp;"","")</f>
        <v/>
      </c>
      <c r="AO57" s="100" t="n"/>
      <c r="AP57" s="100" t="n"/>
      <c r="AQ57" s="100" t="n"/>
      <c r="AR57" s="100" t="n"/>
      <c r="AS57" s="100" t="n"/>
      <c r="AT57" s="117">
        <f>SUMPRODUCT(($F57:$L57="M")*6+($F57:$L57="T")*6+($F57:$L57="D")*12+($F57:$L57="N")*12+($F57:$L57="NT")*6+($F57:$L57="C")*10+($F57:$L57="A")*8+($F57:$L57="J")*5+($F57:$L57="CEP")*4+($F57:$L57="CP")*6+($F57:$L57="CRO")*6+($F57:$L57="M+")*6+($F57:$L57="T+")*6+($F57:$L57="D+")*12+($F57:$L57="N+")*12+($F57:$L57="Dm+")*12+($F57:$L57="Dt+")*12+($F57:$L57="Tm-")*6+($F57:$L57="Mt-")*6)</f>
        <v/>
      </c>
      <c r="AU57" s="118">
        <f>AT57-MAX(0,IFERROR(INDEX(CADASTRO!$I$4:$I$80,MATCH($A57,CADASTRO!$A$4:$A$80,0)),$B57)-CONFIG!$B$50*(COUNTIF($F57:$L57,"AB")+COUNTIF($F57:$L57,"FE")+COUNTIF($F57:$L57,"LM")))</f>
        <v/>
      </c>
      <c r="AV57" s="117">
        <f>SUMPRODUCT(($M57:$S57="M")*6+($M57:$S57="T")*6+($M57:$S57="D")*12+($M57:$S57="N")*12+($M57:$S57="NT")*6+($M57:$S57="C")*10+($M57:$S57="A")*8+($M57:$S57="J")*5+($M57:$S57="CEP")*4+($M57:$S57="CP")*6+($M57:$S57="CRO")*6+($M57:$S57="M+")*6+($M57:$S57="T+")*6+($M57:$S57="D+")*12+($M57:$S57="N+")*12+($M57:$S57="Dm+")*12+($M57:$S57="Dt+")*12+($M57:$S57="Tm-")*6+($M57:$S57="Mt-")*6)</f>
        <v/>
      </c>
      <c r="AW57" s="118">
        <f>AV57-MAX(0,IFERROR(INDEX(CADASTRO!$I$4:$I$80,MATCH($A57,CADASTRO!$A$4:$A$80,0)),$B57)-CONFIG!$B$50*(COUNTIF($M57:$S57,"AB")+COUNTIF($M57:$S57,"FE")+COUNTIF($M57:$S57,"LM")))</f>
        <v/>
      </c>
      <c r="AX57" s="117">
        <f>SUMPRODUCT(($T57:$Z57="M")*6+($T57:$Z57="T")*6+($T57:$Z57="D")*12+($T57:$Z57="N")*12+($T57:$Z57="NT")*6+($T57:$Z57="C")*10+($T57:$Z57="A")*8+($T57:$Z57="J")*5+($T57:$Z57="CEP")*4+($T57:$Z57="CP")*6+($T57:$Z57="CRO")*6+($T57:$Z57="M+")*6+($T57:$Z57="T+")*6+($T57:$Z57="D+")*12+($T57:$Z57="N+")*12+($T57:$Z57="Dm+")*12+($T57:$Z57="Dt+")*12+($T57:$Z57="Tm-")*6+($T57:$Z57="Mt-")*6)</f>
        <v/>
      </c>
      <c r="AY57" s="118">
        <f>AX57-MAX(0,IFERROR(INDEX(CADASTRO!$I$4:$I$80,MATCH($A57,CADASTRO!$A$4:$A$80,0)),$B57)-CONFIG!$B$50*(COUNTIF($T57:$Z57,"AB")+COUNTIF($T57:$Z57,"FE")+COUNTIF($T57:$Z57,"LM")))</f>
        <v/>
      </c>
      <c r="AZ57" s="117">
        <f>SUMPRODUCT(($AA57:$AG57="M")*6+($AA57:$AG57="T")*6+($AA57:$AG57="D")*12+($AA57:$AG57="N")*12+($AA57:$AG57="NT")*6+($AA57:$AG57="C")*10+($AA57:$AG57="A")*8+($AA57:$AG57="J")*5+($AA57:$AG57="CEP")*4+($AA57:$AG57="CP")*6+($AA57:$AG57="CRO")*6+($AA57:$AG57="M+")*6+($AA57:$AG57="T+")*6+($AA57:$AG57="D+")*12+($AA57:$AG57="N+")*12+($AA57:$AG57="Dm+")*12+($AA57:$AG57="Dt+")*12+($AA57:$AG57="Tm-")*6+($AA57:$AG57="Mt-")*6)</f>
        <v/>
      </c>
      <c r="BA57" s="118">
        <f>AZ57-MAX(0,IFERROR(INDEX(CADASTRO!$I$4:$I$80,MATCH($A57,CADASTRO!$A$4:$A$80,0)),$B57)-CONFIG!$B$50*(COUNTIF($AA57:$AG57,"AB")+COUNTIF($AA57:$AG57,"FE")+COUNTIF($AA57:$AG57,"LM")))</f>
        <v/>
      </c>
      <c r="BB57" s="117">
        <f>SUMPRODUCT(($AH57:$AM57="M")*6+($AH57:$AM57="T")*6+($AH57:$AM57="D")*12+($AH57:$AM57="N")*12+($AH57:$AM57="NT")*6+($AH57:$AM57="C")*10+($AH57:$AM57="A")*8+($AH57:$AM57="J")*5+($AH57:$AM57="CEP")*4+($AH57:$AM57="CP")*6+($AH57:$AM57="CRO")*6+($AH57:$AM57="M+")*6+($AH57:$AM57="T+")*6+($AH57:$AM57="D+")*12+($AH57:$AM57="N+")*12+($AH57:$AM57="Dm+")*12+($AH57:$AM57="Dt+")*12+($AH57:$AM57="Tm-")*6+($AH57:$AM57="Mt-")*6)+SUMPRODUCT(($AN57:$AN57="M")*6+($AN57:$AN57="T")*6+($AN57:$AN57="D")*12+($AN57:$AN57="N")*12+($AN57:$AN57="NT")*6+($AN57:$AN57="C")*10+($AN57:$AN57="A")*8+($AN57:$AN57="J")*5+($AN57:$AN57="CEP")*4+($AN57:$AN57="CP")*6+($AN57:$AN57="CRO")*6+($AN57:$AN57="M+")*6+($AN57:$AN57="T+")*6+($AN57:$AN57="D+")*12+($AN57:$AN57="N+")*12+($AN57:$AN57="Dm+")*12+($AN57:$AN57="Dt+")*12+($AN57:$AN57="Tm-")*6+($AN57:$AN57="Mt-")*6)</f>
        <v/>
      </c>
      <c r="BC57" s="118">
        <f>BB57-MAX(0,IFERROR(INDEX(CADASTRO!$I$4:$I$80,MATCH($A57,CADASTRO!$A$4:$A$80,0)),$B57)-CONFIG!$B$50*(COUNTIF($AH57:$AM57,"AB")+COUNTIF($AH57:$AM57,"FE")+COUNTIF($AH57:$AM57,"LM")+COUNTIF($AN57:$AN57,"AB")+COUNTIF($AN57:$AN57,"FE")+COUNTIF($AN57:$AN57,"LM")))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36">
        <f>IFERROR(INDEX(SET!AJ$8:AJ$73,MATCH($A58,SET!$A$8:$A$73,0))&amp;"","")</f>
        <v/>
      </c>
      <c r="G58" s="136">
        <f>IFERROR(INDEX(SET!AK$8:AK$73,MATCH($A58,SET!$A$8:$A$73,0))&amp;"","")</f>
        <v/>
      </c>
      <c r="H58" s="136">
        <f>IFERROR(INDEX(SET!AL$8:AL$73,MATCH($A58,SET!$A$8:$A$73,0))&amp;"","")</f>
        <v/>
      </c>
      <c r="I58" s="114" t="n"/>
      <c r="J58" s="123" t="inlineStr">
        <is>
          <t>N+</t>
        </is>
      </c>
      <c r="K58" s="114" t="n"/>
      <c r="L58" s="114" t="n"/>
      <c r="M58" s="114" t="n"/>
      <c r="N58" s="114" t="n"/>
      <c r="O58" s="125" t="inlineStr">
        <is>
          <t>N</t>
        </is>
      </c>
      <c r="P58" s="114" t="n"/>
      <c r="Q58" s="114" t="n"/>
      <c r="R58" s="114" t="n"/>
      <c r="S58" s="124" t="inlineStr">
        <is>
          <t>D</t>
        </is>
      </c>
      <c r="T58" s="114" t="n"/>
      <c r="U58" s="114" t="n"/>
      <c r="V58" s="127" t="inlineStr">
        <is>
          <t>N-</t>
        </is>
      </c>
      <c r="W58" s="114" t="n"/>
      <c r="X58" s="124" t="inlineStr">
        <is>
          <t>D</t>
        </is>
      </c>
      <c r="Y58" s="114" t="n"/>
      <c r="Z58" s="114" t="n"/>
      <c r="AA58" s="124" t="inlineStr">
        <is>
          <t>D</t>
        </is>
      </c>
      <c r="AB58" s="114" t="n"/>
      <c r="AC58" s="125" t="inlineStr">
        <is>
          <t>N</t>
        </is>
      </c>
      <c r="AD58" s="114" t="n"/>
      <c r="AE58" s="114" t="n"/>
      <c r="AF58" s="114" t="n"/>
      <c r="AG58" s="114" t="n"/>
      <c r="AH58" s="114" t="n"/>
      <c r="AI58" s="114" t="n"/>
      <c r="AJ58" s="125" t="inlineStr">
        <is>
          <t>N</t>
        </is>
      </c>
      <c r="AK58" s="114" t="n"/>
      <c r="AL58" s="114" t="n"/>
      <c r="AM58" s="124" t="inlineStr">
        <is>
          <t>D</t>
        </is>
      </c>
      <c r="AN58" s="116">
        <f>IFERROR(INDEX(NOV!I$8:I$73,MATCH($A58,NOV!$A$8:$A$73,0))&amp;"","")</f>
        <v/>
      </c>
      <c r="AO58" s="100" t="n"/>
      <c r="AP58" s="100" t="n"/>
      <c r="AQ58" s="100" t="n"/>
      <c r="AR58" s="100" t="n"/>
      <c r="AS58" s="100" t="n"/>
      <c r="AT58" s="117">
        <f>SUMPRODUCT(($F58:$L58="M")*6+($F58:$L58="T")*6+($F58:$L58="D")*12+($F58:$L58="N")*12+($F58:$L58="NT")*6+($F58:$L58="C")*10+($F58:$L58="A")*8+($F58:$L58="J")*5+($F58:$L58="CEP")*4+($F58:$L58="CP")*6+($F58:$L58="CRO")*6+($F58:$L58="M+")*6+($F58:$L58="T+")*6+($F58:$L58="D+")*12+($F58:$L58="N+")*12+($F58:$L58="Dm+")*12+($F58:$L58="Dt+")*12+($F58:$L58="Tm-")*6+($F58:$L58="Mt-")*6)</f>
        <v/>
      </c>
      <c r="AU58" s="118">
        <f>AT58-MAX(0,IFERROR(INDEX(CADASTRO!$I$4:$I$80,MATCH($A58,CADASTRO!$A$4:$A$80,0)),$B58)-CONFIG!$B$50*(COUNTIF($F58:$L58,"AB")+COUNTIF($F58:$L58,"FE")+COUNTIF($F58:$L58,"LM")))</f>
        <v/>
      </c>
      <c r="AV58" s="117">
        <f>SUMPRODUCT(($M58:$S58="M")*6+($M58:$S58="T")*6+($M58:$S58="D")*12+($M58:$S58="N")*12+($M58:$S58="NT")*6+($M58:$S58="C")*10+($M58:$S58="A")*8+($M58:$S58="J")*5+($M58:$S58="CEP")*4+($M58:$S58="CP")*6+($M58:$S58="CRO")*6+($M58:$S58="M+")*6+($M58:$S58="T+")*6+($M58:$S58="D+")*12+($M58:$S58="N+")*12+($M58:$S58="Dm+")*12+($M58:$S58="Dt+")*12+($M58:$S58="Tm-")*6+($M58:$S58="Mt-")*6)</f>
        <v/>
      </c>
      <c r="AW58" s="118">
        <f>AV58-MAX(0,IFERROR(INDEX(CADASTRO!$I$4:$I$80,MATCH($A58,CADASTRO!$A$4:$A$80,0)),$B58)-CONFIG!$B$50*(COUNTIF($M58:$S58,"AB")+COUNTIF($M58:$S58,"FE")+COUNTIF($M58:$S58,"LM")))</f>
        <v/>
      </c>
      <c r="AX58" s="117">
        <f>SUMPRODUCT(($T58:$Z58="M")*6+($T58:$Z58="T")*6+($T58:$Z58="D")*12+($T58:$Z58="N")*12+($T58:$Z58="NT")*6+($T58:$Z58="C")*10+($T58:$Z58="A")*8+($T58:$Z58="J")*5+($T58:$Z58="CEP")*4+($T58:$Z58="CP")*6+($T58:$Z58="CRO")*6+($T58:$Z58="M+")*6+($T58:$Z58="T+")*6+($T58:$Z58="D+")*12+($T58:$Z58="N+")*12+($T58:$Z58="Dm+")*12+($T58:$Z58="Dt+")*12+($T58:$Z58="Tm-")*6+($T58:$Z58="Mt-")*6)</f>
        <v/>
      </c>
      <c r="AY58" s="118">
        <f>AX58-MAX(0,IFERROR(INDEX(CADASTRO!$I$4:$I$80,MATCH($A58,CADASTRO!$A$4:$A$80,0)),$B58)-CONFIG!$B$50*(COUNTIF($T58:$Z58,"AB")+COUNTIF($T58:$Z58,"FE")+COUNTIF($T58:$Z58,"LM")))</f>
        <v/>
      </c>
      <c r="AZ58" s="117">
        <f>SUMPRODUCT(($AA58:$AG58="M")*6+($AA58:$AG58="T")*6+($AA58:$AG58="D")*12+($AA58:$AG58="N")*12+($AA58:$AG58="NT")*6+($AA58:$AG58="C")*10+($AA58:$AG58="A")*8+($AA58:$AG58="J")*5+($AA58:$AG58="CEP")*4+($AA58:$AG58="CP")*6+($AA58:$AG58="CRO")*6+($AA58:$AG58="M+")*6+($AA58:$AG58="T+")*6+($AA58:$AG58="D+")*12+($AA58:$AG58="N+")*12+($AA58:$AG58="Dm+")*12+($AA58:$AG58="Dt+")*12+($AA58:$AG58="Tm-")*6+($AA58:$AG58="Mt-")*6)</f>
        <v/>
      </c>
      <c r="BA58" s="118">
        <f>AZ58-MAX(0,IFERROR(INDEX(CADASTRO!$I$4:$I$80,MATCH($A58,CADASTRO!$A$4:$A$80,0)),$B58)-CONFIG!$B$50*(COUNTIF($AA58:$AG58,"AB")+COUNTIF($AA58:$AG58,"FE")+COUNTIF($AA58:$AG58,"LM")))</f>
        <v/>
      </c>
      <c r="BB58" s="117">
        <f>SUMPRODUCT(($AH58:$AM58="M")*6+($AH58:$AM58="T")*6+($AH58:$AM58="D")*12+($AH58:$AM58="N")*12+($AH58:$AM58="NT")*6+($AH58:$AM58="C")*10+($AH58:$AM58="A")*8+($AH58:$AM58="J")*5+($AH58:$AM58="CEP")*4+($AH58:$AM58="CP")*6+($AH58:$AM58="CRO")*6+($AH58:$AM58="M+")*6+($AH58:$AM58="T+")*6+($AH58:$AM58="D+")*12+($AH58:$AM58="N+")*12+($AH58:$AM58="Dm+")*12+($AH58:$AM58="Dt+")*12+($AH58:$AM58="Tm-")*6+($AH58:$AM58="Mt-")*6)+SUMPRODUCT(($AN58:$AN58="M")*6+($AN58:$AN58="T")*6+($AN58:$AN58="D")*12+($AN58:$AN58="N")*12+($AN58:$AN58="NT")*6+($AN58:$AN58="C")*10+($AN58:$AN58="A")*8+($AN58:$AN58="J")*5+($AN58:$AN58="CEP")*4+($AN58:$AN58="CP")*6+($AN58:$AN58="CRO")*6+($AN58:$AN58="M+")*6+($AN58:$AN58="T+")*6+($AN58:$AN58="D+")*12+($AN58:$AN58="N+")*12+($AN58:$AN58="Dm+")*12+($AN58:$AN58="Dt+")*12+($AN58:$AN58="Tm-")*6+($AN58:$AN58="Mt-")*6)</f>
        <v/>
      </c>
      <c r="BC58" s="118">
        <f>BB58-MAX(0,IFERROR(INDEX(CADASTRO!$I$4:$I$80,MATCH($A58,CADASTRO!$A$4:$A$80,0)),$B58)-CONFIG!$B$50*(COUNTIF($AH58:$AM58,"AB")+COUNTIF($AH58:$AM58,"FE")+COUNTIF($AH58:$AM58,"LM")+COUNTIF($AN58:$AN58,"AB")+COUNTIF($AN58:$AN58,"FE")+COUNTIF($AN58:$AN58,"LM")))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36">
        <f>IFERROR(INDEX(SET!AJ$8:AJ$73,MATCH($A59,SET!$A$8:$A$73,0))&amp;"","")</f>
        <v/>
      </c>
      <c r="G59" s="136">
        <f>IFERROR(INDEX(SET!AK$8:AK$73,MATCH($A59,SET!$A$8:$A$73,0))&amp;"","")</f>
        <v/>
      </c>
      <c r="H59" s="136">
        <f>IFERROR(INDEX(SET!AL$8:AL$73,MATCH($A59,SET!$A$8:$A$73,0))&amp;"","")</f>
        <v/>
      </c>
      <c r="I59" s="114" t="n"/>
      <c r="J59" s="114" t="n"/>
      <c r="K59" s="114" t="n"/>
      <c r="L59" s="125" t="inlineStr">
        <is>
          <t>N</t>
        </is>
      </c>
      <c r="M59" s="114" t="n"/>
      <c r="N59" s="114" t="n"/>
      <c r="O59" s="125" t="inlineStr">
        <is>
          <t>N</t>
        </is>
      </c>
      <c r="P59" s="114" t="n"/>
      <c r="Q59" s="125" t="inlineStr">
        <is>
          <t>N</t>
        </is>
      </c>
      <c r="R59" s="123" t="inlineStr">
        <is>
          <t>N+</t>
        </is>
      </c>
      <c r="S59" s="114" t="n"/>
      <c r="T59" s="114" t="n"/>
      <c r="U59" s="114" t="n"/>
      <c r="V59" s="125" t="inlineStr">
        <is>
          <t>N</t>
        </is>
      </c>
      <c r="W59" s="114" t="n"/>
      <c r="X59" s="124" t="inlineStr">
        <is>
          <t>D</t>
        </is>
      </c>
      <c r="Y59" s="114" t="n"/>
      <c r="Z59" s="114" t="n"/>
      <c r="AA59" s="114" t="n"/>
      <c r="AB59" s="114" t="n"/>
      <c r="AC59" s="125" t="inlineStr">
        <is>
          <t>N</t>
        </is>
      </c>
      <c r="AD59" s="114" t="n"/>
      <c r="AE59" s="114" t="n"/>
      <c r="AF59" s="125" t="inlineStr">
        <is>
          <t>N</t>
        </is>
      </c>
      <c r="AG59" s="114" t="n"/>
      <c r="AH59" s="114" t="n"/>
      <c r="AI59" s="114" t="n"/>
      <c r="AJ59" s="125" t="inlineStr">
        <is>
          <t>N</t>
        </is>
      </c>
      <c r="AK59" s="127" t="inlineStr">
        <is>
          <t>T-</t>
        </is>
      </c>
      <c r="AL59" s="126" t="inlineStr">
        <is>
          <t>T</t>
        </is>
      </c>
      <c r="AM59" s="114" t="n"/>
      <c r="AN59" s="116">
        <f>IFERROR(INDEX(NOV!I$8:I$73,MATCH($A59,NOV!$A$8:$A$73,0))&amp;"","")</f>
        <v/>
      </c>
      <c r="AO59" s="100" t="n"/>
      <c r="AP59" s="100" t="n"/>
      <c r="AQ59" s="100" t="n"/>
      <c r="AR59" s="100" t="n"/>
      <c r="AS59" s="100" t="n"/>
      <c r="AT59" s="117">
        <f>SUMPRODUCT(($F59:$L59="M")*6+($F59:$L59="T")*6+($F59:$L59="D")*12+($F59:$L59="N")*12+($F59:$L59="NT")*6+($F59:$L59="C")*10+($F59:$L59="A")*8+($F59:$L59="J")*5+($F59:$L59="CEP")*4+($F59:$L59="CP")*6+($F59:$L59="CRO")*6+($F59:$L59="M+")*6+($F59:$L59="T+")*6+($F59:$L59="D+")*12+($F59:$L59="N+")*12+($F59:$L59="Dm+")*12+($F59:$L59="Dt+")*12+($F59:$L59="Tm-")*6+($F59:$L59="Mt-")*6)</f>
        <v/>
      </c>
      <c r="AU59" s="118">
        <f>AT59-MAX(0,IFERROR(INDEX(CADASTRO!$I$4:$I$80,MATCH($A59,CADASTRO!$A$4:$A$80,0)),$B59)-CONFIG!$B$50*(COUNTIF($F59:$L59,"AB")+COUNTIF($F59:$L59,"FE")+COUNTIF($F59:$L59,"LM")))</f>
        <v/>
      </c>
      <c r="AV59" s="117">
        <f>SUMPRODUCT(($M59:$S59="M")*6+($M59:$S59="T")*6+($M59:$S59="D")*12+($M59:$S59="N")*12+($M59:$S59="NT")*6+($M59:$S59="C")*10+($M59:$S59="A")*8+($M59:$S59="J")*5+($M59:$S59="CEP")*4+($M59:$S59="CP")*6+($M59:$S59="CRO")*6+($M59:$S59="M+")*6+($M59:$S59="T+")*6+($M59:$S59="D+")*12+($M59:$S59="N+")*12+($M59:$S59="Dm+")*12+($M59:$S59="Dt+")*12+($M59:$S59="Tm-")*6+($M59:$S59="Mt-")*6)</f>
        <v/>
      </c>
      <c r="AW59" s="118">
        <f>AV59-MAX(0,IFERROR(INDEX(CADASTRO!$I$4:$I$80,MATCH($A59,CADASTRO!$A$4:$A$80,0)),$B59)-CONFIG!$B$50*(COUNTIF($M59:$S59,"AB")+COUNTIF($M59:$S59,"FE")+COUNTIF($M59:$S59,"LM")))</f>
        <v/>
      </c>
      <c r="AX59" s="117">
        <f>SUMPRODUCT(($T59:$Z59="M")*6+($T59:$Z59="T")*6+($T59:$Z59="D")*12+($T59:$Z59="N")*12+($T59:$Z59="NT")*6+($T59:$Z59="C")*10+($T59:$Z59="A")*8+($T59:$Z59="J")*5+($T59:$Z59="CEP")*4+($T59:$Z59="CP")*6+($T59:$Z59="CRO")*6+($T59:$Z59="M+")*6+($T59:$Z59="T+")*6+($T59:$Z59="D+")*12+($T59:$Z59="N+")*12+($T59:$Z59="Dm+")*12+($T59:$Z59="Dt+")*12+($T59:$Z59="Tm-")*6+($T59:$Z59="Mt-")*6)</f>
        <v/>
      </c>
      <c r="AY59" s="118">
        <f>AX59-MAX(0,IFERROR(INDEX(CADASTRO!$I$4:$I$80,MATCH($A59,CADASTRO!$A$4:$A$80,0)),$B59)-CONFIG!$B$50*(COUNTIF($T59:$Z59,"AB")+COUNTIF($T59:$Z59,"FE")+COUNTIF($T59:$Z59,"LM")))</f>
        <v/>
      </c>
      <c r="AZ59" s="117">
        <f>SUMPRODUCT(($AA59:$AG59="M")*6+($AA59:$AG59="T")*6+($AA59:$AG59="D")*12+($AA59:$AG59="N")*12+($AA59:$AG59="NT")*6+($AA59:$AG59="C")*10+($AA59:$AG59="A")*8+($AA59:$AG59="J")*5+($AA59:$AG59="CEP")*4+($AA59:$AG59="CP")*6+($AA59:$AG59="CRO")*6+($AA59:$AG59="M+")*6+($AA59:$AG59="T+")*6+($AA59:$AG59="D+")*12+($AA59:$AG59="N+")*12+($AA59:$AG59="Dm+")*12+($AA59:$AG59="Dt+")*12+($AA59:$AG59="Tm-")*6+($AA59:$AG59="Mt-")*6)</f>
        <v/>
      </c>
      <c r="BA59" s="118">
        <f>AZ59-MAX(0,IFERROR(INDEX(CADASTRO!$I$4:$I$80,MATCH($A59,CADASTRO!$A$4:$A$80,0)),$B59)-CONFIG!$B$50*(COUNTIF($AA59:$AG59,"AB")+COUNTIF($AA59:$AG59,"FE")+COUNTIF($AA59:$AG59,"LM")))</f>
        <v/>
      </c>
      <c r="BB59" s="117">
        <f>SUMPRODUCT(($AH59:$AM59="M")*6+($AH59:$AM59="T")*6+($AH59:$AM59="D")*12+($AH59:$AM59="N")*12+($AH59:$AM59="NT")*6+($AH59:$AM59="C")*10+($AH59:$AM59="A")*8+($AH59:$AM59="J")*5+($AH59:$AM59="CEP")*4+($AH59:$AM59="CP")*6+($AH59:$AM59="CRO")*6+($AH59:$AM59="M+")*6+($AH59:$AM59="T+")*6+($AH59:$AM59="D+")*12+($AH59:$AM59="N+")*12+($AH59:$AM59="Dm+")*12+($AH59:$AM59="Dt+")*12+($AH59:$AM59="Tm-")*6+($AH59:$AM59="Mt-")*6)+SUMPRODUCT(($AN59:$AN59="M")*6+($AN59:$AN59="T")*6+($AN59:$AN59="D")*12+($AN59:$AN59="N")*12+($AN59:$AN59="NT")*6+($AN59:$AN59="C")*10+($AN59:$AN59="A")*8+($AN59:$AN59="J")*5+($AN59:$AN59="CEP")*4+($AN59:$AN59="CP")*6+($AN59:$AN59="CRO")*6+($AN59:$AN59="M+")*6+($AN59:$AN59="T+")*6+($AN59:$AN59="D+")*12+($AN59:$AN59="N+")*12+($AN59:$AN59="Dm+")*12+($AN59:$AN59="Dt+")*12+($AN59:$AN59="Tm-")*6+($AN59:$AN59="Mt-")*6)</f>
        <v/>
      </c>
      <c r="BC59" s="118">
        <f>BB59-MAX(0,IFERROR(INDEX(CADASTRO!$I$4:$I$80,MATCH($A59,CADASTRO!$A$4:$A$80,0)),$B59)-CONFIG!$B$50*(COUNTIF($AH59:$AM59,"AB")+COUNTIF($AH59:$AM59,"FE")+COUNTIF($AH59:$AM59,"LM")+COUNTIF($AN59:$AN59,"AB")+COUNTIF($AN59:$AN59,"FE")+COUNTIF($AN59:$AN59,"LM")))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36">
        <f>IFERROR(INDEX(SET!AJ$8:AJ$73,MATCH($A60,SET!$A$8:$A$73,0))&amp;"","")</f>
        <v/>
      </c>
      <c r="G60" s="136">
        <f>IFERROR(INDEX(SET!AK$8:AK$73,MATCH($A60,SET!$A$8:$A$73,0))&amp;"","")</f>
        <v/>
      </c>
      <c r="H60" s="136">
        <f>IFERROR(INDEX(SET!AL$8:AL$73,MATCH($A60,SET!$A$8:$A$73,0))&amp;"","")</f>
        <v/>
      </c>
      <c r="I60" s="125" t="inlineStr">
        <is>
          <t>N</t>
        </is>
      </c>
      <c r="J60" s="114" t="n"/>
      <c r="K60" s="114" t="n"/>
      <c r="L60" s="123" t="inlineStr">
        <is>
          <t>T+</t>
        </is>
      </c>
      <c r="M60" s="114" t="n"/>
      <c r="N60" s="125" t="inlineStr">
        <is>
          <t>N</t>
        </is>
      </c>
      <c r="O60" s="114" t="n"/>
      <c r="P60" s="125" t="inlineStr">
        <is>
          <t>N</t>
        </is>
      </c>
      <c r="Q60" s="114" t="n"/>
      <c r="R60" s="114" t="n"/>
      <c r="S60" s="114" t="n"/>
      <c r="T60" s="114" t="n"/>
      <c r="U60" s="114" t="n"/>
      <c r="V60" s="114" t="n"/>
      <c r="W60" s="125" t="inlineStr">
        <is>
          <t>N</t>
        </is>
      </c>
      <c r="X60" s="114" t="n"/>
      <c r="Y60" s="114" t="n"/>
      <c r="Z60" s="124" t="inlineStr">
        <is>
          <t>D</t>
        </is>
      </c>
      <c r="AA60" s="114" t="n"/>
      <c r="AB60" s="114" t="n"/>
      <c r="AC60" s="114" t="n"/>
      <c r="AD60" s="125" t="inlineStr">
        <is>
          <t>N</t>
        </is>
      </c>
      <c r="AE60" s="114" t="n"/>
      <c r="AF60" s="114" t="n"/>
      <c r="AG60" s="125" t="inlineStr">
        <is>
          <t>N</t>
        </is>
      </c>
      <c r="AH60" s="114" t="n"/>
      <c r="AI60" s="127" t="inlineStr">
        <is>
          <t>T-</t>
        </is>
      </c>
      <c r="AJ60" s="126" t="inlineStr">
        <is>
          <t>T</t>
        </is>
      </c>
      <c r="AK60" s="114" t="n"/>
      <c r="AL60" s="125" t="inlineStr">
        <is>
          <t>N</t>
        </is>
      </c>
      <c r="AM60" s="114" t="n"/>
      <c r="AN60" s="116">
        <f>IFERROR(INDEX(NOV!I$8:I$73,MATCH($A60,NOV!$A$8:$A$73,0))&amp;"","")</f>
        <v/>
      </c>
      <c r="AO60" s="100" t="n"/>
      <c r="AP60" s="100" t="n"/>
      <c r="AQ60" s="100" t="n"/>
      <c r="AR60" s="100" t="n"/>
      <c r="AS60" s="100" t="n"/>
      <c r="AT60" s="117">
        <f>SUMPRODUCT(($F60:$L60="M")*6+($F60:$L60="T")*6+($F60:$L60="D")*12+($F60:$L60="N")*12+($F60:$L60="NT")*6+($F60:$L60="C")*10+($F60:$L60="A")*8+($F60:$L60="J")*5+($F60:$L60="CEP")*4+($F60:$L60="CP")*6+($F60:$L60="CRO")*6+($F60:$L60="M+")*6+($F60:$L60="T+")*6+($F60:$L60="D+")*12+($F60:$L60="N+")*12+($F60:$L60="Dm+")*12+($F60:$L60="Dt+")*12+($F60:$L60="Tm-")*6+($F60:$L60="Mt-")*6)</f>
        <v/>
      </c>
      <c r="AU60" s="118">
        <f>AT60-MAX(0,IFERROR(INDEX(CADASTRO!$I$4:$I$80,MATCH($A60,CADASTRO!$A$4:$A$80,0)),$B60)-CONFIG!$B$50*(COUNTIF($F60:$L60,"AB")+COUNTIF($F60:$L60,"FE")+COUNTIF($F60:$L60,"LM")))</f>
        <v/>
      </c>
      <c r="AV60" s="117">
        <f>SUMPRODUCT(($M60:$S60="M")*6+($M60:$S60="T")*6+($M60:$S60="D")*12+($M60:$S60="N")*12+($M60:$S60="NT")*6+($M60:$S60="C")*10+($M60:$S60="A")*8+($M60:$S60="J")*5+($M60:$S60="CEP")*4+($M60:$S60="CP")*6+($M60:$S60="CRO")*6+($M60:$S60="M+")*6+($M60:$S60="T+")*6+($M60:$S60="D+")*12+($M60:$S60="N+")*12+($M60:$S60="Dm+")*12+($M60:$S60="Dt+")*12+($M60:$S60="Tm-")*6+($M60:$S60="Mt-")*6)</f>
        <v/>
      </c>
      <c r="AW60" s="118">
        <f>AV60-MAX(0,IFERROR(INDEX(CADASTRO!$I$4:$I$80,MATCH($A60,CADASTRO!$A$4:$A$80,0)),$B60)-CONFIG!$B$50*(COUNTIF($M60:$S60,"AB")+COUNTIF($M60:$S60,"FE")+COUNTIF($M60:$S60,"LM")))</f>
        <v/>
      </c>
      <c r="AX60" s="117">
        <f>SUMPRODUCT(($T60:$Z60="M")*6+($T60:$Z60="T")*6+($T60:$Z60="D")*12+($T60:$Z60="N")*12+($T60:$Z60="NT")*6+($T60:$Z60="C")*10+($T60:$Z60="A")*8+($T60:$Z60="J")*5+($T60:$Z60="CEP")*4+($T60:$Z60="CP")*6+($T60:$Z60="CRO")*6+($T60:$Z60="M+")*6+($T60:$Z60="T+")*6+($T60:$Z60="D+")*12+($T60:$Z60="N+")*12+($T60:$Z60="Dm+")*12+($T60:$Z60="Dt+")*12+($T60:$Z60="Tm-")*6+($T60:$Z60="Mt-")*6)</f>
        <v/>
      </c>
      <c r="AY60" s="118">
        <f>AX60-MAX(0,IFERROR(INDEX(CADASTRO!$I$4:$I$80,MATCH($A60,CADASTRO!$A$4:$A$80,0)),$B60)-CONFIG!$B$50*(COUNTIF($T60:$Z60,"AB")+COUNTIF($T60:$Z60,"FE")+COUNTIF($T60:$Z60,"LM")))</f>
        <v/>
      </c>
      <c r="AZ60" s="117">
        <f>SUMPRODUCT(($AA60:$AG60="M")*6+($AA60:$AG60="T")*6+($AA60:$AG60="D")*12+($AA60:$AG60="N")*12+($AA60:$AG60="NT")*6+($AA60:$AG60="C")*10+($AA60:$AG60="A")*8+($AA60:$AG60="J")*5+($AA60:$AG60="CEP")*4+($AA60:$AG60="CP")*6+($AA60:$AG60="CRO")*6+($AA60:$AG60="M+")*6+($AA60:$AG60="T+")*6+($AA60:$AG60="D+")*12+($AA60:$AG60="N+")*12+($AA60:$AG60="Dm+")*12+($AA60:$AG60="Dt+")*12+($AA60:$AG60="Tm-")*6+($AA60:$AG60="Mt-")*6)</f>
        <v/>
      </c>
      <c r="BA60" s="118">
        <f>AZ60-MAX(0,IFERROR(INDEX(CADASTRO!$I$4:$I$80,MATCH($A60,CADASTRO!$A$4:$A$80,0)),$B60)-CONFIG!$B$50*(COUNTIF($AA60:$AG60,"AB")+COUNTIF($AA60:$AG60,"FE")+COUNTIF($AA60:$AG60,"LM")))</f>
        <v/>
      </c>
      <c r="BB60" s="117">
        <f>SUMPRODUCT(($AH60:$AM60="M")*6+($AH60:$AM60="T")*6+($AH60:$AM60="D")*12+($AH60:$AM60="N")*12+($AH60:$AM60="NT")*6+($AH60:$AM60="C")*10+($AH60:$AM60="A")*8+($AH60:$AM60="J")*5+($AH60:$AM60="CEP")*4+($AH60:$AM60="CP")*6+($AH60:$AM60="CRO")*6+($AH60:$AM60="M+")*6+($AH60:$AM60="T+")*6+($AH60:$AM60="D+")*12+($AH60:$AM60="N+")*12+($AH60:$AM60="Dm+")*12+($AH60:$AM60="Dt+")*12+($AH60:$AM60="Tm-")*6+($AH60:$AM60="Mt-")*6)+SUMPRODUCT(($AN60:$AN60="M")*6+($AN60:$AN60="T")*6+($AN60:$AN60="D")*12+($AN60:$AN60="N")*12+($AN60:$AN60="NT")*6+($AN60:$AN60="C")*10+($AN60:$AN60="A")*8+($AN60:$AN60="J")*5+($AN60:$AN60="CEP")*4+($AN60:$AN60="CP")*6+($AN60:$AN60="CRO")*6+($AN60:$AN60="M+")*6+($AN60:$AN60="T+")*6+($AN60:$AN60="D+")*12+($AN60:$AN60="N+")*12+($AN60:$AN60="Dm+")*12+($AN60:$AN60="Dt+")*12+($AN60:$AN60="Tm-")*6+($AN60:$AN60="Mt-")*6)</f>
        <v/>
      </c>
      <c r="BC60" s="118">
        <f>BB60-MAX(0,IFERROR(INDEX(CADASTRO!$I$4:$I$80,MATCH($A60,CADASTRO!$A$4:$A$80,0)),$B60)-CONFIG!$B$50*(COUNTIF($AH60:$AM60,"AB")+COUNTIF($AH60:$AM60,"FE")+COUNTIF($AH60:$AM60,"LM")+COUNTIF($AN60:$AN60,"AB")+COUNTIF($AN60:$AN60,"FE")+COUNTIF($AN60:$AN60,"LM")))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36">
        <f>IFERROR(INDEX(SET!AJ$8:AJ$73,MATCH($A61,SET!$A$8:$A$73,0))&amp;"","")</f>
        <v/>
      </c>
      <c r="G61" s="136">
        <f>IFERROR(INDEX(SET!AK$8:AK$73,MATCH($A61,SET!$A$8:$A$73,0))&amp;"","")</f>
        <v/>
      </c>
      <c r="H61" s="136">
        <f>IFERROR(INDEX(SET!AL$8:AL$73,MATCH($A61,SET!$A$8:$A$73,0))&amp;"","")</f>
        <v/>
      </c>
      <c r="I61" s="114" t="n"/>
      <c r="J61" s="114" t="n"/>
      <c r="K61" s="123" t="inlineStr">
        <is>
          <t>D+</t>
        </is>
      </c>
      <c r="L61" s="114" t="n"/>
      <c r="M61" s="124" t="inlineStr">
        <is>
          <t>D</t>
        </is>
      </c>
      <c r="N61" s="114" t="n"/>
      <c r="O61" s="114" t="n"/>
      <c r="P61" s="127" t="inlineStr">
        <is>
          <t>D-</t>
        </is>
      </c>
      <c r="Q61" s="114" t="n"/>
      <c r="R61" s="114" t="n"/>
      <c r="S61" s="114" t="n"/>
      <c r="T61" s="124" t="inlineStr">
        <is>
          <t>D</t>
        </is>
      </c>
      <c r="U61" s="114" t="n"/>
      <c r="V61" s="114" t="n"/>
      <c r="W61" s="114" t="n"/>
      <c r="X61" s="114" t="n"/>
      <c r="Y61" s="125" t="inlineStr">
        <is>
          <t>N</t>
        </is>
      </c>
      <c r="Z61" s="114" t="n"/>
      <c r="AA61" s="124" t="inlineStr">
        <is>
          <t>D</t>
        </is>
      </c>
      <c r="AB61" s="114" t="n"/>
      <c r="AC61" s="114" t="n"/>
      <c r="AD61" s="124" t="inlineStr">
        <is>
          <t>D</t>
        </is>
      </c>
      <c r="AE61" s="114" t="n"/>
      <c r="AF61" s="114" t="n"/>
      <c r="AG61" s="114" t="n"/>
      <c r="AH61" s="124" t="inlineStr">
        <is>
          <t>D</t>
        </is>
      </c>
      <c r="AI61" s="114" t="n"/>
      <c r="AJ61" s="114" t="n"/>
      <c r="AK61" s="126" t="inlineStr">
        <is>
          <t>T</t>
        </is>
      </c>
      <c r="AL61" s="114" t="n"/>
      <c r="AM61" s="126" t="inlineStr">
        <is>
          <t>T</t>
        </is>
      </c>
      <c r="AN61" s="116">
        <f>IFERROR(INDEX(NOV!I$8:I$73,MATCH($A61,NOV!$A$8:$A$73,0))&amp;"","")</f>
        <v/>
      </c>
      <c r="AO61" s="100" t="n"/>
      <c r="AP61" s="100" t="n"/>
      <c r="AQ61" s="100" t="n"/>
      <c r="AR61" s="100" t="n"/>
      <c r="AS61" s="100" t="n"/>
      <c r="AT61" s="117">
        <f>SUMPRODUCT(($F61:$L61="M")*6+($F61:$L61="T")*6+($F61:$L61="D")*12+($F61:$L61="N")*12+($F61:$L61="NT")*6+($F61:$L61="C")*10+($F61:$L61="A")*8+($F61:$L61="J")*5+($F61:$L61="CEP")*4+($F61:$L61="CP")*6+($F61:$L61="CRO")*6+($F61:$L61="M+")*6+($F61:$L61="T+")*6+($F61:$L61="D+")*12+($F61:$L61="N+")*12+($F61:$L61="Dm+")*12+($F61:$L61="Dt+")*12+($F61:$L61="Tm-")*6+($F61:$L61="Mt-")*6)</f>
        <v/>
      </c>
      <c r="AU61" s="118">
        <f>AT61-MAX(0,IFERROR(INDEX(CADASTRO!$I$4:$I$80,MATCH($A61,CADASTRO!$A$4:$A$80,0)),$B61)-CONFIG!$B$50*(COUNTIF($F61:$L61,"AB")+COUNTIF($F61:$L61,"FE")+COUNTIF($F61:$L61,"LM")))</f>
        <v/>
      </c>
      <c r="AV61" s="117">
        <f>SUMPRODUCT(($M61:$S61="M")*6+($M61:$S61="T")*6+($M61:$S61="D")*12+($M61:$S61="N")*12+($M61:$S61="NT")*6+($M61:$S61="C")*10+($M61:$S61="A")*8+($M61:$S61="J")*5+($M61:$S61="CEP")*4+($M61:$S61="CP")*6+($M61:$S61="CRO")*6+($M61:$S61="M+")*6+($M61:$S61="T+")*6+($M61:$S61="D+")*12+($M61:$S61="N+")*12+($M61:$S61="Dm+")*12+($M61:$S61="Dt+")*12+($M61:$S61="Tm-")*6+($M61:$S61="Mt-")*6)</f>
        <v/>
      </c>
      <c r="AW61" s="118">
        <f>AV61-MAX(0,IFERROR(INDEX(CADASTRO!$I$4:$I$80,MATCH($A61,CADASTRO!$A$4:$A$80,0)),$B61)-CONFIG!$B$50*(COUNTIF($M61:$S61,"AB")+COUNTIF($M61:$S61,"FE")+COUNTIF($M61:$S61,"LM")))</f>
        <v/>
      </c>
      <c r="AX61" s="117">
        <f>SUMPRODUCT(($T61:$Z61="M")*6+($T61:$Z61="T")*6+($T61:$Z61="D")*12+($T61:$Z61="N")*12+($T61:$Z61="NT")*6+($T61:$Z61="C")*10+($T61:$Z61="A")*8+($T61:$Z61="J")*5+($T61:$Z61="CEP")*4+($T61:$Z61="CP")*6+($T61:$Z61="CRO")*6+($T61:$Z61="M+")*6+($T61:$Z61="T+")*6+($T61:$Z61="D+")*12+($T61:$Z61="N+")*12+($T61:$Z61="Dm+")*12+($T61:$Z61="Dt+")*12+($T61:$Z61="Tm-")*6+($T61:$Z61="Mt-")*6)</f>
        <v/>
      </c>
      <c r="AY61" s="118">
        <f>AX61-MAX(0,IFERROR(INDEX(CADASTRO!$I$4:$I$80,MATCH($A61,CADASTRO!$A$4:$A$80,0)),$B61)-CONFIG!$B$50*(COUNTIF($T61:$Z61,"AB")+COUNTIF($T61:$Z61,"FE")+COUNTIF($T61:$Z61,"LM")))</f>
        <v/>
      </c>
      <c r="AZ61" s="117">
        <f>SUMPRODUCT(($AA61:$AG61="M")*6+($AA61:$AG61="T")*6+($AA61:$AG61="D")*12+($AA61:$AG61="N")*12+($AA61:$AG61="NT")*6+($AA61:$AG61="C")*10+($AA61:$AG61="A")*8+($AA61:$AG61="J")*5+($AA61:$AG61="CEP")*4+($AA61:$AG61="CP")*6+($AA61:$AG61="CRO")*6+($AA61:$AG61="M+")*6+($AA61:$AG61="T+")*6+($AA61:$AG61="D+")*12+($AA61:$AG61="N+")*12+($AA61:$AG61="Dm+")*12+($AA61:$AG61="Dt+")*12+($AA61:$AG61="Tm-")*6+($AA61:$AG61="Mt-")*6)</f>
        <v/>
      </c>
      <c r="BA61" s="118">
        <f>AZ61-MAX(0,IFERROR(INDEX(CADASTRO!$I$4:$I$80,MATCH($A61,CADASTRO!$A$4:$A$80,0)),$B61)-CONFIG!$B$50*(COUNTIF($AA61:$AG61,"AB")+COUNTIF($AA61:$AG61,"FE")+COUNTIF($AA61:$AG61,"LM")))</f>
        <v/>
      </c>
      <c r="BB61" s="117">
        <f>SUMPRODUCT(($AH61:$AM61="M")*6+($AH61:$AM61="T")*6+($AH61:$AM61="D")*12+($AH61:$AM61="N")*12+($AH61:$AM61="NT")*6+($AH61:$AM61="C")*10+($AH61:$AM61="A")*8+($AH61:$AM61="J")*5+($AH61:$AM61="CEP")*4+($AH61:$AM61="CP")*6+($AH61:$AM61="CRO")*6+($AH61:$AM61="M+")*6+($AH61:$AM61="T+")*6+($AH61:$AM61="D+")*12+($AH61:$AM61="N+")*12+($AH61:$AM61="Dm+")*12+($AH61:$AM61="Dt+")*12+($AH61:$AM61="Tm-")*6+($AH61:$AM61="Mt-")*6)+SUMPRODUCT(($AN61:$AN61="M")*6+($AN61:$AN61="T")*6+($AN61:$AN61="D")*12+($AN61:$AN61="N")*12+($AN61:$AN61="NT")*6+($AN61:$AN61="C")*10+($AN61:$AN61="A")*8+($AN61:$AN61="J")*5+($AN61:$AN61="CEP")*4+($AN61:$AN61="CP")*6+($AN61:$AN61="CRO")*6+($AN61:$AN61="M+")*6+($AN61:$AN61="T+")*6+($AN61:$AN61="D+")*12+($AN61:$AN61="N+")*12+($AN61:$AN61="Dm+")*12+($AN61:$AN61="Dt+")*12+($AN61:$AN61="Tm-")*6+($AN61:$AN61="Mt-")*6)</f>
        <v/>
      </c>
      <c r="BC61" s="118">
        <f>BB61-MAX(0,IFERROR(INDEX(CADASTRO!$I$4:$I$80,MATCH($A61,CADASTRO!$A$4:$A$80,0)),$B61)-CONFIG!$B$50*(COUNTIF($AH61:$AM61,"AB")+COUNTIF($AH61:$AM61,"FE")+COUNTIF($AH61:$AM61,"LM")+COUNTIF($AN61:$AN61,"AB")+COUNTIF($AN61:$AN61,"FE")+COUNTIF($AN61:$AN61,"LM")))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36">
        <f>IFERROR(INDEX(SET!AJ$8:AJ$73,MATCH($A62,SET!$A$8:$A$73,0))&amp;"","")</f>
        <v/>
      </c>
      <c r="G62" s="136">
        <f>IFERROR(INDEX(SET!AK$8:AK$73,MATCH($A62,SET!$A$8:$A$73,0))&amp;"","")</f>
        <v/>
      </c>
      <c r="H62" s="136">
        <f>IFERROR(INDEX(SET!AL$8:AL$73,MATCH($A62,SET!$A$8:$A$73,0))&amp;"","")</f>
        <v/>
      </c>
      <c r="I62" s="114" t="n"/>
      <c r="J62" s="114" t="n"/>
      <c r="K62" s="124" t="inlineStr">
        <is>
          <t>D</t>
        </is>
      </c>
      <c r="L62" s="114" t="n"/>
      <c r="M62" s="114" t="n"/>
      <c r="N62" s="125" t="inlineStr">
        <is>
          <t>N</t>
        </is>
      </c>
      <c r="O62" s="114" t="n"/>
      <c r="P62" s="114" t="n"/>
      <c r="Q62" s="124" t="inlineStr">
        <is>
          <t>D</t>
        </is>
      </c>
      <c r="R62" s="114" t="n"/>
      <c r="S62" s="114" t="n"/>
      <c r="T62" s="114" t="n"/>
      <c r="U62" s="125" t="inlineStr">
        <is>
          <t>N</t>
        </is>
      </c>
      <c r="V62" s="114" t="n"/>
      <c r="W62" s="114" t="n"/>
      <c r="X62" s="114" t="n"/>
      <c r="Y62" s="124" t="inlineStr">
        <is>
          <t>D</t>
        </is>
      </c>
      <c r="Z62" s="114" t="n"/>
      <c r="AA62" s="114" t="n"/>
      <c r="AB62" s="125" t="inlineStr">
        <is>
          <t>N</t>
        </is>
      </c>
      <c r="AC62" s="114" t="n"/>
      <c r="AD62" s="114" t="n"/>
      <c r="AE62" s="124" t="inlineStr">
        <is>
          <t>D</t>
        </is>
      </c>
      <c r="AF62" s="114" t="n"/>
      <c r="AG62" s="114" t="n"/>
      <c r="AH62" s="114" t="n"/>
      <c r="AI62" s="125" t="inlineStr">
        <is>
          <t>N</t>
        </is>
      </c>
      <c r="AJ62" s="114" t="n"/>
      <c r="AK62" s="114" t="n"/>
      <c r="AL62" s="114" t="n"/>
      <c r="AM62" s="114" t="n"/>
      <c r="AN62" s="116">
        <f>IFERROR(INDEX(NOV!I$8:I$73,MATCH($A62,NOV!$A$8:$A$73,0))&amp;"","")</f>
        <v/>
      </c>
      <c r="AO62" s="100" t="n"/>
      <c r="AP62" s="100" t="n"/>
      <c r="AQ62" s="100" t="n"/>
      <c r="AR62" s="100" t="n"/>
      <c r="AS62" s="100" t="n"/>
      <c r="AT62" s="117">
        <f>SUMPRODUCT(($F62:$L62="M")*6+($F62:$L62="T")*6+($F62:$L62="D")*12+($F62:$L62="N")*12+($F62:$L62="NT")*6+($F62:$L62="C")*10+($F62:$L62="A")*8+($F62:$L62="J")*5+($F62:$L62="CEP")*4+($F62:$L62="CP")*6+($F62:$L62="CRO")*6+($F62:$L62="M+")*6+($F62:$L62="T+")*6+($F62:$L62="D+")*12+($F62:$L62="N+")*12+($F62:$L62="Dm+")*12+($F62:$L62="Dt+")*12+($F62:$L62="Tm-")*6+($F62:$L62="Mt-")*6)</f>
        <v/>
      </c>
      <c r="AU62" s="118">
        <f>AT62-MAX(0,IFERROR(INDEX(CADASTRO!$I$4:$I$80,MATCH($A62,CADASTRO!$A$4:$A$80,0)),$B62)-CONFIG!$B$50*(COUNTIF($F62:$L62,"AB")+COUNTIF($F62:$L62,"FE")+COUNTIF($F62:$L62,"LM")))</f>
        <v/>
      </c>
      <c r="AV62" s="117">
        <f>SUMPRODUCT(($M62:$S62="M")*6+($M62:$S62="T")*6+($M62:$S62="D")*12+($M62:$S62="N")*12+($M62:$S62="NT")*6+($M62:$S62="C")*10+($M62:$S62="A")*8+($M62:$S62="J")*5+($M62:$S62="CEP")*4+($M62:$S62="CP")*6+($M62:$S62="CRO")*6+($M62:$S62="M+")*6+($M62:$S62="T+")*6+($M62:$S62="D+")*12+($M62:$S62="N+")*12+($M62:$S62="Dm+")*12+($M62:$S62="Dt+")*12+($M62:$S62="Tm-")*6+($M62:$S62="Mt-")*6)</f>
        <v/>
      </c>
      <c r="AW62" s="118">
        <f>AV62-MAX(0,IFERROR(INDEX(CADASTRO!$I$4:$I$80,MATCH($A62,CADASTRO!$A$4:$A$80,0)),$B62)-CONFIG!$B$50*(COUNTIF($M62:$S62,"AB")+COUNTIF($M62:$S62,"FE")+COUNTIF($M62:$S62,"LM")))</f>
        <v/>
      </c>
      <c r="AX62" s="117">
        <f>SUMPRODUCT(($T62:$Z62="M")*6+($T62:$Z62="T")*6+($T62:$Z62="D")*12+($T62:$Z62="N")*12+($T62:$Z62="NT")*6+($T62:$Z62="C")*10+($T62:$Z62="A")*8+($T62:$Z62="J")*5+($T62:$Z62="CEP")*4+($T62:$Z62="CP")*6+($T62:$Z62="CRO")*6+($T62:$Z62="M+")*6+($T62:$Z62="T+")*6+($T62:$Z62="D+")*12+($T62:$Z62="N+")*12+($T62:$Z62="Dm+")*12+($T62:$Z62="Dt+")*12+($T62:$Z62="Tm-")*6+($T62:$Z62="Mt-")*6)</f>
        <v/>
      </c>
      <c r="AY62" s="118">
        <f>AX62-MAX(0,IFERROR(INDEX(CADASTRO!$I$4:$I$80,MATCH($A62,CADASTRO!$A$4:$A$80,0)),$B62)-CONFIG!$B$50*(COUNTIF($T62:$Z62,"AB")+COUNTIF($T62:$Z62,"FE")+COUNTIF($T62:$Z62,"LM")))</f>
        <v/>
      </c>
      <c r="AZ62" s="117">
        <f>SUMPRODUCT(($AA62:$AG62="M")*6+($AA62:$AG62="T")*6+($AA62:$AG62="D")*12+($AA62:$AG62="N")*12+($AA62:$AG62="NT")*6+($AA62:$AG62="C")*10+($AA62:$AG62="A")*8+($AA62:$AG62="J")*5+($AA62:$AG62="CEP")*4+($AA62:$AG62="CP")*6+($AA62:$AG62="CRO")*6+($AA62:$AG62="M+")*6+($AA62:$AG62="T+")*6+($AA62:$AG62="D+")*12+($AA62:$AG62="N+")*12+($AA62:$AG62="Dm+")*12+($AA62:$AG62="Dt+")*12+($AA62:$AG62="Tm-")*6+($AA62:$AG62="Mt-")*6)</f>
        <v/>
      </c>
      <c r="BA62" s="118">
        <f>AZ62-MAX(0,IFERROR(INDEX(CADASTRO!$I$4:$I$80,MATCH($A62,CADASTRO!$A$4:$A$80,0)),$B62)-CONFIG!$B$50*(COUNTIF($AA62:$AG62,"AB")+COUNTIF($AA62:$AG62,"FE")+COUNTIF($AA62:$AG62,"LM")))</f>
        <v/>
      </c>
      <c r="BB62" s="117">
        <f>SUMPRODUCT(($AH62:$AM62="M")*6+($AH62:$AM62="T")*6+($AH62:$AM62="D")*12+($AH62:$AM62="N")*12+($AH62:$AM62="NT")*6+($AH62:$AM62="C")*10+($AH62:$AM62="A")*8+($AH62:$AM62="J")*5+($AH62:$AM62="CEP")*4+($AH62:$AM62="CP")*6+($AH62:$AM62="CRO")*6+($AH62:$AM62="M+")*6+($AH62:$AM62="T+")*6+($AH62:$AM62="D+")*12+($AH62:$AM62="N+")*12+($AH62:$AM62="Dm+")*12+($AH62:$AM62="Dt+")*12+($AH62:$AM62="Tm-")*6+($AH62:$AM62="Mt-")*6)+SUMPRODUCT(($AN62:$AN62="M")*6+($AN62:$AN62="T")*6+($AN62:$AN62="D")*12+($AN62:$AN62="N")*12+($AN62:$AN62="NT")*6+($AN62:$AN62="C")*10+($AN62:$AN62="A")*8+($AN62:$AN62="J")*5+($AN62:$AN62="CEP")*4+($AN62:$AN62="CP")*6+($AN62:$AN62="CRO")*6+($AN62:$AN62="M+")*6+($AN62:$AN62="T+")*6+($AN62:$AN62="D+")*12+($AN62:$AN62="N+")*12+($AN62:$AN62="Dm+")*12+($AN62:$AN62="Dt+")*12+($AN62:$AN62="Tm-")*6+($AN62:$AN62="Mt-")*6)</f>
        <v/>
      </c>
      <c r="BC62" s="118">
        <f>BB62-MAX(0,IFERROR(INDEX(CADASTRO!$I$4:$I$80,MATCH($A62,CADASTRO!$A$4:$A$80,0)),$B62)-CONFIG!$B$50*(COUNTIF($AH62:$AM62,"AB")+COUNTIF($AH62:$AM62,"FE")+COUNTIF($AH62:$AM62,"LM")+COUNTIF($AN62:$AN62,"AB")+COUNTIF($AN62:$AN62,"FE")+COUNTIF($AN62:$AN62,"LM")))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36">
        <f>IFERROR(INDEX(SET!AJ$8:AJ$73,MATCH($A63,SET!$A$8:$A$73,0))&amp;"","")</f>
        <v/>
      </c>
      <c r="G63" s="136">
        <f>IFERROR(INDEX(SET!AK$8:AK$73,MATCH($A63,SET!$A$8:$A$73,0))&amp;"","")</f>
        <v/>
      </c>
      <c r="H63" s="136">
        <f>IFERROR(INDEX(SET!AL$8:AL$73,MATCH($A63,SET!$A$8:$A$73,0))&amp;"","")</f>
        <v/>
      </c>
      <c r="I63" s="114" t="n"/>
      <c r="J63" s="114" t="n"/>
      <c r="K63" s="114" t="n"/>
      <c r="L63" s="124" t="inlineStr">
        <is>
          <t>D</t>
        </is>
      </c>
      <c r="M63" s="114" t="n"/>
      <c r="N63" s="114" t="n"/>
      <c r="O63" s="124" t="inlineStr">
        <is>
          <t>D</t>
        </is>
      </c>
      <c r="P63" s="125" t="inlineStr">
        <is>
          <t>N</t>
        </is>
      </c>
      <c r="Q63" s="114" t="n"/>
      <c r="R63" s="114" t="n"/>
      <c r="S63" s="114" t="n"/>
      <c r="T63" s="114" t="n"/>
      <c r="U63" s="114" t="n"/>
      <c r="V63" s="124" t="inlineStr">
        <is>
          <t>D</t>
        </is>
      </c>
      <c r="W63" s="114" t="n"/>
      <c r="X63" s="114" t="n"/>
      <c r="Y63" s="124" t="inlineStr">
        <is>
          <t>D</t>
        </is>
      </c>
      <c r="Z63" s="114" t="n"/>
      <c r="AA63" s="114" t="n"/>
      <c r="AB63" s="114" t="n"/>
      <c r="AC63" s="124" t="inlineStr">
        <is>
          <t>D</t>
        </is>
      </c>
      <c r="AD63" s="125" t="inlineStr">
        <is>
          <t>N</t>
        </is>
      </c>
      <c r="AE63" s="114" t="n"/>
      <c r="AF63" s="114" t="n"/>
      <c r="AG63" s="114" t="n"/>
      <c r="AH63" s="126" t="inlineStr">
        <is>
          <t>T</t>
        </is>
      </c>
      <c r="AI63" s="114" t="n"/>
      <c r="AJ63" s="114" t="n"/>
      <c r="AK63" s="126" t="inlineStr">
        <is>
          <t>T</t>
        </is>
      </c>
      <c r="AL63" s="126" t="inlineStr">
        <is>
          <t>T</t>
        </is>
      </c>
      <c r="AM63" s="114" t="n"/>
      <c r="AN63" s="116">
        <f>IFERROR(INDEX(NOV!I$8:I$73,MATCH($A63,NOV!$A$8:$A$73,0))&amp;"","")</f>
        <v/>
      </c>
      <c r="AO63" s="100" t="n"/>
      <c r="AP63" s="100" t="n"/>
      <c r="AQ63" s="100" t="n"/>
      <c r="AR63" s="100" t="n"/>
      <c r="AS63" s="100" t="n"/>
      <c r="AT63" s="117">
        <f>SUMPRODUCT(($F63:$L63="M")*6+($F63:$L63="T")*6+($F63:$L63="D")*12+($F63:$L63="N")*12+($F63:$L63="NT")*6+($F63:$L63="C")*10+($F63:$L63="A")*8+($F63:$L63="J")*5+($F63:$L63="CEP")*4+($F63:$L63="CP")*6+($F63:$L63="CRO")*6+($F63:$L63="M+")*6+($F63:$L63="T+")*6+($F63:$L63="D+")*12+($F63:$L63="N+")*12+($F63:$L63="Dm+")*12+($F63:$L63="Dt+")*12+($F63:$L63="Tm-")*6+($F63:$L63="Mt-")*6)</f>
        <v/>
      </c>
      <c r="AU63" s="118">
        <f>AT63-MAX(0,IFERROR(INDEX(CADASTRO!$I$4:$I$80,MATCH($A63,CADASTRO!$A$4:$A$80,0)),$B63)-CONFIG!$B$50*(COUNTIF($F63:$L63,"AB")+COUNTIF($F63:$L63,"FE")+COUNTIF($F63:$L63,"LM")))</f>
        <v/>
      </c>
      <c r="AV63" s="117">
        <f>SUMPRODUCT(($M63:$S63="M")*6+($M63:$S63="T")*6+($M63:$S63="D")*12+($M63:$S63="N")*12+($M63:$S63="NT")*6+($M63:$S63="C")*10+($M63:$S63="A")*8+($M63:$S63="J")*5+($M63:$S63="CEP")*4+($M63:$S63="CP")*6+($M63:$S63="CRO")*6+($M63:$S63="M+")*6+($M63:$S63="T+")*6+($M63:$S63="D+")*12+($M63:$S63="N+")*12+($M63:$S63="Dm+")*12+($M63:$S63="Dt+")*12+($M63:$S63="Tm-")*6+($M63:$S63="Mt-")*6)</f>
        <v/>
      </c>
      <c r="AW63" s="118">
        <f>AV63-MAX(0,IFERROR(INDEX(CADASTRO!$I$4:$I$80,MATCH($A63,CADASTRO!$A$4:$A$80,0)),$B63)-CONFIG!$B$50*(COUNTIF($M63:$S63,"AB")+COUNTIF($M63:$S63,"FE")+COUNTIF($M63:$S63,"LM")))</f>
        <v/>
      </c>
      <c r="AX63" s="117">
        <f>SUMPRODUCT(($T63:$Z63="M")*6+($T63:$Z63="T")*6+($T63:$Z63="D")*12+($T63:$Z63="N")*12+($T63:$Z63="NT")*6+($T63:$Z63="C")*10+($T63:$Z63="A")*8+($T63:$Z63="J")*5+($T63:$Z63="CEP")*4+($T63:$Z63="CP")*6+($T63:$Z63="CRO")*6+($T63:$Z63="M+")*6+($T63:$Z63="T+")*6+($T63:$Z63="D+")*12+($T63:$Z63="N+")*12+($T63:$Z63="Dm+")*12+($T63:$Z63="Dt+")*12+($T63:$Z63="Tm-")*6+($T63:$Z63="Mt-")*6)</f>
        <v/>
      </c>
      <c r="AY63" s="118">
        <f>AX63-MAX(0,IFERROR(INDEX(CADASTRO!$I$4:$I$80,MATCH($A63,CADASTRO!$A$4:$A$80,0)),$B63)-CONFIG!$B$50*(COUNTIF($T63:$Z63,"AB")+COUNTIF($T63:$Z63,"FE")+COUNTIF($T63:$Z63,"LM")))</f>
        <v/>
      </c>
      <c r="AZ63" s="117">
        <f>SUMPRODUCT(($AA63:$AG63="M")*6+($AA63:$AG63="T")*6+($AA63:$AG63="D")*12+($AA63:$AG63="N")*12+($AA63:$AG63="NT")*6+($AA63:$AG63="C")*10+($AA63:$AG63="A")*8+($AA63:$AG63="J")*5+($AA63:$AG63="CEP")*4+($AA63:$AG63="CP")*6+($AA63:$AG63="CRO")*6+($AA63:$AG63="M+")*6+($AA63:$AG63="T+")*6+($AA63:$AG63="D+")*12+($AA63:$AG63="N+")*12+($AA63:$AG63="Dm+")*12+($AA63:$AG63="Dt+")*12+($AA63:$AG63="Tm-")*6+($AA63:$AG63="Mt-")*6)</f>
        <v/>
      </c>
      <c r="BA63" s="118">
        <f>AZ63-MAX(0,IFERROR(INDEX(CADASTRO!$I$4:$I$80,MATCH($A63,CADASTRO!$A$4:$A$80,0)),$B63)-CONFIG!$B$50*(COUNTIF($AA63:$AG63,"AB")+COUNTIF($AA63:$AG63,"FE")+COUNTIF($AA63:$AG63,"LM")))</f>
        <v/>
      </c>
      <c r="BB63" s="117">
        <f>SUMPRODUCT(($AH63:$AM63="M")*6+($AH63:$AM63="T")*6+($AH63:$AM63="D")*12+($AH63:$AM63="N")*12+($AH63:$AM63="NT")*6+($AH63:$AM63="C")*10+($AH63:$AM63="A")*8+($AH63:$AM63="J")*5+($AH63:$AM63="CEP")*4+($AH63:$AM63="CP")*6+($AH63:$AM63="CRO")*6+($AH63:$AM63="M+")*6+($AH63:$AM63="T+")*6+($AH63:$AM63="D+")*12+($AH63:$AM63="N+")*12+($AH63:$AM63="Dm+")*12+($AH63:$AM63="Dt+")*12+($AH63:$AM63="Tm-")*6+($AH63:$AM63="Mt-")*6)+SUMPRODUCT(($AN63:$AN63="M")*6+($AN63:$AN63="T")*6+($AN63:$AN63="D")*12+($AN63:$AN63="N")*12+($AN63:$AN63="NT")*6+($AN63:$AN63="C")*10+($AN63:$AN63="A")*8+($AN63:$AN63="J")*5+($AN63:$AN63="CEP")*4+($AN63:$AN63="CP")*6+($AN63:$AN63="CRO")*6+($AN63:$AN63="M+")*6+($AN63:$AN63="T+")*6+($AN63:$AN63="D+")*12+($AN63:$AN63="N+")*12+($AN63:$AN63="Dm+")*12+($AN63:$AN63="Dt+")*12+($AN63:$AN63="Tm-")*6+($AN63:$AN63="Mt-")*6)</f>
        <v/>
      </c>
      <c r="BC63" s="118">
        <f>BB63-MAX(0,IFERROR(INDEX(CADASTRO!$I$4:$I$80,MATCH($A63,CADASTRO!$A$4:$A$80,0)),$B63)-CONFIG!$B$50*(COUNTIF($AH63:$AM63,"AB")+COUNTIF($AH63:$AM63,"FE")+COUNTIF($AH63:$AM63,"LM")+COUNTIF($AN63:$AN63,"AB")+COUNTIF($AN63:$AN63,"FE")+COUNTIF($AN63:$AN63,"LM")))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36">
        <f>IFERROR(INDEX(SET!AJ$8:AJ$73,MATCH($A64,SET!$A$8:$A$73,0))&amp;"","")</f>
        <v/>
      </c>
      <c r="G64" s="136">
        <f>IFERROR(INDEX(SET!AK$8:AK$73,MATCH($A64,SET!$A$8:$A$73,0))&amp;"","")</f>
        <v/>
      </c>
      <c r="H64" s="136">
        <f>IFERROR(INDEX(SET!AL$8:AL$73,MATCH($A64,SET!$A$8:$A$73,0))&amp;"","")</f>
        <v/>
      </c>
      <c r="I64" s="114" t="n"/>
      <c r="J64" s="125" t="inlineStr">
        <is>
          <t>N</t>
        </is>
      </c>
      <c r="K64" s="114" t="n"/>
      <c r="L64" s="114" t="n"/>
      <c r="M64" s="126" t="inlineStr">
        <is>
          <t>T</t>
        </is>
      </c>
      <c r="N64" s="125" t="inlineStr">
        <is>
          <t>N</t>
        </is>
      </c>
      <c r="O64" s="126" t="inlineStr">
        <is>
          <t>T</t>
        </is>
      </c>
      <c r="P64" s="114" t="n"/>
      <c r="Q64" s="114" t="n"/>
      <c r="R64" s="114" t="n"/>
      <c r="S64" s="114" t="n"/>
      <c r="T64" s="114" t="n"/>
      <c r="U64" s="114" t="n"/>
      <c r="V64" s="125" t="inlineStr">
        <is>
          <t>N</t>
        </is>
      </c>
      <c r="W64" s="114" t="n"/>
      <c r="X64" s="125" t="inlineStr">
        <is>
          <t>N</t>
        </is>
      </c>
      <c r="Y64" s="114" t="n"/>
      <c r="Z64" s="114" t="n"/>
      <c r="AA64" s="114" t="n"/>
      <c r="AB64" s="114" t="n"/>
      <c r="AC64" s="114" t="n"/>
      <c r="AD64" s="114" t="n"/>
      <c r="AE64" s="114" t="n"/>
      <c r="AF64" s="125" t="inlineStr">
        <is>
          <t>N</t>
        </is>
      </c>
      <c r="AG64" s="125" t="inlineStr">
        <is>
          <t>N</t>
        </is>
      </c>
      <c r="AH64" s="126" t="inlineStr">
        <is>
          <t>T</t>
        </is>
      </c>
      <c r="AI64" s="125" t="inlineStr">
        <is>
          <t>N</t>
        </is>
      </c>
      <c r="AJ64" s="114" t="n"/>
      <c r="AK64" s="114" t="n"/>
      <c r="AL64" s="126" t="inlineStr">
        <is>
          <t>T</t>
        </is>
      </c>
      <c r="AM64" s="114" t="n"/>
      <c r="AN64" s="116">
        <f>IFERROR(INDEX(NOV!I$8:I$73,MATCH($A64,NOV!$A$8:$A$73,0))&amp;"","")</f>
        <v/>
      </c>
      <c r="AO64" s="100" t="n"/>
      <c r="AP64" s="100" t="n"/>
      <c r="AQ64" s="100" t="n"/>
      <c r="AR64" s="100" t="n"/>
      <c r="AS64" s="100" t="n"/>
      <c r="AT64" s="117">
        <f>SUMPRODUCT(($F64:$L64="M")*6+($F64:$L64="T")*6+($F64:$L64="D")*12+($F64:$L64="N")*12+($F64:$L64="NT")*6+($F64:$L64="C")*10+($F64:$L64="A")*8+($F64:$L64="J")*5+($F64:$L64="CEP")*4+($F64:$L64="CP")*6+($F64:$L64="CRO")*6+($F64:$L64="M+")*6+($F64:$L64="T+")*6+($F64:$L64="D+")*12+($F64:$L64="N+")*12+($F64:$L64="Dm+")*12+($F64:$L64="Dt+")*12+($F64:$L64="Tm-")*6+($F64:$L64="Mt-")*6)</f>
        <v/>
      </c>
      <c r="AU64" s="118">
        <f>AT64-MAX(0,IFERROR(INDEX(CADASTRO!$I$4:$I$80,MATCH($A64,CADASTRO!$A$4:$A$80,0)),$B64)-CONFIG!$B$50*(COUNTIF($F64:$L64,"AB")+COUNTIF($F64:$L64,"FE")+COUNTIF($F64:$L64,"LM")))</f>
        <v/>
      </c>
      <c r="AV64" s="117">
        <f>SUMPRODUCT(($M64:$S64="M")*6+($M64:$S64="T")*6+($M64:$S64="D")*12+($M64:$S64="N")*12+($M64:$S64="NT")*6+($M64:$S64="C")*10+($M64:$S64="A")*8+($M64:$S64="J")*5+($M64:$S64="CEP")*4+($M64:$S64="CP")*6+($M64:$S64="CRO")*6+($M64:$S64="M+")*6+($M64:$S64="T+")*6+($M64:$S64="D+")*12+($M64:$S64="N+")*12+($M64:$S64="Dm+")*12+($M64:$S64="Dt+")*12+($M64:$S64="Tm-")*6+($M64:$S64="Mt-")*6)</f>
        <v/>
      </c>
      <c r="AW64" s="118">
        <f>AV64-MAX(0,IFERROR(INDEX(CADASTRO!$I$4:$I$80,MATCH($A64,CADASTRO!$A$4:$A$80,0)),$B64)-CONFIG!$B$50*(COUNTIF($M64:$S64,"AB")+COUNTIF($M64:$S64,"FE")+COUNTIF($M64:$S64,"LM")))</f>
        <v/>
      </c>
      <c r="AX64" s="117">
        <f>SUMPRODUCT(($T64:$Z64="M")*6+($T64:$Z64="T")*6+($T64:$Z64="D")*12+($T64:$Z64="N")*12+($T64:$Z64="NT")*6+($T64:$Z64="C")*10+($T64:$Z64="A")*8+($T64:$Z64="J")*5+($T64:$Z64="CEP")*4+($T64:$Z64="CP")*6+($T64:$Z64="CRO")*6+($T64:$Z64="M+")*6+($T64:$Z64="T+")*6+($T64:$Z64="D+")*12+($T64:$Z64="N+")*12+($T64:$Z64="Dm+")*12+($T64:$Z64="Dt+")*12+($T64:$Z64="Tm-")*6+($T64:$Z64="Mt-")*6)</f>
        <v/>
      </c>
      <c r="AY64" s="118">
        <f>AX64-MAX(0,IFERROR(INDEX(CADASTRO!$I$4:$I$80,MATCH($A64,CADASTRO!$A$4:$A$80,0)),$B64)-CONFIG!$B$50*(COUNTIF($T64:$Z64,"AB")+COUNTIF($T64:$Z64,"FE")+COUNTIF($T64:$Z64,"LM")))</f>
        <v/>
      </c>
      <c r="AZ64" s="117">
        <f>SUMPRODUCT(($AA64:$AG64="M")*6+($AA64:$AG64="T")*6+($AA64:$AG64="D")*12+($AA64:$AG64="N")*12+($AA64:$AG64="NT")*6+($AA64:$AG64="C")*10+($AA64:$AG64="A")*8+($AA64:$AG64="J")*5+($AA64:$AG64="CEP")*4+($AA64:$AG64="CP")*6+($AA64:$AG64="CRO")*6+($AA64:$AG64="M+")*6+($AA64:$AG64="T+")*6+($AA64:$AG64="D+")*12+($AA64:$AG64="N+")*12+($AA64:$AG64="Dm+")*12+($AA64:$AG64="Dt+")*12+($AA64:$AG64="Tm-")*6+($AA64:$AG64="Mt-")*6)</f>
        <v/>
      </c>
      <c r="BA64" s="118">
        <f>AZ64-MAX(0,IFERROR(INDEX(CADASTRO!$I$4:$I$80,MATCH($A64,CADASTRO!$A$4:$A$80,0)),$B64)-CONFIG!$B$50*(COUNTIF($AA64:$AG64,"AB")+COUNTIF($AA64:$AG64,"FE")+COUNTIF($AA64:$AG64,"LM")))</f>
        <v/>
      </c>
      <c r="BB64" s="117">
        <f>SUMPRODUCT(($AH64:$AM64="M")*6+($AH64:$AM64="T")*6+($AH64:$AM64="D")*12+($AH64:$AM64="N")*12+($AH64:$AM64="NT")*6+($AH64:$AM64="C")*10+($AH64:$AM64="A")*8+($AH64:$AM64="J")*5+($AH64:$AM64="CEP")*4+($AH64:$AM64="CP")*6+($AH64:$AM64="CRO")*6+($AH64:$AM64="M+")*6+($AH64:$AM64="T+")*6+($AH64:$AM64="D+")*12+($AH64:$AM64="N+")*12+($AH64:$AM64="Dm+")*12+($AH64:$AM64="Dt+")*12+($AH64:$AM64="Tm-")*6+($AH64:$AM64="Mt-")*6)+SUMPRODUCT(($AN64:$AN64="M")*6+($AN64:$AN64="T")*6+($AN64:$AN64="D")*12+($AN64:$AN64="N")*12+($AN64:$AN64="NT")*6+($AN64:$AN64="C")*10+($AN64:$AN64="A")*8+($AN64:$AN64="J")*5+($AN64:$AN64="CEP")*4+($AN64:$AN64="CP")*6+($AN64:$AN64="CRO")*6+($AN64:$AN64="M+")*6+($AN64:$AN64="T+")*6+($AN64:$AN64="D+")*12+($AN64:$AN64="N+")*12+($AN64:$AN64="Dm+")*12+($AN64:$AN64="Dt+")*12+($AN64:$AN64="Tm-")*6+($AN64:$AN64="Mt-")*6)</f>
        <v/>
      </c>
      <c r="BC64" s="118">
        <f>BB64-MAX(0,IFERROR(INDEX(CADASTRO!$I$4:$I$80,MATCH($A64,CADASTRO!$A$4:$A$80,0)),$B64)-CONFIG!$B$50*(COUNTIF($AH64:$AM64,"AB")+COUNTIF($AH64:$AM64,"FE")+COUNTIF($AH64:$AM64,"LM")+COUNTIF($AN64:$AN64,"AB")+COUNTIF($AN64:$AN64,"FE")+COUNTIF($AN64:$AN64,"LM")))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36">
        <f>IFERROR(INDEX(SET!AJ$8:AJ$73,MATCH($A65,SET!$A$8:$A$73,0))&amp;"","")</f>
        <v/>
      </c>
      <c r="G65" s="136">
        <f>IFERROR(INDEX(SET!AK$8:AK$73,MATCH($A65,SET!$A$8:$A$73,0))&amp;"","")</f>
        <v/>
      </c>
      <c r="H65" s="136">
        <f>IFERROR(INDEX(SET!AL$8:AL$73,MATCH($A65,SET!$A$8:$A$73,0))&amp;"","")</f>
        <v/>
      </c>
      <c r="I65" s="114" t="n"/>
      <c r="J65" s="124" t="inlineStr">
        <is>
          <t>D</t>
        </is>
      </c>
      <c r="K65" s="114" t="n"/>
      <c r="L65" s="114" t="n"/>
      <c r="M65" s="114" t="n"/>
      <c r="N65" s="114" t="n"/>
      <c r="O65" s="125" t="inlineStr">
        <is>
          <t>N</t>
        </is>
      </c>
      <c r="P65" s="114" t="n"/>
      <c r="Q65" s="125" t="inlineStr">
        <is>
          <t>N</t>
        </is>
      </c>
      <c r="R65" s="114" t="n"/>
      <c r="S65" s="114" t="n"/>
      <c r="T65" s="114" t="n"/>
      <c r="U65" s="114" t="n"/>
      <c r="V65" s="124" t="inlineStr">
        <is>
          <t>D</t>
        </is>
      </c>
      <c r="W65" s="114" t="n"/>
      <c r="X65" s="114" t="n"/>
      <c r="Y65" s="124" t="inlineStr">
        <is>
          <t>D</t>
        </is>
      </c>
      <c r="Z65" s="114" t="n"/>
      <c r="AA65" s="114" t="n"/>
      <c r="AB65" s="115" t="inlineStr">
        <is>
          <t>M</t>
        </is>
      </c>
      <c r="AC65" s="126" t="inlineStr">
        <is>
          <t>T</t>
        </is>
      </c>
      <c r="AD65" s="114" t="n"/>
      <c r="AE65" s="124" t="inlineStr">
        <is>
          <t>D</t>
        </is>
      </c>
      <c r="AF65" s="114" t="n"/>
      <c r="AG65" s="114" t="n"/>
      <c r="AH65" s="114" t="n"/>
      <c r="AI65" s="114" t="n"/>
      <c r="AJ65" s="124" t="inlineStr">
        <is>
          <t>D</t>
        </is>
      </c>
      <c r="AK65" s="114" t="n"/>
      <c r="AL65" s="114" t="n"/>
      <c r="AM65" s="124" t="inlineStr">
        <is>
          <t>D</t>
        </is>
      </c>
      <c r="AN65" s="116">
        <f>IFERROR(INDEX(NOV!I$8:I$73,MATCH($A65,NOV!$A$8:$A$73,0))&amp;"","")</f>
        <v/>
      </c>
      <c r="AO65" s="100" t="n"/>
      <c r="AP65" s="100" t="n"/>
      <c r="AQ65" s="100" t="n"/>
      <c r="AR65" s="100" t="n"/>
      <c r="AS65" s="100" t="n"/>
      <c r="AT65" s="117">
        <f>SUMPRODUCT(($F65:$L65="M")*6+($F65:$L65="T")*6+($F65:$L65="D")*12+($F65:$L65="N")*12+($F65:$L65="NT")*6+($F65:$L65="C")*10+($F65:$L65="A")*8+($F65:$L65="J")*5+($F65:$L65="CEP")*4+($F65:$L65="CP")*6+($F65:$L65="CRO")*6+($F65:$L65="M+")*6+($F65:$L65="T+")*6+($F65:$L65="D+")*12+($F65:$L65="N+")*12+($F65:$L65="Dm+")*12+($F65:$L65="Dt+")*12+($F65:$L65="Tm-")*6+($F65:$L65="Mt-")*6)</f>
        <v/>
      </c>
      <c r="AU65" s="118">
        <f>AT65-MAX(0,IFERROR(INDEX(CADASTRO!$I$4:$I$80,MATCH($A65,CADASTRO!$A$4:$A$80,0)),$B65)-CONFIG!$B$50*(COUNTIF($F65:$L65,"AB")+COUNTIF($F65:$L65,"FE")+COUNTIF($F65:$L65,"LM")))</f>
        <v/>
      </c>
      <c r="AV65" s="117">
        <f>SUMPRODUCT(($M65:$S65="M")*6+($M65:$S65="T")*6+($M65:$S65="D")*12+($M65:$S65="N")*12+($M65:$S65="NT")*6+($M65:$S65="C")*10+($M65:$S65="A")*8+($M65:$S65="J")*5+($M65:$S65="CEP")*4+($M65:$S65="CP")*6+($M65:$S65="CRO")*6+($M65:$S65="M+")*6+($M65:$S65="T+")*6+($M65:$S65="D+")*12+($M65:$S65="N+")*12+($M65:$S65="Dm+")*12+($M65:$S65="Dt+")*12+($M65:$S65="Tm-")*6+($M65:$S65="Mt-")*6)</f>
        <v/>
      </c>
      <c r="AW65" s="118">
        <f>AV65-MAX(0,IFERROR(INDEX(CADASTRO!$I$4:$I$80,MATCH($A65,CADASTRO!$A$4:$A$80,0)),$B65)-CONFIG!$B$50*(COUNTIF($M65:$S65,"AB")+COUNTIF($M65:$S65,"FE")+COUNTIF($M65:$S65,"LM")))</f>
        <v/>
      </c>
      <c r="AX65" s="117">
        <f>SUMPRODUCT(($T65:$Z65="M")*6+($T65:$Z65="T")*6+($T65:$Z65="D")*12+($T65:$Z65="N")*12+($T65:$Z65="NT")*6+($T65:$Z65="C")*10+($T65:$Z65="A")*8+($T65:$Z65="J")*5+($T65:$Z65="CEP")*4+($T65:$Z65="CP")*6+($T65:$Z65="CRO")*6+($T65:$Z65="M+")*6+($T65:$Z65="T+")*6+($T65:$Z65="D+")*12+($T65:$Z65="N+")*12+($T65:$Z65="Dm+")*12+($T65:$Z65="Dt+")*12+($T65:$Z65="Tm-")*6+($T65:$Z65="Mt-")*6)</f>
        <v/>
      </c>
      <c r="AY65" s="118">
        <f>AX65-MAX(0,IFERROR(INDEX(CADASTRO!$I$4:$I$80,MATCH($A65,CADASTRO!$A$4:$A$80,0)),$B65)-CONFIG!$B$50*(COUNTIF($T65:$Z65,"AB")+COUNTIF($T65:$Z65,"FE")+COUNTIF($T65:$Z65,"LM")))</f>
        <v/>
      </c>
      <c r="AZ65" s="117">
        <f>SUMPRODUCT(($AA65:$AG65="M")*6+($AA65:$AG65="T")*6+($AA65:$AG65="D")*12+($AA65:$AG65="N")*12+($AA65:$AG65="NT")*6+($AA65:$AG65="C")*10+($AA65:$AG65="A")*8+($AA65:$AG65="J")*5+($AA65:$AG65="CEP")*4+($AA65:$AG65="CP")*6+($AA65:$AG65="CRO")*6+($AA65:$AG65="M+")*6+($AA65:$AG65="T+")*6+($AA65:$AG65="D+")*12+($AA65:$AG65="N+")*12+($AA65:$AG65="Dm+")*12+($AA65:$AG65="Dt+")*12+($AA65:$AG65="Tm-")*6+($AA65:$AG65="Mt-")*6)</f>
        <v/>
      </c>
      <c r="BA65" s="118">
        <f>AZ65-MAX(0,IFERROR(INDEX(CADASTRO!$I$4:$I$80,MATCH($A65,CADASTRO!$A$4:$A$80,0)),$B65)-CONFIG!$B$50*(COUNTIF($AA65:$AG65,"AB")+COUNTIF($AA65:$AG65,"FE")+COUNTIF($AA65:$AG65,"LM")))</f>
        <v/>
      </c>
      <c r="BB65" s="117">
        <f>SUMPRODUCT(($AH65:$AM65="M")*6+($AH65:$AM65="T")*6+($AH65:$AM65="D")*12+($AH65:$AM65="N")*12+($AH65:$AM65="NT")*6+($AH65:$AM65="C")*10+($AH65:$AM65="A")*8+($AH65:$AM65="J")*5+($AH65:$AM65="CEP")*4+($AH65:$AM65="CP")*6+($AH65:$AM65="CRO")*6+($AH65:$AM65="M+")*6+($AH65:$AM65="T+")*6+($AH65:$AM65="D+")*12+($AH65:$AM65="N+")*12+($AH65:$AM65="Dm+")*12+($AH65:$AM65="Dt+")*12+($AH65:$AM65="Tm-")*6+($AH65:$AM65="Mt-")*6)+SUMPRODUCT(($AN65:$AN65="M")*6+($AN65:$AN65="T")*6+($AN65:$AN65="D")*12+($AN65:$AN65="N")*12+($AN65:$AN65="NT")*6+($AN65:$AN65="C")*10+($AN65:$AN65="A")*8+($AN65:$AN65="J")*5+($AN65:$AN65="CEP")*4+($AN65:$AN65="CP")*6+($AN65:$AN65="CRO")*6+($AN65:$AN65="M+")*6+($AN65:$AN65="T+")*6+($AN65:$AN65="D+")*12+($AN65:$AN65="N+")*12+($AN65:$AN65="Dm+")*12+($AN65:$AN65="Dt+")*12+($AN65:$AN65="Tm-")*6+($AN65:$AN65="Mt-")*6)</f>
        <v/>
      </c>
      <c r="BC65" s="118">
        <f>BB65-MAX(0,IFERROR(INDEX(CADASTRO!$I$4:$I$80,MATCH($A65,CADASTRO!$A$4:$A$80,0)),$B65)-CONFIG!$B$50*(COUNTIF($AH65:$AM65,"AB")+COUNTIF($AH65:$AM65,"FE")+COUNTIF($AH65:$AM65,"LM")+COUNTIF($AN65:$AN65,"AB")+COUNTIF($AN65:$AN65,"FE")+COUNTIF($AN65:$AN65,"LM")))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36">
        <f>IFERROR(INDEX(SET!AJ$8:AJ$73,MATCH($A66,SET!$A$8:$A$73,0))&amp;"","")</f>
        <v/>
      </c>
      <c r="G66" s="136">
        <f>IFERROR(INDEX(SET!AK$8:AK$73,MATCH($A66,SET!$A$8:$A$73,0))&amp;"","")</f>
        <v/>
      </c>
      <c r="H66" s="136">
        <f>IFERROR(INDEX(SET!AL$8:AL$73,MATCH($A66,SET!$A$8:$A$73,0))&amp;"","")</f>
        <v/>
      </c>
      <c r="I66" s="125" t="inlineStr">
        <is>
          <t>N</t>
        </is>
      </c>
      <c r="J66" s="114" t="n"/>
      <c r="K66" s="123" t="inlineStr">
        <is>
          <t>N+</t>
        </is>
      </c>
      <c r="L66" s="114" t="n"/>
      <c r="M66" s="125" t="inlineStr">
        <is>
          <t>N</t>
        </is>
      </c>
      <c r="N66" s="114" t="n"/>
      <c r="O66" s="127" t="inlineStr">
        <is>
          <t>N-</t>
        </is>
      </c>
      <c r="P66" s="125" t="inlineStr">
        <is>
          <t>N</t>
        </is>
      </c>
      <c r="Q66" s="114" t="n"/>
      <c r="R66" s="114" t="n"/>
      <c r="S66" s="114" t="n"/>
      <c r="T66" s="114" t="n"/>
      <c r="U66" s="114" t="n"/>
      <c r="V66" s="114" t="n"/>
      <c r="W66" s="125" t="inlineStr">
        <is>
          <t>N</t>
        </is>
      </c>
      <c r="X66" s="114" t="n"/>
      <c r="Y66" s="114" t="n"/>
      <c r="Z66" s="125" t="inlineStr">
        <is>
          <t>N</t>
        </is>
      </c>
      <c r="AA66" s="125" t="inlineStr">
        <is>
          <t>N</t>
        </is>
      </c>
      <c r="AB66" s="114" t="n"/>
      <c r="AC66" s="114" t="n"/>
      <c r="AD66" s="114" t="n"/>
      <c r="AE66" s="125" t="inlineStr">
        <is>
          <t>N</t>
        </is>
      </c>
      <c r="AF66" s="114" t="n"/>
      <c r="AG66" s="114" t="n"/>
      <c r="AH66" s="125" t="inlineStr">
        <is>
          <t>N</t>
        </is>
      </c>
      <c r="AI66" s="114" t="n"/>
      <c r="AJ66" s="114" t="n"/>
      <c r="AK66" s="125" t="inlineStr">
        <is>
          <t>N</t>
        </is>
      </c>
      <c r="AL66" s="114" t="n"/>
      <c r="AM66" s="114" t="n"/>
      <c r="AN66" s="116">
        <f>IFERROR(INDEX(NOV!I$8:I$73,MATCH($A66,NOV!$A$8:$A$73,0))&amp;"","")</f>
        <v/>
      </c>
      <c r="AO66" s="100" t="n"/>
      <c r="AP66" s="100" t="n"/>
      <c r="AQ66" s="100" t="n"/>
      <c r="AR66" s="100" t="n"/>
      <c r="AS66" s="100" t="n"/>
      <c r="AT66" s="117">
        <f>SUMPRODUCT(($F66:$L66="M")*6+($F66:$L66="T")*6+($F66:$L66="D")*12+($F66:$L66="N")*12+($F66:$L66="NT")*6+($F66:$L66="C")*10+($F66:$L66="A")*8+($F66:$L66="J")*5+($F66:$L66="CEP")*4+($F66:$L66="CP")*6+($F66:$L66="CRO")*6+($F66:$L66="M+")*6+($F66:$L66="T+")*6+($F66:$L66="D+")*12+($F66:$L66="N+")*12+($F66:$L66="Dm+")*12+($F66:$L66="Dt+")*12+($F66:$L66="Tm-")*6+($F66:$L66="Mt-")*6)</f>
        <v/>
      </c>
      <c r="AU66" s="118">
        <f>AT66-MAX(0,IFERROR(INDEX(CADASTRO!$I$4:$I$80,MATCH($A66,CADASTRO!$A$4:$A$80,0)),$B66)-CONFIG!$B$50*(COUNTIF($F66:$L66,"AB")+COUNTIF($F66:$L66,"FE")+COUNTIF($F66:$L66,"LM")))</f>
        <v/>
      </c>
      <c r="AV66" s="117">
        <f>SUMPRODUCT(($M66:$S66="M")*6+($M66:$S66="T")*6+($M66:$S66="D")*12+($M66:$S66="N")*12+($M66:$S66="NT")*6+($M66:$S66="C")*10+($M66:$S66="A")*8+($M66:$S66="J")*5+($M66:$S66="CEP")*4+($M66:$S66="CP")*6+($M66:$S66="CRO")*6+($M66:$S66="M+")*6+($M66:$S66="T+")*6+($M66:$S66="D+")*12+($M66:$S66="N+")*12+($M66:$S66="Dm+")*12+($M66:$S66="Dt+")*12+($M66:$S66="Tm-")*6+($M66:$S66="Mt-")*6)</f>
        <v/>
      </c>
      <c r="AW66" s="118">
        <f>AV66-MAX(0,IFERROR(INDEX(CADASTRO!$I$4:$I$80,MATCH($A66,CADASTRO!$A$4:$A$80,0)),$B66)-CONFIG!$B$50*(COUNTIF($M66:$S66,"AB")+COUNTIF($M66:$S66,"FE")+COUNTIF($M66:$S66,"LM")))</f>
        <v/>
      </c>
      <c r="AX66" s="117">
        <f>SUMPRODUCT(($T66:$Z66="M")*6+($T66:$Z66="T")*6+($T66:$Z66="D")*12+($T66:$Z66="N")*12+($T66:$Z66="NT")*6+($T66:$Z66="C")*10+($T66:$Z66="A")*8+($T66:$Z66="J")*5+($T66:$Z66="CEP")*4+($T66:$Z66="CP")*6+($T66:$Z66="CRO")*6+($T66:$Z66="M+")*6+($T66:$Z66="T+")*6+($T66:$Z66="D+")*12+($T66:$Z66="N+")*12+($T66:$Z66="Dm+")*12+($T66:$Z66="Dt+")*12+($T66:$Z66="Tm-")*6+($T66:$Z66="Mt-")*6)</f>
        <v/>
      </c>
      <c r="AY66" s="118">
        <f>AX66-MAX(0,IFERROR(INDEX(CADASTRO!$I$4:$I$80,MATCH($A66,CADASTRO!$A$4:$A$80,0)),$B66)-CONFIG!$B$50*(COUNTIF($T66:$Z66,"AB")+COUNTIF($T66:$Z66,"FE")+COUNTIF($T66:$Z66,"LM")))</f>
        <v/>
      </c>
      <c r="AZ66" s="117">
        <f>SUMPRODUCT(($AA66:$AG66="M")*6+($AA66:$AG66="T")*6+($AA66:$AG66="D")*12+($AA66:$AG66="N")*12+($AA66:$AG66="NT")*6+($AA66:$AG66="C")*10+($AA66:$AG66="A")*8+($AA66:$AG66="J")*5+($AA66:$AG66="CEP")*4+($AA66:$AG66="CP")*6+($AA66:$AG66="CRO")*6+($AA66:$AG66="M+")*6+($AA66:$AG66="T+")*6+($AA66:$AG66="D+")*12+($AA66:$AG66="N+")*12+($AA66:$AG66="Dm+")*12+($AA66:$AG66="Dt+")*12+($AA66:$AG66="Tm-")*6+($AA66:$AG66="Mt-")*6)</f>
        <v/>
      </c>
      <c r="BA66" s="118">
        <f>AZ66-MAX(0,IFERROR(INDEX(CADASTRO!$I$4:$I$80,MATCH($A66,CADASTRO!$A$4:$A$80,0)),$B66)-CONFIG!$B$50*(COUNTIF($AA66:$AG66,"AB")+COUNTIF($AA66:$AG66,"FE")+COUNTIF($AA66:$AG66,"LM")))</f>
        <v/>
      </c>
      <c r="BB66" s="117">
        <f>SUMPRODUCT(($AH66:$AM66="M")*6+($AH66:$AM66="T")*6+($AH66:$AM66="D")*12+($AH66:$AM66="N")*12+($AH66:$AM66="NT")*6+($AH66:$AM66="C")*10+($AH66:$AM66="A")*8+($AH66:$AM66="J")*5+($AH66:$AM66="CEP")*4+($AH66:$AM66="CP")*6+($AH66:$AM66="CRO")*6+($AH66:$AM66="M+")*6+($AH66:$AM66="T+")*6+($AH66:$AM66="D+")*12+($AH66:$AM66="N+")*12+($AH66:$AM66="Dm+")*12+($AH66:$AM66="Dt+")*12+($AH66:$AM66="Tm-")*6+($AH66:$AM66="Mt-")*6)+SUMPRODUCT(($AN66:$AN66="M")*6+($AN66:$AN66="T")*6+($AN66:$AN66="D")*12+($AN66:$AN66="N")*12+($AN66:$AN66="NT")*6+($AN66:$AN66="C")*10+($AN66:$AN66="A")*8+($AN66:$AN66="J")*5+($AN66:$AN66="CEP")*4+($AN66:$AN66="CP")*6+($AN66:$AN66="CRO")*6+($AN66:$AN66="M+")*6+($AN66:$AN66="T+")*6+($AN66:$AN66="D+")*12+($AN66:$AN66="N+")*12+($AN66:$AN66="Dm+")*12+($AN66:$AN66="Dt+")*12+($AN66:$AN66="Tm-")*6+($AN66:$AN66="Mt-")*6)</f>
        <v/>
      </c>
      <c r="BC66" s="118">
        <f>BB66-MAX(0,IFERROR(INDEX(CADASTRO!$I$4:$I$80,MATCH($A66,CADASTRO!$A$4:$A$80,0)),$B66)-CONFIG!$B$50*(COUNTIF($AH66:$AM66,"AB")+COUNTIF($AH66:$AM66,"FE")+COUNTIF($AH66:$AM66,"LM")+COUNTIF($AN66:$AN66,"AB")+COUNTIF($AN66:$AN66,"FE")+COUNTIF($AN66:$AN66,"LM")))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36">
        <f>IFERROR(INDEX(SET!AJ$8:AJ$73,MATCH($A67,SET!$A$8:$A$73,0))&amp;"","")</f>
        <v/>
      </c>
      <c r="G67" s="136">
        <f>IFERROR(INDEX(SET!AK$8:AK$73,MATCH($A67,SET!$A$8:$A$73,0))&amp;"","")</f>
        <v/>
      </c>
      <c r="H67" s="136">
        <f>IFERROR(INDEX(SET!AL$8:AL$73,MATCH($A67,SET!$A$8:$A$73,0))&amp;"","")</f>
        <v/>
      </c>
      <c r="I67" s="115" t="inlineStr">
        <is>
          <t>M</t>
        </is>
      </c>
      <c r="J67" s="114" t="n"/>
      <c r="K67" s="114" t="n"/>
      <c r="L67" s="114" t="n"/>
      <c r="M67" s="139" t="inlineStr">
        <is>
          <t>FE</t>
        </is>
      </c>
      <c r="N67" s="139" t="inlineStr">
        <is>
          <t>FE</t>
        </is>
      </c>
      <c r="O67" s="139" t="inlineStr">
        <is>
          <t>FE</t>
        </is>
      </c>
      <c r="P67" s="139" t="inlineStr">
        <is>
          <t>FE</t>
        </is>
      </c>
      <c r="Q67" s="139" t="inlineStr">
        <is>
          <t>FE</t>
        </is>
      </c>
      <c r="R67" s="139" t="inlineStr">
        <is>
          <t>FE</t>
        </is>
      </c>
      <c r="S67" s="139" t="inlineStr">
        <is>
          <t>FE</t>
        </is>
      </c>
      <c r="T67" s="139" t="inlineStr">
        <is>
          <t>FE</t>
        </is>
      </c>
      <c r="U67" s="139" t="inlineStr">
        <is>
          <t>FE</t>
        </is>
      </c>
      <c r="V67" s="139" t="inlineStr">
        <is>
          <t>FE</t>
        </is>
      </c>
      <c r="W67" s="139" t="inlineStr">
        <is>
          <t>FE</t>
        </is>
      </c>
      <c r="X67" s="139" t="inlineStr">
        <is>
          <t>FE</t>
        </is>
      </c>
      <c r="Y67" s="139" t="inlineStr">
        <is>
          <t>FE</t>
        </is>
      </c>
      <c r="Z67" s="139" t="inlineStr">
        <is>
          <t>FE</t>
        </is>
      </c>
      <c r="AA67" s="139" t="inlineStr">
        <is>
          <t>FE</t>
        </is>
      </c>
      <c r="AB67" s="131" t="inlineStr">
        <is>
          <t>CP</t>
        </is>
      </c>
      <c r="AC67" s="131" t="inlineStr">
        <is>
          <t>CP</t>
        </is>
      </c>
      <c r="AD67" s="114" t="n"/>
      <c r="AE67" s="114" t="n"/>
      <c r="AF67" s="125" t="inlineStr">
        <is>
          <t>N</t>
        </is>
      </c>
      <c r="AG67" s="114" t="n"/>
      <c r="AH67" s="131" t="inlineStr">
        <is>
          <t>CP</t>
        </is>
      </c>
      <c r="AI67" s="115" t="inlineStr">
        <is>
          <t>M</t>
        </is>
      </c>
      <c r="AJ67" s="131" t="inlineStr">
        <is>
          <t>CP</t>
        </is>
      </c>
      <c r="AK67" s="114" t="n"/>
      <c r="AL67" s="126" t="inlineStr">
        <is>
          <t>T</t>
        </is>
      </c>
      <c r="AM67" s="114" t="n"/>
      <c r="AN67" s="116">
        <f>IFERROR(INDEX(NOV!I$8:I$73,MATCH($A67,NOV!$A$8:$A$73,0))&amp;"","")</f>
        <v/>
      </c>
      <c r="AO67" s="100" t="n"/>
      <c r="AP67" s="100" t="n"/>
      <c r="AQ67" s="100" t="n"/>
      <c r="AR67" s="100" t="n"/>
      <c r="AS67" s="100" t="n"/>
      <c r="AT67" s="117">
        <f>SUMPRODUCT(($F67:$L67="M")*6+($F67:$L67="T")*6+($F67:$L67="D")*12+($F67:$L67="N")*12+($F67:$L67="NT")*6+($F67:$L67="C")*10+($F67:$L67="A")*8+($F67:$L67="J")*5+($F67:$L67="CEP")*4+($F67:$L67="CP")*6+($F67:$L67="CRO")*6+($F67:$L67="M+")*6+($F67:$L67="T+")*6+($F67:$L67="D+")*12+($F67:$L67="N+")*12+($F67:$L67="Dm+")*12+($F67:$L67="Dt+")*12+($F67:$L67="Tm-")*6+($F67:$L67="Mt-")*6)</f>
        <v/>
      </c>
      <c r="AU67" s="118">
        <f>AT67-MAX(0,IFERROR(INDEX(CADASTRO!$I$4:$I$80,MATCH($A67,CADASTRO!$A$4:$A$80,0)),$B67)-CONFIG!$B$50*(COUNTIF($F67:$L67,"AB")+COUNTIF($F67:$L67,"FE")+COUNTIF($F67:$L67,"LM")))</f>
        <v/>
      </c>
      <c r="AV67" s="117">
        <f>SUMPRODUCT(($M67:$S67="M")*6+($M67:$S67="T")*6+($M67:$S67="D")*12+($M67:$S67="N")*12+($M67:$S67="NT")*6+($M67:$S67="C")*10+($M67:$S67="A")*8+($M67:$S67="J")*5+($M67:$S67="CEP")*4+($M67:$S67="CP")*6+($M67:$S67="CRO")*6+($M67:$S67="M+")*6+($M67:$S67="T+")*6+($M67:$S67="D+")*12+($M67:$S67="N+")*12+($M67:$S67="Dm+")*12+($M67:$S67="Dt+")*12+($M67:$S67="Tm-")*6+($M67:$S67="Mt-")*6)</f>
        <v/>
      </c>
      <c r="AW67" s="118">
        <f>AV67-MAX(0,IFERROR(INDEX(CADASTRO!$I$4:$I$80,MATCH($A67,CADASTRO!$A$4:$A$80,0)),$B67)-CONFIG!$B$50*(COUNTIF($M67:$S67,"AB")+COUNTIF($M67:$S67,"FE")+COUNTIF($M67:$S67,"LM")))</f>
        <v/>
      </c>
      <c r="AX67" s="117">
        <f>SUMPRODUCT(($T67:$Z67="M")*6+($T67:$Z67="T")*6+($T67:$Z67="D")*12+($T67:$Z67="N")*12+($T67:$Z67="NT")*6+($T67:$Z67="C")*10+($T67:$Z67="A")*8+($T67:$Z67="J")*5+($T67:$Z67="CEP")*4+($T67:$Z67="CP")*6+($T67:$Z67="CRO")*6+($T67:$Z67="M+")*6+($T67:$Z67="T+")*6+($T67:$Z67="D+")*12+($T67:$Z67="N+")*12+($T67:$Z67="Dm+")*12+($T67:$Z67="Dt+")*12+($T67:$Z67="Tm-")*6+($T67:$Z67="Mt-")*6)</f>
        <v/>
      </c>
      <c r="AY67" s="118">
        <f>AX67-MAX(0,IFERROR(INDEX(CADASTRO!$I$4:$I$80,MATCH($A67,CADASTRO!$A$4:$A$80,0)),$B67)-CONFIG!$B$50*(COUNTIF($T67:$Z67,"AB")+COUNTIF($T67:$Z67,"FE")+COUNTIF($T67:$Z67,"LM")))</f>
        <v/>
      </c>
      <c r="AZ67" s="117">
        <f>SUMPRODUCT(($AA67:$AG67="M")*6+($AA67:$AG67="T")*6+($AA67:$AG67="D")*12+($AA67:$AG67="N")*12+($AA67:$AG67="NT")*6+($AA67:$AG67="C")*10+($AA67:$AG67="A")*8+($AA67:$AG67="J")*5+($AA67:$AG67="CEP")*4+($AA67:$AG67="CP")*6+($AA67:$AG67="CRO")*6+($AA67:$AG67="M+")*6+($AA67:$AG67="T+")*6+($AA67:$AG67="D+")*12+($AA67:$AG67="N+")*12+($AA67:$AG67="Dm+")*12+($AA67:$AG67="Dt+")*12+($AA67:$AG67="Tm-")*6+($AA67:$AG67="Mt-")*6)</f>
        <v/>
      </c>
      <c r="BA67" s="118">
        <f>AZ67-MAX(0,IFERROR(INDEX(CADASTRO!$I$4:$I$80,MATCH($A67,CADASTRO!$A$4:$A$80,0)),$B67)-CONFIG!$B$50*(COUNTIF($AA67:$AG67,"AB")+COUNTIF($AA67:$AG67,"FE")+COUNTIF($AA67:$AG67,"LM")))</f>
        <v/>
      </c>
      <c r="BB67" s="117">
        <f>SUMPRODUCT(($AH67:$AM67="M")*6+($AH67:$AM67="T")*6+($AH67:$AM67="D")*12+($AH67:$AM67="N")*12+($AH67:$AM67="NT")*6+($AH67:$AM67="C")*10+($AH67:$AM67="A")*8+($AH67:$AM67="J")*5+($AH67:$AM67="CEP")*4+($AH67:$AM67="CP")*6+($AH67:$AM67="CRO")*6+($AH67:$AM67="M+")*6+($AH67:$AM67="T+")*6+($AH67:$AM67="D+")*12+($AH67:$AM67="N+")*12+($AH67:$AM67="Dm+")*12+($AH67:$AM67="Dt+")*12+($AH67:$AM67="Tm-")*6+($AH67:$AM67="Mt-")*6)+SUMPRODUCT(($AN67:$AN67="M")*6+($AN67:$AN67="T")*6+($AN67:$AN67="D")*12+($AN67:$AN67="N")*12+($AN67:$AN67="NT")*6+($AN67:$AN67="C")*10+($AN67:$AN67="A")*8+($AN67:$AN67="J")*5+($AN67:$AN67="CEP")*4+($AN67:$AN67="CP")*6+($AN67:$AN67="CRO")*6+($AN67:$AN67="M+")*6+($AN67:$AN67="T+")*6+($AN67:$AN67="D+")*12+($AN67:$AN67="N+")*12+($AN67:$AN67="Dm+")*12+($AN67:$AN67="Dt+")*12+($AN67:$AN67="Tm-")*6+($AN67:$AN67="Mt-")*6)</f>
        <v/>
      </c>
      <c r="BC67" s="118">
        <f>BB67-MAX(0,IFERROR(INDEX(CADASTRO!$I$4:$I$80,MATCH($A67,CADASTRO!$A$4:$A$80,0)),$B67)-CONFIG!$B$50*(COUNTIF($AH67:$AM67,"AB")+COUNTIF($AH67:$AM67,"FE")+COUNTIF($AH67:$AM67,"LM")+COUNTIF($AN67:$AN67,"AB")+COUNTIF($AN67:$AN67,"FE")+COUNTIF($AN67:$AN67,"LM")))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36">
        <f>IFERROR(INDEX(SET!AJ$8:AJ$73,MATCH($A68,SET!$A$8:$A$73,0))&amp;"","")</f>
        <v/>
      </c>
      <c r="G68" s="136">
        <f>IFERROR(INDEX(SET!AK$8:AK$73,MATCH($A68,SET!$A$8:$A$73,0))&amp;"","")</f>
        <v/>
      </c>
      <c r="H68" s="136">
        <f>IFERROR(INDEX(SET!AL$8:AL$73,MATCH($A68,SET!$A$8:$A$73,0))&amp;"","")</f>
        <v/>
      </c>
      <c r="I68" s="139" t="inlineStr">
        <is>
          <t>FE</t>
        </is>
      </c>
      <c r="J68" s="139" t="inlineStr">
        <is>
          <t>FE</t>
        </is>
      </c>
      <c r="K68" s="139" t="inlineStr">
        <is>
          <t>FE</t>
        </is>
      </c>
      <c r="L68" s="139" t="inlineStr">
        <is>
          <t>FE</t>
        </is>
      </c>
      <c r="M68" s="139" t="inlineStr">
        <is>
          <t>FE</t>
        </is>
      </c>
      <c r="N68" s="114" t="n"/>
      <c r="O68" s="126" t="inlineStr">
        <is>
          <t>T</t>
        </is>
      </c>
      <c r="P68" s="114" t="n"/>
      <c r="Q68" s="125" t="inlineStr">
        <is>
          <t>N</t>
        </is>
      </c>
      <c r="R68" s="123" t="inlineStr">
        <is>
          <t>T+</t>
        </is>
      </c>
      <c r="S68" s="114" t="n"/>
      <c r="T68" s="124" t="inlineStr">
        <is>
          <t>D</t>
        </is>
      </c>
      <c r="U68" s="114" t="n"/>
      <c r="V68" s="127" t="inlineStr">
        <is>
          <t>D-</t>
        </is>
      </c>
      <c r="W68" s="114" t="n"/>
      <c r="X68" s="114" t="n"/>
      <c r="Y68" s="114" t="n"/>
      <c r="Z68" s="114" t="n"/>
      <c r="AA68" s="114" t="n"/>
      <c r="AB68" s="114" t="n"/>
      <c r="AC68" s="125" t="inlineStr">
        <is>
          <t>N</t>
        </is>
      </c>
      <c r="AD68" s="114" t="n"/>
      <c r="AE68" s="126" t="inlineStr">
        <is>
          <t>T</t>
        </is>
      </c>
      <c r="AF68" s="126" t="inlineStr">
        <is>
          <t>T</t>
        </is>
      </c>
      <c r="AG68" s="123" t="inlineStr">
        <is>
          <t>T+</t>
        </is>
      </c>
      <c r="AH68" s="114" t="n"/>
      <c r="AI68" s="114" t="n"/>
      <c r="AJ68" s="123" t="inlineStr">
        <is>
          <t>T+</t>
        </is>
      </c>
      <c r="AK68" s="114" t="n"/>
      <c r="AL68" s="124" t="inlineStr">
        <is>
          <t>D</t>
        </is>
      </c>
      <c r="AM68" s="124" t="inlineStr">
        <is>
          <t>D</t>
        </is>
      </c>
      <c r="AN68" s="116">
        <f>IFERROR(INDEX(NOV!I$8:I$73,MATCH($A68,NOV!$A$8:$A$73,0))&amp;"","")</f>
        <v/>
      </c>
      <c r="AO68" s="100" t="n"/>
      <c r="AP68" s="100" t="n"/>
      <c r="AQ68" s="100" t="n"/>
      <c r="AR68" s="100" t="n"/>
      <c r="AS68" s="100" t="n"/>
      <c r="AT68" s="117">
        <f>SUMPRODUCT(($F68:$L68="M")*6+($F68:$L68="T")*6+($F68:$L68="D")*12+($F68:$L68="N")*12+($F68:$L68="NT")*6+($F68:$L68="C")*10+($F68:$L68="A")*8+($F68:$L68="J")*5+($F68:$L68="CEP")*4+($F68:$L68="CP")*6+($F68:$L68="CRO")*6+($F68:$L68="M+")*6+($F68:$L68="T+")*6+($F68:$L68="D+")*12+($F68:$L68="N+")*12+($F68:$L68="Dm+")*12+($F68:$L68="Dt+")*12+($F68:$L68="Tm-")*6+($F68:$L68="Mt-")*6)</f>
        <v/>
      </c>
      <c r="AU68" s="118">
        <f>AT68-MAX(0,IFERROR(INDEX(CADASTRO!$I$4:$I$80,MATCH($A68,CADASTRO!$A$4:$A$80,0)),$B68)-CONFIG!$B$50*(COUNTIF($F68:$L68,"AB")+COUNTIF($F68:$L68,"FE")+COUNTIF($F68:$L68,"LM")))</f>
        <v/>
      </c>
      <c r="AV68" s="117">
        <f>SUMPRODUCT(($M68:$S68="M")*6+($M68:$S68="T")*6+($M68:$S68="D")*12+($M68:$S68="N")*12+($M68:$S68="NT")*6+($M68:$S68="C")*10+($M68:$S68="A")*8+($M68:$S68="J")*5+($M68:$S68="CEP")*4+($M68:$S68="CP")*6+($M68:$S68="CRO")*6+($M68:$S68="M+")*6+($M68:$S68="T+")*6+($M68:$S68="D+")*12+($M68:$S68="N+")*12+($M68:$S68="Dm+")*12+($M68:$S68="Dt+")*12+($M68:$S68="Tm-")*6+($M68:$S68="Mt-")*6)</f>
        <v/>
      </c>
      <c r="AW68" s="118">
        <f>AV68-MAX(0,IFERROR(INDEX(CADASTRO!$I$4:$I$80,MATCH($A68,CADASTRO!$A$4:$A$80,0)),$B68)-CONFIG!$B$50*(COUNTIF($M68:$S68,"AB")+COUNTIF($M68:$S68,"FE")+COUNTIF($M68:$S68,"LM")))</f>
        <v/>
      </c>
      <c r="AX68" s="117">
        <f>SUMPRODUCT(($T68:$Z68="M")*6+($T68:$Z68="T")*6+($T68:$Z68="D")*12+($T68:$Z68="N")*12+($T68:$Z68="NT")*6+($T68:$Z68="C")*10+($T68:$Z68="A")*8+($T68:$Z68="J")*5+($T68:$Z68="CEP")*4+($T68:$Z68="CP")*6+($T68:$Z68="CRO")*6+($T68:$Z68="M+")*6+($T68:$Z68="T+")*6+($T68:$Z68="D+")*12+($T68:$Z68="N+")*12+($T68:$Z68="Dm+")*12+($T68:$Z68="Dt+")*12+($T68:$Z68="Tm-")*6+($T68:$Z68="Mt-")*6)</f>
        <v/>
      </c>
      <c r="AY68" s="118">
        <f>AX68-MAX(0,IFERROR(INDEX(CADASTRO!$I$4:$I$80,MATCH($A68,CADASTRO!$A$4:$A$80,0)),$B68)-CONFIG!$B$50*(COUNTIF($T68:$Z68,"AB")+COUNTIF($T68:$Z68,"FE")+COUNTIF($T68:$Z68,"LM")))</f>
        <v/>
      </c>
      <c r="AZ68" s="117">
        <f>SUMPRODUCT(($AA68:$AG68="M")*6+($AA68:$AG68="T")*6+($AA68:$AG68="D")*12+($AA68:$AG68="N")*12+($AA68:$AG68="NT")*6+($AA68:$AG68="C")*10+($AA68:$AG68="A")*8+($AA68:$AG68="J")*5+($AA68:$AG68="CEP")*4+($AA68:$AG68="CP")*6+($AA68:$AG68="CRO")*6+($AA68:$AG68="M+")*6+($AA68:$AG68="T+")*6+($AA68:$AG68="D+")*12+($AA68:$AG68="N+")*12+($AA68:$AG68="Dm+")*12+($AA68:$AG68="Dt+")*12+($AA68:$AG68="Tm-")*6+($AA68:$AG68="Mt-")*6)</f>
        <v/>
      </c>
      <c r="BA68" s="118">
        <f>AZ68-MAX(0,IFERROR(INDEX(CADASTRO!$I$4:$I$80,MATCH($A68,CADASTRO!$A$4:$A$80,0)),$B68)-CONFIG!$B$50*(COUNTIF($AA68:$AG68,"AB")+COUNTIF($AA68:$AG68,"FE")+COUNTIF($AA68:$AG68,"LM")))</f>
        <v/>
      </c>
      <c r="BB68" s="117">
        <f>SUMPRODUCT(($AH68:$AM68="M")*6+($AH68:$AM68="T")*6+($AH68:$AM68="D")*12+($AH68:$AM68="N")*12+($AH68:$AM68="NT")*6+($AH68:$AM68="C")*10+($AH68:$AM68="A")*8+($AH68:$AM68="J")*5+($AH68:$AM68="CEP")*4+($AH68:$AM68="CP")*6+($AH68:$AM68="CRO")*6+($AH68:$AM68="M+")*6+($AH68:$AM68="T+")*6+($AH68:$AM68="D+")*12+($AH68:$AM68="N+")*12+($AH68:$AM68="Dm+")*12+($AH68:$AM68="Dt+")*12+($AH68:$AM68="Tm-")*6+($AH68:$AM68="Mt-")*6)+SUMPRODUCT(($AN68:$AN68="M")*6+($AN68:$AN68="T")*6+($AN68:$AN68="D")*12+($AN68:$AN68="N")*12+($AN68:$AN68="NT")*6+($AN68:$AN68="C")*10+($AN68:$AN68="A")*8+($AN68:$AN68="J")*5+($AN68:$AN68="CEP")*4+($AN68:$AN68="CP")*6+($AN68:$AN68="CRO")*6+($AN68:$AN68="M+")*6+($AN68:$AN68="T+")*6+($AN68:$AN68="D+")*12+($AN68:$AN68="N+")*12+($AN68:$AN68="Dm+")*12+($AN68:$AN68="Dt+")*12+($AN68:$AN68="Tm-")*6+($AN68:$AN68="Mt-")*6)</f>
        <v/>
      </c>
      <c r="BC68" s="118">
        <f>BB68-MAX(0,IFERROR(INDEX(CADASTRO!$I$4:$I$80,MATCH($A68,CADASTRO!$A$4:$A$80,0)),$B68)-CONFIG!$B$50*(COUNTIF($AH68:$AM68,"AB")+COUNTIF($AH68:$AM68,"FE")+COUNTIF($AH68:$AM68,"LM")+COUNTIF($AN68:$AN68,"AB")+COUNTIF($AN68:$AN68,"FE")+COUNTIF($AN68:$AN68,"LM")))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36">
        <f>IFERROR(INDEX(SET!AJ$8:AJ$73,MATCH($A69,SET!$A$8:$A$73,0))&amp;"","")</f>
        <v/>
      </c>
      <c r="G69" s="136">
        <f>IFERROR(INDEX(SET!AK$8:AK$73,MATCH($A69,SET!$A$8:$A$73,0))&amp;"","")</f>
        <v/>
      </c>
      <c r="H69" s="136">
        <f>IFERROR(INDEX(SET!AL$8:AL$73,MATCH($A69,SET!$A$8:$A$73,0))&amp;"","")</f>
        <v/>
      </c>
      <c r="I69" s="114" t="n"/>
      <c r="J69" s="114" t="n"/>
      <c r="K69" s="124" t="inlineStr">
        <is>
          <t>D</t>
        </is>
      </c>
      <c r="L69" s="114" t="n"/>
      <c r="M69" s="125" t="inlineStr">
        <is>
          <t>N</t>
        </is>
      </c>
      <c r="N69" s="114" t="n"/>
      <c r="O69" s="114" t="n"/>
      <c r="P69" s="114" t="n"/>
      <c r="Q69" s="126" t="inlineStr">
        <is>
          <t>T</t>
        </is>
      </c>
      <c r="R69" s="126" t="inlineStr">
        <is>
          <t>T</t>
        </is>
      </c>
      <c r="S69" s="114" t="n"/>
      <c r="T69" s="114" t="n"/>
      <c r="U69" s="114" t="n"/>
      <c r="V69" s="124" t="inlineStr">
        <is>
          <t>D</t>
        </is>
      </c>
      <c r="W69" s="114" t="n"/>
      <c r="X69" s="124" t="inlineStr">
        <is>
          <t>D</t>
        </is>
      </c>
      <c r="Y69" s="114" t="n"/>
      <c r="Z69" s="114" t="n"/>
      <c r="AA69" s="114" t="n"/>
      <c r="AB69" s="114" t="n"/>
      <c r="AC69" s="125" t="inlineStr">
        <is>
          <t>N</t>
        </is>
      </c>
      <c r="AD69" s="114" t="n"/>
      <c r="AE69" s="114" t="n"/>
      <c r="AF69" s="124" t="inlineStr">
        <is>
          <t>D</t>
        </is>
      </c>
      <c r="AG69" s="114" t="n"/>
      <c r="AH69" s="114" t="n"/>
      <c r="AI69" s="114" t="n"/>
      <c r="AJ69" s="124" t="inlineStr">
        <is>
          <t>D</t>
        </is>
      </c>
      <c r="AK69" s="115" t="inlineStr">
        <is>
          <t>M</t>
        </is>
      </c>
      <c r="AL69" s="115" t="inlineStr">
        <is>
          <t>M</t>
        </is>
      </c>
      <c r="AM69" s="114" t="n"/>
      <c r="AN69" s="116">
        <f>IFERROR(INDEX(NOV!I$8:I$73,MATCH($A69,NOV!$A$8:$A$73,0))&amp;"","")</f>
        <v/>
      </c>
      <c r="AO69" s="100" t="n"/>
      <c r="AP69" s="100" t="n"/>
      <c r="AQ69" s="100" t="n"/>
      <c r="AR69" s="100" t="n"/>
      <c r="AS69" s="100" t="n"/>
      <c r="AT69" s="117">
        <f>SUMPRODUCT(($F69:$L69="M")*6+($F69:$L69="T")*6+($F69:$L69="D")*12+($F69:$L69="N")*12+($F69:$L69="NT")*6+($F69:$L69="C")*10+($F69:$L69="A")*8+($F69:$L69="J")*5+($F69:$L69="CEP")*4+($F69:$L69="CP")*6+($F69:$L69="CRO")*6+($F69:$L69="M+")*6+($F69:$L69="T+")*6+($F69:$L69="D+")*12+($F69:$L69="N+")*12+($F69:$L69="Dm+")*12+($F69:$L69="Dt+")*12+($F69:$L69="Tm-")*6+($F69:$L69="Mt-")*6)</f>
        <v/>
      </c>
      <c r="AU69" s="118">
        <f>AT69-MAX(0,IFERROR(INDEX(CADASTRO!$I$4:$I$80,MATCH($A69,CADASTRO!$A$4:$A$80,0)),$B69)-CONFIG!$B$50*(COUNTIF($F69:$L69,"AB")+COUNTIF($F69:$L69,"FE")+COUNTIF($F69:$L69,"LM")))</f>
        <v/>
      </c>
      <c r="AV69" s="117">
        <f>SUMPRODUCT(($M69:$S69="M")*6+($M69:$S69="T")*6+($M69:$S69="D")*12+($M69:$S69="N")*12+($M69:$S69="NT")*6+($M69:$S69="C")*10+($M69:$S69="A")*8+($M69:$S69="J")*5+($M69:$S69="CEP")*4+($M69:$S69="CP")*6+($M69:$S69="CRO")*6+($M69:$S69="M+")*6+($M69:$S69="T+")*6+($M69:$S69="D+")*12+($M69:$S69="N+")*12+($M69:$S69="Dm+")*12+($M69:$S69="Dt+")*12+($M69:$S69="Tm-")*6+($M69:$S69="Mt-")*6)</f>
        <v/>
      </c>
      <c r="AW69" s="118">
        <f>AV69-MAX(0,IFERROR(INDEX(CADASTRO!$I$4:$I$80,MATCH($A69,CADASTRO!$A$4:$A$80,0)),$B69)-CONFIG!$B$50*(COUNTIF($M69:$S69,"AB")+COUNTIF($M69:$S69,"FE")+COUNTIF($M69:$S69,"LM")))</f>
        <v/>
      </c>
      <c r="AX69" s="117">
        <f>SUMPRODUCT(($T69:$Z69="M")*6+($T69:$Z69="T")*6+($T69:$Z69="D")*12+($T69:$Z69="N")*12+($T69:$Z69="NT")*6+($T69:$Z69="C")*10+($T69:$Z69="A")*8+($T69:$Z69="J")*5+($T69:$Z69="CEP")*4+($T69:$Z69="CP")*6+($T69:$Z69="CRO")*6+($T69:$Z69="M+")*6+($T69:$Z69="T+")*6+($T69:$Z69="D+")*12+($T69:$Z69="N+")*12+($T69:$Z69="Dm+")*12+($T69:$Z69="Dt+")*12+($T69:$Z69="Tm-")*6+($T69:$Z69="Mt-")*6)</f>
        <v/>
      </c>
      <c r="AY69" s="118">
        <f>AX69-MAX(0,IFERROR(INDEX(CADASTRO!$I$4:$I$80,MATCH($A69,CADASTRO!$A$4:$A$80,0)),$B69)-CONFIG!$B$50*(COUNTIF($T69:$Z69,"AB")+COUNTIF($T69:$Z69,"FE")+COUNTIF($T69:$Z69,"LM")))</f>
        <v/>
      </c>
      <c r="AZ69" s="117">
        <f>SUMPRODUCT(($AA69:$AG69="M")*6+($AA69:$AG69="T")*6+($AA69:$AG69="D")*12+($AA69:$AG69="N")*12+($AA69:$AG69="NT")*6+($AA69:$AG69="C")*10+($AA69:$AG69="A")*8+($AA69:$AG69="J")*5+($AA69:$AG69="CEP")*4+($AA69:$AG69="CP")*6+($AA69:$AG69="CRO")*6+($AA69:$AG69="M+")*6+($AA69:$AG69="T+")*6+($AA69:$AG69="D+")*12+($AA69:$AG69="N+")*12+($AA69:$AG69="Dm+")*12+($AA69:$AG69="Dt+")*12+($AA69:$AG69="Tm-")*6+($AA69:$AG69="Mt-")*6)</f>
        <v/>
      </c>
      <c r="BA69" s="118">
        <f>AZ69-MAX(0,IFERROR(INDEX(CADASTRO!$I$4:$I$80,MATCH($A69,CADASTRO!$A$4:$A$80,0)),$B69)-CONFIG!$B$50*(COUNTIF($AA69:$AG69,"AB")+COUNTIF($AA69:$AG69,"FE")+COUNTIF($AA69:$AG69,"LM")))</f>
        <v/>
      </c>
      <c r="BB69" s="117">
        <f>SUMPRODUCT(($AH69:$AM69="M")*6+($AH69:$AM69="T")*6+($AH69:$AM69="D")*12+($AH69:$AM69="N")*12+($AH69:$AM69="NT")*6+($AH69:$AM69="C")*10+($AH69:$AM69="A")*8+($AH69:$AM69="J")*5+($AH69:$AM69="CEP")*4+($AH69:$AM69="CP")*6+($AH69:$AM69="CRO")*6+($AH69:$AM69="M+")*6+($AH69:$AM69="T+")*6+($AH69:$AM69="D+")*12+($AH69:$AM69="N+")*12+($AH69:$AM69="Dm+")*12+($AH69:$AM69="Dt+")*12+($AH69:$AM69="Tm-")*6+($AH69:$AM69="Mt-")*6)+SUMPRODUCT(($AN69:$AN69="M")*6+($AN69:$AN69="T")*6+($AN69:$AN69="D")*12+($AN69:$AN69="N")*12+($AN69:$AN69="NT")*6+($AN69:$AN69="C")*10+($AN69:$AN69="A")*8+($AN69:$AN69="J")*5+($AN69:$AN69="CEP")*4+($AN69:$AN69="CP")*6+($AN69:$AN69="CRO")*6+($AN69:$AN69="M+")*6+($AN69:$AN69="T+")*6+($AN69:$AN69="D+")*12+($AN69:$AN69="N+")*12+($AN69:$AN69="Dm+")*12+($AN69:$AN69="Dt+")*12+($AN69:$AN69="Tm-")*6+($AN69:$AN69="Mt-")*6)</f>
        <v/>
      </c>
      <c r="BC69" s="118">
        <f>BB69-MAX(0,IFERROR(INDEX(CADASTRO!$I$4:$I$80,MATCH($A69,CADASTRO!$A$4:$A$80,0)),$B69)-CONFIG!$B$50*(COUNTIF($AH69:$AM69,"AB")+COUNTIF($AH69:$AM69,"FE")+COUNTIF($AH69:$AM69,"LM")+COUNTIF($AN69:$AN69,"AB")+COUNTIF($AN69:$AN69,"FE")+COUNTIF($AN69:$AN69,"LM")))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36">
        <f>IFERROR(INDEX(SET!AJ$8:AJ$73,MATCH($A70,SET!$A$8:$A$73,0))&amp;"","")</f>
        <v/>
      </c>
      <c r="G70" s="136">
        <f>IFERROR(INDEX(SET!AK$8:AK$73,MATCH($A70,SET!$A$8:$A$73,0))&amp;"","")</f>
        <v/>
      </c>
      <c r="H70" s="136">
        <f>IFERROR(INDEX(SET!AL$8:AL$73,MATCH($A70,SET!$A$8:$A$73,0))&amp;"","")</f>
        <v/>
      </c>
      <c r="I70" s="114" t="n"/>
      <c r="J70" s="115" t="inlineStr">
        <is>
          <t>M</t>
        </is>
      </c>
      <c r="K70" s="114" t="n"/>
      <c r="L70" s="114" t="n"/>
      <c r="M70" s="114" t="n"/>
      <c r="N70" s="115" t="inlineStr">
        <is>
          <t>M</t>
        </is>
      </c>
      <c r="O70" s="125" t="inlineStr">
        <is>
          <t>N</t>
        </is>
      </c>
      <c r="P70" s="114" t="n"/>
      <c r="Q70" s="126" t="inlineStr">
        <is>
          <t>T</t>
        </is>
      </c>
      <c r="R70" s="114" t="n"/>
      <c r="S70" s="114" t="n"/>
      <c r="T70" s="115" t="inlineStr">
        <is>
          <t>M</t>
        </is>
      </c>
      <c r="U70" s="115" t="inlineStr">
        <is>
          <t>M</t>
        </is>
      </c>
      <c r="V70" s="125" t="inlineStr">
        <is>
          <t>N</t>
        </is>
      </c>
      <c r="W70" s="114" t="n"/>
      <c r="X70" s="114" t="n"/>
      <c r="Y70" s="114" t="n"/>
      <c r="Z70" s="114" t="n"/>
      <c r="AA70" s="114" t="n"/>
      <c r="AB70" s="114" t="n"/>
      <c r="AC70" s="114" t="n"/>
      <c r="AD70" s="115" t="inlineStr">
        <is>
          <t>M</t>
        </is>
      </c>
      <c r="AE70" s="115" t="inlineStr">
        <is>
          <t>M</t>
        </is>
      </c>
      <c r="AF70" s="114" t="n"/>
      <c r="AG70" s="124" t="inlineStr">
        <is>
          <t>D</t>
        </is>
      </c>
      <c r="AH70" s="115" t="inlineStr">
        <is>
          <t>M</t>
        </is>
      </c>
      <c r="AI70" s="114" t="n"/>
      <c r="AJ70" s="114" t="n"/>
      <c r="AK70" s="115" t="inlineStr">
        <is>
          <t>M</t>
        </is>
      </c>
      <c r="AL70" s="114" t="n"/>
      <c r="AM70" s="114" t="n"/>
      <c r="AN70" s="116">
        <f>IFERROR(INDEX(NOV!I$8:I$73,MATCH($A70,NOV!$A$8:$A$73,0))&amp;"","")</f>
        <v/>
      </c>
      <c r="AO70" s="100" t="n"/>
      <c r="AP70" s="100" t="n"/>
      <c r="AQ70" s="100" t="n"/>
      <c r="AR70" s="100" t="n"/>
      <c r="AS70" s="100" t="n"/>
      <c r="AT70" s="117">
        <f>SUMPRODUCT(($F70:$L70="M")*6+($F70:$L70="T")*6+($F70:$L70="D")*12+($F70:$L70="N")*12+($F70:$L70="NT")*6+($F70:$L70="C")*10+($F70:$L70="A")*8+($F70:$L70="J")*5+($F70:$L70="CEP")*4+($F70:$L70="CP")*6+($F70:$L70="CRO")*6+($F70:$L70="M+")*6+($F70:$L70="T+")*6+($F70:$L70="D+")*12+($F70:$L70="N+")*12+($F70:$L70="Dm+")*12+($F70:$L70="Dt+")*12+($F70:$L70="Tm-")*6+($F70:$L70="Mt-")*6)</f>
        <v/>
      </c>
      <c r="AU70" s="118">
        <f>AT70-MAX(0,IFERROR(INDEX(CADASTRO!$I$4:$I$80,MATCH($A70,CADASTRO!$A$4:$A$80,0)),$B70)-CONFIG!$B$50*(COUNTIF($F70:$L70,"AB")+COUNTIF($F70:$L70,"FE")+COUNTIF($F70:$L70,"LM")))</f>
        <v/>
      </c>
      <c r="AV70" s="117">
        <f>SUMPRODUCT(($M70:$S70="M")*6+($M70:$S70="T")*6+($M70:$S70="D")*12+($M70:$S70="N")*12+($M70:$S70="NT")*6+($M70:$S70="C")*10+($M70:$S70="A")*8+($M70:$S70="J")*5+($M70:$S70="CEP")*4+($M70:$S70="CP")*6+($M70:$S70="CRO")*6+($M70:$S70="M+")*6+($M70:$S70="T+")*6+($M70:$S70="D+")*12+($M70:$S70="N+")*12+($M70:$S70="Dm+")*12+($M70:$S70="Dt+")*12+($M70:$S70="Tm-")*6+($M70:$S70="Mt-")*6)</f>
        <v/>
      </c>
      <c r="AW70" s="118">
        <f>AV70-MAX(0,IFERROR(INDEX(CADASTRO!$I$4:$I$80,MATCH($A70,CADASTRO!$A$4:$A$80,0)),$B70)-CONFIG!$B$50*(COUNTIF($M70:$S70,"AB")+COUNTIF($M70:$S70,"FE")+COUNTIF($M70:$S70,"LM")))</f>
        <v/>
      </c>
      <c r="AX70" s="117">
        <f>SUMPRODUCT(($T70:$Z70="M")*6+($T70:$Z70="T")*6+($T70:$Z70="D")*12+($T70:$Z70="N")*12+($T70:$Z70="NT")*6+($T70:$Z70="C")*10+($T70:$Z70="A")*8+($T70:$Z70="J")*5+($T70:$Z70="CEP")*4+($T70:$Z70="CP")*6+($T70:$Z70="CRO")*6+($T70:$Z70="M+")*6+($T70:$Z70="T+")*6+($T70:$Z70="D+")*12+($T70:$Z70="N+")*12+($T70:$Z70="Dm+")*12+($T70:$Z70="Dt+")*12+($T70:$Z70="Tm-")*6+($T70:$Z70="Mt-")*6)</f>
        <v/>
      </c>
      <c r="AY70" s="118">
        <f>AX70-MAX(0,IFERROR(INDEX(CADASTRO!$I$4:$I$80,MATCH($A70,CADASTRO!$A$4:$A$80,0)),$B70)-CONFIG!$B$50*(COUNTIF($T70:$Z70,"AB")+COUNTIF($T70:$Z70,"FE")+COUNTIF($T70:$Z70,"LM")))</f>
        <v/>
      </c>
      <c r="AZ70" s="117">
        <f>SUMPRODUCT(($AA70:$AG70="M")*6+($AA70:$AG70="T")*6+($AA70:$AG70="D")*12+($AA70:$AG70="N")*12+($AA70:$AG70="NT")*6+($AA70:$AG70="C")*10+($AA70:$AG70="A")*8+($AA70:$AG70="J")*5+($AA70:$AG70="CEP")*4+($AA70:$AG70="CP")*6+($AA70:$AG70="CRO")*6+($AA70:$AG70="M+")*6+($AA70:$AG70="T+")*6+($AA70:$AG70="D+")*12+($AA70:$AG70="N+")*12+($AA70:$AG70="Dm+")*12+($AA70:$AG70="Dt+")*12+($AA70:$AG70="Tm-")*6+($AA70:$AG70="Mt-")*6)</f>
        <v/>
      </c>
      <c r="BA70" s="118">
        <f>AZ70-MAX(0,IFERROR(INDEX(CADASTRO!$I$4:$I$80,MATCH($A70,CADASTRO!$A$4:$A$80,0)),$B70)-CONFIG!$B$50*(COUNTIF($AA70:$AG70,"AB")+COUNTIF($AA70:$AG70,"FE")+COUNTIF($AA70:$AG70,"LM")))</f>
        <v/>
      </c>
      <c r="BB70" s="117">
        <f>SUMPRODUCT(($AH70:$AM70="M")*6+($AH70:$AM70="T")*6+($AH70:$AM70="D")*12+($AH70:$AM70="N")*12+($AH70:$AM70="NT")*6+($AH70:$AM70="C")*10+($AH70:$AM70="A")*8+($AH70:$AM70="J")*5+($AH70:$AM70="CEP")*4+($AH70:$AM70="CP")*6+($AH70:$AM70="CRO")*6+($AH70:$AM70="M+")*6+($AH70:$AM70="T+")*6+($AH70:$AM70="D+")*12+($AH70:$AM70="N+")*12+($AH70:$AM70="Dm+")*12+($AH70:$AM70="Dt+")*12+($AH70:$AM70="Tm-")*6+($AH70:$AM70="Mt-")*6)+SUMPRODUCT(($AN70:$AN70="M")*6+($AN70:$AN70="T")*6+($AN70:$AN70="D")*12+($AN70:$AN70="N")*12+($AN70:$AN70="NT")*6+($AN70:$AN70="C")*10+($AN70:$AN70="A")*8+($AN70:$AN70="J")*5+($AN70:$AN70="CEP")*4+($AN70:$AN70="CP")*6+($AN70:$AN70="CRO")*6+($AN70:$AN70="M+")*6+($AN70:$AN70="T+")*6+($AN70:$AN70="D+")*12+($AN70:$AN70="N+")*12+($AN70:$AN70="Dm+")*12+($AN70:$AN70="Dt+")*12+($AN70:$AN70="Tm-")*6+($AN70:$AN70="Mt-")*6)</f>
        <v/>
      </c>
      <c r="BC70" s="118">
        <f>BB70-MAX(0,IFERROR(INDEX(CADASTRO!$I$4:$I$80,MATCH($A70,CADASTRO!$A$4:$A$80,0)),$B70)-CONFIG!$B$50*(COUNTIF($AH70:$AM70,"AB")+COUNTIF($AH70:$AM70,"FE")+COUNTIF($AH70:$AM70,"LM")+COUNTIF($AN70:$AN70,"AB")+COUNTIF($AN70:$AN70,"FE")+COUNTIF($AN70:$AN70,"LM")))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36">
        <f>IFERROR(INDEX(SET!AJ$8:AJ$73,MATCH($A71,SET!$A$8:$A$73,0))&amp;"","")</f>
        <v/>
      </c>
      <c r="G71" s="136">
        <f>IFERROR(INDEX(SET!AK$8:AK$73,MATCH($A71,SET!$A$8:$A$73,0))&amp;"","")</f>
        <v/>
      </c>
      <c r="H71" s="136">
        <f>IFERROR(INDEX(SET!AL$8:AL$73,MATCH($A71,SET!$A$8:$A$73,0))&amp;"","")</f>
        <v/>
      </c>
      <c r="I71" s="114" t="n"/>
      <c r="J71" s="114" t="n"/>
      <c r="K71" s="114" t="n"/>
      <c r="L71" s="114" t="n"/>
      <c r="M71" s="141" t="inlineStr">
        <is>
          <t>A</t>
        </is>
      </c>
      <c r="N71" s="114" t="n"/>
      <c r="O71" s="141" t="inlineStr">
        <is>
          <t>A</t>
        </is>
      </c>
      <c r="P71" s="114" t="n"/>
      <c r="Q71" s="141" t="inlineStr">
        <is>
          <t>A</t>
        </is>
      </c>
      <c r="R71" s="114" t="n"/>
      <c r="S71" s="114" t="n"/>
      <c r="T71" s="114" t="n"/>
      <c r="U71" s="114" t="n"/>
      <c r="V71" s="141" t="inlineStr">
        <is>
          <t>A</t>
        </is>
      </c>
      <c r="W71" s="114" t="n"/>
      <c r="X71" s="141" t="inlineStr">
        <is>
          <t>A</t>
        </is>
      </c>
      <c r="Y71" s="114" t="n"/>
      <c r="Z71" s="114" t="n"/>
      <c r="AA71" s="141" t="inlineStr">
        <is>
          <t>A</t>
        </is>
      </c>
      <c r="AB71" s="114" t="n"/>
      <c r="AC71" s="141" t="inlineStr">
        <is>
          <t>A</t>
        </is>
      </c>
      <c r="AD71" s="114" t="n"/>
      <c r="AE71" s="141" t="inlineStr">
        <is>
          <t>A</t>
        </is>
      </c>
      <c r="AF71" s="114" t="n"/>
      <c r="AG71" s="114" t="n"/>
      <c r="AH71" s="141" t="inlineStr">
        <is>
          <t>A</t>
        </is>
      </c>
      <c r="AI71" s="114" t="n"/>
      <c r="AJ71" s="141" t="inlineStr">
        <is>
          <t>A</t>
        </is>
      </c>
      <c r="AK71" s="114" t="n"/>
      <c r="AL71" s="141" t="inlineStr">
        <is>
          <t>A</t>
        </is>
      </c>
      <c r="AM71" s="114" t="n"/>
      <c r="AN71" s="116">
        <f>IFERROR(INDEX(NOV!I$8:I$73,MATCH($A71,NOV!$A$8:$A$73,0))&amp;"","")</f>
        <v/>
      </c>
      <c r="AO71" s="100" t="n"/>
      <c r="AP71" s="100" t="n"/>
      <c r="AQ71" s="100" t="n"/>
      <c r="AR71" s="100" t="n"/>
      <c r="AS71" s="100" t="n"/>
      <c r="AT71" s="117">
        <f>SUMPRODUCT(($F71:$L71="M")*6+($F71:$L71="T")*6+($F71:$L71="D")*12+($F71:$L71="N")*12+($F71:$L71="NT")*6+($F71:$L71="C")*10+($F71:$L71="A")*8+($F71:$L71="J")*5+($F71:$L71="CEP")*4+($F71:$L71="CP")*6+($F71:$L71="CRO")*6+($F71:$L71="M+")*6+($F71:$L71="T+")*6+($F71:$L71="D+")*12+($F71:$L71="N+")*12+($F71:$L71="Dm+")*12+($F71:$L71="Dt+")*12+($F71:$L71="Tm-")*6+($F71:$L71="Mt-")*6)</f>
        <v/>
      </c>
      <c r="AU71" s="118">
        <f>AT71-MAX(0,IFERROR(INDEX(CADASTRO!$I$4:$I$80,MATCH($A71,CADASTRO!$A$4:$A$80,0)),$B71)-CONFIG!$B$50*(COUNTIF($F71:$L71,"AB")+COUNTIF($F71:$L71,"FE")+COUNTIF($F71:$L71,"LM")))</f>
        <v/>
      </c>
      <c r="AV71" s="117">
        <f>SUMPRODUCT(($M71:$S71="M")*6+($M71:$S71="T")*6+($M71:$S71="D")*12+($M71:$S71="N")*12+($M71:$S71="NT")*6+($M71:$S71="C")*10+($M71:$S71="A")*8+($M71:$S71="J")*5+($M71:$S71="CEP")*4+($M71:$S71="CP")*6+($M71:$S71="CRO")*6+($M71:$S71="M+")*6+($M71:$S71="T+")*6+($M71:$S71="D+")*12+($M71:$S71="N+")*12+($M71:$S71="Dm+")*12+($M71:$S71="Dt+")*12+($M71:$S71="Tm-")*6+($M71:$S71="Mt-")*6)</f>
        <v/>
      </c>
      <c r="AW71" s="118">
        <f>AV71-MAX(0,IFERROR(INDEX(CADASTRO!$I$4:$I$80,MATCH($A71,CADASTRO!$A$4:$A$80,0)),$B71)-CONFIG!$B$50*(COUNTIF($M71:$S71,"AB")+COUNTIF($M71:$S71,"FE")+COUNTIF($M71:$S71,"LM")))</f>
        <v/>
      </c>
      <c r="AX71" s="117">
        <f>SUMPRODUCT(($T71:$Z71="M")*6+($T71:$Z71="T")*6+($T71:$Z71="D")*12+($T71:$Z71="N")*12+($T71:$Z71="NT")*6+($T71:$Z71="C")*10+($T71:$Z71="A")*8+($T71:$Z71="J")*5+($T71:$Z71="CEP")*4+($T71:$Z71="CP")*6+($T71:$Z71="CRO")*6+($T71:$Z71="M+")*6+($T71:$Z71="T+")*6+($T71:$Z71="D+")*12+($T71:$Z71="N+")*12+($T71:$Z71="Dm+")*12+($T71:$Z71="Dt+")*12+($T71:$Z71="Tm-")*6+($T71:$Z71="Mt-")*6)</f>
        <v/>
      </c>
      <c r="AY71" s="118">
        <f>AX71-MAX(0,IFERROR(INDEX(CADASTRO!$I$4:$I$80,MATCH($A71,CADASTRO!$A$4:$A$80,0)),$B71)-CONFIG!$B$50*(COUNTIF($T71:$Z71,"AB")+COUNTIF($T71:$Z71,"FE")+COUNTIF($T71:$Z71,"LM")))</f>
        <v/>
      </c>
      <c r="AZ71" s="117">
        <f>SUMPRODUCT(($AA71:$AG71="M")*6+($AA71:$AG71="T")*6+($AA71:$AG71="D")*12+($AA71:$AG71="N")*12+($AA71:$AG71="NT")*6+($AA71:$AG71="C")*10+($AA71:$AG71="A")*8+($AA71:$AG71="J")*5+($AA71:$AG71="CEP")*4+($AA71:$AG71="CP")*6+($AA71:$AG71="CRO")*6+($AA71:$AG71="M+")*6+($AA71:$AG71="T+")*6+($AA71:$AG71="D+")*12+($AA71:$AG71="N+")*12+($AA71:$AG71="Dm+")*12+($AA71:$AG71="Dt+")*12+($AA71:$AG71="Tm-")*6+($AA71:$AG71="Mt-")*6)</f>
        <v/>
      </c>
      <c r="BA71" s="118">
        <f>AZ71-MAX(0,IFERROR(INDEX(CADASTRO!$I$4:$I$80,MATCH($A71,CADASTRO!$A$4:$A$80,0)),$B71)-CONFIG!$B$50*(COUNTIF($AA71:$AG71,"AB")+COUNTIF($AA71:$AG71,"FE")+COUNTIF($AA71:$AG71,"LM")))</f>
        <v/>
      </c>
      <c r="BB71" s="117">
        <f>SUMPRODUCT(($AH71:$AM71="M")*6+($AH71:$AM71="T")*6+($AH71:$AM71="D")*12+($AH71:$AM71="N")*12+($AH71:$AM71="NT")*6+($AH71:$AM71="C")*10+($AH71:$AM71="A")*8+($AH71:$AM71="J")*5+($AH71:$AM71="CEP")*4+($AH71:$AM71="CP")*6+($AH71:$AM71="CRO")*6+($AH71:$AM71="M+")*6+($AH71:$AM71="T+")*6+($AH71:$AM71="D+")*12+($AH71:$AM71="N+")*12+($AH71:$AM71="Dm+")*12+($AH71:$AM71="Dt+")*12+($AH71:$AM71="Tm-")*6+($AH71:$AM71="Mt-")*6)+SUMPRODUCT(($AN71:$AN71="M")*6+($AN71:$AN71="T")*6+($AN71:$AN71="D")*12+($AN71:$AN71="N")*12+($AN71:$AN71="NT")*6+($AN71:$AN71="C")*10+($AN71:$AN71="A")*8+($AN71:$AN71="J")*5+($AN71:$AN71="CEP")*4+($AN71:$AN71="CP")*6+($AN71:$AN71="CRO")*6+($AN71:$AN71="M+")*6+($AN71:$AN71="T+")*6+($AN71:$AN71="D+")*12+($AN71:$AN71="N+")*12+($AN71:$AN71="Dm+")*12+($AN71:$AN71="Dt+")*12+($AN71:$AN71="Tm-")*6+($AN71:$AN71="Mt-")*6)</f>
        <v/>
      </c>
      <c r="BC71" s="118">
        <f>BB71-MAX(0,IFERROR(INDEX(CADASTRO!$I$4:$I$80,MATCH($A71,CADASTRO!$A$4:$A$80,0)),$B71)-CONFIG!$B$50*(COUNTIF($AH71:$AM71,"AB")+COUNTIF($AH71:$AM71,"FE")+COUNTIF($AH71:$AM71,"LM")+COUNTIF($AN71:$AN71,"AB")+COUNTIF($AN71:$AN71,"FE")+COUNTIF($AN71:$AN71,"LM")))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36">
        <f>IFERROR(INDEX(SET!AJ$8:AJ$73,MATCH($A72,SET!$A$8:$A$73,0))&amp;"","")</f>
        <v/>
      </c>
      <c r="G72" s="136">
        <f>IFERROR(INDEX(SET!AK$8:AK$73,MATCH($A72,SET!$A$8:$A$73,0))&amp;"","")</f>
        <v/>
      </c>
      <c r="H72" s="136">
        <f>IFERROR(INDEX(SET!AL$8:AL$73,MATCH($A72,SET!$A$8:$A$73,0))&amp;"","")</f>
        <v/>
      </c>
      <c r="I72" s="141" t="inlineStr">
        <is>
          <t>A</t>
        </is>
      </c>
      <c r="J72" s="141" t="inlineStr">
        <is>
          <t>A</t>
        </is>
      </c>
      <c r="K72" s="114" t="n"/>
      <c r="L72" s="114" t="n"/>
      <c r="M72" s="141" t="inlineStr">
        <is>
          <t>A</t>
        </is>
      </c>
      <c r="N72" s="141" t="inlineStr">
        <is>
          <t>A</t>
        </is>
      </c>
      <c r="O72" s="141" t="inlineStr">
        <is>
          <t>A</t>
        </is>
      </c>
      <c r="P72" s="141" t="inlineStr">
        <is>
          <t>A</t>
        </is>
      </c>
      <c r="Q72" s="114" t="n"/>
      <c r="R72" s="114" t="n"/>
      <c r="S72" s="114" t="n"/>
      <c r="T72" s="114" t="n"/>
      <c r="U72" s="141" t="inlineStr">
        <is>
          <t>A</t>
        </is>
      </c>
      <c r="V72" s="141" t="inlineStr">
        <is>
          <t>A</t>
        </is>
      </c>
      <c r="W72" s="141" t="inlineStr">
        <is>
          <t>A</t>
        </is>
      </c>
      <c r="X72" s="141" t="inlineStr">
        <is>
          <t>A</t>
        </is>
      </c>
      <c r="Y72" s="114" t="n"/>
      <c r="Z72" s="114" t="n"/>
      <c r="AA72" s="141" t="inlineStr">
        <is>
          <t>A</t>
        </is>
      </c>
      <c r="AB72" s="141" t="inlineStr">
        <is>
          <t>A</t>
        </is>
      </c>
      <c r="AC72" s="141" t="inlineStr">
        <is>
          <t>A</t>
        </is>
      </c>
      <c r="AD72" s="141" t="inlineStr">
        <is>
          <t>A</t>
        </is>
      </c>
      <c r="AE72" s="114" t="n"/>
      <c r="AF72" s="114" t="n"/>
      <c r="AG72" s="114" t="n"/>
      <c r="AH72" s="141" t="inlineStr">
        <is>
          <t>A</t>
        </is>
      </c>
      <c r="AI72" s="141" t="inlineStr">
        <is>
          <t>A</t>
        </is>
      </c>
      <c r="AJ72" s="141" t="inlineStr">
        <is>
          <t>A</t>
        </is>
      </c>
      <c r="AK72" s="141" t="inlineStr">
        <is>
          <t>A</t>
        </is>
      </c>
      <c r="AL72" s="114" t="n"/>
      <c r="AM72" s="114" t="n"/>
      <c r="AN72" s="116">
        <f>IFERROR(INDEX(NOV!I$8:I$73,MATCH($A72,NOV!$A$8:$A$73,0))&amp;"","")</f>
        <v/>
      </c>
      <c r="AO72" s="100" t="n"/>
      <c r="AP72" s="100" t="n"/>
      <c r="AQ72" s="100" t="n"/>
      <c r="AR72" s="100" t="n"/>
      <c r="AS72" s="100" t="n"/>
      <c r="AT72" s="117">
        <f>SUMPRODUCT(($F72:$L72="M")*6+($F72:$L72="T")*6+($F72:$L72="D")*12+($F72:$L72="N")*12+($F72:$L72="NT")*6+($F72:$L72="C")*10+($F72:$L72="A")*8+($F72:$L72="J")*5+($F72:$L72="CEP")*4+($F72:$L72="CP")*6+($F72:$L72="CRO")*6+($F72:$L72="M+")*6+($F72:$L72="T+")*6+($F72:$L72="D+")*12+($F72:$L72="N+")*12+($F72:$L72="Dm+")*12+($F72:$L72="Dt+")*12+($F72:$L72="Tm-")*6+($F72:$L72="Mt-")*6)</f>
        <v/>
      </c>
      <c r="AU72" s="118">
        <f>AT72-MAX(0,IFERROR(INDEX(CADASTRO!$I$4:$I$80,MATCH($A72,CADASTRO!$A$4:$A$80,0)),$B72)-CONFIG!$B$50*(COUNTIF($F72:$L72,"AB")+COUNTIF($F72:$L72,"FE")+COUNTIF($F72:$L72,"LM")))</f>
        <v/>
      </c>
      <c r="AV72" s="117">
        <f>SUMPRODUCT(($M72:$S72="M")*6+($M72:$S72="T")*6+($M72:$S72="D")*12+($M72:$S72="N")*12+($M72:$S72="NT")*6+($M72:$S72="C")*10+($M72:$S72="A")*8+($M72:$S72="J")*5+($M72:$S72="CEP")*4+($M72:$S72="CP")*6+($M72:$S72="CRO")*6+($M72:$S72="M+")*6+($M72:$S72="T+")*6+($M72:$S72="D+")*12+($M72:$S72="N+")*12+($M72:$S72="Dm+")*12+($M72:$S72="Dt+")*12+($M72:$S72="Tm-")*6+($M72:$S72="Mt-")*6)</f>
        <v/>
      </c>
      <c r="AW72" s="118">
        <f>AV72-MAX(0,IFERROR(INDEX(CADASTRO!$I$4:$I$80,MATCH($A72,CADASTRO!$A$4:$A$80,0)),$B72)-CONFIG!$B$50*(COUNTIF($M72:$S72,"AB")+COUNTIF($M72:$S72,"FE")+COUNTIF($M72:$S72,"LM")))</f>
        <v/>
      </c>
      <c r="AX72" s="117">
        <f>SUMPRODUCT(($T72:$Z72="M")*6+($T72:$Z72="T")*6+($T72:$Z72="D")*12+($T72:$Z72="N")*12+($T72:$Z72="NT")*6+($T72:$Z72="C")*10+($T72:$Z72="A")*8+($T72:$Z72="J")*5+($T72:$Z72="CEP")*4+($T72:$Z72="CP")*6+($T72:$Z72="CRO")*6+($T72:$Z72="M+")*6+($T72:$Z72="T+")*6+($T72:$Z72="D+")*12+($T72:$Z72="N+")*12+($T72:$Z72="Dm+")*12+($T72:$Z72="Dt+")*12+($T72:$Z72="Tm-")*6+($T72:$Z72="Mt-")*6)</f>
        <v/>
      </c>
      <c r="AY72" s="118">
        <f>AX72-MAX(0,IFERROR(INDEX(CADASTRO!$I$4:$I$80,MATCH($A72,CADASTRO!$A$4:$A$80,0)),$B72)-CONFIG!$B$50*(COUNTIF($T72:$Z72,"AB")+COUNTIF($T72:$Z72,"FE")+COUNTIF($T72:$Z72,"LM")))</f>
        <v/>
      </c>
      <c r="AZ72" s="117">
        <f>SUMPRODUCT(($AA72:$AG72="M")*6+($AA72:$AG72="T")*6+($AA72:$AG72="D")*12+($AA72:$AG72="N")*12+($AA72:$AG72="NT")*6+($AA72:$AG72="C")*10+($AA72:$AG72="A")*8+($AA72:$AG72="J")*5+($AA72:$AG72="CEP")*4+($AA72:$AG72="CP")*6+($AA72:$AG72="CRO")*6+($AA72:$AG72="M+")*6+($AA72:$AG72="T+")*6+($AA72:$AG72="D+")*12+($AA72:$AG72="N+")*12+($AA72:$AG72="Dm+")*12+($AA72:$AG72="Dt+")*12+($AA72:$AG72="Tm-")*6+($AA72:$AG72="Mt-")*6)</f>
        <v/>
      </c>
      <c r="BA72" s="118">
        <f>AZ72-MAX(0,IFERROR(INDEX(CADASTRO!$I$4:$I$80,MATCH($A72,CADASTRO!$A$4:$A$80,0)),$B72)-CONFIG!$B$50*(COUNTIF($AA72:$AG72,"AB")+COUNTIF($AA72:$AG72,"FE")+COUNTIF($AA72:$AG72,"LM")))</f>
        <v/>
      </c>
      <c r="BB72" s="117">
        <f>SUMPRODUCT(($AH72:$AM72="M")*6+($AH72:$AM72="T")*6+($AH72:$AM72="D")*12+($AH72:$AM72="N")*12+($AH72:$AM72="NT")*6+($AH72:$AM72="C")*10+($AH72:$AM72="A")*8+($AH72:$AM72="J")*5+($AH72:$AM72="CEP")*4+($AH72:$AM72="CP")*6+($AH72:$AM72="CRO")*6+($AH72:$AM72="M+")*6+($AH72:$AM72="T+")*6+($AH72:$AM72="D+")*12+($AH72:$AM72="N+")*12+($AH72:$AM72="Dm+")*12+($AH72:$AM72="Dt+")*12+($AH72:$AM72="Tm-")*6+($AH72:$AM72="Mt-")*6)+SUMPRODUCT(($AN72:$AN72="M")*6+($AN72:$AN72="T")*6+($AN72:$AN72="D")*12+($AN72:$AN72="N")*12+($AN72:$AN72="NT")*6+($AN72:$AN72="C")*10+($AN72:$AN72="A")*8+($AN72:$AN72="J")*5+($AN72:$AN72="CEP")*4+($AN72:$AN72="CP")*6+($AN72:$AN72="CRO")*6+($AN72:$AN72="M+")*6+($AN72:$AN72="T+")*6+($AN72:$AN72="D+")*12+($AN72:$AN72="N+")*12+($AN72:$AN72="Dm+")*12+($AN72:$AN72="Dt+")*12+($AN72:$AN72="Tm-")*6+($AN72:$AN72="Mt-")*6)</f>
        <v/>
      </c>
      <c r="BC72" s="118">
        <f>BB72-MAX(0,IFERROR(INDEX(CADASTRO!$I$4:$I$80,MATCH($A72,CADASTRO!$A$4:$A$80,0)),$B72)-CONFIG!$B$50*(COUNTIF($AH72:$AM72,"AB")+COUNTIF($AH72:$AM72,"FE")+COUNTIF($AH72:$AM72,"LM")+COUNTIF($AN72:$AN72,"AB")+COUNTIF($AN72:$AN72,"FE")+COUNTIF($AN72:$AN72,"LM")))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36">
        <f>IFERROR(INDEX(SET!AJ$8:AJ$73,MATCH($A73,SET!$A$8:$A$73,0))&amp;"","")</f>
        <v/>
      </c>
      <c r="G73" s="136">
        <f>IFERROR(INDEX(SET!AK$8:AK$73,MATCH($A73,SET!$A$8:$A$73,0))&amp;"","")</f>
        <v/>
      </c>
      <c r="H73" s="136">
        <f>IFERROR(INDEX(SET!AL$8:AL$73,MATCH($A73,SET!$A$8:$A$73,0))&amp;"","")</f>
        <v/>
      </c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14" t="n"/>
      <c r="AI73" s="114" t="n"/>
      <c r="AJ73" s="114" t="n"/>
      <c r="AK73" s="114" t="n"/>
      <c r="AL73" s="114" t="n"/>
      <c r="AM73" s="114" t="n"/>
      <c r="AN73" s="116">
        <f>IFERROR(INDEX(NOV!I$8:I$73,MATCH($A73,NOV!$A$8:$A$73,0))&amp;"","")</f>
        <v/>
      </c>
      <c r="AO73" s="100" t="n"/>
      <c r="AP73" s="100" t="n"/>
      <c r="AQ73" s="100" t="n"/>
      <c r="AR73" s="100" t="n"/>
      <c r="AS73" s="100" t="n"/>
      <c r="AT73" s="117">
        <f>SUMPRODUCT(($F73:$L73="M")*6+($F73:$L73="T")*6+($F73:$L73="D")*12+($F73:$L73="N")*12+($F73:$L73="NT")*6+($F73:$L73="C")*10+($F73:$L73="A")*8+($F73:$L73="J")*5+($F73:$L73="CEP")*4+($F73:$L73="CP")*6+($F73:$L73="CRO")*6+($F73:$L73="M+")*6+($F73:$L73="T+")*6+($F73:$L73="D+")*12+($F73:$L73="N+")*12+($F73:$L73="Dm+")*12+($F73:$L73="Dt+")*12+($F73:$L73="Tm-")*6+($F73:$L73="Mt-")*6)</f>
        <v/>
      </c>
      <c r="AU73" s="118">
        <f>AT73-MAX(0,IFERROR(INDEX(CADASTRO!$I$4:$I$80,MATCH($A73,CADASTRO!$A$4:$A$80,0)),$B73)-CONFIG!$B$50*(COUNTIF($F73:$L73,"AB")+COUNTIF($F73:$L73,"FE")+COUNTIF($F73:$L73,"LM")))</f>
        <v/>
      </c>
      <c r="AV73" s="117">
        <f>SUMPRODUCT(($M73:$S73="M")*6+($M73:$S73="T")*6+($M73:$S73="D")*12+($M73:$S73="N")*12+($M73:$S73="NT")*6+($M73:$S73="C")*10+($M73:$S73="A")*8+($M73:$S73="J")*5+($M73:$S73="CEP")*4+($M73:$S73="CP")*6+($M73:$S73="CRO")*6+($M73:$S73="M+")*6+($M73:$S73="T+")*6+($M73:$S73="D+")*12+($M73:$S73="N+")*12+($M73:$S73="Dm+")*12+($M73:$S73="Dt+")*12+($M73:$S73="Tm-")*6+($M73:$S73="Mt-")*6)</f>
        <v/>
      </c>
      <c r="AW73" s="118">
        <f>AV73-MAX(0,IFERROR(INDEX(CADASTRO!$I$4:$I$80,MATCH($A73,CADASTRO!$A$4:$A$80,0)),$B73)-CONFIG!$B$50*(COUNTIF($M73:$S73,"AB")+COUNTIF($M73:$S73,"FE")+COUNTIF($M73:$S73,"LM")))</f>
        <v/>
      </c>
      <c r="AX73" s="117">
        <f>SUMPRODUCT(($T73:$Z73="M")*6+($T73:$Z73="T")*6+($T73:$Z73="D")*12+($T73:$Z73="N")*12+($T73:$Z73="NT")*6+($T73:$Z73="C")*10+($T73:$Z73="A")*8+($T73:$Z73="J")*5+($T73:$Z73="CEP")*4+($T73:$Z73="CP")*6+($T73:$Z73="CRO")*6+($T73:$Z73="M+")*6+($T73:$Z73="T+")*6+($T73:$Z73="D+")*12+($T73:$Z73="N+")*12+($T73:$Z73="Dm+")*12+($T73:$Z73="Dt+")*12+($T73:$Z73="Tm-")*6+($T73:$Z73="Mt-")*6)</f>
        <v/>
      </c>
      <c r="AY73" s="118">
        <f>AX73-MAX(0,IFERROR(INDEX(CADASTRO!$I$4:$I$80,MATCH($A73,CADASTRO!$A$4:$A$80,0)),$B73)-CONFIG!$B$50*(COUNTIF($T73:$Z73,"AB")+COUNTIF($T73:$Z73,"FE")+COUNTIF($T73:$Z73,"LM")))</f>
        <v/>
      </c>
      <c r="AZ73" s="117">
        <f>SUMPRODUCT(($AA73:$AG73="M")*6+($AA73:$AG73="T")*6+($AA73:$AG73="D")*12+($AA73:$AG73="N")*12+($AA73:$AG73="NT")*6+($AA73:$AG73="C")*10+($AA73:$AG73="A")*8+($AA73:$AG73="J")*5+($AA73:$AG73="CEP")*4+($AA73:$AG73="CP")*6+($AA73:$AG73="CRO")*6+($AA73:$AG73="M+")*6+($AA73:$AG73="T+")*6+($AA73:$AG73="D+")*12+($AA73:$AG73="N+")*12+($AA73:$AG73="Dm+")*12+($AA73:$AG73="Dt+")*12+($AA73:$AG73="Tm-")*6+($AA73:$AG73="Mt-")*6)</f>
        <v/>
      </c>
      <c r="BA73" s="118">
        <f>AZ73-MAX(0,IFERROR(INDEX(CADASTRO!$I$4:$I$80,MATCH($A73,CADASTRO!$A$4:$A$80,0)),$B73)-CONFIG!$B$50*(COUNTIF($AA73:$AG73,"AB")+COUNTIF($AA73:$AG73,"FE")+COUNTIF($AA73:$AG73,"LM")))</f>
        <v/>
      </c>
      <c r="BB73" s="117">
        <f>SUMPRODUCT(($AH73:$AM73="M")*6+($AH73:$AM73="T")*6+($AH73:$AM73="D")*12+($AH73:$AM73="N")*12+($AH73:$AM73="NT")*6+($AH73:$AM73="C")*10+($AH73:$AM73="A")*8+($AH73:$AM73="J")*5+($AH73:$AM73="CEP")*4+($AH73:$AM73="CP")*6+($AH73:$AM73="CRO")*6+($AH73:$AM73="M+")*6+($AH73:$AM73="T+")*6+($AH73:$AM73="D+")*12+($AH73:$AM73="N+")*12+($AH73:$AM73="Dm+")*12+($AH73:$AM73="Dt+")*12+($AH73:$AM73="Tm-")*6+($AH73:$AM73="Mt-")*6)+SUMPRODUCT(($AN73:$AN73="M")*6+($AN73:$AN73="T")*6+($AN73:$AN73="D")*12+($AN73:$AN73="N")*12+($AN73:$AN73="NT")*6+($AN73:$AN73="C")*10+($AN73:$AN73="A")*8+($AN73:$AN73="J")*5+($AN73:$AN73="CEP")*4+($AN73:$AN73="CP")*6+($AN73:$AN73="CRO")*6+($AN73:$AN73="M+")*6+($AN73:$AN73="T+")*6+($AN73:$AN73="D+")*12+($AN73:$AN73="N+")*12+($AN73:$AN73="Dm+")*12+($AN73:$AN73="Dt+")*12+($AN73:$AN73="Tm-")*6+($AN73:$AN73="Mt-")*6)</f>
        <v/>
      </c>
      <c r="BC73" s="118">
        <f>BB73-MAX(0,IFERROR(INDEX(CADASTRO!$I$4:$I$80,MATCH($A73,CADASTRO!$A$4:$A$80,0)),$B73)-CONFIG!$B$50*(COUNTIF($AH73:$AM73,"AB")+COUNTIF($AH73:$AM73,"FE")+COUNTIF($AH73:$AM73,"LM")+COUNTIF($AN73:$AN73,"AB")+COUNTIF($AN73:$AN73,"FE")+COUNTIF($AN73:$AN73,"LM")))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133">
        <f>COUNTIF(AN8:AN73,"T")+COUNTIF(AN8:AN73,"D")+COUNTIF(AN8:AN73,"C")+COUNTIF(AN8:AN73,"T+")+COUNTIF(AN8:AN73,"D+")+COUNTIF(AN8:AN73,"Dm+")+COUNTIF(AN8:AN73,"Dt+")+COUNTIF(AN8:AN73,"Tm-")</f>
        <v/>
      </c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133">
        <f>COUNTIF(AN8:AN73,"N")+COUNTIF(AN8:AN73,"NT")+COUNTIF(AN8:AN73,"N+")</f>
        <v/>
      </c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135">
        <f>MAX(0,CONFIG!$B$9-F75)</f>
        <v/>
      </c>
      <c r="G78" s="135">
        <f>MAX(0,CONFIG!$B$9-G75)</f>
        <v/>
      </c>
      <c r="H78" s="135">
        <f>MAX(0,CONFIG!$B$9-H75)</f>
        <v/>
      </c>
      <c r="I78" s="135">
        <f>MAX(0,CONFIG!$B$4-I75)</f>
        <v/>
      </c>
      <c r="J78" s="135">
        <f>MAX(0,CONFIG!$B$4-J75)</f>
        <v/>
      </c>
      <c r="K78" s="135">
        <f>MAX(0,CONFIG!$B$5-K75)</f>
        <v/>
      </c>
      <c r="L78" s="135">
        <f>MAX(0,CONFIG!$B$6-L75)</f>
        <v/>
      </c>
      <c r="M78" s="135">
        <f>MAX(0,CONFIG!$B$4-M75)</f>
        <v/>
      </c>
      <c r="N78" s="135">
        <f>MAX(0,CONFIG!$B$4-N75)</f>
        <v/>
      </c>
      <c r="O78" s="135">
        <f>MAX(0,CONFIG!$B$4-O75)</f>
        <v/>
      </c>
      <c r="P78" s="135">
        <f>MAX(0,CONFIG!$B$4-P75)</f>
        <v/>
      </c>
      <c r="Q78" s="135">
        <f>MAX(0,CONFIG!$B$4-Q75)</f>
        <v/>
      </c>
      <c r="R78" s="135">
        <f>MAX(0,CONFIG!$B$5-R75)</f>
        <v/>
      </c>
      <c r="S78" s="135">
        <f>MAX(0,CONFIG!$B$6-S75)</f>
        <v/>
      </c>
      <c r="T78" s="135">
        <f>MAX(0,CONFIG!$B$4-T75)</f>
        <v/>
      </c>
      <c r="U78" s="135">
        <f>MAX(0,CONFIG!$B$4-U75)</f>
        <v/>
      </c>
      <c r="V78" s="135">
        <f>MAX(0,CONFIG!$B$4-V75)</f>
        <v/>
      </c>
      <c r="W78" s="135">
        <f>MAX(0,CONFIG!$B$4-W75)</f>
        <v/>
      </c>
      <c r="X78" s="135">
        <f>MAX(0,CONFIG!$B$4-X75)</f>
        <v/>
      </c>
      <c r="Y78" s="135">
        <f>MAX(0,CONFIG!$B$5-Y75)</f>
        <v/>
      </c>
      <c r="Z78" s="135">
        <f>MAX(0,CONFIG!$B$6-Z75)</f>
        <v/>
      </c>
      <c r="AA78" s="135">
        <f>MAX(0,CONFIG!$B$4-AA75)</f>
        <v/>
      </c>
      <c r="AB78" s="135">
        <f>MAX(0,CONFIG!$B$4-AB75)</f>
        <v/>
      </c>
      <c r="AC78" s="135">
        <f>MAX(0,CONFIG!$B$4-AC75)</f>
        <v/>
      </c>
      <c r="AD78" s="135">
        <f>MAX(0,CONFIG!$B$4-AD75)</f>
        <v/>
      </c>
      <c r="AE78" s="135">
        <f>MAX(0,CONFIG!$B$4-AE75)</f>
        <v/>
      </c>
      <c r="AF78" s="135">
        <f>MAX(0,CONFIG!$B$5-AF75)</f>
        <v/>
      </c>
      <c r="AG78" s="135">
        <f>MAX(0,CONFIG!$B$6-AG75)</f>
        <v/>
      </c>
      <c r="AH78" s="135">
        <f>MAX(0,CONFIG!$B$4-AH75)</f>
        <v/>
      </c>
      <c r="AI78" s="135">
        <f>MAX(0,CONFIG!$B$4-AI75)</f>
        <v/>
      </c>
      <c r="AJ78" s="135">
        <f>MAX(0,CONFIG!$B$4-AJ75)</f>
        <v/>
      </c>
      <c r="AK78" s="135">
        <f>MAX(0,CONFIG!$B$4-AK75)</f>
        <v/>
      </c>
      <c r="AL78" s="135">
        <f>MAX(0,CONFIG!$B$4-AL75)</f>
        <v/>
      </c>
      <c r="AM78" s="135">
        <f>MAX(0,CONFIG!$B$5-AM75)</f>
        <v/>
      </c>
      <c r="AN78" s="135">
        <f>MAX(0,CONFIG!$B$6-AN75)</f>
        <v/>
      </c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135">
        <f>MAX(0,CONFIG!$C$9-F76)</f>
        <v/>
      </c>
      <c r="G79" s="135">
        <f>MAX(0,CONFIG!$C$9-G76)</f>
        <v/>
      </c>
      <c r="H79" s="135">
        <f>MAX(0,CONFIG!$C$9-H76)</f>
        <v/>
      </c>
      <c r="I79" s="135">
        <f>MAX(0,CONFIG!$C$4-I76)</f>
        <v/>
      </c>
      <c r="J79" s="135">
        <f>MAX(0,CONFIG!$C$4-J76)</f>
        <v/>
      </c>
      <c r="K79" s="135">
        <f>MAX(0,CONFIG!$C$5-K76)</f>
        <v/>
      </c>
      <c r="L79" s="135">
        <f>MAX(0,CONFIG!$C$6-L76)</f>
        <v/>
      </c>
      <c r="M79" s="135">
        <f>MAX(0,CONFIG!$C$4-M76)</f>
        <v/>
      </c>
      <c r="N79" s="135">
        <f>MAX(0,CONFIG!$C$4-N76)</f>
        <v/>
      </c>
      <c r="O79" s="135">
        <f>MAX(0,CONFIG!$C$4-O76)</f>
        <v/>
      </c>
      <c r="P79" s="135">
        <f>MAX(0,CONFIG!$C$4-P76)</f>
        <v/>
      </c>
      <c r="Q79" s="135">
        <f>MAX(0,CONFIG!$C$4-Q76)</f>
        <v/>
      </c>
      <c r="R79" s="135">
        <f>MAX(0,CONFIG!$C$5-R76)</f>
        <v/>
      </c>
      <c r="S79" s="135">
        <f>MAX(0,CONFIG!$C$6-S76)</f>
        <v/>
      </c>
      <c r="T79" s="135">
        <f>MAX(0,CONFIG!$C$4-T76)</f>
        <v/>
      </c>
      <c r="U79" s="135">
        <f>MAX(0,CONFIG!$C$4-U76)</f>
        <v/>
      </c>
      <c r="V79" s="135">
        <f>MAX(0,CONFIG!$C$4-V76)</f>
        <v/>
      </c>
      <c r="W79" s="135">
        <f>MAX(0,CONFIG!$C$4-W76)</f>
        <v/>
      </c>
      <c r="X79" s="135">
        <f>MAX(0,CONFIG!$C$4-X76)</f>
        <v/>
      </c>
      <c r="Y79" s="135">
        <f>MAX(0,CONFIG!$C$5-Y76)</f>
        <v/>
      </c>
      <c r="Z79" s="135">
        <f>MAX(0,CONFIG!$C$6-Z76)</f>
        <v/>
      </c>
      <c r="AA79" s="135">
        <f>MAX(0,CONFIG!$C$4-AA76)</f>
        <v/>
      </c>
      <c r="AB79" s="135">
        <f>MAX(0,CONFIG!$C$4-AB76)</f>
        <v/>
      </c>
      <c r="AC79" s="135">
        <f>MAX(0,CONFIG!$C$4-AC76)</f>
        <v/>
      </c>
      <c r="AD79" s="135">
        <f>MAX(0,CONFIG!$C$4-AD76)</f>
        <v/>
      </c>
      <c r="AE79" s="135">
        <f>MAX(0,CONFIG!$C$4-AE76)</f>
        <v/>
      </c>
      <c r="AF79" s="135">
        <f>MAX(0,CONFIG!$C$5-AF76)</f>
        <v/>
      </c>
      <c r="AG79" s="135">
        <f>MAX(0,CONFIG!$C$6-AG76)</f>
        <v/>
      </c>
      <c r="AH79" s="135">
        <f>MAX(0,CONFIG!$C$4-AH76)</f>
        <v/>
      </c>
      <c r="AI79" s="135">
        <f>MAX(0,CONFIG!$C$4-AI76)</f>
        <v/>
      </c>
      <c r="AJ79" s="135">
        <f>MAX(0,CONFIG!$C$4-AJ76)</f>
        <v/>
      </c>
      <c r="AK79" s="135">
        <f>MAX(0,CONFIG!$C$4-AK76)</f>
        <v/>
      </c>
      <c r="AL79" s="135">
        <f>MAX(0,CONFIG!$C$4-AL76)</f>
        <v/>
      </c>
      <c r="AM79" s="135">
        <f>MAX(0,CONFIG!$C$5-AM76)</f>
        <v/>
      </c>
      <c r="AN79" s="135">
        <f>MAX(0,CONFIG!$C$6-AN76)</f>
        <v/>
      </c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135">
        <f>MAX(0,CONFIG!$D$9-F77)</f>
        <v/>
      </c>
      <c r="G80" s="135">
        <f>MAX(0,CONFIG!$D$9-G77)</f>
        <v/>
      </c>
      <c r="H80" s="135">
        <f>MAX(0,CONFIG!$D$9-H77)</f>
        <v/>
      </c>
      <c r="I80" s="135">
        <f>MAX(0,CONFIG!$D$4-I77)</f>
        <v/>
      </c>
      <c r="J80" s="135">
        <f>MAX(0,CONFIG!$D$4-J77)</f>
        <v/>
      </c>
      <c r="K80" s="135">
        <f>MAX(0,CONFIG!$D$5-K77)</f>
        <v/>
      </c>
      <c r="L80" s="135">
        <f>MAX(0,CONFIG!$D$6-L77)</f>
        <v/>
      </c>
      <c r="M80" s="135">
        <f>MAX(0,CONFIG!$D$4-M77)</f>
        <v/>
      </c>
      <c r="N80" s="135">
        <f>MAX(0,CONFIG!$D$4-N77)</f>
        <v/>
      </c>
      <c r="O80" s="135">
        <f>MAX(0,CONFIG!$D$4-O77)</f>
        <v/>
      </c>
      <c r="P80" s="135">
        <f>MAX(0,CONFIG!$D$4-P77)</f>
        <v/>
      </c>
      <c r="Q80" s="135">
        <f>MAX(0,CONFIG!$D$4-Q77)</f>
        <v/>
      </c>
      <c r="R80" s="135">
        <f>MAX(0,CONFIG!$D$5-R77)</f>
        <v/>
      </c>
      <c r="S80" s="135">
        <f>MAX(0,CONFIG!$D$6-S77)</f>
        <v/>
      </c>
      <c r="T80" s="135">
        <f>MAX(0,CONFIG!$D$4-T77)</f>
        <v/>
      </c>
      <c r="U80" s="135">
        <f>MAX(0,CONFIG!$D$4-U77)</f>
        <v/>
      </c>
      <c r="V80" s="135">
        <f>MAX(0,CONFIG!$D$4-V77)</f>
        <v/>
      </c>
      <c r="W80" s="135">
        <f>MAX(0,CONFIG!$D$4-W77)</f>
        <v/>
      </c>
      <c r="X80" s="135">
        <f>MAX(0,CONFIG!$D$4-X77)</f>
        <v/>
      </c>
      <c r="Y80" s="135">
        <f>MAX(0,CONFIG!$D$5-Y77)</f>
        <v/>
      </c>
      <c r="Z80" s="135">
        <f>MAX(0,CONFIG!$D$6-Z77)</f>
        <v/>
      </c>
      <c r="AA80" s="135">
        <f>MAX(0,CONFIG!$D$4-AA77)</f>
        <v/>
      </c>
      <c r="AB80" s="135">
        <f>MAX(0,CONFIG!$D$4-AB77)</f>
        <v/>
      </c>
      <c r="AC80" s="135">
        <f>MAX(0,CONFIG!$D$4-AC77)</f>
        <v/>
      </c>
      <c r="AD80" s="135">
        <f>MAX(0,CONFIG!$D$4-AD77)</f>
        <v/>
      </c>
      <c r="AE80" s="135">
        <f>MAX(0,CONFIG!$D$4-AE77)</f>
        <v/>
      </c>
      <c r="AF80" s="135">
        <f>MAX(0,CONFIG!$D$5-AF77)</f>
        <v/>
      </c>
      <c r="AG80" s="135">
        <f>MAX(0,CONFIG!$D$6-AG77)</f>
        <v/>
      </c>
      <c r="AH80" s="135">
        <f>MAX(0,CONFIG!$D$4-AH77)</f>
        <v/>
      </c>
      <c r="AI80" s="135">
        <f>MAX(0,CONFIG!$D$4-AI77)</f>
        <v/>
      </c>
      <c r="AJ80" s="135">
        <f>MAX(0,CONFIG!$D$4-AJ77)</f>
        <v/>
      </c>
      <c r="AK80" s="135">
        <f>MAX(0,CONFIG!$D$4-AK77)</f>
        <v/>
      </c>
      <c r="AL80" s="135">
        <f>MAX(0,CONFIG!$D$4-AL77)</f>
        <v/>
      </c>
      <c r="AM80" s="135">
        <f>MAX(0,CONFIG!$D$5-AM77)</f>
        <v/>
      </c>
      <c r="AN80" s="135">
        <f>MAX(0,CONFIG!$D$6-AN77)</f>
        <v/>
      </c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77264"/>
    <outlinePr summaryBelow="1" summaryRight="1"/>
    <pageSetUpPr/>
  </sheetPr>
  <dimension ref="A1:H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44" customWidth="1" min="3" max="3"/>
    <col width="36" customWidth="1" min="4" max="4"/>
    <col width="30" customWidth="1" min="5" max="5"/>
    <col width="22" customWidth="1" min="6" max="6"/>
    <col width="13" customWidth="1" min="7" max="7"/>
  </cols>
  <sheetData>
    <row r="1">
      <c r="A1" s="98" t="inlineStr">
        <is>
          <t>Outubro · Dia a dia</t>
        </is>
      </c>
      <c r="B1" s="39" t="n"/>
      <c r="C1" s="39" t="n"/>
      <c r="D1" s="67" t="inlineStr">
        <is>
          <t>Cada célula lista quem está no turno — é fórmula da aba do mês: mudou lá, muda aqui na hora</t>
        </is>
      </c>
      <c r="E1" s="39" t="n"/>
      <c r="F1" s="39" t="n"/>
      <c r="G1" s="39" t="n"/>
      <c r="H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</row>
    <row r="3">
      <c r="A3" s="142" t="inlineStr">
        <is>
          <t>Dia</t>
        </is>
      </c>
      <c r="B3" s="142" t="inlineStr"/>
      <c r="C3" s="142" t="inlineStr">
        <is>
          <t>Manhã</t>
        </is>
      </c>
      <c r="D3" s="142" t="inlineStr">
        <is>
          <t>Tarde</t>
        </is>
      </c>
      <c r="E3" s="142" t="inlineStr">
        <is>
          <t>Noite</t>
        </is>
      </c>
      <c r="F3" s="142" t="inlineStr">
        <is>
          <t>BHN (dispensa)</t>
        </is>
      </c>
      <c r="G3" s="142" t="inlineStr">
        <is>
          <t>Cobertura</t>
        </is>
      </c>
      <c r="H3" s="39" t="n"/>
    </row>
    <row r="4" ht="42.8" customHeight="1">
      <c r="A4" s="143" t="inlineStr">
        <is>
          <t>28/09</t>
        </is>
      </c>
      <c r="B4" s="144" t="inlineStr">
        <is>
          <t>seg</t>
        </is>
      </c>
      <c r="C4" s="145">
        <f>IFERROR(TEXTJOIN(", ",TRUE,FILTER(OUT!$A$8:$A$73&amp;IF(((OUT!F$8:F$73="M+")+(OUT!F$8:F$73="D+")+(OUT!F$8:F$73="Dm+"))*1&gt;0," BHP",""),((OUT!F$8:F$73="M")+(OUT!F$8:F$73="D")+(OUT!F$8:F$73="C")+(OUT!F$8:F$73="J")+(OUT!F$8:F$73="CEP")+(OUT!F$8:F$73="M+")+(OUT!F$8:F$73="D+")+(OUT!F$8:F$73="Dm+")+(OUT!F$8:F$73="Dt+")+(OUT!F$8:F$73="Mt-"))*1&gt;0)),"—")</f>
        <v/>
      </c>
      <c r="D4" s="145">
        <f>IFERROR(TEXTJOIN(", ",TRUE,FILTER(OUT!$A$8:$A$73&amp;IF(((OUT!F$8:F$73="T+")+(OUT!F$8:F$73="D+")+(OUT!F$8:F$73="Dt+"))*1&gt;0," BHP",""),((OUT!F$8:F$73="T")+(OUT!F$8:F$73="D")+(OUT!F$8:F$73="C")+(OUT!F$8:F$73="T+")+(OUT!F$8:F$73="D+")+(OUT!F$8:F$73="Dm+")+(OUT!F$8:F$73="Dt+")+(OUT!F$8:F$73="Tm-"))*1&gt;0)),"—")</f>
        <v/>
      </c>
      <c r="E4" s="145">
        <f>IFERROR(TEXTJOIN(", ",TRUE,FILTER(OUT!$A$8:$A$73&amp;IF(((OUT!F$8:F$73="N+"))*1&gt;0," BHP",""),((OUT!F$8:F$73="N")+(OUT!F$8:F$73="NT")+(OUT!F$8:F$73="N+"))*1&gt;0)),"—")</f>
        <v/>
      </c>
      <c r="F4" s="146">
        <f>IFERROR(TEXTJOIN(", ",TRUE,FILTER(OUT!$A$8:$A$73&amp;" BHN"&amp;IF(OUT!F$8:F$73="M-"," manhã",IF(OUT!F$8:F$73="T-"," tarde",IF(OUT!F$8:F$73="D-"," dia",IF(OUT!F$8:F$73="N-"," noite",IF(OUT!F$8:F$73="Tm-"," manhã"," tarde"))))),((OUT!F$8:F$73="D-")+(OUT!F$8:F$73="M-")+(OUT!F$8:F$73="Mt-")+(OUT!F$8:F$73="N-")+(OUT!F$8:F$73="T-")+(OUT!F$8:F$73="Tm-"))*1&gt;0)),"")</f>
        <v/>
      </c>
      <c r="G4" s="147">
        <f>"M"&amp;OUT!F$75&amp;" T"&amp;OUT!F$76&amp;" N"&amp;OUT!F$77&amp;IF(OUT!F$78+OUT!F$79+OUT!F$80=0," ✓"," ⚠ falta "&amp;(OUT!F$78+OUT!F$79+OUT!F$80))</f>
        <v/>
      </c>
      <c r="H4" s="39" t="n"/>
    </row>
    <row r="5" ht="42.8" customHeight="1">
      <c r="A5" s="143" t="inlineStr">
        <is>
          <t>29/09</t>
        </is>
      </c>
      <c r="B5" s="144" t="inlineStr">
        <is>
          <t>ter</t>
        </is>
      </c>
      <c r="C5" s="145">
        <f>IFERROR(TEXTJOIN(", ",TRUE,FILTER(OUT!$A$8:$A$73&amp;IF(((OUT!G$8:G$73="M+")+(OUT!G$8:G$73="D+")+(OUT!G$8:G$73="Dm+"))*1&gt;0," BHP",""),((OUT!G$8:G$73="M")+(OUT!G$8:G$73="D")+(OUT!G$8:G$73="C")+(OUT!G$8:G$73="J")+(OUT!G$8:G$73="CEP")+(OUT!G$8:G$73="M+")+(OUT!G$8:G$73="D+")+(OUT!G$8:G$73="Dm+")+(OUT!G$8:G$73="Dt+")+(OUT!G$8:G$73="Mt-"))*1&gt;0)),"—")</f>
        <v/>
      </c>
      <c r="D5" s="145">
        <f>IFERROR(TEXTJOIN(", ",TRUE,FILTER(OUT!$A$8:$A$73&amp;IF(((OUT!G$8:G$73="T+")+(OUT!G$8:G$73="D+")+(OUT!G$8:G$73="Dt+"))*1&gt;0," BHP",""),((OUT!G$8:G$73="T")+(OUT!G$8:G$73="D")+(OUT!G$8:G$73="C")+(OUT!G$8:G$73="T+")+(OUT!G$8:G$73="D+")+(OUT!G$8:G$73="Dm+")+(OUT!G$8:G$73="Dt+")+(OUT!G$8:G$73="Tm-"))*1&gt;0)),"—")</f>
        <v/>
      </c>
      <c r="E5" s="145">
        <f>IFERROR(TEXTJOIN(", ",TRUE,FILTER(OUT!$A$8:$A$73&amp;IF(((OUT!G$8:G$73="N+"))*1&gt;0," BHP",""),((OUT!G$8:G$73="N")+(OUT!G$8:G$73="NT")+(OUT!G$8:G$73="N+"))*1&gt;0)),"—")</f>
        <v/>
      </c>
      <c r="F5" s="146">
        <f>IFERROR(TEXTJOIN(", ",TRUE,FILTER(OUT!$A$8:$A$73&amp;" BHN"&amp;IF(OUT!G$8:G$73="M-"," manhã",IF(OUT!G$8:G$73="T-"," tarde",IF(OUT!G$8:G$73="D-"," dia",IF(OUT!G$8:G$73="N-"," noite",IF(OUT!G$8:G$73="Tm-"," manhã"," tarde"))))),((OUT!G$8:G$73="D-")+(OUT!G$8:G$73="M-")+(OUT!G$8:G$73="Mt-")+(OUT!G$8:G$73="N-")+(OUT!G$8:G$73="T-")+(OUT!G$8:G$73="Tm-"))*1&gt;0)),"")</f>
        <v/>
      </c>
      <c r="G5" s="147">
        <f>"M"&amp;OUT!G$75&amp;" T"&amp;OUT!G$76&amp;" N"&amp;OUT!G$77&amp;IF(OUT!G$78+OUT!G$79+OUT!G$80=0," ✓"," ⚠ falta "&amp;(OUT!G$78+OUT!G$79+OUT!G$80))</f>
        <v/>
      </c>
      <c r="H5" s="39" t="n"/>
    </row>
    <row r="6" ht="42.8" customHeight="1">
      <c r="A6" s="143" t="inlineStr">
        <is>
          <t>30/09</t>
        </is>
      </c>
      <c r="B6" s="144" t="inlineStr">
        <is>
          <t>qua</t>
        </is>
      </c>
      <c r="C6" s="145">
        <f>IFERROR(TEXTJOIN(", ",TRUE,FILTER(OUT!$A$8:$A$73&amp;IF(((OUT!H$8:H$73="M+")+(OUT!H$8:H$73="D+")+(OUT!H$8:H$73="Dm+"))*1&gt;0," BHP",""),((OUT!H$8:H$73="M")+(OUT!H$8:H$73="D")+(OUT!H$8:H$73="C")+(OUT!H$8:H$73="J")+(OUT!H$8:H$73="CEP")+(OUT!H$8:H$73="M+")+(OUT!H$8:H$73="D+")+(OUT!H$8:H$73="Dm+")+(OUT!H$8:H$73="Dt+")+(OUT!H$8:H$73="Mt-"))*1&gt;0)),"—")</f>
        <v/>
      </c>
      <c r="D6" s="145">
        <f>IFERROR(TEXTJOIN(", ",TRUE,FILTER(OUT!$A$8:$A$73&amp;IF(((OUT!H$8:H$73="T+")+(OUT!H$8:H$73="D+")+(OUT!H$8:H$73="Dt+"))*1&gt;0," BHP",""),((OUT!H$8:H$73="T")+(OUT!H$8:H$73="D")+(OUT!H$8:H$73="C")+(OUT!H$8:H$73="T+")+(OUT!H$8:H$73="D+")+(OUT!H$8:H$73="Dm+")+(OUT!H$8:H$73="Dt+")+(OUT!H$8:H$73="Tm-"))*1&gt;0)),"—")</f>
        <v/>
      </c>
      <c r="E6" s="145">
        <f>IFERROR(TEXTJOIN(", ",TRUE,FILTER(OUT!$A$8:$A$73&amp;IF(((OUT!H$8:H$73="N+"))*1&gt;0," BHP",""),((OUT!H$8:H$73="N")+(OUT!H$8:H$73="NT")+(OUT!H$8:H$73="N+"))*1&gt;0)),"—")</f>
        <v/>
      </c>
      <c r="F6" s="146">
        <f>IFERROR(TEXTJOIN(", ",TRUE,FILTER(OUT!$A$8:$A$73&amp;" BHN"&amp;IF(OUT!H$8:H$73="M-"," manhã",IF(OUT!H$8:H$73="T-"," tarde",IF(OUT!H$8:H$73="D-"," dia",IF(OUT!H$8:H$73="N-"," noite",IF(OUT!H$8:H$73="Tm-"," manhã"," tarde"))))),((OUT!H$8:H$73="D-")+(OUT!H$8:H$73="M-")+(OUT!H$8:H$73="Mt-")+(OUT!H$8:H$73="N-")+(OUT!H$8:H$73="T-")+(OUT!H$8:H$73="Tm-"))*1&gt;0)),"")</f>
        <v/>
      </c>
      <c r="G6" s="147">
        <f>"M"&amp;OUT!H$75&amp;" T"&amp;OUT!H$76&amp;" N"&amp;OUT!H$77&amp;IF(OUT!H$78+OUT!H$79+OUT!H$80=0," ✓"," ⚠ falta "&amp;(OUT!H$78+OUT!H$79+OUT!H$80))</f>
        <v/>
      </c>
      <c r="H6" s="39" t="n"/>
    </row>
    <row r="7" ht="42.8" customHeight="1">
      <c r="A7" s="148" t="n">
        <v>1</v>
      </c>
      <c r="B7" s="144" t="inlineStr">
        <is>
          <t>qui</t>
        </is>
      </c>
      <c r="C7" s="149">
        <f>IFERROR(TEXTJOIN(", ",TRUE,FILTER(OUT!$A$8:$A$73&amp;IF(((OUT!I$8:I$73="M+")+(OUT!I$8:I$73="D+")+(OUT!I$8:I$73="Dm+"))*1&gt;0," BHP",""),((OUT!I$8:I$73="M")+(OUT!I$8:I$73="D")+(OUT!I$8:I$73="C")+(OUT!I$8:I$73="J")+(OUT!I$8:I$73="CEP")+(OUT!I$8:I$73="M+")+(OUT!I$8:I$73="D+")+(OUT!I$8:I$73="Dm+")+(OUT!I$8:I$73="Dt+")+(OUT!I$8:I$73="Mt-"))*1&gt;0)),"—")</f>
        <v/>
      </c>
      <c r="D7" s="149">
        <f>IFERROR(TEXTJOIN(", ",TRUE,FILTER(OUT!$A$8:$A$73&amp;IF(((OUT!I$8:I$73="T+")+(OUT!I$8:I$73="D+")+(OUT!I$8:I$73="Dt+"))*1&gt;0," BHP",""),((OUT!I$8:I$73="T")+(OUT!I$8:I$73="D")+(OUT!I$8:I$73="C")+(OUT!I$8:I$73="T+")+(OUT!I$8:I$73="D+")+(OUT!I$8:I$73="Dm+")+(OUT!I$8:I$73="Dt+")+(OUT!I$8:I$73="Tm-"))*1&gt;0)),"—")</f>
        <v/>
      </c>
      <c r="E7" s="149">
        <f>IFERROR(TEXTJOIN(", ",TRUE,FILTER(OUT!$A$8:$A$73&amp;IF(((OUT!I$8:I$73="N+"))*1&gt;0," BHP",""),((OUT!I$8:I$73="N")+(OUT!I$8:I$73="NT")+(OUT!I$8:I$73="N+"))*1&gt;0)),"—")</f>
        <v/>
      </c>
      <c r="F7" s="146">
        <f>IFERROR(TEXTJOIN(", ",TRUE,FILTER(OUT!$A$8:$A$73&amp;" BHN"&amp;IF(OUT!I$8:I$73="M-"," manhã",IF(OUT!I$8:I$73="T-"," tarde",IF(OUT!I$8:I$73="D-"," dia",IF(OUT!I$8:I$73="N-"," noite",IF(OUT!I$8:I$73="Tm-"," manhã"," tarde"))))),((OUT!I$8:I$73="D-")+(OUT!I$8:I$73="M-")+(OUT!I$8:I$73="Mt-")+(OUT!I$8:I$73="N-")+(OUT!I$8:I$73="T-")+(OUT!I$8:I$73="Tm-"))*1&gt;0)),"")</f>
        <v/>
      </c>
      <c r="G7" s="150">
        <f>"M"&amp;OUT!I$75&amp;" T"&amp;OUT!I$76&amp;" N"&amp;OUT!I$77&amp;IF(OUT!I$78+OUT!I$79+OUT!I$80=0," ✓"," ⚠ falta "&amp;(OUT!I$78+OUT!I$79+OUT!I$80))</f>
        <v/>
      </c>
      <c r="H7" s="39" t="n"/>
    </row>
    <row r="8" ht="42.8" customHeight="1">
      <c r="A8" s="148" t="n">
        <v>2</v>
      </c>
      <c r="B8" s="144" t="inlineStr">
        <is>
          <t>sex</t>
        </is>
      </c>
      <c r="C8" s="149">
        <f>IFERROR(TEXTJOIN(", ",TRUE,FILTER(OUT!$A$8:$A$73&amp;IF(((OUT!J$8:J$73="M+")+(OUT!J$8:J$73="D+")+(OUT!J$8:J$73="Dm+"))*1&gt;0," BHP",""),((OUT!J$8:J$73="M")+(OUT!J$8:J$73="D")+(OUT!J$8:J$73="C")+(OUT!J$8:J$73="J")+(OUT!J$8:J$73="CEP")+(OUT!J$8:J$73="M+")+(OUT!J$8:J$73="D+")+(OUT!J$8:J$73="Dm+")+(OUT!J$8:J$73="Dt+")+(OUT!J$8:J$73="Mt-"))*1&gt;0)),"—")</f>
        <v/>
      </c>
      <c r="D8" s="149">
        <f>IFERROR(TEXTJOIN(", ",TRUE,FILTER(OUT!$A$8:$A$73&amp;IF(((OUT!J$8:J$73="T+")+(OUT!J$8:J$73="D+")+(OUT!J$8:J$73="Dt+"))*1&gt;0," BHP",""),((OUT!J$8:J$73="T")+(OUT!J$8:J$73="D")+(OUT!J$8:J$73="C")+(OUT!J$8:J$73="T+")+(OUT!J$8:J$73="D+")+(OUT!J$8:J$73="Dm+")+(OUT!J$8:J$73="Dt+")+(OUT!J$8:J$73="Tm-"))*1&gt;0)),"—")</f>
        <v/>
      </c>
      <c r="E8" s="149">
        <f>IFERROR(TEXTJOIN(", ",TRUE,FILTER(OUT!$A$8:$A$73&amp;IF(((OUT!J$8:J$73="N+"))*1&gt;0," BHP",""),((OUT!J$8:J$73="N")+(OUT!J$8:J$73="NT")+(OUT!J$8:J$73="N+"))*1&gt;0)),"—")</f>
        <v/>
      </c>
      <c r="F8" s="146">
        <f>IFERROR(TEXTJOIN(", ",TRUE,FILTER(OUT!$A$8:$A$73&amp;" BHN"&amp;IF(OUT!J$8:J$73="M-"," manhã",IF(OUT!J$8:J$73="T-"," tarde",IF(OUT!J$8:J$73="D-"," dia",IF(OUT!J$8:J$73="N-"," noite",IF(OUT!J$8:J$73="Tm-"," manhã"," tarde"))))),((OUT!J$8:J$73="D-")+(OUT!J$8:J$73="M-")+(OUT!J$8:J$73="Mt-")+(OUT!J$8:J$73="N-")+(OUT!J$8:J$73="T-")+(OUT!J$8:J$73="Tm-"))*1&gt;0)),"")</f>
        <v/>
      </c>
      <c r="G8" s="150">
        <f>"M"&amp;OUT!J$75&amp;" T"&amp;OUT!J$76&amp;" N"&amp;OUT!J$77&amp;IF(OUT!J$78+OUT!J$79+OUT!J$80=0," ✓"," ⚠ falta "&amp;(OUT!J$78+OUT!J$79+OUT!J$80))</f>
        <v/>
      </c>
      <c r="H8" s="39" t="n"/>
    </row>
    <row r="9" ht="31.2" customHeight="1">
      <c r="A9" s="151" t="n">
        <v>3</v>
      </c>
      <c r="B9" s="152" t="inlineStr">
        <is>
          <t>sáb</t>
        </is>
      </c>
      <c r="C9" s="153">
        <f>IFERROR(TEXTJOIN(", ",TRUE,FILTER(OUT!$A$8:$A$73&amp;IF(((OUT!K$8:K$73="M+")+(OUT!K$8:K$73="D+")+(OUT!K$8:K$73="Dm+"))*1&gt;0," BHP",""),((OUT!K$8:K$73="M")+(OUT!K$8:K$73="D")+(OUT!K$8:K$73="C")+(OUT!K$8:K$73="J")+(OUT!K$8:K$73="CEP")+(OUT!K$8:K$73="M+")+(OUT!K$8:K$73="D+")+(OUT!K$8:K$73="Dm+")+(OUT!K$8:K$73="Dt+")+(OUT!K$8:K$73="Mt-"))*1&gt;0)),"—")</f>
        <v/>
      </c>
      <c r="D9" s="153">
        <f>IFERROR(TEXTJOIN(", ",TRUE,FILTER(OUT!$A$8:$A$73&amp;IF(((OUT!K$8:K$73="T+")+(OUT!K$8:K$73="D+")+(OUT!K$8:K$73="Dt+"))*1&gt;0," BHP",""),((OUT!K$8:K$73="T")+(OUT!K$8:K$73="D")+(OUT!K$8:K$73="C")+(OUT!K$8:K$73="T+")+(OUT!K$8:K$73="D+")+(OUT!K$8:K$73="Dm+")+(OUT!K$8:K$73="Dt+")+(OUT!K$8:K$73="Tm-"))*1&gt;0)),"—")</f>
        <v/>
      </c>
      <c r="E9" s="153">
        <f>IFERROR(TEXTJOIN(", ",TRUE,FILTER(OUT!$A$8:$A$73&amp;IF(((OUT!K$8:K$73="N+"))*1&gt;0," BHP",""),((OUT!K$8:K$73="N")+(OUT!K$8:K$73="NT")+(OUT!K$8:K$73="N+"))*1&gt;0)),"—")</f>
        <v/>
      </c>
      <c r="F9" s="146">
        <f>IFERROR(TEXTJOIN(", ",TRUE,FILTER(OUT!$A$8:$A$73&amp;" BHN"&amp;IF(OUT!K$8:K$73="M-"," manhã",IF(OUT!K$8:K$73="T-"," tarde",IF(OUT!K$8:K$73="D-"," dia",IF(OUT!K$8:K$73="N-"," noite",IF(OUT!K$8:K$73="Tm-"," manhã"," tarde"))))),((OUT!K$8:K$73="D-")+(OUT!K$8:K$73="M-")+(OUT!K$8:K$73="Mt-")+(OUT!K$8:K$73="N-")+(OUT!K$8:K$73="T-")+(OUT!K$8:K$73="Tm-"))*1&gt;0)),"")</f>
        <v/>
      </c>
      <c r="G9" s="150">
        <f>"M"&amp;OUT!K$75&amp;" T"&amp;OUT!K$76&amp;" N"&amp;OUT!K$77&amp;IF(OUT!K$78+OUT!K$79+OUT!K$80=0," ✓"," ⚠ falta "&amp;(OUT!K$78+OUT!K$79+OUT!K$80))</f>
        <v/>
      </c>
      <c r="H9" s="39" t="n"/>
    </row>
    <row r="10" ht="31.2" customHeight="1">
      <c r="A10" s="151" t="n">
        <v>4</v>
      </c>
      <c r="B10" s="152" t="inlineStr">
        <is>
          <t>dom</t>
        </is>
      </c>
      <c r="C10" s="153">
        <f>IFERROR(TEXTJOIN(", ",TRUE,FILTER(OUT!$A$8:$A$73&amp;IF(((OUT!L$8:L$73="M+")+(OUT!L$8:L$73="D+")+(OUT!L$8:L$73="Dm+"))*1&gt;0," BHP",""),((OUT!L$8:L$73="M")+(OUT!L$8:L$73="D")+(OUT!L$8:L$73="C")+(OUT!L$8:L$73="J")+(OUT!L$8:L$73="CEP")+(OUT!L$8:L$73="M+")+(OUT!L$8:L$73="D+")+(OUT!L$8:L$73="Dm+")+(OUT!L$8:L$73="Dt+")+(OUT!L$8:L$73="Mt-"))*1&gt;0)),"—")</f>
        <v/>
      </c>
      <c r="D10" s="153">
        <f>IFERROR(TEXTJOIN(", ",TRUE,FILTER(OUT!$A$8:$A$73&amp;IF(((OUT!L$8:L$73="T+")+(OUT!L$8:L$73="D+")+(OUT!L$8:L$73="Dt+"))*1&gt;0," BHP",""),((OUT!L$8:L$73="T")+(OUT!L$8:L$73="D")+(OUT!L$8:L$73="C")+(OUT!L$8:L$73="T+")+(OUT!L$8:L$73="D+")+(OUT!L$8:L$73="Dm+")+(OUT!L$8:L$73="Dt+")+(OUT!L$8:L$73="Tm-"))*1&gt;0)),"—")</f>
        <v/>
      </c>
      <c r="E10" s="153">
        <f>IFERROR(TEXTJOIN(", ",TRUE,FILTER(OUT!$A$8:$A$73&amp;IF(((OUT!L$8:L$73="N+"))*1&gt;0," BHP",""),((OUT!L$8:L$73="N")+(OUT!L$8:L$73="NT")+(OUT!L$8:L$73="N+"))*1&gt;0)),"—")</f>
        <v/>
      </c>
      <c r="F10" s="146">
        <f>IFERROR(TEXTJOIN(", ",TRUE,FILTER(OUT!$A$8:$A$73&amp;" BHN"&amp;IF(OUT!L$8:L$73="M-"," manhã",IF(OUT!L$8:L$73="T-"," tarde",IF(OUT!L$8:L$73="D-"," dia",IF(OUT!L$8:L$73="N-"," noite",IF(OUT!L$8:L$73="Tm-"," manhã"," tarde"))))),((OUT!L$8:L$73="D-")+(OUT!L$8:L$73="M-")+(OUT!L$8:L$73="Mt-")+(OUT!L$8:L$73="N-")+(OUT!L$8:L$73="T-")+(OUT!L$8:L$73="Tm-"))*1&gt;0)),"")</f>
        <v/>
      </c>
      <c r="G10" s="150">
        <f>"M"&amp;OUT!L$75&amp;" T"&amp;OUT!L$76&amp;" N"&amp;OUT!L$77&amp;IF(OUT!L$78+OUT!L$79+OUT!L$80=0," ✓"," ⚠ falta "&amp;(OUT!L$78+OUT!L$79+OUT!L$80))</f>
        <v/>
      </c>
      <c r="H10" s="39" t="n"/>
    </row>
    <row r="11" ht="42.8" customHeight="1">
      <c r="A11" s="148" t="n">
        <v>5</v>
      </c>
      <c r="B11" s="144" t="inlineStr">
        <is>
          <t>seg</t>
        </is>
      </c>
      <c r="C11" s="149">
        <f>IFERROR(TEXTJOIN(", ",TRUE,FILTER(OUT!$A$8:$A$73&amp;IF(((OUT!M$8:M$73="M+")+(OUT!M$8:M$73="D+")+(OUT!M$8:M$73="Dm+"))*1&gt;0," BHP",""),((OUT!M$8:M$73="M")+(OUT!M$8:M$73="D")+(OUT!M$8:M$73="C")+(OUT!M$8:M$73="J")+(OUT!M$8:M$73="CEP")+(OUT!M$8:M$73="M+")+(OUT!M$8:M$73="D+")+(OUT!M$8:M$73="Dm+")+(OUT!M$8:M$73="Dt+")+(OUT!M$8:M$73="Mt-"))*1&gt;0)),"—")</f>
        <v/>
      </c>
      <c r="D11" s="149">
        <f>IFERROR(TEXTJOIN(", ",TRUE,FILTER(OUT!$A$8:$A$73&amp;IF(((OUT!M$8:M$73="T+")+(OUT!M$8:M$73="D+")+(OUT!M$8:M$73="Dt+"))*1&gt;0," BHP",""),((OUT!M$8:M$73="T")+(OUT!M$8:M$73="D")+(OUT!M$8:M$73="C")+(OUT!M$8:M$73="T+")+(OUT!M$8:M$73="D+")+(OUT!M$8:M$73="Dm+")+(OUT!M$8:M$73="Dt+")+(OUT!M$8:M$73="Tm-"))*1&gt;0)),"—")</f>
        <v/>
      </c>
      <c r="E11" s="149">
        <f>IFERROR(TEXTJOIN(", ",TRUE,FILTER(OUT!$A$8:$A$73&amp;IF(((OUT!M$8:M$73="N+"))*1&gt;0," BHP",""),((OUT!M$8:M$73="N")+(OUT!M$8:M$73="NT")+(OUT!M$8:M$73="N+"))*1&gt;0)),"—")</f>
        <v/>
      </c>
      <c r="F11" s="146">
        <f>IFERROR(TEXTJOIN(", ",TRUE,FILTER(OUT!$A$8:$A$73&amp;" BHN"&amp;IF(OUT!M$8:M$73="M-"," manhã",IF(OUT!M$8:M$73="T-"," tarde",IF(OUT!M$8:M$73="D-"," dia",IF(OUT!M$8:M$73="N-"," noite",IF(OUT!M$8:M$73="Tm-"," manhã"," tarde"))))),((OUT!M$8:M$73="D-")+(OUT!M$8:M$73="M-")+(OUT!M$8:M$73="Mt-")+(OUT!M$8:M$73="N-")+(OUT!M$8:M$73="T-")+(OUT!M$8:M$73="Tm-"))*1&gt;0)),"")</f>
        <v/>
      </c>
      <c r="G11" s="150">
        <f>"M"&amp;OUT!M$75&amp;" T"&amp;OUT!M$76&amp;" N"&amp;OUT!M$77&amp;IF(OUT!M$78+OUT!M$79+OUT!M$80=0," ✓"," ⚠ falta "&amp;(OUT!M$78+OUT!M$79+OUT!M$80))</f>
        <v/>
      </c>
      <c r="H11" s="39" t="n"/>
    </row>
    <row r="12" ht="42.8" customHeight="1">
      <c r="A12" s="148" t="n">
        <v>6</v>
      </c>
      <c r="B12" s="144" t="inlineStr">
        <is>
          <t>ter</t>
        </is>
      </c>
      <c r="C12" s="149">
        <f>IFERROR(TEXTJOIN(", ",TRUE,FILTER(OUT!$A$8:$A$73&amp;IF(((OUT!N$8:N$73="M+")+(OUT!N$8:N$73="D+")+(OUT!N$8:N$73="Dm+"))*1&gt;0," BHP",""),((OUT!N$8:N$73="M")+(OUT!N$8:N$73="D")+(OUT!N$8:N$73="C")+(OUT!N$8:N$73="J")+(OUT!N$8:N$73="CEP")+(OUT!N$8:N$73="M+")+(OUT!N$8:N$73="D+")+(OUT!N$8:N$73="Dm+")+(OUT!N$8:N$73="Dt+")+(OUT!N$8:N$73="Mt-"))*1&gt;0)),"—")</f>
        <v/>
      </c>
      <c r="D12" s="149">
        <f>IFERROR(TEXTJOIN(", ",TRUE,FILTER(OUT!$A$8:$A$73&amp;IF(((OUT!N$8:N$73="T+")+(OUT!N$8:N$73="D+")+(OUT!N$8:N$73="Dt+"))*1&gt;0," BHP",""),((OUT!N$8:N$73="T")+(OUT!N$8:N$73="D")+(OUT!N$8:N$73="C")+(OUT!N$8:N$73="T+")+(OUT!N$8:N$73="D+")+(OUT!N$8:N$73="Dm+")+(OUT!N$8:N$73="Dt+")+(OUT!N$8:N$73="Tm-"))*1&gt;0)),"—")</f>
        <v/>
      </c>
      <c r="E12" s="149">
        <f>IFERROR(TEXTJOIN(", ",TRUE,FILTER(OUT!$A$8:$A$73&amp;IF(((OUT!N$8:N$73="N+"))*1&gt;0," BHP",""),((OUT!N$8:N$73="N")+(OUT!N$8:N$73="NT")+(OUT!N$8:N$73="N+"))*1&gt;0)),"—")</f>
        <v/>
      </c>
      <c r="F12" s="146">
        <f>IFERROR(TEXTJOIN(", ",TRUE,FILTER(OUT!$A$8:$A$73&amp;" BHN"&amp;IF(OUT!N$8:N$73="M-"," manhã",IF(OUT!N$8:N$73="T-"," tarde",IF(OUT!N$8:N$73="D-"," dia",IF(OUT!N$8:N$73="N-"," noite",IF(OUT!N$8:N$73="Tm-"," manhã"," tarde"))))),((OUT!N$8:N$73="D-")+(OUT!N$8:N$73="M-")+(OUT!N$8:N$73="Mt-")+(OUT!N$8:N$73="N-")+(OUT!N$8:N$73="T-")+(OUT!N$8:N$73="Tm-"))*1&gt;0)),"")</f>
        <v/>
      </c>
      <c r="G12" s="150">
        <f>"M"&amp;OUT!N$75&amp;" T"&amp;OUT!N$76&amp;" N"&amp;OUT!N$77&amp;IF(OUT!N$78+OUT!N$79+OUT!N$80=0," ✓"," ⚠ falta "&amp;(OUT!N$78+OUT!N$79+OUT!N$80))</f>
        <v/>
      </c>
      <c r="H12" s="39" t="n"/>
    </row>
    <row r="13" ht="42.8" customHeight="1">
      <c r="A13" s="148" t="n">
        <v>7</v>
      </c>
      <c r="B13" s="144" t="inlineStr">
        <is>
          <t>qua</t>
        </is>
      </c>
      <c r="C13" s="149">
        <f>IFERROR(TEXTJOIN(", ",TRUE,FILTER(OUT!$A$8:$A$73&amp;IF(((OUT!O$8:O$73="M+")+(OUT!O$8:O$73="D+")+(OUT!O$8:O$73="Dm+"))*1&gt;0," BHP",""),((OUT!O$8:O$73="M")+(OUT!O$8:O$73="D")+(OUT!O$8:O$73="C")+(OUT!O$8:O$73="J")+(OUT!O$8:O$73="CEP")+(OUT!O$8:O$73="M+")+(OUT!O$8:O$73="D+")+(OUT!O$8:O$73="Dm+")+(OUT!O$8:O$73="Dt+")+(OUT!O$8:O$73="Mt-"))*1&gt;0)),"—")</f>
        <v/>
      </c>
      <c r="D13" s="149">
        <f>IFERROR(TEXTJOIN(", ",TRUE,FILTER(OUT!$A$8:$A$73&amp;IF(((OUT!O$8:O$73="T+")+(OUT!O$8:O$73="D+")+(OUT!O$8:O$73="Dt+"))*1&gt;0," BHP",""),((OUT!O$8:O$73="T")+(OUT!O$8:O$73="D")+(OUT!O$8:O$73="C")+(OUT!O$8:O$73="T+")+(OUT!O$8:O$73="D+")+(OUT!O$8:O$73="Dm+")+(OUT!O$8:O$73="Dt+")+(OUT!O$8:O$73="Tm-"))*1&gt;0)),"—")</f>
        <v/>
      </c>
      <c r="E13" s="149">
        <f>IFERROR(TEXTJOIN(", ",TRUE,FILTER(OUT!$A$8:$A$73&amp;IF(((OUT!O$8:O$73="N+"))*1&gt;0," BHP",""),((OUT!O$8:O$73="N")+(OUT!O$8:O$73="NT")+(OUT!O$8:O$73="N+"))*1&gt;0)),"—")</f>
        <v/>
      </c>
      <c r="F13" s="146">
        <f>IFERROR(TEXTJOIN(", ",TRUE,FILTER(OUT!$A$8:$A$73&amp;" BHN"&amp;IF(OUT!O$8:O$73="M-"," manhã",IF(OUT!O$8:O$73="T-"," tarde",IF(OUT!O$8:O$73="D-"," dia",IF(OUT!O$8:O$73="N-"," noite",IF(OUT!O$8:O$73="Tm-"," manhã"," tarde"))))),((OUT!O$8:O$73="D-")+(OUT!O$8:O$73="M-")+(OUT!O$8:O$73="Mt-")+(OUT!O$8:O$73="N-")+(OUT!O$8:O$73="T-")+(OUT!O$8:O$73="Tm-"))*1&gt;0)),"")</f>
        <v/>
      </c>
      <c r="G13" s="150">
        <f>"M"&amp;OUT!O$75&amp;" T"&amp;OUT!O$76&amp;" N"&amp;OUT!O$77&amp;IF(OUT!O$78+OUT!O$79+OUT!O$80=0," ✓"," ⚠ falta "&amp;(OUT!O$78+OUT!O$79+OUT!O$80))</f>
        <v/>
      </c>
      <c r="H13" s="39" t="n"/>
    </row>
    <row r="14" ht="42.8" customHeight="1">
      <c r="A14" s="148" t="n">
        <v>8</v>
      </c>
      <c r="B14" s="144" t="inlineStr">
        <is>
          <t>qui</t>
        </is>
      </c>
      <c r="C14" s="149">
        <f>IFERROR(TEXTJOIN(", ",TRUE,FILTER(OUT!$A$8:$A$73&amp;IF(((OUT!P$8:P$73="M+")+(OUT!P$8:P$73="D+")+(OUT!P$8:P$73="Dm+"))*1&gt;0," BHP",""),((OUT!P$8:P$73="M")+(OUT!P$8:P$73="D")+(OUT!P$8:P$73="C")+(OUT!P$8:P$73="J")+(OUT!P$8:P$73="CEP")+(OUT!P$8:P$73="M+")+(OUT!P$8:P$73="D+")+(OUT!P$8:P$73="Dm+")+(OUT!P$8:P$73="Dt+")+(OUT!P$8:P$73="Mt-"))*1&gt;0)),"—")</f>
        <v/>
      </c>
      <c r="D14" s="149">
        <f>IFERROR(TEXTJOIN(", ",TRUE,FILTER(OUT!$A$8:$A$73&amp;IF(((OUT!P$8:P$73="T+")+(OUT!P$8:P$73="D+")+(OUT!P$8:P$73="Dt+"))*1&gt;0," BHP",""),((OUT!P$8:P$73="T")+(OUT!P$8:P$73="D")+(OUT!P$8:P$73="C")+(OUT!P$8:P$73="T+")+(OUT!P$8:P$73="D+")+(OUT!P$8:P$73="Dm+")+(OUT!P$8:P$73="Dt+")+(OUT!P$8:P$73="Tm-"))*1&gt;0)),"—")</f>
        <v/>
      </c>
      <c r="E14" s="149">
        <f>IFERROR(TEXTJOIN(", ",TRUE,FILTER(OUT!$A$8:$A$73&amp;IF(((OUT!P$8:P$73="N+"))*1&gt;0," BHP",""),((OUT!P$8:P$73="N")+(OUT!P$8:P$73="NT")+(OUT!P$8:P$73="N+"))*1&gt;0)),"—")</f>
        <v/>
      </c>
      <c r="F14" s="146">
        <f>IFERROR(TEXTJOIN(", ",TRUE,FILTER(OUT!$A$8:$A$73&amp;" BHN"&amp;IF(OUT!P$8:P$73="M-"," manhã",IF(OUT!P$8:P$73="T-"," tarde",IF(OUT!P$8:P$73="D-"," dia",IF(OUT!P$8:P$73="N-"," noite",IF(OUT!P$8:P$73="Tm-"," manhã"," tarde"))))),((OUT!P$8:P$73="D-")+(OUT!P$8:P$73="M-")+(OUT!P$8:P$73="Mt-")+(OUT!P$8:P$73="N-")+(OUT!P$8:P$73="T-")+(OUT!P$8:P$73="Tm-"))*1&gt;0)),"")</f>
        <v/>
      </c>
      <c r="G14" s="150">
        <f>"M"&amp;OUT!P$75&amp;" T"&amp;OUT!P$76&amp;" N"&amp;OUT!P$77&amp;IF(OUT!P$78+OUT!P$79+OUT!P$80=0," ✓"," ⚠ falta "&amp;(OUT!P$78+OUT!P$79+OUT!P$80))</f>
        <v/>
      </c>
      <c r="H14" s="39" t="n"/>
    </row>
    <row r="15" ht="42.8" customHeight="1">
      <c r="A15" s="148" t="n">
        <v>9</v>
      </c>
      <c r="B15" s="144" t="inlineStr">
        <is>
          <t>sex</t>
        </is>
      </c>
      <c r="C15" s="149">
        <f>IFERROR(TEXTJOIN(", ",TRUE,FILTER(OUT!$A$8:$A$73&amp;IF(((OUT!Q$8:Q$73="M+")+(OUT!Q$8:Q$73="D+")+(OUT!Q$8:Q$73="Dm+"))*1&gt;0," BHP",""),((OUT!Q$8:Q$73="M")+(OUT!Q$8:Q$73="D")+(OUT!Q$8:Q$73="C")+(OUT!Q$8:Q$73="J")+(OUT!Q$8:Q$73="CEP")+(OUT!Q$8:Q$73="M+")+(OUT!Q$8:Q$73="D+")+(OUT!Q$8:Q$73="Dm+")+(OUT!Q$8:Q$73="Dt+")+(OUT!Q$8:Q$73="Mt-"))*1&gt;0)),"—")</f>
        <v/>
      </c>
      <c r="D15" s="149">
        <f>IFERROR(TEXTJOIN(", ",TRUE,FILTER(OUT!$A$8:$A$73&amp;IF(((OUT!Q$8:Q$73="T+")+(OUT!Q$8:Q$73="D+")+(OUT!Q$8:Q$73="Dt+"))*1&gt;0," BHP",""),((OUT!Q$8:Q$73="T")+(OUT!Q$8:Q$73="D")+(OUT!Q$8:Q$73="C")+(OUT!Q$8:Q$73="T+")+(OUT!Q$8:Q$73="D+")+(OUT!Q$8:Q$73="Dm+")+(OUT!Q$8:Q$73="Dt+")+(OUT!Q$8:Q$73="Tm-"))*1&gt;0)),"—")</f>
        <v/>
      </c>
      <c r="E15" s="149">
        <f>IFERROR(TEXTJOIN(", ",TRUE,FILTER(OUT!$A$8:$A$73&amp;IF(((OUT!Q$8:Q$73="N+"))*1&gt;0," BHP",""),((OUT!Q$8:Q$73="N")+(OUT!Q$8:Q$73="NT")+(OUT!Q$8:Q$73="N+"))*1&gt;0)),"—")</f>
        <v/>
      </c>
      <c r="F15" s="146">
        <f>IFERROR(TEXTJOIN(", ",TRUE,FILTER(OUT!$A$8:$A$73&amp;" BHN"&amp;IF(OUT!Q$8:Q$73="M-"," manhã",IF(OUT!Q$8:Q$73="T-"," tarde",IF(OUT!Q$8:Q$73="D-"," dia",IF(OUT!Q$8:Q$73="N-"," noite",IF(OUT!Q$8:Q$73="Tm-"," manhã"," tarde"))))),((OUT!Q$8:Q$73="D-")+(OUT!Q$8:Q$73="M-")+(OUT!Q$8:Q$73="Mt-")+(OUT!Q$8:Q$73="N-")+(OUT!Q$8:Q$73="T-")+(OUT!Q$8:Q$73="Tm-"))*1&gt;0)),"")</f>
        <v/>
      </c>
      <c r="G15" s="150">
        <f>"M"&amp;OUT!Q$75&amp;" T"&amp;OUT!Q$76&amp;" N"&amp;OUT!Q$77&amp;IF(OUT!Q$78+OUT!Q$79+OUT!Q$80=0," ✓"," ⚠ falta "&amp;(OUT!Q$78+OUT!Q$79+OUT!Q$80))</f>
        <v/>
      </c>
      <c r="H15" s="39" t="n"/>
    </row>
    <row r="16" ht="31.2" customHeight="1">
      <c r="A16" s="151" t="n">
        <v>10</v>
      </c>
      <c r="B16" s="152" t="inlineStr">
        <is>
          <t>sáb</t>
        </is>
      </c>
      <c r="C16" s="153">
        <f>IFERROR(TEXTJOIN(", ",TRUE,FILTER(OUT!$A$8:$A$73&amp;IF(((OUT!R$8:R$73="M+")+(OUT!R$8:R$73="D+")+(OUT!R$8:R$73="Dm+"))*1&gt;0," BHP",""),((OUT!R$8:R$73="M")+(OUT!R$8:R$73="D")+(OUT!R$8:R$73="C")+(OUT!R$8:R$73="J")+(OUT!R$8:R$73="CEP")+(OUT!R$8:R$73="M+")+(OUT!R$8:R$73="D+")+(OUT!R$8:R$73="Dm+")+(OUT!R$8:R$73="Dt+")+(OUT!R$8:R$73="Mt-"))*1&gt;0)),"—")</f>
        <v/>
      </c>
      <c r="D16" s="153">
        <f>IFERROR(TEXTJOIN(", ",TRUE,FILTER(OUT!$A$8:$A$73&amp;IF(((OUT!R$8:R$73="T+")+(OUT!R$8:R$73="D+")+(OUT!R$8:R$73="Dt+"))*1&gt;0," BHP",""),((OUT!R$8:R$73="T")+(OUT!R$8:R$73="D")+(OUT!R$8:R$73="C")+(OUT!R$8:R$73="T+")+(OUT!R$8:R$73="D+")+(OUT!R$8:R$73="Dm+")+(OUT!R$8:R$73="Dt+")+(OUT!R$8:R$73="Tm-"))*1&gt;0)),"—")</f>
        <v/>
      </c>
      <c r="E16" s="153">
        <f>IFERROR(TEXTJOIN(", ",TRUE,FILTER(OUT!$A$8:$A$73&amp;IF(((OUT!R$8:R$73="N+"))*1&gt;0," BHP",""),((OUT!R$8:R$73="N")+(OUT!R$8:R$73="NT")+(OUT!R$8:R$73="N+"))*1&gt;0)),"—")</f>
        <v/>
      </c>
      <c r="F16" s="146">
        <f>IFERROR(TEXTJOIN(", ",TRUE,FILTER(OUT!$A$8:$A$73&amp;" BHN"&amp;IF(OUT!R$8:R$73="M-"," manhã",IF(OUT!R$8:R$73="T-"," tarde",IF(OUT!R$8:R$73="D-"," dia",IF(OUT!R$8:R$73="N-"," noite",IF(OUT!R$8:R$73="Tm-"," manhã"," tarde"))))),((OUT!R$8:R$73="D-")+(OUT!R$8:R$73="M-")+(OUT!R$8:R$73="Mt-")+(OUT!R$8:R$73="N-")+(OUT!R$8:R$73="T-")+(OUT!R$8:R$73="Tm-"))*1&gt;0)),"")</f>
        <v/>
      </c>
      <c r="G16" s="150">
        <f>"M"&amp;OUT!R$75&amp;" T"&amp;OUT!R$76&amp;" N"&amp;OUT!R$77&amp;IF(OUT!R$78+OUT!R$79+OUT!R$80=0," ✓"," ⚠ falta "&amp;(OUT!R$78+OUT!R$79+OUT!R$80))</f>
        <v/>
      </c>
      <c r="H16" s="39" t="n"/>
    </row>
    <row r="17" ht="31.2" customHeight="1">
      <c r="A17" s="151" t="n">
        <v>11</v>
      </c>
      <c r="B17" s="152" t="inlineStr">
        <is>
          <t>dom</t>
        </is>
      </c>
      <c r="C17" s="153">
        <f>IFERROR(TEXTJOIN(", ",TRUE,FILTER(OUT!$A$8:$A$73&amp;IF(((OUT!S$8:S$73="M+")+(OUT!S$8:S$73="D+")+(OUT!S$8:S$73="Dm+"))*1&gt;0," BHP",""),((OUT!S$8:S$73="M")+(OUT!S$8:S$73="D")+(OUT!S$8:S$73="C")+(OUT!S$8:S$73="J")+(OUT!S$8:S$73="CEP")+(OUT!S$8:S$73="M+")+(OUT!S$8:S$73="D+")+(OUT!S$8:S$73="Dm+")+(OUT!S$8:S$73="Dt+")+(OUT!S$8:S$73="Mt-"))*1&gt;0)),"—")</f>
        <v/>
      </c>
      <c r="D17" s="153">
        <f>IFERROR(TEXTJOIN(", ",TRUE,FILTER(OUT!$A$8:$A$73&amp;IF(((OUT!S$8:S$73="T+")+(OUT!S$8:S$73="D+")+(OUT!S$8:S$73="Dt+"))*1&gt;0," BHP",""),((OUT!S$8:S$73="T")+(OUT!S$8:S$73="D")+(OUT!S$8:S$73="C")+(OUT!S$8:S$73="T+")+(OUT!S$8:S$73="D+")+(OUT!S$8:S$73="Dm+")+(OUT!S$8:S$73="Dt+")+(OUT!S$8:S$73="Tm-"))*1&gt;0)),"—")</f>
        <v/>
      </c>
      <c r="E17" s="153">
        <f>IFERROR(TEXTJOIN(", ",TRUE,FILTER(OUT!$A$8:$A$73&amp;IF(((OUT!S$8:S$73="N+"))*1&gt;0," BHP",""),((OUT!S$8:S$73="N")+(OUT!S$8:S$73="NT")+(OUT!S$8:S$73="N+"))*1&gt;0)),"—")</f>
        <v/>
      </c>
      <c r="F17" s="146">
        <f>IFERROR(TEXTJOIN(", ",TRUE,FILTER(OUT!$A$8:$A$73&amp;" BHN"&amp;IF(OUT!S$8:S$73="M-"," manhã",IF(OUT!S$8:S$73="T-"," tarde",IF(OUT!S$8:S$73="D-"," dia",IF(OUT!S$8:S$73="N-"," noite",IF(OUT!S$8:S$73="Tm-"," manhã"," tarde"))))),((OUT!S$8:S$73="D-")+(OUT!S$8:S$73="M-")+(OUT!S$8:S$73="Mt-")+(OUT!S$8:S$73="N-")+(OUT!S$8:S$73="T-")+(OUT!S$8:S$73="Tm-"))*1&gt;0)),"")</f>
        <v/>
      </c>
      <c r="G17" s="150">
        <f>"M"&amp;OUT!S$75&amp;" T"&amp;OUT!S$76&amp;" N"&amp;OUT!S$77&amp;IF(OUT!S$78+OUT!S$79+OUT!S$80=0," ✓"," ⚠ falta "&amp;(OUT!S$78+OUT!S$79+OUT!S$80))</f>
        <v/>
      </c>
      <c r="H17" s="39" t="n"/>
    </row>
    <row r="18" ht="42.8" customHeight="1">
      <c r="A18" s="154" t="n">
        <v>12</v>
      </c>
      <c r="B18" s="155" t="inlineStr">
        <is>
          <t>N.Sra</t>
        </is>
      </c>
      <c r="C18" s="153">
        <f>IFERROR(TEXTJOIN(", ",TRUE,FILTER(OUT!$A$8:$A$73&amp;IF(((OUT!T$8:T$73="M+")+(OUT!T$8:T$73="D+")+(OUT!T$8:T$73="Dm+"))*1&gt;0," BHP",""),((OUT!T$8:T$73="M")+(OUT!T$8:T$73="D")+(OUT!T$8:T$73="C")+(OUT!T$8:T$73="J")+(OUT!T$8:T$73="CEP")+(OUT!T$8:T$73="M+")+(OUT!T$8:T$73="D+")+(OUT!T$8:T$73="Dm+")+(OUT!T$8:T$73="Dt+")+(OUT!T$8:T$73="Mt-"))*1&gt;0)),"—")</f>
        <v/>
      </c>
      <c r="D18" s="153">
        <f>IFERROR(TEXTJOIN(", ",TRUE,FILTER(OUT!$A$8:$A$73&amp;IF(((OUT!T$8:T$73="T+")+(OUT!T$8:T$73="D+")+(OUT!T$8:T$73="Dt+"))*1&gt;0," BHP",""),((OUT!T$8:T$73="T")+(OUT!T$8:T$73="D")+(OUT!T$8:T$73="C")+(OUT!T$8:T$73="T+")+(OUT!T$8:T$73="D+")+(OUT!T$8:T$73="Dm+")+(OUT!T$8:T$73="Dt+")+(OUT!T$8:T$73="Tm-"))*1&gt;0)),"—")</f>
        <v/>
      </c>
      <c r="E18" s="153">
        <f>IFERROR(TEXTJOIN(", ",TRUE,FILTER(OUT!$A$8:$A$73&amp;IF(((OUT!T$8:T$73="N+"))*1&gt;0," BHP",""),((OUT!T$8:T$73="N")+(OUT!T$8:T$73="NT")+(OUT!T$8:T$73="N+"))*1&gt;0)),"—")</f>
        <v/>
      </c>
      <c r="F18" s="146">
        <f>IFERROR(TEXTJOIN(", ",TRUE,FILTER(OUT!$A$8:$A$73&amp;" BHN"&amp;IF(OUT!T$8:T$73="M-"," manhã",IF(OUT!T$8:T$73="T-"," tarde",IF(OUT!T$8:T$73="D-"," dia",IF(OUT!T$8:T$73="N-"," noite",IF(OUT!T$8:T$73="Tm-"," manhã"," tarde"))))),((OUT!T$8:T$73="D-")+(OUT!T$8:T$73="M-")+(OUT!T$8:T$73="Mt-")+(OUT!T$8:T$73="N-")+(OUT!T$8:T$73="T-")+(OUT!T$8:T$73="Tm-"))*1&gt;0)),"")</f>
        <v/>
      </c>
      <c r="G18" s="150">
        <f>"M"&amp;OUT!T$75&amp;" T"&amp;OUT!T$76&amp;" N"&amp;OUT!T$77&amp;IF(OUT!T$78+OUT!T$79+OUT!T$80=0," ✓"," ⚠ falta "&amp;(OUT!T$78+OUT!T$79+OUT!T$80))</f>
        <v/>
      </c>
      <c r="H18" s="39" t="n"/>
    </row>
    <row r="19" ht="42.8" customHeight="1">
      <c r="A19" s="148" t="n">
        <v>13</v>
      </c>
      <c r="B19" s="144" t="inlineStr">
        <is>
          <t>ter</t>
        </is>
      </c>
      <c r="C19" s="149">
        <f>IFERROR(TEXTJOIN(", ",TRUE,FILTER(OUT!$A$8:$A$73&amp;IF(((OUT!U$8:U$73="M+")+(OUT!U$8:U$73="D+")+(OUT!U$8:U$73="Dm+"))*1&gt;0," BHP",""),((OUT!U$8:U$73="M")+(OUT!U$8:U$73="D")+(OUT!U$8:U$73="C")+(OUT!U$8:U$73="J")+(OUT!U$8:U$73="CEP")+(OUT!U$8:U$73="M+")+(OUT!U$8:U$73="D+")+(OUT!U$8:U$73="Dm+")+(OUT!U$8:U$73="Dt+")+(OUT!U$8:U$73="Mt-"))*1&gt;0)),"—")</f>
        <v/>
      </c>
      <c r="D19" s="149">
        <f>IFERROR(TEXTJOIN(", ",TRUE,FILTER(OUT!$A$8:$A$73&amp;IF(((OUT!U$8:U$73="T+")+(OUT!U$8:U$73="D+")+(OUT!U$8:U$73="Dt+"))*1&gt;0," BHP",""),((OUT!U$8:U$73="T")+(OUT!U$8:U$73="D")+(OUT!U$8:U$73="C")+(OUT!U$8:U$73="T+")+(OUT!U$8:U$73="D+")+(OUT!U$8:U$73="Dm+")+(OUT!U$8:U$73="Dt+")+(OUT!U$8:U$73="Tm-"))*1&gt;0)),"—")</f>
        <v/>
      </c>
      <c r="E19" s="149">
        <f>IFERROR(TEXTJOIN(", ",TRUE,FILTER(OUT!$A$8:$A$73&amp;IF(((OUT!U$8:U$73="N+"))*1&gt;0," BHP",""),((OUT!U$8:U$73="N")+(OUT!U$8:U$73="NT")+(OUT!U$8:U$73="N+"))*1&gt;0)),"—")</f>
        <v/>
      </c>
      <c r="F19" s="146">
        <f>IFERROR(TEXTJOIN(", ",TRUE,FILTER(OUT!$A$8:$A$73&amp;" BHN"&amp;IF(OUT!U$8:U$73="M-"," manhã",IF(OUT!U$8:U$73="T-"," tarde",IF(OUT!U$8:U$73="D-"," dia",IF(OUT!U$8:U$73="N-"," noite",IF(OUT!U$8:U$73="Tm-"," manhã"," tarde"))))),((OUT!U$8:U$73="D-")+(OUT!U$8:U$73="M-")+(OUT!U$8:U$73="Mt-")+(OUT!U$8:U$73="N-")+(OUT!U$8:U$73="T-")+(OUT!U$8:U$73="Tm-"))*1&gt;0)),"")</f>
        <v/>
      </c>
      <c r="G19" s="150">
        <f>"M"&amp;OUT!U$75&amp;" T"&amp;OUT!U$76&amp;" N"&amp;OUT!U$77&amp;IF(OUT!U$78+OUT!U$79+OUT!U$80=0," ✓"," ⚠ falta "&amp;(OUT!U$78+OUT!U$79+OUT!U$80))</f>
        <v/>
      </c>
      <c r="H19" s="39" t="n"/>
    </row>
    <row r="20" ht="42.8" customHeight="1">
      <c r="A20" s="148" t="n">
        <v>14</v>
      </c>
      <c r="B20" s="144" t="inlineStr">
        <is>
          <t>qua</t>
        </is>
      </c>
      <c r="C20" s="149">
        <f>IFERROR(TEXTJOIN(", ",TRUE,FILTER(OUT!$A$8:$A$73&amp;IF(((OUT!V$8:V$73="M+")+(OUT!V$8:V$73="D+")+(OUT!V$8:V$73="Dm+"))*1&gt;0," BHP",""),((OUT!V$8:V$73="M")+(OUT!V$8:V$73="D")+(OUT!V$8:V$73="C")+(OUT!V$8:V$73="J")+(OUT!V$8:V$73="CEP")+(OUT!V$8:V$73="M+")+(OUT!V$8:V$73="D+")+(OUT!V$8:V$73="Dm+")+(OUT!V$8:V$73="Dt+")+(OUT!V$8:V$73="Mt-"))*1&gt;0)),"—")</f>
        <v/>
      </c>
      <c r="D20" s="149">
        <f>IFERROR(TEXTJOIN(", ",TRUE,FILTER(OUT!$A$8:$A$73&amp;IF(((OUT!V$8:V$73="T+")+(OUT!V$8:V$73="D+")+(OUT!V$8:V$73="Dt+"))*1&gt;0," BHP",""),((OUT!V$8:V$73="T")+(OUT!V$8:V$73="D")+(OUT!V$8:V$73="C")+(OUT!V$8:V$73="T+")+(OUT!V$8:V$73="D+")+(OUT!V$8:V$73="Dm+")+(OUT!V$8:V$73="Dt+")+(OUT!V$8:V$73="Tm-"))*1&gt;0)),"—")</f>
        <v/>
      </c>
      <c r="E20" s="149">
        <f>IFERROR(TEXTJOIN(", ",TRUE,FILTER(OUT!$A$8:$A$73&amp;IF(((OUT!V$8:V$73="N+"))*1&gt;0," BHP",""),((OUT!V$8:V$73="N")+(OUT!V$8:V$73="NT")+(OUT!V$8:V$73="N+"))*1&gt;0)),"—")</f>
        <v/>
      </c>
      <c r="F20" s="146">
        <f>IFERROR(TEXTJOIN(", ",TRUE,FILTER(OUT!$A$8:$A$73&amp;" BHN"&amp;IF(OUT!V$8:V$73="M-"," manhã",IF(OUT!V$8:V$73="T-"," tarde",IF(OUT!V$8:V$73="D-"," dia",IF(OUT!V$8:V$73="N-"," noite",IF(OUT!V$8:V$73="Tm-"," manhã"," tarde"))))),((OUT!V$8:V$73="D-")+(OUT!V$8:V$73="M-")+(OUT!V$8:V$73="Mt-")+(OUT!V$8:V$73="N-")+(OUT!V$8:V$73="T-")+(OUT!V$8:V$73="Tm-"))*1&gt;0)),"")</f>
        <v/>
      </c>
      <c r="G20" s="150">
        <f>"M"&amp;OUT!V$75&amp;" T"&amp;OUT!V$76&amp;" N"&amp;OUT!V$77&amp;IF(OUT!V$78+OUT!V$79+OUT!V$80=0," ✓"," ⚠ falta "&amp;(OUT!V$78+OUT!V$79+OUT!V$80))</f>
        <v/>
      </c>
      <c r="H20" s="39" t="n"/>
    </row>
    <row r="21" ht="42.8" customHeight="1">
      <c r="A21" s="148" t="n">
        <v>15</v>
      </c>
      <c r="B21" s="144" t="inlineStr">
        <is>
          <t>qui</t>
        </is>
      </c>
      <c r="C21" s="149">
        <f>IFERROR(TEXTJOIN(", ",TRUE,FILTER(OUT!$A$8:$A$73&amp;IF(((OUT!W$8:W$73="M+")+(OUT!W$8:W$73="D+")+(OUT!W$8:W$73="Dm+"))*1&gt;0," BHP",""),((OUT!W$8:W$73="M")+(OUT!W$8:W$73="D")+(OUT!W$8:W$73="C")+(OUT!W$8:W$73="J")+(OUT!W$8:W$73="CEP")+(OUT!W$8:W$73="M+")+(OUT!W$8:W$73="D+")+(OUT!W$8:W$73="Dm+")+(OUT!W$8:W$73="Dt+")+(OUT!W$8:W$73="Mt-"))*1&gt;0)),"—")</f>
        <v/>
      </c>
      <c r="D21" s="149">
        <f>IFERROR(TEXTJOIN(", ",TRUE,FILTER(OUT!$A$8:$A$73&amp;IF(((OUT!W$8:W$73="T+")+(OUT!W$8:W$73="D+")+(OUT!W$8:W$73="Dt+"))*1&gt;0," BHP",""),((OUT!W$8:W$73="T")+(OUT!W$8:W$73="D")+(OUT!W$8:W$73="C")+(OUT!W$8:W$73="T+")+(OUT!W$8:W$73="D+")+(OUT!W$8:W$73="Dm+")+(OUT!W$8:W$73="Dt+")+(OUT!W$8:W$73="Tm-"))*1&gt;0)),"—")</f>
        <v/>
      </c>
      <c r="E21" s="149">
        <f>IFERROR(TEXTJOIN(", ",TRUE,FILTER(OUT!$A$8:$A$73&amp;IF(((OUT!W$8:W$73="N+"))*1&gt;0," BHP",""),((OUT!W$8:W$73="N")+(OUT!W$8:W$73="NT")+(OUT!W$8:W$73="N+"))*1&gt;0)),"—")</f>
        <v/>
      </c>
      <c r="F21" s="146">
        <f>IFERROR(TEXTJOIN(", ",TRUE,FILTER(OUT!$A$8:$A$73&amp;" BHN"&amp;IF(OUT!W$8:W$73="M-"," manhã",IF(OUT!W$8:W$73="T-"," tarde",IF(OUT!W$8:W$73="D-"," dia",IF(OUT!W$8:W$73="N-"," noite",IF(OUT!W$8:W$73="Tm-"," manhã"," tarde"))))),((OUT!W$8:W$73="D-")+(OUT!W$8:W$73="M-")+(OUT!W$8:W$73="Mt-")+(OUT!W$8:W$73="N-")+(OUT!W$8:W$73="T-")+(OUT!W$8:W$73="Tm-"))*1&gt;0)),"")</f>
        <v/>
      </c>
      <c r="G21" s="150">
        <f>"M"&amp;OUT!W$75&amp;" T"&amp;OUT!W$76&amp;" N"&amp;OUT!W$77&amp;IF(OUT!W$78+OUT!W$79+OUT!W$80=0," ✓"," ⚠ falta "&amp;(OUT!W$78+OUT!W$79+OUT!W$80))</f>
        <v/>
      </c>
      <c r="H21" s="39" t="n"/>
    </row>
    <row r="22" ht="42.8" customHeight="1">
      <c r="A22" s="148" t="n">
        <v>16</v>
      </c>
      <c r="B22" s="144" t="inlineStr">
        <is>
          <t>sex</t>
        </is>
      </c>
      <c r="C22" s="149">
        <f>IFERROR(TEXTJOIN(", ",TRUE,FILTER(OUT!$A$8:$A$73&amp;IF(((OUT!X$8:X$73="M+")+(OUT!X$8:X$73="D+")+(OUT!X$8:X$73="Dm+"))*1&gt;0," BHP",""),((OUT!X$8:X$73="M")+(OUT!X$8:X$73="D")+(OUT!X$8:X$73="C")+(OUT!X$8:X$73="J")+(OUT!X$8:X$73="CEP")+(OUT!X$8:X$73="M+")+(OUT!X$8:X$73="D+")+(OUT!X$8:X$73="Dm+")+(OUT!X$8:X$73="Dt+")+(OUT!X$8:X$73="Mt-"))*1&gt;0)),"—")</f>
        <v/>
      </c>
      <c r="D22" s="149">
        <f>IFERROR(TEXTJOIN(", ",TRUE,FILTER(OUT!$A$8:$A$73&amp;IF(((OUT!X$8:X$73="T+")+(OUT!X$8:X$73="D+")+(OUT!X$8:X$73="Dt+"))*1&gt;0," BHP",""),((OUT!X$8:X$73="T")+(OUT!X$8:X$73="D")+(OUT!X$8:X$73="C")+(OUT!X$8:X$73="T+")+(OUT!X$8:X$73="D+")+(OUT!X$8:X$73="Dm+")+(OUT!X$8:X$73="Dt+")+(OUT!X$8:X$73="Tm-"))*1&gt;0)),"—")</f>
        <v/>
      </c>
      <c r="E22" s="149">
        <f>IFERROR(TEXTJOIN(", ",TRUE,FILTER(OUT!$A$8:$A$73&amp;IF(((OUT!X$8:X$73="N+"))*1&gt;0," BHP",""),((OUT!X$8:X$73="N")+(OUT!X$8:X$73="NT")+(OUT!X$8:X$73="N+"))*1&gt;0)),"—")</f>
        <v/>
      </c>
      <c r="F22" s="146">
        <f>IFERROR(TEXTJOIN(", ",TRUE,FILTER(OUT!$A$8:$A$73&amp;" BHN"&amp;IF(OUT!X$8:X$73="M-"," manhã",IF(OUT!X$8:X$73="T-"," tarde",IF(OUT!X$8:X$73="D-"," dia",IF(OUT!X$8:X$73="N-"," noite",IF(OUT!X$8:X$73="Tm-"," manhã"," tarde"))))),((OUT!X$8:X$73="D-")+(OUT!X$8:X$73="M-")+(OUT!X$8:X$73="Mt-")+(OUT!X$8:X$73="N-")+(OUT!X$8:X$73="T-")+(OUT!X$8:X$73="Tm-"))*1&gt;0)),"")</f>
        <v/>
      </c>
      <c r="G22" s="150">
        <f>"M"&amp;OUT!X$75&amp;" T"&amp;OUT!X$76&amp;" N"&amp;OUT!X$77&amp;IF(OUT!X$78+OUT!X$79+OUT!X$80=0," ✓"," ⚠ falta "&amp;(OUT!X$78+OUT!X$79+OUT!X$80))</f>
        <v/>
      </c>
      <c r="H22" s="39" t="n"/>
    </row>
    <row r="23" ht="31.2" customHeight="1">
      <c r="A23" s="151" t="n">
        <v>17</v>
      </c>
      <c r="B23" s="152" t="inlineStr">
        <is>
          <t>sáb</t>
        </is>
      </c>
      <c r="C23" s="153">
        <f>IFERROR(TEXTJOIN(", ",TRUE,FILTER(OUT!$A$8:$A$73&amp;IF(((OUT!Y$8:Y$73="M+")+(OUT!Y$8:Y$73="D+")+(OUT!Y$8:Y$73="Dm+"))*1&gt;0," BHP",""),((OUT!Y$8:Y$73="M")+(OUT!Y$8:Y$73="D")+(OUT!Y$8:Y$73="C")+(OUT!Y$8:Y$73="J")+(OUT!Y$8:Y$73="CEP")+(OUT!Y$8:Y$73="M+")+(OUT!Y$8:Y$73="D+")+(OUT!Y$8:Y$73="Dm+")+(OUT!Y$8:Y$73="Dt+")+(OUT!Y$8:Y$73="Mt-"))*1&gt;0)),"—")</f>
        <v/>
      </c>
      <c r="D23" s="153">
        <f>IFERROR(TEXTJOIN(", ",TRUE,FILTER(OUT!$A$8:$A$73&amp;IF(((OUT!Y$8:Y$73="T+")+(OUT!Y$8:Y$73="D+")+(OUT!Y$8:Y$73="Dt+"))*1&gt;0," BHP",""),((OUT!Y$8:Y$73="T")+(OUT!Y$8:Y$73="D")+(OUT!Y$8:Y$73="C")+(OUT!Y$8:Y$73="T+")+(OUT!Y$8:Y$73="D+")+(OUT!Y$8:Y$73="Dm+")+(OUT!Y$8:Y$73="Dt+")+(OUT!Y$8:Y$73="Tm-"))*1&gt;0)),"—")</f>
        <v/>
      </c>
      <c r="E23" s="153">
        <f>IFERROR(TEXTJOIN(", ",TRUE,FILTER(OUT!$A$8:$A$73&amp;IF(((OUT!Y$8:Y$73="N+"))*1&gt;0," BHP",""),((OUT!Y$8:Y$73="N")+(OUT!Y$8:Y$73="NT")+(OUT!Y$8:Y$73="N+"))*1&gt;0)),"—")</f>
        <v/>
      </c>
      <c r="F23" s="146">
        <f>IFERROR(TEXTJOIN(", ",TRUE,FILTER(OUT!$A$8:$A$73&amp;" BHN"&amp;IF(OUT!Y$8:Y$73="M-"," manhã",IF(OUT!Y$8:Y$73="T-"," tarde",IF(OUT!Y$8:Y$73="D-"," dia",IF(OUT!Y$8:Y$73="N-"," noite",IF(OUT!Y$8:Y$73="Tm-"," manhã"," tarde"))))),((OUT!Y$8:Y$73="D-")+(OUT!Y$8:Y$73="M-")+(OUT!Y$8:Y$73="Mt-")+(OUT!Y$8:Y$73="N-")+(OUT!Y$8:Y$73="T-")+(OUT!Y$8:Y$73="Tm-"))*1&gt;0)),"")</f>
        <v/>
      </c>
      <c r="G23" s="150">
        <f>"M"&amp;OUT!Y$75&amp;" T"&amp;OUT!Y$76&amp;" N"&amp;OUT!Y$77&amp;IF(OUT!Y$78+OUT!Y$79+OUT!Y$80=0," ✓"," ⚠ falta "&amp;(OUT!Y$78+OUT!Y$79+OUT!Y$80))</f>
        <v/>
      </c>
      <c r="H23" s="39" t="n"/>
    </row>
    <row r="24" ht="31.2" customHeight="1">
      <c r="A24" s="151" t="n">
        <v>18</v>
      </c>
      <c r="B24" s="152" t="inlineStr">
        <is>
          <t>dom</t>
        </is>
      </c>
      <c r="C24" s="153">
        <f>IFERROR(TEXTJOIN(", ",TRUE,FILTER(OUT!$A$8:$A$73&amp;IF(((OUT!Z$8:Z$73="M+")+(OUT!Z$8:Z$73="D+")+(OUT!Z$8:Z$73="Dm+"))*1&gt;0," BHP",""),((OUT!Z$8:Z$73="M")+(OUT!Z$8:Z$73="D")+(OUT!Z$8:Z$73="C")+(OUT!Z$8:Z$73="J")+(OUT!Z$8:Z$73="CEP")+(OUT!Z$8:Z$73="M+")+(OUT!Z$8:Z$73="D+")+(OUT!Z$8:Z$73="Dm+")+(OUT!Z$8:Z$73="Dt+")+(OUT!Z$8:Z$73="Mt-"))*1&gt;0)),"—")</f>
        <v/>
      </c>
      <c r="D24" s="153">
        <f>IFERROR(TEXTJOIN(", ",TRUE,FILTER(OUT!$A$8:$A$73&amp;IF(((OUT!Z$8:Z$73="T+")+(OUT!Z$8:Z$73="D+")+(OUT!Z$8:Z$73="Dt+"))*1&gt;0," BHP",""),((OUT!Z$8:Z$73="T")+(OUT!Z$8:Z$73="D")+(OUT!Z$8:Z$73="C")+(OUT!Z$8:Z$73="T+")+(OUT!Z$8:Z$73="D+")+(OUT!Z$8:Z$73="Dm+")+(OUT!Z$8:Z$73="Dt+")+(OUT!Z$8:Z$73="Tm-"))*1&gt;0)),"—")</f>
        <v/>
      </c>
      <c r="E24" s="153">
        <f>IFERROR(TEXTJOIN(", ",TRUE,FILTER(OUT!$A$8:$A$73&amp;IF(((OUT!Z$8:Z$73="N+"))*1&gt;0," BHP",""),((OUT!Z$8:Z$73="N")+(OUT!Z$8:Z$73="NT")+(OUT!Z$8:Z$73="N+"))*1&gt;0)),"—")</f>
        <v/>
      </c>
      <c r="F24" s="146">
        <f>IFERROR(TEXTJOIN(", ",TRUE,FILTER(OUT!$A$8:$A$73&amp;" BHN"&amp;IF(OUT!Z$8:Z$73="M-"," manhã",IF(OUT!Z$8:Z$73="T-"," tarde",IF(OUT!Z$8:Z$73="D-"," dia",IF(OUT!Z$8:Z$73="N-"," noite",IF(OUT!Z$8:Z$73="Tm-"," manhã"," tarde"))))),((OUT!Z$8:Z$73="D-")+(OUT!Z$8:Z$73="M-")+(OUT!Z$8:Z$73="Mt-")+(OUT!Z$8:Z$73="N-")+(OUT!Z$8:Z$73="T-")+(OUT!Z$8:Z$73="Tm-"))*1&gt;0)),"")</f>
        <v/>
      </c>
      <c r="G24" s="150">
        <f>"M"&amp;OUT!Z$75&amp;" T"&amp;OUT!Z$76&amp;" N"&amp;OUT!Z$77&amp;IF(OUT!Z$78+OUT!Z$79+OUT!Z$80=0," ✓"," ⚠ falta "&amp;(OUT!Z$78+OUT!Z$79+OUT!Z$80))</f>
        <v/>
      </c>
      <c r="H24" s="39" t="n"/>
    </row>
    <row r="25" ht="31.2" customHeight="1">
      <c r="A25" s="148" t="n">
        <v>19</v>
      </c>
      <c r="B25" s="144" t="inlineStr">
        <is>
          <t>seg</t>
        </is>
      </c>
      <c r="C25" s="149">
        <f>IFERROR(TEXTJOIN(", ",TRUE,FILTER(OUT!$A$8:$A$73&amp;IF(((OUT!AA$8:AA$73="M+")+(OUT!AA$8:AA$73="D+")+(OUT!AA$8:AA$73="Dm+"))*1&gt;0," BHP",""),((OUT!AA$8:AA$73="M")+(OUT!AA$8:AA$73="D")+(OUT!AA$8:AA$73="C")+(OUT!AA$8:AA$73="J")+(OUT!AA$8:AA$73="CEP")+(OUT!AA$8:AA$73="M+")+(OUT!AA$8:AA$73="D+")+(OUT!AA$8:AA$73="Dm+")+(OUT!AA$8:AA$73="Dt+")+(OUT!AA$8:AA$73="Mt-"))*1&gt;0)),"—")</f>
        <v/>
      </c>
      <c r="D25" s="149">
        <f>IFERROR(TEXTJOIN(", ",TRUE,FILTER(OUT!$A$8:$A$73&amp;IF(((OUT!AA$8:AA$73="T+")+(OUT!AA$8:AA$73="D+")+(OUT!AA$8:AA$73="Dt+"))*1&gt;0," BHP",""),((OUT!AA$8:AA$73="T")+(OUT!AA$8:AA$73="D")+(OUT!AA$8:AA$73="C")+(OUT!AA$8:AA$73="T+")+(OUT!AA$8:AA$73="D+")+(OUT!AA$8:AA$73="Dm+")+(OUT!AA$8:AA$73="Dt+")+(OUT!AA$8:AA$73="Tm-"))*1&gt;0)),"—")</f>
        <v/>
      </c>
      <c r="E25" s="149">
        <f>IFERROR(TEXTJOIN(", ",TRUE,FILTER(OUT!$A$8:$A$73&amp;IF(((OUT!AA$8:AA$73="N+"))*1&gt;0," BHP",""),((OUT!AA$8:AA$73="N")+(OUT!AA$8:AA$73="NT")+(OUT!AA$8:AA$73="N+"))*1&gt;0)),"—")</f>
        <v/>
      </c>
      <c r="F25" s="146">
        <f>IFERROR(TEXTJOIN(", ",TRUE,FILTER(OUT!$A$8:$A$73&amp;" BHN"&amp;IF(OUT!AA$8:AA$73="M-"," manhã",IF(OUT!AA$8:AA$73="T-"," tarde",IF(OUT!AA$8:AA$73="D-"," dia",IF(OUT!AA$8:AA$73="N-"," noite",IF(OUT!AA$8:AA$73="Tm-"," manhã"," tarde"))))),((OUT!AA$8:AA$73="D-")+(OUT!AA$8:AA$73="M-")+(OUT!AA$8:AA$73="Mt-")+(OUT!AA$8:AA$73="N-")+(OUT!AA$8:AA$73="T-")+(OUT!AA$8:AA$73="Tm-"))*1&gt;0)),"")</f>
        <v/>
      </c>
      <c r="G25" s="150">
        <f>"M"&amp;OUT!AA$75&amp;" T"&amp;OUT!AA$76&amp;" N"&amp;OUT!AA$77&amp;IF(OUT!AA$78+OUT!AA$79+OUT!AA$80=0," ✓"," ⚠ falta "&amp;(OUT!AA$78+OUT!AA$79+OUT!AA$80))</f>
        <v/>
      </c>
      <c r="H25" s="39" t="n"/>
    </row>
    <row r="26" ht="42.8" customHeight="1">
      <c r="A26" s="148" t="n">
        <v>20</v>
      </c>
      <c r="B26" s="144" t="inlineStr">
        <is>
          <t>ter</t>
        </is>
      </c>
      <c r="C26" s="149">
        <f>IFERROR(TEXTJOIN(", ",TRUE,FILTER(OUT!$A$8:$A$73&amp;IF(((OUT!AB$8:AB$73="M+")+(OUT!AB$8:AB$73="D+")+(OUT!AB$8:AB$73="Dm+"))*1&gt;0," BHP",""),((OUT!AB$8:AB$73="M")+(OUT!AB$8:AB$73="D")+(OUT!AB$8:AB$73="C")+(OUT!AB$8:AB$73="J")+(OUT!AB$8:AB$73="CEP")+(OUT!AB$8:AB$73="M+")+(OUT!AB$8:AB$73="D+")+(OUT!AB$8:AB$73="Dm+")+(OUT!AB$8:AB$73="Dt+")+(OUT!AB$8:AB$73="Mt-"))*1&gt;0)),"—")</f>
        <v/>
      </c>
      <c r="D26" s="149">
        <f>IFERROR(TEXTJOIN(", ",TRUE,FILTER(OUT!$A$8:$A$73&amp;IF(((OUT!AB$8:AB$73="T+")+(OUT!AB$8:AB$73="D+")+(OUT!AB$8:AB$73="Dt+"))*1&gt;0," BHP",""),((OUT!AB$8:AB$73="T")+(OUT!AB$8:AB$73="D")+(OUT!AB$8:AB$73="C")+(OUT!AB$8:AB$73="T+")+(OUT!AB$8:AB$73="D+")+(OUT!AB$8:AB$73="Dm+")+(OUT!AB$8:AB$73="Dt+")+(OUT!AB$8:AB$73="Tm-"))*1&gt;0)),"—")</f>
        <v/>
      </c>
      <c r="E26" s="149">
        <f>IFERROR(TEXTJOIN(", ",TRUE,FILTER(OUT!$A$8:$A$73&amp;IF(((OUT!AB$8:AB$73="N+"))*1&gt;0," BHP",""),((OUT!AB$8:AB$73="N")+(OUT!AB$8:AB$73="NT")+(OUT!AB$8:AB$73="N+"))*1&gt;0)),"—")</f>
        <v/>
      </c>
      <c r="F26" s="146">
        <f>IFERROR(TEXTJOIN(", ",TRUE,FILTER(OUT!$A$8:$A$73&amp;" BHN"&amp;IF(OUT!AB$8:AB$73="M-"," manhã",IF(OUT!AB$8:AB$73="T-"," tarde",IF(OUT!AB$8:AB$73="D-"," dia",IF(OUT!AB$8:AB$73="N-"," noite",IF(OUT!AB$8:AB$73="Tm-"," manhã"," tarde"))))),((OUT!AB$8:AB$73="D-")+(OUT!AB$8:AB$73="M-")+(OUT!AB$8:AB$73="Mt-")+(OUT!AB$8:AB$73="N-")+(OUT!AB$8:AB$73="T-")+(OUT!AB$8:AB$73="Tm-"))*1&gt;0)),"")</f>
        <v/>
      </c>
      <c r="G26" s="150">
        <f>"M"&amp;OUT!AB$75&amp;" T"&amp;OUT!AB$76&amp;" N"&amp;OUT!AB$77&amp;IF(OUT!AB$78+OUT!AB$79+OUT!AB$80=0," ✓"," ⚠ falta "&amp;(OUT!AB$78+OUT!AB$79+OUT!AB$80))</f>
        <v/>
      </c>
      <c r="H26" s="39" t="n"/>
    </row>
    <row r="27" ht="42.8" customHeight="1">
      <c r="A27" s="148" t="n">
        <v>21</v>
      </c>
      <c r="B27" s="144" t="inlineStr">
        <is>
          <t>qua</t>
        </is>
      </c>
      <c r="C27" s="149">
        <f>IFERROR(TEXTJOIN(", ",TRUE,FILTER(OUT!$A$8:$A$73&amp;IF(((OUT!AC$8:AC$73="M+")+(OUT!AC$8:AC$73="D+")+(OUT!AC$8:AC$73="Dm+"))*1&gt;0," BHP",""),((OUT!AC$8:AC$73="M")+(OUT!AC$8:AC$73="D")+(OUT!AC$8:AC$73="C")+(OUT!AC$8:AC$73="J")+(OUT!AC$8:AC$73="CEP")+(OUT!AC$8:AC$73="M+")+(OUT!AC$8:AC$73="D+")+(OUT!AC$8:AC$73="Dm+")+(OUT!AC$8:AC$73="Dt+")+(OUT!AC$8:AC$73="Mt-"))*1&gt;0)),"—")</f>
        <v/>
      </c>
      <c r="D27" s="149">
        <f>IFERROR(TEXTJOIN(", ",TRUE,FILTER(OUT!$A$8:$A$73&amp;IF(((OUT!AC$8:AC$73="T+")+(OUT!AC$8:AC$73="D+")+(OUT!AC$8:AC$73="Dt+"))*1&gt;0," BHP",""),((OUT!AC$8:AC$73="T")+(OUT!AC$8:AC$73="D")+(OUT!AC$8:AC$73="C")+(OUT!AC$8:AC$73="T+")+(OUT!AC$8:AC$73="D+")+(OUT!AC$8:AC$73="Dm+")+(OUT!AC$8:AC$73="Dt+")+(OUT!AC$8:AC$73="Tm-"))*1&gt;0)),"—")</f>
        <v/>
      </c>
      <c r="E27" s="149">
        <f>IFERROR(TEXTJOIN(", ",TRUE,FILTER(OUT!$A$8:$A$73&amp;IF(((OUT!AC$8:AC$73="N+"))*1&gt;0," BHP",""),((OUT!AC$8:AC$73="N")+(OUT!AC$8:AC$73="NT")+(OUT!AC$8:AC$73="N+"))*1&gt;0)),"—")</f>
        <v/>
      </c>
      <c r="F27" s="146">
        <f>IFERROR(TEXTJOIN(", ",TRUE,FILTER(OUT!$A$8:$A$73&amp;" BHN"&amp;IF(OUT!AC$8:AC$73="M-"," manhã",IF(OUT!AC$8:AC$73="T-"," tarde",IF(OUT!AC$8:AC$73="D-"," dia",IF(OUT!AC$8:AC$73="N-"," noite",IF(OUT!AC$8:AC$73="Tm-"," manhã"," tarde"))))),((OUT!AC$8:AC$73="D-")+(OUT!AC$8:AC$73="M-")+(OUT!AC$8:AC$73="Mt-")+(OUT!AC$8:AC$73="N-")+(OUT!AC$8:AC$73="T-")+(OUT!AC$8:AC$73="Tm-"))*1&gt;0)),"")</f>
        <v/>
      </c>
      <c r="G27" s="150">
        <f>"M"&amp;OUT!AC$75&amp;" T"&amp;OUT!AC$76&amp;" N"&amp;OUT!AC$77&amp;IF(OUT!AC$78+OUT!AC$79+OUT!AC$80=0," ✓"," ⚠ falta "&amp;(OUT!AC$78+OUT!AC$79+OUT!AC$80))</f>
        <v/>
      </c>
      <c r="H27" s="39" t="n"/>
    </row>
    <row r="28" ht="42.8" customHeight="1">
      <c r="A28" s="148" t="n">
        <v>22</v>
      </c>
      <c r="B28" s="144" t="inlineStr">
        <is>
          <t>qui</t>
        </is>
      </c>
      <c r="C28" s="149">
        <f>IFERROR(TEXTJOIN(", ",TRUE,FILTER(OUT!$A$8:$A$73&amp;IF(((OUT!AD$8:AD$73="M+")+(OUT!AD$8:AD$73="D+")+(OUT!AD$8:AD$73="Dm+"))*1&gt;0," BHP",""),((OUT!AD$8:AD$73="M")+(OUT!AD$8:AD$73="D")+(OUT!AD$8:AD$73="C")+(OUT!AD$8:AD$73="J")+(OUT!AD$8:AD$73="CEP")+(OUT!AD$8:AD$73="M+")+(OUT!AD$8:AD$73="D+")+(OUT!AD$8:AD$73="Dm+")+(OUT!AD$8:AD$73="Dt+")+(OUT!AD$8:AD$73="Mt-"))*1&gt;0)),"—")</f>
        <v/>
      </c>
      <c r="D28" s="149">
        <f>IFERROR(TEXTJOIN(", ",TRUE,FILTER(OUT!$A$8:$A$73&amp;IF(((OUT!AD$8:AD$73="T+")+(OUT!AD$8:AD$73="D+")+(OUT!AD$8:AD$73="Dt+"))*1&gt;0," BHP",""),((OUT!AD$8:AD$73="T")+(OUT!AD$8:AD$73="D")+(OUT!AD$8:AD$73="C")+(OUT!AD$8:AD$73="T+")+(OUT!AD$8:AD$73="D+")+(OUT!AD$8:AD$73="Dm+")+(OUT!AD$8:AD$73="Dt+")+(OUT!AD$8:AD$73="Tm-"))*1&gt;0)),"—")</f>
        <v/>
      </c>
      <c r="E28" s="149">
        <f>IFERROR(TEXTJOIN(", ",TRUE,FILTER(OUT!$A$8:$A$73&amp;IF(((OUT!AD$8:AD$73="N+"))*1&gt;0," BHP",""),((OUT!AD$8:AD$73="N")+(OUT!AD$8:AD$73="NT")+(OUT!AD$8:AD$73="N+"))*1&gt;0)),"—")</f>
        <v/>
      </c>
      <c r="F28" s="146">
        <f>IFERROR(TEXTJOIN(", ",TRUE,FILTER(OUT!$A$8:$A$73&amp;" BHN"&amp;IF(OUT!AD$8:AD$73="M-"," manhã",IF(OUT!AD$8:AD$73="T-"," tarde",IF(OUT!AD$8:AD$73="D-"," dia",IF(OUT!AD$8:AD$73="N-"," noite",IF(OUT!AD$8:AD$73="Tm-"," manhã"," tarde"))))),((OUT!AD$8:AD$73="D-")+(OUT!AD$8:AD$73="M-")+(OUT!AD$8:AD$73="Mt-")+(OUT!AD$8:AD$73="N-")+(OUT!AD$8:AD$73="T-")+(OUT!AD$8:AD$73="Tm-"))*1&gt;0)),"")</f>
        <v/>
      </c>
      <c r="G28" s="150">
        <f>"M"&amp;OUT!AD$75&amp;" T"&amp;OUT!AD$76&amp;" N"&amp;OUT!AD$77&amp;IF(OUT!AD$78+OUT!AD$79+OUT!AD$80=0," ✓"," ⚠ falta "&amp;(OUT!AD$78+OUT!AD$79+OUT!AD$80))</f>
        <v/>
      </c>
      <c r="H28" s="39" t="n"/>
    </row>
    <row r="29" ht="42.8" customHeight="1">
      <c r="A29" s="148" t="n">
        <v>23</v>
      </c>
      <c r="B29" s="144" t="inlineStr">
        <is>
          <t>sex</t>
        </is>
      </c>
      <c r="C29" s="149">
        <f>IFERROR(TEXTJOIN(", ",TRUE,FILTER(OUT!$A$8:$A$73&amp;IF(((OUT!AE$8:AE$73="M+")+(OUT!AE$8:AE$73="D+")+(OUT!AE$8:AE$73="Dm+"))*1&gt;0," BHP",""),((OUT!AE$8:AE$73="M")+(OUT!AE$8:AE$73="D")+(OUT!AE$8:AE$73="C")+(OUT!AE$8:AE$73="J")+(OUT!AE$8:AE$73="CEP")+(OUT!AE$8:AE$73="M+")+(OUT!AE$8:AE$73="D+")+(OUT!AE$8:AE$73="Dm+")+(OUT!AE$8:AE$73="Dt+")+(OUT!AE$8:AE$73="Mt-"))*1&gt;0)),"—")</f>
        <v/>
      </c>
      <c r="D29" s="149">
        <f>IFERROR(TEXTJOIN(", ",TRUE,FILTER(OUT!$A$8:$A$73&amp;IF(((OUT!AE$8:AE$73="T+")+(OUT!AE$8:AE$73="D+")+(OUT!AE$8:AE$73="Dt+"))*1&gt;0," BHP",""),((OUT!AE$8:AE$73="T")+(OUT!AE$8:AE$73="D")+(OUT!AE$8:AE$73="C")+(OUT!AE$8:AE$73="T+")+(OUT!AE$8:AE$73="D+")+(OUT!AE$8:AE$73="Dm+")+(OUT!AE$8:AE$73="Dt+")+(OUT!AE$8:AE$73="Tm-"))*1&gt;0)),"—")</f>
        <v/>
      </c>
      <c r="E29" s="149">
        <f>IFERROR(TEXTJOIN(", ",TRUE,FILTER(OUT!$A$8:$A$73&amp;IF(((OUT!AE$8:AE$73="N+"))*1&gt;0," BHP",""),((OUT!AE$8:AE$73="N")+(OUT!AE$8:AE$73="NT")+(OUT!AE$8:AE$73="N+"))*1&gt;0)),"—")</f>
        <v/>
      </c>
      <c r="F29" s="146">
        <f>IFERROR(TEXTJOIN(", ",TRUE,FILTER(OUT!$A$8:$A$73&amp;" BHN"&amp;IF(OUT!AE$8:AE$73="M-"," manhã",IF(OUT!AE$8:AE$73="T-"," tarde",IF(OUT!AE$8:AE$73="D-"," dia",IF(OUT!AE$8:AE$73="N-"," noite",IF(OUT!AE$8:AE$73="Tm-"," manhã"," tarde"))))),((OUT!AE$8:AE$73="D-")+(OUT!AE$8:AE$73="M-")+(OUT!AE$8:AE$73="Mt-")+(OUT!AE$8:AE$73="N-")+(OUT!AE$8:AE$73="T-")+(OUT!AE$8:AE$73="Tm-"))*1&gt;0)),"")</f>
        <v/>
      </c>
      <c r="G29" s="150">
        <f>"M"&amp;OUT!AE$75&amp;" T"&amp;OUT!AE$76&amp;" N"&amp;OUT!AE$77&amp;IF(OUT!AE$78+OUT!AE$79+OUT!AE$80=0," ✓"," ⚠ falta "&amp;(OUT!AE$78+OUT!AE$79+OUT!AE$80))</f>
        <v/>
      </c>
      <c r="H29" s="39" t="n"/>
    </row>
    <row r="30" ht="31.2" customHeight="1">
      <c r="A30" s="151" t="n">
        <v>24</v>
      </c>
      <c r="B30" s="152" t="inlineStr">
        <is>
          <t>sáb</t>
        </is>
      </c>
      <c r="C30" s="153">
        <f>IFERROR(TEXTJOIN(", ",TRUE,FILTER(OUT!$A$8:$A$73&amp;IF(((OUT!AF$8:AF$73="M+")+(OUT!AF$8:AF$73="D+")+(OUT!AF$8:AF$73="Dm+"))*1&gt;0," BHP",""),((OUT!AF$8:AF$73="M")+(OUT!AF$8:AF$73="D")+(OUT!AF$8:AF$73="C")+(OUT!AF$8:AF$73="J")+(OUT!AF$8:AF$73="CEP")+(OUT!AF$8:AF$73="M+")+(OUT!AF$8:AF$73="D+")+(OUT!AF$8:AF$73="Dm+")+(OUT!AF$8:AF$73="Dt+")+(OUT!AF$8:AF$73="Mt-"))*1&gt;0)),"—")</f>
        <v/>
      </c>
      <c r="D30" s="153">
        <f>IFERROR(TEXTJOIN(", ",TRUE,FILTER(OUT!$A$8:$A$73&amp;IF(((OUT!AF$8:AF$73="T+")+(OUT!AF$8:AF$73="D+")+(OUT!AF$8:AF$73="Dt+"))*1&gt;0," BHP",""),((OUT!AF$8:AF$73="T")+(OUT!AF$8:AF$73="D")+(OUT!AF$8:AF$73="C")+(OUT!AF$8:AF$73="T+")+(OUT!AF$8:AF$73="D+")+(OUT!AF$8:AF$73="Dm+")+(OUT!AF$8:AF$73="Dt+")+(OUT!AF$8:AF$73="Tm-"))*1&gt;0)),"—")</f>
        <v/>
      </c>
      <c r="E30" s="153">
        <f>IFERROR(TEXTJOIN(", ",TRUE,FILTER(OUT!$A$8:$A$73&amp;IF(((OUT!AF$8:AF$73="N+"))*1&gt;0," BHP",""),((OUT!AF$8:AF$73="N")+(OUT!AF$8:AF$73="NT")+(OUT!AF$8:AF$73="N+"))*1&gt;0)),"—")</f>
        <v/>
      </c>
      <c r="F30" s="146">
        <f>IFERROR(TEXTJOIN(", ",TRUE,FILTER(OUT!$A$8:$A$73&amp;" BHN"&amp;IF(OUT!AF$8:AF$73="M-"," manhã",IF(OUT!AF$8:AF$73="T-"," tarde",IF(OUT!AF$8:AF$73="D-"," dia",IF(OUT!AF$8:AF$73="N-"," noite",IF(OUT!AF$8:AF$73="Tm-"," manhã"," tarde"))))),((OUT!AF$8:AF$73="D-")+(OUT!AF$8:AF$73="M-")+(OUT!AF$8:AF$73="Mt-")+(OUT!AF$8:AF$73="N-")+(OUT!AF$8:AF$73="T-")+(OUT!AF$8:AF$73="Tm-"))*1&gt;0)),"")</f>
        <v/>
      </c>
      <c r="G30" s="150">
        <f>"M"&amp;OUT!AF$75&amp;" T"&amp;OUT!AF$76&amp;" N"&amp;OUT!AF$77&amp;IF(OUT!AF$78+OUT!AF$79+OUT!AF$80=0," ✓"," ⚠ falta "&amp;(OUT!AF$78+OUT!AF$79+OUT!AF$80))</f>
        <v/>
      </c>
      <c r="H30" s="39" t="n"/>
    </row>
    <row r="31" ht="31.2" customHeight="1">
      <c r="A31" s="151" t="n">
        <v>25</v>
      </c>
      <c r="B31" s="152" t="inlineStr">
        <is>
          <t>dom</t>
        </is>
      </c>
      <c r="C31" s="153">
        <f>IFERROR(TEXTJOIN(", ",TRUE,FILTER(OUT!$A$8:$A$73&amp;IF(((OUT!AG$8:AG$73="M+")+(OUT!AG$8:AG$73="D+")+(OUT!AG$8:AG$73="Dm+"))*1&gt;0," BHP",""),((OUT!AG$8:AG$73="M")+(OUT!AG$8:AG$73="D")+(OUT!AG$8:AG$73="C")+(OUT!AG$8:AG$73="J")+(OUT!AG$8:AG$73="CEP")+(OUT!AG$8:AG$73="M+")+(OUT!AG$8:AG$73="D+")+(OUT!AG$8:AG$73="Dm+")+(OUT!AG$8:AG$73="Dt+")+(OUT!AG$8:AG$73="Mt-"))*1&gt;0)),"—")</f>
        <v/>
      </c>
      <c r="D31" s="153">
        <f>IFERROR(TEXTJOIN(", ",TRUE,FILTER(OUT!$A$8:$A$73&amp;IF(((OUT!AG$8:AG$73="T+")+(OUT!AG$8:AG$73="D+")+(OUT!AG$8:AG$73="Dt+"))*1&gt;0," BHP",""),((OUT!AG$8:AG$73="T")+(OUT!AG$8:AG$73="D")+(OUT!AG$8:AG$73="C")+(OUT!AG$8:AG$73="T+")+(OUT!AG$8:AG$73="D+")+(OUT!AG$8:AG$73="Dm+")+(OUT!AG$8:AG$73="Dt+")+(OUT!AG$8:AG$73="Tm-"))*1&gt;0)),"—")</f>
        <v/>
      </c>
      <c r="E31" s="153">
        <f>IFERROR(TEXTJOIN(", ",TRUE,FILTER(OUT!$A$8:$A$73&amp;IF(((OUT!AG$8:AG$73="N+"))*1&gt;0," BHP",""),((OUT!AG$8:AG$73="N")+(OUT!AG$8:AG$73="NT")+(OUT!AG$8:AG$73="N+"))*1&gt;0)),"—")</f>
        <v/>
      </c>
      <c r="F31" s="146">
        <f>IFERROR(TEXTJOIN(", ",TRUE,FILTER(OUT!$A$8:$A$73&amp;" BHN"&amp;IF(OUT!AG$8:AG$73="M-"," manhã",IF(OUT!AG$8:AG$73="T-"," tarde",IF(OUT!AG$8:AG$73="D-"," dia",IF(OUT!AG$8:AG$73="N-"," noite",IF(OUT!AG$8:AG$73="Tm-"," manhã"," tarde"))))),((OUT!AG$8:AG$73="D-")+(OUT!AG$8:AG$73="M-")+(OUT!AG$8:AG$73="Mt-")+(OUT!AG$8:AG$73="N-")+(OUT!AG$8:AG$73="T-")+(OUT!AG$8:AG$73="Tm-"))*1&gt;0)),"")</f>
        <v/>
      </c>
      <c r="G31" s="150">
        <f>"M"&amp;OUT!AG$75&amp;" T"&amp;OUT!AG$76&amp;" N"&amp;OUT!AG$77&amp;IF(OUT!AG$78+OUT!AG$79+OUT!AG$80=0," ✓"," ⚠ falta "&amp;(OUT!AG$78+OUT!AG$79+OUT!AG$80))</f>
        <v/>
      </c>
      <c r="H31" s="39" t="n"/>
    </row>
    <row r="32" ht="31.2" customHeight="1">
      <c r="A32" s="148" t="n">
        <v>26</v>
      </c>
      <c r="B32" s="144" t="inlineStr">
        <is>
          <t>seg</t>
        </is>
      </c>
      <c r="C32" s="149">
        <f>IFERROR(TEXTJOIN(", ",TRUE,FILTER(OUT!$A$8:$A$73&amp;IF(((OUT!AH$8:AH$73="M+")+(OUT!AH$8:AH$73="D+")+(OUT!AH$8:AH$73="Dm+"))*1&gt;0," BHP",""),((OUT!AH$8:AH$73="M")+(OUT!AH$8:AH$73="D")+(OUT!AH$8:AH$73="C")+(OUT!AH$8:AH$73="J")+(OUT!AH$8:AH$73="CEP")+(OUT!AH$8:AH$73="M+")+(OUT!AH$8:AH$73="D+")+(OUT!AH$8:AH$73="Dm+")+(OUT!AH$8:AH$73="Dt+")+(OUT!AH$8:AH$73="Mt-"))*1&gt;0)),"—")</f>
        <v/>
      </c>
      <c r="D32" s="149">
        <f>IFERROR(TEXTJOIN(", ",TRUE,FILTER(OUT!$A$8:$A$73&amp;IF(((OUT!AH$8:AH$73="T+")+(OUT!AH$8:AH$73="D+")+(OUT!AH$8:AH$73="Dt+"))*1&gt;0," BHP",""),((OUT!AH$8:AH$73="T")+(OUT!AH$8:AH$73="D")+(OUT!AH$8:AH$73="C")+(OUT!AH$8:AH$73="T+")+(OUT!AH$8:AH$73="D+")+(OUT!AH$8:AH$73="Dm+")+(OUT!AH$8:AH$73="Dt+")+(OUT!AH$8:AH$73="Tm-"))*1&gt;0)),"—")</f>
        <v/>
      </c>
      <c r="E32" s="149">
        <f>IFERROR(TEXTJOIN(", ",TRUE,FILTER(OUT!$A$8:$A$73&amp;IF(((OUT!AH$8:AH$73="N+"))*1&gt;0," BHP",""),((OUT!AH$8:AH$73="N")+(OUT!AH$8:AH$73="NT")+(OUT!AH$8:AH$73="N+"))*1&gt;0)),"—")</f>
        <v/>
      </c>
      <c r="F32" s="146">
        <f>IFERROR(TEXTJOIN(", ",TRUE,FILTER(OUT!$A$8:$A$73&amp;" BHN"&amp;IF(OUT!AH$8:AH$73="M-"," manhã",IF(OUT!AH$8:AH$73="T-"," tarde",IF(OUT!AH$8:AH$73="D-"," dia",IF(OUT!AH$8:AH$73="N-"," noite",IF(OUT!AH$8:AH$73="Tm-"," manhã"," tarde"))))),((OUT!AH$8:AH$73="D-")+(OUT!AH$8:AH$73="M-")+(OUT!AH$8:AH$73="Mt-")+(OUT!AH$8:AH$73="N-")+(OUT!AH$8:AH$73="T-")+(OUT!AH$8:AH$73="Tm-"))*1&gt;0)),"")</f>
        <v/>
      </c>
      <c r="G32" s="150">
        <f>"M"&amp;OUT!AH$75&amp;" T"&amp;OUT!AH$76&amp;" N"&amp;OUT!AH$77&amp;IF(OUT!AH$78+OUT!AH$79+OUT!AH$80=0," ✓"," ⚠ falta "&amp;(OUT!AH$78+OUT!AH$79+OUT!AH$80))</f>
        <v/>
      </c>
      <c r="H32" s="39" t="n"/>
    </row>
    <row r="33" ht="42.8" customHeight="1">
      <c r="A33" s="148" t="n">
        <v>27</v>
      </c>
      <c r="B33" s="144" t="inlineStr">
        <is>
          <t>ter</t>
        </is>
      </c>
      <c r="C33" s="149">
        <f>IFERROR(TEXTJOIN(", ",TRUE,FILTER(OUT!$A$8:$A$73&amp;IF(((OUT!AI$8:AI$73="M+")+(OUT!AI$8:AI$73="D+")+(OUT!AI$8:AI$73="Dm+"))*1&gt;0," BHP",""),((OUT!AI$8:AI$73="M")+(OUT!AI$8:AI$73="D")+(OUT!AI$8:AI$73="C")+(OUT!AI$8:AI$73="J")+(OUT!AI$8:AI$73="CEP")+(OUT!AI$8:AI$73="M+")+(OUT!AI$8:AI$73="D+")+(OUT!AI$8:AI$73="Dm+")+(OUT!AI$8:AI$73="Dt+")+(OUT!AI$8:AI$73="Mt-"))*1&gt;0)),"—")</f>
        <v/>
      </c>
      <c r="D33" s="149">
        <f>IFERROR(TEXTJOIN(", ",TRUE,FILTER(OUT!$A$8:$A$73&amp;IF(((OUT!AI$8:AI$73="T+")+(OUT!AI$8:AI$73="D+")+(OUT!AI$8:AI$73="Dt+"))*1&gt;0," BHP",""),((OUT!AI$8:AI$73="T")+(OUT!AI$8:AI$73="D")+(OUT!AI$8:AI$73="C")+(OUT!AI$8:AI$73="T+")+(OUT!AI$8:AI$73="D+")+(OUT!AI$8:AI$73="Dm+")+(OUT!AI$8:AI$73="Dt+")+(OUT!AI$8:AI$73="Tm-"))*1&gt;0)),"—")</f>
        <v/>
      </c>
      <c r="E33" s="149">
        <f>IFERROR(TEXTJOIN(", ",TRUE,FILTER(OUT!$A$8:$A$73&amp;IF(((OUT!AI$8:AI$73="N+"))*1&gt;0," BHP",""),((OUT!AI$8:AI$73="N")+(OUT!AI$8:AI$73="NT")+(OUT!AI$8:AI$73="N+"))*1&gt;0)),"—")</f>
        <v/>
      </c>
      <c r="F33" s="146">
        <f>IFERROR(TEXTJOIN(", ",TRUE,FILTER(OUT!$A$8:$A$73&amp;" BHN"&amp;IF(OUT!AI$8:AI$73="M-"," manhã",IF(OUT!AI$8:AI$73="T-"," tarde",IF(OUT!AI$8:AI$73="D-"," dia",IF(OUT!AI$8:AI$73="N-"," noite",IF(OUT!AI$8:AI$73="Tm-"," manhã"," tarde"))))),((OUT!AI$8:AI$73="D-")+(OUT!AI$8:AI$73="M-")+(OUT!AI$8:AI$73="Mt-")+(OUT!AI$8:AI$73="N-")+(OUT!AI$8:AI$73="T-")+(OUT!AI$8:AI$73="Tm-"))*1&gt;0)),"")</f>
        <v/>
      </c>
      <c r="G33" s="150">
        <f>"M"&amp;OUT!AI$75&amp;" T"&amp;OUT!AI$76&amp;" N"&amp;OUT!AI$77&amp;IF(OUT!AI$78+OUT!AI$79+OUT!AI$80=0," ✓"," ⚠ falta "&amp;(OUT!AI$78+OUT!AI$79+OUT!AI$80))</f>
        <v/>
      </c>
      <c r="H33" s="39" t="n"/>
    </row>
    <row r="34" ht="42.8" customHeight="1">
      <c r="A34" s="148" t="n">
        <v>28</v>
      </c>
      <c r="B34" s="144" t="inlineStr">
        <is>
          <t>qua</t>
        </is>
      </c>
      <c r="C34" s="149">
        <f>IFERROR(TEXTJOIN(", ",TRUE,FILTER(OUT!$A$8:$A$73&amp;IF(((OUT!AJ$8:AJ$73="M+")+(OUT!AJ$8:AJ$73="D+")+(OUT!AJ$8:AJ$73="Dm+"))*1&gt;0," BHP",""),((OUT!AJ$8:AJ$73="M")+(OUT!AJ$8:AJ$73="D")+(OUT!AJ$8:AJ$73="C")+(OUT!AJ$8:AJ$73="J")+(OUT!AJ$8:AJ$73="CEP")+(OUT!AJ$8:AJ$73="M+")+(OUT!AJ$8:AJ$73="D+")+(OUT!AJ$8:AJ$73="Dm+")+(OUT!AJ$8:AJ$73="Dt+")+(OUT!AJ$8:AJ$73="Mt-"))*1&gt;0)),"—")</f>
        <v/>
      </c>
      <c r="D34" s="149">
        <f>IFERROR(TEXTJOIN(", ",TRUE,FILTER(OUT!$A$8:$A$73&amp;IF(((OUT!AJ$8:AJ$73="T+")+(OUT!AJ$8:AJ$73="D+")+(OUT!AJ$8:AJ$73="Dt+"))*1&gt;0," BHP",""),((OUT!AJ$8:AJ$73="T")+(OUT!AJ$8:AJ$73="D")+(OUT!AJ$8:AJ$73="C")+(OUT!AJ$8:AJ$73="T+")+(OUT!AJ$8:AJ$73="D+")+(OUT!AJ$8:AJ$73="Dm+")+(OUT!AJ$8:AJ$73="Dt+")+(OUT!AJ$8:AJ$73="Tm-"))*1&gt;0)),"—")</f>
        <v/>
      </c>
      <c r="E34" s="149">
        <f>IFERROR(TEXTJOIN(", ",TRUE,FILTER(OUT!$A$8:$A$73&amp;IF(((OUT!AJ$8:AJ$73="N+"))*1&gt;0," BHP",""),((OUT!AJ$8:AJ$73="N")+(OUT!AJ$8:AJ$73="NT")+(OUT!AJ$8:AJ$73="N+"))*1&gt;0)),"—")</f>
        <v/>
      </c>
      <c r="F34" s="146">
        <f>IFERROR(TEXTJOIN(", ",TRUE,FILTER(OUT!$A$8:$A$73&amp;" BHN"&amp;IF(OUT!AJ$8:AJ$73="M-"," manhã",IF(OUT!AJ$8:AJ$73="T-"," tarde",IF(OUT!AJ$8:AJ$73="D-"," dia",IF(OUT!AJ$8:AJ$73="N-"," noite",IF(OUT!AJ$8:AJ$73="Tm-"," manhã"," tarde"))))),((OUT!AJ$8:AJ$73="D-")+(OUT!AJ$8:AJ$73="M-")+(OUT!AJ$8:AJ$73="Mt-")+(OUT!AJ$8:AJ$73="N-")+(OUT!AJ$8:AJ$73="T-")+(OUT!AJ$8:AJ$73="Tm-"))*1&gt;0)),"")</f>
        <v/>
      </c>
      <c r="G34" s="150">
        <f>"M"&amp;OUT!AJ$75&amp;" T"&amp;OUT!AJ$76&amp;" N"&amp;OUT!AJ$77&amp;IF(OUT!AJ$78+OUT!AJ$79+OUT!AJ$80=0," ✓"," ⚠ falta "&amp;(OUT!AJ$78+OUT!AJ$79+OUT!AJ$80))</f>
        <v/>
      </c>
      <c r="H34" s="39" t="n"/>
    </row>
    <row r="35" ht="42.8" customHeight="1">
      <c r="A35" s="148" t="n">
        <v>29</v>
      </c>
      <c r="B35" s="144" t="inlineStr">
        <is>
          <t>qui</t>
        </is>
      </c>
      <c r="C35" s="149">
        <f>IFERROR(TEXTJOIN(", ",TRUE,FILTER(OUT!$A$8:$A$73&amp;IF(((OUT!AK$8:AK$73="M+")+(OUT!AK$8:AK$73="D+")+(OUT!AK$8:AK$73="Dm+"))*1&gt;0," BHP",""),((OUT!AK$8:AK$73="M")+(OUT!AK$8:AK$73="D")+(OUT!AK$8:AK$73="C")+(OUT!AK$8:AK$73="J")+(OUT!AK$8:AK$73="CEP")+(OUT!AK$8:AK$73="M+")+(OUT!AK$8:AK$73="D+")+(OUT!AK$8:AK$73="Dm+")+(OUT!AK$8:AK$73="Dt+")+(OUT!AK$8:AK$73="Mt-"))*1&gt;0)),"—")</f>
        <v/>
      </c>
      <c r="D35" s="149">
        <f>IFERROR(TEXTJOIN(", ",TRUE,FILTER(OUT!$A$8:$A$73&amp;IF(((OUT!AK$8:AK$73="T+")+(OUT!AK$8:AK$73="D+")+(OUT!AK$8:AK$73="Dt+"))*1&gt;0," BHP",""),((OUT!AK$8:AK$73="T")+(OUT!AK$8:AK$73="D")+(OUT!AK$8:AK$73="C")+(OUT!AK$8:AK$73="T+")+(OUT!AK$8:AK$73="D+")+(OUT!AK$8:AK$73="Dm+")+(OUT!AK$8:AK$73="Dt+")+(OUT!AK$8:AK$73="Tm-"))*1&gt;0)),"—")</f>
        <v/>
      </c>
      <c r="E35" s="149">
        <f>IFERROR(TEXTJOIN(", ",TRUE,FILTER(OUT!$A$8:$A$73&amp;IF(((OUT!AK$8:AK$73="N+"))*1&gt;0," BHP",""),((OUT!AK$8:AK$73="N")+(OUT!AK$8:AK$73="NT")+(OUT!AK$8:AK$73="N+"))*1&gt;0)),"—")</f>
        <v/>
      </c>
      <c r="F35" s="146">
        <f>IFERROR(TEXTJOIN(", ",TRUE,FILTER(OUT!$A$8:$A$73&amp;" BHN"&amp;IF(OUT!AK$8:AK$73="M-"," manhã",IF(OUT!AK$8:AK$73="T-"," tarde",IF(OUT!AK$8:AK$73="D-"," dia",IF(OUT!AK$8:AK$73="N-"," noite",IF(OUT!AK$8:AK$73="Tm-"," manhã"," tarde"))))),((OUT!AK$8:AK$73="D-")+(OUT!AK$8:AK$73="M-")+(OUT!AK$8:AK$73="Mt-")+(OUT!AK$8:AK$73="N-")+(OUT!AK$8:AK$73="T-")+(OUT!AK$8:AK$73="Tm-"))*1&gt;0)),"")</f>
        <v/>
      </c>
      <c r="G35" s="150">
        <f>"M"&amp;OUT!AK$75&amp;" T"&amp;OUT!AK$76&amp;" N"&amp;OUT!AK$77&amp;IF(OUT!AK$78+OUT!AK$79+OUT!AK$80=0," ✓"," ⚠ falta "&amp;(OUT!AK$78+OUT!AK$79+OUT!AK$80))</f>
        <v/>
      </c>
      <c r="H35" s="39" t="n"/>
    </row>
    <row r="36" ht="42.8" customHeight="1">
      <c r="A36" s="148" t="n">
        <v>30</v>
      </c>
      <c r="B36" s="144" t="inlineStr">
        <is>
          <t>sex</t>
        </is>
      </c>
      <c r="C36" s="149">
        <f>IFERROR(TEXTJOIN(", ",TRUE,FILTER(OUT!$A$8:$A$73&amp;IF(((OUT!AL$8:AL$73="M+")+(OUT!AL$8:AL$73="D+")+(OUT!AL$8:AL$73="Dm+"))*1&gt;0," BHP",""),((OUT!AL$8:AL$73="M")+(OUT!AL$8:AL$73="D")+(OUT!AL$8:AL$73="C")+(OUT!AL$8:AL$73="J")+(OUT!AL$8:AL$73="CEP")+(OUT!AL$8:AL$73="M+")+(OUT!AL$8:AL$73="D+")+(OUT!AL$8:AL$73="Dm+")+(OUT!AL$8:AL$73="Dt+")+(OUT!AL$8:AL$73="Mt-"))*1&gt;0)),"—")</f>
        <v/>
      </c>
      <c r="D36" s="149">
        <f>IFERROR(TEXTJOIN(", ",TRUE,FILTER(OUT!$A$8:$A$73&amp;IF(((OUT!AL$8:AL$73="T+")+(OUT!AL$8:AL$73="D+")+(OUT!AL$8:AL$73="Dt+"))*1&gt;0," BHP",""),((OUT!AL$8:AL$73="T")+(OUT!AL$8:AL$73="D")+(OUT!AL$8:AL$73="C")+(OUT!AL$8:AL$73="T+")+(OUT!AL$8:AL$73="D+")+(OUT!AL$8:AL$73="Dm+")+(OUT!AL$8:AL$73="Dt+")+(OUT!AL$8:AL$73="Tm-"))*1&gt;0)),"—")</f>
        <v/>
      </c>
      <c r="E36" s="149">
        <f>IFERROR(TEXTJOIN(", ",TRUE,FILTER(OUT!$A$8:$A$73&amp;IF(((OUT!AL$8:AL$73="N+"))*1&gt;0," BHP",""),((OUT!AL$8:AL$73="N")+(OUT!AL$8:AL$73="NT")+(OUT!AL$8:AL$73="N+"))*1&gt;0)),"—")</f>
        <v/>
      </c>
      <c r="F36" s="146">
        <f>IFERROR(TEXTJOIN(", ",TRUE,FILTER(OUT!$A$8:$A$73&amp;" BHN"&amp;IF(OUT!AL$8:AL$73="M-"," manhã",IF(OUT!AL$8:AL$73="T-"," tarde",IF(OUT!AL$8:AL$73="D-"," dia",IF(OUT!AL$8:AL$73="N-"," noite",IF(OUT!AL$8:AL$73="Tm-"," manhã"," tarde"))))),((OUT!AL$8:AL$73="D-")+(OUT!AL$8:AL$73="M-")+(OUT!AL$8:AL$73="Mt-")+(OUT!AL$8:AL$73="N-")+(OUT!AL$8:AL$73="T-")+(OUT!AL$8:AL$73="Tm-"))*1&gt;0)),"")</f>
        <v/>
      </c>
      <c r="G36" s="150">
        <f>"M"&amp;OUT!AL$75&amp;" T"&amp;OUT!AL$76&amp;" N"&amp;OUT!AL$77&amp;IF(OUT!AL$78+OUT!AL$79+OUT!AL$80=0," ✓"," ⚠ falta "&amp;(OUT!AL$78+OUT!AL$79+OUT!AL$80))</f>
        <v/>
      </c>
      <c r="H36" s="39" t="n"/>
    </row>
    <row r="37" ht="31.2" customHeight="1">
      <c r="A37" s="151" t="n">
        <v>31</v>
      </c>
      <c r="B37" s="152" t="inlineStr">
        <is>
          <t>sáb</t>
        </is>
      </c>
      <c r="C37" s="153">
        <f>IFERROR(TEXTJOIN(", ",TRUE,FILTER(OUT!$A$8:$A$73&amp;IF(((OUT!AM$8:AM$73="M+")+(OUT!AM$8:AM$73="D+")+(OUT!AM$8:AM$73="Dm+"))*1&gt;0," BHP",""),((OUT!AM$8:AM$73="M")+(OUT!AM$8:AM$73="D")+(OUT!AM$8:AM$73="C")+(OUT!AM$8:AM$73="J")+(OUT!AM$8:AM$73="CEP")+(OUT!AM$8:AM$73="M+")+(OUT!AM$8:AM$73="D+")+(OUT!AM$8:AM$73="Dm+")+(OUT!AM$8:AM$73="Dt+")+(OUT!AM$8:AM$73="Mt-"))*1&gt;0)),"—")</f>
        <v/>
      </c>
      <c r="D37" s="153">
        <f>IFERROR(TEXTJOIN(", ",TRUE,FILTER(OUT!$A$8:$A$73&amp;IF(((OUT!AM$8:AM$73="T+")+(OUT!AM$8:AM$73="D+")+(OUT!AM$8:AM$73="Dt+"))*1&gt;0," BHP",""),((OUT!AM$8:AM$73="T")+(OUT!AM$8:AM$73="D")+(OUT!AM$8:AM$73="C")+(OUT!AM$8:AM$73="T+")+(OUT!AM$8:AM$73="D+")+(OUT!AM$8:AM$73="Dm+")+(OUT!AM$8:AM$73="Dt+")+(OUT!AM$8:AM$73="Tm-"))*1&gt;0)),"—")</f>
        <v/>
      </c>
      <c r="E37" s="153">
        <f>IFERROR(TEXTJOIN(", ",TRUE,FILTER(OUT!$A$8:$A$73&amp;IF(((OUT!AM$8:AM$73="N+"))*1&gt;0," BHP",""),((OUT!AM$8:AM$73="N")+(OUT!AM$8:AM$73="NT")+(OUT!AM$8:AM$73="N+"))*1&gt;0)),"—")</f>
        <v/>
      </c>
      <c r="F37" s="146">
        <f>IFERROR(TEXTJOIN(", ",TRUE,FILTER(OUT!$A$8:$A$73&amp;" BHN"&amp;IF(OUT!AM$8:AM$73="M-"," manhã",IF(OUT!AM$8:AM$73="T-"," tarde",IF(OUT!AM$8:AM$73="D-"," dia",IF(OUT!AM$8:AM$73="N-"," noite",IF(OUT!AM$8:AM$73="Tm-"," manhã"," tarde"))))),((OUT!AM$8:AM$73="D-")+(OUT!AM$8:AM$73="M-")+(OUT!AM$8:AM$73="Mt-")+(OUT!AM$8:AM$73="N-")+(OUT!AM$8:AM$73="T-")+(OUT!AM$8:AM$73="Tm-"))*1&gt;0)),"")</f>
        <v/>
      </c>
      <c r="G37" s="150">
        <f>"M"&amp;OUT!AM$75&amp;" T"&amp;OUT!AM$76&amp;" N"&amp;OUT!AM$77&amp;IF(OUT!AM$78+OUT!AM$79+OUT!AM$80=0," ✓"," ⚠ falta "&amp;(OUT!AM$78+OUT!AM$79+OUT!AM$80))</f>
        <v/>
      </c>
      <c r="H37" s="39" t="n"/>
    </row>
    <row r="38" ht="31.2" customHeight="1">
      <c r="A38" s="156" t="inlineStr">
        <is>
          <t>01/11</t>
        </is>
      </c>
      <c r="B38" s="152" t="inlineStr">
        <is>
          <t>dom</t>
        </is>
      </c>
      <c r="C38" s="145">
        <f>IFERROR(TEXTJOIN(", ",TRUE,FILTER(OUT!$A$8:$A$73&amp;IF(((OUT!AN$8:AN$73="M+")+(OUT!AN$8:AN$73="D+")+(OUT!AN$8:AN$73="Dm+"))*1&gt;0," BHP",""),((OUT!AN$8:AN$73="M")+(OUT!AN$8:AN$73="D")+(OUT!AN$8:AN$73="C")+(OUT!AN$8:AN$73="J")+(OUT!AN$8:AN$73="CEP")+(OUT!AN$8:AN$73="M+")+(OUT!AN$8:AN$73="D+")+(OUT!AN$8:AN$73="Dm+")+(OUT!AN$8:AN$73="Dt+")+(OUT!AN$8:AN$73="Mt-"))*1&gt;0)),"—")</f>
        <v/>
      </c>
      <c r="D38" s="145">
        <f>IFERROR(TEXTJOIN(", ",TRUE,FILTER(OUT!$A$8:$A$73&amp;IF(((OUT!AN$8:AN$73="T+")+(OUT!AN$8:AN$73="D+")+(OUT!AN$8:AN$73="Dt+"))*1&gt;0," BHP",""),((OUT!AN$8:AN$73="T")+(OUT!AN$8:AN$73="D")+(OUT!AN$8:AN$73="C")+(OUT!AN$8:AN$73="T+")+(OUT!AN$8:AN$73="D+")+(OUT!AN$8:AN$73="Dm+")+(OUT!AN$8:AN$73="Dt+")+(OUT!AN$8:AN$73="Tm-"))*1&gt;0)),"—")</f>
        <v/>
      </c>
      <c r="E38" s="145">
        <f>IFERROR(TEXTJOIN(", ",TRUE,FILTER(OUT!$A$8:$A$73&amp;IF(((OUT!AN$8:AN$73="N+"))*1&gt;0," BHP",""),((OUT!AN$8:AN$73="N")+(OUT!AN$8:AN$73="NT")+(OUT!AN$8:AN$73="N+"))*1&gt;0)),"—")</f>
        <v/>
      </c>
      <c r="F38" s="146">
        <f>IFERROR(TEXTJOIN(", ",TRUE,FILTER(OUT!$A$8:$A$73&amp;" BHN"&amp;IF(OUT!AN$8:AN$73="M-"," manhã",IF(OUT!AN$8:AN$73="T-"," tarde",IF(OUT!AN$8:AN$73="D-"," dia",IF(OUT!AN$8:AN$73="N-"," noite",IF(OUT!AN$8:AN$73="Tm-"," manhã"," tarde"))))),((OUT!AN$8:AN$73="D-")+(OUT!AN$8:AN$73="M-")+(OUT!AN$8:AN$73="Mt-")+(OUT!AN$8:AN$73="N-")+(OUT!AN$8:AN$73="T-")+(OUT!AN$8:AN$73="Tm-"))*1&gt;0)),"")</f>
        <v/>
      </c>
      <c r="G38" s="147">
        <f>"M"&amp;OUT!AN$75&amp;" T"&amp;OUT!AN$76&amp;" N"&amp;OUT!AN$77&amp;IF(OUT!AN$78+OUT!AN$79+OUT!AN$80=0," ✓"," ⚠ falta "&amp;(OUT!AN$78+OUT!AN$79+OUT!AN$80))</f>
        <v/>
      </c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77264"/>
    <outlinePr summaryBelow="1" summaryRight="1"/>
    <pageSetUpPr/>
  </sheetPr>
  <dimension ref="A1:F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8" customWidth="1" min="4" max="4"/>
    <col width="8" customWidth="1" min="5" max="5"/>
    <col width="110" customWidth="1" min="6" max="6"/>
  </cols>
  <sheetData>
    <row r="1">
      <c r="A1" s="38" t="inlineStr">
        <is>
          <t>Checagem de outubro · O que mudou e por quê</t>
        </is>
      </c>
      <c r="B1" s="39" t="n"/>
      <c r="C1" s="39" t="n"/>
      <c r="D1" s="39" t="n"/>
      <c r="E1" s="39" t="n"/>
      <c r="F1" s="39" t="n"/>
    </row>
    <row r="2">
      <c r="A2" s="67" t="inlineStr">
        <is>
          <t>Correções do e-mail de 28/08 aplicadas sobre a versão viva da Mari (01/09)</t>
        </is>
      </c>
      <c r="B2" s="39" t="n"/>
      <c r="C2" s="39" t="n"/>
      <c r="D2" s="39" t="n"/>
      <c r="E2" s="39" t="n"/>
      <c r="F2" s="39" t="n"/>
    </row>
    <row r="3">
      <c r="A3" s="39" t="n"/>
      <c r="B3" s="39" t="n"/>
      <c r="C3" s="39" t="n"/>
      <c r="D3" s="39" t="n"/>
      <c r="E3" s="39" t="n"/>
      <c r="F3" s="39" t="n"/>
    </row>
    <row r="4">
      <c r="A4" s="157" t="inlineStr">
        <is>
          <t>As regras que a checagem revelou (e a planilha passou a medir)</t>
        </is>
      </c>
      <c r="B4" s="39" t="n"/>
      <c r="C4" s="39" t="n"/>
      <c r="D4" s="39" t="n"/>
      <c r="E4" s="39" t="n"/>
      <c r="F4" s="39" t="n"/>
    </row>
    <row r="5">
      <c r="A5" s="43" t="inlineStr"/>
      <c r="B5" s="43" t="inlineStr">
        <is>
          <t>Regra</t>
        </is>
      </c>
      <c r="C5" s="43" t="inlineStr"/>
      <c r="D5" s="43" t="inlineStr"/>
      <c r="E5" s="43" t="inlineStr"/>
      <c r="F5" s="43" t="inlineStr">
        <is>
          <t>O que é</t>
        </is>
      </c>
    </row>
    <row r="6" ht="31.1" customHeight="1">
      <c r="A6" s="39" t="n"/>
      <c r="B6" s="158" t="inlineStr">
        <is>
          <t>Alvo por semana civil</t>
        </is>
      </c>
      <c r="C6" s="159" t="n"/>
      <c r="D6" s="159" t="n"/>
      <c r="E6" s="159" t="n"/>
      <c r="F6" s="160" t="inlineStr">
        <is>
          <t>A carga contratada fecha semana a semana (seg–dom), contando os dias de setembro/novembro que fecham a semana. Coluna BH de cada semana = horas − alvo.</t>
        </is>
      </c>
    </row>
    <row r="7" ht="31.1" customHeight="1">
      <c r="A7" s="39" t="n"/>
      <c r="B7" s="158" t="inlineStr">
        <is>
          <t>BHP/BHN grafados</t>
        </is>
      </c>
      <c r="C7" s="159" t="n"/>
      <c r="D7" s="159" t="n"/>
      <c r="E7" s="159" t="n"/>
      <c r="F7" s="160" t="inlineStr">
        <is>
          <t>Semana acima do alvo: o plantão a mais é BHP (código com +, inline). Semana abaixo: BHN (código com −, dispensa). Pode fracionar 12h em 6+6. Sem a grafia não dá pra conferir.</t>
        </is>
      </c>
    </row>
    <row r="8" ht="18.05" customHeight="1">
      <c r="A8" s="39" t="n"/>
      <c r="B8" s="158" t="inlineStr">
        <is>
          <t>40h = 42/42/36</t>
        </is>
      </c>
      <c r="C8" s="159" t="n"/>
      <c r="D8" s="159" t="n"/>
      <c r="E8" s="159" t="n"/>
      <c r="F8" s="160" t="inlineStr">
        <is>
          <t>DebAlves e MSalomão: exatamente UMA semana de 36h no mês; as outras 42h.</t>
        </is>
      </c>
    </row>
    <row r="9" ht="18.05" customHeight="1">
      <c r="A9" s="39" t="n"/>
      <c r="B9" s="158" t="inlineStr">
        <is>
          <t>Cota de fds é piso</t>
        </is>
      </c>
      <c r="C9" s="159" t="n"/>
      <c r="D9" s="159" t="n"/>
      <c r="E9" s="159" t="n"/>
      <c r="F9" s="160" t="inlineStr">
        <is>
          <t>Quem tem 24h de cota faz 24h de fds — nem mais, nem menos (IsaRibeiro).</t>
        </is>
      </c>
    </row>
    <row r="10" ht="31.1" customHeight="1">
      <c r="A10" s="39" t="n"/>
      <c r="B10" s="158" t="inlineStr">
        <is>
          <t>Regra da Kariny</t>
        </is>
      </c>
      <c r="C10" s="159" t="n"/>
      <c r="D10" s="159" t="n"/>
      <c r="E10" s="159" t="n"/>
      <c r="F10" s="160" t="inlineStr">
        <is>
          <t>Sáb + dom do mesmo fds ⇒ BHN na segunda seguinte (ou no dia útil mais cheio) e BHP na quinta anterior. Nunca 4 dias de 12h emendados.</t>
        </is>
      </c>
    </row>
    <row r="11" ht="18.05" customHeight="1">
      <c r="A11" s="39" t="n"/>
      <c r="B11" s="158" t="inlineStr">
        <is>
          <t>Nunca 24h emendadas</t>
        </is>
      </c>
      <c r="C11" s="159" t="n"/>
      <c r="D11" s="159" t="n"/>
      <c r="E11" s="159" t="n"/>
      <c r="F11" s="160" t="inlineStr">
        <is>
          <t>Noite + dia seguinte inteiro é proibido (LuAlice 01→02, Moabe 18→19 corrigidos).</t>
        </is>
      </c>
    </row>
    <row r="12" ht="18.05" customHeight="1">
      <c r="A12" s="39" t="n"/>
      <c r="B12" s="158" t="inlineStr">
        <is>
          <t>Semana de retorno de férias</t>
        </is>
      </c>
      <c r="C12" s="159" t="n"/>
      <c r="D12" s="159" t="n"/>
      <c r="E12" s="159" t="n"/>
      <c r="F12" s="160" t="inlineStr">
        <is>
          <t>Cada dia de férias na semana desconta 6h do alvo (Thamyres 24→18, Vinicius 36→30).</t>
        </is>
      </c>
    </row>
    <row r="13" ht="18.05" customHeight="1">
      <c r="A13" s="39" t="n"/>
      <c r="B13" s="158" t="inlineStr">
        <is>
          <t>Senior</t>
        </is>
      </c>
      <c r="C13" s="159" t="n"/>
      <c r="D13" s="159" t="n"/>
      <c r="E13" s="159" t="n"/>
      <c r="F13" s="160" t="inlineStr">
        <is>
          <t>BHP não é digitado. BHN aparece como plantão normal.</t>
        </is>
      </c>
    </row>
    <row r="14">
      <c r="A14" s="39" t="n"/>
      <c r="B14" s="39" t="n"/>
      <c r="C14" s="39" t="n"/>
      <c r="D14" s="39" t="n"/>
      <c r="E14" s="39" t="n"/>
      <c r="F14" s="39" t="n"/>
    </row>
    <row r="15">
      <c r="A15" s="157" t="inlineStr">
        <is>
          <t>Célula a célula — o que mudou na aba OUT</t>
        </is>
      </c>
      <c r="B15" s="39" t="n"/>
      <c r="C15" s="39" t="n"/>
      <c r="D15" s="39" t="n"/>
      <c r="E15" s="39" t="n"/>
      <c r="F15" s="39" t="n"/>
    </row>
    <row r="16">
      <c r="A16" s="43" t="inlineStr">
        <is>
          <t>Item</t>
        </is>
      </c>
      <c r="B16" s="43" t="inlineStr">
        <is>
          <t>Médico</t>
        </is>
      </c>
      <c r="C16" s="43" t="inlineStr">
        <is>
          <t>Dia</t>
        </is>
      </c>
      <c r="D16" s="43" t="inlineStr">
        <is>
          <t>Estava</t>
        </is>
      </c>
      <c r="E16" s="43" t="inlineStr">
        <is>
          <t>Ficou</t>
        </is>
      </c>
      <c r="F16" s="43" t="inlineStr">
        <is>
          <t>Por quê</t>
        </is>
      </c>
    </row>
    <row r="17" ht="18.05" customHeight="1">
      <c r="A17" s="161" t="n">
        <v>2</v>
      </c>
      <c r="B17" s="162" t="inlineStr">
        <is>
          <t>Anna</t>
        </is>
      </c>
      <c r="C17" s="161" t="inlineStr">
        <is>
          <t>03/10</t>
        </is>
      </c>
      <c r="D17" s="161" t="inlineStr">
        <is>
          <t>N</t>
        </is>
      </c>
      <c r="E17" s="163" t="inlineStr">
        <is>
          <t>N+</t>
        </is>
      </c>
      <c r="F17" s="164" t="inlineStr">
        <is>
          <t>sáb 03/10 é BHP (a semana já tinha 24h de setembro)</t>
        </is>
      </c>
    </row>
    <row r="18" ht="18.05" customHeight="1">
      <c r="A18" s="161" t="n">
        <v>2</v>
      </c>
      <c r="B18" s="162" t="inlineStr">
        <is>
          <t>Anna</t>
        </is>
      </c>
      <c r="C18" s="161" t="inlineStr">
        <is>
          <t>14/10</t>
        </is>
      </c>
      <c r="D18" s="161" t="inlineStr">
        <is>
          <t>D</t>
        </is>
      </c>
      <c r="E18" s="165" t="inlineStr">
        <is>
          <t>D-</t>
        </is>
      </c>
      <c r="F18" s="164" t="inlineStr">
        <is>
          <t>BHN de 12h na Sem 3 pagando o BHP do dia 03 — 14/10 tinha folga de cobertura (M20/T14)</t>
        </is>
      </c>
    </row>
    <row r="19" ht="18.05" customHeight="1">
      <c r="A19" s="161" t="n">
        <v>3</v>
      </c>
      <c r="B19" s="162" t="inlineStr">
        <is>
          <t>Beatriz</t>
        </is>
      </c>
      <c r="C19" s="161" t="inlineStr">
        <is>
          <t>05/10</t>
        </is>
      </c>
      <c r="D19" s="161" t="inlineStr">
        <is>
          <t>D</t>
        </is>
      </c>
      <c r="E19" s="163" t="inlineStr">
        <is>
          <t>Dm+</t>
        </is>
      </c>
      <c r="F19" s="164" t="inlineStr">
        <is>
          <t>05/10: a manhã é BHP (Sem 2 fecha em 30h contra 24)</t>
        </is>
      </c>
    </row>
    <row r="20" ht="18.05" customHeight="1">
      <c r="A20" s="161" t="n">
        <v>3</v>
      </c>
      <c r="B20" s="162" t="inlineStr">
        <is>
          <t>Beatriz</t>
        </is>
      </c>
      <c r="C20" s="161" t="inlineStr">
        <is>
          <t>14/10</t>
        </is>
      </c>
      <c r="D20" s="161" t="inlineStr">
        <is>
          <t>—</t>
        </is>
      </c>
      <c r="E20" s="165" t="inlineStr">
        <is>
          <t>M-</t>
        </is>
      </c>
      <c r="F20" s="164" t="inlineStr">
        <is>
          <t>14/10 manhã: BHN 'lá embaixo' (Sem 3 fecha em 18h + 6h de dispensa)</t>
        </is>
      </c>
    </row>
    <row r="21" ht="18.05" customHeight="1">
      <c r="A21" s="161" t="n">
        <v>5</v>
      </c>
      <c r="B21" s="162" t="inlineStr">
        <is>
          <t>DebMatias</t>
        </is>
      </c>
      <c r="C21" s="161" t="inlineStr">
        <is>
          <t>01/10</t>
        </is>
      </c>
      <c r="D21" s="161" t="inlineStr">
        <is>
          <t>T</t>
        </is>
      </c>
      <c r="E21" s="162" t="inlineStr">
        <is>
          <t>—</t>
        </is>
      </c>
      <c r="F21" s="164" t="inlineStr">
        <is>
          <t>Sem 1 estava em 30h; a Kariny assume a tarde de 01/10 (item 8)</t>
        </is>
      </c>
    </row>
    <row r="22" ht="18.05" customHeight="1">
      <c r="A22" s="161" t="n">
        <v>6</v>
      </c>
      <c r="B22" s="162" t="inlineStr">
        <is>
          <t>DebAlves</t>
        </is>
      </c>
      <c r="C22" s="161" t="inlineStr">
        <is>
          <t>15/10</t>
        </is>
      </c>
      <c r="D22" s="161" t="inlineStr">
        <is>
          <t>T</t>
        </is>
      </c>
      <c r="E22" s="162" t="inlineStr">
        <is>
          <t>D</t>
        </is>
      </c>
      <c r="F22" s="164" t="inlineStr">
        <is>
          <t>qui 15/10 vira D (+6h): tarde de completude na quinta é o padrão dela; a Sem 5 fica como a única de 36h</t>
        </is>
      </c>
    </row>
    <row r="23" ht="18.05" customHeight="1">
      <c r="A23" s="161" t="n">
        <v>7</v>
      </c>
      <c r="B23" s="162" t="inlineStr">
        <is>
          <t>Amelio</t>
        </is>
      </c>
      <c r="C23" s="161" t="inlineStr">
        <is>
          <t>03/10</t>
        </is>
      </c>
      <c r="D23" s="161" t="inlineStr">
        <is>
          <t>D</t>
        </is>
      </c>
      <c r="E23" s="163" t="inlineStr">
        <is>
          <t>D+</t>
        </is>
      </c>
      <c r="F23" s="164" t="inlineStr">
        <is>
          <t>Sem 1 = 48h: o D de sábado 03 é BHP</t>
        </is>
      </c>
    </row>
    <row r="24" ht="18.05" customHeight="1">
      <c r="A24" s="161" t="n">
        <v>7</v>
      </c>
      <c r="B24" s="162" t="inlineStr">
        <is>
          <t>Amelio</t>
        </is>
      </c>
      <c r="C24" s="161" t="inlineStr">
        <is>
          <t>17/10</t>
        </is>
      </c>
      <c r="D24" s="161" t="inlineStr">
        <is>
          <t>D</t>
        </is>
      </c>
      <c r="E24" s="163" t="inlineStr">
        <is>
          <t>D+</t>
        </is>
      </c>
      <c r="F24" s="164" t="inlineStr">
        <is>
          <t>Sem 3 = 48h: o D de sábado 17 é BHP</t>
        </is>
      </c>
    </row>
    <row r="25" ht="18.05" customHeight="1">
      <c r="A25" s="161" t="n">
        <v>7</v>
      </c>
      <c r="B25" s="162" t="inlineStr">
        <is>
          <t>Amelio</t>
        </is>
      </c>
      <c r="C25" s="161" t="inlineStr">
        <is>
          <t>26/10</t>
        </is>
      </c>
      <c r="D25" s="161" t="inlineStr">
        <is>
          <t>—</t>
        </is>
      </c>
      <c r="E25" s="165" t="inlineStr">
        <is>
          <t>M-</t>
        </is>
      </c>
      <c r="F25" s="164" t="inlineStr">
        <is>
          <t>fora 24–31/10: BHN de 24h pagando os dois BHP (seg)</t>
        </is>
      </c>
    </row>
    <row r="26" ht="18.05" customHeight="1">
      <c r="A26" s="161" t="n">
        <v>7</v>
      </c>
      <c r="B26" s="162" t="inlineStr">
        <is>
          <t>Amelio</t>
        </is>
      </c>
      <c r="C26" s="161" t="inlineStr">
        <is>
          <t>27/10</t>
        </is>
      </c>
      <c r="D26" s="161" t="inlineStr">
        <is>
          <t>—</t>
        </is>
      </c>
      <c r="E26" s="165" t="inlineStr">
        <is>
          <t>M-</t>
        </is>
      </c>
      <c r="F26" s="164" t="inlineStr">
        <is>
          <t>fora 24–31/10: BHN (ter)</t>
        </is>
      </c>
    </row>
    <row r="27" ht="18.05" customHeight="1">
      <c r="A27" s="161" t="n">
        <v>7</v>
      </c>
      <c r="B27" s="162" t="inlineStr">
        <is>
          <t>Amelio</t>
        </is>
      </c>
      <c r="C27" s="161" t="inlineStr">
        <is>
          <t>28/10</t>
        </is>
      </c>
      <c r="D27" s="161" t="inlineStr">
        <is>
          <t>—</t>
        </is>
      </c>
      <c r="E27" s="165" t="inlineStr">
        <is>
          <t>M-</t>
        </is>
      </c>
      <c r="F27" s="164" t="inlineStr">
        <is>
          <t>fora 24–31/10: BHN (qua)</t>
        </is>
      </c>
    </row>
    <row r="28" ht="18.05" customHeight="1">
      <c r="A28" s="161" t="n">
        <v>7</v>
      </c>
      <c r="B28" s="162" t="inlineStr">
        <is>
          <t>Amelio</t>
        </is>
      </c>
      <c r="C28" s="161" t="inlineStr">
        <is>
          <t>29/10</t>
        </is>
      </c>
      <c r="D28" s="161" t="inlineStr">
        <is>
          <t>—</t>
        </is>
      </c>
      <c r="E28" s="165" t="inlineStr">
        <is>
          <t>M-</t>
        </is>
      </c>
      <c r="F28" s="164" t="inlineStr">
        <is>
          <t>fora 24–31/10: BHN (qui)</t>
        </is>
      </c>
    </row>
    <row r="29" ht="18.05" customHeight="1">
      <c r="A29" s="161" t="n">
        <v>8</v>
      </c>
      <c r="B29" s="162" t="inlineStr">
        <is>
          <t>Kariny</t>
        </is>
      </c>
      <c r="C29" s="161" t="inlineStr">
        <is>
          <t>01/10</t>
        </is>
      </c>
      <c r="D29" s="161" t="inlineStr">
        <is>
          <t>—</t>
        </is>
      </c>
      <c r="E29" s="163" t="inlineStr">
        <is>
          <t>D+</t>
        </is>
      </c>
      <c r="F29" s="164" t="inlineStr">
        <is>
          <t>qui 01/10 manhã e tarde como BHP (cobre a tarde que a DebMatias larga)</t>
        </is>
      </c>
    </row>
    <row r="30" ht="18.05" customHeight="1">
      <c r="A30" s="161" t="n">
        <v>8</v>
      </c>
      <c r="B30" s="162" t="inlineStr">
        <is>
          <t>Kariny</t>
        </is>
      </c>
      <c r="C30" s="161" t="inlineStr">
        <is>
          <t>06/10</t>
        </is>
      </c>
      <c r="D30" s="161" t="inlineStr">
        <is>
          <t>D</t>
        </is>
      </c>
      <c r="E30" s="165" t="inlineStr">
        <is>
          <t>D-</t>
        </is>
      </c>
      <c r="F30" s="164" t="inlineStr">
        <is>
          <t>BHN em 06/10 (dia mais cheio da semana: M19/T11) em vez da segunda 05</t>
        </is>
      </c>
    </row>
    <row r="31" ht="18.05" customHeight="1">
      <c r="A31" s="161" t="n">
        <v>9</v>
      </c>
      <c r="B31" s="162" t="inlineStr">
        <is>
          <t>Fernando</t>
        </is>
      </c>
      <c r="C31" s="161" t="inlineStr">
        <is>
          <t>17/10</t>
        </is>
      </c>
      <c r="D31" s="161" t="inlineStr">
        <is>
          <t>—</t>
        </is>
      </c>
      <c r="E31" s="165" t="inlineStr">
        <is>
          <t>M-</t>
        </is>
      </c>
      <c r="F31" s="164" t="inlineStr">
        <is>
          <t>sáb 17/10 manhã: BHN (a manhã foi trocada pro dom 04) — Sem 3 fecha em 24h</t>
        </is>
      </c>
    </row>
    <row r="32" ht="18.05" customHeight="1">
      <c r="A32" s="161" t="n">
        <v>9</v>
      </c>
      <c r="B32" s="162" t="inlineStr">
        <is>
          <t>Fernando</t>
        </is>
      </c>
      <c r="C32" s="161" t="inlineStr">
        <is>
          <t>25/10</t>
        </is>
      </c>
      <c r="D32" s="161" t="inlineStr">
        <is>
          <t>M</t>
        </is>
      </c>
      <c r="E32" s="163" t="inlineStr">
        <is>
          <t>M+</t>
        </is>
      </c>
      <c r="F32" s="164" t="inlineStr">
        <is>
          <t>dom 25/10 manhã é BHP — Sem 4 fecha em 36h contra 30</t>
        </is>
      </c>
    </row>
    <row r="33" ht="31.1" customHeight="1">
      <c r="A33" s="161" t="n">
        <v>10</v>
      </c>
      <c r="B33" s="162" t="inlineStr">
        <is>
          <t>Isabella</t>
        </is>
      </c>
      <c r="C33" s="161" t="inlineStr">
        <is>
          <t>02/10</t>
        </is>
      </c>
      <c r="D33" s="161" t="inlineStr">
        <is>
          <t>—</t>
        </is>
      </c>
      <c r="E33" s="162" t="inlineStr">
        <is>
          <t>T</t>
        </is>
      </c>
      <c r="F33" s="164" t="inlineStr">
        <is>
          <t>sex 02/10 tarde, como pedido ('ela entra na tarde que vaga'). ATENÇÃO: ela estava de férias até seg 28/09, e com o desconto do dia a Sem 1 já fechava em 30h — com esta tarde fica +6 (BHP). Se o desconto valer, tirar</t>
        </is>
      </c>
    </row>
    <row r="34" ht="18.05" customHeight="1">
      <c r="A34" s="161" t="n">
        <v>11</v>
      </c>
      <c r="B34" s="162" t="inlineStr">
        <is>
          <t>IsaRibeiro</t>
        </is>
      </c>
      <c r="C34" s="161" t="inlineStr">
        <is>
          <t>07/10</t>
        </is>
      </c>
      <c r="D34" s="161" t="inlineStr">
        <is>
          <t>T</t>
        </is>
      </c>
      <c r="E34" s="162" t="inlineStr">
        <is>
          <t>—</t>
        </is>
      </c>
      <c r="F34" s="164" t="inlineStr">
        <is>
          <t>sai da tarde de qua 07/10 (T12, sobrava) …</t>
        </is>
      </c>
    </row>
    <row r="35" ht="18.05" customHeight="1">
      <c r="A35" s="161" t="n">
        <v>11</v>
      </c>
      <c r="B35" s="162" t="inlineStr">
        <is>
          <t>IsaRibeiro</t>
        </is>
      </c>
      <c r="C35" s="161" t="inlineStr">
        <is>
          <t>11/10</t>
        </is>
      </c>
      <c r="D35" s="161" t="inlineStr">
        <is>
          <t>—</t>
        </is>
      </c>
      <c r="E35" s="162" t="inlineStr">
        <is>
          <t>T</t>
        </is>
      </c>
      <c r="F35" s="164" t="inlineStr">
        <is>
          <t>… e entra na tarde de dom 11/10, que estava com buraco (T7/8) — fds fecha em 24h</t>
        </is>
      </c>
    </row>
    <row r="36" ht="18.05" customHeight="1">
      <c r="A36" s="161" t="n">
        <v>13</v>
      </c>
      <c r="B36" s="162" t="inlineStr">
        <is>
          <t>Laura</t>
        </is>
      </c>
      <c r="C36" s="161" t="inlineStr">
        <is>
          <t>04/10</t>
        </is>
      </c>
      <c r="D36" s="161" t="inlineStr">
        <is>
          <t>T</t>
        </is>
      </c>
      <c r="E36" s="163" t="inlineStr">
        <is>
          <t>T+</t>
        </is>
      </c>
      <c r="F36" s="164" t="inlineStr">
        <is>
          <t>Sem 1 = 30h: o dom 04 tarde é BHP (tirar abriria buraco na tarde de domingo)</t>
        </is>
      </c>
    </row>
    <row r="37" ht="18.05" customHeight="1">
      <c r="A37" s="161" t="n">
        <v>13</v>
      </c>
      <c r="B37" s="162" t="inlineStr">
        <is>
          <t>Laura</t>
        </is>
      </c>
      <c r="C37" s="161" t="inlineStr">
        <is>
          <t>08/10</t>
        </is>
      </c>
      <c r="D37" s="161" t="inlineStr">
        <is>
          <t>—</t>
        </is>
      </c>
      <c r="E37" s="165" t="inlineStr">
        <is>
          <t>M-</t>
        </is>
      </c>
      <c r="F37" s="164" t="inlineStr">
        <is>
          <t>qui 08/10 manhã: BHN pagando o BHP do dia 04 — Sem 2 fecha em 18h + 6h</t>
        </is>
      </c>
    </row>
    <row r="38" ht="18.05" customHeight="1">
      <c r="A38" s="161" t="n">
        <v>13</v>
      </c>
      <c r="B38" s="162" t="inlineStr">
        <is>
          <t>Laura</t>
        </is>
      </c>
      <c r="C38" s="161" t="inlineStr">
        <is>
          <t>16/10</t>
        </is>
      </c>
      <c r="D38" s="161" t="inlineStr">
        <is>
          <t>—</t>
        </is>
      </c>
      <c r="E38" s="162" t="inlineStr">
        <is>
          <t>M</t>
        </is>
      </c>
      <c r="F38" s="164" t="inlineStr">
        <is>
          <t>sex 16/10 manhã — Sem 3 sobe de 18h pra 24h (M14 → 15)</t>
        </is>
      </c>
    </row>
    <row r="39" ht="18.05" customHeight="1">
      <c r="A39" s="161" t="n">
        <v>14</v>
      </c>
      <c r="B39" s="162" t="inlineStr">
        <is>
          <t>LuAlice</t>
        </is>
      </c>
      <c r="C39" s="161" t="inlineStr">
        <is>
          <t>02/10</t>
        </is>
      </c>
      <c r="D39" s="161" t="inlineStr">
        <is>
          <t>D</t>
        </is>
      </c>
      <c r="E39" s="162" t="inlineStr">
        <is>
          <t>CRO</t>
        </is>
      </c>
      <c r="F39" s="164" t="inlineStr">
        <is>
          <t>tarde de CRO em vez do D (a noite de 01 acaba às 7h; CRO começa às 13h)</t>
        </is>
      </c>
    </row>
    <row r="40" ht="18.05" customHeight="1">
      <c r="A40" s="161" t="n">
        <v>14</v>
      </c>
      <c r="B40" s="162" t="inlineStr">
        <is>
          <t>LuAlice</t>
        </is>
      </c>
      <c r="C40" s="161" t="inlineStr">
        <is>
          <t>09/10</t>
        </is>
      </c>
      <c r="D40" s="161" t="inlineStr">
        <is>
          <t>—</t>
        </is>
      </c>
      <c r="E40" s="162" t="inlineStr">
        <is>
          <t>CRO</t>
        </is>
      </c>
      <c r="F40" s="164" t="inlineStr">
        <is>
          <t>2º período de CRO do mês — DIA A CONFIRMAR com ela</t>
        </is>
      </c>
    </row>
    <row r="41" ht="18.05" customHeight="1">
      <c r="A41" s="161" t="n">
        <v>15</v>
      </c>
      <c r="B41" s="162" t="inlineStr">
        <is>
          <t>Marcia</t>
        </is>
      </c>
      <c r="C41" s="161" t="inlineStr">
        <is>
          <t>02/10</t>
        </is>
      </c>
      <c r="D41" s="161" t="inlineStr">
        <is>
          <t>N</t>
        </is>
      </c>
      <c r="E41" s="163" t="inlineStr">
        <is>
          <t>N+</t>
        </is>
      </c>
      <c r="F41" s="164" t="inlineStr">
        <is>
          <t>sexta-noite 02/10 é BHP</t>
        </is>
      </c>
    </row>
    <row r="42" ht="18.05" customHeight="1">
      <c r="A42" s="161" t="n">
        <v>15</v>
      </c>
      <c r="B42" s="162" t="inlineStr">
        <is>
          <t>Marcia</t>
        </is>
      </c>
      <c r="C42" s="161" t="inlineStr">
        <is>
          <t>14/10</t>
        </is>
      </c>
      <c r="D42" s="161" t="inlineStr">
        <is>
          <t>N</t>
        </is>
      </c>
      <c r="E42" s="165" t="inlineStr">
        <is>
          <t>N-</t>
        </is>
      </c>
      <c r="F42" s="164" t="inlineStr">
        <is>
          <t>qua 14/10 noite: BHN de 12h pagando (N9/7 no dia, sobrava)</t>
        </is>
      </c>
    </row>
    <row r="43" ht="18.05" customHeight="1">
      <c r="A43" s="161" t="n">
        <v>16</v>
      </c>
      <c r="B43" s="162" t="inlineStr">
        <is>
          <t>Neyde</t>
        </is>
      </c>
      <c r="C43" s="161" t="inlineStr">
        <is>
          <t>04/10</t>
        </is>
      </c>
      <c r="D43" s="161" t="inlineStr">
        <is>
          <t>N</t>
        </is>
      </c>
      <c r="E43" s="163" t="inlineStr">
        <is>
          <t>N+</t>
        </is>
      </c>
      <c r="F43" s="164" t="inlineStr">
        <is>
          <t>dom 04/10 noite é BHP (Sem 1 = 48h com as 3 noites de setembro)</t>
        </is>
      </c>
    </row>
    <row r="44" ht="18.05" customHeight="1">
      <c r="A44" s="161" t="n">
        <v>16</v>
      </c>
      <c r="B44" s="162" t="inlineStr">
        <is>
          <t>Neyde</t>
        </is>
      </c>
      <c r="C44" s="161" t="inlineStr">
        <is>
          <t>17/10</t>
        </is>
      </c>
      <c r="D44" s="161" t="inlineStr">
        <is>
          <t>—</t>
        </is>
      </c>
      <c r="E44" s="165" t="inlineStr">
        <is>
          <t>N-</t>
        </is>
      </c>
      <c r="F44" s="164" t="inlineStr">
        <is>
          <t>sáb 17/10 noite: BHN lançado como dispensa, como pedido</t>
        </is>
      </c>
    </row>
    <row r="45" ht="18.05" customHeight="1">
      <c r="A45" s="161" t="n">
        <v>17</v>
      </c>
      <c r="B45" s="162" t="inlineStr">
        <is>
          <t>Melara</t>
        </is>
      </c>
      <c r="C45" s="161" t="inlineStr">
        <is>
          <t>04/10</t>
        </is>
      </c>
      <c r="D45" s="161" t="inlineStr">
        <is>
          <t>T</t>
        </is>
      </c>
      <c r="E45" s="163" t="inlineStr">
        <is>
          <t>T+</t>
        </is>
      </c>
      <c r="F45" s="164" t="inlineStr">
        <is>
          <t>dom 04/10 tarde é BHP (Sem 1 = 30h)</t>
        </is>
      </c>
    </row>
    <row r="46" ht="18.05" customHeight="1">
      <c r="A46" s="161" t="n">
        <v>17</v>
      </c>
      <c r="B46" s="162" t="inlineStr">
        <is>
          <t>Melara</t>
        </is>
      </c>
      <c r="C46" s="161" t="inlineStr">
        <is>
          <t>27/10</t>
        </is>
      </c>
      <c r="D46" s="161" t="inlineStr">
        <is>
          <t>—</t>
        </is>
      </c>
      <c r="E46" s="165" t="inlineStr">
        <is>
          <t>T-</t>
        </is>
      </c>
      <c r="F46" s="164" t="inlineStr">
        <is>
          <t>ter 27/10 tarde: BHN pagando (Sem 5 fecha em 18h + 6h)</t>
        </is>
      </c>
    </row>
    <row r="47" ht="18.05" customHeight="1">
      <c r="A47" s="161" t="n">
        <v>18</v>
      </c>
      <c r="B47" s="162" t="inlineStr">
        <is>
          <t>MSalomão</t>
        </is>
      </c>
      <c r="C47" s="161" t="inlineStr">
        <is>
          <t>01/10</t>
        </is>
      </c>
      <c r="D47" s="161" t="inlineStr">
        <is>
          <t>M</t>
        </is>
      </c>
      <c r="E47" s="162" t="inlineStr">
        <is>
          <t>D</t>
        </is>
      </c>
      <c r="F47" s="164" t="inlineStr">
        <is>
          <t>qui 01/10 vira D — a Sem 1 fecha em 42h (o e-mail dela dizia 42)</t>
        </is>
      </c>
    </row>
    <row r="48" ht="18.05" customHeight="1">
      <c r="A48" s="161" t="n">
        <v>18</v>
      </c>
      <c r="B48" s="162" t="inlineStr">
        <is>
          <t>MSalomão</t>
        </is>
      </c>
      <c r="C48" s="161" t="inlineStr">
        <is>
          <t>09/10</t>
        </is>
      </c>
      <c r="D48" s="161" t="inlineStr">
        <is>
          <t>M</t>
        </is>
      </c>
      <c r="E48" s="162" t="inlineStr">
        <is>
          <t>D</t>
        </is>
      </c>
      <c r="F48" s="164" t="inlineStr">
        <is>
          <t>sex 09/10 vira D — a Sem 2 fecha em 42h; a Sem 5 fica como a única de 36h</t>
        </is>
      </c>
    </row>
    <row r="49" ht="18.05" customHeight="1">
      <c r="A49" s="161" t="n">
        <v>19</v>
      </c>
      <c r="B49" s="162" t="inlineStr">
        <is>
          <t>Mayana</t>
        </is>
      </c>
      <c r="C49" s="161" t="inlineStr">
        <is>
          <t>02/10</t>
        </is>
      </c>
      <c r="D49" s="161" t="inlineStr">
        <is>
          <t>—</t>
        </is>
      </c>
      <c r="E49" s="162" t="inlineStr">
        <is>
          <t>M</t>
        </is>
      </c>
      <c r="F49" s="164" t="inlineStr">
        <is>
          <t>sex 02/10 manhã — fecha a Sem 1 em 36h e repõe a manhã que a LuAlice larga (item 14)</t>
        </is>
      </c>
    </row>
    <row r="50" ht="18.05" customHeight="1">
      <c r="A50" s="161" t="n">
        <v>20</v>
      </c>
      <c r="B50" s="162" t="inlineStr">
        <is>
          <t>MayWobido</t>
        </is>
      </c>
      <c r="C50" s="161" t="inlineStr">
        <is>
          <t>10/10</t>
        </is>
      </c>
      <c r="D50" s="161" t="inlineStr">
        <is>
          <t>N</t>
        </is>
      </c>
      <c r="E50" s="163" t="inlineStr">
        <is>
          <t>N+</t>
        </is>
      </c>
      <c r="F50" s="164" t="inlineStr">
        <is>
          <t>sáb 10/10 noite é BHP (Sem 2 = 36h)</t>
        </is>
      </c>
    </row>
    <row r="51" ht="18.05" customHeight="1">
      <c r="A51" s="161" t="n">
        <v>20</v>
      </c>
      <c r="B51" s="162" t="inlineStr">
        <is>
          <t>MayWobido</t>
        </is>
      </c>
      <c r="C51" s="161" t="inlineStr">
        <is>
          <t>29/10</t>
        </is>
      </c>
      <c r="D51" s="161" t="inlineStr">
        <is>
          <t>—</t>
        </is>
      </c>
      <c r="E51" s="165" t="inlineStr">
        <is>
          <t>T-</t>
        </is>
      </c>
      <c r="F51" s="164" t="inlineStr">
        <is>
          <t>qui 29/10 tarde: BHN pagando (Sem 5 fecha em 18h + 6h)</t>
        </is>
      </c>
    </row>
    <row r="52" ht="18.05" customHeight="1">
      <c r="A52" s="161" t="n">
        <v>21</v>
      </c>
      <c r="B52" s="162" t="inlineStr">
        <is>
          <t>Moabe</t>
        </is>
      </c>
      <c r="C52" s="161" t="inlineStr">
        <is>
          <t>03/10</t>
        </is>
      </c>
      <c r="D52" s="161" t="inlineStr">
        <is>
          <t>D</t>
        </is>
      </c>
      <c r="E52" s="163" t="inlineStr">
        <is>
          <t>D+</t>
        </is>
      </c>
      <c r="F52" s="164" t="inlineStr">
        <is>
          <t>sáb 03/10 é BHP (Sem 1 = 36h com 28 D e 30 N de setembro)</t>
        </is>
      </c>
    </row>
    <row r="53" ht="18.05" customHeight="1">
      <c r="A53" s="161" t="n">
        <v>21</v>
      </c>
      <c r="B53" s="162" t="inlineStr">
        <is>
          <t>Moabe</t>
        </is>
      </c>
      <c r="C53" s="161" t="inlineStr">
        <is>
          <t>08/10</t>
        </is>
      </c>
      <c r="D53" s="161" t="inlineStr">
        <is>
          <t>—</t>
        </is>
      </c>
      <c r="E53" s="165" t="inlineStr">
        <is>
          <t>D-</t>
        </is>
      </c>
      <c r="F53" s="164" t="inlineStr">
        <is>
          <t>qui 08/10: BHN de 12h pagando (Sem 2 tinha só 12h)</t>
        </is>
      </c>
    </row>
    <row r="54" ht="18.05" customHeight="1">
      <c r="A54" s="161" t="n">
        <v>21</v>
      </c>
      <c r="B54" s="162" t="inlineStr">
        <is>
          <t>Moabe</t>
        </is>
      </c>
      <c r="C54" s="161" t="inlineStr">
        <is>
          <t>18/10</t>
        </is>
      </c>
      <c r="D54" s="161" t="inlineStr">
        <is>
          <t>N</t>
        </is>
      </c>
      <c r="E54" s="162" t="inlineStr">
        <is>
          <t>—</t>
        </is>
      </c>
      <c r="F54" s="164" t="inlineStr">
        <is>
          <t>18 N + 19 D eram 24h emendadas: a noite sai do domingo …</t>
        </is>
      </c>
    </row>
    <row r="55" ht="18.05" customHeight="1">
      <c r="A55" s="161" t="n">
        <v>21</v>
      </c>
      <c r="B55" s="162" t="inlineStr">
        <is>
          <t>Moabe</t>
        </is>
      </c>
      <c r="C55" s="161" t="inlineStr">
        <is>
          <t>17/10</t>
        </is>
      </c>
      <c r="D55" s="161" t="inlineStr">
        <is>
          <t>—</t>
        </is>
      </c>
      <c r="E55" s="162" t="inlineStr">
        <is>
          <t>N</t>
        </is>
      </c>
      <c r="F55" s="164" t="inlineStr">
        <is>
          <t>… e vai pro sábado 17, que estava com N5/7. ATENÇÃO: o dom 18 fica com N6/7 — precisa de alguém</t>
        </is>
      </c>
    </row>
    <row r="56" ht="18.05" customHeight="1">
      <c r="A56" s="161" t="n">
        <v>22</v>
      </c>
      <c r="B56" s="162" t="inlineStr">
        <is>
          <t>Thamyres</t>
        </is>
      </c>
      <c r="C56" s="161" t="inlineStr">
        <is>
          <t>10/10</t>
        </is>
      </c>
      <c r="D56" s="161" t="inlineStr">
        <is>
          <t>T</t>
        </is>
      </c>
      <c r="E56" s="163" t="inlineStr">
        <is>
          <t>T+</t>
        </is>
      </c>
      <c r="F56" s="164" t="inlineStr">
        <is>
          <t>Sem 2 = 24h contra 18 (retorno de férias): a tarde de sáb 10 é BHP</t>
        </is>
      </c>
    </row>
    <row r="57" ht="18.05" customHeight="1">
      <c r="A57" s="161" t="n">
        <v>22</v>
      </c>
      <c r="B57" s="162" t="inlineStr">
        <is>
          <t>Thamyres</t>
        </is>
      </c>
      <c r="C57" s="161" t="inlineStr">
        <is>
          <t>14/10</t>
        </is>
      </c>
      <c r="D57" s="161" t="inlineStr">
        <is>
          <t>—</t>
        </is>
      </c>
      <c r="E57" s="165" t="inlineStr">
        <is>
          <t>D-</t>
        </is>
      </c>
      <c r="F57" s="164" t="inlineStr">
        <is>
          <t>Sem 3 = 12h: BHN de 12h na qua 14</t>
        </is>
      </c>
    </row>
    <row r="58" ht="18.05" customHeight="1">
      <c r="A58" s="161" t="n">
        <v>22</v>
      </c>
      <c r="B58" s="162" t="inlineStr">
        <is>
          <t>Thamyres</t>
        </is>
      </c>
      <c r="C58" s="161" t="inlineStr">
        <is>
          <t>25/10</t>
        </is>
      </c>
      <c r="D58" s="161" t="inlineStr">
        <is>
          <t>T</t>
        </is>
      </c>
      <c r="E58" s="163" t="inlineStr">
        <is>
          <t>T+</t>
        </is>
      </c>
      <c r="F58" s="164" t="inlineStr">
        <is>
          <t>Sem 4 = 30h: a tarde de dom 25 é BHP</t>
        </is>
      </c>
    </row>
    <row r="59" ht="18.05" customHeight="1">
      <c r="A59" s="161" t="n">
        <v>22</v>
      </c>
      <c r="B59" s="162" t="inlineStr">
        <is>
          <t>Thamyres</t>
        </is>
      </c>
      <c r="C59" s="161" t="inlineStr">
        <is>
          <t>28/10</t>
        </is>
      </c>
      <c r="D59" s="161" t="inlineStr">
        <is>
          <t>T</t>
        </is>
      </c>
      <c r="E59" s="163" t="inlineStr">
        <is>
          <t>T+</t>
        </is>
      </c>
      <c r="F59" s="164" t="inlineStr">
        <is>
          <t>Sem 5 = 30h: a tarde de qua 28 é BHP</t>
        </is>
      </c>
    </row>
    <row r="60" ht="18.05" customHeight="1">
      <c r="A60" s="161" t="n">
        <v>23</v>
      </c>
      <c r="B60" s="162" t="inlineStr">
        <is>
          <t>Vinicius</t>
        </is>
      </c>
      <c r="C60" s="161" t="inlineStr">
        <is>
          <t>27/10</t>
        </is>
      </c>
      <c r="D60" s="161" t="inlineStr">
        <is>
          <t>M</t>
        </is>
      </c>
      <c r="E60" s="163" t="inlineStr">
        <is>
          <t>M+</t>
        </is>
      </c>
      <c r="F60" s="164" t="inlineStr">
        <is>
          <t>ter 27/10 (dia do retorno): a manhã é BHP — não sai da rotina</t>
        </is>
      </c>
    </row>
    <row r="61" ht="18.05" customHeight="1">
      <c r="A61" s="161" t="n">
        <v>24</v>
      </c>
      <c r="B61" s="162" t="inlineStr">
        <is>
          <t>Raphael</t>
        </is>
      </c>
      <c r="C61" s="161" t="inlineStr">
        <is>
          <t>03/10</t>
        </is>
      </c>
      <c r="D61" s="161" t="inlineStr">
        <is>
          <t>N</t>
        </is>
      </c>
      <c r="E61" s="163" t="inlineStr">
        <is>
          <t>N+</t>
        </is>
      </c>
      <c r="F61" s="164" t="inlineStr">
        <is>
          <t>sáb 03/10 noite é BHP (Sem 1 = 36h com 28 N de setembro)</t>
        </is>
      </c>
    </row>
    <row r="62" ht="18.05" customHeight="1">
      <c r="A62" s="161" t="n">
        <v>24</v>
      </c>
      <c r="B62" s="162" t="inlineStr">
        <is>
          <t>Raphael</t>
        </is>
      </c>
      <c r="C62" s="161" t="inlineStr">
        <is>
          <t>07/10</t>
        </is>
      </c>
      <c r="D62" s="161" t="inlineStr">
        <is>
          <t>—</t>
        </is>
      </c>
      <c r="E62" s="165" t="inlineStr">
        <is>
          <t>N-</t>
        </is>
      </c>
      <c r="F62" s="164" t="inlineStr">
        <is>
          <t>qua 07/10 noite: BHN de 12h pagando</t>
        </is>
      </c>
    </row>
    <row r="63">
      <c r="A63" s="39" t="n"/>
      <c r="B63" s="39" t="n"/>
      <c r="C63" s="39" t="n"/>
      <c r="D63" s="39" t="n"/>
      <c r="E63" s="39" t="n"/>
      <c r="F63" s="39" t="n"/>
    </row>
    <row r="64">
      <c r="A64" s="157" t="inlineStr">
        <is>
          <t>Verificado sem mudar célula</t>
        </is>
      </c>
      <c r="B64" s="39" t="n"/>
      <c r="C64" s="39" t="n"/>
      <c r="D64" s="39" t="n"/>
      <c r="E64" s="39" t="n"/>
      <c r="F64" s="39" t="n"/>
    </row>
    <row r="65">
      <c r="A65" s="43" t="inlineStr">
        <is>
          <t>Item</t>
        </is>
      </c>
      <c r="B65" s="43" t="inlineStr">
        <is>
          <t>Quem</t>
        </is>
      </c>
      <c r="C65" s="43" t="inlineStr"/>
      <c r="D65" s="43" t="inlineStr"/>
      <c r="E65" s="43" t="inlineStr"/>
      <c r="F65" s="43" t="inlineStr">
        <is>
          <t>O que foi visto</t>
        </is>
      </c>
    </row>
    <row r="66" ht="31.1" customHeight="1">
      <c r="A66" s="166" t="n">
        <v>1</v>
      </c>
      <c r="B66" s="158" t="inlineStr">
        <is>
          <t>Aline</t>
        </is>
      </c>
      <c r="C66" s="159" t="n"/>
      <c r="D66" s="159" t="n"/>
      <c r="E66" s="159" t="n"/>
      <c r="F66" s="160" t="inlineStr">
        <is>
          <t>CEP já está em toda semana que ela trabalha: 28/09 (seg), 06/10 (1ª terça, reunião) e 13/10. Férias a partir de 19/10. Nada a lançar — se a leitura for outra, dizer qual semana.</t>
        </is>
      </c>
    </row>
    <row r="67" ht="31.1" customHeight="1">
      <c r="A67" s="166" t="n">
        <v>4</v>
      </c>
      <c r="B67" s="158" t="inlineStr">
        <is>
          <t>Raquel</t>
        </is>
      </c>
      <c r="C67" s="159" t="n"/>
      <c r="D67" s="159" t="n"/>
      <c r="E67" s="159" t="n"/>
      <c r="F67" s="160" t="inlineStr">
        <is>
          <t>Os CP ESTÃO lançados: 20 e 21/10 (semana do retorno, 2 CP) e 26 e 28/10 (última semana, 2 CP). O código era 'P' e ninguém reconhecia — passou a se chamar CP na planilha.</t>
        </is>
      </c>
    </row>
    <row r="68" ht="31.1" customHeight="1">
      <c r="A68" s="166" t="n">
        <v>12</v>
      </c>
      <c r="B68" s="158" t="inlineStr">
        <is>
          <t>JuBrito</t>
        </is>
      </c>
      <c r="C68" s="159" t="n"/>
      <c r="D68" s="159" t="n"/>
      <c r="E68" s="159" t="n"/>
      <c r="F68" s="160" t="inlineStr">
        <is>
          <t>Sem 1 = 30h (29 D + 30 M de setembro + 01 D) = a CH dela, 30h (confirmada em agosto, era 36). Se a CH voltou a 36, faltam 6h; senão está fechada.</t>
        </is>
      </c>
    </row>
    <row r="69" ht="18.05" customHeight="1">
      <c r="A69" s="166" t="n">
        <v>25</v>
      </c>
      <c r="B69" s="158" t="inlineStr">
        <is>
          <t>Senior</t>
        </is>
      </c>
      <c r="C69" s="159" t="n"/>
      <c r="D69" s="159" t="n"/>
      <c r="E69" s="159" t="n"/>
      <c r="F69" s="160" t="inlineStr">
        <is>
          <t>Aplicado na aba SENIOR e na tabela de códigos: célula BHP (+) não gera código; célula BHN (−) gera o código do plantão normal.</t>
        </is>
      </c>
    </row>
    <row r="70">
      <c r="A70" s="39" t="n"/>
      <c r="B70" s="39" t="n"/>
      <c r="C70" s="39" t="n"/>
      <c r="D70" s="39" t="n"/>
      <c r="E70" s="39" t="n"/>
      <c r="F70" s="39" t="n"/>
    </row>
    <row r="71">
      <c r="A71" s="39" t="n"/>
      <c r="B71" s="39" t="n"/>
      <c r="C71" s="39" t="n"/>
      <c r="D71" s="39" t="n"/>
      <c r="E71" s="39" t="n"/>
      <c r="F71" s="39" t="n"/>
    </row>
    <row r="72">
      <c r="A72" s="39" t="n"/>
      <c r="B72" s="39" t="n"/>
      <c r="C72" s="39" t="n"/>
      <c r="D72" s="39" t="n"/>
      <c r="E72" s="39" t="n"/>
      <c r="F72" s="39" t="n"/>
    </row>
  </sheetData>
  <mergeCells count="12">
    <mergeCell ref="B9:E9"/>
    <mergeCell ref="B8:E8"/>
    <mergeCell ref="B12:E12"/>
    <mergeCell ref="B13:E13"/>
    <mergeCell ref="B69:E69"/>
    <mergeCell ref="B6:E6"/>
    <mergeCell ref="B68:E68"/>
    <mergeCell ref="B7:E7"/>
    <mergeCell ref="B11:E11"/>
    <mergeCell ref="B10:E10"/>
    <mergeCell ref="B66:E66"/>
    <mergeCell ref="B67:E6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BE8E5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5.3" customWidth="1" min="43" max="43"/>
    <col width="5.3" customWidth="1" min="44" max="44"/>
    <col width="5.3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Novembro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1" t="inlineStr">
        <is>
          <t>26/10</t>
        </is>
      </c>
      <c r="D2" s="101" t="inlineStr">
        <is>
          <t>27/10</t>
        </is>
      </c>
      <c r="E2" s="101" t="inlineStr">
        <is>
          <t>28/10</t>
        </is>
      </c>
      <c r="F2" s="101" t="inlineStr">
        <is>
          <t>29/10</t>
        </is>
      </c>
      <c r="G2" s="101" t="inlineStr">
        <is>
          <t>30/10</t>
        </is>
      </c>
      <c r="H2" s="105" t="inlineStr">
        <is>
          <t>31/10</t>
        </is>
      </c>
      <c r="I2" s="104" t="n">
        <v>1</v>
      </c>
      <c r="J2" s="102" t="n">
        <v>2</v>
      </c>
      <c r="K2" s="103" t="n">
        <v>3</v>
      </c>
      <c r="L2" s="103" t="n">
        <v>4</v>
      </c>
      <c r="M2" s="103" t="n">
        <v>5</v>
      </c>
      <c r="N2" s="103" t="n">
        <v>6</v>
      </c>
      <c r="O2" s="104" t="n">
        <v>7</v>
      </c>
      <c r="P2" s="104" t="n">
        <v>8</v>
      </c>
      <c r="Q2" s="103" t="n">
        <v>9</v>
      </c>
      <c r="R2" s="103" t="n">
        <v>10</v>
      </c>
      <c r="S2" s="103" t="n">
        <v>11</v>
      </c>
      <c r="T2" s="103" t="n">
        <v>12</v>
      </c>
      <c r="U2" s="103" t="n">
        <v>13</v>
      </c>
      <c r="V2" s="104" t="n">
        <v>14</v>
      </c>
      <c r="W2" s="102" t="n">
        <v>15</v>
      </c>
      <c r="X2" s="103" t="n">
        <v>16</v>
      </c>
      <c r="Y2" s="103" t="n">
        <v>17</v>
      </c>
      <c r="Z2" s="103" t="n">
        <v>18</v>
      </c>
      <c r="AA2" s="103" t="n">
        <v>19</v>
      </c>
      <c r="AB2" s="102" t="n">
        <v>20</v>
      </c>
      <c r="AC2" s="104" t="n">
        <v>21</v>
      </c>
      <c r="AD2" s="104" t="n">
        <v>22</v>
      </c>
      <c r="AE2" s="103" t="n">
        <v>23</v>
      </c>
      <c r="AF2" s="103" t="n">
        <v>24</v>
      </c>
      <c r="AG2" s="103" t="n">
        <v>25</v>
      </c>
      <c r="AH2" s="103" t="n">
        <v>26</v>
      </c>
      <c r="AI2" s="103" t="n">
        <v>27</v>
      </c>
      <c r="AJ2" s="104" t="n">
        <v>28</v>
      </c>
      <c r="AK2" s="104" t="n">
        <v>29</v>
      </c>
      <c r="AL2" s="103" t="n">
        <v>30</v>
      </c>
      <c r="AM2" s="100" t="n"/>
      <c r="AN2" s="101" t="inlineStr">
        <is>
          <t>01/12</t>
        </is>
      </c>
      <c r="AO2" s="101" t="inlineStr">
        <is>
          <t>02/12</t>
        </is>
      </c>
      <c r="AP2" s="101" t="inlineStr">
        <is>
          <t>03/12</t>
        </is>
      </c>
      <c r="AQ2" s="101" t="inlineStr">
        <is>
          <t>04/12</t>
        </is>
      </c>
      <c r="AR2" s="105" t="inlineStr">
        <is>
          <t>05/12</t>
        </is>
      </c>
      <c r="AS2" s="105" t="inlineStr">
        <is>
          <t>06/12</t>
        </is>
      </c>
      <c r="AT2" s="106" t="inlineStr">
        <is>
          <t>26/10–01/11</t>
        </is>
      </c>
      <c r="AU2" s="39" t="n"/>
      <c r="AV2" s="106" t="inlineStr">
        <is>
          <t>02/11–08/11</t>
        </is>
      </c>
      <c r="AW2" s="39" t="n"/>
      <c r="AX2" s="106" t="inlineStr">
        <is>
          <t>09/11–15/11</t>
        </is>
      </c>
      <c r="AY2" s="39" t="n"/>
      <c r="AZ2" s="106" t="inlineStr">
        <is>
          <t>16/11–22/11</t>
        </is>
      </c>
      <c r="BA2" s="39" t="n"/>
      <c r="BB2" s="106" t="inlineStr">
        <is>
          <t>23/11–29/11</t>
        </is>
      </c>
      <c r="BC2" s="39" t="n"/>
      <c r="BD2" s="106" t="inlineStr">
        <is>
          <t>30/11–06/12</t>
        </is>
      </c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7" t="inlineStr">
        <is>
          <t>seg</t>
        </is>
      </c>
      <c r="D3" s="107" t="inlineStr">
        <is>
          <t>ter</t>
        </is>
      </c>
      <c r="E3" s="107" t="inlineStr">
        <is>
          <t>qua</t>
        </is>
      </c>
      <c r="F3" s="107" t="inlineStr">
        <is>
          <t>qui</t>
        </is>
      </c>
      <c r="G3" s="107" t="inlineStr">
        <is>
          <t>sex</t>
        </is>
      </c>
      <c r="H3" s="109" t="inlineStr">
        <is>
          <t>sáb</t>
        </is>
      </c>
      <c r="I3" s="109" t="inlineStr">
        <is>
          <t>dom</t>
        </is>
      </c>
      <c r="J3" s="108" t="inlineStr">
        <is>
          <t>finad</t>
        </is>
      </c>
      <c r="K3" s="107" t="inlineStr">
        <is>
          <t>ter</t>
        </is>
      </c>
      <c r="L3" s="107" t="inlineStr">
        <is>
          <t>qua</t>
        </is>
      </c>
      <c r="M3" s="107" t="inlineStr">
        <is>
          <t>qui</t>
        </is>
      </c>
      <c r="N3" s="107" t="inlineStr">
        <is>
          <t>sex</t>
        </is>
      </c>
      <c r="O3" s="109" t="inlineStr">
        <is>
          <t>sáb</t>
        </is>
      </c>
      <c r="P3" s="109" t="inlineStr">
        <is>
          <t>dom</t>
        </is>
      </c>
      <c r="Q3" s="107" t="inlineStr">
        <is>
          <t>seg</t>
        </is>
      </c>
      <c r="R3" s="107" t="inlineStr">
        <is>
          <t>ter</t>
        </is>
      </c>
      <c r="S3" s="107" t="inlineStr">
        <is>
          <t>qua</t>
        </is>
      </c>
      <c r="T3" s="107" t="inlineStr">
        <is>
          <t>qui</t>
        </is>
      </c>
      <c r="U3" s="107" t="inlineStr">
        <is>
          <t>sex</t>
        </is>
      </c>
      <c r="V3" s="109" t="inlineStr">
        <is>
          <t>sáb</t>
        </is>
      </c>
      <c r="W3" s="108" t="inlineStr">
        <is>
          <t>repúb</t>
        </is>
      </c>
      <c r="X3" s="107" t="inlineStr">
        <is>
          <t>seg</t>
        </is>
      </c>
      <c r="Y3" s="107" t="inlineStr">
        <is>
          <t>ter</t>
        </is>
      </c>
      <c r="Z3" s="107" t="inlineStr">
        <is>
          <t>qua</t>
        </is>
      </c>
      <c r="AA3" s="107" t="inlineStr">
        <is>
          <t>qui</t>
        </is>
      </c>
      <c r="AB3" s="108" t="inlineStr">
        <is>
          <t>consc</t>
        </is>
      </c>
      <c r="AC3" s="109" t="inlineStr">
        <is>
          <t>sáb</t>
        </is>
      </c>
      <c r="AD3" s="109" t="inlineStr">
        <is>
          <t>dom</t>
        </is>
      </c>
      <c r="AE3" s="107" t="inlineStr">
        <is>
          <t>seg</t>
        </is>
      </c>
      <c r="AF3" s="107" t="inlineStr">
        <is>
          <t>ter</t>
        </is>
      </c>
      <c r="AG3" s="107" t="inlineStr">
        <is>
          <t>qua</t>
        </is>
      </c>
      <c r="AH3" s="107" t="inlineStr">
        <is>
          <t>qui</t>
        </is>
      </c>
      <c r="AI3" s="107" t="inlineStr">
        <is>
          <t>sex</t>
        </is>
      </c>
      <c r="AJ3" s="109" t="inlineStr">
        <is>
          <t>sáb</t>
        </is>
      </c>
      <c r="AK3" s="109" t="inlineStr">
        <is>
          <t>dom</t>
        </is>
      </c>
      <c r="AL3" s="107" t="inlineStr">
        <is>
          <t>seg</t>
        </is>
      </c>
      <c r="AM3" s="100" t="n"/>
      <c r="AN3" s="107" t="inlineStr">
        <is>
          <t>ter</t>
        </is>
      </c>
      <c r="AO3" s="107" t="inlineStr">
        <is>
          <t>qua</t>
        </is>
      </c>
      <c r="AP3" s="107" t="inlineStr">
        <is>
          <t>qui</t>
        </is>
      </c>
      <c r="AQ3" s="107" t="inlineStr">
        <is>
          <t>sex</t>
        </is>
      </c>
      <c r="AR3" s="109" t="inlineStr">
        <is>
          <t>sáb</t>
        </is>
      </c>
      <c r="AS3" s="109" t="inlineStr">
        <is>
          <t>dom</t>
        </is>
      </c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110" t="inlineStr">
        <is>
          <t>semana civil</t>
        </is>
      </c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1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1</v>
      </c>
      <c r="P4" s="39" t="n">
        <v>1</v>
      </c>
      <c r="Q4" s="39" t="n">
        <v>0</v>
      </c>
      <c r="R4" s="39" t="n">
        <v>0</v>
      </c>
      <c r="S4" s="39" t="n">
        <v>0</v>
      </c>
      <c r="T4" s="39" t="n">
        <v>0</v>
      </c>
      <c r="U4" s="39" t="n">
        <v>0</v>
      </c>
      <c r="V4" s="39" t="n">
        <v>1</v>
      </c>
      <c r="W4" s="39" t="n">
        <v>1</v>
      </c>
      <c r="X4" s="39" t="n">
        <v>0</v>
      </c>
      <c r="Y4" s="39" t="n">
        <v>0</v>
      </c>
      <c r="Z4" s="39" t="n">
        <v>0</v>
      </c>
      <c r="AA4" s="39" t="n">
        <v>0</v>
      </c>
      <c r="AB4" s="39" t="n">
        <v>0</v>
      </c>
      <c r="AC4" s="39" t="n">
        <v>1</v>
      </c>
      <c r="AD4" s="39" t="n">
        <v>1</v>
      </c>
      <c r="AE4" s="39" t="n">
        <v>0</v>
      </c>
      <c r="AF4" s="39" t="n">
        <v>0</v>
      </c>
      <c r="AG4" s="39" t="n">
        <v>0</v>
      </c>
      <c r="AH4" s="39" t="n">
        <v>0</v>
      </c>
      <c r="AI4" s="39" t="n">
        <v>0</v>
      </c>
      <c r="AJ4" s="39" t="n">
        <v>1</v>
      </c>
      <c r="AK4" s="39" t="n">
        <v>1</v>
      </c>
      <c r="AL4" s="39" t="n">
        <v>0</v>
      </c>
      <c r="AM4" s="39" t="n"/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1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1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</v>
      </c>
      <c r="AB5" s="39" t="n">
        <v>1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</v>
      </c>
      <c r="AI5" s="39" t="n">
        <v>1</v>
      </c>
      <c r="AJ5" s="39" t="n">
        <v>0</v>
      </c>
      <c r="AK5" s="39" t="n">
        <v>0</v>
      </c>
      <c r="AL5" s="39" t="n">
        <v>0</v>
      </c>
      <c r="AM5" s="39" t="n"/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1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1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1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/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36">
        <f>IFERROR(INDEX(OUT!AH$8:AH$73,MATCH($A8,OUT!$A$8:$A$73,0))&amp;"","")</f>
        <v/>
      </c>
      <c r="D8" s="136">
        <f>IFERROR(INDEX(OUT!AI$8:AI$73,MATCH($A8,OUT!$A$8:$A$73,0))&amp;"","")</f>
        <v/>
      </c>
      <c r="E8" s="136">
        <f>IFERROR(INDEX(OUT!AJ$8:AJ$73,MATCH($A8,OUT!$A$8:$A$73,0))&amp;"","")</f>
        <v/>
      </c>
      <c r="F8" s="136">
        <f>IFERROR(INDEX(OUT!AK$8:AK$73,MATCH($A8,OUT!$A$8:$A$73,0))&amp;"","")</f>
        <v/>
      </c>
      <c r="G8" s="136">
        <f>IFERROR(INDEX(OUT!AL$8:AL$73,MATCH($A8,OUT!$A$8:$A$73,0))&amp;"","")</f>
        <v/>
      </c>
      <c r="H8" s="116">
        <f>IFERROR(INDEX(OUT!AM$8:AM$73,MATCH($A8,OUT!$A$8:$A$73,0))&amp;"","")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4" t="n"/>
      <c r="AF8" s="114" t="n"/>
      <c r="AG8" s="114" t="n"/>
      <c r="AH8" s="114" t="n"/>
      <c r="AI8" s="114" t="n"/>
      <c r="AJ8" s="114" t="n"/>
      <c r="AK8" s="114" t="n"/>
      <c r="AL8" s="114" t="n"/>
      <c r="AM8" s="100" t="n"/>
      <c r="AN8" s="136">
        <f>IFERROR(INDEX(DEZ!I$8:I$73,MATCH($A8,DEZ!$A$8:$A$73,0))&amp;"","")</f>
        <v/>
      </c>
      <c r="AO8" s="136">
        <f>IFERROR(INDEX(DEZ!J$8:J$73,MATCH($A8,DEZ!$A$8:$A$73,0))&amp;"","")</f>
        <v/>
      </c>
      <c r="AP8" s="136">
        <f>IFERROR(INDEX(DEZ!K$8:K$73,MATCH($A8,DEZ!$A$8:$A$73,0))&amp;"","")</f>
        <v/>
      </c>
      <c r="AQ8" s="136">
        <f>IFERROR(INDEX(DEZ!L$8:L$73,MATCH($A8,DEZ!$A$8:$A$73,0))&amp;"","")</f>
        <v/>
      </c>
      <c r="AR8" s="116">
        <f>IFERROR(INDEX(DEZ!M$8:M$73,MATCH($A8,DEZ!$A$8:$A$73,0))&amp;"","")</f>
        <v/>
      </c>
      <c r="AS8" s="116">
        <f>IFERROR(INDEX(DEZ!N$8:N$73,MATCH($A8,DEZ!$A$8:$A$73,0))&amp;"","")</f>
        <v/>
      </c>
      <c r="AT8" s="117">
        <f>SUMPRODUCT(($C8:$I8="M")*6+($C8:$I8="T")*6+($C8:$I8="D")*12+($C8:$I8="N")*12+($C8:$I8="NT")*6+($C8:$I8="C")*10+($C8:$I8="A")*8+($C8:$I8="J")*5+($C8:$I8="CEP")*4+($C8:$I8="CP")*6+($C8:$I8="CRO")*6+($C8:$I8="M+")*6+($C8:$I8="T+")*6+($C8:$I8="D+")*12+($C8:$I8="N+")*12+($C8:$I8="Dm+")*12+($C8:$I8="Dt+")*12+($C8:$I8="Tm-")*6+($C8:$I8="Mt-")*6)</f>
        <v/>
      </c>
      <c r="AU8" s="118">
        <f>AT8-MAX(0,IFERROR(INDEX(CADASTRO!$I$4:$I$80,MATCH($A8,CADASTRO!$A$4:$A$80,0)),$B8)-CONFIG!$B$50*(COUNTIF($C8:$I8,"AB")+COUNTIF($C8:$I8,"FE")+COUNTIF($C8:$I8,"LM")))</f>
        <v/>
      </c>
      <c r="AV8" s="117">
        <f>SUMPRODUCT(($J8:$P8="M")*6+($J8:$P8="T")*6+($J8:$P8="D")*12+($J8:$P8="N")*12+($J8:$P8="NT")*6+($J8:$P8="C")*10+($J8:$P8="A")*8+($J8:$P8="J")*5+($J8:$P8="CEP")*4+($J8:$P8="CP")*6+($J8:$P8="CRO")*6+($J8:$P8="M+")*6+($J8:$P8="T+")*6+($J8:$P8="D+")*12+($J8:$P8="N+")*12+($J8:$P8="Dm+")*12+($J8:$P8="Dt+")*12+($J8:$P8="Tm-")*6+($J8:$P8="Mt-")*6)</f>
        <v/>
      </c>
      <c r="AW8" s="118">
        <f>AV8-MAX(0,IFERROR(INDEX(CADASTRO!$I$4:$I$80,MATCH($A8,CADASTRO!$A$4:$A$80,0)),$B8)-CONFIG!$B$50*(COUNTIF($J8:$P8,"AB")+COUNTIF($J8:$P8,"FE")+COUNTIF($J8:$P8,"LM")))</f>
        <v/>
      </c>
      <c r="AX8" s="117">
        <f>SUMPRODUCT(($Q8:$W8="M")*6+($Q8:$W8="T")*6+($Q8:$W8="D")*12+($Q8:$W8="N")*12+($Q8:$W8="NT")*6+($Q8:$W8="C")*10+($Q8:$W8="A")*8+($Q8:$W8="J")*5+($Q8:$W8="CEP")*4+($Q8:$W8="CP")*6+($Q8:$W8="CRO")*6+($Q8:$W8="M+")*6+($Q8:$W8="T+")*6+($Q8:$W8="D+")*12+($Q8:$W8="N+")*12+($Q8:$W8="Dm+")*12+($Q8:$W8="Dt+")*12+($Q8:$W8="Tm-")*6+($Q8:$W8="Mt-")*6)</f>
        <v/>
      </c>
      <c r="AY8" s="118">
        <f>AX8-MAX(0,IFERROR(INDEX(CADASTRO!$I$4:$I$80,MATCH($A8,CADASTRO!$A$4:$A$80,0)),$B8)-CONFIG!$B$50*(COUNTIF($Q8:$W8,"AB")+COUNTIF($Q8:$W8,"FE")+COUNTIF($Q8:$W8,"LM")))</f>
        <v/>
      </c>
      <c r="AZ8" s="117">
        <f>SUMPRODUCT(($X8:$AD8="M")*6+($X8:$AD8="T")*6+($X8:$AD8="D")*12+($X8:$AD8="N")*12+($X8:$AD8="NT")*6+($X8:$AD8="C")*10+($X8:$AD8="A")*8+($X8:$AD8="J")*5+($X8:$AD8="CEP")*4+($X8:$AD8="CP")*6+($X8:$AD8="CRO")*6+($X8:$AD8="M+")*6+($X8:$AD8="T+")*6+($X8:$AD8="D+")*12+($X8:$AD8="N+")*12+($X8:$AD8="Dm+")*12+($X8:$AD8="Dt+")*12+($X8:$AD8="Tm-")*6+($X8:$AD8="Mt-")*6)</f>
        <v/>
      </c>
      <c r="BA8" s="118">
        <f>AZ8-MAX(0,IFERROR(INDEX(CADASTRO!$I$4:$I$80,MATCH($A8,CADASTRO!$A$4:$A$80,0)),$B8)-CONFIG!$B$50*(COUNTIF($X8:$AD8,"AB")+COUNTIF($X8:$AD8,"FE")+COUNTIF($X8:$AD8,"LM")))</f>
        <v/>
      </c>
      <c r="BB8" s="117">
        <f>SUMPRODUCT(($AE8:$AK8="M")*6+($AE8:$AK8="T")*6+($AE8:$AK8="D")*12+($AE8:$AK8="N")*12+($AE8:$AK8="NT")*6+($AE8:$AK8="C")*10+($AE8:$AK8="A")*8+($AE8:$AK8="J")*5+($AE8:$AK8="CEP")*4+($AE8:$AK8="CP")*6+($AE8:$AK8="CRO")*6+($AE8:$AK8="M+")*6+($AE8:$AK8="T+")*6+($AE8:$AK8="D+")*12+($AE8:$AK8="N+")*12+($AE8:$AK8="Dm+")*12+($AE8:$AK8="Dt+")*12+($AE8:$AK8="Tm-")*6+($AE8:$AK8="Mt-")*6)</f>
        <v/>
      </c>
      <c r="BC8" s="118">
        <f>BB8-MAX(0,IFERROR(INDEX(CADASTRO!$I$4:$I$80,MATCH($A8,CADASTRO!$A$4:$A$80,0)),$B8)-CONFIG!$B$50*(COUNTIF($AE8:$AK8,"AB")+COUNTIF($AE8:$AK8,"FE")+COUNTIF($AE8:$AK8,"LM")))</f>
        <v/>
      </c>
      <c r="BD8" s="117">
        <f>SUMPRODUCT(($AL8:$AL8="M")*6+($AL8:$AL8="T")*6+($AL8:$AL8="D")*12+($AL8:$AL8="N")*12+($AL8:$AL8="NT")*6+($AL8:$AL8="C")*10+($AL8:$AL8="A")*8+($AL8:$AL8="J")*5+($AL8:$AL8="CEP")*4+($AL8:$AL8="CP")*6+($AL8:$AL8="CRO")*6+($AL8:$AL8="M+")*6+($AL8:$AL8="T+")*6+($AL8:$AL8="D+")*12+($AL8:$AL8="N+")*12+($AL8:$AL8="Dm+")*12+($AL8:$AL8="Dt+")*12+($AL8:$AL8="Tm-")*6+($AL8:$AL8="Mt-")*6)+SUMPRODUCT(($AN8:$AS8="M")*6+($AN8:$AS8="T")*6+($AN8:$AS8="D")*12+($AN8:$AS8="N")*12+($AN8:$AS8="NT")*6+($AN8:$AS8="C")*10+($AN8:$AS8="A")*8+($AN8:$AS8="J")*5+($AN8:$AS8="CEP")*4+($AN8:$AS8="CP")*6+($AN8:$AS8="CRO")*6+($AN8:$AS8="M+")*6+($AN8:$AS8="T+")*6+($AN8:$AS8="D+")*12+($AN8:$AS8="N+")*12+($AN8:$AS8="Dm+")*12+($AN8:$AS8="Dt+")*12+($AN8:$AS8="Tm-")*6+($AN8:$AS8="Mt-")*6)</f>
        <v/>
      </c>
      <c r="BE8" s="118">
        <f>BD8-MAX(0,IFERROR(INDEX(CADASTRO!$I$4:$I$80,MATCH($A8,CADASTRO!$A$4:$A$80,0)),$B8)-CONFIG!$B$50*(COUNTIF($AL8:$AL8,"AB")+COUNTIF($AL8:$AL8,"FE")+COUNTIF($AL8:$AL8,"LM")+COUNTIF($AN8:$AS8,"AB")+COUNTIF($AN8:$AS8,"FE")+COUNTIF($AN8:$AS8,"LM")))</f>
        <v/>
      </c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ROUND(B8*4.29,0)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36">
        <f>IFERROR(INDEX(OUT!AH$8:AH$73,MATCH($A9,OUT!$A$8:$A$73,0))&amp;"","")</f>
        <v/>
      </c>
      <c r="D9" s="136">
        <f>IFERROR(INDEX(OUT!AI$8:AI$73,MATCH($A9,OUT!$A$8:$A$73,0))&amp;"","")</f>
        <v/>
      </c>
      <c r="E9" s="136">
        <f>IFERROR(INDEX(OUT!AJ$8:AJ$73,MATCH($A9,OUT!$A$8:$A$73,0))&amp;"","")</f>
        <v/>
      </c>
      <c r="F9" s="136">
        <f>IFERROR(INDEX(OUT!AK$8:AK$73,MATCH($A9,OUT!$A$8:$A$73,0))&amp;"","")</f>
        <v/>
      </c>
      <c r="G9" s="136">
        <f>IFERROR(INDEX(OUT!AL$8:AL$73,MATCH($A9,OUT!$A$8:$A$73,0))&amp;"","")</f>
        <v/>
      </c>
      <c r="H9" s="116">
        <f>IFERROR(INDEX(OUT!AM$8:AM$73,MATCH($A9,OUT!$A$8:$A$73,0))&amp;"","")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14" t="n"/>
      <c r="AF9" s="114" t="n"/>
      <c r="AG9" s="114" t="n"/>
      <c r="AH9" s="114" t="n"/>
      <c r="AI9" s="114" t="n"/>
      <c r="AJ9" s="114" t="n"/>
      <c r="AK9" s="114" t="n"/>
      <c r="AL9" s="114" t="n"/>
      <c r="AM9" s="100" t="n"/>
      <c r="AN9" s="136">
        <f>IFERROR(INDEX(DEZ!I$8:I$73,MATCH($A9,DEZ!$A$8:$A$73,0))&amp;"","")</f>
        <v/>
      </c>
      <c r="AO9" s="136">
        <f>IFERROR(INDEX(DEZ!J$8:J$73,MATCH($A9,DEZ!$A$8:$A$73,0))&amp;"","")</f>
        <v/>
      </c>
      <c r="AP9" s="136">
        <f>IFERROR(INDEX(DEZ!K$8:K$73,MATCH($A9,DEZ!$A$8:$A$73,0))&amp;"","")</f>
        <v/>
      </c>
      <c r="AQ9" s="136">
        <f>IFERROR(INDEX(DEZ!L$8:L$73,MATCH($A9,DEZ!$A$8:$A$73,0))&amp;"","")</f>
        <v/>
      </c>
      <c r="AR9" s="116">
        <f>IFERROR(INDEX(DEZ!M$8:M$73,MATCH($A9,DEZ!$A$8:$A$73,0))&amp;"","")</f>
        <v/>
      </c>
      <c r="AS9" s="116">
        <f>IFERROR(INDEX(DEZ!N$8:N$73,MATCH($A9,DEZ!$A$8:$A$73,0))&amp;"","")</f>
        <v/>
      </c>
      <c r="AT9" s="117">
        <f>SUMPRODUCT(($C9:$I9="M")*6+($C9:$I9="T")*6+($C9:$I9="D")*12+($C9:$I9="N")*12+($C9:$I9="NT")*6+($C9:$I9="C")*10+($C9:$I9="A")*8+($C9:$I9="J")*5+($C9:$I9="CEP")*4+($C9:$I9="CP")*6+($C9:$I9="CRO")*6+($C9:$I9="M+")*6+($C9:$I9="T+")*6+($C9:$I9="D+")*12+($C9:$I9="N+")*12+($C9:$I9="Dm+")*12+($C9:$I9="Dt+")*12+($C9:$I9="Tm-")*6+($C9:$I9="Mt-")*6)</f>
        <v/>
      </c>
      <c r="AU9" s="118">
        <f>AT9-MAX(0,IFERROR(INDEX(CADASTRO!$I$4:$I$80,MATCH($A9,CADASTRO!$A$4:$A$80,0)),$B9)-CONFIG!$B$50*(COUNTIF($C9:$I9,"AB")+COUNTIF($C9:$I9,"FE")+COUNTIF($C9:$I9,"LM")))</f>
        <v/>
      </c>
      <c r="AV9" s="117">
        <f>SUMPRODUCT(($J9:$P9="M")*6+($J9:$P9="T")*6+($J9:$P9="D")*12+($J9:$P9="N")*12+($J9:$P9="NT")*6+($J9:$P9="C")*10+($J9:$P9="A")*8+($J9:$P9="J")*5+($J9:$P9="CEP")*4+($J9:$P9="CP")*6+($J9:$P9="CRO")*6+($J9:$P9="M+")*6+($J9:$P9="T+")*6+($J9:$P9="D+")*12+($J9:$P9="N+")*12+($J9:$P9="Dm+")*12+($J9:$P9="Dt+")*12+($J9:$P9="Tm-")*6+($J9:$P9="Mt-")*6)</f>
        <v/>
      </c>
      <c r="AW9" s="118">
        <f>AV9-MAX(0,IFERROR(INDEX(CADASTRO!$I$4:$I$80,MATCH($A9,CADASTRO!$A$4:$A$80,0)),$B9)-CONFIG!$B$50*(COUNTIF($J9:$P9,"AB")+COUNTIF($J9:$P9,"FE")+COUNTIF($J9:$P9,"LM")))</f>
        <v/>
      </c>
      <c r="AX9" s="117">
        <f>SUMPRODUCT(($Q9:$W9="M")*6+($Q9:$W9="T")*6+($Q9:$W9="D")*12+($Q9:$W9="N")*12+($Q9:$W9="NT")*6+($Q9:$W9="C")*10+($Q9:$W9="A")*8+($Q9:$W9="J")*5+($Q9:$W9="CEP")*4+($Q9:$W9="CP")*6+($Q9:$W9="CRO")*6+($Q9:$W9="M+")*6+($Q9:$W9="T+")*6+($Q9:$W9="D+")*12+($Q9:$W9="N+")*12+($Q9:$W9="Dm+")*12+($Q9:$W9="Dt+")*12+($Q9:$W9="Tm-")*6+($Q9:$W9="Mt-")*6)</f>
        <v/>
      </c>
      <c r="AY9" s="118">
        <f>AX9-MAX(0,IFERROR(INDEX(CADASTRO!$I$4:$I$80,MATCH($A9,CADASTRO!$A$4:$A$80,0)),$B9)-CONFIG!$B$50*(COUNTIF($Q9:$W9,"AB")+COUNTIF($Q9:$W9,"FE")+COUNTIF($Q9:$W9,"LM")))</f>
        <v/>
      </c>
      <c r="AZ9" s="117">
        <f>SUMPRODUCT(($X9:$AD9="M")*6+($X9:$AD9="T")*6+($X9:$AD9="D")*12+($X9:$AD9="N")*12+($X9:$AD9="NT")*6+($X9:$AD9="C")*10+($X9:$AD9="A")*8+($X9:$AD9="J")*5+($X9:$AD9="CEP")*4+($X9:$AD9="CP")*6+($X9:$AD9="CRO")*6+($X9:$AD9="M+")*6+($X9:$AD9="T+")*6+($X9:$AD9="D+")*12+($X9:$AD9="N+")*12+($X9:$AD9="Dm+")*12+($X9:$AD9="Dt+")*12+($X9:$AD9="Tm-")*6+($X9:$AD9="Mt-")*6)</f>
        <v/>
      </c>
      <c r="BA9" s="118">
        <f>AZ9-MAX(0,IFERROR(INDEX(CADASTRO!$I$4:$I$80,MATCH($A9,CADASTRO!$A$4:$A$80,0)),$B9)-CONFIG!$B$50*(COUNTIF($X9:$AD9,"AB")+COUNTIF($X9:$AD9,"FE")+COUNTIF($X9:$AD9,"LM")))</f>
        <v/>
      </c>
      <c r="BB9" s="117">
        <f>SUMPRODUCT(($AE9:$AK9="M")*6+($AE9:$AK9="T")*6+($AE9:$AK9="D")*12+($AE9:$AK9="N")*12+($AE9:$AK9="NT")*6+($AE9:$AK9="C")*10+($AE9:$AK9="A")*8+($AE9:$AK9="J")*5+($AE9:$AK9="CEP")*4+($AE9:$AK9="CP")*6+($AE9:$AK9="CRO")*6+($AE9:$AK9="M+")*6+($AE9:$AK9="T+")*6+($AE9:$AK9="D+")*12+($AE9:$AK9="N+")*12+($AE9:$AK9="Dm+")*12+($AE9:$AK9="Dt+")*12+($AE9:$AK9="Tm-")*6+($AE9:$AK9="Mt-")*6)</f>
        <v/>
      </c>
      <c r="BC9" s="118">
        <f>BB9-MAX(0,IFERROR(INDEX(CADASTRO!$I$4:$I$80,MATCH($A9,CADASTRO!$A$4:$A$80,0)),$B9)-CONFIG!$B$50*(COUNTIF($AE9:$AK9,"AB")+COUNTIF($AE9:$AK9,"FE")+COUNTIF($AE9:$AK9,"LM")))</f>
        <v/>
      </c>
      <c r="BD9" s="117">
        <f>SUMPRODUCT(($AL9:$AL9="M")*6+($AL9:$AL9="T")*6+($AL9:$AL9="D")*12+($AL9:$AL9="N")*12+($AL9:$AL9="NT")*6+($AL9:$AL9="C")*10+($AL9:$AL9="A")*8+($AL9:$AL9="J")*5+($AL9:$AL9="CEP")*4+($AL9:$AL9="CP")*6+($AL9:$AL9="CRO")*6+($AL9:$AL9="M+")*6+($AL9:$AL9="T+")*6+($AL9:$AL9="D+")*12+($AL9:$AL9="N+")*12+($AL9:$AL9="Dm+")*12+($AL9:$AL9="Dt+")*12+($AL9:$AL9="Tm-")*6+($AL9:$AL9="Mt-")*6)+SUMPRODUCT(($AN9:$AS9="M")*6+($AN9:$AS9="T")*6+($AN9:$AS9="D")*12+($AN9:$AS9="N")*12+($AN9:$AS9="NT")*6+($AN9:$AS9="C")*10+($AN9:$AS9="A")*8+($AN9:$AS9="J")*5+($AN9:$AS9="CEP")*4+($AN9:$AS9="CP")*6+($AN9:$AS9="CRO")*6+($AN9:$AS9="M+")*6+($AN9:$AS9="T+")*6+($AN9:$AS9="D+")*12+($AN9:$AS9="N+")*12+($AN9:$AS9="Dm+")*12+($AN9:$AS9="Dt+")*12+($AN9:$AS9="Tm-")*6+($AN9:$AS9="Mt-")*6)</f>
        <v/>
      </c>
      <c r="BE9" s="118">
        <f>BD9-MAX(0,IFERROR(INDEX(CADASTRO!$I$4:$I$80,MATCH($A9,CADASTRO!$A$4:$A$80,0)),$B9)-CONFIG!$B$50*(COUNTIF($AL9:$AL9,"AB")+COUNTIF($AL9:$AL9,"FE")+COUNTIF($AL9:$AL9,"LM")+COUNTIF($AN9:$AS9,"AB")+COUNTIF($AN9:$AS9,"FE")+COUNTIF($AN9:$AS9,"LM")))</f>
        <v/>
      </c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ROUND(B9*4.29,0)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36">
        <f>IFERROR(INDEX(OUT!AH$8:AH$73,MATCH($A10,OUT!$A$8:$A$73,0))&amp;"","")</f>
        <v/>
      </c>
      <c r="D10" s="136">
        <f>IFERROR(INDEX(OUT!AI$8:AI$73,MATCH($A10,OUT!$A$8:$A$73,0))&amp;"","")</f>
        <v/>
      </c>
      <c r="E10" s="136">
        <f>IFERROR(INDEX(OUT!AJ$8:AJ$73,MATCH($A10,OUT!$A$8:$A$73,0))&amp;"","")</f>
        <v/>
      </c>
      <c r="F10" s="136">
        <f>IFERROR(INDEX(OUT!AK$8:AK$73,MATCH($A10,OUT!$A$8:$A$73,0))&amp;"","")</f>
        <v/>
      </c>
      <c r="G10" s="136">
        <f>IFERROR(INDEX(OUT!AL$8:AL$73,MATCH($A10,OUT!$A$8:$A$73,0))&amp;"","")</f>
        <v/>
      </c>
      <c r="H10" s="116">
        <f>IFERROR(INDEX(OUT!AM$8:AM$73,MATCH($A10,OUT!$A$8:$A$73,0))&amp;"","")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00" t="n"/>
      <c r="AN10" s="136">
        <f>IFERROR(INDEX(DEZ!I$8:I$73,MATCH($A10,DEZ!$A$8:$A$73,0))&amp;"","")</f>
        <v/>
      </c>
      <c r="AO10" s="136">
        <f>IFERROR(INDEX(DEZ!J$8:J$73,MATCH($A10,DEZ!$A$8:$A$73,0))&amp;"","")</f>
        <v/>
      </c>
      <c r="AP10" s="136">
        <f>IFERROR(INDEX(DEZ!K$8:K$73,MATCH($A10,DEZ!$A$8:$A$73,0))&amp;"","")</f>
        <v/>
      </c>
      <c r="AQ10" s="136">
        <f>IFERROR(INDEX(DEZ!L$8:L$73,MATCH($A10,DEZ!$A$8:$A$73,0))&amp;"","")</f>
        <v/>
      </c>
      <c r="AR10" s="116">
        <f>IFERROR(INDEX(DEZ!M$8:M$73,MATCH($A10,DEZ!$A$8:$A$73,0))&amp;"","")</f>
        <v/>
      </c>
      <c r="AS10" s="116">
        <f>IFERROR(INDEX(DEZ!N$8:N$73,MATCH($A10,DEZ!$A$8:$A$73,0))&amp;"","")</f>
        <v/>
      </c>
      <c r="AT10" s="117">
        <f>SUMPRODUCT(($C10:$I10="M")*6+($C10:$I10="T")*6+($C10:$I10="D")*12+($C10:$I10="N")*12+($C10:$I10="NT")*6+($C10:$I10="C")*10+($C10:$I10="A")*8+($C10:$I10="J")*5+($C10:$I10="CEP")*4+($C10:$I10="CP")*6+($C10:$I10="CRO")*6+($C10:$I10="M+")*6+($C10:$I10="T+")*6+($C10:$I10="D+")*12+($C10:$I10="N+")*12+($C10:$I10="Dm+")*12+($C10:$I10="Dt+")*12+($C10:$I10="Tm-")*6+($C10:$I10="Mt-")*6)</f>
        <v/>
      </c>
      <c r="AU10" s="118">
        <f>AT10-MAX(0,IFERROR(INDEX(CADASTRO!$I$4:$I$80,MATCH($A10,CADASTRO!$A$4:$A$80,0)),$B10)-CONFIG!$B$50*(COUNTIF($C10:$I10,"AB")+COUNTIF($C10:$I10,"FE")+COUNTIF($C10:$I10,"LM")))</f>
        <v/>
      </c>
      <c r="AV10" s="117">
        <f>SUMPRODUCT(($J10:$P10="M")*6+($J10:$P10="T")*6+($J10:$P10="D")*12+($J10:$P10="N")*12+($J10:$P10="NT")*6+($J10:$P10="C")*10+($J10:$P10="A")*8+($J10:$P10="J")*5+($J10:$P10="CEP")*4+($J10:$P10="CP")*6+($J10:$P10="CRO")*6+($J10:$P10="M+")*6+($J10:$P10="T+")*6+($J10:$P10="D+")*12+($J10:$P10="N+")*12+($J10:$P10="Dm+")*12+($J10:$P10="Dt+")*12+($J10:$P10="Tm-")*6+($J10:$P10="Mt-")*6)</f>
        <v/>
      </c>
      <c r="AW10" s="118">
        <f>AV10-MAX(0,IFERROR(INDEX(CADASTRO!$I$4:$I$80,MATCH($A10,CADASTRO!$A$4:$A$80,0)),$B10)-CONFIG!$B$50*(COUNTIF($J10:$P10,"AB")+COUNTIF($J10:$P10,"FE")+COUNTIF($J10:$P10,"LM")))</f>
        <v/>
      </c>
      <c r="AX10" s="117">
        <f>SUMPRODUCT(($Q10:$W10="M")*6+($Q10:$W10="T")*6+($Q10:$W10="D")*12+($Q10:$W10="N")*12+($Q10:$W10="NT")*6+($Q10:$W10="C")*10+($Q10:$W10="A")*8+($Q10:$W10="J")*5+($Q10:$W10="CEP")*4+($Q10:$W10="CP")*6+($Q10:$W10="CRO")*6+($Q10:$W10="M+")*6+($Q10:$W10="T+")*6+($Q10:$W10="D+")*12+($Q10:$W10="N+")*12+($Q10:$W10="Dm+")*12+($Q10:$W10="Dt+")*12+($Q10:$W10="Tm-")*6+($Q10:$W10="Mt-")*6)</f>
        <v/>
      </c>
      <c r="AY10" s="118">
        <f>AX10-MAX(0,IFERROR(INDEX(CADASTRO!$I$4:$I$80,MATCH($A10,CADASTRO!$A$4:$A$80,0)),$B10)-CONFIG!$B$50*(COUNTIF($Q10:$W10,"AB")+COUNTIF($Q10:$W10,"FE")+COUNTIF($Q10:$W10,"LM")))</f>
        <v/>
      </c>
      <c r="AZ10" s="117">
        <f>SUMPRODUCT(($X10:$AD10="M")*6+($X10:$AD10="T")*6+($X10:$AD10="D")*12+($X10:$AD10="N")*12+($X10:$AD10="NT")*6+($X10:$AD10="C")*10+($X10:$AD10="A")*8+($X10:$AD10="J")*5+($X10:$AD10="CEP")*4+($X10:$AD10="CP")*6+($X10:$AD10="CRO")*6+($X10:$AD10="M+")*6+($X10:$AD10="T+")*6+($X10:$AD10="D+")*12+($X10:$AD10="N+")*12+($X10:$AD10="Dm+")*12+($X10:$AD10="Dt+")*12+($X10:$AD10="Tm-")*6+($X10:$AD10="Mt-")*6)</f>
        <v/>
      </c>
      <c r="BA10" s="118">
        <f>AZ10-MAX(0,IFERROR(INDEX(CADASTRO!$I$4:$I$80,MATCH($A10,CADASTRO!$A$4:$A$80,0)),$B10)-CONFIG!$B$50*(COUNTIF($X10:$AD10,"AB")+COUNTIF($X10:$AD10,"FE")+COUNTIF($X10:$AD10,"LM")))</f>
        <v/>
      </c>
      <c r="BB10" s="117">
        <f>SUMPRODUCT(($AE10:$AK10="M")*6+($AE10:$AK10="T")*6+($AE10:$AK10="D")*12+($AE10:$AK10="N")*12+($AE10:$AK10="NT")*6+($AE10:$AK10="C")*10+($AE10:$AK10="A")*8+($AE10:$AK10="J")*5+($AE10:$AK10="CEP")*4+($AE10:$AK10="CP")*6+($AE10:$AK10="CRO")*6+($AE10:$AK10="M+")*6+($AE10:$AK10="T+")*6+($AE10:$AK10="D+")*12+($AE10:$AK10="N+")*12+($AE10:$AK10="Dm+")*12+($AE10:$AK10="Dt+")*12+($AE10:$AK10="Tm-")*6+($AE10:$AK10="Mt-")*6)</f>
        <v/>
      </c>
      <c r="BC10" s="118">
        <f>BB10-MAX(0,IFERROR(INDEX(CADASTRO!$I$4:$I$80,MATCH($A10,CADASTRO!$A$4:$A$80,0)),$B10)-CONFIG!$B$50*(COUNTIF($AE10:$AK10,"AB")+COUNTIF($AE10:$AK10,"FE")+COUNTIF($AE10:$AK10,"LM")))</f>
        <v/>
      </c>
      <c r="BD10" s="117">
        <f>SUMPRODUCT(($AL10:$AL10="M")*6+($AL10:$AL10="T")*6+($AL10:$AL10="D")*12+($AL10:$AL10="N")*12+($AL10:$AL10="NT")*6+($AL10:$AL10="C")*10+($AL10:$AL10="A")*8+($AL10:$AL10="J")*5+($AL10:$AL10="CEP")*4+($AL10:$AL10="CP")*6+($AL10:$AL10="CRO")*6+($AL10:$AL10="M+")*6+($AL10:$AL10="T+")*6+($AL10:$AL10="D+")*12+($AL10:$AL10="N+")*12+($AL10:$AL10="Dm+")*12+($AL10:$AL10="Dt+")*12+($AL10:$AL10="Tm-")*6+($AL10:$AL10="Mt-")*6)+SUMPRODUCT(($AN10:$AS10="M")*6+($AN10:$AS10="T")*6+($AN10:$AS10="D")*12+($AN10:$AS10="N")*12+($AN10:$AS10="NT")*6+($AN10:$AS10="C")*10+($AN10:$AS10="A")*8+($AN10:$AS10="J")*5+($AN10:$AS10="CEP")*4+($AN10:$AS10="CP")*6+($AN10:$AS10="CRO")*6+($AN10:$AS10="M+")*6+($AN10:$AS10="T+")*6+($AN10:$AS10="D+")*12+($AN10:$AS10="N+")*12+($AN10:$AS10="Dm+")*12+($AN10:$AS10="Dt+")*12+($AN10:$AS10="Tm-")*6+($AN10:$AS10="Mt-")*6)</f>
        <v/>
      </c>
      <c r="BE10" s="118">
        <f>BD10-MAX(0,IFERROR(INDEX(CADASTRO!$I$4:$I$80,MATCH($A10,CADASTRO!$A$4:$A$80,0)),$B10)-CONFIG!$B$50*(COUNTIF($AL10:$AL10,"AB")+COUNTIF($AL10:$AL10,"FE")+COUNTIF($AL10:$AL10,"LM")+COUNTIF($AN10:$AS10,"AB")+COUNTIF($AN10:$AS10,"FE")+COUNTIF($AN10:$AS10,"LM")))</f>
        <v/>
      </c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ROUND(B10*4.29,0)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36">
        <f>IFERROR(INDEX(OUT!AH$8:AH$73,MATCH($A11,OUT!$A$8:$A$73,0))&amp;"","")</f>
        <v/>
      </c>
      <c r="D11" s="136">
        <f>IFERROR(INDEX(OUT!AI$8:AI$73,MATCH($A11,OUT!$A$8:$A$73,0))&amp;"","")</f>
        <v/>
      </c>
      <c r="E11" s="136">
        <f>IFERROR(INDEX(OUT!AJ$8:AJ$73,MATCH($A11,OUT!$A$8:$A$73,0))&amp;"","")</f>
        <v/>
      </c>
      <c r="F11" s="136">
        <f>IFERROR(INDEX(OUT!AK$8:AK$73,MATCH($A11,OUT!$A$8:$A$73,0))&amp;"","")</f>
        <v/>
      </c>
      <c r="G11" s="136">
        <f>IFERROR(INDEX(OUT!AL$8:AL$73,MATCH($A11,OUT!$A$8:$A$73,0))&amp;"","")</f>
        <v/>
      </c>
      <c r="H11" s="116">
        <f>IFERROR(INDEX(OUT!AM$8:AM$73,MATCH($A11,OUT!$A$8:$A$73,0))&amp;"","")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14" t="n"/>
      <c r="AF11" s="114" t="n"/>
      <c r="AG11" s="114" t="n"/>
      <c r="AH11" s="114" t="n"/>
      <c r="AI11" s="114" t="n"/>
      <c r="AJ11" s="114" t="n"/>
      <c r="AK11" s="114" t="n"/>
      <c r="AL11" s="114" t="n"/>
      <c r="AM11" s="100" t="n"/>
      <c r="AN11" s="136">
        <f>IFERROR(INDEX(DEZ!I$8:I$73,MATCH($A11,DEZ!$A$8:$A$73,0))&amp;"","")</f>
        <v/>
      </c>
      <c r="AO11" s="136">
        <f>IFERROR(INDEX(DEZ!J$8:J$73,MATCH($A11,DEZ!$A$8:$A$73,0))&amp;"","")</f>
        <v/>
      </c>
      <c r="AP11" s="136">
        <f>IFERROR(INDEX(DEZ!K$8:K$73,MATCH($A11,DEZ!$A$8:$A$73,0))&amp;"","")</f>
        <v/>
      </c>
      <c r="AQ11" s="136">
        <f>IFERROR(INDEX(DEZ!L$8:L$73,MATCH($A11,DEZ!$A$8:$A$73,0))&amp;"","")</f>
        <v/>
      </c>
      <c r="AR11" s="116">
        <f>IFERROR(INDEX(DEZ!M$8:M$73,MATCH($A11,DEZ!$A$8:$A$73,0))&amp;"","")</f>
        <v/>
      </c>
      <c r="AS11" s="116">
        <f>IFERROR(INDEX(DEZ!N$8:N$73,MATCH($A11,DEZ!$A$8:$A$73,0))&amp;"","")</f>
        <v/>
      </c>
      <c r="AT11" s="117">
        <f>SUMPRODUCT(($C11:$I11="M")*6+($C11:$I11="T")*6+($C11:$I11="D")*12+($C11:$I11="N")*12+($C11:$I11="NT")*6+($C11:$I11="C")*10+($C11:$I11="A")*8+($C11:$I11="J")*5+($C11:$I11="CEP")*4+($C11:$I11="CP")*6+($C11:$I11="CRO")*6+($C11:$I11="M+")*6+($C11:$I11="T+")*6+($C11:$I11="D+")*12+($C11:$I11="N+")*12+($C11:$I11="Dm+")*12+($C11:$I11="Dt+")*12+($C11:$I11="Tm-")*6+($C11:$I11="Mt-")*6)</f>
        <v/>
      </c>
      <c r="AU11" s="118">
        <f>AT11-MAX(0,IFERROR(INDEX(CADASTRO!$I$4:$I$80,MATCH($A11,CADASTRO!$A$4:$A$80,0)),$B11)-CONFIG!$B$50*(COUNTIF($C11:$I11,"AB")+COUNTIF($C11:$I11,"FE")+COUNTIF($C11:$I11,"LM")))</f>
        <v/>
      </c>
      <c r="AV11" s="117">
        <f>SUMPRODUCT(($J11:$P11="M")*6+($J11:$P11="T")*6+($J11:$P11="D")*12+($J11:$P11="N")*12+($J11:$P11="NT")*6+($J11:$P11="C")*10+($J11:$P11="A")*8+($J11:$P11="J")*5+($J11:$P11="CEP")*4+($J11:$P11="CP")*6+($J11:$P11="CRO")*6+($J11:$P11="M+")*6+($J11:$P11="T+")*6+($J11:$P11="D+")*12+($J11:$P11="N+")*12+($J11:$P11="Dm+")*12+($J11:$P11="Dt+")*12+($J11:$P11="Tm-")*6+($J11:$P11="Mt-")*6)</f>
        <v/>
      </c>
      <c r="AW11" s="118">
        <f>AV11-MAX(0,IFERROR(INDEX(CADASTRO!$I$4:$I$80,MATCH($A11,CADASTRO!$A$4:$A$80,0)),$B11)-CONFIG!$B$50*(COUNTIF($J11:$P11,"AB")+COUNTIF($J11:$P11,"FE")+COUNTIF($J11:$P11,"LM")))</f>
        <v/>
      </c>
      <c r="AX11" s="117">
        <f>SUMPRODUCT(($Q11:$W11="M")*6+($Q11:$W11="T")*6+($Q11:$W11="D")*12+($Q11:$W11="N")*12+($Q11:$W11="NT")*6+($Q11:$W11="C")*10+($Q11:$W11="A")*8+($Q11:$W11="J")*5+($Q11:$W11="CEP")*4+($Q11:$W11="CP")*6+($Q11:$W11="CRO")*6+($Q11:$W11="M+")*6+($Q11:$W11="T+")*6+($Q11:$W11="D+")*12+($Q11:$W11="N+")*12+($Q11:$W11="Dm+")*12+($Q11:$W11="Dt+")*12+($Q11:$W11="Tm-")*6+($Q11:$W11="Mt-")*6)</f>
        <v/>
      </c>
      <c r="AY11" s="118">
        <f>AX11-MAX(0,IFERROR(INDEX(CADASTRO!$I$4:$I$80,MATCH($A11,CADASTRO!$A$4:$A$80,0)),$B11)-CONFIG!$B$50*(COUNTIF($Q11:$W11,"AB")+COUNTIF($Q11:$W11,"FE")+COUNTIF($Q11:$W11,"LM")))</f>
        <v/>
      </c>
      <c r="AZ11" s="117">
        <f>SUMPRODUCT(($X11:$AD11="M")*6+($X11:$AD11="T")*6+($X11:$AD11="D")*12+($X11:$AD11="N")*12+($X11:$AD11="NT")*6+($X11:$AD11="C")*10+($X11:$AD11="A")*8+($X11:$AD11="J")*5+($X11:$AD11="CEP")*4+($X11:$AD11="CP")*6+($X11:$AD11="CRO")*6+($X11:$AD11="M+")*6+($X11:$AD11="T+")*6+($X11:$AD11="D+")*12+($X11:$AD11="N+")*12+($X11:$AD11="Dm+")*12+($X11:$AD11="Dt+")*12+($X11:$AD11="Tm-")*6+($X11:$AD11="Mt-")*6)</f>
        <v/>
      </c>
      <c r="BA11" s="118">
        <f>AZ11-MAX(0,IFERROR(INDEX(CADASTRO!$I$4:$I$80,MATCH($A11,CADASTRO!$A$4:$A$80,0)),$B11)-CONFIG!$B$50*(COUNTIF($X11:$AD11,"AB")+COUNTIF($X11:$AD11,"FE")+COUNTIF($X11:$AD11,"LM")))</f>
        <v/>
      </c>
      <c r="BB11" s="117">
        <f>SUMPRODUCT(($AE11:$AK11="M")*6+($AE11:$AK11="T")*6+($AE11:$AK11="D")*12+($AE11:$AK11="N")*12+($AE11:$AK11="NT")*6+($AE11:$AK11="C")*10+($AE11:$AK11="A")*8+($AE11:$AK11="J")*5+($AE11:$AK11="CEP")*4+($AE11:$AK11="CP")*6+($AE11:$AK11="CRO")*6+($AE11:$AK11="M+")*6+($AE11:$AK11="T+")*6+($AE11:$AK11="D+")*12+($AE11:$AK11="N+")*12+($AE11:$AK11="Dm+")*12+($AE11:$AK11="Dt+")*12+($AE11:$AK11="Tm-")*6+($AE11:$AK11="Mt-")*6)</f>
        <v/>
      </c>
      <c r="BC11" s="118">
        <f>BB11-MAX(0,IFERROR(INDEX(CADASTRO!$I$4:$I$80,MATCH($A11,CADASTRO!$A$4:$A$80,0)),$B11)-CONFIG!$B$50*(COUNTIF($AE11:$AK11,"AB")+COUNTIF($AE11:$AK11,"FE")+COUNTIF($AE11:$AK11,"LM")))</f>
        <v/>
      </c>
      <c r="BD11" s="117">
        <f>SUMPRODUCT(($AL11:$AL11="M")*6+($AL11:$AL11="T")*6+($AL11:$AL11="D")*12+($AL11:$AL11="N")*12+($AL11:$AL11="NT")*6+($AL11:$AL11="C")*10+($AL11:$AL11="A")*8+($AL11:$AL11="J")*5+($AL11:$AL11="CEP")*4+($AL11:$AL11="CP")*6+($AL11:$AL11="CRO")*6+($AL11:$AL11="M+")*6+($AL11:$AL11="T+")*6+($AL11:$AL11="D+")*12+($AL11:$AL11="N+")*12+($AL11:$AL11="Dm+")*12+($AL11:$AL11="Dt+")*12+($AL11:$AL11="Tm-")*6+($AL11:$AL11="Mt-")*6)+SUMPRODUCT(($AN11:$AS11="M")*6+($AN11:$AS11="T")*6+($AN11:$AS11="D")*12+($AN11:$AS11="N")*12+($AN11:$AS11="NT")*6+($AN11:$AS11="C")*10+($AN11:$AS11="A")*8+($AN11:$AS11="J")*5+($AN11:$AS11="CEP")*4+($AN11:$AS11="CP")*6+($AN11:$AS11="CRO")*6+($AN11:$AS11="M+")*6+($AN11:$AS11="T+")*6+($AN11:$AS11="D+")*12+($AN11:$AS11="N+")*12+($AN11:$AS11="Dm+")*12+($AN11:$AS11="Dt+")*12+($AN11:$AS11="Tm-")*6+($AN11:$AS11="Mt-")*6)</f>
        <v/>
      </c>
      <c r="BE11" s="118">
        <f>BD11-MAX(0,IFERROR(INDEX(CADASTRO!$I$4:$I$80,MATCH($A11,CADASTRO!$A$4:$A$80,0)),$B11)-CONFIG!$B$50*(COUNTIF($AL11:$AL11,"AB")+COUNTIF($AL11:$AL11,"FE")+COUNTIF($AL11:$AL11,"LM")+COUNTIF($AN11:$AS11,"AB")+COUNTIF($AN11:$AS11,"FE")+COUNTIF($AN11:$AS11,"LM")))</f>
        <v/>
      </c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ROUND(B11*4.29,0)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36">
        <f>IFERROR(INDEX(OUT!AH$8:AH$73,MATCH($A12,OUT!$A$8:$A$73,0))&amp;"","")</f>
        <v/>
      </c>
      <c r="D12" s="136">
        <f>IFERROR(INDEX(OUT!AI$8:AI$73,MATCH($A12,OUT!$A$8:$A$73,0))&amp;"","")</f>
        <v/>
      </c>
      <c r="E12" s="136">
        <f>IFERROR(INDEX(OUT!AJ$8:AJ$73,MATCH($A12,OUT!$A$8:$A$73,0))&amp;"","")</f>
        <v/>
      </c>
      <c r="F12" s="136">
        <f>IFERROR(INDEX(OUT!AK$8:AK$73,MATCH($A12,OUT!$A$8:$A$73,0))&amp;"","")</f>
        <v/>
      </c>
      <c r="G12" s="136">
        <f>IFERROR(INDEX(OUT!AL$8:AL$73,MATCH($A12,OUT!$A$8:$A$73,0))&amp;"","")</f>
        <v/>
      </c>
      <c r="H12" s="116">
        <f>IFERROR(INDEX(OUT!AM$8:AM$73,MATCH($A12,OUT!$A$8:$A$73,0))&amp;"","")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  <c r="AB12" s="114" t="n"/>
      <c r="AC12" s="114" t="n"/>
      <c r="AD12" s="114" t="n"/>
      <c r="AE12" s="114" t="n"/>
      <c r="AF12" s="114" t="n"/>
      <c r="AG12" s="114" t="n"/>
      <c r="AH12" s="114" t="n"/>
      <c r="AI12" s="114" t="n"/>
      <c r="AJ12" s="114" t="n"/>
      <c r="AK12" s="114" t="n"/>
      <c r="AL12" s="114" t="n"/>
      <c r="AM12" s="100" t="n"/>
      <c r="AN12" s="136">
        <f>IFERROR(INDEX(DEZ!I$8:I$73,MATCH($A12,DEZ!$A$8:$A$73,0))&amp;"","")</f>
        <v/>
      </c>
      <c r="AO12" s="136">
        <f>IFERROR(INDEX(DEZ!J$8:J$73,MATCH($A12,DEZ!$A$8:$A$73,0))&amp;"","")</f>
        <v/>
      </c>
      <c r="AP12" s="136">
        <f>IFERROR(INDEX(DEZ!K$8:K$73,MATCH($A12,DEZ!$A$8:$A$73,0))&amp;"","")</f>
        <v/>
      </c>
      <c r="AQ12" s="136">
        <f>IFERROR(INDEX(DEZ!L$8:L$73,MATCH($A12,DEZ!$A$8:$A$73,0))&amp;"","")</f>
        <v/>
      </c>
      <c r="AR12" s="116">
        <f>IFERROR(INDEX(DEZ!M$8:M$73,MATCH($A12,DEZ!$A$8:$A$73,0))&amp;"","")</f>
        <v/>
      </c>
      <c r="AS12" s="116">
        <f>IFERROR(INDEX(DEZ!N$8:N$73,MATCH($A12,DEZ!$A$8:$A$73,0))&amp;"","")</f>
        <v/>
      </c>
      <c r="AT12" s="117">
        <f>SUMPRODUCT(($C12:$I12="M")*6+($C12:$I12="T")*6+($C12:$I12="D")*12+($C12:$I12="N")*12+($C12:$I12="NT")*6+($C12:$I12="C")*10+($C12:$I12="A")*8+($C12:$I12="J")*5+($C12:$I12="CEP")*4+($C12:$I12="CP")*6+($C12:$I12="CRO")*6+($C12:$I12="M+")*6+($C12:$I12="T+")*6+($C12:$I12="D+")*12+($C12:$I12="N+")*12+($C12:$I12="Dm+")*12+($C12:$I12="Dt+")*12+($C12:$I12="Tm-")*6+($C12:$I12="Mt-")*6)</f>
        <v/>
      </c>
      <c r="AU12" s="118">
        <f>AT12-MAX(0,IFERROR(INDEX(CADASTRO!$I$4:$I$80,MATCH($A12,CADASTRO!$A$4:$A$80,0)),$B12)-CONFIG!$B$50*(COUNTIF($C12:$I12,"AB")+COUNTIF($C12:$I12,"FE")+COUNTIF($C12:$I12,"LM")))</f>
        <v/>
      </c>
      <c r="AV12" s="117">
        <f>SUMPRODUCT(($J12:$P12="M")*6+($J12:$P12="T")*6+($J12:$P12="D")*12+($J12:$P12="N")*12+($J12:$P12="NT")*6+($J12:$P12="C")*10+($J12:$P12="A")*8+($J12:$P12="J")*5+($J12:$P12="CEP")*4+($J12:$P12="CP")*6+($J12:$P12="CRO")*6+($J12:$P12="M+")*6+($J12:$P12="T+")*6+($J12:$P12="D+")*12+($J12:$P12="N+")*12+($J12:$P12="Dm+")*12+($J12:$P12="Dt+")*12+($J12:$P12="Tm-")*6+($J12:$P12="Mt-")*6)</f>
        <v/>
      </c>
      <c r="AW12" s="118">
        <f>AV12-MAX(0,IFERROR(INDEX(CADASTRO!$I$4:$I$80,MATCH($A12,CADASTRO!$A$4:$A$80,0)),$B12)-CONFIG!$B$50*(COUNTIF($J12:$P12,"AB")+COUNTIF($J12:$P12,"FE")+COUNTIF($J12:$P12,"LM")))</f>
        <v/>
      </c>
      <c r="AX12" s="117">
        <f>SUMPRODUCT(($Q12:$W12="M")*6+($Q12:$W12="T")*6+($Q12:$W12="D")*12+($Q12:$W12="N")*12+($Q12:$W12="NT")*6+($Q12:$W12="C")*10+($Q12:$W12="A")*8+($Q12:$W12="J")*5+($Q12:$W12="CEP")*4+($Q12:$W12="CP")*6+($Q12:$W12="CRO")*6+($Q12:$W12="M+")*6+($Q12:$W12="T+")*6+($Q12:$W12="D+")*12+($Q12:$W12="N+")*12+($Q12:$W12="Dm+")*12+($Q12:$W12="Dt+")*12+($Q12:$W12="Tm-")*6+($Q12:$W12="Mt-")*6)</f>
        <v/>
      </c>
      <c r="AY12" s="118">
        <f>AX12-MAX(0,IFERROR(INDEX(CADASTRO!$I$4:$I$80,MATCH($A12,CADASTRO!$A$4:$A$80,0)),$B12)-CONFIG!$B$50*(COUNTIF($Q12:$W12,"AB")+COUNTIF($Q12:$W12,"FE")+COUNTIF($Q12:$W12,"LM")))</f>
        <v/>
      </c>
      <c r="AZ12" s="117">
        <f>SUMPRODUCT(($X12:$AD12="M")*6+($X12:$AD12="T")*6+($X12:$AD12="D")*12+($X12:$AD12="N")*12+($X12:$AD12="NT")*6+($X12:$AD12="C")*10+($X12:$AD12="A")*8+($X12:$AD12="J")*5+($X12:$AD12="CEP")*4+($X12:$AD12="CP")*6+($X12:$AD12="CRO")*6+($X12:$AD12="M+")*6+($X12:$AD12="T+")*6+($X12:$AD12="D+")*12+($X12:$AD12="N+")*12+($X12:$AD12="Dm+")*12+($X12:$AD12="Dt+")*12+($X12:$AD12="Tm-")*6+($X12:$AD12="Mt-")*6)</f>
        <v/>
      </c>
      <c r="BA12" s="118">
        <f>AZ12-MAX(0,IFERROR(INDEX(CADASTRO!$I$4:$I$80,MATCH($A12,CADASTRO!$A$4:$A$80,0)),$B12)-CONFIG!$B$50*(COUNTIF($X12:$AD12,"AB")+COUNTIF($X12:$AD12,"FE")+COUNTIF($X12:$AD12,"LM")))</f>
        <v/>
      </c>
      <c r="BB12" s="117">
        <f>SUMPRODUCT(($AE12:$AK12="M")*6+($AE12:$AK12="T")*6+($AE12:$AK12="D")*12+($AE12:$AK12="N")*12+($AE12:$AK12="NT")*6+($AE12:$AK12="C")*10+($AE12:$AK12="A")*8+($AE12:$AK12="J")*5+($AE12:$AK12="CEP")*4+($AE12:$AK12="CP")*6+($AE12:$AK12="CRO")*6+($AE12:$AK12="M+")*6+($AE12:$AK12="T+")*6+($AE12:$AK12="D+")*12+($AE12:$AK12="N+")*12+($AE12:$AK12="Dm+")*12+($AE12:$AK12="Dt+")*12+($AE12:$AK12="Tm-")*6+($AE12:$AK12="Mt-")*6)</f>
        <v/>
      </c>
      <c r="BC12" s="118">
        <f>BB12-MAX(0,IFERROR(INDEX(CADASTRO!$I$4:$I$80,MATCH($A12,CADASTRO!$A$4:$A$80,0)),$B12)-CONFIG!$B$50*(COUNTIF($AE12:$AK12,"AB")+COUNTIF($AE12:$AK12,"FE")+COUNTIF($AE12:$AK12,"LM")))</f>
        <v/>
      </c>
      <c r="BD12" s="117">
        <f>SUMPRODUCT(($AL12:$AL12="M")*6+($AL12:$AL12="T")*6+($AL12:$AL12="D")*12+($AL12:$AL12="N")*12+($AL12:$AL12="NT")*6+($AL12:$AL12="C")*10+($AL12:$AL12="A")*8+($AL12:$AL12="J")*5+($AL12:$AL12="CEP")*4+($AL12:$AL12="CP")*6+($AL12:$AL12="CRO")*6+($AL12:$AL12="M+")*6+($AL12:$AL12="T+")*6+($AL12:$AL12="D+")*12+($AL12:$AL12="N+")*12+($AL12:$AL12="Dm+")*12+($AL12:$AL12="Dt+")*12+($AL12:$AL12="Tm-")*6+($AL12:$AL12="Mt-")*6)+SUMPRODUCT(($AN12:$AS12="M")*6+($AN12:$AS12="T")*6+($AN12:$AS12="D")*12+($AN12:$AS12="N")*12+($AN12:$AS12="NT")*6+($AN12:$AS12="C")*10+($AN12:$AS12="A")*8+($AN12:$AS12="J")*5+($AN12:$AS12="CEP")*4+($AN12:$AS12="CP")*6+($AN12:$AS12="CRO")*6+($AN12:$AS12="M+")*6+($AN12:$AS12="T+")*6+($AN12:$AS12="D+")*12+($AN12:$AS12="N+")*12+($AN12:$AS12="Dm+")*12+($AN12:$AS12="Dt+")*12+($AN12:$AS12="Tm-")*6+($AN12:$AS12="Mt-")*6)</f>
        <v/>
      </c>
      <c r="BE12" s="118">
        <f>BD12-MAX(0,IFERROR(INDEX(CADASTRO!$I$4:$I$80,MATCH($A12,CADASTRO!$A$4:$A$80,0)),$B12)-CONFIG!$B$50*(COUNTIF($AL12:$AL12,"AB")+COUNTIF($AL12:$AL12,"FE")+COUNTIF($AL12:$AL12,"LM")+COUNTIF($AN12:$AS12,"AB")+COUNTIF($AN12:$AS12,"FE")+COUNTIF($AN12:$AS12,"LM")))</f>
        <v/>
      </c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ROUND(B12*4.29,0)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36">
        <f>IFERROR(INDEX(OUT!AH$8:AH$73,MATCH($A13,OUT!$A$8:$A$73,0))&amp;"","")</f>
        <v/>
      </c>
      <c r="D13" s="136">
        <f>IFERROR(INDEX(OUT!AI$8:AI$73,MATCH($A13,OUT!$A$8:$A$73,0))&amp;"","")</f>
        <v/>
      </c>
      <c r="E13" s="136">
        <f>IFERROR(INDEX(OUT!AJ$8:AJ$73,MATCH($A13,OUT!$A$8:$A$73,0))&amp;"","")</f>
        <v/>
      </c>
      <c r="F13" s="136">
        <f>IFERROR(INDEX(OUT!AK$8:AK$73,MATCH($A13,OUT!$A$8:$A$73,0))&amp;"","")</f>
        <v/>
      </c>
      <c r="G13" s="136">
        <f>IFERROR(INDEX(OUT!AL$8:AL$73,MATCH($A13,OUT!$A$8:$A$73,0))&amp;"","")</f>
        <v/>
      </c>
      <c r="H13" s="116">
        <f>IFERROR(INDEX(OUT!AM$8:AM$73,MATCH($A13,OUT!$A$8:$A$73,0))&amp;"","")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  <c r="AB13" s="114" t="n"/>
      <c r="AC13" s="114" t="n"/>
      <c r="AD13" s="114" t="n"/>
      <c r="AE13" s="114" t="n"/>
      <c r="AF13" s="114" t="n"/>
      <c r="AG13" s="114" t="n"/>
      <c r="AH13" s="114" t="n"/>
      <c r="AI13" s="114" t="n"/>
      <c r="AJ13" s="114" t="n"/>
      <c r="AK13" s="114" t="n"/>
      <c r="AL13" s="114" t="n"/>
      <c r="AM13" s="100" t="n"/>
      <c r="AN13" s="136">
        <f>IFERROR(INDEX(DEZ!I$8:I$73,MATCH($A13,DEZ!$A$8:$A$73,0))&amp;"","")</f>
        <v/>
      </c>
      <c r="AO13" s="136">
        <f>IFERROR(INDEX(DEZ!J$8:J$73,MATCH($A13,DEZ!$A$8:$A$73,0))&amp;"","")</f>
        <v/>
      </c>
      <c r="AP13" s="136">
        <f>IFERROR(INDEX(DEZ!K$8:K$73,MATCH($A13,DEZ!$A$8:$A$73,0))&amp;"","")</f>
        <v/>
      </c>
      <c r="AQ13" s="136">
        <f>IFERROR(INDEX(DEZ!L$8:L$73,MATCH($A13,DEZ!$A$8:$A$73,0))&amp;"","")</f>
        <v/>
      </c>
      <c r="AR13" s="116">
        <f>IFERROR(INDEX(DEZ!M$8:M$73,MATCH($A13,DEZ!$A$8:$A$73,0))&amp;"","")</f>
        <v/>
      </c>
      <c r="AS13" s="116">
        <f>IFERROR(INDEX(DEZ!N$8:N$73,MATCH($A13,DEZ!$A$8:$A$73,0))&amp;"","")</f>
        <v/>
      </c>
      <c r="AT13" s="117">
        <f>SUMPRODUCT(($C13:$I13="M")*6+($C13:$I13="T")*6+($C13:$I13="D")*12+($C13:$I13="N")*12+($C13:$I13="NT")*6+($C13:$I13="C")*10+($C13:$I13="A")*8+($C13:$I13="J")*5+($C13:$I13="CEP")*4+($C13:$I13="CP")*6+($C13:$I13="CRO")*6+($C13:$I13="M+")*6+($C13:$I13="T+")*6+($C13:$I13="D+")*12+($C13:$I13="N+")*12+($C13:$I13="Dm+")*12+($C13:$I13="Dt+")*12+($C13:$I13="Tm-")*6+($C13:$I13="Mt-")*6)</f>
        <v/>
      </c>
      <c r="AU13" s="118">
        <f>AT13-MAX(0,IFERROR(INDEX(CADASTRO!$I$4:$I$80,MATCH($A13,CADASTRO!$A$4:$A$80,0)),$B13)-CONFIG!$B$50*(COUNTIF($C13:$I13,"AB")+COUNTIF($C13:$I13,"FE")+COUNTIF($C13:$I13,"LM")))</f>
        <v/>
      </c>
      <c r="AV13" s="117">
        <f>SUMPRODUCT(($J13:$P13="M")*6+($J13:$P13="T")*6+($J13:$P13="D")*12+($J13:$P13="N")*12+($J13:$P13="NT")*6+($J13:$P13="C")*10+($J13:$P13="A")*8+($J13:$P13="J")*5+($J13:$P13="CEP")*4+($J13:$P13="CP")*6+($J13:$P13="CRO")*6+($J13:$P13="M+")*6+($J13:$P13="T+")*6+($J13:$P13="D+")*12+($J13:$P13="N+")*12+($J13:$P13="Dm+")*12+($J13:$P13="Dt+")*12+($J13:$P13="Tm-")*6+($J13:$P13="Mt-")*6)</f>
        <v/>
      </c>
      <c r="AW13" s="118">
        <f>AV13-MAX(0,IFERROR(INDEX(CADASTRO!$I$4:$I$80,MATCH($A13,CADASTRO!$A$4:$A$80,0)),$B13)-CONFIG!$B$50*(COUNTIF($J13:$P13,"AB")+COUNTIF($J13:$P13,"FE")+COUNTIF($J13:$P13,"LM")))</f>
        <v/>
      </c>
      <c r="AX13" s="117">
        <f>SUMPRODUCT(($Q13:$W13="M")*6+($Q13:$W13="T")*6+($Q13:$W13="D")*12+($Q13:$W13="N")*12+($Q13:$W13="NT")*6+($Q13:$W13="C")*10+($Q13:$W13="A")*8+($Q13:$W13="J")*5+($Q13:$W13="CEP")*4+($Q13:$W13="CP")*6+($Q13:$W13="CRO")*6+($Q13:$W13="M+")*6+($Q13:$W13="T+")*6+($Q13:$W13="D+")*12+($Q13:$W13="N+")*12+($Q13:$W13="Dm+")*12+($Q13:$W13="Dt+")*12+($Q13:$W13="Tm-")*6+($Q13:$W13="Mt-")*6)</f>
        <v/>
      </c>
      <c r="AY13" s="118">
        <f>AX13-MAX(0,IFERROR(INDEX(CADASTRO!$I$4:$I$80,MATCH($A13,CADASTRO!$A$4:$A$80,0)),$B13)-CONFIG!$B$50*(COUNTIF($Q13:$W13,"AB")+COUNTIF($Q13:$W13,"FE")+COUNTIF($Q13:$W13,"LM")))</f>
        <v/>
      </c>
      <c r="AZ13" s="117">
        <f>SUMPRODUCT(($X13:$AD13="M")*6+($X13:$AD13="T")*6+($X13:$AD13="D")*12+($X13:$AD13="N")*12+($X13:$AD13="NT")*6+($X13:$AD13="C")*10+($X13:$AD13="A")*8+($X13:$AD13="J")*5+($X13:$AD13="CEP")*4+($X13:$AD13="CP")*6+($X13:$AD13="CRO")*6+($X13:$AD13="M+")*6+($X13:$AD13="T+")*6+($X13:$AD13="D+")*12+($X13:$AD13="N+")*12+($X13:$AD13="Dm+")*12+($X13:$AD13="Dt+")*12+($X13:$AD13="Tm-")*6+($X13:$AD13="Mt-")*6)</f>
        <v/>
      </c>
      <c r="BA13" s="118">
        <f>AZ13-MAX(0,IFERROR(INDEX(CADASTRO!$I$4:$I$80,MATCH($A13,CADASTRO!$A$4:$A$80,0)),$B13)-CONFIG!$B$50*(COUNTIF($X13:$AD13,"AB")+COUNTIF($X13:$AD13,"FE")+COUNTIF($X13:$AD13,"LM")))</f>
        <v/>
      </c>
      <c r="BB13" s="117">
        <f>SUMPRODUCT(($AE13:$AK13="M")*6+($AE13:$AK13="T")*6+($AE13:$AK13="D")*12+($AE13:$AK13="N")*12+($AE13:$AK13="NT")*6+($AE13:$AK13="C")*10+($AE13:$AK13="A")*8+($AE13:$AK13="J")*5+($AE13:$AK13="CEP")*4+($AE13:$AK13="CP")*6+($AE13:$AK13="CRO")*6+($AE13:$AK13="M+")*6+($AE13:$AK13="T+")*6+($AE13:$AK13="D+")*12+($AE13:$AK13="N+")*12+($AE13:$AK13="Dm+")*12+($AE13:$AK13="Dt+")*12+($AE13:$AK13="Tm-")*6+($AE13:$AK13="Mt-")*6)</f>
        <v/>
      </c>
      <c r="BC13" s="118">
        <f>BB13-MAX(0,IFERROR(INDEX(CADASTRO!$I$4:$I$80,MATCH($A13,CADASTRO!$A$4:$A$80,0)),$B13)-CONFIG!$B$50*(COUNTIF($AE13:$AK13,"AB")+COUNTIF($AE13:$AK13,"FE")+COUNTIF($AE13:$AK13,"LM")))</f>
        <v/>
      </c>
      <c r="BD13" s="117">
        <f>SUMPRODUCT(($AL13:$AL13="M")*6+($AL13:$AL13="T")*6+($AL13:$AL13="D")*12+($AL13:$AL13="N")*12+($AL13:$AL13="NT")*6+($AL13:$AL13="C")*10+($AL13:$AL13="A")*8+($AL13:$AL13="J")*5+($AL13:$AL13="CEP")*4+($AL13:$AL13="CP")*6+($AL13:$AL13="CRO")*6+($AL13:$AL13="M+")*6+($AL13:$AL13="T+")*6+($AL13:$AL13="D+")*12+($AL13:$AL13="N+")*12+($AL13:$AL13="Dm+")*12+($AL13:$AL13="Dt+")*12+($AL13:$AL13="Tm-")*6+($AL13:$AL13="Mt-")*6)+SUMPRODUCT(($AN13:$AS13="M")*6+($AN13:$AS13="T")*6+($AN13:$AS13="D")*12+($AN13:$AS13="N")*12+($AN13:$AS13="NT")*6+($AN13:$AS13="C")*10+($AN13:$AS13="A")*8+($AN13:$AS13="J")*5+($AN13:$AS13="CEP")*4+($AN13:$AS13="CP")*6+($AN13:$AS13="CRO")*6+($AN13:$AS13="M+")*6+($AN13:$AS13="T+")*6+($AN13:$AS13="D+")*12+($AN13:$AS13="N+")*12+($AN13:$AS13="Dm+")*12+($AN13:$AS13="Dt+")*12+($AN13:$AS13="Tm-")*6+($AN13:$AS13="Mt-")*6)</f>
        <v/>
      </c>
      <c r="BE13" s="118">
        <f>BD13-MAX(0,IFERROR(INDEX(CADASTRO!$I$4:$I$80,MATCH($A13,CADASTRO!$A$4:$A$80,0)),$B13)-CONFIG!$B$50*(COUNTIF($AL13:$AL13,"AB")+COUNTIF($AL13:$AL13,"FE")+COUNTIF($AL13:$AL13,"LM")+COUNTIF($AN13:$AS13,"AB")+COUNTIF($AN13:$AS13,"FE")+COUNTIF($AN13:$AS13,"LM")))</f>
        <v/>
      </c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ROUND(B13*4.29,0)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36">
        <f>IFERROR(INDEX(OUT!AH$8:AH$73,MATCH($A14,OUT!$A$8:$A$73,0))&amp;"","")</f>
        <v/>
      </c>
      <c r="D14" s="136">
        <f>IFERROR(INDEX(OUT!AI$8:AI$73,MATCH($A14,OUT!$A$8:$A$73,0))&amp;"","")</f>
        <v/>
      </c>
      <c r="E14" s="136">
        <f>IFERROR(INDEX(OUT!AJ$8:AJ$73,MATCH($A14,OUT!$A$8:$A$73,0))&amp;"","")</f>
        <v/>
      </c>
      <c r="F14" s="136">
        <f>IFERROR(INDEX(OUT!AK$8:AK$73,MATCH($A14,OUT!$A$8:$A$73,0))&amp;"","")</f>
        <v/>
      </c>
      <c r="G14" s="136">
        <f>IFERROR(INDEX(OUT!AL$8:AL$73,MATCH($A14,OUT!$A$8:$A$73,0))&amp;"","")</f>
        <v/>
      </c>
      <c r="H14" s="116">
        <f>IFERROR(INDEX(OUT!AM$8:AM$73,MATCH($A14,OUT!$A$8:$A$73,0))&amp;"","")</f>
        <v/>
      </c>
      <c r="I14" s="124" t="inlineStr">
        <is>
          <t>D</t>
        </is>
      </c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  <c r="AB14" s="114" t="n"/>
      <c r="AC14" s="114" t="n"/>
      <c r="AD14" s="114" t="n"/>
      <c r="AE14" s="114" t="n"/>
      <c r="AF14" s="114" t="n"/>
      <c r="AG14" s="114" t="n"/>
      <c r="AH14" s="114" t="n"/>
      <c r="AI14" s="114" t="n"/>
      <c r="AJ14" s="114" t="n"/>
      <c r="AK14" s="114" t="n"/>
      <c r="AL14" s="114" t="n"/>
      <c r="AM14" s="100" t="n"/>
      <c r="AN14" s="136">
        <f>IFERROR(INDEX(DEZ!I$8:I$73,MATCH($A14,DEZ!$A$8:$A$73,0))&amp;"","")</f>
        <v/>
      </c>
      <c r="AO14" s="136">
        <f>IFERROR(INDEX(DEZ!J$8:J$73,MATCH($A14,DEZ!$A$8:$A$73,0))&amp;"","")</f>
        <v/>
      </c>
      <c r="AP14" s="136">
        <f>IFERROR(INDEX(DEZ!K$8:K$73,MATCH($A14,DEZ!$A$8:$A$73,0))&amp;"","")</f>
        <v/>
      </c>
      <c r="AQ14" s="136">
        <f>IFERROR(INDEX(DEZ!L$8:L$73,MATCH($A14,DEZ!$A$8:$A$73,0))&amp;"","")</f>
        <v/>
      </c>
      <c r="AR14" s="116">
        <f>IFERROR(INDEX(DEZ!M$8:M$73,MATCH($A14,DEZ!$A$8:$A$73,0))&amp;"","")</f>
        <v/>
      </c>
      <c r="AS14" s="116">
        <f>IFERROR(INDEX(DEZ!N$8:N$73,MATCH($A14,DEZ!$A$8:$A$73,0))&amp;"","")</f>
        <v/>
      </c>
      <c r="AT14" s="117">
        <f>SUMPRODUCT(($C14:$I14="M")*6+($C14:$I14="T")*6+($C14:$I14="D")*12+($C14:$I14="N")*12+($C14:$I14="NT")*6+($C14:$I14="C")*10+($C14:$I14="A")*8+($C14:$I14="J")*5+($C14:$I14="CEP")*4+($C14:$I14="CP")*6+($C14:$I14="CRO")*6+($C14:$I14="M+")*6+($C14:$I14="T+")*6+($C14:$I14="D+")*12+($C14:$I14="N+")*12+($C14:$I14="Dm+")*12+($C14:$I14="Dt+")*12+($C14:$I14="Tm-")*6+($C14:$I14="Mt-")*6)</f>
        <v/>
      </c>
      <c r="AU14" s="118">
        <f>AT14-MAX(0,IFERROR(INDEX(CADASTRO!$I$4:$I$80,MATCH($A14,CADASTRO!$A$4:$A$80,0)),$B14)-CONFIG!$B$50*(COUNTIF($C14:$I14,"AB")+COUNTIF($C14:$I14,"FE")+COUNTIF($C14:$I14,"LM")))</f>
        <v/>
      </c>
      <c r="AV14" s="117">
        <f>SUMPRODUCT(($J14:$P14="M")*6+($J14:$P14="T")*6+($J14:$P14="D")*12+($J14:$P14="N")*12+($J14:$P14="NT")*6+($J14:$P14="C")*10+($J14:$P14="A")*8+($J14:$P14="J")*5+($J14:$P14="CEP")*4+($J14:$P14="CP")*6+($J14:$P14="CRO")*6+($J14:$P14="M+")*6+($J14:$P14="T+")*6+($J14:$P14="D+")*12+($J14:$P14="N+")*12+($J14:$P14="Dm+")*12+($J14:$P14="Dt+")*12+($J14:$P14="Tm-")*6+($J14:$P14="Mt-")*6)</f>
        <v/>
      </c>
      <c r="AW14" s="118">
        <f>AV14-MAX(0,IFERROR(INDEX(CADASTRO!$I$4:$I$80,MATCH($A14,CADASTRO!$A$4:$A$80,0)),$B14)-CONFIG!$B$50*(COUNTIF($J14:$P14,"AB")+COUNTIF($J14:$P14,"FE")+COUNTIF($J14:$P14,"LM")))</f>
        <v/>
      </c>
      <c r="AX14" s="117">
        <f>SUMPRODUCT(($Q14:$W14="M")*6+($Q14:$W14="T")*6+($Q14:$W14="D")*12+($Q14:$W14="N")*12+($Q14:$W14="NT")*6+($Q14:$W14="C")*10+($Q14:$W14="A")*8+($Q14:$W14="J")*5+($Q14:$W14="CEP")*4+($Q14:$W14="CP")*6+($Q14:$W14="CRO")*6+($Q14:$W14="M+")*6+($Q14:$W14="T+")*6+($Q14:$W14="D+")*12+($Q14:$W14="N+")*12+($Q14:$W14="Dm+")*12+($Q14:$W14="Dt+")*12+($Q14:$W14="Tm-")*6+($Q14:$W14="Mt-")*6)</f>
        <v/>
      </c>
      <c r="AY14" s="118">
        <f>AX14-MAX(0,IFERROR(INDEX(CADASTRO!$I$4:$I$80,MATCH($A14,CADASTRO!$A$4:$A$80,0)),$B14)-CONFIG!$B$50*(COUNTIF($Q14:$W14,"AB")+COUNTIF($Q14:$W14,"FE")+COUNTIF($Q14:$W14,"LM")))</f>
        <v/>
      </c>
      <c r="AZ14" s="117">
        <f>SUMPRODUCT(($X14:$AD14="M")*6+($X14:$AD14="T")*6+($X14:$AD14="D")*12+($X14:$AD14="N")*12+($X14:$AD14="NT")*6+($X14:$AD14="C")*10+($X14:$AD14="A")*8+($X14:$AD14="J")*5+($X14:$AD14="CEP")*4+($X14:$AD14="CP")*6+($X14:$AD14="CRO")*6+($X14:$AD14="M+")*6+($X14:$AD14="T+")*6+($X14:$AD14="D+")*12+($X14:$AD14="N+")*12+($X14:$AD14="Dm+")*12+($X14:$AD14="Dt+")*12+($X14:$AD14="Tm-")*6+($X14:$AD14="Mt-")*6)</f>
        <v/>
      </c>
      <c r="BA14" s="118">
        <f>AZ14-MAX(0,IFERROR(INDEX(CADASTRO!$I$4:$I$80,MATCH($A14,CADASTRO!$A$4:$A$80,0)),$B14)-CONFIG!$B$50*(COUNTIF($X14:$AD14,"AB")+COUNTIF($X14:$AD14,"FE")+COUNTIF($X14:$AD14,"LM")))</f>
        <v/>
      </c>
      <c r="BB14" s="117">
        <f>SUMPRODUCT(($AE14:$AK14="M")*6+($AE14:$AK14="T")*6+($AE14:$AK14="D")*12+($AE14:$AK14="N")*12+($AE14:$AK14="NT")*6+($AE14:$AK14="C")*10+($AE14:$AK14="A")*8+($AE14:$AK14="J")*5+($AE14:$AK14="CEP")*4+($AE14:$AK14="CP")*6+($AE14:$AK14="CRO")*6+($AE14:$AK14="M+")*6+($AE14:$AK14="T+")*6+($AE14:$AK14="D+")*12+($AE14:$AK14="N+")*12+($AE14:$AK14="Dm+")*12+($AE14:$AK14="Dt+")*12+($AE14:$AK14="Tm-")*6+($AE14:$AK14="Mt-")*6)</f>
        <v/>
      </c>
      <c r="BC14" s="118">
        <f>BB14-MAX(0,IFERROR(INDEX(CADASTRO!$I$4:$I$80,MATCH($A14,CADASTRO!$A$4:$A$80,0)),$B14)-CONFIG!$B$50*(COUNTIF($AE14:$AK14,"AB")+COUNTIF($AE14:$AK14,"FE")+COUNTIF($AE14:$AK14,"LM")))</f>
        <v/>
      </c>
      <c r="BD14" s="117">
        <f>SUMPRODUCT(($AL14:$AL14="M")*6+($AL14:$AL14="T")*6+($AL14:$AL14="D")*12+($AL14:$AL14="N")*12+($AL14:$AL14="NT")*6+($AL14:$AL14="C")*10+($AL14:$AL14="A")*8+($AL14:$AL14="J")*5+($AL14:$AL14="CEP")*4+($AL14:$AL14="CP")*6+($AL14:$AL14="CRO")*6+($AL14:$AL14="M+")*6+($AL14:$AL14="T+")*6+($AL14:$AL14="D+")*12+($AL14:$AL14="N+")*12+($AL14:$AL14="Dm+")*12+($AL14:$AL14="Dt+")*12+($AL14:$AL14="Tm-")*6+($AL14:$AL14="Mt-")*6)+SUMPRODUCT(($AN14:$AS14="M")*6+($AN14:$AS14="T")*6+($AN14:$AS14="D")*12+($AN14:$AS14="N")*12+($AN14:$AS14="NT")*6+($AN14:$AS14="C")*10+($AN14:$AS14="A")*8+($AN14:$AS14="J")*5+($AN14:$AS14="CEP")*4+($AN14:$AS14="CP")*6+($AN14:$AS14="CRO")*6+($AN14:$AS14="M+")*6+($AN14:$AS14="T+")*6+($AN14:$AS14="D+")*12+($AN14:$AS14="N+")*12+($AN14:$AS14="Dm+")*12+($AN14:$AS14="Dt+")*12+($AN14:$AS14="Tm-")*6+($AN14:$AS14="Mt-")*6)</f>
        <v/>
      </c>
      <c r="BE14" s="118">
        <f>BD14-MAX(0,IFERROR(INDEX(CADASTRO!$I$4:$I$80,MATCH($A14,CADASTRO!$A$4:$A$80,0)),$B14)-CONFIG!$B$50*(COUNTIF($AL14:$AL14,"AB")+COUNTIF($AL14:$AL14,"FE")+COUNTIF($AL14:$AL14,"LM")+COUNTIF($AN14:$AS14,"AB")+COUNTIF($AN14:$AS14,"FE")+COUNTIF($AN14:$AS14,"LM")))</f>
        <v/>
      </c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ROUND(B14*4.29,0)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36">
        <f>IFERROR(INDEX(OUT!AH$8:AH$73,MATCH($A15,OUT!$A$8:$A$73,0))&amp;"","")</f>
        <v/>
      </c>
      <c r="D15" s="136">
        <f>IFERROR(INDEX(OUT!AI$8:AI$73,MATCH($A15,OUT!$A$8:$A$73,0))&amp;"","")</f>
        <v/>
      </c>
      <c r="E15" s="136">
        <f>IFERROR(INDEX(OUT!AJ$8:AJ$73,MATCH($A15,OUT!$A$8:$A$73,0))&amp;"","")</f>
        <v/>
      </c>
      <c r="F15" s="136">
        <f>IFERROR(INDEX(OUT!AK$8:AK$73,MATCH($A15,OUT!$A$8:$A$73,0))&amp;"","")</f>
        <v/>
      </c>
      <c r="G15" s="136">
        <f>IFERROR(INDEX(OUT!AL$8:AL$73,MATCH($A15,OUT!$A$8:$A$73,0))&amp;"","")</f>
        <v/>
      </c>
      <c r="H15" s="116">
        <f>IFERROR(INDEX(OUT!AM$8:AM$73,MATCH($A15,OUT!$A$8:$A$73,0))&amp;"","")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  <c r="AH15" s="114" t="n"/>
      <c r="AI15" s="114" t="n"/>
      <c r="AJ15" s="114" t="n"/>
      <c r="AK15" s="114" t="n"/>
      <c r="AL15" s="114" t="n"/>
      <c r="AM15" s="100" t="n"/>
      <c r="AN15" s="136">
        <f>IFERROR(INDEX(DEZ!I$8:I$73,MATCH($A15,DEZ!$A$8:$A$73,0))&amp;"","")</f>
        <v/>
      </c>
      <c r="AO15" s="136">
        <f>IFERROR(INDEX(DEZ!J$8:J$73,MATCH($A15,DEZ!$A$8:$A$73,0))&amp;"","")</f>
        <v/>
      </c>
      <c r="AP15" s="136">
        <f>IFERROR(INDEX(DEZ!K$8:K$73,MATCH($A15,DEZ!$A$8:$A$73,0))&amp;"","")</f>
        <v/>
      </c>
      <c r="AQ15" s="136">
        <f>IFERROR(INDEX(DEZ!L$8:L$73,MATCH($A15,DEZ!$A$8:$A$73,0))&amp;"","")</f>
        <v/>
      </c>
      <c r="AR15" s="116">
        <f>IFERROR(INDEX(DEZ!M$8:M$73,MATCH($A15,DEZ!$A$8:$A$73,0))&amp;"","")</f>
        <v/>
      </c>
      <c r="AS15" s="116">
        <f>IFERROR(INDEX(DEZ!N$8:N$73,MATCH($A15,DEZ!$A$8:$A$73,0))&amp;"","")</f>
        <v/>
      </c>
      <c r="AT15" s="117">
        <f>SUMPRODUCT(($C15:$I15="M")*6+($C15:$I15="T")*6+($C15:$I15="D")*12+($C15:$I15="N")*12+($C15:$I15="NT")*6+($C15:$I15="C")*10+($C15:$I15="A")*8+($C15:$I15="J")*5+($C15:$I15="CEP")*4+($C15:$I15="CP")*6+($C15:$I15="CRO")*6+($C15:$I15="M+")*6+($C15:$I15="T+")*6+($C15:$I15="D+")*12+($C15:$I15="N+")*12+($C15:$I15="Dm+")*12+($C15:$I15="Dt+")*12+($C15:$I15="Tm-")*6+($C15:$I15="Mt-")*6)</f>
        <v/>
      </c>
      <c r="AU15" s="118">
        <f>AT15-MAX(0,IFERROR(INDEX(CADASTRO!$I$4:$I$80,MATCH($A15,CADASTRO!$A$4:$A$80,0)),$B15)-CONFIG!$B$50*(COUNTIF($C15:$I15,"AB")+COUNTIF($C15:$I15,"FE")+COUNTIF($C15:$I15,"LM")))</f>
        <v/>
      </c>
      <c r="AV15" s="117">
        <f>SUMPRODUCT(($J15:$P15="M")*6+($J15:$P15="T")*6+($J15:$P15="D")*12+($J15:$P15="N")*12+($J15:$P15="NT")*6+($J15:$P15="C")*10+($J15:$P15="A")*8+($J15:$P15="J")*5+($J15:$P15="CEP")*4+($J15:$P15="CP")*6+($J15:$P15="CRO")*6+($J15:$P15="M+")*6+($J15:$P15="T+")*6+($J15:$P15="D+")*12+($J15:$P15="N+")*12+($J15:$P15="Dm+")*12+($J15:$P15="Dt+")*12+($J15:$P15="Tm-")*6+($J15:$P15="Mt-")*6)</f>
        <v/>
      </c>
      <c r="AW15" s="118">
        <f>AV15-MAX(0,IFERROR(INDEX(CADASTRO!$I$4:$I$80,MATCH($A15,CADASTRO!$A$4:$A$80,0)),$B15)-CONFIG!$B$50*(COUNTIF($J15:$P15,"AB")+COUNTIF($J15:$P15,"FE")+COUNTIF($J15:$P15,"LM")))</f>
        <v/>
      </c>
      <c r="AX15" s="117">
        <f>SUMPRODUCT(($Q15:$W15="M")*6+($Q15:$W15="T")*6+($Q15:$W15="D")*12+($Q15:$W15="N")*12+($Q15:$W15="NT")*6+($Q15:$W15="C")*10+($Q15:$W15="A")*8+($Q15:$W15="J")*5+($Q15:$W15="CEP")*4+($Q15:$W15="CP")*6+($Q15:$W15="CRO")*6+($Q15:$W15="M+")*6+($Q15:$W15="T+")*6+($Q15:$W15="D+")*12+($Q15:$W15="N+")*12+($Q15:$W15="Dm+")*12+($Q15:$W15="Dt+")*12+($Q15:$W15="Tm-")*6+($Q15:$W15="Mt-")*6)</f>
        <v/>
      </c>
      <c r="AY15" s="118">
        <f>AX15-MAX(0,IFERROR(INDEX(CADASTRO!$I$4:$I$80,MATCH($A15,CADASTRO!$A$4:$A$80,0)),$B15)-CONFIG!$B$50*(COUNTIF($Q15:$W15,"AB")+COUNTIF($Q15:$W15,"FE")+COUNTIF($Q15:$W15,"LM")))</f>
        <v/>
      </c>
      <c r="AZ15" s="117">
        <f>SUMPRODUCT(($X15:$AD15="M")*6+($X15:$AD15="T")*6+($X15:$AD15="D")*12+($X15:$AD15="N")*12+($X15:$AD15="NT")*6+($X15:$AD15="C")*10+($X15:$AD15="A")*8+($X15:$AD15="J")*5+($X15:$AD15="CEP")*4+($X15:$AD15="CP")*6+($X15:$AD15="CRO")*6+($X15:$AD15="M+")*6+($X15:$AD15="T+")*6+($X15:$AD15="D+")*12+($X15:$AD15="N+")*12+($X15:$AD15="Dm+")*12+($X15:$AD15="Dt+")*12+($X15:$AD15="Tm-")*6+($X15:$AD15="Mt-")*6)</f>
        <v/>
      </c>
      <c r="BA15" s="118">
        <f>AZ15-MAX(0,IFERROR(INDEX(CADASTRO!$I$4:$I$80,MATCH($A15,CADASTRO!$A$4:$A$80,0)),$B15)-CONFIG!$B$50*(COUNTIF($X15:$AD15,"AB")+COUNTIF($X15:$AD15,"FE")+COUNTIF($X15:$AD15,"LM")))</f>
        <v/>
      </c>
      <c r="BB15" s="117">
        <f>SUMPRODUCT(($AE15:$AK15="M")*6+($AE15:$AK15="T")*6+($AE15:$AK15="D")*12+($AE15:$AK15="N")*12+($AE15:$AK15="NT")*6+($AE15:$AK15="C")*10+($AE15:$AK15="A")*8+($AE15:$AK15="J")*5+($AE15:$AK15="CEP")*4+($AE15:$AK15="CP")*6+($AE15:$AK15="CRO")*6+($AE15:$AK15="M+")*6+($AE15:$AK15="T+")*6+($AE15:$AK15="D+")*12+($AE15:$AK15="N+")*12+($AE15:$AK15="Dm+")*12+($AE15:$AK15="Dt+")*12+($AE15:$AK15="Tm-")*6+($AE15:$AK15="Mt-")*6)</f>
        <v/>
      </c>
      <c r="BC15" s="118">
        <f>BB15-MAX(0,IFERROR(INDEX(CADASTRO!$I$4:$I$80,MATCH($A15,CADASTRO!$A$4:$A$80,0)),$B15)-CONFIG!$B$50*(COUNTIF($AE15:$AK15,"AB")+COUNTIF($AE15:$AK15,"FE")+COUNTIF($AE15:$AK15,"LM")))</f>
        <v/>
      </c>
      <c r="BD15" s="117">
        <f>SUMPRODUCT(($AL15:$AL15="M")*6+($AL15:$AL15="T")*6+($AL15:$AL15="D")*12+($AL15:$AL15="N")*12+($AL15:$AL15="NT")*6+($AL15:$AL15="C")*10+($AL15:$AL15="A")*8+($AL15:$AL15="J")*5+($AL15:$AL15="CEP")*4+($AL15:$AL15="CP")*6+($AL15:$AL15="CRO")*6+($AL15:$AL15="M+")*6+($AL15:$AL15="T+")*6+($AL15:$AL15="D+")*12+($AL15:$AL15="N+")*12+($AL15:$AL15="Dm+")*12+($AL15:$AL15="Dt+")*12+($AL15:$AL15="Tm-")*6+($AL15:$AL15="Mt-")*6)+SUMPRODUCT(($AN15:$AS15="M")*6+($AN15:$AS15="T")*6+($AN15:$AS15="D")*12+($AN15:$AS15="N")*12+($AN15:$AS15="NT")*6+($AN15:$AS15="C")*10+($AN15:$AS15="A")*8+($AN15:$AS15="J")*5+($AN15:$AS15="CEP")*4+($AN15:$AS15="CP")*6+($AN15:$AS15="CRO")*6+($AN15:$AS15="M+")*6+($AN15:$AS15="T+")*6+($AN15:$AS15="D+")*12+($AN15:$AS15="N+")*12+($AN15:$AS15="Dm+")*12+($AN15:$AS15="Dt+")*12+($AN15:$AS15="Tm-")*6+($AN15:$AS15="Mt-")*6)</f>
        <v/>
      </c>
      <c r="BE15" s="118">
        <f>BD15-MAX(0,IFERROR(INDEX(CADASTRO!$I$4:$I$80,MATCH($A15,CADASTRO!$A$4:$A$80,0)),$B15)-CONFIG!$B$50*(COUNTIF($AL15:$AL15,"AB")+COUNTIF($AL15:$AL15,"FE")+COUNTIF($AL15:$AL15,"LM")+COUNTIF($AN15:$AS15,"AB")+COUNTIF($AN15:$AS15,"FE")+COUNTIF($AN15:$AS15,"LM")))</f>
        <v/>
      </c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ROUND(B15*4.29,0)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36">
        <f>IFERROR(INDEX(OUT!AH$8:AH$73,MATCH($A16,OUT!$A$8:$A$73,0))&amp;"","")</f>
        <v/>
      </c>
      <c r="D16" s="136">
        <f>IFERROR(INDEX(OUT!AI$8:AI$73,MATCH($A16,OUT!$A$8:$A$73,0))&amp;"","")</f>
        <v/>
      </c>
      <c r="E16" s="136">
        <f>IFERROR(INDEX(OUT!AJ$8:AJ$73,MATCH($A16,OUT!$A$8:$A$73,0))&amp;"","")</f>
        <v/>
      </c>
      <c r="F16" s="136">
        <f>IFERROR(INDEX(OUT!AK$8:AK$73,MATCH($A16,OUT!$A$8:$A$73,0))&amp;"","")</f>
        <v/>
      </c>
      <c r="G16" s="136">
        <f>IFERROR(INDEX(OUT!AL$8:AL$73,MATCH($A16,OUT!$A$8:$A$73,0))&amp;"","")</f>
        <v/>
      </c>
      <c r="H16" s="116">
        <f>IFERROR(INDEX(OUT!AM$8:AM$73,MATCH($A16,OUT!$A$8:$A$73,0))&amp;"","")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4" t="n"/>
      <c r="AI16" s="114" t="n"/>
      <c r="AJ16" s="114" t="n"/>
      <c r="AK16" s="114" t="n"/>
      <c r="AL16" s="114" t="n"/>
      <c r="AM16" s="100" t="n"/>
      <c r="AN16" s="136">
        <f>IFERROR(INDEX(DEZ!I$8:I$73,MATCH($A16,DEZ!$A$8:$A$73,0))&amp;"","")</f>
        <v/>
      </c>
      <c r="AO16" s="136">
        <f>IFERROR(INDEX(DEZ!J$8:J$73,MATCH($A16,DEZ!$A$8:$A$73,0))&amp;"","")</f>
        <v/>
      </c>
      <c r="AP16" s="136">
        <f>IFERROR(INDEX(DEZ!K$8:K$73,MATCH($A16,DEZ!$A$8:$A$73,0))&amp;"","")</f>
        <v/>
      </c>
      <c r="AQ16" s="136">
        <f>IFERROR(INDEX(DEZ!L$8:L$73,MATCH($A16,DEZ!$A$8:$A$73,0))&amp;"","")</f>
        <v/>
      </c>
      <c r="AR16" s="116">
        <f>IFERROR(INDEX(DEZ!M$8:M$73,MATCH($A16,DEZ!$A$8:$A$73,0))&amp;"","")</f>
        <v/>
      </c>
      <c r="AS16" s="116">
        <f>IFERROR(INDEX(DEZ!N$8:N$73,MATCH($A16,DEZ!$A$8:$A$73,0))&amp;"","")</f>
        <v/>
      </c>
      <c r="AT16" s="117">
        <f>SUMPRODUCT(($C16:$I16="M")*6+($C16:$I16="T")*6+($C16:$I16="D")*12+($C16:$I16="N")*12+($C16:$I16="NT")*6+($C16:$I16="C")*10+($C16:$I16="A")*8+($C16:$I16="J")*5+($C16:$I16="CEP")*4+($C16:$I16="CP")*6+($C16:$I16="CRO")*6+($C16:$I16="M+")*6+($C16:$I16="T+")*6+($C16:$I16="D+")*12+($C16:$I16="N+")*12+($C16:$I16="Dm+")*12+($C16:$I16="Dt+")*12+($C16:$I16="Tm-")*6+($C16:$I16="Mt-")*6)</f>
        <v/>
      </c>
      <c r="AU16" s="118">
        <f>AT16-MAX(0,IFERROR(INDEX(CADASTRO!$I$4:$I$80,MATCH($A16,CADASTRO!$A$4:$A$80,0)),$B16)-CONFIG!$B$50*(COUNTIF($C16:$I16,"AB")+COUNTIF($C16:$I16,"FE")+COUNTIF($C16:$I16,"LM")))</f>
        <v/>
      </c>
      <c r="AV16" s="117">
        <f>SUMPRODUCT(($J16:$P16="M")*6+($J16:$P16="T")*6+($J16:$P16="D")*12+($J16:$P16="N")*12+($J16:$P16="NT")*6+($J16:$P16="C")*10+($J16:$P16="A")*8+($J16:$P16="J")*5+($J16:$P16="CEP")*4+($J16:$P16="CP")*6+($J16:$P16="CRO")*6+($J16:$P16="M+")*6+($J16:$P16="T+")*6+($J16:$P16="D+")*12+($J16:$P16="N+")*12+($J16:$P16="Dm+")*12+($J16:$P16="Dt+")*12+($J16:$P16="Tm-")*6+($J16:$P16="Mt-")*6)</f>
        <v/>
      </c>
      <c r="AW16" s="118">
        <f>AV16-MAX(0,IFERROR(INDEX(CADASTRO!$I$4:$I$80,MATCH($A16,CADASTRO!$A$4:$A$80,0)),$B16)-CONFIG!$B$50*(COUNTIF($J16:$P16,"AB")+COUNTIF($J16:$P16,"FE")+COUNTIF($J16:$P16,"LM")))</f>
        <v/>
      </c>
      <c r="AX16" s="117">
        <f>SUMPRODUCT(($Q16:$W16="M")*6+($Q16:$W16="T")*6+($Q16:$W16="D")*12+($Q16:$W16="N")*12+($Q16:$W16="NT")*6+($Q16:$W16="C")*10+($Q16:$W16="A")*8+($Q16:$W16="J")*5+($Q16:$W16="CEP")*4+($Q16:$W16="CP")*6+($Q16:$W16="CRO")*6+($Q16:$W16="M+")*6+($Q16:$W16="T+")*6+($Q16:$W16="D+")*12+($Q16:$W16="N+")*12+($Q16:$W16="Dm+")*12+($Q16:$W16="Dt+")*12+($Q16:$W16="Tm-")*6+($Q16:$W16="Mt-")*6)</f>
        <v/>
      </c>
      <c r="AY16" s="118">
        <f>AX16-MAX(0,IFERROR(INDEX(CADASTRO!$I$4:$I$80,MATCH($A16,CADASTRO!$A$4:$A$80,0)),$B16)-CONFIG!$B$50*(COUNTIF($Q16:$W16,"AB")+COUNTIF($Q16:$W16,"FE")+COUNTIF($Q16:$W16,"LM")))</f>
        <v/>
      </c>
      <c r="AZ16" s="117">
        <f>SUMPRODUCT(($X16:$AD16="M")*6+($X16:$AD16="T")*6+($X16:$AD16="D")*12+($X16:$AD16="N")*12+($X16:$AD16="NT")*6+($X16:$AD16="C")*10+($X16:$AD16="A")*8+($X16:$AD16="J")*5+($X16:$AD16="CEP")*4+($X16:$AD16="CP")*6+($X16:$AD16="CRO")*6+($X16:$AD16="M+")*6+($X16:$AD16="T+")*6+($X16:$AD16="D+")*12+($X16:$AD16="N+")*12+($X16:$AD16="Dm+")*12+($X16:$AD16="Dt+")*12+($X16:$AD16="Tm-")*6+($X16:$AD16="Mt-")*6)</f>
        <v/>
      </c>
      <c r="BA16" s="118">
        <f>AZ16-MAX(0,IFERROR(INDEX(CADASTRO!$I$4:$I$80,MATCH($A16,CADASTRO!$A$4:$A$80,0)),$B16)-CONFIG!$B$50*(COUNTIF($X16:$AD16,"AB")+COUNTIF($X16:$AD16,"FE")+COUNTIF($X16:$AD16,"LM")))</f>
        <v/>
      </c>
      <c r="BB16" s="117">
        <f>SUMPRODUCT(($AE16:$AK16="M")*6+($AE16:$AK16="T")*6+($AE16:$AK16="D")*12+($AE16:$AK16="N")*12+($AE16:$AK16="NT")*6+($AE16:$AK16="C")*10+($AE16:$AK16="A")*8+($AE16:$AK16="J")*5+($AE16:$AK16="CEP")*4+($AE16:$AK16="CP")*6+($AE16:$AK16="CRO")*6+($AE16:$AK16="M+")*6+($AE16:$AK16="T+")*6+($AE16:$AK16="D+")*12+($AE16:$AK16="N+")*12+($AE16:$AK16="Dm+")*12+($AE16:$AK16="Dt+")*12+($AE16:$AK16="Tm-")*6+($AE16:$AK16="Mt-")*6)</f>
        <v/>
      </c>
      <c r="BC16" s="118">
        <f>BB16-MAX(0,IFERROR(INDEX(CADASTRO!$I$4:$I$80,MATCH($A16,CADASTRO!$A$4:$A$80,0)),$B16)-CONFIG!$B$50*(COUNTIF($AE16:$AK16,"AB")+COUNTIF($AE16:$AK16,"FE")+COUNTIF($AE16:$AK16,"LM")))</f>
        <v/>
      </c>
      <c r="BD16" s="117">
        <f>SUMPRODUCT(($AL16:$AL16="M")*6+($AL16:$AL16="T")*6+($AL16:$AL16="D")*12+($AL16:$AL16="N")*12+($AL16:$AL16="NT")*6+($AL16:$AL16="C")*10+($AL16:$AL16="A")*8+($AL16:$AL16="J")*5+($AL16:$AL16="CEP")*4+($AL16:$AL16="CP")*6+($AL16:$AL16="CRO")*6+($AL16:$AL16="M+")*6+($AL16:$AL16="T+")*6+($AL16:$AL16="D+")*12+($AL16:$AL16="N+")*12+($AL16:$AL16="Dm+")*12+($AL16:$AL16="Dt+")*12+($AL16:$AL16="Tm-")*6+($AL16:$AL16="Mt-")*6)+SUMPRODUCT(($AN16:$AS16="M")*6+($AN16:$AS16="T")*6+($AN16:$AS16="D")*12+($AN16:$AS16="N")*12+($AN16:$AS16="NT")*6+($AN16:$AS16="C")*10+($AN16:$AS16="A")*8+($AN16:$AS16="J")*5+($AN16:$AS16="CEP")*4+($AN16:$AS16="CP")*6+($AN16:$AS16="CRO")*6+($AN16:$AS16="M+")*6+($AN16:$AS16="T+")*6+($AN16:$AS16="D+")*12+($AN16:$AS16="N+")*12+($AN16:$AS16="Dm+")*12+($AN16:$AS16="Dt+")*12+($AN16:$AS16="Tm-")*6+($AN16:$AS16="Mt-")*6)</f>
        <v/>
      </c>
      <c r="BE16" s="118">
        <f>BD16-MAX(0,IFERROR(INDEX(CADASTRO!$I$4:$I$80,MATCH($A16,CADASTRO!$A$4:$A$80,0)),$B16)-CONFIG!$B$50*(COUNTIF($AL16:$AL16,"AB")+COUNTIF($AL16:$AL16,"FE")+COUNTIF($AL16:$AL16,"LM")+COUNTIF($AN16:$AS16,"AB")+COUNTIF($AN16:$AS16,"FE")+COUNTIF($AN16:$AS16,"LM")))</f>
        <v/>
      </c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ROUND(B16*4.29,0)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36">
        <f>IFERROR(INDEX(OUT!AH$8:AH$73,MATCH($A17,OUT!$A$8:$A$73,0))&amp;"","")</f>
        <v/>
      </c>
      <c r="D17" s="136">
        <f>IFERROR(INDEX(OUT!AI$8:AI$73,MATCH($A17,OUT!$A$8:$A$73,0))&amp;"","")</f>
        <v/>
      </c>
      <c r="E17" s="136">
        <f>IFERROR(INDEX(OUT!AJ$8:AJ$73,MATCH($A17,OUT!$A$8:$A$73,0))&amp;"","")</f>
        <v/>
      </c>
      <c r="F17" s="136">
        <f>IFERROR(INDEX(OUT!AK$8:AK$73,MATCH($A17,OUT!$A$8:$A$73,0))&amp;"","")</f>
        <v/>
      </c>
      <c r="G17" s="136">
        <f>IFERROR(INDEX(OUT!AL$8:AL$73,MATCH($A17,OUT!$A$8:$A$73,0))&amp;"","")</f>
        <v/>
      </c>
      <c r="H17" s="116">
        <f>IFERROR(INDEX(OUT!AM$8:AM$73,MATCH($A17,OUT!$A$8:$A$73,0))&amp;"","")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  <c r="AB17" s="114" t="n"/>
      <c r="AC17" s="114" t="n"/>
      <c r="AD17" s="114" t="n"/>
      <c r="AE17" s="114" t="n"/>
      <c r="AF17" s="114" t="n"/>
      <c r="AG17" s="114" t="n"/>
      <c r="AH17" s="114" t="n"/>
      <c r="AI17" s="114" t="n"/>
      <c r="AJ17" s="114" t="n"/>
      <c r="AK17" s="114" t="n"/>
      <c r="AL17" s="114" t="n"/>
      <c r="AM17" s="100" t="n"/>
      <c r="AN17" s="136">
        <f>IFERROR(INDEX(DEZ!I$8:I$73,MATCH($A17,DEZ!$A$8:$A$73,0))&amp;"","")</f>
        <v/>
      </c>
      <c r="AO17" s="136">
        <f>IFERROR(INDEX(DEZ!J$8:J$73,MATCH($A17,DEZ!$A$8:$A$73,0))&amp;"","")</f>
        <v/>
      </c>
      <c r="AP17" s="136">
        <f>IFERROR(INDEX(DEZ!K$8:K$73,MATCH($A17,DEZ!$A$8:$A$73,0))&amp;"","")</f>
        <v/>
      </c>
      <c r="AQ17" s="136">
        <f>IFERROR(INDEX(DEZ!L$8:L$73,MATCH($A17,DEZ!$A$8:$A$73,0))&amp;"","")</f>
        <v/>
      </c>
      <c r="AR17" s="116">
        <f>IFERROR(INDEX(DEZ!M$8:M$73,MATCH($A17,DEZ!$A$8:$A$73,0))&amp;"","")</f>
        <v/>
      </c>
      <c r="AS17" s="116">
        <f>IFERROR(INDEX(DEZ!N$8:N$73,MATCH($A17,DEZ!$A$8:$A$73,0))&amp;"","")</f>
        <v/>
      </c>
      <c r="AT17" s="117">
        <f>SUMPRODUCT(($C17:$I17="M")*6+($C17:$I17="T")*6+($C17:$I17="D")*12+($C17:$I17="N")*12+($C17:$I17="NT")*6+($C17:$I17="C")*10+($C17:$I17="A")*8+($C17:$I17="J")*5+($C17:$I17="CEP")*4+($C17:$I17="CP")*6+($C17:$I17="CRO")*6+($C17:$I17="M+")*6+($C17:$I17="T+")*6+($C17:$I17="D+")*12+($C17:$I17="N+")*12+($C17:$I17="Dm+")*12+($C17:$I17="Dt+")*12+($C17:$I17="Tm-")*6+($C17:$I17="Mt-")*6)</f>
        <v/>
      </c>
      <c r="AU17" s="118">
        <f>AT17-MAX(0,IFERROR(INDEX(CADASTRO!$I$4:$I$80,MATCH($A17,CADASTRO!$A$4:$A$80,0)),$B17)-CONFIG!$B$50*(COUNTIF($C17:$I17,"AB")+COUNTIF($C17:$I17,"FE")+COUNTIF($C17:$I17,"LM")))</f>
        <v/>
      </c>
      <c r="AV17" s="117">
        <f>SUMPRODUCT(($J17:$P17="M")*6+($J17:$P17="T")*6+($J17:$P17="D")*12+($J17:$P17="N")*12+($J17:$P17="NT")*6+($J17:$P17="C")*10+($J17:$P17="A")*8+($J17:$P17="J")*5+($J17:$P17="CEP")*4+($J17:$P17="CP")*6+($J17:$P17="CRO")*6+($J17:$P17="M+")*6+($J17:$P17="T+")*6+($J17:$P17="D+")*12+($J17:$P17="N+")*12+($J17:$P17="Dm+")*12+($J17:$P17="Dt+")*12+($J17:$P17="Tm-")*6+($J17:$P17="Mt-")*6)</f>
        <v/>
      </c>
      <c r="AW17" s="118">
        <f>AV17-MAX(0,IFERROR(INDEX(CADASTRO!$I$4:$I$80,MATCH($A17,CADASTRO!$A$4:$A$80,0)),$B17)-CONFIG!$B$50*(COUNTIF($J17:$P17,"AB")+COUNTIF($J17:$P17,"FE")+COUNTIF($J17:$P17,"LM")))</f>
        <v/>
      </c>
      <c r="AX17" s="117">
        <f>SUMPRODUCT(($Q17:$W17="M")*6+($Q17:$W17="T")*6+($Q17:$W17="D")*12+($Q17:$W17="N")*12+($Q17:$W17="NT")*6+($Q17:$W17="C")*10+($Q17:$W17="A")*8+($Q17:$W17="J")*5+($Q17:$W17="CEP")*4+($Q17:$W17="CP")*6+($Q17:$W17="CRO")*6+($Q17:$W17="M+")*6+($Q17:$W17="T+")*6+($Q17:$W17="D+")*12+($Q17:$W17="N+")*12+($Q17:$W17="Dm+")*12+($Q17:$W17="Dt+")*12+($Q17:$W17="Tm-")*6+($Q17:$W17="Mt-")*6)</f>
        <v/>
      </c>
      <c r="AY17" s="118">
        <f>AX17-MAX(0,IFERROR(INDEX(CADASTRO!$I$4:$I$80,MATCH($A17,CADASTRO!$A$4:$A$80,0)),$B17)-CONFIG!$B$50*(COUNTIF($Q17:$W17,"AB")+COUNTIF($Q17:$W17,"FE")+COUNTIF($Q17:$W17,"LM")))</f>
        <v/>
      </c>
      <c r="AZ17" s="117">
        <f>SUMPRODUCT(($X17:$AD17="M")*6+($X17:$AD17="T")*6+($X17:$AD17="D")*12+($X17:$AD17="N")*12+($X17:$AD17="NT")*6+($X17:$AD17="C")*10+($X17:$AD17="A")*8+($X17:$AD17="J")*5+($X17:$AD17="CEP")*4+($X17:$AD17="CP")*6+($X17:$AD17="CRO")*6+($X17:$AD17="M+")*6+($X17:$AD17="T+")*6+($X17:$AD17="D+")*12+($X17:$AD17="N+")*12+($X17:$AD17="Dm+")*12+($X17:$AD17="Dt+")*12+($X17:$AD17="Tm-")*6+($X17:$AD17="Mt-")*6)</f>
        <v/>
      </c>
      <c r="BA17" s="118">
        <f>AZ17-MAX(0,IFERROR(INDEX(CADASTRO!$I$4:$I$80,MATCH($A17,CADASTRO!$A$4:$A$80,0)),$B17)-CONFIG!$B$50*(COUNTIF($X17:$AD17,"AB")+COUNTIF($X17:$AD17,"FE")+COUNTIF($X17:$AD17,"LM")))</f>
        <v/>
      </c>
      <c r="BB17" s="117">
        <f>SUMPRODUCT(($AE17:$AK17="M")*6+($AE17:$AK17="T")*6+($AE17:$AK17="D")*12+($AE17:$AK17="N")*12+($AE17:$AK17="NT")*6+($AE17:$AK17="C")*10+($AE17:$AK17="A")*8+($AE17:$AK17="J")*5+($AE17:$AK17="CEP")*4+($AE17:$AK17="CP")*6+($AE17:$AK17="CRO")*6+($AE17:$AK17="M+")*6+($AE17:$AK17="T+")*6+($AE17:$AK17="D+")*12+($AE17:$AK17="N+")*12+($AE17:$AK17="Dm+")*12+($AE17:$AK17="Dt+")*12+($AE17:$AK17="Tm-")*6+($AE17:$AK17="Mt-")*6)</f>
        <v/>
      </c>
      <c r="BC17" s="118">
        <f>BB17-MAX(0,IFERROR(INDEX(CADASTRO!$I$4:$I$80,MATCH($A17,CADASTRO!$A$4:$A$80,0)),$B17)-CONFIG!$B$50*(COUNTIF($AE17:$AK17,"AB")+COUNTIF($AE17:$AK17,"FE")+COUNTIF($AE17:$AK17,"LM")))</f>
        <v/>
      </c>
      <c r="BD17" s="117">
        <f>SUMPRODUCT(($AL17:$AL17="M")*6+($AL17:$AL17="T")*6+($AL17:$AL17="D")*12+($AL17:$AL17="N")*12+($AL17:$AL17="NT")*6+($AL17:$AL17="C")*10+($AL17:$AL17="A")*8+($AL17:$AL17="J")*5+($AL17:$AL17="CEP")*4+($AL17:$AL17="CP")*6+($AL17:$AL17="CRO")*6+($AL17:$AL17="M+")*6+($AL17:$AL17="T+")*6+($AL17:$AL17="D+")*12+($AL17:$AL17="N+")*12+($AL17:$AL17="Dm+")*12+($AL17:$AL17="Dt+")*12+($AL17:$AL17="Tm-")*6+($AL17:$AL17="Mt-")*6)+SUMPRODUCT(($AN17:$AS17="M")*6+($AN17:$AS17="T")*6+($AN17:$AS17="D")*12+($AN17:$AS17="N")*12+($AN17:$AS17="NT")*6+($AN17:$AS17="C")*10+($AN17:$AS17="A")*8+($AN17:$AS17="J")*5+($AN17:$AS17="CEP")*4+($AN17:$AS17="CP")*6+($AN17:$AS17="CRO")*6+($AN17:$AS17="M+")*6+($AN17:$AS17="T+")*6+($AN17:$AS17="D+")*12+($AN17:$AS17="N+")*12+($AN17:$AS17="Dm+")*12+($AN17:$AS17="Dt+")*12+($AN17:$AS17="Tm-")*6+($AN17:$AS17="Mt-")*6)</f>
        <v/>
      </c>
      <c r="BE17" s="118">
        <f>BD17-MAX(0,IFERROR(INDEX(CADASTRO!$I$4:$I$80,MATCH($A17,CADASTRO!$A$4:$A$80,0)),$B17)-CONFIG!$B$50*(COUNTIF($AL17:$AL17,"AB")+COUNTIF($AL17:$AL17,"FE")+COUNTIF($AL17:$AL17,"LM")+COUNTIF($AN17:$AS17,"AB")+COUNTIF($AN17:$AS17,"FE")+COUNTIF($AN17:$AS17,"LM")))</f>
        <v/>
      </c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ROUND(B17*4.29,0)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36">
        <f>IFERROR(INDEX(OUT!AH$8:AH$73,MATCH($A18,OUT!$A$8:$A$73,0))&amp;"","")</f>
        <v/>
      </c>
      <c r="D18" s="136">
        <f>IFERROR(INDEX(OUT!AI$8:AI$73,MATCH($A18,OUT!$A$8:$A$73,0))&amp;"","")</f>
        <v/>
      </c>
      <c r="E18" s="136">
        <f>IFERROR(INDEX(OUT!AJ$8:AJ$73,MATCH($A18,OUT!$A$8:$A$73,0))&amp;"","")</f>
        <v/>
      </c>
      <c r="F18" s="136">
        <f>IFERROR(INDEX(OUT!AK$8:AK$73,MATCH($A18,OUT!$A$8:$A$73,0))&amp;"","")</f>
        <v/>
      </c>
      <c r="G18" s="136">
        <f>IFERROR(INDEX(OUT!AL$8:AL$73,MATCH($A18,OUT!$A$8:$A$73,0))&amp;"","")</f>
        <v/>
      </c>
      <c r="H18" s="116">
        <f>IFERROR(INDEX(OUT!AM$8:AM$73,MATCH($A18,OUT!$A$8:$A$73,0))&amp;"","")</f>
        <v/>
      </c>
      <c r="I18" s="126" t="inlineStr">
        <is>
          <t>T</t>
        </is>
      </c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  <c r="AB18" s="114" t="n"/>
      <c r="AC18" s="114" t="n"/>
      <c r="AD18" s="114" t="n"/>
      <c r="AE18" s="114" t="n"/>
      <c r="AF18" s="114" t="n"/>
      <c r="AG18" s="114" t="n"/>
      <c r="AH18" s="114" t="n"/>
      <c r="AI18" s="114" t="n"/>
      <c r="AJ18" s="114" t="n"/>
      <c r="AK18" s="114" t="n"/>
      <c r="AL18" s="114" t="n"/>
      <c r="AM18" s="100" t="n"/>
      <c r="AN18" s="136">
        <f>IFERROR(INDEX(DEZ!I$8:I$73,MATCH($A18,DEZ!$A$8:$A$73,0))&amp;"","")</f>
        <v/>
      </c>
      <c r="AO18" s="136">
        <f>IFERROR(INDEX(DEZ!J$8:J$73,MATCH($A18,DEZ!$A$8:$A$73,0))&amp;"","")</f>
        <v/>
      </c>
      <c r="AP18" s="136">
        <f>IFERROR(INDEX(DEZ!K$8:K$73,MATCH($A18,DEZ!$A$8:$A$73,0))&amp;"","")</f>
        <v/>
      </c>
      <c r="AQ18" s="136">
        <f>IFERROR(INDEX(DEZ!L$8:L$73,MATCH($A18,DEZ!$A$8:$A$73,0))&amp;"","")</f>
        <v/>
      </c>
      <c r="AR18" s="116">
        <f>IFERROR(INDEX(DEZ!M$8:M$73,MATCH($A18,DEZ!$A$8:$A$73,0))&amp;"","")</f>
        <v/>
      </c>
      <c r="AS18" s="116">
        <f>IFERROR(INDEX(DEZ!N$8:N$73,MATCH($A18,DEZ!$A$8:$A$73,0))&amp;"","")</f>
        <v/>
      </c>
      <c r="AT18" s="117">
        <f>SUMPRODUCT(($C18:$I18="M")*6+($C18:$I18="T")*6+($C18:$I18="D")*12+($C18:$I18="N")*12+($C18:$I18="NT")*6+($C18:$I18="C")*10+($C18:$I18="A")*8+($C18:$I18="J")*5+($C18:$I18="CEP")*4+($C18:$I18="CP")*6+($C18:$I18="CRO")*6+($C18:$I18="M+")*6+($C18:$I18="T+")*6+($C18:$I18="D+")*12+($C18:$I18="N+")*12+($C18:$I18="Dm+")*12+($C18:$I18="Dt+")*12+($C18:$I18="Tm-")*6+($C18:$I18="Mt-")*6)</f>
        <v/>
      </c>
      <c r="AU18" s="118">
        <f>AT18-MAX(0,IFERROR(INDEX(CADASTRO!$I$4:$I$80,MATCH($A18,CADASTRO!$A$4:$A$80,0)),$B18)-CONFIG!$B$50*(COUNTIF($C18:$I18,"AB")+COUNTIF($C18:$I18,"FE")+COUNTIF($C18:$I18,"LM")))</f>
        <v/>
      </c>
      <c r="AV18" s="117">
        <f>SUMPRODUCT(($J18:$P18="M")*6+($J18:$P18="T")*6+($J18:$P18="D")*12+($J18:$P18="N")*12+($J18:$P18="NT")*6+($J18:$P18="C")*10+($J18:$P18="A")*8+($J18:$P18="J")*5+($J18:$P18="CEP")*4+($J18:$P18="CP")*6+($J18:$P18="CRO")*6+($J18:$P18="M+")*6+($J18:$P18="T+")*6+($J18:$P18="D+")*12+($J18:$P18="N+")*12+($J18:$P18="Dm+")*12+($J18:$P18="Dt+")*12+($J18:$P18="Tm-")*6+($J18:$P18="Mt-")*6)</f>
        <v/>
      </c>
      <c r="AW18" s="118">
        <f>AV18-MAX(0,IFERROR(INDEX(CADASTRO!$I$4:$I$80,MATCH($A18,CADASTRO!$A$4:$A$80,0)),$B18)-CONFIG!$B$50*(COUNTIF($J18:$P18,"AB")+COUNTIF($J18:$P18,"FE")+COUNTIF($J18:$P18,"LM")))</f>
        <v/>
      </c>
      <c r="AX18" s="117">
        <f>SUMPRODUCT(($Q18:$W18="M")*6+($Q18:$W18="T")*6+($Q18:$W18="D")*12+($Q18:$W18="N")*12+($Q18:$W18="NT")*6+($Q18:$W18="C")*10+($Q18:$W18="A")*8+($Q18:$W18="J")*5+($Q18:$W18="CEP")*4+($Q18:$W18="CP")*6+($Q18:$W18="CRO")*6+($Q18:$W18="M+")*6+($Q18:$W18="T+")*6+($Q18:$W18="D+")*12+($Q18:$W18="N+")*12+($Q18:$W18="Dm+")*12+($Q18:$W18="Dt+")*12+($Q18:$W18="Tm-")*6+($Q18:$W18="Mt-")*6)</f>
        <v/>
      </c>
      <c r="AY18" s="118">
        <f>AX18-MAX(0,IFERROR(INDEX(CADASTRO!$I$4:$I$80,MATCH($A18,CADASTRO!$A$4:$A$80,0)),$B18)-CONFIG!$B$50*(COUNTIF($Q18:$W18,"AB")+COUNTIF($Q18:$W18,"FE")+COUNTIF($Q18:$W18,"LM")))</f>
        <v/>
      </c>
      <c r="AZ18" s="117">
        <f>SUMPRODUCT(($X18:$AD18="M")*6+($X18:$AD18="T")*6+($X18:$AD18="D")*12+($X18:$AD18="N")*12+($X18:$AD18="NT")*6+($X18:$AD18="C")*10+($X18:$AD18="A")*8+($X18:$AD18="J")*5+($X18:$AD18="CEP")*4+($X18:$AD18="CP")*6+($X18:$AD18="CRO")*6+($X18:$AD18="M+")*6+($X18:$AD18="T+")*6+($X18:$AD18="D+")*12+($X18:$AD18="N+")*12+($X18:$AD18="Dm+")*12+($X18:$AD18="Dt+")*12+($X18:$AD18="Tm-")*6+($X18:$AD18="Mt-")*6)</f>
        <v/>
      </c>
      <c r="BA18" s="118">
        <f>AZ18-MAX(0,IFERROR(INDEX(CADASTRO!$I$4:$I$80,MATCH($A18,CADASTRO!$A$4:$A$80,0)),$B18)-CONFIG!$B$50*(COUNTIF($X18:$AD18,"AB")+COUNTIF($X18:$AD18,"FE")+COUNTIF($X18:$AD18,"LM")))</f>
        <v/>
      </c>
      <c r="BB18" s="117">
        <f>SUMPRODUCT(($AE18:$AK18="M")*6+($AE18:$AK18="T")*6+($AE18:$AK18="D")*12+($AE18:$AK18="N")*12+($AE18:$AK18="NT")*6+($AE18:$AK18="C")*10+($AE18:$AK18="A")*8+($AE18:$AK18="J")*5+($AE18:$AK18="CEP")*4+($AE18:$AK18="CP")*6+($AE18:$AK18="CRO")*6+($AE18:$AK18="M+")*6+($AE18:$AK18="T+")*6+($AE18:$AK18="D+")*12+($AE18:$AK18="N+")*12+($AE18:$AK18="Dm+")*12+($AE18:$AK18="Dt+")*12+($AE18:$AK18="Tm-")*6+($AE18:$AK18="Mt-")*6)</f>
        <v/>
      </c>
      <c r="BC18" s="118">
        <f>BB18-MAX(0,IFERROR(INDEX(CADASTRO!$I$4:$I$80,MATCH($A18,CADASTRO!$A$4:$A$80,0)),$B18)-CONFIG!$B$50*(COUNTIF($AE18:$AK18,"AB")+COUNTIF($AE18:$AK18,"FE")+COUNTIF($AE18:$AK18,"LM")))</f>
        <v/>
      </c>
      <c r="BD18" s="117">
        <f>SUMPRODUCT(($AL18:$AL18="M")*6+($AL18:$AL18="T")*6+($AL18:$AL18="D")*12+($AL18:$AL18="N")*12+($AL18:$AL18="NT")*6+($AL18:$AL18="C")*10+($AL18:$AL18="A")*8+($AL18:$AL18="J")*5+($AL18:$AL18="CEP")*4+($AL18:$AL18="CP")*6+($AL18:$AL18="CRO")*6+($AL18:$AL18="M+")*6+($AL18:$AL18="T+")*6+($AL18:$AL18="D+")*12+($AL18:$AL18="N+")*12+($AL18:$AL18="Dm+")*12+($AL18:$AL18="Dt+")*12+($AL18:$AL18="Tm-")*6+($AL18:$AL18="Mt-")*6)+SUMPRODUCT(($AN18:$AS18="M")*6+($AN18:$AS18="T")*6+($AN18:$AS18="D")*12+($AN18:$AS18="N")*12+($AN18:$AS18="NT")*6+($AN18:$AS18="C")*10+($AN18:$AS18="A")*8+($AN18:$AS18="J")*5+($AN18:$AS18="CEP")*4+($AN18:$AS18="CP")*6+($AN18:$AS18="CRO")*6+($AN18:$AS18="M+")*6+($AN18:$AS18="T+")*6+($AN18:$AS18="D+")*12+($AN18:$AS18="N+")*12+($AN18:$AS18="Dm+")*12+($AN18:$AS18="Dt+")*12+($AN18:$AS18="Tm-")*6+($AN18:$AS18="Mt-")*6)</f>
        <v/>
      </c>
      <c r="BE18" s="118">
        <f>BD18-MAX(0,IFERROR(INDEX(CADASTRO!$I$4:$I$80,MATCH($A18,CADASTRO!$A$4:$A$80,0)),$B18)-CONFIG!$B$50*(COUNTIF($AL18:$AL18,"AB")+COUNTIF($AL18:$AL18,"FE")+COUNTIF($AL18:$AL18,"LM")+COUNTIF($AN18:$AS18,"AB")+COUNTIF($AN18:$AS18,"FE")+COUNTIF($AN18:$AS18,"LM")))</f>
        <v/>
      </c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ROUND(B18*4.29,0)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36">
        <f>IFERROR(INDEX(OUT!AH$8:AH$73,MATCH($A19,OUT!$A$8:$A$73,0))&amp;"","")</f>
        <v/>
      </c>
      <c r="D19" s="136">
        <f>IFERROR(INDEX(OUT!AI$8:AI$73,MATCH($A19,OUT!$A$8:$A$73,0))&amp;"","")</f>
        <v/>
      </c>
      <c r="E19" s="136">
        <f>IFERROR(INDEX(OUT!AJ$8:AJ$73,MATCH($A19,OUT!$A$8:$A$73,0))&amp;"","")</f>
        <v/>
      </c>
      <c r="F19" s="136">
        <f>IFERROR(INDEX(OUT!AK$8:AK$73,MATCH($A19,OUT!$A$8:$A$73,0))&amp;"","")</f>
        <v/>
      </c>
      <c r="G19" s="136">
        <f>IFERROR(INDEX(OUT!AL$8:AL$73,MATCH($A19,OUT!$A$8:$A$73,0))&amp;"","")</f>
        <v/>
      </c>
      <c r="H19" s="116">
        <f>IFERROR(INDEX(OUT!AM$8:AM$73,MATCH($A19,OUT!$A$8:$A$73,0))&amp;"","")</f>
        <v/>
      </c>
      <c r="I19" s="124" t="inlineStr">
        <is>
          <t>D</t>
        </is>
      </c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4" t="n"/>
      <c r="AF19" s="114" t="n"/>
      <c r="AG19" s="114" t="n"/>
      <c r="AH19" s="114" t="n"/>
      <c r="AI19" s="114" t="n"/>
      <c r="AJ19" s="114" t="n"/>
      <c r="AK19" s="114" t="n"/>
      <c r="AL19" s="114" t="n"/>
      <c r="AM19" s="100" t="n"/>
      <c r="AN19" s="136">
        <f>IFERROR(INDEX(DEZ!I$8:I$73,MATCH($A19,DEZ!$A$8:$A$73,0))&amp;"","")</f>
        <v/>
      </c>
      <c r="AO19" s="136">
        <f>IFERROR(INDEX(DEZ!J$8:J$73,MATCH($A19,DEZ!$A$8:$A$73,0))&amp;"","")</f>
        <v/>
      </c>
      <c r="AP19" s="136">
        <f>IFERROR(INDEX(DEZ!K$8:K$73,MATCH($A19,DEZ!$A$8:$A$73,0))&amp;"","")</f>
        <v/>
      </c>
      <c r="AQ19" s="136">
        <f>IFERROR(INDEX(DEZ!L$8:L$73,MATCH($A19,DEZ!$A$8:$A$73,0))&amp;"","")</f>
        <v/>
      </c>
      <c r="AR19" s="116">
        <f>IFERROR(INDEX(DEZ!M$8:M$73,MATCH($A19,DEZ!$A$8:$A$73,0))&amp;"","")</f>
        <v/>
      </c>
      <c r="AS19" s="116">
        <f>IFERROR(INDEX(DEZ!N$8:N$73,MATCH($A19,DEZ!$A$8:$A$73,0))&amp;"","")</f>
        <v/>
      </c>
      <c r="AT19" s="117">
        <f>SUMPRODUCT(($C19:$I19="M")*6+($C19:$I19="T")*6+($C19:$I19="D")*12+($C19:$I19="N")*12+($C19:$I19="NT")*6+($C19:$I19="C")*10+($C19:$I19="A")*8+($C19:$I19="J")*5+($C19:$I19="CEP")*4+($C19:$I19="CP")*6+($C19:$I19="CRO")*6+($C19:$I19="M+")*6+($C19:$I19="T+")*6+($C19:$I19="D+")*12+($C19:$I19="N+")*12+($C19:$I19="Dm+")*12+($C19:$I19="Dt+")*12+($C19:$I19="Tm-")*6+($C19:$I19="Mt-")*6)</f>
        <v/>
      </c>
      <c r="AU19" s="118">
        <f>AT19-MAX(0,IFERROR(INDEX(CADASTRO!$I$4:$I$80,MATCH($A19,CADASTRO!$A$4:$A$80,0)),$B19)-CONFIG!$B$50*(COUNTIF($C19:$I19,"AB")+COUNTIF($C19:$I19,"FE")+COUNTIF($C19:$I19,"LM")))</f>
        <v/>
      </c>
      <c r="AV19" s="117">
        <f>SUMPRODUCT(($J19:$P19="M")*6+($J19:$P19="T")*6+($J19:$P19="D")*12+($J19:$P19="N")*12+($J19:$P19="NT")*6+($J19:$P19="C")*10+($J19:$P19="A")*8+($J19:$P19="J")*5+($J19:$P19="CEP")*4+($J19:$P19="CP")*6+($J19:$P19="CRO")*6+($J19:$P19="M+")*6+($J19:$P19="T+")*6+($J19:$P19="D+")*12+($J19:$P19="N+")*12+($J19:$P19="Dm+")*12+($J19:$P19="Dt+")*12+($J19:$P19="Tm-")*6+($J19:$P19="Mt-")*6)</f>
        <v/>
      </c>
      <c r="AW19" s="118">
        <f>AV19-MAX(0,IFERROR(INDEX(CADASTRO!$I$4:$I$80,MATCH($A19,CADASTRO!$A$4:$A$80,0)),$B19)-CONFIG!$B$50*(COUNTIF($J19:$P19,"AB")+COUNTIF($J19:$P19,"FE")+COUNTIF($J19:$P19,"LM")))</f>
        <v/>
      </c>
      <c r="AX19" s="117">
        <f>SUMPRODUCT(($Q19:$W19="M")*6+($Q19:$W19="T")*6+($Q19:$W19="D")*12+($Q19:$W19="N")*12+($Q19:$W19="NT")*6+($Q19:$W19="C")*10+($Q19:$W19="A")*8+($Q19:$W19="J")*5+($Q19:$W19="CEP")*4+($Q19:$W19="CP")*6+($Q19:$W19="CRO")*6+($Q19:$W19="M+")*6+($Q19:$W19="T+")*6+($Q19:$W19="D+")*12+($Q19:$W19="N+")*12+($Q19:$W19="Dm+")*12+($Q19:$W19="Dt+")*12+($Q19:$W19="Tm-")*6+($Q19:$W19="Mt-")*6)</f>
        <v/>
      </c>
      <c r="AY19" s="118">
        <f>AX19-MAX(0,IFERROR(INDEX(CADASTRO!$I$4:$I$80,MATCH($A19,CADASTRO!$A$4:$A$80,0)),$B19)-CONFIG!$B$50*(COUNTIF($Q19:$W19,"AB")+COUNTIF($Q19:$W19,"FE")+COUNTIF($Q19:$W19,"LM")))</f>
        <v/>
      </c>
      <c r="AZ19" s="117">
        <f>SUMPRODUCT(($X19:$AD19="M")*6+($X19:$AD19="T")*6+($X19:$AD19="D")*12+($X19:$AD19="N")*12+($X19:$AD19="NT")*6+($X19:$AD19="C")*10+($X19:$AD19="A")*8+($X19:$AD19="J")*5+($X19:$AD19="CEP")*4+($X19:$AD19="CP")*6+($X19:$AD19="CRO")*6+($X19:$AD19="M+")*6+($X19:$AD19="T+")*6+($X19:$AD19="D+")*12+($X19:$AD19="N+")*12+($X19:$AD19="Dm+")*12+($X19:$AD19="Dt+")*12+($X19:$AD19="Tm-")*6+($X19:$AD19="Mt-")*6)</f>
        <v/>
      </c>
      <c r="BA19" s="118">
        <f>AZ19-MAX(0,IFERROR(INDEX(CADASTRO!$I$4:$I$80,MATCH($A19,CADASTRO!$A$4:$A$80,0)),$B19)-CONFIG!$B$50*(COUNTIF($X19:$AD19,"AB")+COUNTIF($X19:$AD19,"FE")+COUNTIF($X19:$AD19,"LM")))</f>
        <v/>
      </c>
      <c r="BB19" s="117">
        <f>SUMPRODUCT(($AE19:$AK19="M")*6+($AE19:$AK19="T")*6+($AE19:$AK19="D")*12+($AE19:$AK19="N")*12+($AE19:$AK19="NT")*6+($AE19:$AK19="C")*10+($AE19:$AK19="A")*8+($AE19:$AK19="J")*5+($AE19:$AK19="CEP")*4+($AE19:$AK19="CP")*6+($AE19:$AK19="CRO")*6+($AE19:$AK19="M+")*6+($AE19:$AK19="T+")*6+($AE19:$AK19="D+")*12+($AE19:$AK19="N+")*12+($AE19:$AK19="Dm+")*12+($AE19:$AK19="Dt+")*12+($AE19:$AK19="Tm-")*6+($AE19:$AK19="Mt-")*6)</f>
        <v/>
      </c>
      <c r="BC19" s="118">
        <f>BB19-MAX(0,IFERROR(INDEX(CADASTRO!$I$4:$I$80,MATCH($A19,CADASTRO!$A$4:$A$80,0)),$B19)-CONFIG!$B$50*(COUNTIF($AE19:$AK19,"AB")+COUNTIF($AE19:$AK19,"FE")+COUNTIF($AE19:$AK19,"LM")))</f>
        <v/>
      </c>
      <c r="BD19" s="117">
        <f>SUMPRODUCT(($AL19:$AL19="M")*6+($AL19:$AL19="T")*6+($AL19:$AL19="D")*12+($AL19:$AL19="N")*12+($AL19:$AL19="NT")*6+($AL19:$AL19="C")*10+($AL19:$AL19="A")*8+($AL19:$AL19="J")*5+($AL19:$AL19="CEP")*4+($AL19:$AL19="CP")*6+($AL19:$AL19="CRO")*6+($AL19:$AL19="M+")*6+($AL19:$AL19="T+")*6+($AL19:$AL19="D+")*12+($AL19:$AL19="N+")*12+($AL19:$AL19="Dm+")*12+($AL19:$AL19="Dt+")*12+($AL19:$AL19="Tm-")*6+($AL19:$AL19="Mt-")*6)+SUMPRODUCT(($AN19:$AS19="M")*6+($AN19:$AS19="T")*6+($AN19:$AS19="D")*12+($AN19:$AS19="N")*12+($AN19:$AS19="NT")*6+($AN19:$AS19="C")*10+($AN19:$AS19="A")*8+($AN19:$AS19="J")*5+($AN19:$AS19="CEP")*4+($AN19:$AS19="CP")*6+($AN19:$AS19="CRO")*6+($AN19:$AS19="M+")*6+($AN19:$AS19="T+")*6+($AN19:$AS19="D+")*12+($AN19:$AS19="N+")*12+($AN19:$AS19="Dm+")*12+($AN19:$AS19="Dt+")*12+($AN19:$AS19="Tm-")*6+($AN19:$AS19="Mt-")*6)</f>
        <v/>
      </c>
      <c r="BE19" s="118">
        <f>BD19-MAX(0,IFERROR(INDEX(CADASTRO!$I$4:$I$80,MATCH($A19,CADASTRO!$A$4:$A$80,0)),$B19)-CONFIG!$B$50*(COUNTIF($AL19:$AL19,"AB")+COUNTIF($AL19:$AL19,"FE")+COUNTIF($AL19:$AL19,"LM")+COUNTIF($AN19:$AS19,"AB")+COUNTIF($AN19:$AS19,"FE")+COUNTIF($AN19:$AS19,"LM")))</f>
        <v/>
      </c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ROUND(B19*4.29,0)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36">
        <f>IFERROR(INDEX(OUT!AH$8:AH$73,MATCH($A20,OUT!$A$8:$A$73,0))&amp;"","")</f>
        <v/>
      </c>
      <c r="D20" s="136">
        <f>IFERROR(INDEX(OUT!AI$8:AI$73,MATCH($A20,OUT!$A$8:$A$73,0))&amp;"","")</f>
        <v/>
      </c>
      <c r="E20" s="136">
        <f>IFERROR(INDEX(OUT!AJ$8:AJ$73,MATCH($A20,OUT!$A$8:$A$73,0))&amp;"","")</f>
        <v/>
      </c>
      <c r="F20" s="136">
        <f>IFERROR(INDEX(OUT!AK$8:AK$73,MATCH($A20,OUT!$A$8:$A$73,0))&amp;"","")</f>
        <v/>
      </c>
      <c r="G20" s="136">
        <f>IFERROR(INDEX(OUT!AL$8:AL$73,MATCH($A20,OUT!$A$8:$A$73,0))&amp;"","")</f>
        <v/>
      </c>
      <c r="H20" s="116">
        <f>IFERROR(INDEX(OUT!AM$8:AM$73,MATCH($A20,OUT!$A$8:$A$73,0))&amp;"","")</f>
        <v/>
      </c>
      <c r="I20" s="125" t="inlineStr">
        <is>
          <t>N</t>
        </is>
      </c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  <c r="AH20" s="114" t="n"/>
      <c r="AI20" s="114" t="n"/>
      <c r="AJ20" s="114" t="n"/>
      <c r="AK20" s="114" t="n"/>
      <c r="AL20" s="114" t="n"/>
      <c r="AM20" s="100" t="n"/>
      <c r="AN20" s="136">
        <f>IFERROR(INDEX(DEZ!I$8:I$73,MATCH($A20,DEZ!$A$8:$A$73,0))&amp;"","")</f>
        <v/>
      </c>
      <c r="AO20" s="136">
        <f>IFERROR(INDEX(DEZ!J$8:J$73,MATCH($A20,DEZ!$A$8:$A$73,0))&amp;"","")</f>
        <v/>
      </c>
      <c r="AP20" s="136">
        <f>IFERROR(INDEX(DEZ!K$8:K$73,MATCH($A20,DEZ!$A$8:$A$73,0))&amp;"","")</f>
        <v/>
      </c>
      <c r="AQ20" s="136">
        <f>IFERROR(INDEX(DEZ!L$8:L$73,MATCH($A20,DEZ!$A$8:$A$73,0))&amp;"","")</f>
        <v/>
      </c>
      <c r="AR20" s="116">
        <f>IFERROR(INDEX(DEZ!M$8:M$73,MATCH($A20,DEZ!$A$8:$A$73,0))&amp;"","")</f>
        <v/>
      </c>
      <c r="AS20" s="116">
        <f>IFERROR(INDEX(DEZ!N$8:N$73,MATCH($A20,DEZ!$A$8:$A$73,0))&amp;"","")</f>
        <v/>
      </c>
      <c r="AT20" s="117">
        <f>SUMPRODUCT(($C20:$I20="M")*6+($C20:$I20="T")*6+($C20:$I20="D")*12+($C20:$I20="N")*12+($C20:$I20="NT")*6+($C20:$I20="C")*10+($C20:$I20="A")*8+($C20:$I20="J")*5+($C20:$I20="CEP")*4+($C20:$I20="CP")*6+($C20:$I20="CRO")*6+($C20:$I20="M+")*6+($C20:$I20="T+")*6+($C20:$I20="D+")*12+($C20:$I20="N+")*12+($C20:$I20="Dm+")*12+($C20:$I20="Dt+")*12+($C20:$I20="Tm-")*6+($C20:$I20="Mt-")*6)</f>
        <v/>
      </c>
      <c r="AU20" s="118">
        <f>AT20-MAX(0,IFERROR(INDEX(CADASTRO!$I$4:$I$80,MATCH($A20,CADASTRO!$A$4:$A$80,0)),$B20)-CONFIG!$B$50*(COUNTIF($C20:$I20,"AB")+COUNTIF($C20:$I20,"FE")+COUNTIF($C20:$I20,"LM")))</f>
        <v/>
      </c>
      <c r="AV20" s="117">
        <f>SUMPRODUCT(($J20:$P20="M")*6+($J20:$P20="T")*6+($J20:$P20="D")*12+($J20:$P20="N")*12+($J20:$P20="NT")*6+($J20:$P20="C")*10+($J20:$P20="A")*8+($J20:$P20="J")*5+($J20:$P20="CEP")*4+($J20:$P20="CP")*6+($J20:$P20="CRO")*6+($J20:$P20="M+")*6+($J20:$P20="T+")*6+($J20:$P20="D+")*12+($J20:$P20="N+")*12+($J20:$P20="Dm+")*12+($J20:$P20="Dt+")*12+($J20:$P20="Tm-")*6+($J20:$P20="Mt-")*6)</f>
        <v/>
      </c>
      <c r="AW20" s="118">
        <f>AV20-MAX(0,IFERROR(INDEX(CADASTRO!$I$4:$I$80,MATCH($A20,CADASTRO!$A$4:$A$80,0)),$B20)-CONFIG!$B$50*(COUNTIF($J20:$P20,"AB")+COUNTIF($J20:$P20,"FE")+COUNTIF($J20:$P20,"LM")))</f>
        <v/>
      </c>
      <c r="AX20" s="117">
        <f>SUMPRODUCT(($Q20:$W20="M")*6+($Q20:$W20="T")*6+($Q20:$W20="D")*12+($Q20:$W20="N")*12+($Q20:$W20="NT")*6+($Q20:$W20="C")*10+($Q20:$W20="A")*8+($Q20:$W20="J")*5+($Q20:$W20="CEP")*4+($Q20:$W20="CP")*6+($Q20:$W20="CRO")*6+($Q20:$W20="M+")*6+($Q20:$W20="T+")*6+($Q20:$W20="D+")*12+($Q20:$W20="N+")*12+($Q20:$W20="Dm+")*12+($Q20:$W20="Dt+")*12+($Q20:$W20="Tm-")*6+($Q20:$W20="Mt-")*6)</f>
        <v/>
      </c>
      <c r="AY20" s="118">
        <f>AX20-MAX(0,IFERROR(INDEX(CADASTRO!$I$4:$I$80,MATCH($A20,CADASTRO!$A$4:$A$80,0)),$B20)-CONFIG!$B$50*(COUNTIF($Q20:$W20,"AB")+COUNTIF($Q20:$W20,"FE")+COUNTIF($Q20:$W20,"LM")))</f>
        <v/>
      </c>
      <c r="AZ20" s="117">
        <f>SUMPRODUCT(($X20:$AD20="M")*6+($X20:$AD20="T")*6+($X20:$AD20="D")*12+($X20:$AD20="N")*12+($X20:$AD20="NT")*6+($X20:$AD20="C")*10+($X20:$AD20="A")*8+($X20:$AD20="J")*5+($X20:$AD20="CEP")*4+($X20:$AD20="CP")*6+($X20:$AD20="CRO")*6+($X20:$AD20="M+")*6+($X20:$AD20="T+")*6+($X20:$AD20="D+")*12+($X20:$AD20="N+")*12+($X20:$AD20="Dm+")*12+($X20:$AD20="Dt+")*12+($X20:$AD20="Tm-")*6+($X20:$AD20="Mt-")*6)</f>
        <v/>
      </c>
      <c r="BA20" s="118">
        <f>AZ20-MAX(0,IFERROR(INDEX(CADASTRO!$I$4:$I$80,MATCH($A20,CADASTRO!$A$4:$A$80,0)),$B20)-CONFIG!$B$50*(COUNTIF($X20:$AD20,"AB")+COUNTIF($X20:$AD20,"FE")+COUNTIF($X20:$AD20,"LM")))</f>
        <v/>
      </c>
      <c r="BB20" s="117">
        <f>SUMPRODUCT(($AE20:$AK20="M")*6+($AE20:$AK20="T")*6+($AE20:$AK20="D")*12+($AE20:$AK20="N")*12+($AE20:$AK20="NT")*6+($AE20:$AK20="C")*10+($AE20:$AK20="A")*8+($AE20:$AK20="J")*5+($AE20:$AK20="CEP")*4+($AE20:$AK20="CP")*6+($AE20:$AK20="CRO")*6+($AE20:$AK20="M+")*6+($AE20:$AK20="T+")*6+($AE20:$AK20="D+")*12+($AE20:$AK20="N+")*12+($AE20:$AK20="Dm+")*12+($AE20:$AK20="Dt+")*12+($AE20:$AK20="Tm-")*6+($AE20:$AK20="Mt-")*6)</f>
        <v/>
      </c>
      <c r="BC20" s="118">
        <f>BB20-MAX(0,IFERROR(INDEX(CADASTRO!$I$4:$I$80,MATCH($A20,CADASTRO!$A$4:$A$80,0)),$B20)-CONFIG!$B$50*(COUNTIF($AE20:$AK20,"AB")+COUNTIF($AE20:$AK20,"FE")+COUNTIF($AE20:$AK20,"LM")))</f>
        <v/>
      </c>
      <c r="BD20" s="117">
        <f>SUMPRODUCT(($AL20:$AL20="M")*6+($AL20:$AL20="T")*6+($AL20:$AL20="D")*12+($AL20:$AL20="N")*12+($AL20:$AL20="NT")*6+($AL20:$AL20="C")*10+($AL20:$AL20="A")*8+($AL20:$AL20="J")*5+($AL20:$AL20="CEP")*4+($AL20:$AL20="CP")*6+($AL20:$AL20="CRO")*6+($AL20:$AL20="M+")*6+($AL20:$AL20="T+")*6+($AL20:$AL20="D+")*12+($AL20:$AL20="N+")*12+($AL20:$AL20="Dm+")*12+($AL20:$AL20="Dt+")*12+($AL20:$AL20="Tm-")*6+($AL20:$AL20="Mt-")*6)+SUMPRODUCT(($AN20:$AS20="M")*6+($AN20:$AS20="T")*6+($AN20:$AS20="D")*12+($AN20:$AS20="N")*12+($AN20:$AS20="NT")*6+($AN20:$AS20="C")*10+($AN20:$AS20="A")*8+($AN20:$AS20="J")*5+($AN20:$AS20="CEP")*4+($AN20:$AS20="CP")*6+($AN20:$AS20="CRO")*6+($AN20:$AS20="M+")*6+($AN20:$AS20="T+")*6+($AN20:$AS20="D+")*12+($AN20:$AS20="N+")*12+($AN20:$AS20="Dm+")*12+($AN20:$AS20="Dt+")*12+($AN20:$AS20="Tm-")*6+($AN20:$AS20="Mt-")*6)</f>
        <v/>
      </c>
      <c r="BE20" s="118">
        <f>BD20-MAX(0,IFERROR(INDEX(CADASTRO!$I$4:$I$80,MATCH($A20,CADASTRO!$A$4:$A$80,0)),$B20)-CONFIG!$B$50*(COUNTIF($AL20:$AL20,"AB")+COUNTIF($AL20:$AL20,"FE")+COUNTIF($AL20:$AL20,"LM")+COUNTIF($AN20:$AS20,"AB")+COUNTIF($AN20:$AS20,"FE")+COUNTIF($AN20:$AS20,"LM")))</f>
        <v/>
      </c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ROUND(B20*4.29,0)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36">
        <f>IFERROR(INDEX(OUT!AH$8:AH$73,MATCH($A21,OUT!$A$8:$A$73,0))&amp;"","")</f>
        <v/>
      </c>
      <c r="D21" s="136">
        <f>IFERROR(INDEX(OUT!AI$8:AI$73,MATCH($A21,OUT!$A$8:$A$73,0))&amp;"","")</f>
        <v/>
      </c>
      <c r="E21" s="136">
        <f>IFERROR(INDEX(OUT!AJ$8:AJ$73,MATCH($A21,OUT!$A$8:$A$73,0))&amp;"","")</f>
        <v/>
      </c>
      <c r="F21" s="136">
        <f>IFERROR(INDEX(OUT!AK$8:AK$73,MATCH($A21,OUT!$A$8:$A$73,0))&amp;"","")</f>
        <v/>
      </c>
      <c r="G21" s="136">
        <f>IFERROR(INDEX(OUT!AL$8:AL$73,MATCH($A21,OUT!$A$8:$A$73,0))&amp;"","")</f>
        <v/>
      </c>
      <c r="H21" s="116">
        <f>IFERROR(INDEX(OUT!AM$8:AM$73,MATCH($A21,OUT!$A$8:$A$73,0))&amp;"","")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  <c r="AB21" s="114" t="n"/>
      <c r="AC21" s="114" t="n"/>
      <c r="AD21" s="114" t="n"/>
      <c r="AE21" s="114" t="n"/>
      <c r="AF21" s="114" t="n"/>
      <c r="AG21" s="114" t="n"/>
      <c r="AH21" s="114" t="n"/>
      <c r="AI21" s="114" t="n"/>
      <c r="AJ21" s="114" t="n"/>
      <c r="AK21" s="114" t="n"/>
      <c r="AL21" s="114" t="n"/>
      <c r="AM21" s="100" t="n"/>
      <c r="AN21" s="136">
        <f>IFERROR(INDEX(DEZ!I$8:I$73,MATCH($A21,DEZ!$A$8:$A$73,0))&amp;"","")</f>
        <v/>
      </c>
      <c r="AO21" s="136">
        <f>IFERROR(INDEX(DEZ!J$8:J$73,MATCH($A21,DEZ!$A$8:$A$73,0))&amp;"","")</f>
        <v/>
      </c>
      <c r="AP21" s="136">
        <f>IFERROR(INDEX(DEZ!K$8:K$73,MATCH($A21,DEZ!$A$8:$A$73,0))&amp;"","")</f>
        <v/>
      </c>
      <c r="AQ21" s="136">
        <f>IFERROR(INDEX(DEZ!L$8:L$73,MATCH($A21,DEZ!$A$8:$A$73,0))&amp;"","")</f>
        <v/>
      </c>
      <c r="AR21" s="116">
        <f>IFERROR(INDEX(DEZ!M$8:M$73,MATCH($A21,DEZ!$A$8:$A$73,0))&amp;"","")</f>
        <v/>
      </c>
      <c r="AS21" s="116">
        <f>IFERROR(INDEX(DEZ!N$8:N$73,MATCH($A21,DEZ!$A$8:$A$73,0))&amp;"","")</f>
        <v/>
      </c>
      <c r="AT21" s="117">
        <f>SUMPRODUCT(($C21:$I21="M")*6+($C21:$I21="T")*6+($C21:$I21="D")*12+($C21:$I21="N")*12+($C21:$I21="NT")*6+($C21:$I21="C")*10+($C21:$I21="A")*8+($C21:$I21="J")*5+($C21:$I21="CEP")*4+($C21:$I21="CP")*6+($C21:$I21="CRO")*6+($C21:$I21="M+")*6+($C21:$I21="T+")*6+($C21:$I21="D+")*12+($C21:$I21="N+")*12+($C21:$I21="Dm+")*12+($C21:$I21="Dt+")*12+($C21:$I21="Tm-")*6+($C21:$I21="Mt-")*6)</f>
        <v/>
      </c>
      <c r="AU21" s="118">
        <f>AT21-MAX(0,IFERROR(INDEX(CADASTRO!$I$4:$I$80,MATCH($A21,CADASTRO!$A$4:$A$80,0)),$B21)-CONFIG!$B$50*(COUNTIF($C21:$I21,"AB")+COUNTIF($C21:$I21,"FE")+COUNTIF($C21:$I21,"LM")))</f>
        <v/>
      </c>
      <c r="AV21" s="117">
        <f>SUMPRODUCT(($J21:$P21="M")*6+($J21:$P21="T")*6+($J21:$P21="D")*12+($J21:$P21="N")*12+($J21:$P21="NT")*6+($J21:$P21="C")*10+($J21:$P21="A")*8+($J21:$P21="J")*5+($J21:$P21="CEP")*4+($J21:$P21="CP")*6+($J21:$P21="CRO")*6+($J21:$P21="M+")*6+($J21:$P21="T+")*6+($J21:$P21="D+")*12+($J21:$P21="N+")*12+($J21:$P21="Dm+")*12+($J21:$P21="Dt+")*12+($J21:$P21="Tm-")*6+($J21:$P21="Mt-")*6)</f>
        <v/>
      </c>
      <c r="AW21" s="118">
        <f>AV21-MAX(0,IFERROR(INDEX(CADASTRO!$I$4:$I$80,MATCH($A21,CADASTRO!$A$4:$A$80,0)),$B21)-CONFIG!$B$50*(COUNTIF($J21:$P21,"AB")+COUNTIF($J21:$P21,"FE")+COUNTIF($J21:$P21,"LM")))</f>
        <v/>
      </c>
      <c r="AX21" s="117">
        <f>SUMPRODUCT(($Q21:$W21="M")*6+($Q21:$W21="T")*6+($Q21:$W21="D")*12+($Q21:$W21="N")*12+($Q21:$W21="NT")*6+($Q21:$W21="C")*10+($Q21:$W21="A")*8+($Q21:$W21="J")*5+($Q21:$W21="CEP")*4+($Q21:$W21="CP")*6+($Q21:$W21="CRO")*6+($Q21:$W21="M+")*6+($Q21:$W21="T+")*6+($Q21:$W21="D+")*12+($Q21:$W21="N+")*12+($Q21:$W21="Dm+")*12+($Q21:$W21="Dt+")*12+($Q21:$W21="Tm-")*6+($Q21:$W21="Mt-")*6)</f>
        <v/>
      </c>
      <c r="AY21" s="118">
        <f>AX21-MAX(0,IFERROR(INDEX(CADASTRO!$I$4:$I$80,MATCH($A21,CADASTRO!$A$4:$A$80,0)),$B21)-CONFIG!$B$50*(COUNTIF($Q21:$W21,"AB")+COUNTIF($Q21:$W21,"FE")+COUNTIF($Q21:$W21,"LM")))</f>
        <v/>
      </c>
      <c r="AZ21" s="117">
        <f>SUMPRODUCT(($X21:$AD21="M")*6+($X21:$AD21="T")*6+($X21:$AD21="D")*12+($X21:$AD21="N")*12+($X21:$AD21="NT")*6+($X21:$AD21="C")*10+($X21:$AD21="A")*8+($X21:$AD21="J")*5+($X21:$AD21="CEP")*4+($X21:$AD21="CP")*6+($X21:$AD21="CRO")*6+($X21:$AD21="M+")*6+($X21:$AD21="T+")*6+($X21:$AD21="D+")*12+($X21:$AD21="N+")*12+($X21:$AD21="Dm+")*12+($X21:$AD21="Dt+")*12+($X21:$AD21="Tm-")*6+($X21:$AD21="Mt-")*6)</f>
        <v/>
      </c>
      <c r="BA21" s="118">
        <f>AZ21-MAX(0,IFERROR(INDEX(CADASTRO!$I$4:$I$80,MATCH($A21,CADASTRO!$A$4:$A$80,0)),$B21)-CONFIG!$B$50*(COUNTIF($X21:$AD21,"AB")+COUNTIF($X21:$AD21,"FE")+COUNTIF($X21:$AD21,"LM")))</f>
        <v/>
      </c>
      <c r="BB21" s="117">
        <f>SUMPRODUCT(($AE21:$AK21="M")*6+($AE21:$AK21="T")*6+($AE21:$AK21="D")*12+($AE21:$AK21="N")*12+($AE21:$AK21="NT")*6+($AE21:$AK21="C")*10+($AE21:$AK21="A")*8+($AE21:$AK21="J")*5+($AE21:$AK21="CEP")*4+($AE21:$AK21="CP")*6+($AE21:$AK21="CRO")*6+($AE21:$AK21="M+")*6+($AE21:$AK21="T+")*6+($AE21:$AK21="D+")*12+($AE21:$AK21="N+")*12+($AE21:$AK21="Dm+")*12+($AE21:$AK21="Dt+")*12+($AE21:$AK21="Tm-")*6+($AE21:$AK21="Mt-")*6)</f>
        <v/>
      </c>
      <c r="BC21" s="118">
        <f>BB21-MAX(0,IFERROR(INDEX(CADASTRO!$I$4:$I$80,MATCH($A21,CADASTRO!$A$4:$A$80,0)),$B21)-CONFIG!$B$50*(COUNTIF($AE21:$AK21,"AB")+COUNTIF($AE21:$AK21,"FE")+COUNTIF($AE21:$AK21,"LM")))</f>
        <v/>
      </c>
      <c r="BD21" s="117">
        <f>SUMPRODUCT(($AL21:$AL21="M")*6+($AL21:$AL21="T")*6+($AL21:$AL21="D")*12+($AL21:$AL21="N")*12+($AL21:$AL21="NT")*6+($AL21:$AL21="C")*10+($AL21:$AL21="A")*8+($AL21:$AL21="J")*5+($AL21:$AL21="CEP")*4+($AL21:$AL21="CP")*6+($AL21:$AL21="CRO")*6+($AL21:$AL21="M+")*6+($AL21:$AL21="T+")*6+($AL21:$AL21="D+")*12+($AL21:$AL21="N+")*12+($AL21:$AL21="Dm+")*12+($AL21:$AL21="Dt+")*12+($AL21:$AL21="Tm-")*6+($AL21:$AL21="Mt-")*6)+SUMPRODUCT(($AN21:$AS21="M")*6+($AN21:$AS21="T")*6+($AN21:$AS21="D")*12+($AN21:$AS21="N")*12+($AN21:$AS21="NT")*6+($AN21:$AS21="C")*10+($AN21:$AS21="A")*8+($AN21:$AS21="J")*5+($AN21:$AS21="CEP")*4+($AN21:$AS21="CP")*6+($AN21:$AS21="CRO")*6+($AN21:$AS21="M+")*6+($AN21:$AS21="T+")*6+($AN21:$AS21="D+")*12+($AN21:$AS21="N+")*12+($AN21:$AS21="Dm+")*12+($AN21:$AS21="Dt+")*12+($AN21:$AS21="Tm-")*6+($AN21:$AS21="Mt-")*6)</f>
        <v/>
      </c>
      <c r="BE21" s="118">
        <f>BD21-MAX(0,IFERROR(INDEX(CADASTRO!$I$4:$I$80,MATCH($A21,CADASTRO!$A$4:$A$80,0)),$B21)-CONFIG!$B$50*(COUNTIF($AL21:$AL21,"AB")+COUNTIF($AL21:$AL21,"FE")+COUNTIF($AL21:$AL21,"LM")+COUNTIF($AN21:$AS21,"AB")+COUNTIF($AN21:$AS21,"FE")+COUNTIF($AN21:$AS21,"LM")))</f>
        <v/>
      </c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ROUND(B21*4.29,0)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36">
        <f>IFERROR(INDEX(OUT!AH$8:AH$73,MATCH($A22,OUT!$A$8:$A$73,0))&amp;"","")</f>
        <v/>
      </c>
      <c r="D22" s="136">
        <f>IFERROR(INDEX(OUT!AI$8:AI$73,MATCH($A22,OUT!$A$8:$A$73,0))&amp;"","")</f>
        <v/>
      </c>
      <c r="E22" s="136">
        <f>IFERROR(INDEX(OUT!AJ$8:AJ$73,MATCH($A22,OUT!$A$8:$A$73,0))&amp;"","")</f>
        <v/>
      </c>
      <c r="F22" s="136">
        <f>IFERROR(INDEX(OUT!AK$8:AK$73,MATCH($A22,OUT!$A$8:$A$73,0))&amp;"","")</f>
        <v/>
      </c>
      <c r="G22" s="136">
        <f>IFERROR(INDEX(OUT!AL$8:AL$73,MATCH($A22,OUT!$A$8:$A$73,0))&amp;"","")</f>
        <v/>
      </c>
      <c r="H22" s="116">
        <f>IFERROR(INDEX(OUT!AM$8:AM$73,MATCH($A22,OUT!$A$8:$A$73,0))&amp;"","")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  <c r="AH22" s="114" t="n"/>
      <c r="AI22" s="114" t="n"/>
      <c r="AJ22" s="114" t="n"/>
      <c r="AK22" s="114" t="n"/>
      <c r="AL22" s="114" t="n"/>
      <c r="AM22" s="100" t="n"/>
      <c r="AN22" s="136">
        <f>IFERROR(INDEX(DEZ!I$8:I$73,MATCH($A22,DEZ!$A$8:$A$73,0))&amp;"","")</f>
        <v/>
      </c>
      <c r="AO22" s="136">
        <f>IFERROR(INDEX(DEZ!J$8:J$73,MATCH($A22,DEZ!$A$8:$A$73,0))&amp;"","")</f>
        <v/>
      </c>
      <c r="AP22" s="136">
        <f>IFERROR(INDEX(DEZ!K$8:K$73,MATCH($A22,DEZ!$A$8:$A$73,0))&amp;"","")</f>
        <v/>
      </c>
      <c r="AQ22" s="136">
        <f>IFERROR(INDEX(DEZ!L$8:L$73,MATCH($A22,DEZ!$A$8:$A$73,0))&amp;"","")</f>
        <v/>
      </c>
      <c r="AR22" s="116">
        <f>IFERROR(INDEX(DEZ!M$8:M$73,MATCH($A22,DEZ!$A$8:$A$73,0))&amp;"","")</f>
        <v/>
      </c>
      <c r="AS22" s="116">
        <f>IFERROR(INDEX(DEZ!N$8:N$73,MATCH($A22,DEZ!$A$8:$A$73,0))&amp;"","")</f>
        <v/>
      </c>
      <c r="AT22" s="117">
        <f>SUMPRODUCT(($C22:$I22="M")*6+($C22:$I22="T")*6+($C22:$I22="D")*12+($C22:$I22="N")*12+($C22:$I22="NT")*6+($C22:$I22="C")*10+($C22:$I22="A")*8+($C22:$I22="J")*5+($C22:$I22="CEP")*4+($C22:$I22="CP")*6+($C22:$I22="CRO")*6+($C22:$I22="M+")*6+($C22:$I22="T+")*6+($C22:$I22="D+")*12+($C22:$I22="N+")*12+($C22:$I22="Dm+")*12+($C22:$I22="Dt+")*12+($C22:$I22="Tm-")*6+($C22:$I22="Mt-")*6)</f>
        <v/>
      </c>
      <c r="AU22" s="118">
        <f>AT22-MAX(0,IFERROR(INDEX(CADASTRO!$I$4:$I$80,MATCH($A22,CADASTRO!$A$4:$A$80,0)),$B22)-CONFIG!$B$50*(COUNTIF($C22:$I22,"AB")+COUNTIF($C22:$I22,"FE")+COUNTIF($C22:$I22,"LM")))</f>
        <v/>
      </c>
      <c r="AV22" s="117">
        <f>SUMPRODUCT(($J22:$P22="M")*6+($J22:$P22="T")*6+($J22:$P22="D")*12+($J22:$P22="N")*12+($J22:$P22="NT")*6+($J22:$P22="C")*10+($J22:$P22="A")*8+($J22:$P22="J")*5+($J22:$P22="CEP")*4+($J22:$P22="CP")*6+($J22:$P22="CRO")*6+($J22:$P22="M+")*6+($J22:$P22="T+")*6+($J22:$P22="D+")*12+($J22:$P22="N+")*12+($J22:$P22="Dm+")*12+($J22:$P22="Dt+")*12+($J22:$P22="Tm-")*6+($J22:$P22="Mt-")*6)</f>
        <v/>
      </c>
      <c r="AW22" s="118">
        <f>AV22-MAX(0,IFERROR(INDEX(CADASTRO!$I$4:$I$80,MATCH($A22,CADASTRO!$A$4:$A$80,0)),$B22)-CONFIG!$B$50*(COUNTIF($J22:$P22,"AB")+COUNTIF($J22:$P22,"FE")+COUNTIF($J22:$P22,"LM")))</f>
        <v/>
      </c>
      <c r="AX22" s="117">
        <f>SUMPRODUCT(($Q22:$W22="M")*6+($Q22:$W22="T")*6+($Q22:$W22="D")*12+($Q22:$W22="N")*12+($Q22:$W22="NT")*6+($Q22:$W22="C")*10+($Q22:$W22="A")*8+($Q22:$W22="J")*5+($Q22:$W22="CEP")*4+($Q22:$W22="CP")*6+($Q22:$W22="CRO")*6+($Q22:$W22="M+")*6+($Q22:$W22="T+")*6+($Q22:$W22="D+")*12+($Q22:$W22="N+")*12+($Q22:$W22="Dm+")*12+($Q22:$W22="Dt+")*12+($Q22:$W22="Tm-")*6+($Q22:$W22="Mt-")*6)</f>
        <v/>
      </c>
      <c r="AY22" s="118">
        <f>AX22-MAX(0,IFERROR(INDEX(CADASTRO!$I$4:$I$80,MATCH($A22,CADASTRO!$A$4:$A$80,0)),$B22)-CONFIG!$B$50*(COUNTIF($Q22:$W22,"AB")+COUNTIF($Q22:$W22,"FE")+COUNTIF($Q22:$W22,"LM")))</f>
        <v/>
      </c>
      <c r="AZ22" s="117">
        <f>SUMPRODUCT(($X22:$AD22="M")*6+($X22:$AD22="T")*6+($X22:$AD22="D")*12+($X22:$AD22="N")*12+($X22:$AD22="NT")*6+($X22:$AD22="C")*10+($X22:$AD22="A")*8+($X22:$AD22="J")*5+($X22:$AD22="CEP")*4+($X22:$AD22="CP")*6+($X22:$AD22="CRO")*6+($X22:$AD22="M+")*6+($X22:$AD22="T+")*6+($X22:$AD22="D+")*12+($X22:$AD22="N+")*12+($X22:$AD22="Dm+")*12+($X22:$AD22="Dt+")*12+($X22:$AD22="Tm-")*6+($X22:$AD22="Mt-")*6)</f>
        <v/>
      </c>
      <c r="BA22" s="118">
        <f>AZ22-MAX(0,IFERROR(INDEX(CADASTRO!$I$4:$I$80,MATCH($A22,CADASTRO!$A$4:$A$80,0)),$B22)-CONFIG!$B$50*(COUNTIF($X22:$AD22,"AB")+COUNTIF($X22:$AD22,"FE")+COUNTIF($X22:$AD22,"LM")))</f>
        <v/>
      </c>
      <c r="BB22" s="117">
        <f>SUMPRODUCT(($AE22:$AK22="M")*6+($AE22:$AK22="T")*6+($AE22:$AK22="D")*12+($AE22:$AK22="N")*12+($AE22:$AK22="NT")*6+($AE22:$AK22="C")*10+($AE22:$AK22="A")*8+($AE22:$AK22="J")*5+($AE22:$AK22="CEP")*4+($AE22:$AK22="CP")*6+($AE22:$AK22="CRO")*6+($AE22:$AK22="M+")*6+($AE22:$AK22="T+")*6+($AE22:$AK22="D+")*12+($AE22:$AK22="N+")*12+($AE22:$AK22="Dm+")*12+($AE22:$AK22="Dt+")*12+($AE22:$AK22="Tm-")*6+($AE22:$AK22="Mt-")*6)</f>
        <v/>
      </c>
      <c r="BC22" s="118">
        <f>BB22-MAX(0,IFERROR(INDEX(CADASTRO!$I$4:$I$80,MATCH($A22,CADASTRO!$A$4:$A$80,0)),$B22)-CONFIG!$B$50*(COUNTIF($AE22:$AK22,"AB")+COUNTIF($AE22:$AK22,"FE")+COUNTIF($AE22:$AK22,"LM")))</f>
        <v/>
      </c>
      <c r="BD22" s="117">
        <f>SUMPRODUCT(($AL22:$AL22="M")*6+($AL22:$AL22="T")*6+($AL22:$AL22="D")*12+($AL22:$AL22="N")*12+($AL22:$AL22="NT")*6+($AL22:$AL22="C")*10+($AL22:$AL22="A")*8+($AL22:$AL22="J")*5+($AL22:$AL22="CEP")*4+($AL22:$AL22="CP")*6+($AL22:$AL22="CRO")*6+($AL22:$AL22="M+")*6+($AL22:$AL22="T+")*6+($AL22:$AL22="D+")*12+($AL22:$AL22="N+")*12+($AL22:$AL22="Dm+")*12+($AL22:$AL22="Dt+")*12+($AL22:$AL22="Tm-")*6+($AL22:$AL22="Mt-")*6)+SUMPRODUCT(($AN22:$AS22="M")*6+($AN22:$AS22="T")*6+($AN22:$AS22="D")*12+($AN22:$AS22="N")*12+($AN22:$AS22="NT")*6+($AN22:$AS22="C")*10+($AN22:$AS22="A")*8+($AN22:$AS22="J")*5+($AN22:$AS22="CEP")*4+($AN22:$AS22="CP")*6+($AN22:$AS22="CRO")*6+($AN22:$AS22="M+")*6+($AN22:$AS22="T+")*6+($AN22:$AS22="D+")*12+($AN22:$AS22="N+")*12+($AN22:$AS22="Dm+")*12+($AN22:$AS22="Dt+")*12+($AN22:$AS22="Tm-")*6+($AN22:$AS22="Mt-")*6)</f>
        <v/>
      </c>
      <c r="BE22" s="118">
        <f>BD22-MAX(0,IFERROR(INDEX(CADASTRO!$I$4:$I$80,MATCH($A22,CADASTRO!$A$4:$A$80,0)),$B22)-CONFIG!$B$50*(COUNTIF($AL22:$AL22,"AB")+COUNTIF($AL22:$AL22,"FE")+COUNTIF($AL22:$AL22,"LM")+COUNTIF($AN22:$AS22,"AB")+COUNTIF($AN22:$AS22,"FE")+COUNTIF($AN22:$AS22,"LM")))</f>
        <v/>
      </c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ROUND(B22*4.29,0)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36">
        <f>IFERROR(INDEX(OUT!AH$8:AH$73,MATCH($A23,OUT!$A$8:$A$73,0))&amp;"","")</f>
        <v/>
      </c>
      <c r="D23" s="136">
        <f>IFERROR(INDEX(OUT!AI$8:AI$73,MATCH($A23,OUT!$A$8:$A$73,0))&amp;"","")</f>
        <v/>
      </c>
      <c r="E23" s="136">
        <f>IFERROR(INDEX(OUT!AJ$8:AJ$73,MATCH($A23,OUT!$A$8:$A$73,0))&amp;"","")</f>
        <v/>
      </c>
      <c r="F23" s="136">
        <f>IFERROR(INDEX(OUT!AK$8:AK$73,MATCH($A23,OUT!$A$8:$A$73,0))&amp;"","")</f>
        <v/>
      </c>
      <c r="G23" s="136">
        <f>IFERROR(INDEX(OUT!AL$8:AL$73,MATCH($A23,OUT!$A$8:$A$73,0))&amp;"","")</f>
        <v/>
      </c>
      <c r="H23" s="116">
        <f>IFERROR(INDEX(OUT!AM$8:AM$73,MATCH($A23,OUT!$A$8:$A$73,0))&amp;"","")</f>
        <v/>
      </c>
      <c r="I23" s="115" t="inlineStr">
        <is>
          <t>M</t>
        </is>
      </c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  <c r="AB23" s="114" t="n"/>
      <c r="AC23" s="114" t="n"/>
      <c r="AD23" s="114" t="n"/>
      <c r="AE23" s="114" t="n"/>
      <c r="AF23" s="114" t="n"/>
      <c r="AG23" s="114" t="n"/>
      <c r="AH23" s="114" t="n"/>
      <c r="AI23" s="114" t="n"/>
      <c r="AJ23" s="114" t="n"/>
      <c r="AK23" s="114" t="n"/>
      <c r="AL23" s="114" t="n"/>
      <c r="AM23" s="100" t="n"/>
      <c r="AN23" s="136">
        <f>IFERROR(INDEX(DEZ!I$8:I$73,MATCH($A23,DEZ!$A$8:$A$73,0))&amp;"","")</f>
        <v/>
      </c>
      <c r="AO23" s="136">
        <f>IFERROR(INDEX(DEZ!J$8:J$73,MATCH($A23,DEZ!$A$8:$A$73,0))&amp;"","")</f>
        <v/>
      </c>
      <c r="AP23" s="136">
        <f>IFERROR(INDEX(DEZ!K$8:K$73,MATCH($A23,DEZ!$A$8:$A$73,0))&amp;"","")</f>
        <v/>
      </c>
      <c r="AQ23" s="136">
        <f>IFERROR(INDEX(DEZ!L$8:L$73,MATCH($A23,DEZ!$A$8:$A$73,0))&amp;"","")</f>
        <v/>
      </c>
      <c r="AR23" s="116">
        <f>IFERROR(INDEX(DEZ!M$8:M$73,MATCH($A23,DEZ!$A$8:$A$73,0))&amp;"","")</f>
        <v/>
      </c>
      <c r="AS23" s="116">
        <f>IFERROR(INDEX(DEZ!N$8:N$73,MATCH($A23,DEZ!$A$8:$A$73,0))&amp;"","")</f>
        <v/>
      </c>
      <c r="AT23" s="117">
        <f>SUMPRODUCT(($C23:$I23="M")*6+($C23:$I23="T")*6+($C23:$I23="D")*12+($C23:$I23="N")*12+($C23:$I23="NT")*6+($C23:$I23="C")*10+($C23:$I23="A")*8+($C23:$I23="J")*5+($C23:$I23="CEP")*4+($C23:$I23="CP")*6+($C23:$I23="CRO")*6+($C23:$I23="M+")*6+($C23:$I23="T+")*6+($C23:$I23="D+")*12+($C23:$I23="N+")*12+($C23:$I23="Dm+")*12+($C23:$I23="Dt+")*12+($C23:$I23="Tm-")*6+($C23:$I23="Mt-")*6)</f>
        <v/>
      </c>
      <c r="AU23" s="118">
        <f>AT23-MAX(0,IFERROR(INDEX(CADASTRO!$I$4:$I$80,MATCH($A23,CADASTRO!$A$4:$A$80,0)),$B23)-CONFIG!$B$50*(COUNTIF($C23:$I23,"AB")+COUNTIF($C23:$I23,"FE")+COUNTIF($C23:$I23,"LM")))</f>
        <v/>
      </c>
      <c r="AV23" s="117">
        <f>SUMPRODUCT(($J23:$P23="M")*6+($J23:$P23="T")*6+($J23:$P23="D")*12+($J23:$P23="N")*12+($J23:$P23="NT")*6+($J23:$P23="C")*10+($J23:$P23="A")*8+($J23:$P23="J")*5+($J23:$P23="CEP")*4+($J23:$P23="CP")*6+($J23:$P23="CRO")*6+($J23:$P23="M+")*6+($J23:$P23="T+")*6+($J23:$P23="D+")*12+($J23:$P23="N+")*12+($J23:$P23="Dm+")*12+($J23:$P23="Dt+")*12+($J23:$P23="Tm-")*6+($J23:$P23="Mt-")*6)</f>
        <v/>
      </c>
      <c r="AW23" s="118">
        <f>AV23-MAX(0,IFERROR(INDEX(CADASTRO!$I$4:$I$80,MATCH($A23,CADASTRO!$A$4:$A$80,0)),$B23)-CONFIG!$B$50*(COUNTIF($J23:$P23,"AB")+COUNTIF($J23:$P23,"FE")+COUNTIF($J23:$P23,"LM")))</f>
        <v/>
      </c>
      <c r="AX23" s="117">
        <f>SUMPRODUCT(($Q23:$W23="M")*6+($Q23:$W23="T")*6+($Q23:$W23="D")*12+($Q23:$W23="N")*12+($Q23:$W23="NT")*6+($Q23:$W23="C")*10+($Q23:$W23="A")*8+($Q23:$W23="J")*5+($Q23:$W23="CEP")*4+($Q23:$W23="CP")*6+($Q23:$W23="CRO")*6+($Q23:$W23="M+")*6+($Q23:$W23="T+")*6+($Q23:$W23="D+")*12+($Q23:$W23="N+")*12+($Q23:$W23="Dm+")*12+($Q23:$W23="Dt+")*12+($Q23:$W23="Tm-")*6+($Q23:$W23="Mt-")*6)</f>
        <v/>
      </c>
      <c r="AY23" s="118">
        <f>AX23-MAX(0,IFERROR(INDEX(CADASTRO!$I$4:$I$80,MATCH($A23,CADASTRO!$A$4:$A$80,0)),$B23)-CONFIG!$B$50*(COUNTIF($Q23:$W23,"AB")+COUNTIF($Q23:$W23,"FE")+COUNTIF($Q23:$W23,"LM")))</f>
        <v/>
      </c>
      <c r="AZ23" s="117">
        <f>SUMPRODUCT(($X23:$AD23="M")*6+($X23:$AD23="T")*6+($X23:$AD23="D")*12+($X23:$AD23="N")*12+($X23:$AD23="NT")*6+($X23:$AD23="C")*10+($X23:$AD23="A")*8+($X23:$AD23="J")*5+($X23:$AD23="CEP")*4+($X23:$AD23="CP")*6+($X23:$AD23="CRO")*6+($X23:$AD23="M+")*6+($X23:$AD23="T+")*6+($X23:$AD23="D+")*12+($X23:$AD23="N+")*12+($X23:$AD23="Dm+")*12+($X23:$AD23="Dt+")*12+($X23:$AD23="Tm-")*6+($X23:$AD23="Mt-")*6)</f>
        <v/>
      </c>
      <c r="BA23" s="118">
        <f>AZ23-MAX(0,IFERROR(INDEX(CADASTRO!$I$4:$I$80,MATCH($A23,CADASTRO!$A$4:$A$80,0)),$B23)-CONFIG!$B$50*(COUNTIF($X23:$AD23,"AB")+COUNTIF($X23:$AD23,"FE")+COUNTIF($X23:$AD23,"LM")))</f>
        <v/>
      </c>
      <c r="BB23" s="117">
        <f>SUMPRODUCT(($AE23:$AK23="M")*6+($AE23:$AK23="T")*6+($AE23:$AK23="D")*12+($AE23:$AK23="N")*12+($AE23:$AK23="NT")*6+($AE23:$AK23="C")*10+($AE23:$AK23="A")*8+($AE23:$AK23="J")*5+($AE23:$AK23="CEP")*4+($AE23:$AK23="CP")*6+($AE23:$AK23="CRO")*6+($AE23:$AK23="M+")*6+($AE23:$AK23="T+")*6+($AE23:$AK23="D+")*12+($AE23:$AK23="N+")*12+($AE23:$AK23="Dm+")*12+($AE23:$AK23="Dt+")*12+($AE23:$AK23="Tm-")*6+($AE23:$AK23="Mt-")*6)</f>
        <v/>
      </c>
      <c r="BC23" s="118">
        <f>BB23-MAX(0,IFERROR(INDEX(CADASTRO!$I$4:$I$80,MATCH($A23,CADASTRO!$A$4:$A$80,0)),$B23)-CONFIG!$B$50*(COUNTIF($AE23:$AK23,"AB")+COUNTIF($AE23:$AK23,"FE")+COUNTIF($AE23:$AK23,"LM")))</f>
        <v/>
      </c>
      <c r="BD23" s="117">
        <f>SUMPRODUCT(($AL23:$AL23="M")*6+($AL23:$AL23="T")*6+($AL23:$AL23="D")*12+($AL23:$AL23="N")*12+($AL23:$AL23="NT")*6+($AL23:$AL23="C")*10+($AL23:$AL23="A")*8+($AL23:$AL23="J")*5+($AL23:$AL23="CEP")*4+($AL23:$AL23="CP")*6+($AL23:$AL23="CRO")*6+($AL23:$AL23="M+")*6+($AL23:$AL23="T+")*6+($AL23:$AL23="D+")*12+($AL23:$AL23="N+")*12+($AL23:$AL23="Dm+")*12+($AL23:$AL23="Dt+")*12+($AL23:$AL23="Tm-")*6+($AL23:$AL23="Mt-")*6)+SUMPRODUCT(($AN23:$AS23="M")*6+($AN23:$AS23="T")*6+($AN23:$AS23="D")*12+($AN23:$AS23="N")*12+($AN23:$AS23="NT")*6+($AN23:$AS23="C")*10+($AN23:$AS23="A")*8+($AN23:$AS23="J")*5+($AN23:$AS23="CEP")*4+($AN23:$AS23="CP")*6+($AN23:$AS23="CRO")*6+($AN23:$AS23="M+")*6+($AN23:$AS23="T+")*6+($AN23:$AS23="D+")*12+($AN23:$AS23="N+")*12+($AN23:$AS23="Dm+")*12+($AN23:$AS23="Dt+")*12+($AN23:$AS23="Tm-")*6+($AN23:$AS23="Mt-")*6)</f>
        <v/>
      </c>
      <c r="BE23" s="118">
        <f>BD23-MAX(0,IFERROR(INDEX(CADASTRO!$I$4:$I$80,MATCH($A23,CADASTRO!$A$4:$A$80,0)),$B23)-CONFIG!$B$50*(COUNTIF($AL23:$AL23,"AB")+COUNTIF($AL23:$AL23,"FE")+COUNTIF($AL23:$AL23,"LM")+COUNTIF($AN23:$AS23,"AB")+COUNTIF($AN23:$AS23,"FE")+COUNTIF($AN23:$AS23,"LM")))</f>
        <v/>
      </c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ROUND(B23*4.29,0)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36">
        <f>IFERROR(INDEX(OUT!AH$8:AH$73,MATCH($A24,OUT!$A$8:$A$73,0))&amp;"","")</f>
        <v/>
      </c>
      <c r="D24" s="136">
        <f>IFERROR(INDEX(OUT!AI$8:AI$73,MATCH($A24,OUT!$A$8:$A$73,0))&amp;"","")</f>
        <v/>
      </c>
      <c r="E24" s="136">
        <f>IFERROR(INDEX(OUT!AJ$8:AJ$73,MATCH($A24,OUT!$A$8:$A$73,0))&amp;"","")</f>
        <v/>
      </c>
      <c r="F24" s="136">
        <f>IFERROR(INDEX(OUT!AK$8:AK$73,MATCH($A24,OUT!$A$8:$A$73,0))&amp;"","")</f>
        <v/>
      </c>
      <c r="G24" s="136">
        <f>IFERROR(INDEX(OUT!AL$8:AL$73,MATCH($A24,OUT!$A$8:$A$73,0))&amp;"","")</f>
        <v/>
      </c>
      <c r="H24" s="116">
        <f>IFERROR(INDEX(OUT!AM$8:AM$73,MATCH($A24,OUT!$A$8:$A$73,0))&amp;"","")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4" t="n"/>
      <c r="AJ24" s="114" t="n"/>
      <c r="AK24" s="114" t="n"/>
      <c r="AL24" s="114" t="n"/>
      <c r="AM24" s="100" t="n"/>
      <c r="AN24" s="136">
        <f>IFERROR(INDEX(DEZ!I$8:I$73,MATCH($A24,DEZ!$A$8:$A$73,0))&amp;"","")</f>
        <v/>
      </c>
      <c r="AO24" s="136">
        <f>IFERROR(INDEX(DEZ!J$8:J$73,MATCH($A24,DEZ!$A$8:$A$73,0))&amp;"","")</f>
        <v/>
      </c>
      <c r="AP24" s="136">
        <f>IFERROR(INDEX(DEZ!K$8:K$73,MATCH($A24,DEZ!$A$8:$A$73,0))&amp;"","")</f>
        <v/>
      </c>
      <c r="AQ24" s="136">
        <f>IFERROR(INDEX(DEZ!L$8:L$73,MATCH($A24,DEZ!$A$8:$A$73,0))&amp;"","")</f>
        <v/>
      </c>
      <c r="AR24" s="116">
        <f>IFERROR(INDEX(DEZ!M$8:M$73,MATCH($A24,DEZ!$A$8:$A$73,0))&amp;"","")</f>
        <v/>
      </c>
      <c r="AS24" s="116">
        <f>IFERROR(INDEX(DEZ!N$8:N$73,MATCH($A24,DEZ!$A$8:$A$73,0))&amp;"","")</f>
        <v/>
      </c>
      <c r="AT24" s="117">
        <f>SUMPRODUCT(($C24:$I24="M")*6+($C24:$I24="T")*6+($C24:$I24="D")*12+($C24:$I24="N")*12+($C24:$I24="NT")*6+($C24:$I24="C")*10+($C24:$I24="A")*8+($C24:$I24="J")*5+($C24:$I24="CEP")*4+($C24:$I24="CP")*6+($C24:$I24="CRO")*6+($C24:$I24="M+")*6+($C24:$I24="T+")*6+($C24:$I24="D+")*12+($C24:$I24="N+")*12+($C24:$I24="Dm+")*12+($C24:$I24="Dt+")*12+($C24:$I24="Tm-")*6+($C24:$I24="Mt-")*6)</f>
        <v/>
      </c>
      <c r="AU24" s="118">
        <f>AT24-MAX(0,IFERROR(INDEX(CADASTRO!$I$4:$I$80,MATCH($A24,CADASTRO!$A$4:$A$80,0)),$B24)-CONFIG!$B$50*(COUNTIF($C24:$I24,"AB")+COUNTIF($C24:$I24,"FE")+COUNTIF($C24:$I24,"LM")))</f>
        <v/>
      </c>
      <c r="AV24" s="117">
        <f>SUMPRODUCT(($J24:$P24="M")*6+($J24:$P24="T")*6+($J24:$P24="D")*12+($J24:$P24="N")*12+($J24:$P24="NT")*6+($J24:$P24="C")*10+($J24:$P24="A")*8+($J24:$P24="J")*5+($J24:$P24="CEP")*4+($J24:$P24="CP")*6+($J24:$P24="CRO")*6+($J24:$P24="M+")*6+($J24:$P24="T+")*6+($J24:$P24="D+")*12+($J24:$P24="N+")*12+($J24:$P24="Dm+")*12+($J24:$P24="Dt+")*12+($J24:$P24="Tm-")*6+($J24:$P24="Mt-")*6)</f>
        <v/>
      </c>
      <c r="AW24" s="118">
        <f>AV24-MAX(0,IFERROR(INDEX(CADASTRO!$I$4:$I$80,MATCH($A24,CADASTRO!$A$4:$A$80,0)),$B24)-CONFIG!$B$50*(COUNTIF($J24:$P24,"AB")+COUNTIF($J24:$P24,"FE")+COUNTIF($J24:$P24,"LM")))</f>
        <v/>
      </c>
      <c r="AX24" s="117">
        <f>SUMPRODUCT(($Q24:$W24="M")*6+($Q24:$W24="T")*6+($Q24:$W24="D")*12+($Q24:$W24="N")*12+($Q24:$W24="NT")*6+($Q24:$W24="C")*10+($Q24:$W24="A")*8+($Q24:$W24="J")*5+($Q24:$W24="CEP")*4+($Q24:$W24="CP")*6+($Q24:$W24="CRO")*6+($Q24:$W24="M+")*6+($Q24:$W24="T+")*6+($Q24:$W24="D+")*12+($Q24:$W24="N+")*12+($Q24:$W24="Dm+")*12+($Q24:$W24="Dt+")*12+($Q24:$W24="Tm-")*6+($Q24:$W24="Mt-")*6)</f>
        <v/>
      </c>
      <c r="AY24" s="118">
        <f>AX24-MAX(0,IFERROR(INDEX(CADASTRO!$I$4:$I$80,MATCH($A24,CADASTRO!$A$4:$A$80,0)),$B24)-CONFIG!$B$50*(COUNTIF($Q24:$W24,"AB")+COUNTIF($Q24:$W24,"FE")+COUNTIF($Q24:$W24,"LM")))</f>
        <v/>
      </c>
      <c r="AZ24" s="117">
        <f>SUMPRODUCT(($X24:$AD24="M")*6+($X24:$AD24="T")*6+($X24:$AD24="D")*12+($X24:$AD24="N")*12+($X24:$AD24="NT")*6+($X24:$AD24="C")*10+($X24:$AD24="A")*8+($X24:$AD24="J")*5+($X24:$AD24="CEP")*4+($X24:$AD24="CP")*6+($X24:$AD24="CRO")*6+($X24:$AD24="M+")*6+($X24:$AD24="T+")*6+($X24:$AD24="D+")*12+($X24:$AD24="N+")*12+($X24:$AD24="Dm+")*12+($X24:$AD24="Dt+")*12+($X24:$AD24="Tm-")*6+($X24:$AD24="Mt-")*6)</f>
        <v/>
      </c>
      <c r="BA24" s="118">
        <f>AZ24-MAX(0,IFERROR(INDEX(CADASTRO!$I$4:$I$80,MATCH($A24,CADASTRO!$A$4:$A$80,0)),$B24)-CONFIG!$B$50*(COUNTIF($X24:$AD24,"AB")+COUNTIF($X24:$AD24,"FE")+COUNTIF($X24:$AD24,"LM")))</f>
        <v/>
      </c>
      <c r="BB24" s="117">
        <f>SUMPRODUCT(($AE24:$AK24="M")*6+($AE24:$AK24="T")*6+($AE24:$AK24="D")*12+($AE24:$AK24="N")*12+($AE24:$AK24="NT")*6+($AE24:$AK24="C")*10+($AE24:$AK24="A")*8+($AE24:$AK24="J")*5+($AE24:$AK24="CEP")*4+($AE24:$AK24="CP")*6+($AE24:$AK24="CRO")*6+($AE24:$AK24="M+")*6+($AE24:$AK24="T+")*6+($AE24:$AK24="D+")*12+($AE24:$AK24="N+")*12+($AE24:$AK24="Dm+")*12+($AE24:$AK24="Dt+")*12+($AE24:$AK24="Tm-")*6+($AE24:$AK24="Mt-")*6)</f>
        <v/>
      </c>
      <c r="BC24" s="118">
        <f>BB24-MAX(0,IFERROR(INDEX(CADASTRO!$I$4:$I$80,MATCH($A24,CADASTRO!$A$4:$A$80,0)),$B24)-CONFIG!$B$50*(COUNTIF($AE24:$AK24,"AB")+COUNTIF($AE24:$AK24,"FE")+COUNTIF($AE24:$AK24,"LM")))</f>
        <v/>
      </c>
      <c r="BD24" s="117">
        <f>SUMPRODUCT(($AL24:$AL24="M")*6+($AL24:$AL24="T")*6+($AL24:$AL24="D")*12+($AL24:$AL24="N")*12+($AL24:$AL24="NT")*6+($AL24:$AL24="C")*10+($AL24:$AL24="A")*8+($AL24:$AL24="J")*5+($AL24:$AL24="CEP")*4+($AL24:$AL24="CP")*6+($AL24:$AL24="CRO")*6+($AL24:$AL24="M+")*6+($AL24:$AL24="T+")*6+($AL24:$AL24="D+")*12+($AL24:$AL24="N+")*12+($AL24:$AL24="Dm+")*12+($AL24:$AL24="Dt+")*12+($AL24:$AL24="Tm-")*6+($AL24:$AL24="Mt-")*6)+SUMPRODUCT(($AN24:$AS24="M")*6+($AN24:$AS24="T")*6+($AN24:$AS24="D")*12+($AN24:$AS24="N")*12+($AN24:$AS24="NT")*6+($AN24:$AS24="C")*10+($AN24:$AS24="A")*8+($AN24:$AS24="J")*5+($AN24:$AS24="CEP")*4+($AN24:$AS24="CP")*6+($AN24:$AS24="CRO")*6+($AN24:$AS24="M+")*6+($AN24:$AS24="T+")*6+($AN24:$AS24="D+")*12+($AN24:$AS24="N+")*12+($AN24:$AS24="Dm+")*12+($AN24:$AS24="Dt+")*12+($AN24:$AS24="Tm-")*6+($AN24:$AS24="Mt-")*6)</f>
        <v/>
      </c>
      <c r="BE24" s="118">
        <f>BD24-MAX(0,IFERROR(INDEX(CADASTRO!$I$4:$I$80,MATCH($A24,CADASTRO!$A$4:$A$80,0)),$B24)-CONFIG!$B$50*(COUNTIF($AL24:$AL24,"AB")+COUNTIF($AL24:$AL24,"FE")+COUNTIF($AL24:$AL24,"LM")+COUNTIF($AN24:$AS24,"AB")+COUNTIF($AN24:$AS24,"FE")+COUNTIF($AN24:$AS24,"LM")))</f>
        <v/>
      </c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ROUND(B24*4.29,0)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36">
        <f>IFERROR(INDEX(OUT!AH$8:AH$73,MATCH($A25,OUT!$A$8:$A$73,0))&amp;"","")</f>
        <v/>
      </c>
      <c r="D25" s="136">
        <f>IFERROR(INDEX(OUT!AI$8:AI$73,MATCH($A25,OUT!$A$8:$A$73,0))&amp;"","")</f>
        <v/>
      </c>
      <c r="E25" s="136">
        <f>IFERROR(INDEX(OUT!AJ$8:AJ$73,MATCH($A25,OUT!$A$8:$A$73,0))&amp;"","")</f>
        <v/>
      </c>
      <c r="F25" s="136">
        <f>IFERROR(INDEX(OUT!AK$8:AK$73,MATCH($A25,OUT!$A$8:$A$73,0))&amp;"","")</f>
        <v/>
      </c>
      <c r="G25" s="136">
        <f>IFERROR(INDEX(OUT!AL$8:AL$73,MATCH($A25,OUT!$A$8:$A$73,0))&amp;"","")</f>
        <v/>
      </c>
      <c r="H25" s="116">
        <f>IFERROR(INDEX(OUT!AM$8:AM$73,MATCH($A25,OUT!$A$8:$A$73,0))&amp;"","")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  <c r="AD25" s="114" t="n"/>
      <c r="AE25" s="114" t="n"/>
      <c r="AF25" s="114" t="n"/>
      <c r="AG25" s="114" t="n"/>
      <c r="AH25" s="114" t="n"/>
      <c r="AI25" s="114" t="n"/>
      <c r="AJ25" s="114" t="n"/>
      <c r="AK25" s="114" t="n"/>
      <c r="AL25" s="114" t="n"/>
      <c r="AM25" s="100" t="n"/>
      <c r="AN25" s="136">
        <f>IFERROR(INDEX(DEZ!I$8:I$73,MATCH($A25,DEZ!$A$8:$A$73,0))&amp;"","")</f>
        <v/>
      </c>
      <c r="AO25" s="136">
        <f>IFERROR(INDEX(DEZ!J$8:J$73,MATCH($A25,DEZ!$A$8:$A$73,0))&amp;"","")</f>
        <v/>
      </c>
      <c r="AP25" s="136">
        <f>IFERROR(INDEX(DEZ!K$8:K$73,MATCH($A25,DEZ!$A$8:$A$73,0))&amp;"","")</f>
        <v/>
      </c>
      <c r="AQ25" s="136">
        <f>IFERROR(INDEX(DEZ!L$8:L$73,MATCH($A25,DEZ!$A$8:$A$73,0))&amp;"","")</f>
        <v/>
      </c>
      <c r="AR25" s="116">
        <f>IFERROR(INDEX(DEZ!M$8:M$73,MATCH($A25,DEZ!$A$8:$A$73,0))&amp;"","")</f>
        <v/>
      </c>
      <c r="AS25" s="116">
        <f>IFERROR(INDEX(DEZ!N$8:N$73,MATCH($A25,DEZ!$A$8:$A$73,0))&amp;"","")</f>
        <v/>
      </c>
      <c r="AT25" s="117">
        <f>SUMPRODUCT(($C25:$I25="M")*6+($C25:$I25="T")*6+($C25:$I25="D")*12+($C25:$I25="N")*12+($C25:$I25="NT")*6+($C25:$I25="C")*10+($C25:$I25="A")*8+($C25:$I25="J")*5+($C25:$I25="CEP")*4+($C25:$I25="CP")*6+($C25:$I25="CRO")*6+($C25:$I25="M+")*6+($C25:$I25="T+")*6+($C25:$I25="D+")*12+($C25:$I25="N+")*12+($C25:$I25="Dm+")*12+($C25:$I25="Dt+")*12+($C25:$I25="Tm-")*6+($C25:$I25="Mt-")*6)</f>
        <v/>
      </c>
      <c r="AU25" s="118">
        <f>AT25-MAX(0,IFERROR(INDEX(CADASTRO!$I$4:$I$80,MATCH($A25,CADASTRO!$A$4:$A$80,0)),$B25)-CONFIG!$B$50*(COUNTIF($C25:$I25,"AB")+COUNTIF($C25:$I25,"FE")+COUNTIF($C25:$I25,"LM")))</f>
        <v/>
      </c>
      <c r="AV25" s="117">
        <f>SUMPRODUCT(($J25:$P25="M")*6+($J25:$P25="T")*6+($J25:$P25="D")*12+($J25:$P25="N")*12+($J25:$P25="NT")*6+($J25:$P25="C")*10+($J25:$P25="A")*8+($J25:$P25="J")*5+($J25:$P25="CEP")*4+($J25:$P25="CP")*6+($J25:$P25="CRO")*6+($J25:$P25="M+")*6+($J25:$P25="T+")*6+($J25:$P25="D+")*12+($J25:$P25="N+")*12+($J25:$P25="Dm+")*12+($J25:$P25="Dt+")*12+($J25:$P25="Tm-")*6+($J25:$P25="Mt-")*6)</f>
        <v/>
      </c>
      <c r="AW25" s="118">
        <f>AV25-MAX(0,IFERROR(INDEX(CADASTRO!$I$4:$I$80,MATCH($A25,CADASTRO!$A$4:$A$80,0)),$B25)-CONFIG!$B$50*(COUNTIF($J25:$P25,"AB")+COUNTIF($J25:$P25,"FE")+COUNTIF($J25:$P25,"LM")))</f>
        <v/>
      </c>
      <c r="AX25" s="117">
        <f>SUMPRODUCT(($Q25:$W25="M")*6+($Q25:$W25="T")*6+($Q25:$W25="D")*12+($Q25:$W25="N")*12+($Q25:$W25="NT")*6+($Q25:$W25="C")*10+($Q25:$W25="A")*8+($Q25:$W25="J")*5+($Q25:$W25="CEP")*4+($Q25:$W25="CP")*6+($Q25:$W25="CRO")*6+($Q25:$W25="M+")*6+($Q25:$W25="T+")*6+($Q25:$W25="D+")*12+($Q25:$W25="N+")*12+($Q25:$W25="Dm+")*12+($Q25:$W25="Dt+")*12+($Q25:$W25="Tm-")*6+($Q25:$W25="Mt-")*6)</f>
        <v/>
      </c>
      <c r="AY25" s="118">
        <f>AX25-MAX(0,IFERROR(INDEX(CADASTRO!$I$4:$I$80,MATCH($A25,CADASTRO!$A$4:$A$80,0)),$B25)-CONFIG!$B$50*(COUNTIF($Q25:$W25,"AB")+COUNTIF($Q25:$W25,"FE")+COUNTIF($Q25:$W25,"LM")))</f>
        <v/>
      </c>
      <c r="AZ25" s="117">
        <f>SUMPRODUCT(($X25:$AD25="M")*6+($X25:$AD25="T")*6+($X25:$AD25="D")*12+($X25:$AD25="N")*12+($X25:$AD25="NT")*6+($X25:$AD25="C")*10+($X25:$AD25="A")*8+($X25:$AD25="J")*5+($X25:$AD25="CEP")*4+($X25:$AD25="CP")*6+($X25:$AD25="CRO")*6+($X25:$AD25="M+")*6+($X25:$AD25="T+")*6+($X25:$AD25="D+")*12+($X25:$AD25="N+")*12+($X25:$AD25="Dm+")*12+($X25:$AD25="Dt+")*12+($X25:$AD25="Tm-")*6+($X25:$AD25="Mt-")*6)</f>
        <v/>
      </c>
      <c r="BA25" s="118">
        <f>AZ25-MAX(0,IFERROR(INDEX(CADASTRO!$I$4:$I$80,MATCH($A25,CADASTRO!$A$4:$A$80,0)),$B25)-CONFIG!$B$50*(COUNTIF($X25:$AD25,"AB")+COUNTIF($X25:$AD25,"FE")+COUNTIF($X25:$AD25,"LM")))</f>
        <v/>
      </c>
      <c r="BB25" s="117">
        <f>SUMPRODUCT(($AE25:$AK25="M")*6+($AE25:$AK25="T")*6+($AE25:$AK25="D")*12+($AE25:$AK25="N")*12+($AE25:$AK25="NT")*6+($AE25:$AK25="C")*10+($AE25:$AK25="A")*8+($AE25:$AK25="J")*5+($AE25:$AK25="CEP")*4+($AE25:$AK25="CP")*6+($AE25:$AK25="CRO")*6+($AE25:$AK25="M+")*6+($AE25:$AK25="T+")*6+($AE25:$AK25="D+")*12+($AE25:$AK25="N+")*12+($AE25:$AK25="Dm+")*12+($AE25:$AK25="Dt+")*12+($AE25:$AK25="Tm-")*6+($AE25:$AK25="Mt-")*6)</f>
        <v/>
      </c>
      <c r="BC25" s="118">
        <f>BB25-MAX(0,IFERROR(INDEX(CADASTRO!$I$4:$I$80,MATCH($A25,CADASTRO!$A$4:$A$80,0)),$B25)-CONFIG!$B$50*(COUNTIF($AE25:$AK25,"AB")+COUNTIF($AE25:$AK25,"FE")+COUNTIF($AE25:$AK25,"LM")))</f>
        <v/>
      </c>
      <c r="BD25" s="117">
        <f>SUMPRODUCT(($AL25:$AL25="M")*6+($AL25:$AL25="T")*6+($AL25:$AL25="D")*12+($AL25:$AL25="N")*12+($AL25:$AL25="NT")*6+($AL25:$AL25="C")*10+($AL25:$AL25="A")*8+($AL25:$AL25="J")*5+($AL25:$AL25="CEP")*4+($AL25:$AL25="CP")*6+($AL25:$AL25="CRO")*6+($AL25:$AL25="M+")*6+($AL25:$AL25="T+")*6+($AL25:$AL25="D+")*12+($AL25:$AL25="N+")*12+($AL25:$AL25="Dm+")*12+($AL25:$AL25="Dt+")*12+($AL25:$AL25="Tm-")*6+($AL25:$AL25="Mt-")*6)+SUMPRODUCT(($AN25:$AS25="M")*6+($AN25:$AS25="T")*6+($AN25:$AS25="D")*12+($AN25:$AS25="N")*12+($AN25:$AS25="NT")*6+($AN25:$AS25="C")*10+($AN25:$AS25="A")*8+($AN25:$AS25="J")*5+($AN25:$AS25="CEP")*4+($AN25:$AS25="CP")*6+($AN25:$AS25="CRO")*6+($AN25:$AS25="M+")*6+($AN25:$AS25="T+")*6+($AN25:$AS25="D+")*12+($AN25:$AS25="N+")*12+($AN25:$AS25="Dm+")*12+($AN25:$AS25="Dt+")*12+($AN25:$AS25="Tm-")*6+($AN25:$AS25="Mt-")*6)</f>
        <v/>
      </c>
      <c r="BE25" s="118">
        <f>BD25-MAX(0,IFERROR(INDEX(CADASTRO!$I$4:$I$80,MATCH($A25,CADASTRO!$A$4:$A$80,0)),$B25)-CONFIG!$B$50*(COUNTIF($AL25:$AL25,"AB")+COUNTIF($AL25:$AL25,"FE")+COUNTIF($AL25:$AL25,"LM")+COUNTIF($AN25:$AS25,"AB")+COUNTIF($AN25:$AS25,"FE")+COUNTIF($AN25:$AS25,"LM")))</f>
        <v/>
      </c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ROUND(B25*4.29,0)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36">
        <f>IFERROR(INDEX(OUT!AH$8:AH$73,MATCH($A26,OUT!$A$8:$A$73,0))&amp;"","")</f>
        <v/>
      </c>
      <c r="D26" s="136">
        <f>IFERROR(INDEX(OUT!AI$8:AI$73,MATCH($A26,OUT!$A$8:$A$73,0))&amp;"","")</f>
        <v/>
      </c>
      <c r="E26" s="136">
        <f>IFERROR(INDEX(OUT!AJ$8:AJ$73,MATCH($A26,OUT!$A$8:$A$73,0))&amp;"","")</f>
        <v/>
      </c>
      <c r="F26" s="136">
        <f>IFERROR(INDEX(OUT!AK$8:AK$73,MATCH($A26,OUT!$A$8:$A$73,0))&amp;"","")</f>
        <v/>
      </c>
      <c r="G26" s="136">
        <f>IFERROR(INDEX(OUT!AL$8:AL$73,MATCH($A26,OUT!$A$8:$A$73,0))&amp;"","")</f>
        <v/>
      </c>
      <c r="H26" s="116">
        <f>IFERROR(INDEX(OUT!AM$8:AM$73,MATCH($A26,OUT!$A$8:$A$73,0))&amp;"","")</f>
        <v/>
      </c>
      <c r="I26" s="125" t="inlineStr">
        <is>
          <t>N</t>
        </is>
      </c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  <c r="AB26" s="114" t="n"/>
      <c r="AC26" s="114" t="n"/>
      <c r="AD26" s="114" t="n"/>
      <c r="AE26" s="114" t="n"/>
      <c r="AF26" s="114" t="n"/>
      <c r="AG26" s="114" t="n"/>
      <c r="AH26" s="114" t="n"/>
      <c r="AI26" s="114" t="n"/>
      <c r="AJ26" s="114" t="n"/>
      <c r="AK26" s="114" t="n"/>
      <c r="AL26" s="114" t="n"/>
      <c r="AM26" s="100" t="n"/>
      <c r="AN26" s="136">
        <f>IFERROR(INDEX(DEZ!I$8:I$73,MATCH($A26,DEZ!$A$8:$A$73,0))&amp;"","")</f>
        <v/>
      </c>
      <c r="AO26" s="136">
        <f>IFERROR(INDEX(DEZ!J$8:J$73,MATCH($A26,DEZ!$A$8:$A$73,0))&amp;"","")</f>
        <v/>
      </c>
      <c r="AP26" s="136">
        <f>IFERROR(INDEX(DEZ!K$8:K$73,MATCH($A26,DEZ!$A$8:$A$73,0))&amp;"","")</f>
        <v/>
      </c>
      <c r="AQ26" s="136">
        <f>IFERROR(INDEX(DEZ!L$8:L$73,MATCH($A26,DEZ!$A$8:$A$73,0))&amp;"","")</f>
        <v/>
      </c>
      <c r="AR26" s="116">
        <f>IFERROR(INDEX(DEZ!M$8:M$73,MATCH($A26,DEZ!$A$8:$A$73,0))&amp;"","")</f>
        <v/>
      </c>
      <c r="AS26" s="116">
        <f>IFERROR(INDEX(DEZ!N$8:N$73,MATCH($A26,DEZ!$A$8:$A$73,0))&amp;"","")</f>
        <v/>
      </c>
      <c r="AT26" s="117">
        <f>SUMPRODUCT(($C26:$I26="M")*6+($C26:$I26="T")*6+($C26:$I26="D")*12+($C26:$I26="N")*12+($C26:$I26="NT")*6+($C26:$I26="C")*10+($C26:$I26="A")*8+($C26:$I26="J")*5+($C26:$I26="CEP")*4+($C26:$I26="CP")*6+($C26:$I26="CRO")*6+($C26:$I26="M+")*6+($C26:$I26="T+")*6+($C26:$I26="D+")*12+($C26:$I26="N+")*12+($C26:$I26="Dm+")*12+($C26:$I26="Dt+")*12+($C26:$I26="Tm-")*6+($C26:$I26="Mt-")*6)</f>
        <v/>
      </c>
      <c r="AU26" s="118">
        <f>AT26-MAX(0,IFERROR(INDEX(CADASTRO!$I$4:$I$80,MATCH($A26,CADASTRO!$A$4:$A$80,0)),$B26)-CONFIG!$B$50*(COUNTIF($C26:$I26,"AB")+COUNTIF($C26:$I26,"FE")+COUNTIF($C26:$I26,"LM")))</f>
        <v/>
      </c>
      <c r="AV26" s="117">
        <f>SUMPRODUCT(($J26:$P26="M")*6+($J26:$P26="T")*6+($J26:$P26="D")*12+($J26:$P26="N")*12+($J26:$P26="NT")*6+($J26:$P26="C")*10+($J26:$P26="A")*8+($J26:$P26="J")*5+($J26:$P26="CEP")*4+($J26:$P26="CP")*6+($J26:$P26="CRO")*6+($J26:$P26="M+")*6+($J26:$P26="T+")*6+($J26:$P26="D+")*12+($J26:$P26="N+")*12+($J26:$P26="Dm+")*12+($J26:$P26="Dt+")*12+($J26:$P26="Tm-")*6+($J26:$P26="Mt-")*6)</f>
        <v/>
      </c>
      <c r="AW26" s="118">
        <f>AV26-MAX(0,IFERROR(INDEX(CADASTRO!$I$4:$I$80,MATCH($A26,CADASTRO!$A$4:$A$80,0)),$B26)-CONFIG!$B$50*(COUNTIF($J26:$P26,"AB")+COUNTIF($J26:$P26,"FE")+COUNTIF($J26:$P26,"LM")))</f>
        <v/>
      </c>
      <c r="AX26" s="117">
        <f>SUMPRODUCT(($Q26:$W26="M")*6+($Q26:$W26="T")*6+($Q26:$W26="D")*12+($Q26:$W26="N")*12+($Q26:$W26="NT")*6+($Q26:$W26="C")*10+($Q26:$W26="A")*8+($Q26:$W26="J")*5+($Q26:$W26="CEP")*4+($Q26:$W26="CP")*6+($Q26:$W26="CRO")*6+($Q26:$W26="M+")*6+($Q26:$W26="T+")*6+($Q26:$W26="D+")*12+($Q26:$W26="N+")*12+($Q26:$W26="Dm+")*12+($Q26:$W26="Dt+")*12+($Q26:$W26="Tm-")*6+($Q26:$W26="Mt-")*6)</f>
        <v/>
      </c>
      <c r="AY26" s="118">
        <f>AX26-MAX(0,IFERROR(INDEX(CADASTRO!$I$4:$I$80,MATCH($A26,CADASTRO!$A$4:$A$80,0)),$B26)-CONFIG!$B$50*(COUNTIF($Q26:$W26,"AB")+COUNTIF($Q26:$W26,"FE")+COUNTIF($Q26:$W26,"LM")))</f>
        <v/>
      </c>
      <c r="AZ26" s="117">
        <f>SUMPRODUCT(($X26:$AD26="M")*6+($X26:$AD26="T")*6+($X26:$AD26="D")*12+($X26:$AD26="N")*12+($X26:$AD26="NT")*6+($X26:$AD26="C")*10+($X26:$AD26="A")*8+($X26:$AD26="J")*5+($X26:$AD26="CEP")*4+($X26:$AD26="CP")*6+($X26:$AD26="CRO")*6+($X26:$AD26="M+")*6+($X26:$AD26="T+")*6+($X26:$AD26="D+")*12+($X26:$AD26="N+")*12+($X26:$AD26="Dm+")*12+($X26:$AD26="Dt+")*12+($X26:$AD26="Tm-")*6+($X26:$AD26="Mt-")*6)</f>
        <v/>
      </c>
      <c r="BA26" s="118">
        <f>AZ26-MAX(0,IFERROR(INDEX(CADASTRO!$I$4:$I$80,MATCH($A26,CADASTRO!$A$4:$A$80,0)),$B26)-CONFIG!$B$50*(COUNTIF($X26:$AD26,"AB")+COUNTIF($X26:$AD26,"FE")+COUNTIF($X26:$AD26,"LM")))</f>
        <v/>
      </c>
      <c r="BB26" s="117">
        <f>SUMPRODUCT(($AE26:$AK26="M")*6+($AE26:$AK26="T")*6+($AE26:$AK26="D")*12+($AE26:$AK26="N")*12+($AE26:$AK26="NT")*6+($AE26:$AK26="C")*10+($AE26:$AK26="A")*8+($AE26:$AK26="J")*5+($AE26:$AK26="CEP")*4+($AE26:$AK26="CP")*6+($AE26:$AK26="CRO")*6+($AE26:$AK26="M+")*6+($AE26:$AK26="T+")*6+($AE26:$AK26="D+")*12+($AE26:$AK26="N+")*12+($AE26:$AK26="Dm+")*12+($AE26:$AK26="Dt+")*12+($AE26:$AK26="Tm-")*6+($AE26:$AK26="Mt-")*6)</f>
        <v/>
      </c>
      <c r="BC26" s="118">
        <f>BB26-MAX(0,IFERROR(INDEX(CADASTRO!$I$4:$I$80,MATCH($A26,CADASTRO!$A$4:$A$80,0)),$B26)-CONFIG!$B$50*(COUNTIF($AE26:$AK26,"AB")+COUNTIF($AE26:$AK26,"FE")+COUNTIF($AE26:$AK26,"LM")))</f>
        <v/>
      </c>
      <c r="BD26" s="117">
        <f>SUMPRODUCT(($AL26:$AL26="M")*6+($AL26:$AL26="T")*6+($AL26:$AL26="D")*12+($AL26:$AL26="N")*12+($AL26:$AL26="NT")*6+($AL26:$AL26="C")*10+($AL26:$AL26="A")*8+($AL26:$AL26="J")*5+($AL26:$AL26="CEP")*4+($AL26:$AL26="CP")*6+($AL26:$AL26="CRO")*6+($AL26:$AL26="M+")*6+($AL26:$AL26="T+")*6+($AL26:$AL26="D+")*12+($AL26:$AL26="N+")*12+($AL26:$AL26="Dm+")*12+($AL26:$AL26="Dt+")*12+($AL26:$AL26="Tm-")*6+($AL26:$AL26="Mt-")*6)+SUMPRODUCT(($AN26:$AS26="M")*6+($AN26:$AS26="T")*6+($AN26:$AS26="D")*12+($AN26:$AS26="N")*12+($AN26:$AS26="NT")*6+($AN26:$AS26="C")*10+($AN26:$AS26="A")*8+($AN26:$AS26="J")*5+($AN26:$AS26="CEP")*4+($AN26:$AS26="CP")*6+($AN26:$AS26="CRO")*6+($AN26:$AS26="M+")*6+($AN26:$AS26="T+")*6+($AN26:$AS26="D+")*12+($AN26:$AS26="N+")*12+($AN26:$AS26="Dm+")*12+($AN26:$AS26="Dt+")*12+($AN26:$AS26="Tm-")*6+($AN26:$AS26="Mt-")*6)</f>
        <v/>
      </c>
      <c r="BE26" s="118">
        <f>BD26-MAX(0,IFERROR(INDEX(CADASTRO!$I$4:$I$80,MATCH($A26,CADASTRO!$A$4:$A$80,0)),$B26)-CONFIG!$B$50*(COUNTIF($AL26:$AL26,"AB")+COUNTIF($AL26:$AL26,"FE")+COUNTIF($AL26:$AL26,"LM")+COUNTIF($AN26:$AS26,"AB")+COUNTIF($AN26:$AS26,"FE")+COUNTIF($AN26:$AS26,"LM")))</f>
        <v/>
      </c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ROUND(B26*4.29,0)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36">
        <f>IFERROR(INDEX(OUT!AH$8:AH$73,MATCH($A27,OUT!$A$8:$A$73,0))&amp;"","")</f>
        <v/>
      </c>
      <c r="D27" s="136">
        <f>IFERROR(INDEX(OUT!AI$8:AI$73,MATCH($A27,OUT!$A$8:$A$73,0))&amp;"","")</f>
        <v/>
      </c>
      <c r="E27" s="136">
        <f>IFERROR(INDEX(OUT!AJ$8:AJ$73,MATCH($A27,OUT!$A$8:$A$73,0))&amp;"","")</f>
        <v/>
      </c>
      <c r="F27" s="136">
        <f>IFERROR(INDEX(OUT!AK$8:AK$73,MATCH($A27,OUT!$A$8:$A$73,0))&amp;"","")</f>
        <v/>
      </c>
      <c r="G27" s="136">
        <f>IFERROR(INDEX(OUT!AL$8:AL$73,MATCH($A27,OUT!$A$8:$A$73,0))&amp;"","")</f>
        <v/>
      </c>
      <c r="H27" s="116">
        <f>IFERROR(INDEX(OUT!AM$8:AM$73,MATCH($A27,OUT!$A$8:$A$73,0))&amp;"","")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  <c r="AD27" s="114" t="n"/>
      <c r="AE27" s="114" t="n"/>
      <c r="AF27" s="114" t="n"/>
      <c r="AG27" s="114" t="n"/>
      <c r="AH27" s="114" t="n"/>
      <c r="AI27" s="114" t="n"/>
      <c r="AJ27" s="114" t="n"/>
      <c r="AK27" s="114" t="n"/>
      <c r="AL27" s="114" t="n"/>
      <c r="AM27" s="100" t="n"/>
      <c r="AN27" s="136">
        <f>IFERROR(INDEX(DEZ!I$8:I$73,MATCH($A27,DEZ!$A$8:$A$73,0))&amp;"","")</f>
        <v/>
      </c>
      <c r="AO27" s="136">
        <f>IFERROR(INDEX(DEZ!J$8:J$73,MATCH($A27,DEZ!$A$8:$A$73,0))&amp;"","")</f>
        <v/>
      </c>
      <c r="AP27" s="136">
        <f>IFERROR(INDEX(DEZ!K$8:K$73,MATCH($A27,DEZ!$A$8:$A$73,0))&amp;"","")</f>
        <v/>
      </c>
      <c r="AQ27" s="136">
        <f>IFERROR(INDEX(DEZ!L$8:L$73,MATCH($A27,DEZ!$A$8:$A$73,0))&amp;"","")</f>
        <v/>
      </c>
      <c r="AR27" s="116">
        <f>IFERROR(INDEX(DEZ!M$8:M$73,MATCH($A27,DEZ!$A$8:$A$73,0))&amp;"","")</f>
        <v/>
      </c>
      <c r="AS27" s="116">
        <f>IFERROR(INDEX(DEZ!N$8:N$73,MATCH($A27,DEZ!$A$8:$A$73,0))&amp;"","")</f>
        <v/>
      </c>
      <c r="AT27" s="117">
        <f>SUMPRODUCT(($C27:$I27="M")*6+($C27:$I27="T")*6+($C27:$I27="D")*12+($C27:$I27="N")*12+($C27:$I27="NT")*6+($C27:$I27="C")*10+($C27:$I27="A")*8+($C27:$I27="J")*5+($C27:$I27="CEP")*4+($C27:$I27="CP")*6+($C27:$I27="CRO")*6+($C27:$I27="M+")*6+($C27:$I27="T+")*6+($C27:$I27="D+")*12+($C27:$I27="N+")*12+($C27:$I27="Dm+")*12+($C27:$I27="Dt+")*12+($C27:$I27="Tm-")*6+($C27:$I27="Mt-")*6)</f>
        <v/>
      </c>
      <c r="AU27" s="118">
        <f>AT27-MAX(0,IFERROR(INDEX(CADASTRO!$I$4:$I$80,MATCH($A27,CADASTRO!$A$4:$A$80,0)),$B27)-CONFIG!$B$50*(COUNTIF($C27:$I27,"AB")+COUNTIF($C27:$I27,"FE")+COUNTIF($C27:$I27,"LM")))</f>
        <v/>
      </c>
      <c r="AV27" s="117">
        <f>SUMPRODUCT(($J27:$P27="M")*6+($J27:$P27="T")*6+($J27:$P27="D")*12+($J27:$P27="N")*12+($J27:$P27="NT")*6+($J27:$P27="C")*10+($J27:$P27="A")*8+($J27:$P27="J")*5+($J27:$P27="CEP")*4+($J27:$P27="CP")*6+($J27:$P27="CRO")*6+($J27:$P27="M+")*6+($J27:$P27="T+")*6+($J27:$P27="D+")*12+($J27:$P27="N+")*12+($J27:$P27="Dm+")*12+($J27:$P27="Dt+")*12+($J27:$P27="Tm-")*6+($J27:$P27="Mt-")*6)</f>
        <v/>
      </c>
      <c r="AW27" s="118">
        <f>AV27-MAX(0,IFERROR(INDEX(CADASTRO!$I$4:$I$80,MATCH($A27,CADASTRO!$A$4:$A$80,0)),$B27)-CONFIG!$B$50*(COUNTIF($J27:$P27,"AB")+COUNTIF($J27:$P27,"FE")+COUNTIF($J27:$P27,"LM")))</f>
        <v/>
      </c>
      <c r="AX27" s="117">
        <f>SUMPRODUCT(($Q27:$W27="M")*6+($Q27:$W27="T")*6+($Q27:$W27="D")*12+($Q27:$W27="N")*12+($Q27:$W27="NT")*6+($Q27:$W27="C")*10+($Q27:$W27="A")*8+($Q27:$W27="J")*5+($Q27:$W27="CEP")*4+($Q27:$W27="CP")*6+($Q27:$W27="CRO")*6+($Q27:$W27="M+")*6+($Q27:$W27="T+")*6+($Q27:$W27="D+")*12+($Q27:$W27="N+")*12+($Q27:$W27="Dm+")*12+($Q27:$W27="Dt+")*12+($Q27:$W27="Tm-")*6+($Q27:$W27="Mt-")*6)</f>
        <v/>
      </c>
      <c r="AY27" s="118">
        <f>AX27-MAX(0,IFERROR(INDEX(CADASTRO!$I$4:$I$80,MATCH($A27,CADASTRO!$A$4:$A$80,0)),$B27)-CONFIG!$B$50*(COUNTIF($Q27:$W27,"AB")+COUNTIF($Q27:$W27,"FE")+COUNTIF($Q27:$W27,"LM")))</f>
        <v/>
      </c>
      <c r="AZ27" s="117">
        <f>SUMPRODUCT(($X27:$AD27="M")*6+($X27:$AD27="T")*6+($X27:$AD27="D")*12+($X27:$AD27="N")*12+($X27:$AD27="NT")*6+($X27:$AD27="C")*10+($X27:$AD27="A")*8+($X27:$AD27="J")*5+($X27:$AD27="CEP")*4+($X27:$AD27="CP")*6+($X27:$AD27="CRO")*6+($X27:$AD27="M+")*6+($X27:$AD27="T+")*6+($X27:$AD27="D+")*12+($X27:$AD27="N+")*12+($X27:$AD27="Dm+")*12+($X27:$AD27="Dt+")*12+($X27:$AD27="Tm-")*6+($X27:$AD27="Mt-")*6)</f>
        <v/>
      </c>
      <c r="BA27" s="118">
        <f>AZ27-MAX(0,IFERROR(INDEX(CADASTRO!$I$4:$I$80,MATCH($A27,CADASTRO!$A$4:$A$80,0)),$B27)-CONFIG!$B$50*(COUNTIF($X27:$AD27,"AB")+COUNTIF($X27:$AD27,"FE")+COUNTIF($X27:$AD27,"LM")))</f>
        <v/>
      </c>
      <c r="BB27" s="117">
        <f>SUMPRODUCT(($AE27:$AK27="M")*6+($AE27:$AK27="T")*6+($AE27:$AK27="D")*12+($AE27:$AK27="N")*12+($AE27:$AK27="NT")*6+($AE27:$AK27="C")*10+($AE27:$AK27="A")*8+($AE27:$AK27="J")*5+($AE27:$AK27="CEP")*4+($AE27:$AK27="CP")*6+($AE27:$AK27="CRO")*6+($AE27:$AK27="M+")*6+($AE27:$AK27="T+")*6+($AE27:$AK27="D+")*12+($AE27:$AK27="N+")*12+($AE27:$AK27="Dm+")*12+($AE27:$AK27="Dt+")*12+($AE27:$AK27="Tm-")*6+($AE27:$AK27="Mt-")*6)</f>
        <v/>
      </c>
      <c r="BC27" s="118">
        <f>BB27-MAX(0,IFERROR(INDEX(CADASTRO!$I$4:$I$80,MATCH($A27,CADASTRO!$A$4:$A$80,0)),$B27)-CONFIG!$B$50*(COUNTIF($AE27:$AK27,"AB")+COUNTIF($AE27:$AK27,"FE")+COUNTIF($AE27:$AK27,"LM")))</f>
        <v/>
      </c>
      <c r="BD27" s="117">
        <f>SUMPRODUCT(($AL27:$AL27="M")*6+($AL27:$AL27="T")*6+($AL27:$AL27="D")*12+($AL27:$AL27="N")*12+($AL27:$AL27="NT")*6+($AL27:$AL27="C")*10+($AL27:$AL27="A")*8+($AL27:$AL27="J")*5+($AL27:$AL27="CEP")*4+($AL27:$AL27="CP")*6+($AL27:$AL27="CRO")*6+($AL27:$AL27="M+")*6+($AL27:$AL27="T+")*6+($AL27:$AL27="D+")*12+($AL27:$AL27="N+")*12+($AL27:$AL27="Dm+")*12+($AL27:$AL27="Dt+")*12+($AL27:$AL27="Tm-")*6+($AL27:$AL27="Mt-")*6)+SUMPRODUCT(($AN27:$AS27="M")*6+($AN27:$AS27="T")*6+($AN27:$AS27="D")*12+($AN27:$AS27="N")*12+($AN27:$AS27="NT")*6+($AN27:$AS27="C")*10+($AN27:$AS27="A")*8+($AN27:$AS27="J")*5+($AN27:$AS27="CEP")*4+($AN27:$AS27="CP")*6+($AN27:$AS27="CRO")*6+($AN27:$AS27="M+")*6+($AN27:$AS27="T+")*6+($AN27:$AS27="D+")*12+($AN27:$AS27="N+")*12+($AN27:$AS27="Dm+")*12+($AN27:$AS27="Dt+")*12+($AN27:$AS27="Tm-")*6+($AN27:$AS27="Mt-")*6)</f>
        <v/>
      </c>
      <c r="BE27" s="118">
        <f>BD27-MAX(0,IFERROR(INDEX(CADASTRO!$I$4:$I$80,MATCH($A27,CADASTRO!$A$4:$A$80,0)),$B27)-CONFIG!$B$50*(COUNTIF($AL27:$AL27,"AB")+COUNTIF($AL27:$AL27,"FE")+COUNTIF($AL27:$AL27,"LM")+COUNTIF($AN27:$AS27,"AB")+COUNTIF($AN27:$AS27,"FE")+COUNTIF($AN27:$AS27,"LM")))</f>
        <v/>
      </c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ROUND(B27*4.29,0)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36">
        <f>IFERROR(INDEX(OUT!AH$8:AH$73,MATCH($A28,OUT!$A$8:$A$73,0))&amp;"","")</f>
        <v/>
      </c>
      <c r="D28" s="136">
        <f>IFERROR(INDEX(OUT!AI$8:AI$73,MATCH($A28,OUT!$A$8:$A$73,0))&amp;"","")</f>
        <v/>
      </c>
      <c r="E28" s="136">
        <f>IFERROR(INDEX(OUT!AJ$8:AJ$73,MATCH($A28,OUT!$A$8:$A$73,0))&amp;"","")</f>
        <v/>
      </c>
      <c r="F28" s="136">
        <f>IFERROR(INDEX(OUT!AK$8:AK$73,MATCH($A28,OUT!$A$8:$A$73,0))&amp;"","")</f>
        <v/>
      </c>
      <c r="G28" s="136">
        <f>IFERROR(INDEX(OUT!AL$8:AL$73,MATCH($A28,OUT!$A$8:$A$73,0))&amp;"","")</f>
        <v/>
      </c>
      <c r="H28" s="116">
        <f>IFERROR(INDEX(OUT!AM$8:AM$73,MATCH($A28,OUT!$A$8:$A$73,0))&amp;"","")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  <c r="AB28" s="114" t="n"/>
      <c r="AC28" s="114" t="n"/>
      <c r="AD28" s="114" t="n"/>
      <c r="AE28" s="114" t="n"/>
      <c r="AF28" s="114" t="n"/>
      <c r="AG28" s="114" t="n"/>
      <c r="AH28" s="114" t="n"/>
      <c r="AI28" s="114" t="n"/>
      <c r="AJ28" s="114" t="n"/>
      <c r="AK28" s="114" t="n"/>
      <c r="AL28" s="114" t="n"/>
      <c r="AM28" s="100" t="n"/>
      <c r="AN28" s="136">
        <f>IFERROR(INDEX(DEZ!I$8:I$73,MATCH($A28,DEZ!$A$8:$A$73,0))&amp;"","")</f>
        <v/>
      </c>
      <c r="AO28" s="136">
        <f>IFERROR(INDEX(DEZ!J$8:J$73,MATCH($A28,DEZ!$A$8:$A$73,0))&amp;"","")</f>
        <v/>
      </c>
      <c r="AP28" s="136">
        <f>IFERROR(INDEX(DEZ!K$8:K$73,MATCH($A28,DEZ!$A$8:$A$73,0))&amp;"","")</f>
        <v/>
      </c>
      <c r="AQ28" s="136">
        <f>IFERROR(INDEX(DEZ!L$8:L$73,MATCH($A28,DEZ!$A$8:$A$73,0))&amp;"","")</f>
        <v/>
      </c>
      <c r="AR28" s="116">
        <f>IFERROR(INDEX(DEZ!M$8:M$73,MATCH($A28,DEZ!$A$8:$A$73,0))&amp;"","")</f>
        <v/>
      </c>
      <c r="AS28" s="116">
        <f>IFERROR(INDEX(DEZ!N$8:N$73,MATCH($A28,DEZ!$A$8:$A$73,0))&amp;"","")</f>
        <v/>
      </c>
      <c r="AT28" s="117">
        <f>SUMPRODUCT(($C28:$I28="M")*6+($C28:$I28="T")*6+($C28:$I28="D")*12+($C28:$I28="N")*12+($C28:$I28="NT")*6+($C28:$I28="C")*10+($C28:$I28="A")*8+($C28:$I28="J")*5+($C28:$I28="CEP")*4+($C28:$I28="CP")*6+($C28:$I28="CRO")*6+($C28:$I28="M+")*6+($C28:$I28="T+")*6+($C28:$I28="D+")*12+($C28:$I28="N+")*12+($C28:$I28="Dm+")*12+($C28:$I28="Dt+")*12+($C28:$I28="Tm-")*6+($C28:$I28="Mt-")*6)</f>
        <v/>
      </c>
      <c r="AU28" s="118">
        <f>AT28-MAX(0,IFERROR(INDEX(CADASTRO!$I$4:$I$80,MATCH($A28,CADASTRO!$A$4:$A$80,0)),$B28)-CONFIG!$B$50*(COUNTIF($C28:$I28,"AB")+COUNTIF($C28:$I28,"FE")+COUNTIF($C28:$I28,"LM")))</f>
        <v/>
      </c>
      <c r="AV28" s="117">
        <f>SUMPRODUCT(($J28:$P28="M")*6+($J28:$P28="T")*6+($J28:$P28="D")*12+($J28:$P28="N")*12+($J28:$P28="NT")*6+($J28:$P28="C")*10+($J28:$P28="A")*8+($J28:$P28="J")*5+($J28:$P28="CEP")*4+($J28:$P28="CP")*6+($J28:$P28="CRO")*6+($J28:$P28="M+")*6+($J28:$P28="T+")*6+($J28:$P28="D+")*12+($J28:$P28="N+")*12+($J28:$P28="Dm+")*12+($J28:$P28="Dt+")*12+($J28:$P28="Tm-")*6+($J28:$P28="Mt-")*6)</f>
        <v/>
      </c>
      <c r="AW28" s="118">
        <f>AV28-MAX(0,IFERROR(INDEX(CADASTRO!$I$4:$I$80,MATCH($A28,CADASTRO!$A$4:$A$80,0)),$B28)-CONFIG!$B$50*(COUNTIF($J28:$P28,"AB")+COUNTIF($J28:$P28,"FE")+COUNTIF($J28:$P28,"LM")))</f>
        <v/>
      </c>
      <c r="AX28" s="117">
        <f>SUMPRODUCT(($Q28:$W28="M")*6+($Q28:$W28="T")*6+($Q28:$W28="D")*12+($Q28:$W28="N")*12+($Q28:$W28="NT")*6+($Q28:$W28="C")*10+($Q28:$W28="A")*8+($Q28:$W28="J")*5+($Q28:$W28="CEP")*4+($Q28:$W28="CP")*6+($Q28:$W28="CRO")*6+($Q28:$W28="M+")*6+($Q28:$W28="T+")*6+($Q28:$W28="D+")*12+($Q28:$W28="N+")*12+($Q28:$W28="Dm+")*12+($Q28:$W28="Dt+")*12+($Q28:$W28="Tm-")*6+($Q28:$W28="Mt-")*6)</f>
        <v/>
      </c>
      <c r="AY28" s="118">
        <f>AX28-MAX(0,IFERROR(INDEX(CADASTRO!$I$4:$I$80,MATCH($A28,CADASTRO!$A$4:$A$80,0)),$B28)-CONFIG!$B$50*(COUNTIF($Q28:$W28,"AB")+COUNTIF($Q28:$W28,"FE")+COUNTIF($Q28:$W28,"LM")))</f>
        <v/>
      </c>
      <c r="AZ28" s="117">
        <f>SUMPRODUCT(($X28:$AD28="M")*6+($X28:$AD28="T")*6+($X28:$AD28="D")*12+($X28:$AD28="N")*12+($X28:$AD28="NT")*6+($X28:$AD28="C")*10+($X28:$AD28="A")*8+($X28:$AD28="J")*5+($X28:$AD28="CEP")*4+($X28:$AD28="CP")*6+($X28:$AD28="CRO")*6+($X28:$AD28="M+")*6+($X28:$AD28="T+")*6+($X28:$AD28="D+")*12+($X28:$AD28="N+")*12+($X28:$AD28="Dm+")*12+($X28:$AD28="Dt+")*12+($X28:$AD28="Tm-")*6+($X28:$AD28="Mt-")*6)</f>
        <v/>
      </c>
      <c r="BA28" s="118">
        <f>AZ28-MAX(0,IFERROR(INDEX(CADASTRO!$I$4:$I$80,MATCH($A28,CADASTRO!$A$4:$A$80,0)),$B28)-CONFIG!$B$50*(COUNTIF($X28:$AD28,"AB")+COUNTIF($X28:$AD28,"FE")+COUNTIF($X28:$AD28,"LM")))</f>
        <v/>
      </c>
      <c r="BB28" s="117">
        <f>SUMPRODUCT(($AE28:$AK28="M")*6+($AE28:$AK28="T")*6+($AE28:$AK28="D")*12+($AE28:$AK28="N")*12+($AE28:$AK28="NT")*6+($AE28:$AK28="C")*10+($AE28:$AK28="A")*8+($AE28:$AK28="J")*5+($AE28:$AK28="CEP")*4+($AE28:$AK28="CP")*6+($AE28:$AK28="CRO")*6+($AE28:$AK28="M+")*6+($AE28:$AK28="T+")*6+($AE28:$AK28="D+")*12+($AE28:$AK28="N+")*12+($AE28:$AK28="Dm+")*12+($AE28:$AK28="Dt+")*12+($AE28:$AK28="Tm-")*6+($AE28:$AK28="Mt-")*6)</f>
        <v/>
      </c>
      <c r="BC28" s="118">
        <f>BB28-MAX(0,IFERROR(INDEX(CADASTRO!$I$4:$I$80,MATCH($A28,CADASTRO!$A$4:$A$80,0)),$B28)-CONFIG!$B$50*(COUNTIF($AE28:$AK28,"AB")+COUNTIF($AE28:$AK28,"FE")+COUNTIF($AE28:$AK28,"LM")))</f>
        <v/>
      </c>
      <c r="BD28" s="117">
        <f>SUMPRODUCT(($AL28:$AL28="M")*6+($AL28:$AL28="T")*6+($AL28:$AL28="D")*12+($AL28:$AL28="N")*12+($AL28:$AL28="NT")*6+($AL28:$AL28="C")*10+($AL28:$AL28="A")*8+($AL28:$AL28="J")*5+($AL28:$AL28="CEP")*4+($AL28:$AL28="CP")*6+($AL28:$AL28="CRO")*6+($AL28:$AL28="M+")*6+($AL28:$AL28="T+")*6+($AL28:$AL28="D+")*12+($AL28:$AL28="N+")*12+($AL28:$AL28="Dm+")*12+($AL28:$AL28="Dt+")*12+($AL28:$AL28="Tm-")*6+($AL28:$AL28="Mt-")*6)+SUMPRODUCT(($AN28:$AS28="M")*6+($AN28:$AS28="T")*6+($AN28:$AS28="D")*12+($AN28:$AS28="N")*12+($AN28:$AS28="NT")*6+($AN28:$AS28="C")*10+($AN28:$AS28="A")*8+($AN28:$AS28="J")*5+($AN28:$AS28="CEP")*4+($AN28:$AS28="CP")*6+($AN28:$AS28="CRO")*6+($AN28:$AS28="M+")*6+($AN28:$AS28="T+")*6+($AN28:$AS28="D+")*12+($AN28:$AS28="N+")*12+($AN28:$AS28="Dm+")*12+($AN28:$AS28="Dt+")*12+($AN28:$AS28="Tm-")*6+($AN28:$AS28="Mt-")*6)</f>
        <v/>
      </c>
      <c r="BE28" s="118">
        <f>BD28-MAX(0,IFERROR(INDEX(CADASTRO!$I$4:$I$80,MATCH($A28,CADASTRO!$A$4:$A$80,0)),$B28)-CONFIG!$B$50*(COUNTIF($AL28:$AL28,"AB")+COUNTIF($AL28:$AL28,"FE")+COUNTIF($AL28:$AL28,"LM")+COUNTIF($AN28:$AS28,"AB")+COUNTIF($AN28:$AS28,"FE")+COUNTIF($AN28:$AS28,"LM")))</f>
        <v/>
      </c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ROUND(B28*4.29,0)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36">
        <f>IFERROR(INDEX(OUT!AH$8:AH$73,MATCH($A29,OUT!$A$8:$A$73,0))&amp;"","")</f>
        <v/>
      </c>
      <c r="D29" s="136">
        <f>IFERROR(INDEX(OUT!AI$8:AI$73,MATCH($A29,OUT!$A$8:$A$73,0))&amp;"","")</f>
        <v/>
      </c>
      <c r="E29" s="136">
        <f>IFERROR(INDEX(OUT!AJ$8:AJ$73,MATCH($A29,OUT!$A$8:$A$73,0))&amp;"","")</f>
        <v/>
      </c>
      <c r="F29" s="136">
        <f>IFERROR(INDEX(OUT!AK$8:AK$73,MATCH($A29,OUT!$A$8:$A$73,0))&amp;"","")</f>
        <v/>
      </c>
      <c r="G29" s="136">
        <f>IFERROR(INDEX(OUT!AL$8:AL$73,MATCH($A29,OUT!$A$8:$A$73,0))&amp;"","")</f>
        <v/>
      </c>
      <c r="H29" s="116">
        <f>IFERROR(INDEX(OUT!AM$8:AM$73,MATCH($A29,OUT!$A$8:$A$73,0))&amp;"","")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  <c r="AH29" s="114" t="n"/>
      <c r="AI29" s="114" t="n"/>
      <c r="AJ29" s="114" t="n"/>
      <c r="AK29" s="114" t="n"/>
      <c r="AL29" s="114" t="n"/>
      <c r="AM29" s="100" t="n"/>
      <c r="AN29" s="136">
        <f>IFERROR(INDEX(DEZ!I$8:I$73,MATCH($A29,DEZ!$A$8:$A$73,0))&amp;"","")</f>
        <v/>
      </c>
      <c r="AO29" s="136">
        <f>IFERROR(INDEX(DEZ!J$8:J$73,MATCH($A29,DEZ!$A$8:$A$73,0))&amp;"","")</f>
        <v/>
      </c>
      <c r="AP29" s="136">
        <f>IFERROR(INDEX(DEZ!K$8:K$73,MATCH($A29,DEZ!$A$8:$A$73,0))&amp;"","")</f>
        <v/>
      </c>
      <c r="AQ29" s="136">
        <f>IFERROR(INDEX(DEZ!L$8:L$73,MATCH($A29,DEZ!$A$8:$A$73,0))&amp;"","")</f>
        <v/>
      </c>
      <c r="AR29" s="116">
        <f>IFERROR(INDEX(DEZ!M$8:M$73,MATCH($A29,DEZ!$A$8:$A$73,0))&amp;"","")</f>
        <v/>
      </c>
      <c r="AS29" s="116">
        <f>IFERROR(INDEX(DEZ!N$8:N$73,MATCH($A29,DEZ!$A$8:$A$73,0))&amp;"","")</f>
        <v/>
      </c>
      <c r="AT29" s="117">
        <f>SUMPRODUCT(($C29:$I29="M")*6+($C29:$I29="T")*6+($C29:$I29="D")*12+($C29:$I29="N")*12+($C29:$I29="NT")*6+($C29:$I29="C")*10+($C29:$I29="A")*8+($C29:$I29="J")*5+($C29:$I29="CEP")*4+($C29:$I29="CP")*6+($C29:$I29="CRO")*6+($C29:$I29="M+")*6+($C29:$I29="T+")*6+($C29:$I29="D+")*12+($C29:$I29="N+")*12+($C29:$I29="Dm+")*12+($C29:$I29="Dt+")*12+($C29:$I29="Tm-")*6+($C29:$I29="Mt-")*6)</f>
        <v/>
      </c>
      <c r="AU29" s="118">
        <f>AT29-MAX(0,IFERROR(INDEX(CADASTRO!$I$4:$I$80,MATCH($A29,CADASTRO!$A$4:$A$80,0)),$B29)-CONFIG!$B$50*(COUNTIF($C29:$I29,"AB")+COUNTIF($C29:$I29,"FE")+COUNTIF($C29:$I29,"LM")))</f>
        <v/>
      </c>
      <c r="AV29" s="117">
        <f>SUMPRODUCT(($J29:$P29="M")*6+($J29:$P29="T")*6+($J29:$P29="D")*12+($J29:$P29="N")*12+($J29:$P29="NT")*6+($J29:$P29="C")*10+($J29:$P29="A")*8+($J29:$P29="J")*5+($J29:$P29="CEP")*4+($J29:$P29="CP")*6+($J29:$P29="CRO")*6+($J29:$P29="M+")*6+($J29:$P29="T+")*6+($J29:$P29="D+")*12+($J29:$P29="N+")*12+($J29:$P29="Dm+")*12+($J29:$P29="Dt+")*12+($J29:$P29="Tm-")*6+($J29:$P29="Mt-")*6)</f>
        <v/>
      </c>
      <c r="AW29" s="118">
        <f>AV29-MAX(0,IFERROR(INDEX(CADASTRO!$I$4:$I$80,MATCH($A29,CADASTRO!$A$4:$A$80,0)),$B29)-CONFIG!$B$50*(COUNTIF($J29:$P29,"AB")+COUNTIF($J29:$P29,"FE")+COUNTIF($J29:$P29,"LM")))</f>
        <v/>
      </c>
      <c r="AX29" s="117">
        <f>SUMPRODUCT(($Q29:$W29="M")*6+($Q29:$W29="T")*6+($Q29:$W29="D")*12+($Q29:$W29="N")*12+($Q29:$W29="NT")*6+($Q29:$W29="C")*10+($Q29:$W29="A")*8+($Q29:$W29="J")*5+($Q29:$W29="CEP")*4+($Q29:$W29="CP")*6+($Q29:$W29="CRO")*6+($Q29:$W29="M+")*6+($Q29:$W29="T+")*6+($Q29:$W29="D+")*12+($Q29:$W29="N+")*12+($Q29:$W29="Dm+")*12+($Q29:$W29="Dt+")*12+($Q29:$W29="Tm-")*6+($Q29:$W29="Mt-")*6)</f>
        <v/>
      </c>
      <c r="AY29" s="118">
        <f>AX29-MAX(0,IFERROR(INDEX(CADASTRO!$I$4:$I$80,MATCH($A29,CADASTRO!$A$4:$A$80,0)),$B29)-CONFIG!$B$50*(COUNTIF($Q29:$W29,"AB")+COUNTIF($Q29:$W29,"FE")+COUNTIF($Q29:$W29,"LM")))</f>
        <v/>
      </c>
      <c r="AZ29" s="117">
        <f>SUMPRODUCT(($X29:$AD29="M")*6+($X29:$AD29="T")*6+($X29:$AD29="D")*12+($X29:$AD29="N")*12+($X29:$AD29="NT")*6+($X29:$AD29="C")*10+($X29:$AD29="A")*8+($X29:$AD29="J")*5+($X29:$AD29="CEP")*4+($X29:$AD29="CP")*6+($X29:$AD29="CRO")*6+($X29:$AD29="M+")*6+($X29:$AD29="T+")*6+($X29:$AD29="D+")*12+($X29:$AD29="N+")*12+($X29:$AD29="Dm+")*12+($X29:$AD29="Dt+")*12+($X29:$AD29="Tm-")*6+($X29:$AD29="Mt-")*6)</f>
        <v/>
      </c>
      <c r="BA29" s="118">
        <f>AZ29-MAX(0,IFERROR(INDEX(CADASTRO!$I$4:$I$80,MATCH($A29,CADASTRO!$A$4:$A$80,0)),$B29)-CONFIG!$B$50*(COUNTIF($X29:$AD29,"AB")+COUNTIF($X29:$AD29,"FE")+COUNTIF($X29:$AD29,"LM")))</f>
        <v/>
      </c>
      <c r="BB29" s="117">
        <f>SUMPRODUCT(($AE29:$AK29="M")*6+($AE29:$AK29="T")*6+($AE29:$AK29="D")*12+($AE29:$AK29="N")*12+($AE29:$AK29="NT")*6+($AE29:$AK29="C")*10+($AE29:$AK29="A")*8+($AE29:$AK29="J")*5+($AE29:$AK29="CEP")*4+($AE29:$AK29="CP")*6+($AE29:$AK29="CRO")*6+($AE29:$AK29="M+")*6+($AE29:$AK29="T+")*6+($AE29:$AK29="D+")*12+($AE29:$AK29="N+")*12+($AE29:$AK29="Dm+")*12+($AE29:$AK29="Dt+")*12+($AE29:$AK29="Tm-")*6+($AE29:$AK29="Mt-")*6)</f>
        <v/>
      </c>
      <c r="BC29" s="118">
        <f>BB29-MAX(0,IFERROR(INDEX(CADASTRO!$I$4:$I$80,MATCH($A29,CADASTRO!$A$4:$A$80,0)),$B29)-CONFIG!$B$50*(COUNTIF($AE29:$AK29,"AB")+COUNTIF($AE29:$AK29,"FE")+COUNTIF($AE29:$AK29,"LM")))</f>
        <v/>
      </c>
      <c r="BD29" s="117">
        <f>SUMPRODUCT(($AL29:$AL29="M")*6+($AL29:$AL29="T")*6+($AL29:$AL29="D")*12+($AL29:$AL29="N")*12+($AL29:$AL29="NT")*6+($AL29:$AL29="C")*10+($AL29:$AL29="A")*8+($AL29:$AL29="J")*5+($AL29:$AL29="CEP")*4+($AL29:$AL29="CP")*6+($AL29:$AL29="CRO")*6+($AL29:$AL29="M+")*6+($AL29:$AL29="T+")*6+($AL29:$AL29="D+")*12+($AL29:$AL29="N+")*12+($AL29:$AL29="Dm+")*12+($AL29:$AL29="Dt+")*12+($AL29:$AL29="Tm-")*6+($AL29:$AL29="Mt-")*6)+SUMPRODUCT(($AN29:$AS29="M")*6+($AN29:$AS29="T")*6+($AN29:$AS29="D")*12+($AN29:$AS29="N")*12+($AN29:$AS29="NT")*6+($AN29:$AS29="C")*10+($AN29:$AS29="A")*8+($AN29:$AS29="J")*5+($AN29:$AS29="CEP")*4+($AN29:$AS29="CP")*6+($AN29:$AS29="CRO")*6+($AN29:$AS29="M+")*6+($AN29:$AS29="T+")*6+($AN29:$AS29="D+")*12+($AN29:$AS29="N+")*12+($AN29:$AS29="Dm+")*12+($AN29:$AS29="Dt+")*12+($AN29:$AS29="Tm-")*6+($AN29:$AS29="Mt-")*6)</f>
        <v/>
      </c>
      <c r="BE29" s="118">
        <f>BD29-MAX(0,IFERROR(INDEX(CADASTRO!$I$4:$I$80,MATCH($A29,CADASTRO!$A$4:$A$80,0)),$B29)-CONFIG!$B$50*(COUNTIF($AL29:$AL29,"AB")+COUNTIF($AL29:$AL29,"FE")+COUNTIF($AL29:$AL29,"LM")+COUNTIF($AN29:$AS29,"AB")+COUNTIF($AN29:$AS29,"FE")+COUNTIF($AN29:$AS29,"LM")))</f>
        <v/>
      </c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ROUND(B29*4.29,0)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36">
        <f>IFERROR(INDEX(OUT!AH$8:AH$73,MATCH($A30,OUT!$A$8:$A$73,0))&amp;"","")</f>
        <v/>
      </c>
      <c r="D30" s="136">
        <f>IFERROR(INDEX(OUT!AI$8:AI$73,MATCH($A30,OUT!$A$8:$A$73,0))&amp;"","")</f>
        <v/>
      </c>
      <c r="E30" s="136">
        <f>IFERROR(INDEX(OUT!AJ$8:AJ$73,MATCH($A30,OUT!$A$8:$A$73,0))&amp;"","")</f>
        <v/>
      </c>
      <c r="F30" s="136">
        <f>IFERROR(INDEX(OUT!AK$8:AK$73,MATCH($A30,OUT!$A$8:$A$73,0))&amp;"","")</f>
        <v/>
      </c>
      <c r="G30" s="136">
        <f>IFERROR(INDEX(OUT!AL$8:AL$73,MATCH($A30,OUT!$A$8:$A$73,0))&amp;"","")</f>
        <v/>
      </c>
      <c r="H30" s="116">
        <f>IFERROR(INDEX(OUT!AM$8:AM$73,MATCH($A30,OUT!$A$8:$A$73,0))&amp;"","")</f>
        <v/>
      </c>
      <c r="I30" s="125" t="inlineStr">
        <is>
          <t>N</t>
        </is>
      </c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14" t="n"/>
      <c r="AF30" s="114" t="n"/>
      <c r="AG30" s="114" t="n"/>
      <c r="AH30" s="114" t="n"/>
      <c r="AI30" s="114" t="n"/>
      <c r="AJ30" s="114" t="n"/>
      <c r="AK30" s="114" t="n"/>
      <c r="AL30" s="114" t="n"/>
      <c r="AM30" s="100" t="n"/>
      <c r="AN30" s="136">
        <f>IFERROR(INDEX(DEZ!I$8:I$73,MATCH($A30,DEZ!$A$8:$A$73,0))&amp;"","")</f>
        <v/>
      </c>
      <c r="AO30" s="136">
        <f>IFERROR(INDEX(DEZ!J$8:J$73,MATCH($A30,DEZ!$A$8:$A$73,0))&amp;"","")</f>
        <v/>
      </c>
      <c r="AP30" s="136">
        <f>IFERROR(INDEX(DEZ!K$8:K$73,MATCH($A30,DEZ!$A$8:$A$73,0))&amp;"","")</f>
        <v/>
      </c>
      <c r="AQ30" s="136">
        <f>IFERROR(INDEX(DEZ!L$8:L$73,MATCH($A30,DEZ!$A$8:$A$73,0))&amp;"","")</f>
        <v/>
      </c>
      <c r="AR30" s="116">
        <f>IFERROR(INDEX(DEZ!M$8:M$73,MATCH($A30,DEZ!$A$8:$A$73,0))&amp;"","")</f>
        <v/>
      </c>
      <c r="AS30" s="116">
        <f>IFERROR(INDEX(DEZ!N$8:N$73,MATCH($A30,DEZ!$A$8:$A$73,0))&amp;"","")</f>
        <v/>
      </c>
      <c r="AT30" s="117">
        <f>SUMPRODUCT(($C30:$I30="M")*6+($C30:$I30="T")*6+($C30:$I30="D")*12+($C30:$I30="N")*12+($C30:$I30="NT")*6+($C30:$I30="C")*10+($C30:$I30="A")*8+($C30:$I30="J")*5+($C30:$I30="CEP")*4+($C30:$I30="CP")*6+($C30:$I30="CRO")*6+($C30:$I30="M+")*6+($C30:$I30="T+")*6+($C30:$I30="D+")*12+($C30:$I30="N+")*12+($C30:$I30="Dm+")*12+($C30:$I30="Dt+")*12+($C30:$I30="Tm-")*6+($C30:$I30="Mt-")*6)</f>
        <v/>
      </c>
      <c r="AU30" s="118">
        <f>AT30-MAX(0,IFERROR(INDEX(CADASTRO!$I$4:$I$80,MATCH($A30,CADASTRO!$A$4:$A$80,0)),$B30)-CONFIG!$B$50*(COUNTIF($C30:$I30,"AB")+COUNTIF($C30:$I30,"FE")+COUNTIF($C30:$I30,"LM")))</f>
        <v/>
      </c>
      <c r="AV30" s="117">
        <f>SUMPRODUCT(($J30:$P30="M")*6+($J30:$P30="T")*6+($J30:$P30="D")*12+($J30:$P30="N")*12+($J30:$P30="NT")*6+($J30:$P30="C")*10+($J30:$P30="A")*8+($J30:$P30="J")*5+($J30:$P30="CEP")*4+($J30:$P30="CP")*6+($J30:$P30="CRO")*6+($J30:$P30="M+")*6+($J30:$P30="T+")*6+($J30:$P30="D+")*12+($J30:$P30="N+")*12+($J30:$P30="Dm+")*12+($J30:$P30="Dt+")*12+($J30:$P30="Tm-")*6+($J30:$P30="Mt-")*6)</f>
        <v/>
      </c>
      <c r="AW30" s="118">
        <f>AV30-MAX(0,IFERROR(INDEX(CADASTRO!$I$4:$I$80,MATCH($A30,CADASTRO!$A$4:$A$80,0)),$B30)-CONFIG!$B$50*(COUNTIF($J30:$P30,"AB")+COUNTIF($J30:$P30,"FE")+COUNTIF($J30:$P30,"LM")))</f>
        <v/>
      </c>
      <c r="AX30" s="117">
        <f>SUMPRODUCT(($Q30:$W30="M")*6+($Q30:$W30="T")*6+($Q30:$W30="D")*12+($Q30:$W30="N")*12+($Q30:$W30="NT")*6+($Q30:$W30="C")*10+($Q30:$W30="A")*8+($Q30:$W30="J")*5+($Q30:$W30="CEP")*4+($Q30:$W30="CP")*6+($Q30:$W30="CRO")*6+($Q30:$W30="M+")*6+($Q30:$W30="T+")*6+($Q30:$W30="D+")*12+($Q30:$W30="N+")*12+($Q30:$W30="Dm+")*12+($Q30:$W30="Dt+")*12+($Q30:$W30="Tm-")*6+($Q30:$W30="Mt-")*6)</f>
        <v/>
      </c>
      <c r="AY30" s="118">
        <f>AX30-MAX(0,IFERROR(INDEX(CADASTRO!$I$4:$I$80,MATCH($A30,CADASTRO!$A$4:$A$80,0)),$B30)-CONFIG!$B$50*(COUNTIF($Q30:$W30,"AB")+COUNTIF($Q30:$W30,"FE")+COUNTIF($Q30:$W30,"LM")))</f>
        <v/>
      </c>
      <c r="AZ30" s="117">
        <f>SUMPRODUCT(($X30:$AD30="M")*6+($X30:$AD30="T")*6+($X30:$AD30="D")*12+($X30:$AD30="N")*12+($X30:$AD30="NT")*6+($X30:$AD30="C")*10+($X30:$AD30="A")*8+($X30:$AD30="J")*5+($X30:$AD30="CEP")*4+($X30:$AD30="CP")*6+($X30:$AD30="CRO")*6+($X30:$AD30="M+")*6+($X30:$AD30="T+")*6+($X30:$AD30="D+")*12+($X30:$AD30="N+")*12+($X30:$AD30="Dm+")*12+($X30:$AD30="Dt+")*12+($X30:$AD30="Tm-")*6+($X30:$AD30="Mt-")*6)</f>
        <v/>
      </c>
      <c r="BA30" s="118">
        <f>AZ30-MAX(0,IFERROR(INDEX(CADASTRO!$I$4:$I$80,MATCH($A30,CADASTRO!$A$4:$A$80,0)),$B30)-CONFIG!$B$50*(COUNTIF($X30:$AD30,"AB")+COUNTIF($X30:$AD30,"FE")+COUNTIF($X30:$AD30,"LM")))</f>
        <v/>
      </c>
      <c r="BB30" s="117">
        <f>SUMPRODUCT(($AE30:$AK30="M")*6+($AE30:$AK30="T")*6+($AE30:$AK30="D")*12+($AE30:$AK30="N")*12+($AE30:$AK30="NT")*6+($AE30:$AK30="C")*10+($AE30:$AK30="A")*8+($AE30:$AK30="J")*5+($AE30:$AK30="CEP")*4+($AE30:$AK30="CP")*6+($AE30:$AK30="CRO")*6+($AE30:$AK30="M+")*6+($AE30:$AK30="T+")*6+($AE30:$AK30="D+")*12+($AE30:$AK30="N+")*12+($AE30:$AK30="Dm+")*12+($AE30:$AK30="Dt+")*12+($AE30:$AK30="Tm-")*6+($AE30:$AK30="Mt-")*6)</f>
        <v/>
      </c>
      <c r="BC30" s="118">
        <f>BB30-MAX(0,IFERROR(INDEX(CADASTRO!$I$4:$I$80,MATCH($A30,CADASTRO!$A$4:$A$80,0)),$B30)-CONFIG!$B$50*(COUNTIF($AE30:$AK30,"AB")+COUNTIF($AE30:$AK30,"FE")+COUNTIF($AE30:$AK30,"LM")))</f>
        <v/>
      </c>
      <c r="BD30" s="117">
        <f>SUMPRODUCT(($AL30:$AL30="M")*6+($AL30:$AL30="T")*6+($AL30:$AL30="D")*12+($AL30:$AL30="N")*12+($AL30:$AL30="NT")*6+($AL30:$AL30="C")*10+($AL30:$AL30="A")*8+($AL30:$AL30="J")*5+($AL30:$AL30="CEP")*4+($AL30:$AL30="CP")*6+($AL30:$AL30="CRO")*6+($AL30:$AL30="M+")*6+($AL30:$AL30="T+")*6+($AL30:$AL30="D+")*12+($AL30:$AL30="N+")*12+($AL30:$AL30="Dm+")*12+($AL30:$AL30="Dt+")*12+($AL30:$AL30="Tm-")*6+($AL30:$AL30="Mt-")*6)+SUMPRODUCT(($AN30:$AS30="M")*6+($AN30:$AS30="T")*6+($AN30:$AS30="D")*12+($AN30:$AS30="N")*12+($AN30:$AS30="NT")*6+($AN30:$AS30="C")*10+($AN30:$AS30="A")*8+($AN30:$AS30="J")*5+($AN30:$AS30="CEP")*4+($AN30:$AS30="CP")*6+($AN30:$AS30="CRO")*6+($AN30:$AS30="M+")*6+($AN30:$AS30="T+")*6+($AN30:$AS30="D+")*12+($AN30:$AS30="N+")*12+($AN30:$AS30="Dm+")*12+($AN30:$AS30="Dt+")*12+($AN30:$AS30="Tm-")*6+($AN30:$AS30="Mt-")*6)</f>
        <v/>
      </c>
      <c r="BE30" s="118">
        <f>BD30-MAX(0,IFERROR(INDEX(CADASTRO!$I$4:$I$80,MATCH($A30,CADASTRO!$A$4:$A$80,0)),$B30)-CONFIG!$B$50*(COUNTIF($AL30:$AL30,"AB")+COUNTIF($AL30:$AL30,"FE")+COUNTIF($AL30:$AL30,"LM")+COUNTIF($AN30:$AS30,"AB")+COUNTIF($AN30:$AS30,"FE")+COUNTIF($AN30:$AS30,"LM")))</f>
        <v/>
      </c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ROUND(B30*4.29,0)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36">
        <f>IFERROR(INDEX(OUT!AH$8:AH$73,MATCH($A31,OUT!$A$8:$A$73,0))&amp;"","")</f>
        <v/>
      </c>
      <c r="D31" s="136">
        <f>IFERROR(INDEX(OUT!AI$8:AI$73,MATCH($A31,OUT!$A$8:$A$73,0))&amp;"","")</f>
        <v/>
      </c>
      <c r="E31" s="136">
        <f>IFERROR(INDEX(OUT!AJ$8:AJ$73,MATCH($A31,OUT!$A$8:$A$73,0))&amp;"","")</f>
        <v/>
      </c>
      <c r="F31" s="136">
        <f>IFERROR(INDEX(OUT!AK$8:AK$73,MATCH($A31,OUT!$A$8:$A$73,0))&amp;"","")</f>
        <v/>
      </c>
      <c r="G31" s="136">
        <f>IFERROR(INDEX(OUT!AL$8:AL$73,MATCH($A31,OUT!$A$8:$A$73,0))&amp;"","")</f>
        <v/>
      </c>
      <c r="H31" s="116">
        <f>IFERROR(INDEX(OUT!AM$8:AM$73,MATCH($A31,OUT!$A$8:$A$73,0))&amp;"","")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14" t="n"/>
      <c r="AH31" s="114" t="n"/>
      <c r="AI31" s="114" t="n"/>
      <c r="AJ31" s="114" t="n"/>
      <c r="AK31" s="114" t="n"/>
      <c r="AL31" s="114" t="n"/>
      <c r="AM31" s="100" t="n"/>
      <c r="AN31" s="136">
        <f>IFERROR(INDEX(DEZ!I$8:I$73,MATCH($A31,DEZ!$A$8:$A$73,0))&amp;"","")</f>
        <v/>
      </c>
      <c r="AO31" s="136">
        <f>IFERROR(INDEX(DEZ!J$8:J$73,MATCH($A31,DEZ!$A$8:$A$73,0))&amp;"","")</f>
        <v/>
      </c>
      <c r="AP31" s="136">
        <f>IFERROR(INDEX(DEZ!K$8:K$73,MATCH($A31,DEZ!$A$8:$A$73,0))&amp;"","")</f>
        <v/>
      </c>
      <c r="AQ31" s="136">
        <f>IFERROR(INDEX(DEZ!L$8:L$73,MATCH($A31,DEZ!$A$8:$A$73,0))&amp;"","")</f>
        <v/>
      </c>
      <c r="AR31" s="116">
        <f>IFERROR(INDEX(DEZ!M$8:M$73,MATCH($A31,DEZ!$A$8:$A$73,0))&amp;"","")</f>
        <v/>
      </c>
      <c r="AS31" s="116">
        <f>IFERROR(INDEX(DEZ!N$8:N$73,MATCH($A31,DEZ!$A$8:$A$73,0))&amp;"","")</f>
        <v/>
      </c>
      <c r="AT31" s="117">
        <f>SUMPRODUCT(($C31:$I31="M")*6+($C31:$I31="T")*6+($C31:$I31="D")*12+($C31:$I31="N")*12+($C31:$I31="NT")*6+($C31:$I31="C")*10+($C31:$I31="A")*8+($C31:$I31="J")*5+($C31:$I31="CEP")*4+($C31:$I31="CP")*6+($C31:$I31="CRO")*6+($C31:$I31="M+")*6+($C31:$I31="T+")*6+($C31:$I31="D+")*12+($C31:$I31="N+")*12+($C31:$I31="Dm+")*12+($C31:$I31="Dt+")*12+($C31:$I31="Tm-")*6+($C31:$I31="Mt-")*6)</f>
        <v/>
      </c>
      <c r="AU31" s="118">
        <f>AT31-MAX(0,IFERROR(INDEX(CADASTRO!$I$4:$I$80,MATCH($A31,CADASTRO!$A$4:$A$80,0)),$B31)-CONFIG!$B$50*(COUNTIF($C31:$I31,"AB")+COUNTIF($C31:$I31,"FE")+COUNTIF($C31:$I31,"LM")))</f>
        <v/>
      </c>
      <c r="AV31" s="117">
        <f>SUMPRODUCT(($J31:$P31="M")*6+($J31:$P31="T")*6+($J31:$P31="D")*12+($J31:$P31="N")*12+($J31:$P31="NT")*6+($J31:$P31="C")*10+($J31:$P31="A")*8+($J31:$P31="J")*5+($J31:$P31="CEP")*4+($J31:$P31="CP")*6+($J31:$P31="CRO")*6+($J31:$P31="M+")*6+($J31:$P31="T+")*6+($J31:$P31="D+")*12+($J31:$P31="N+")*12+($J31:$P31="Dm+")*12+($J31:$P31="Dt+")*12+($J31:$P31="Tm-")*6+($J31:$P31="Mt-")*6)</f>
        <v/>
      </c>
      <c r="AW31" s="118">
        <f>AV31-MAX(0,IFERROR(INDEX(CADASTRO!$I$4:$I$80,MATCH($A31,CADASTRO!$A$4:$A$80,0)),$B31)-CONFIG!$B$50*(COUNTIF($J31:$P31,"AB")+COUNTIF($J31:$P31,"FE")+COUNTIF($J31:$P31,"LM")))</f>
        <v/>
      </c>
      <c r="AX31" s="117">
        <f>SUMPRODUCT(($Q31:$W31="M")*6+($Q31:$W31="T")*6+($Q31:$W31="D")*12+($Q31:$W31="N")*12+($Q31:$W31="NT")*6+($Q31:$W31="C")*10+($Q31:$W31="A")*8+($Q31:$W31="J")*5+($Q31:$W31="CEP")*4+($Q31:$W31="CP")*6+($Q31:$W31="CRO")*6+($Q31:$W31="M+")*6+($Q31:$W31="T+")*6+($Q31:$W31="D+")*12+($Q31:$W31="N+")*12+($Q31:$W31="Dm+")*12+($Q31:$W31="Dt+")*12+($Q31:$W31="Tm-")*6+($Q31:$W31="Mt-")*6)</f>
        <v/>
      </c>
      <c r="AY31" s="118">
        <f>AX31-MAX(0,IFERROR(INDEX(CADASTRO!$I$4:$I$80,MATCH($A31,CADASTRO!$A$4:$A$80,0)),$B31)-CONFIG!$B$50*(COUNTIF($Q31:$W31,"AB")+COUNTIF($Q31:$W31,"FE")+COUNTIF($Q31:$W31,"LM")))</f>
        <v/>
      </c>
      <c r="AZ31" s="117">
        <f>SUMPRODUCT(($X31:$AD31="M")*6+($X31:$AD31="T")*6+($X31:$AD31="D")*12+($X31:$AD31="N")*12+($X31:$AD31="NT")*6+($X31:$AD31="C")*10+($X31:$AD31="A")*8+($X31:$AD31="J")*5+($X31:$AD31="CEP")*4+($X31:$AD31="CP")*6+($X31:$AD31="CRO")*6+($X31:$AD31="M+")*6+($X31:$AD31="T+")*6+($X31:$AD31="D+")*12+($X31:$AD31="N+")*12+($X31:$AD31="Dm+")*12+($X31:$AD31="Dt+")*12+($X31:$AD31="Tm-")*6+($X31:$AD31="Mt-")*6)</f>
        <v/>
      </c>
      <c r="BA31" s="118">
        <f>AZ31-MAX(0,IFERROR(INDEX(CADASTRO!$I$4:$I$80,MATCH($A31,CADASTRO!$A$4:$A$80,0)),$B31)-CONFIG!$B$50*(COUNTIF($X31:$AD31,"AB")+COUNTIF($X31:$AD31,"FE")+COUNTIF($X31:$AD31,"LM")))</f>
        <v/>
      </c>
      <c r="BB31" s="117">
        <f>SUMPRODUCT(($AE31:$AK31="M")*6+($AE31:$AK31="T")*6+($AE31:$AK31="D")*12+($AE31:$AK31="N")*12+($AE31:$AK31="NT")*6+($AE31:$AK31="C")*10+($AE31:$AK31="A")*8+($AE31:$AK31="J")*5+($AE31:$AK31="CEP")*4+($AE31:$AK31="CP")*6+($AE31:$AK31="CRO")*6+($AE31:$AK31="M+")*6+($AE31:$AK31="T+")*6+($AE31:$AK31="D+")*12+($AE31:$AK31="N+")*12+($AE31:$AK31="Dm+")*12+($AE31:$AK31="Dt+")*12+($AE31:$AK31="Tm-")*6+($AE31:$AK31="Mt-")*6)</f>
        <v/>
      </c>
      <c r="BC31" s="118">
        <f>BB31-MAX(0,IFERROR(INDEX(CADASTRO!$I$4:$I$80,MATCH($A31,CADASTRO!$A$4:$A$80,0)),$B31)-CONFIG!$B$50*(COUNTIF($AE31:$AK31,"AB")+COUNTIF($AE31:$AK31,"FE")+COUNTIF($AE31:$AK31,"LM")))</f>
        <v/>
      </c>
      <c r="BD31" s="117">
        <f>SUMPRODUCT(($AL31:$AL31="M")*6+($AL31:$AL31="T")*6+($AL31:$AL31="D")*12+($AL31:$AL31="N")*12+($AL31:$AL31="NT")*6+($AL31:$AL31="C")*10+($AL31:$AL31="A")*8+($AL31:$AL31="J")*5+($AL31:$AL31="CEP")*4+($AL31:$AL31="CP")*6+($AL31:$AL31="CRO")*6+($AL31:$AL31="M+")*6+($AL31:$AL31="T+")*6+($AL31:$AL31="D+")*12+($AL31:$AL31="N+")*12+($AL31:$AL31="Dm+")*12+($AL31:$AL31="Dt+")*12+($AL31:$AL31="Tm-")*6+($AL31:$AL31="Mt-")*6)+SUMPRODUCT(($AN31:$AS31="M")*6+($AN31:$AS31="T")*6+($AN31:$AS31="D")*12+($AN31:$AS31="N")*12+($AN31:$AS31="NT")*6+($AN31:$AS31="C")*10+($AN31:$AS31="A")*8+($AN31:$AS31="J")*5+($AN31:$AS31="CEP")*4+($AN31:$AS31="CP")*6+($AN31:$AS31="CRO")*6+($AN31:$AS31="M+")*6+($AN31:$AS31="T+")*6+($AN31:$AS31="D+")*12+($AN31:$AS31="N+")*12+($AN31:$AS31="Dm+")*12+($AN31:$AS31="Dt+")*12+($AN31:$AS31="Tm-")*6+($AN31:$AS31="Mt-")*6)</f>
        <v/>
      </c>
      <c r="BE31" s="118">
        <f>BD31-MAX(0,IFERROR(INDEX(CADASTRO!$I$4:$I$80,MATCH($A31,CADASTRO!$A$4:$A$80,0)),$B31)-CONFIG!$B$50*(COUNTIF($AL31:$AL31,"AB")+COUNTIF($AL31:$AL31,"FE")+COUNTIF($AL31:$AL31,"LM")+COUNTIF($AN31:$AS31,"AB")+COUNTIF($AN31:$AS31,"FE")+COUNTIF($AN31:$AS31,"LM")))</f>
        <v/>
      </c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ROUND(B31*4.29,0)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36">
        <f>IFERROR(INDEX(OUT!AH$8:AH$73,MATCH($A32,OUT!$A$8:$A$73,0))&amp;"","")</f>
        <v/>
      </c>
      <c r="D32" s="136">
        <f>IFERROR(INDEX(OUT!AI$8:AI$73,MATCH($A32,OUT!$A$8:$A$73,0))&amp;"","")</f>
        <v/>
      </c>
      <c r="E32" s="136">
        <f>IFERROR(INDEX(OUT!AJ$8:AJ$73,MATCH($A32,OUT!$A$8:$A$73,0))&amp;"","")</f>
        <v/>
      </c>
      <c r="F32" s="136">
        <f>IFERROR(INDEX(OUT!AK$8:AK$73,MATCH($A32,OUT!$A$8:$A$73,0))&amp;"","")</f>
        <v/>
      </c>
      <c r="G32" s="136">
        <f>IFERROR(INDEX(OUT!AL$8:AL$73,MATCH($A32,OUT!$A$8:$A$73,0))&amp;"","")</f>
        <v/>
      </c>
      <c r="H32" s="116">
        <f>IFERROR(INDEX(OUT!AM$8:AM$73,MATCH($A32,OUT!$A$8:$A$73,0))&amp;"","")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14" t="n"/>
      <c r="AH32" s="114" t="n"/>
      <c r="AI32" s="114" t="n"/>
      <c r="AJ32" s="114" t="n"/>
      <c r="AK32" s="114" t="n"/>
      <c r="AL32" s="114" t="n"/>
      <c r="AM32" s="100" t="n"/>
      <c r="AN32" s="136">
        <f>IFERROR(INDEX(DEZ!I$8:I$73,MATCH($A32,DEZ!$A$8:$A$73,0))&amp;"","")</f>
        <v/>
      </c>
      <c r="AO32" s="136">
        <f>IFERROR(INDEX(DEZ!J$8:J$73,MATCH($A32,DEZ!$A$8:$A$73,0))&amp;"","")</f>
        <v/>
      </c>
      <c r="AP32" s="136">
        <f>IFERROR(INDEX(DEZ!K$8:K$73,MATCH($A32,DEZ!$A$8:$A$73,0))&amp;"","")</f>
        <v/>
      </c>
      <c r="AQ32" s="136">
        <f>IFERROR(INDEX(DEZ!L$8:L$73,MATCH($A32,DEZ!$A$8:$A$73,0))&amp;"","")</f>
        <v/>
      </c>
      <c r="AR32" s="116">
        <f>IFERROR(INDEX(DEZ!M$8:M$73,MATCH($A32,DEZ!$A$8:$A$73,0))&amp;"","")</f>
        <v/>
      </c>
      <c r="AS32" s="116">
        <f>IFERROR(INDEX(DEZ!N$8:N$73,MATCH($A32,DEZ!$A$8:$A$73,0))&amp;"","")</f>
        <v/>
      </c>
      <c r="AT32" s="117">
        <f>SUMPRODUCT(($C32:$I32="M")*6+($C32:$I32="T")*6+($C32:$I32="D")*12+($C32:$I32="N")*12+($C32:$I32="NT")*6+($C32:$I32="C")*10+($C32:$I32="A")*8+($C32:$I32="J")*5+($C32:$I32="CEP")*4+($C32:$I32="CP")*6+($C32:$I32="CRO")*6+($C32:$I32="M+")*6+($C32:$I32="T+")*6+($C32:$I32="D+")*12+($C32:$I32="N+")*12+($C32:$I32="Dm+")*12+($C32:$I32="Dt+")*12+($C32:$I32="Tm-")*6+($C32:$I32="Mt-")*6)</f>
        <v/>
      </c>
      <c r="AU32" s="118">
        <f>AT32-MAX(0,IFERROR(INDEX(CADASTRO!$I$4:$I$80,MATCH($A32,CADASTRO!$A$4:$A$80,0)),$B32)-CONFIG!$B$50*(COUNTIF($C32:$I32,"AB")+COUNTIF($C32:$I32,"FE")+COUNTIF($C32:$I32,"LM")))</f>
        <v/>
      </c>
      <c r="AV32" s="117">
        <f>SUMPRODUCT(($J32:$P32="M")*6+($J32:$P32="T")*6+($J32:$P32="D")*12+($J32:$P32="N")*12+($J32:$P32="NT")*6+($J32:$P32="C")*10+($J32:$P32="A")*8+($J32:$P32="J")*5+($J32:$P32="CEP")*4+($J32:$P32="CP")*6+($J32:$P32="CRO")*6+($J32:$P32="M+")*6+($J32:$P32="T+")*6+($J32:$P32="D+")*12+($J32:$P32="N+")*12+($J32:$P32="Dm+")*12+($J32:$P32="Dt+")*12+($J32:$P32="Tm-")*6+($J32:$P32="Mt-")*6)</f>
        <v/>
      </c>
      <c r="AW32" s="118">
        <f>AV32-MAX(0,IFERROR(INDEX(CADASTRO!$I$4:$I$80,MATCH($A32,CADASTRO!$A$4:$A$80,0)),$B32)-CONFIG!$B$50*(COUNTIF($J32:$P32,"AB")+COUNTIF($J32:$P32,"FE")+COUNTIF($J32:$P32,"LM")))</f>
        <v/>
      </c>
      <c r="AX32" s="117">
        <f>SUMPRODUCT(($Q32:$W32="M")*6+($Q32:$W32="T")*6+($Q32:$W32="D")*12+($Q32:$W32="N")*12+($Q32:$W32="NT")*6+($Q32:$W32="C")*10+($Q32:$W32="A")*8+($Q32:$W32="J")*5+($Q32:$W32="CEP")*4+($Q32:$W32="CP")*6+($Q32:$W32="CRO")*6+($Q32:$W32="M+")*6+($Q32:$W32="T+")*6+($Q32:$W32="D+")*12+($Q32:$W32="N+")*12+($Q32:$W32="Dm+")*12+($Q32:$W32="Dt+")*12+($Q32:$W32="Tm-")*6+($Q32:$W32="Mt-")*6)</f>
        <v/>
      </c>
      <c r="AY32" s="118">
        <f>AX32-MAX(0,IFERROR(INDEX(CADASTRO!$I$4:$I$80,MATCH($A32,CADASTRO!$A$4:$A$80,0)),$B32)-CONFIG!$B$50*(COUNTIF($Q32:$W32,"AB")+COUNTIF($Q32:$W32,"FE")+COUNTIF($Q32:$W32,"LM")))</f>
        <v/>
      </c>
      <c r="AZ32" s="117">
        <f>SUMPRODUCT(($X32:$AD32="M")*6+($X32:$AD32="T")*6+($X32:$AD32="D")*12+($X32:$AD32="N")*12+($X32:$AD32="NT")*6+($X32:$AD32="C")*10+($X32:$AD32="A")*8+($X32:$AD32="J")*5+($X32:$AD32="CEP")*4+($X32:$AD32="CP")*6+($X32:$AD32="CRO")*6+($X32:$AD32="M+")*6+($X32:$AD32="T+")*6+($X32:$AD32="D+")*12+($X32:$AD32="N+")*12+($X32:$AD32="Dm+")*12+($X32:$AD32="Dt+")*12+($X32:$AD32="Tm-")*6+($X32:$AD32="Mt-")*6)</f>
        <v/>
      </c>
      <c r="BA32" s="118">
        <f>AZ32-MAX(0,IFERROR(INDEX(CADASTRO!$I$4:$I$80,MATCH($A32,CADASTRO!$A$4:$A$80,0)),$B32)-CONFIG!$B$50*(COUNTIF($X32:$AD32,"AB")+COUNTIF($X32:$AD32,"FE")+COUNTIF($X32:$AD32,"LM")))</f>
        <v/>
      </c>
      <c r="BB32" s="117">
        <f>SUMPRODUCT(($AE32:$AK32="M")*6+($AE32:$AK32="T")*6+($AE32:$AK32="D")*12+($AE32:$AK32="N")*12+($AE32:$AK32="NT")*6+($AE32:$AK32="C")*10+($AE32:$AK32="A")*8+($AE32:$AK32="J")*5+($AE32:$AK32="CEP")*4+($AE32:$AK32="CP")*6+($AE32:$AK32="CRO")*6+($AE32:$AK32="M+")*6+($AE32:$AK32="T+")*6+($AE32:$AK32="D+")*12+($AE32:$AK32="N+")*12+($AE32:$AK32="Dm+")*12+($AE32:$AK32="Dt+")*12+($AE32:$AK32="Tm-")*6+($AE32:$AK32="Mt-")*6)</f>
        <v/>
      </c>
      <c r="BC32" s="118">
        <f>BB32-MAX(0,IFERROR(INDEX(CADASTRO!$I$4:$I$80,MATCH($A32,CADASTRO!$A$4:$A$80,0)),$B32)-CONFIG!$B$50*(COUNTIF($AE32:$AK32,"AB")+COUNTIF($AE32:$AK32,"FE")+COUNTIF($AE32:$AK32,"LM")))</f>
        <v/>
      </c>
      <c r="BD32" s="117">
        <f>SUMPRODUCT(($AL32:$AL32="M")*6+($AL32:$AL32="T")*6+($AL32:$AL32="D")*12+($AL32:$AL32="N")*12+($AL32:$AL32="NT")*6+($AL32:$AL32="C")*10+($AL32:$AL32="A")*8+($AL32:$AL32="J")*5+($AL32:$AL32="CEP")*4+($AL32:$AL32="CP")*6+($AL32:$AL32="CRO")*6+($AL32:$AL32="M+")*6+($AL32:$AL32="T+")*6+($AL32:$AL32="D+")*12+($AL32:$AL32="N+")*12+($AL32:$AL32="Dm+")*12+($AL32:$AL32="Dt+")*12+($AL32:$AL32="Tm-")*6+($AL32:$AL32="Mt-")*6)+SUMPRODUCT(($AN32:$AS32="M")*6+($AN32:$AS32="T")*6+($AN32:$AS32="D")*12+($AN32:$AS32="N")*12+($AN32:$AS32="NT")*6+($AN32:$AS32="C")*10+($AN32:$AS32="A")*8+($AN32:$AS32="J")*5+($AN32:$AS32="CEP")*4+($AN32:$AS32="CP")*6+($AN32:$AS32="CRO")*6+($AN32:$AS32="M+")*6+($AN32:$AS32="T+")*6+($AN32:$AS32="D+")*12+($AN32:$AS32="N+")*12+($AN32:$AS32="Dm+")*12+($AN32:$AS32="Dt+")*12+($AN32:$AS32="Tm-")*6+($AN32:$AS32="Mt-")*6)</f>
        <v/>
      </c>
      <c r="BE32" s="118">
        <f>BD32-MAX(0,IFERROR(INDEX(CADASTRO!$I$4:$I$80,MATCH($A32,CADASTRO!$A$4:$A$80,0)),$B32)-CONFIG!$B$50*(COUNTIF($AL32:$AL32,"AB")+COUNTIF($AL32:$AL32,"FE")+COUNTIF($AL32:$AL32,"LM")+COUNTIF($AN32:$AS32,"AB")+COUNTIF($AN32:$AS32,"FE")+COUNTIF($AN32:$AS32,"LM")))</f>
        <v/>
      </c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ROUND(B32*4.29,0)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36">
        <f>IFERROR(INDEX(OUT!AH$8:AH$73,MATCH($A33,OUT!$A$8:$A$73,0))&amp;"","")</f>
        <v/>
      </c>
      <c r="D33" s="136">
        <f>IFERROR(INDEX(OUT!AI$8:AI$73,MATCH($A33,OUT!$A$8:$A$73,0))&amp;"","")</f>
        <v/>
      </c>
      <c r="E33" s="136">
        <f>IFERROR(INDEX(OUT!AJ$8:AJ$73,MATCH($A33,OUT!$A$8:$A$73,0))&amp;"","")</f>
        <v/>
      </c>
      <c r="F33" s="136">
        <f>IFERROR(INDEX(OUT!AK$8:AK$73,MATCH($A33,OUT!$A$8:$A$73,0))&amp;"","")</f>
        <v/>
      </c>
      <c r="G33" s="136">
        <f>IFERROR(INDEX(OUT!AL$8:AL$73,MATCH($A33,OUT!$A$8:$A$73,0))&amp;"","")</f>
        <v/>
      </c>
      <c r="H33" s="116">
        <f>IFERROR(INDEX(OUT!AM$8:AM$73,MATCH($A33,OUT!$A$8:$A$73,0))&amp;"","")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00" t="n"/>
      <c r="AN33" s="136">
        <f>IFERROR(INDEX(DEZ!I$8:I$73,MATCH($A33,DEZ!$A$8:$A$73,0))&amp;"","")</f>
        <v/>
      </c>
      <c r="AO33" s="136">
        <f>IFERROR(INDEX(DEZ!J$8:J$73,MATCH($A33,DEZ!$A$8:$A$73,0))&amp;"","")</f>
        <v/>
      </c>
      <c r="AP33" s="136">
        <f>IFERROR(INDEX(DEZ!K$8:K$73,MATCH($A33,DEZ!$A$8:$A$73,0))&amp;"","")</f>
        <v/>
      </c>
      <c r="AQ33" s="136">
        <f>IFERROR(INDEX(DEZ!L$8:L$73,MATCH($A33,DEZ!$A$8:$A$73,0))&amp;"","")</f>
        <v/>
      </c>
      <c r="AR33" s="116">
        <f>IFERROR(INDEX(DEZ!M$8:M$73,MATCH($A33,DEZ!$A$8:$A$73,0))&amp;"","")</f>
        <v/>
      </c>
      <c r="AS33" s="116">
        <f>IFERROR(INDEX(DEZ!N$8:N$73,MATCH($A33,DEZ!$A$8:$A$73,0))&amp;"","")</f>
        <v/>
      </c>
      <c r="AT33" s="117">
        <f>SUMPRODUCT(($C33:$I33="M")*6+($C33:$I33="T")*6+($C33:$I33="D")*12+($C33:$I33="N")*12+($C33:$I33="NT")*6+($C33:$I33="C")*10+($C33:$I33="A")*8+($C33:$I33="J")*5+($C33:$I33="CEP")*4+($C33:$I33="CP")*6+($C33:$I33="CRO")*6+($C33:$I33="M+")*6+($C33:$I33="T+")*6+($C33:$I33="D+")*12+($C33:$I33="N+")*12+($C33:$I33="Dm+")*12+($C33:$I33="Dt+")*12+($C33:$I33="Tm-")*6+($C33:$I33="Mt-")*6)</f>
        <v/>
      </c>
      <c r="AU33" s="118">
        <f>AT33-MAX(0,IFERROR(INDEX(CADASTRO!$I$4:$I$80,MATCH($A33,CADASTRO!$A$4:$A$80,0)),$B33)-CONFIG!$B$50*(COUNTIF($C33:$I33,"AB")+COUNTIF($C33:$I33,"FE")+COUNTIF($C33:$I33,"LM")))</f>
        <v/>
      </c>
      <c r="AV33" s="117">
        <f>SUMPRODUCT(($J33:$P33="M")*6+($J33:$P33="T")*6+($J33:$P33="D")*12+($J33:$P33="N")*12+($J33:$P33="NT")*6+($J33:$P33="C")*10+($J33:$P33="A")*8+($J33:$P33="J")*5+($J33:$P33="CEP")*4+($J33:$P33="CP")*6+($J33:$P33="CRO")*6+($J33:$P33="M+")*6+($J33:$P33="T+")*6+($J33:$P33="D+")*12+($J33:$P33="N+")*12+($J33:$P33="Dm+")*12+($J33:$P33="Dt+")*12+($J33:$P33="Tm-")*6+($J33:$P33="Mt-")*6)</f>
        <v/>
      </c>
      <c r="AW33" s="118">
        <f>AV33-MAX(0,IFERROR(INDEX(CADASTRO!$I$4:$I$80,MATCH($A33,CADASTRO!$A$4:$A$80,0)),$B33)-CONFIG!$B$50*(COUNTIF($J33:$P33,"AB")+COUNTIF($J33:$P33,"FE")+COUNTIF($J33:$P33,"LM")))</f>
        <v/>
      </c>
      <c r="AX33" s="117">
        <f>SUMPRODUCT(($Q33:$W33="M")*6+($Q33:$W33="T")*6+($Q33:$W33="D")*12+($Q33:$W33="N")*12+($Q33:$W33="NT")*6+($Q33:$W33="C")*10+($Q33:$W33="A")*8+($Q33:$W33="J")*5+($Q33:$W33="CEP")*4+($Q33:$W33="CP")*6+($Q33:$W33="CRO")*6+($Q33:$W33="M+")*6+($Q33:$W33="T+")*6+($Q33:$W33="D+")*12+($Q33:$W33="N+")*12+($Q33:$W33="Dm+")*12+($Q33:$W33="Dt+")*12+($Q33:$W33="Tm-")*6+($Q33:$W33="Mt-")*6)</f>
        <v/>
      </c>
      <c r="AY33" s="118">
        <f>AX33-MAX(0,IFERROR(INDEX(CADASTRO!$I$4:$I$80,MATCH($A33,CADASTRO!$A$4:$A$80,0)),$B33)-CONFIG!$B$50*(COUNTIF($Q33:$W33,"AB")+COUNTIF($Q33:$W33,"FE")+COUNTIF($Q33:$W33,"LM")))</f>
        <v/>
      </c>
      <c r="AZ33" s="117">
        <f>SUMPRODUCT(($X33:$AD33="M")*6+($X33:$AD33="T")*6+($X33:$AD33="D")*12+($X33:$AD33="N")*12+($X33:$AD33="NT")*6+($X33:$AD33="C")*10+($X33:$AD33="A")*8+($X33:$AD33="J")*5+($X33:$AD33="CEP")*4+($X33:$AD33="CP")*6+($X33:$AD33="CRO")*6+($X33:$AD33="M+")*6+($X33:$AD33="T+")*6+($X33:$AD33="D+")*12+($X33:$AD33="N+")*12+($X33:$AD33="Dm+")*12+($X33:$AD33="Dt+")*12+($X33:$AD33="Tm-")*6+($X33:$AD33="Mt-")*6)</f>
        <v/>
      </c>
      <c r="BA33" s="118">
        <f>AZ33-MAX(0,IFERROR(INDEX(CADASTRO!$I$4:$I$80,MATCH($A33,CADASTRO!$A$4:$A$80,0)),$B33)-CONFIG!$B$50*(COUNTIF($X33:$AD33,"AB")+COUNTIF($X33:$AD33,"FE")+COUNTIF($X33:$AD33,"LM")))</f>
        <v/>
      </c>
      <c r="BB33" s="117">
        <f>SUMPRODUCT(($AE33:$AK33="M")*6+($AE33:$AK33="T")*6+($AE33:$AK33="D")*12+($AE33:$AK33="N")*12+($AE33:$AK33="NT")*6+($AE33:$AK33="C")*10+($AE33:$AK33="A")*8+($AE33:$AK33="J")*5+($AE33:$AK33="CEP")*4+($AE33:$AK33="CP")*6+($AE33:$AK33="CRO")*6+($AE33:$AK33="M+")*6+($AE33:$AK33="T+")*6+($AE33:$AK33="D+")*12+($AE33:$AK33="N+")*12+($AE33:$AK33="Dm+")*12+($AE33:$AK33="Dt+")*12+($AE33:$AK33="Tm-")*6+($AE33:$AK33="Mt-")*6)</f>
        <v/>
      </c>
      <c r="BC33" s="118">
        <f>BB33-MAX(0,IFERROR(INDEX(CADASTRO!$I$4:$I$80,MATCH($A33,CADASTRO!$A$4:$A$80,0)),$B33)-CONFIG!$B$50*(COUNTIF($AE33:$AK33,"AB")+COUNTIF($AE33:$AK33,"FE")+COUNTIF($AE33:$AK33,"LM")))</f>
        <v/>
      </c>
      <c r="BD33" s="117">
        <f>SUMPRODUCT(($AL33:$AL33="M")*6+($AL33:$AL33="T")*6+($AL33:$AL33="D")*12+($AL33:$AL33="N")*12+($AL33:$AL33="NT")*6+($AL33:$AL33="C")*10+($AL33:$AL33="A")*8+($AL33:$AL33="J")*5+($AL33:$AL33="CEP")*4+($AL33:$AL33="CP")*6+($AL33:$AL33="CRO")*6+($AL33:$AL33="M+")*6+($AL33:$AL33="T+")*6+($AL33:$AL33="D+")*12+($AL33:$AL33="N+")*12+($AL33:$AL33="Dm+")*12+($AL33:$AL33="Dt+")*12+($AL33:$AL33="Tm-")*6+($AL33:$AL33="Mt-")*6)+SUMPRODUCT(($AN33:$AS33="M")*6+($AN33:$AS33="T")*6+($AN33:$AS33="D")*12+($AN33:$AS33="N")*12+($AN33:$AS33="NT")*6+($AN33:$AS33="C")*10+($AN33:$AS33="A")*8+($AN33:$AS33="J")*5+($AN33:$AS33="CEP")*4+($AN33:$AS33="CP")*6+($AN33:$AS33="CRO")*6+($AN33:$AS33="M+")*6+($AN33:$AS33="T+")*6+($AN33:$AS33="D+")*12+($AN33:$AS33="N+")*12+($AN33:$AS33="Dm+")*12+($AN33:$AS33="Dt+")*12+($AN33:$AS33="Tm-")*6+($AN33:$AS33="Mt-")*6)</f>
        <v/>
      </c>
      <c r="BE33" s="118">
        <f>BD33-MAX(0,IFERROR(INDEX(CADASTRO!$I$4:$I$80,MATCH($A33,CADASTRO!$A$4:$A$80,0)),$B33)-CONFIG!$B$50*(COUNTIF($AL33:$AL33,"AB")+COUNTIF($AL33:$AL33,"FE")+COUNTIF($AL33:$AL33,"LM")+COUNTIF($AN33:$AS33,"AB")+COUNTIF($AN33:$AS33,"FE")+COUNTIF($AN33:$AS33,"LM")))</f>
        <v/>
      </c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ROUND(B33*4.29,0)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36">
        <f>IFERROR(INDEX(OUT!AH$8:AH$73,MATCH($A34,OUT!$A$8:$A$73,0))&amp;"","")</f>
        <v/>
      </c>
      <c r="D34" s="136">
        <f>IFERROR(INDEX(OUT!AI$8:AI$73,MATCH($A34,OUT!$A$8:$A$73,0))&amp;"","")</f>
        <v/>
      </c>
      <c r="E34" s="136">
        <f>IFERROR(INDEX(OUT!AJ$8:AJ$73,MATCH($A34,OUT!$A$8:$A$73,0))&amp;"","")</f>
        <v/>
      </c>
      <c r="F34" s="136">
        <f>IFERROR(INDEX(OUT!AK$8:AK$73,MATCH($A34,OUT!$A$8:$A$73,0))&amp;"","")</f>
        <v/>
      </c>
      <c r="G34" s="136">
        <f>IFERROR(INDEX(OUT!AL$8:AL$73,MATCH($A34,OUT!$A$8:$A$73,0))&amp;"","")</f>
        <v/>
      </c>
      <c r="H34" s="116">
        <f>IFERROR(INDEX(OUT!AM$8:AM$73,MATCH($A34,OUT!$A$8:$A$73,0))&amp;"","")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  <c r="AI34" s="114" t="n"/>
      <c r="AJ34" s="114" t="n"/>
      <c r="AK34" s="114" t="n"/>
      <c r="AL34" s="114" t="n"/>
      <c r="AM34" s="100" t="n"/>
      <c r="AN34" s="136">
        <f>IFERROR(INDEX(DEZ!I$8:I$73,MATCH($A34,DEZ!$A$8:$A$73,0))&amp;"","")</f>
        <v/>
      </c>
      <c r="AO34" s="136">
        <f>IFERROR(INDEX(DEZ!J$8:J$73,MATCH($A34,DEZ!$A$8:$A$73,0))&amp;"","")</f>
        <v/>
      </c>
      <c r="AP34" s="136">
        <f>IFERROR(INDEX(DEZ!K$8:K$73,MATCH($A34,DEZ!$A$8:$A$73,0))&amp;"","")</f>
        <v/>
      </c>
      <c r="AQ34" s="136">
        <f>IFERROR(INDEX(DEZ!L$8:L$73,MATCH($A34,DEZ!$A$8:$A$73,0))&amp;"","")</f>
        <v/>
      </c>
      <c r="AR34" s="116">
        <f>IFERROR(INDEX(DEZ!M$8:M$73,MATCH($A34,DEZ!$A$8:$A$73,0))&amp;"","")</f>
        <v/>
      </c>
      <c r="AS34" s="116">
        <f>IFERROR(INDEX(DEZ!N$8:N$73,MATCH($A34,DEZ!$A$8:$A$73,0))&amp;"","")</f>
        <v/>
      </c>
      <c r="AT34" s="117">
        <f>SUMPRODUCT(($C34:$I34="M")*6+($C34:$I34="T")*6+($C34:$I34="D")*12+($C34:$I34="N")*12+($C34:$I34="NT")*6+($C34:$I34="C")*10+($C34:$I34="A")*8+($C34:$I34="J")*5+($C34:$I34="CEP")*4+($C34:$I34="CP")*6+($C34:$I34="CRO")*6+($C34:$I34="M+")*6+($C34:$I34="T+")*6+($C34:$I34="D+")*12+($C34:$I34="N+")*12+($C34:$I34="Dm+")*12+($C34:$I34="Dt+")*12+($C34:$I34="Tm-")*6+($C34:$I34="Mt-")*6)</f>
        <v/>
      </c>
      <c r="AU34" s="118">
        <f>AT34-MAX(0,IFERROR(INDEX(CADASTRO!$I$4:$I$80,MATCH($A34,CADASTRO!$A$4:$A$80,0)),$B34)-CONFIG!$B$50*(COUNTIF($C34:$I34,"AB")+COUNTIF($C34:$I34,"FE")+COUNTIF($C34:$I34,"LM")))</f>
        <v/>
      </c>
      <c r="AV34" s="117">
        <f>SUMPRODUCT(($J34:$P34="M")*6+($J34:$P34="T")*6+($J34:$P34="D")*12+($J34:$P34="N")*12+($J34:$P34="NT")*6+($J34:$P34="C")*10+($J34:$P34="A")*8+($J34:$P34="J")*5+($J34:$P34="CEP")*4+($J34:$P34="CP")*6+($J34:$P34="CRO")*6+($J34:$P34="M+")*6+($J34:$P34="T+")*6+($J34:$P34="D+")*12+($J34:$P34="N+")*12+($J34:$P34="Dm+")*12+($J34:$P34="Dt+")*12+($J34:$P34="Tm-")*6+($J34:$P34="Mt-")*6)</f>
        <v/>
      </c>
      <c r="AW34" s="118">
        <f>AV34-MAX(0,IFERROR(INDEX(CADASTRO!$I$4:$I$80,MATCH($A34,CADASTRO!$A$4:$A$80,0)),$B34)-CONFIG!$B$50*(COUNTIF($J34:$P34,"AB")+COUNTIF($J34:$P34,"FE")+COUNTIF($J34:$P34,"LM")))</f>
        <v/>
      </c>
      <c r="AX34" s="117">
        <f>SUMPRODUCT(($Q34:$W34="M")*6+($Q34:$W34="T")*6+($Q34:$W34="D")*12+($Q34:$W34="N")*12+($Q34:$W34="NT")*6+($Q34:$W34="C")*10+($Q34:$W34="A")*8+($Q34:$W34="J")*5+($Q34:$W34="CEP")*4+($Q34:$W34="CP")*6+($Q34:$W34="CRO")*6+($Q34:$W34="M+")*6+($Q34:$W34="T+")*6+($Q34:$W34="D+")*12+($Q34:$W34="N+")*12+($Q34:$W34="Dm+")*12+($Q34:$W34="Dt+")*12+($Q34:$W34="Tm-")*6+($Q34:$W34="Mt-")*6)</f>
        <v/>
      </c>
      <c r="AY34" s="118">
        <f>AX34-MAX(0,IFERROR(INDEX(CADASTRO!$I$4:$I$80,MATCH($A34,CADASTRO!$A$4:$A$80,0)),$B34)-CONFIG!$B$50*(COUNTIF($Q34:$W34,"AB")+COUNTIF($Q34:$W34,"FE")+COUNTIF($Q34:$W34,"LM")))</f>
        <v/>
      </c>
      <c r="AZ34" s="117">
        <f>SUMPRODUCT(($X34:$AD34="M")*6+($X34:$AD34="T")*6+($X34:$AD34="D")*12+($X34:$AD34="N")*12+($X34:$AD34="NT")*6+($X34:$AD34="C")*10+($X34:$AD34="A")*8+($X34:$AD34="J")*5+($X34:$AD34="CEP")*4+($X34:$AD34="CP")*6+($X34:$AD34="CRO")*6+($X34:$AD34="M+")*6+($X34:$AD34="T+")*6+($X34:$AD34="D+")*12+($X34:$AD34="N+")*12+($X34:$AD34="Dm+")*12+($X34:$AD34="Dt+")*12+($X34:$AD34="Tm-")*6+($X34:$AD34="Mt-")*6)</f>
        <v/>
      </c>
      <c r="BA34" s="118">
        <f>AZ34-MAX(0,IFERROR(INDEX(CADASTRO!$I$4:$I$80,MATCH($A34,CADASTRO!$A$4:$A$80,0)),$B34)-CONFIG!$B$50*(COUNTIF($X34:$AD34,"AB")+COUNTIF($X34:$AD34,"FE")+COUNTIF($X34:$AD34,"LM")))</f>
        <v/>
      </c>
      <c r="BB34" s="117">
        <f>SUMPRODUCT(($AE34:$AK34="M")*6+($AE34:$AK34="T")*6+($AE34:$AK34="D")*12+($AE34:$AK34="N")*12+($AE34:$AK34="NT")*6+($AE34:$AK34="C")*10+($AE34:$AK34="A")*8+($AE34:$AK34="J")*5+($AE34:$AK34="CEP")*4+($AE34:$AK34="CP")*6+($AE34:$AK34="CRO")*6+($AE34:$AK34="M+")*6+($AE34:$AK34="T+")*6+($AE34:$AK34="D+")*12+($AE34:$AK34="N+")*12+($AE34:$AK34="Dm+")*12+($AE34:$AK34="Dt+")*12+($AE34:$AK34="Tm-")*6+($AE34:$AK34="Mt-")*6)</f>
        <v/>
      </c>
      <c r="BC34" s="118">
        <f>BB34-MAX(0,IFERROR(INDEX(CADASTRO!$I$4:$I$80,MATCH($A34,CADASTRO!$A$4:$A$80,0)),$B34)-CONFIG!$B$50*(COUNTIF($AE34:$AK34,"AB")+COUNTIF($AE34:$AK34,"FE")+COUNTIF($AE34:$AK34,"LM")))</f>
        <v/>
      </c>
      <c r="BD34" s="117">
        <f>SUMPRODUCT(($AL34:$AL34="M")*6+($AL34:$AL34="T")*6+($AL34:$AL34="D")*12+($AL34:$AL34="N")*12+($AL34:$AL34="NT")*6+($AL34:$AL34="C")*10+($AL34:$AL34="A")*8+($AL34:$AL34="J")*5+($AL34:$AL34="CEP")*4+($AL34:$AL34="CP")*6+($AL34:$AL34="CRO")*6+($AL34:$AL34="M+")*6+($AL34:$AL34="T+")*6+($AL34:$AL34="D+")*12+($AL34:$AL34="N+")*12+($AL34:$AL34="Dm+")*12+($AL34:$AL34="Dt+")*12+($AL34:$AL34="Tm-")*6+($AL34:$AL34="Mt-")*6)+SUMPRODUCT(($AN34:$AS34="M")*6+($AN34:$AS34="T")*6+($AN34:$AS34="D")*12+($AN34:$AS34="N")*12+($AN34:$AS34="NT")*6+($AN34:$AS34="C")*10+($AN34:$AS34="A")*8+($AN34:$AS34="J")*5+($AN34:$AS34="CEP")*4+($AN34:$AS34="CP")*6+($AN34:$AS34="CRO")*6+($AN34:$AS34="M+")*6+($AN34:$AS34="T+")*6+($AN34:$AS34="D+")*12+($AN34:$AS34="N+")*12+($AN34:$AS34="Dm+")*12+($AN34:$AS34="Dt+")*12+($AN34:$AS34="Tm-")*6+($AN34:$AS34="Mt-")*6)</f>
        <v/>
      </c>
      <c r="BE34" s="118">
        <f>BD34-MAX(0,IFERROR(INDEX(CADASTRO!$I$4:$I$80,MATCH($A34,CADASTRO!$A$4:$A$80,0)),$B34)-CONFIG!$B$50*(COUNTIF($AL34:$AL34,"AB")+COUNTIF($AL34:$AL34,"FE")+COUNTIF($AL34:$AL34,"LM")+COUNTIF($AN34:$AS34,"AB")+COUNTIF($AN34:$AS34,"FE")+COUNTIF($AN34:$AS34,"LM")))</f>
        <v/>
      </c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ROUND(B34*4.29,0)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36">
        <f>IFERROR(INDEX(OUT!AH$8:AH$73,MATCH($A35,OUT!$A$8:$A$73,0))&amp;"","")</f>
        <v/>
      </c>
      <c r="D35" s="136">
        <f>IFERROR(INDEX(OUT!AI$8:AI$73,MATCH($A35,OUT!$A$8:$A$73,0))&amp;"","")</f>
        <v/>
      </c>
      <c r="E35" s="136">
        <f>IFERROR(INDEX(OUT!AJ$8:AJ$73,MATCH($A35,OUT!$A$8:$A$73,0))&amp;"","")</f>
        <v/>
      </c>
      <c r="F35" s="136">
        <f>IFERROR(INDEX(OUT!AK$8:AK$73,MATCH($A35,OUT!$A$8:$A$73,0))&amp;"","")</f>
        <v/>
      </c>
      <c r="G35" s="136">
        <f>IFERROR(INDEX(OUT!AL$8:AL$73,MATCH($A35,OUT!$A$8:$A$73,0))&amp;"","")</f>
        <v/>
      </c>
      <c r="H35" s="116">
        <f>IFERROR(INDEX(OUT!AM$8:AM$73,MATCH($A35,OUT!$A$8:$A$73,0))&amp;"","")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  <c r="AH35" s="114" t="n"/>
      <c r="AI35" s="114" t="n"/>
      <c r="AJ35" s="114" t="n"/>
      <c r="AK35" s="114" t="n"/>
      <c r="AL35" s="114" t="n"/>
      <c r="AM35" s="100" t="n"/>
      <c r="AN35" s="136">
        <f>IFERROR(INDEX(DEZ!I$8:I$73,MATCH($A35,DEZ!$A$8:$A$73,0))&amp;"","")</f>
        <v/>
      </c>
      <c r="AO35" s="136">
        <f>IFERROR(INDEX(DEZ!J$8:J$73,MATCH($A35,DEZ!$A$8:$A$73,0))&amp;"","")</f>
        <v/>
      </c>
      <c r="AP35" s="136">
        <f>IFERROR(INDEX(DEZ!K$8:K$73,MATCH($A35,DEZ!$A$8:$A$73,0))&amp;"","")</f>
        <v/>
      </c>
      <c r="AQ35" s="136">
        <f>IFERROR(INDEX(DEZ!L$8:L$73,MATCH($A35,DEZ!$A$8:$A$73,0))&amp;"","")</f>
        <v/>
      </c>
      <c r="AR35" s="116">
        <f>IFERROR(INDEX(DEZ!M$8:M$73,MATCH($A35,DEZ!$A$8:$A$73,0))&amp;"","")</f>
        <v/>
      </c>
      <c r="AS35" s="116">
        <f>IFERROR(INDEX(DEZ!N$8:N$73,MATCH($A35,DEZ!$A$8:$A$73,0))&amp;"","")</f>
        <v/>
      </c>
      <c r="AT35" s="117">
        <f>SUMPRODUCT(($C35:$I35="M")*6+($C35:$I35="T")*6+($C35:$I35="D")*12+($C35:$I35="N")*12+($C35:$I35="NT")*6+($C35:$I35="C")*10+($C35:$I35="A")*8+($C35:$I35="J")*5+($C35:$I35="CEP")*4+($C35:$I35="CP")*6+($C35:$I35="CRO")*6+($C35:$I35="M+")*6+($C35:$I35="T+")*6+($C35:$I35="D+")*12+($C35:$I35="N+")*12+($C35:$I35="Dm+")*12+($C35:$I35="Dt+")*12+($C35:$I35="Tm-")*6+($C35:$I35="Mt-")*6)</f>
        <v/>
      </c>
      <c r="AU35" s="118">
        <f>AT35-MAX(0,IFERROR(INDEX(CADASTRO!$I$4:$I$80,MATCH($A35,CADASTRO!$A$4:$A$80,0)),$B35)-CONFIG!$B$50*(COUNTIF($C35:$I35,"AB")+COUNTIF($C35:$I35,"FE")+COUNTIF($C35:$I35,"LM")))</f>
        <v/>
      </c>
      <c r="AV35" s="117">
        <f>SUMPRODUCT(($J35:$P35="M")*6+($J35:$P35="T")*6+($J35:$P35="D")*12+($J35:$P35="N")*12+($J35:$P35="NT")*6+($J35:$P35="C")*10+($J35:$P35="A")*8+($J35:$P35="J")*5+($J35:$P35="CEP")*4+($J35:$P35="CP")*6+($J35:$P35="CRO")*6+($J35:$P35="M+")*6+($J35:$P35="T+")*6+($J35:$P35="D+")*12+($J35:$P35="N+")*12+($J35:$P35="Dm+")*12+($J35:$P35="Dt+")*12+($J35:$P35="Tm-")*6+($J35:$P35="Mt-")*6)</f>
        <v/>
      </c>
      <c r="AW35" s="118">
        <f>AV35-MAX(0,IFERROR(INDEX(CADASTRO!$I$4:$I$80,MATCH($A35,CADASTRO!$A$4:$A$80,0)),$B35)-CONFIG!$B$50*(COUNTIF($J35:$P35,"AB")+COUNTIF($J35:$P35,"FE")+COUNTIF($J35:$P35,"LM")))</f>
        <v/>
      </c>
      <c r="AX35" s="117">
        <f>SUMPRODUCT(($Q35:$W35="M")*6+($Q35:$W35="T")*6+($Q35:$W35="D")*12+($Q35:$W35="N")*12+($Q35:$W35="NT")*6+($Q35:$W35="C")*10+($Q35:$W35="A")*8+($Q35:$W35="J")*5+($Q35:$W35="CEP")*4+($Q35:$W35="CP")*6+($Q35:$W35="CRO")*6+($Q35:$W35="M+")*6+($Q35:$W35="T+")*6+($Q35:$W35="D+")*12+($Q35:$W35="N+")*12+($Q35:$W35="Dm+")*12+($Q35:$W35="Dt+")*12+($Q35:$W35="Tm-")*6+($Q35:$W35="Mt-")*6)</f>
        <v/>
      </c>
      <c r="AY35" s="118">
        <f>AX35-MAX(0,IFERROR(INDEX(CADASTRO!$I$4:$I$80,MATCH($A35,CADASTRO!$A$4:$A$80,0)),$B35)-CONFIG!$B$50*(COUNTIF($Q35:$W35,"AB")+COUNTIF($Q35:$W35,"FE")+COUNTIF($Q35:$W35,"LM")))</f>
        <v/>
      </c>
      <c r="AZ35" s="117">
        <f>SUMPRODUCT(($X35:$AD35="M")*6+($X35:$AD35="T")*6+($X35:$AD35="D")*12+($X35:$AD35="N")*12+($X35:$AD35="NT")*6+($X35:$AD35="C")*10+($X35:$AD35="A")*8+($X35:$AD35="J")*5+($X35:$AD35="CEP")*4+($X35:$AD35="CP")*6+($X35:$AD35="CRO")*6+($X35:$AD35="M+")*6+($X35:$AD35="T+")*6+($X35:$AD35="D+")*12+($X35:$AD35="N+")*12+($X35:$AD35="Dm+")*12+($X35:$AD35="Dt+")*12+($X35:$AD35="Tm-")*6+($X35:$AD35="Mt-")*6)</f>
        <v/>
      </c>
      <c r="BA35" s="118">
        <f>AZ35-MAX(0,IFERROR(INDEX(CADASTRO!$I$4:$I$80,MATCH($A35,CADASTRO!$A$4:$A$80,0)),$B35)-CONFIG!$B$50*(COUNTIF($X35:$AD35,"AB")+COUNTIF($X35:$AD35,"FE")+COUNTIF($X35:$AD35,"LM")))</f>
        <v/>
      </c>
      <c r="BB35" s="117">
        <f>SUMPRODUCT(($AE35:$AK35="M")*6+($AE35:$AK35="T")*6+($AE35:$AK35="D")*12+($AE35:$AK35="N")*12+($AE35:$AK35="NT")*6+($AE35:$AK35="C")*10+($AE35:$AK35="A")*8+($AE35:$AK35="J")*5+($AE35:$AK35="CEP")*4+($AE35:$AK35="CP")*6+($AE35:$AK35="CRO")*6+($AE35:$AK35="M+")*6+($AE35:$AK35="T+")*6+($AE35:$AK35="D+")*12+($AE35:$AK35="N+")*12+($AE35:$AK35="Dm+")*12+($AE35:$AK35="Dt+")*12+($AE35:$AK35="Tm-")*6+($AE35:$AK35="Mt-")*6)</f>
        <v/>
      </c>
      <c r="BC35" s="118">
        <f>BB35-MAX(0,IFERROR(INDEX(CADASTRO!$I$4:$I$80,MATCH($A35,CADASTRO!$A$4:$A$80,0)),$B35)-CONFIG!$B$50*(COUNTIF($AE35:$AK35,"AB")+COUNTIF($AE35:$AK35,"FE")+COUNTIF($AE35:$AK35,"LM")))</f>
        <v/>
      </c>
      <c r="BD35" s="117">
        <f>SUMPRODUCT(($AL35:$AL35="M")*6+($AL35:$AL35="T")*6+($AL35:$AL35="D")*12+($AL35:$AL35="N")*12+($AL35:$AL35="NT")*6+($AL35:$AL35="C")*10+($AL35:$AL35="A")*8+($AL35:$AL35="J")*5+($AL35:$AL35="CEP")*4+($AL35:$AL35="CP")*6+($AL35:$AL35="CRO")*6+($AL35:$AL35="M+")*6+($AL35:$AL35="T+")*6+($AL35:$AL35="D+")*12+($AL35:$AL35="N+")*12+($AL35:$AL35="Dm+")*12+($AL35:$AL35="Dt+")*12+($AL35:$AL35="Tm-")*6+($AL35:$AL35="Mt-")*6)+SUMPRODUCT(($AN35:$AS35="M")*6+($AN35:$AS35="T")*6+($AN35:$AS35="D")*12+($AN35:$AS35="N")*12+($AN35:$AS35="NT")*6+($AN35:$AS35="C")*10+($AN35:$AS35="A")*8+($AN35:$AS35="J")*5+($AN35:$AS35="CEP")*4+($AN35:$AS35="CP")*6+($AN35:$AS35="CRO")*6+($AN35:$AS35="M+")*6+($AN35:$AS35="T+")*6+($AN35:$AS35="D+")*12+($AN35:$AS35="N+")*12+($AN35:$AS35="Dm+")*12+($AN35:$AS35="Dt+")*12+($AN35:$AS35="Tm-")*6+($AN35:$AS35="Mt-")*6)</f>
        <v/>
      </c>
      <c r="BE35" s="118">
        <f>BD35-MAX(0,IFERROR(INDEX(CADASTRO!$I$4:$I$80,MATCH($A35,CADASTRO!$A$4:$A$80,0)),$B35)-CONFIG!$B$50*(COUNTIF($AL35:$AL35,"AB")+COUNTIF($AL35:$AL35,"FE")+COUNTIF($AL35:$AL35,"LM")+COUNTIF($AN35:$AS35,"AB")+COUNTIF($AN35:$AS35,"FE")+COUNTIF($AN35:$AS35,"LM")))</f>
        <v/>
      </c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ROUND(B35*4.29,0)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36">
        <f>IFERROR(INDEX(OUT!AH$8:AH$73,MATCH($A36,OUT!$A$8:$A$73,0))&amp;"","")</f>
        <v/>
      </c>
      <c r="D36" s="136">
        <f>IFERROR(INDEX(OUT!AI$8:AI$73,MATCH($A36,OUT!$A$8:$A$73,0))&amp;"","")</f>
        <v/>
      </c>
      <c r="E36" s="136">
        <f>IFERROR(INDEX(OUT!AJ$8:AJ$73,MATCH($A36,OUT!$A$8:$A$73,0))&amp;"","")</f>
        <v/>
      </c>
      <c r="F36" s="136">
        <f>IFERROR(INDEX(OUT!AK$8:AK$73,MATCH($A36,OUT!$A$8:$A$73,0))&amp;"","")</f>
        <v/>
      </c>
      <c r="G36" s="136">
        <f>IFERROR(INDEX(OUT!AL$8:AL$73,MATCH($A36,OUT!$A$8:$A$73,0))&amp;"","")</f>
        <v/>
      </c>
      <c r="H36" s="116">
        <f>IFERROR(INDEX(OUT!AM$8:AM$73,MATCH($A36,OUT!$A$8:$A$73,0))&amp;"","")</f>
        <v/>
      </c>
      <c r="I36" s="124" t="inlineStr">
        <is>
          <t>D</t>
        </is>
      </c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  <c r="AB36" s="114" t="n"/>
      <c r="AC36" s="114" t="n"/>
      <c r="AD36" s="114" t="n"/>
      <c r="AE36" s="114" t="n"/>
      <c r="AF36" s="114" t="n"/>
      <c r="AG36" s="114" t="n"/>
      <c r="AH36" s="114" t="n"/>
      <c r="AI36" s="114" t="n"/>
      <c r="AJ36" s="114" t="n"/>
      <c r="AK36" s="114" t="n"/>
      <c r="AL36" s="114" t="n"/>
      <c r="AM36" s="100" t="n"/>
      <c r="AN36" s="136">
        <f>IFERROR(INDEX(DEZ!I$8:I$73,MATCH($A36,DEZ!$A$8:$A$73,0))&amp;"","")</f>
        <v/>
      </c>
      <c r="AO36" s="136">
        <f>IFERROR(INDEX(DEZ!J$8:J$73,MATCH($A36,DEZ!$A$8:$A$73,0))&amp;"","")</f>
        <v/>
      </c>
      <c r="AP36" s="136">
        <f>IFERROR(INDEX(DEZ!K$8:K$73,MATCH($A36,DEZ!$A$8:$A$73,0))&amp;"","")</f>
        <v/>
      </c>
      <c r="AQ36" s="136">
        <f>IFERROR(INDEX(DEZ!L$8:L$73,MATCH($A36,DEZ!$A$8:$A$73,0))&amp;"","")</f>
        <v/>
      </c>
      <c r="AR36" s="116">
        <f>IFERROR(INDEX(DEZ!M$8:M$73,MATCH($A36,DEZ!$A$8:$A$73,0))&amp;"","")</f>
        <v/>
      </c>
      <c r="AS36" s="116">
        <f>IFERROR(INDEX(DEZ!N$8:N$73,MATCH($A36,DEZ!$A$8:$A$73,0))&amp;"","")</f>
        <v/>
      </c>
      <c r="AT36" s="117">
        <f>SUMPRODUCT(($C36:$I36="M")*6+($C36:$I36="T")*6+($C36:$I36="D")*12+($C36:$I36="N")*12+($C36:$I36="NT")*6+($C36:$I36="C")*10+($C36:$I36="A")*8+($C36:$I36="J")*5+($C36:$I36="CEP")*4+($C36:$I36="CP")*6+($C36:$I36="CRO")*6+($C36:$I36="M+")*6+($C36:$I36="T+")*6+($C36:$I36="D+")*12+($C36:$I36="N+")*12+($C36:$I36="Dm+")*12+($C36:$I36="Dt+")*12+($C36:$I36="Tm-")*6+($C36:$I36="Mt-")*6)</f>
        <v/>
      </c>
      <c r="AU36" s="118">
        <f>AT36-MAX(0,IFERROR(INDEX(CADASTRO!$I$4:$I$80,MATCH($A36,CADASTRO!$A$4:$A$80,0)),$B36)-CONFIG!$B$50*(COUNTIF($C36:$I36,"AB")+COUNTIF($C36:$I36,"FE")+COUNTIF($C36:$I36,"LM")))</f>
        <v/>
      </c>
      <c r="AV36" s="117">
        <f>SUMPRODUCT(($J36:$P36="M")*6+($J36:$P36="T")*6+($J36:$P36="D")*12+($J36:$P36="N")*12+($J36:$P36="NT")*6+($J36:$P36="C")*10+($J36:$P36="A")*8+($J36:$P36="J")*5+($J36:$P36="CEP")*4+($J36:$P36="CP")*6+($J36:$P36="CRO")*6+($J36:$P36="M+")*6+($J36:$P36="T+")*6+($J36:$P36="D+")*12+($J36:$P36="N+")*12+($J36:$P36="Dm+")*12+($J36:$P36="Dt+")*12+($J36:$P36="Tm-")*6+($J36:$P36="Mt-")*6)</f>
        <v/>
      </c>
      <c r="AW36" s="118">
        <f>AV36-MAX(0,IFERROR(INDEX(CADASTRO!$I$4:$I$80,MATCH($A36,CADASTRO!$A$4:$A$80,0)),$B36)-CONFIG!$B$50*(COUNTIF($J36:$P36,"AB")+COUNTIF($J36:$P36,"FE")+COUNTIF($J36:$P36,"LM")))</f>
        <v/>
      </c>
      <c r="AX36" s="117">
        <f>SUMPRODUCT(($Q36:$W36="M")*6+($Q36:$W36="T")*6+($Q36:$W36="D")*12+($Q36:$W36="N")*12+($Q36:$W36="NT")*6+($Q36:$W36="C")*10+($Q36:$W36="A")*8+($Q36:$W36="J")*5+($Q36:$W36="CEP")*4+($Q36:$W36="CP")*6+($Q36:$W36="CRO")*6+($Q36:$W36="M+")*6+($Q36:$W36="T+")*6+($Q36:$W36="D+")*12+($Q36:$W36="N+")*12+($Q36:$W36="Dm+")*12+($Q36:$W36="Dt+")*12+($Q36:$W36="Tm-")*6+($Q36:$W36="Mt-")*6)</f>
        <v/>
      </c>
      <c r="AY36" s="118">
        <f>AX36-MAX(0,IFERROR(INDEX(CADASTRO!$I$4:$I$80,MATCH($A36,CADASTRO!$A$4:$A$80,0)),$B36)-CONFIG!$B$50*(COUNTIF($Q36:$W36,"AB")+COUNTIF($Q36:$W36,"FE")+COUNTIF($Q36:$W36,"LM")))</f>
        <v/>
      </c>
      <c r="AZ36" s="117">
        <f>SUMPRODUCT(($X36:$AD36="M")*6+($X36:$AD36="T")*6+($X36:$AD36="D")*12+($X36:$AD36="N")*12+($X36:$AD36="NT")*6+($X36:$AD36="C")*10+($X36:$AD36="A")*8+($X36:$AD36="J")*5+($X36:$AD36="CEP")*4+($X36:$AD36="CP")*6+($X36:$AD36="CRO")*6+($X36:$AD36="M+")*6+($X36:$AD36="T+")*6+($X36:$AD36="D+")*12+($X36:$AD36="N+")*12+($X36:$AD36="Dm+")*12+($X36:$AD36="Dt+")*12+($X36:$AD36="Tm-")*6+($X36:$AD36="Mt-")*6)</f>
        <v/>
      </c>
      <c r="BA36" s="118">
        <f>AZ36-MAX(0,IFERROR(INDEX(CADASTRO!$I$4:$I$80,MATCH($A36,CADASTRO!$A$4:$A$80,0)),$B36)-CONFIG!$B$50*(COUNTIF($X36:$AD36,"AB")+COUNTIF($X36:$AD36,"FE")+COUNTIF($X36:$AD36,"LM")))</f>
        <v/>
      </c>
      <c r="BB36" s="117">
        <f>SUMPRODUCT(($AE36:$AK36="M")*6+($AE36:$AK36="T")*6+($AE36:$AK36="D")*12+($AE36:$AK36="N")*12+($AE36:$AK36="NT")*6+($AE36:$AK36="C")*10+($AE36:$AK36="A")*8+($AE36:$AK36="J")*5+($AE36:$AK36="CEP")*4+($AE36:$AK36="CP")*6+($AE36:$AK36="CRO")*6+($AE36:$AK36="M+")*6+($AE36:$AK36="T+")*6+($AE36:$AK36="D+")*12+($AE36:$AK36="N+")*12+($AE36:$AK36="Dm+")*12+($AE36:$AK36="Dt+")*12+($AE36:$AK36="Tm-")*6+($AE36:$AK36="Mt-")*6)</f>
        <v/>
      </c>
      <c r="BC36" s="118">
        <f>BB36-MAX(0,IFERROR(INDEX(CADASTRO!$I$4:$I$80,MATCH($A36,CADASTRO!$A$4:$A$80,0)),$B36)-CONFIG!$B$50*(COUNTIF($AE36:$AK36,"AB")+COUNTIF($AE36:$AK36,"FE")+COUNTIF($AE36:$AK36,"LM")))</f>
        <v/>
      </c>
      <c r="BD36" s="117">
        <f>SUMPRODUCT(($AL36:$AL36="M")*6+($AL36:$AL36="T")*6+($AL36:$AL36="D")*12+($AL36:$AL36="N")*12+($AL36:$AL36="NT")*6+($AL36:$AL36="C")*10+($AL36:$AL36="A")*8+($AL36:$AL36="J")*5+($AL36:$AL36="CEP")*4+($AL36:$AL36="CP")*6+($AL36:$AL36="CRO")*6+($AL36:$AL36="M+")*6+($AL36:$AL36="T+")*6+($AL36:$AL36="D+")*12+($AL36:$AL36="N+")*12+($AL36:$AL36="Dm+")*12+($AL36:$AL36="Dt+")*12+($AL36:$AL36="Tm-")*6+($AL36:$AL36="Mt-")*6)+SUMPRODUCT(($AN36:$AS36="M")*6+($AN36:$AS36="T")*6+($AN36:$AS36="D")*12+($AN36:$AS36="N")*12+($AN36:$AS36="NT")*6+($AN36:$AS36="C")*10+($AN36:$AS36="A")*8+($AN36:$AS36="J")*5+($AN36:$AS36="CEP")*4+($AN36:$AS36="CP")*6+($AN36:$AS36="CRO")*6+($AN36:$AS36="M+")*6+($AN36:$AS36="T+")*6+($AN36:$AS36="D+")*12+($AN36:$AS36="N+")*12+($AN36:$AS36="Dm+")*12+($AN36:$AS36="Dt+")*12+($AN36:$AS36="Tm-")*6+($AN36:$AS36="Mt-")*6)</f>
        <v/>
      </c>
      <c r="BE36" s="118">
        <f>BD36-MAX(0,IFERROR(INDEX(CADASTRO!$I$4:$I$80,MATCH($A36,CADASTRO!$A$4:$A$80,0)),$B36)-CONFIG!$B$50*(COUNTIF($AL36:$AL36,"AB")+COUNTIF($AL36:$AL36,"FE")+COUNTIF($AL36:$AL36,"LM")+COUNTIF($AN36:$AS36,"AB")+COUNTIF($AN36:$AS36,"FE")+COUNTIF($AN36:$AS36,"LM")))</f>
        <v/>
      </c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ROUND(B36*4.29,0)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36">
        <f>IFERROR(INDEX(OUT!AH$8:AH$73,MATCH($A37,OUT!$A$8:$A$73,0))&amp;"","")</f>
        <v/>
      </c>
      <c r="D37" s="136">
        <f>IFERROR(INDEX(OUT!AI$8:AI$73,MATCH($A37,OUT!$A$8:$A$73,0))&amp;"","")</f>
        <v/>
      </c>
      <c r="E37" s="136">
        <f>IFERROR(INDEX(OUT!AJ$8:AJ$73,MATCH($A37,OUT!$A$8:$A$73,0))&amp;"","")</f>
        <v/>
      </c>
      <c r="F37" s="136">
        <f>IFERROR(INDEX(OUT!AK$8:AK$73,MATCH($A37,OUT!$A$8:$A$73,0))&amp;"","")</f>
        <v/>
      </c>
      <c r="G37" s="136">
        <f>IFERROR(INDEX(OUT!AL$8:AL$73,MATCH($A37,OUT!$A$8:$A$73,0))&amp;"","")</f>
        <v/>
      </c>
      <c r="H37" s="116">
        <f>IFERROR(INDEX(OUT!AM$8:AM$73,MATCH($A37,OUT!$A$8:$A$73,0))&amp;"","")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14" t="n"/>
      <c r="AE37" s="114" t="n"/>
      <c r="AF37" s="114" t="n"/>
      <c r="AG37" s="114" t="n"/>
      <c r="AH37" s="114" t="n"/>
      <c r="AI37" s="114" t="n"/>
      <c r="AJ37" s="114" t="n"/>
      <c r="AK37" s="114" t="n"/>
      <c r="AL37" s="114" t="n"/>
      <c r="AM37" s="100" t="n"/>
      <c r="AN37" s="136">
        <f>IFERROR(INDEX(DEZ!I$8:I$73,MATCH($A37,DEZ!$A$8:$A$73,0))&amp;"","")</f>
        <v/>
      </c>
      <c r="AO37" s="136">
        <f>IFERROR(INDEX(DEZ!J$8:J$73,MATCH($A37,DEZ!$A$8:$A$73,0))&amp;"","")</f>
        <v/>
      </c>
      <c r="AP37" s="136">
        <f>IFERROR(INDEX(DEZ!K$8:K$73,MATCH($A37,DEZ!$A$8:$A$73,0))&amp;"","")</f>
        <v/>
      </c>
      <c r="AQ37" s="136">
        <f>IFERROR(INDEX(DEZ!L$8:L$73,MATCH($A37,DEZ!$A$8:$A$73,0))&amp;"","")</f>
        <v/>
      </c>
      <c r="AR37" s="116">
        <f>IFERROR(INDEX(DEZ!M$8:M$73,MATCH($A37,DEZ!$A$8:$A$73,0))&amp;"","")</f>
        <v/>
      </c>
      <c r="AS37" s="116">
        <f>IFERROR(INDEX(DEZ!N$8:N$73,MATCH($A37,DEZ!$A$8:$A$73,0))&amp;"","")</f>
        <v/>
      </c>
      <c r="AT37" s="117">
        <f>SUMPRODUCT(($C37:$I37="M")*6+($C37:$I37="T")*6+($C37:$I37="D")*12+($C37:$I37="N")*12+($C37:$I37="NT")*6+($C37:$I37="C")*10+($C37:$I37="A")*8+($C37:$I37="J")*5+($C37:$I37="CEP")*4+($C37:$I37="CP")*6+($C37:$I37="CRO")*6+($C37:$I37="M+")*6+($C37:$I37="T+")*6+($C37:$I37="D+")*12+($C37:$I37="N+")*12+($C37:$I37="Dm+")*12+($C37:$I37="Dt+")*12+($C37:$I37="Tm-")*6+($C37:$I37="Mt-")*6)</f>
        <v/>
      </c>
      <c r="AU37" s="118">
        <f>AT37-MAX(0,IFERROR(INDEX(CADASTRO!$I$4:$I$80,MATCH($A37,CADASTRO!$A$4:$A$80,0)),$B37)-CONFIG!$B$50*(COUNTIF($C37:$I37,"AB")+COUNTIF($C37:$I37,"FE")+COUNTIF($C37:$I37,"LM")))</f>
        <v/>
      </c>
      <c r="AV37" s="117">
        <f>SUMPRODUCT(($J37:$P37="M")*6+($J37:$P37="T")*6+($J37:$P37="D")*12+($J37:$P37="N")*12+($J37:$P37="NT")*6+($J37:$P37="C")*10+($J37:$P37="A")*8+($J37:$P37="J")*5+($J37:$P37="CEP")*4+($J37:$P37="CP")*6+($J37:$P37="CRO")*6+($J37:$P37="M+")*6+($J37:$P37="T+")*6+($J37:$P37="D+")*12+($J37:$P37="N+")*12+($J37:$P37="Dm+")*12+($J37:$P37="Dt+")*12+($J37:$P37="Tm-")*6+($J37:$P37="Mt-")*6)</f>
        <v/>
      </c>
      <c r="AW37" s="118">
        <f>AV37-MAX(0,IFERROR(INDEX(CADASTRO!$I$4:$I$80,MATCH($A37,CADASTRO!$A$4:$A$80,0)),$B37)-CONFIG!$B$50*(COUNTIF($J37:$P37,"AB")+COUNTIF($J37:$P37,"FE")+COUNTIF($J37:$P37,"LM")))</f>
        <v/>
      </c>
      <c r="AX37" s="117">
        <f>SUMPRODUCT(($Q37:$W37="M")*6+($Q37:$W37="T")*6+($Q37:$W37="D")*12+($Q37:$W37="N")*12+($Q37:$W37="NT")*6+($Q37:$W37="C")*10+($Q37:$W37="A")*8+($Q37:$W37="J")*5+($Q37:$W37="CEP")*4+($Q37:$W37="CP")*6+($Q37:$W37="CRO")*6+($Q37:$W37="M+")*6+($Q37:$W37="T+")*6+($Q37:$W37="D+")*12+($Q37:$W37="N+")*12+($Q37:$W37="Dm+")*12+($Q37:$W37="Dt+")*12+($Q37:$W37="Tm-")*6+($Q37:$W37="Mt-")*6)</f>
        <v/>
      </c>
      <c r="AY37" s="118">
        <f>AX37-MAX(0,IFERROR(INDEX(CADASTRO!$I$4:$I$80,MATCH($A37,CADASTRO!$A$4:$A$80,0)),$B37)-CONFIG!$B$50*(COUNTIF($Q37:$W37,"AB")+COUNTIF($Q37:$W37,"FE")+COUNTIF($Q37:$W37,"LM")))</f>
        <v/>
      </c>
      <c r="AZ37" s="117">
        <f>SUMPRODUCT(($X37:$AD37="M")*6+($X37:$AD37="T")*6+($X37:$AD37="D")*12+($X37:$AD37="N")*12+($X37:$AD37="NT")*6+($X37:$AD37="C")*10+($X37:$AD37="A")*8+($X37:$AD37="J")*5+($X37:$AD37="CEP")*4+($X37:$AD37="CP")*6+($X37:$AD37="CRO")*6+($X37:$AD37="M+")*6+($X37:$AD37="T+")*6+($X37:$AD37="D+")*12+($X37:$AD37="N+")*12+($X37:$AD37="Dm+")*12+($X37:$AD37="Dt+")*12+($X37:$AD37="Tm-")*6+($X37:$AD37="Mt-")*6)</f>
        <v/>
      </c>
      <c r="BA37" s="118">
        <f>AZ37-MAX(0,IFERROR(INDEX(CADASTRO!$I$4:$I$80,MATCH($A37,CADASTRO!$A$4:$A$80,0)),$B37)-CONFIG!$B$50*(COUNTIF($X37:$AD37,"AB")+COUNTIF($X37:$AD37,"FE")+COUNTIF($X37:$AD37,"LM")))</f>
        <v/>
      </c>
      <c r="BB37" s="117">
        <f>SUMPRODUCT(($AE37:$AK37="M")*6+($AE37:$AK37="T")*6+($AE37:$AK37="D")*12+($AE37:$AK37="N")*12+($AE37:$AK37="NT")*6+($AE37:$AK37="C")*10+($AE37:$AK37="A")*8+($AE37:$AK37="J")*5+($AE37:$AK37="CEP")*4+($AE37:$AK37="CP")*6+($AE37:$AK37="CRO")*6+($AE37:$AK37="M+")*6+($AE37:$AK37="T+")*6+($AE37:$AK37="D+")*12+($AE37:$AK37="N+")*12+($AE37:$AK37="Dm+")*12+($AE37:$AK37="Dt+")*12+($AE37:$AK37="Tm-")*6+($AE37:$AK37="Mt-")*6)</f>
        <v/>
      </c>
      <c r="BC37" s="118">
        <f>BB37-MAX(0,IFERROR(INDEX(CADASTRO!$I$4:$I$80,MATCH($A37,CADASTRO!$A$4:$A$80,0)),$B37)-CONFIG!$B$50*(COUNTIF($AE37:$AK37,"AB")+COUNTIF($AE37:$AK37,"FE")+COUNTIF($AE37:$AK37,"LM")))</f>
        <v/>
      </c>
      <c r="BD37" s="117">
        <f>SUMPRODUCT(($AL37:$AL37="M")*6+($AL37:$AL37="T")*6+($AL37:$AL37="D")*12+($AL37:$AL37="N")*12+($AL37:$AL37="NT")*6+($AL37:$AL37="C")*10+($AL37:$AL37="A")*8+($AL37:$AL37="J")*5+($AL37:$AL37="CEP")*4+($AL37:$AL37="CP")*6+($AL37:$AL37="CRO")*6+($AL37:$AL37="M+")*6+($AL37:$AL37="T+")*6+($AL37:$AL37="D+")*12+($AL37:$AL37="N+")*12+($AL37:$AL37="Dm+")*12+($AL37:$AL37="Dt+")*12+($AL37:$AL37="Tm-")*6+($AL37:$AL37="Mt-")*6)+SUMPRODUCT(($AN37:$AS37="M")*6+($AN37:$AS37="T")*6+($AN37:$AS37="D")*12+($AN37:$AS37="N")*12+($AN37:$AS37="NT")*6+($AN37:$AS37="C")*10+($AN37:$AS37="A")*8+($AN37:$AS37="J")*5+($AN37:$AS37="CEP")*4+($AN37:$AS37="CP")*6+($AN37:$AS37="CRO")*6+($AN37:$AS37="M+")*6+($AN37:$AS37="T+")*6+($AN37:$AS37="D+")*12+($AN37:$AS37="N+")*12+($AN37:$AS37="Dm+")*12+($AN37:$AS37="Dt+")*12+($AN37:$AS37="Tm-")*6+($AN37:$AS37="Mt-")*6)</f>
        <v/>
      </c>
      <c r="BE37" s="118">
        <f>BD37-MAX(0,IFERROR(INDEX(CADASTRO!$I$4:$I$80,MATCH($A37,CADASTRO!$A$4:$A$80,0)),$B37)-CONFIG!$B$50*(COUNTIF($AL37:$AL37,"AB")+COUNTIF($AL37:$AL37,"FE")+COUNTIF($AL37:$AL37,"LM")+COUNTIF($AN37:$AS37,"AB")+COUNTIF($AN37:$AS37,"FE")+COUNTIF($AN37:$AS37,"LM")))</f>
        <v/>
      </c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ROUND(B37*4.29,0)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36">
        <f>IFERROR(INDEX(OUT!AH$8:AH$73,MATCH($A38,OUT!$A$8:$A$73,0))&amp;"","")</f>
        <v/>
      </c>
      <c r="D38" s="136">
        <f>IFERROR(INDEX(OUT!AI$8:AI$73,MATCH($A38,OUT!$A$8:$A$73,0))&amp;"","")</f>
        <v/>
      </c>
      <c r="E38" s="136">
        <f>IFERROR(INDEX(OUT!AJ$8:AJ$73,MATCH($A38,OUT!$A$8:$A$73,0))&amp;"","")</f>
        <v/>
      </c>
      <c r="F38" s="136">
        <f>IFERROR(INDEX(OUT!AK$8:AK$73,MATCH($A38,OUT!$A$8:$A$73,0))&amp;"","")</f>
        <v/>
      </c>
      <c r="G38" s="136">
        <f>IFERROR(INDEX(OUT!AL$8:AL$73,MATCH($A38,OUT!$A$8:$A$73,0))&amp;"","")</f>
        <v/>
      </c>
      <c r="H38" s="116">
        <f>IFERROR(INDEX(OUT!AM$8:AM$73,MATCH($A38,OUT!$A$8:$A$73,0))&amp;"","")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14" t="n"/>
      <c r="AL38" s="114" t="n"/>
      <c r="AM38" s="100" t="n"/>
      <c r="AN38" s="136">
        <f>IFERROR(INDEX(DEZ!I$8:I$73,MATCH($A38,DEZ!$A$8:$A$73,0))&amp;"","")</f>
        <v/>
      </c>
      <c r="AO38" s="136">
        <f>IFERROR(INDEX(DEZ!J$8:J$73,MATCH($A38,DEZ!$A$8:$A$73,0))&amp;"","")</f>
        <v/>
      </c>
      <c r="AP38" s="136">
        <f>IFERROR(INDEX(DEZ!K$8:K$73,MATCH($A38,DEZ!$A$8:$A$73,0))&amp;"","")</f>
        <v/>
      </c>
      <c r="AQ38" s="136">
        <f>IFERROR(INDEX(DEZ!L$8:L$73,MATCH($A38,DEZ!$A$8:$A$73,0))&amp;"","")</f>
        <v/>
      </c>
      <c r="AR38" s="116">
        <f>IFERROR(INDEX(DEZ!M$8:M$73,MATCH($A38,DEZ!$A$8:$A$73,0))&amp;"","")</f>
        <v/>
      </c>
      <c r="AS38" s="116">
        <f>IFERROR(INDEX(DEZ!N$8:N$73,MATCH($A38,DEZ!$A$8:$A$73,0))&amp;"","")</f>
        <v/>
      </c>
      <c r="AT38" s="117">
        <f>SUMPRODUCT(($C38:$I38="M")*6+($C38:$I38="T")*6+($C38:$I38="D")*12+($C38:$I38="N")*12+($C38:$I38="NT")*6+($C38:$I38="C")*10+($C38:$I38="A")*8+($C38:$I38="J")*5+($C38:$I38="CEP")*4+($C38:$I38="CP")*6+($C38:$I38="CRO")*6+($C38:$I38="M+")*6+($C38:$I38="T+")*6+($C38:$I38="D+")*12+($C38:$I38="N+")*12+($C38:$I38="Dm+")*12+($C38:$I38="Dt+")*12+($C38:$I38="Tm-")*6+($C38:$I38="Mt-")*6)</f>
        <v/>
      </c>
      <c r="AU38" s="118">
        <f>AT38-MAX(0,IFERROR(INDEX(CADASTRO!$I$4:$I$80,MATCH($A38,CADASTRO!$A$4:$A$80,0)),$B38)-CONFIG!$B$50*(COUNTIF($C38:$I38,"AB")+COUNTIF($C38:$I38,"FE")+COUNTIF($C38:$I38,"LM")))</f>
        <v/>
      </c>
      <c r="AV38" s="117">
        <f>SUMPRODUCT(($J38:$P38="M")*6+($J38:$P38="T")*6+($J38:$P38="D")*12+($J38:$P38="N")*12+($J38:$P38="NT")*6+($J38:$P38="C")*10+($J38:$P38="A")*8+($J38:$P38="J")*5+($J38:$P38="CEP")*4+($J38:$P38="CP")*6+($J38:$P38="CRO")*6+($J38:$P38="M+")*6+($J38:$P38="T+")*6+($J38:$P38="D+")*12+($J38:$P38="N+")*12+($J38:$P38="Dm+")*12+($J38:$P38="Dt+")*12+($J38:$P38="Tm-")*6+($J38:$P38="Mt-")*6)</f>
        <v/>
      </c>
      <c r="AW38" s="118">
        <f>AV38-MAX(0,IFERROR(INDEX(CADASTRO!$I$4:$I$80,MATCH($A38,CADASTRO!$A$4:$A$80,0)),$B38)-CONFIG!$B$50*(COUNTIF($J38:$P38,"AB")+COUNTIF($J38:$P38,"FE")+COUNTIF($J38:$P38,"LM")))</f>
        <v/>
      </c>
      <c r="AX38" s="117">
        <f>SUMPRODUCT(($Q38:$W38="M")*6+($Q38:$W38="T")*6+($Q38:$W38="D")*12+($Q38:$W38="N")*12+($Q38:$W38="NT")*6+($Q38:$W38="C")*10+($Q38:$W38="A")*8+($Q38:$W38="J")*5+($Q38:$W38="CEP")*4+($Q38:$W38="CP")*6+($Q38:$W38="CRO")*6+($Q38:$W38="M+")*6+($Q38:$W38="T+")*6+($Q38:$W38="D+")*12+($Q38:$W38="N+")*12+($Q38:$W38="Dm+")*12+($Q38:$W38="Dt+")*12+($Q38:$W38="Tm-")*6+($Q38:$W38="Mt-")*6)</f>
        <v/>
      </c>
      <c r="AY38" s="118">
        <f>AX38-MAX(0,IFERROR(INDEX(CADASTRO!$I$4:$I$80,MATCH($A38,CADASTRO!$A$4:$A$80,0)),$B38)-CONFIG!$B$50*(COUNTIF($Q38:$W38,"AB")+COUNTIF($Q38:$W38,"FE")+COUNTIF($Q38:$W38,"LM")))</f>
        <v/>
      </c>
      <c r="AZ38" s="117">
        <f>SUMPRODUCT(($X38:$AD38="M")*6+($X38:$AD38="T")*6+($X38:$AD38="D")*12+($X38:$AD38="N")*12+($X38:$AD38="NT")*6+($X38:$AD38="C")*10+($X38:$AD38="A")*8+($X38:$AD38="J")*5+($X38:$AD38="CEP")*4+($X38:$AD38="CP")*6+($X38:$AD38="CRO")*6+($X38:$AD38="M+")*6+($X38:$AD38="T+")*6+($X38:$AD38="D+")*12+($X38:$AD38="N+")*12+($X38:$AD38="Dm+")*12+($X38:$AD38="Dt+")*12+($X38:$AD38="Tm-")*6+($X38:$AD38="Mt-")*6)</f>
        <v/>
      </c>
      <c r="BA38" s="118">
        <f>AZ38-MAX(0,IFERROR(INDEX(CADASTRO!$I$4:$I$80,MATCH($A38,CADASTRO!$A$4:$A$80,0)),$B38)-CONFIG!$B$50*(COUNTIF($X38:$AD38,"AB")+COUNTIF($X38:$AD38,"FE")+COUNTIF($X38:$AD38,"LM")))</f>
        <v/>
      </c>
      <c r="BB38" s="117">
        <f>SUMPRODUCT(($AE38:$AK38="M")*6+($AE38:$AK38="T")*6+($AE38:$AK38="D")*12+($AE38:$AK38="N")*12+($AE38:$AK38="NT")*6+($AE38:$AK38="C")*10+($AE38:$AK38="A")*8+($AE38:$AK38="J")*5+($AE38:$AK38="CEP")*4+($AE38:$AK38="CP")*6+($AE38:$AK38="CRO")*6+($AE38:$AK38="M+")*6+($AE38:$AK38="T+")*6+($AE38:$AK38="D+")*12+($AE38:$AK38="N+")*12+($AE38:$AK38="Dm+")*12+($AE38:$AK38="Dt+")*12+($AE38:$AK38="Tm-")*6+($AE38:$AK38="Mt-")*6)</f>
        <v/>
      </c>
      <c r="BC38" s="118">
        <f>BB38-MAX(0,IFERROR(INDEX(CADASTRO!$I$4:$I$80,MATCH($A38,CADASTRO!$A$4:$A$80,0)),$B38)-CONFIG!$B$50*(COUNTIF($AE38:$AK38,"AB")+COUNTIF($AE38:$AK38,"FE")+COUNTIF($AE38:$AK38,"LM")))</f>
        <v/>
      </c>
      <c r="BD38" s="117">
        <f>SUMPRODUCT(($AL38:$AL38="M")*6+($AL38:$AL38="T")*6+($AL38:$AL38="D")*12+($AL38:$AL38="N")*12+($AL38:$AL38="NT")*6+($AL38:$AL38="C")*10+($AL38:$AL38="A")*8+($AL38:$AL38="J")*5+($AL38:$AL38="CEP")*4+($AL38:$AL38="CP")*6+($AL38:$AL38="CRO")*6+($AL38:$AL38="M+")*6+($AL38:$AL38="T+")*6+($AL38:$AL38="D+")*12+($AL38:$AL38="N+")*12+($AL38:$AL38="Dm+")*12+($AL38:$AL38="Dt+")*12+($AL38:$AL38="Tm-")*6+($AL38:$AL38="Mt-")*6)+SUMPRODUCT(($AN38:$AS38="M")*6+($AN38:$AS38="T")*6+($AN38:$AS38="D")*12+($AN38:$AS38="N")*12+($AN38:$AS38="NT")*6+($AN38:$AS38="C")*10+($AN38:$AS38="A")*8+($AN38:$AS38="J")*5+($AN38:$AS38="CEP")*4+($AN38:$AS38="CP")*6+($AN38:$AS38="CRO")*6+($AN38:$AS38="M+")*6+($AN38:$AS38="T+")*6+($AN38:$AS38="D+")*12+($AN38:$AS38="N+")*12+($AN38:$AS38="Dm+")*12+($AN38:$AS38="Dt+")*12+($AN38:$AS38="Tm-")*6+($AN38:$AS38="Mt-")*6)</f>
        <v/>
      </c>
      <c r="BE38" s="118">
        <f>BD38-MAX(0,IFERROR(INDEX(CADASTRO!$I$4:$I$80,MATCH($A38,CADASTRO!$A$4:$A$80,0)),$B38)-CONFIG!$B$50*(COUNTIF($AL38:$AL38,"AB")+COUNTIF($AL38:$AL38,"FE")+COUNTIF($AL38:$AL38,"LM")+COUNTIF($AN38:$AS38,"AB")+COUNTIF($AN38:$AS38,"FE")+COUNTIF($AN38:$AS38,"LM")))</f>
        <v/>
      </c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ROUND(B38*4.29,0)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36">
        <f>IFERROR(INDEX(OUT!AH$8:AH$73,MATCH($A39,OUT!$A$8:$A$73,0))&amp;"","")</f>
        <v/>
      </c>
      <c r="D39" s="136">
        <f>IFERROR(INDEX(OUT!AI$8:AI$73,MATCH($A39,OUT!$A$8:$A$73,0))&amp;"","")</f>
        <v/>
      </c>
      <c r="E39" s="136">
        <f>IFERROR(INDEX(OUT!AJ$8:AJ$73,MATCH($A39,OUT!$A$8:$A$73,0))&amp;"","")</f>
        <v/>
      </c>
      <c r="F39" s="136">
        <f>IFERROR(INDEX(OUT!AK$8:AK$73,MATCH($A39,OUT!$A$8:$A$73,0))&amp;"","")</f>
        <v/>
      </c>
      <c r="G39" s="136">
        <f>IFERROR(INDEX(OUT!AL$8:AL$73,MATCH($A39,OUT!$A$8:$A$73,0))&amp;"","")</f>
        <v/>
      </c>
      <c r="H39" s="116">
        <f>IFERROR(INDEX(OUT!AM$8:AM$73,MATCH($A39,OUT!$A$8:$A$73,0))&amp;"","")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00" t="n"/>
      <c r="AN39" s="136">
        <f>IFERROR(INDEX(DEZ!I$8:I$73,MATCH($A39,DEZ!$A$8:$A$73,0))&amp;"","")</f>
        <v/>
      </c>
      <c r="AO39" s="136">
        <f>IFERROR(INDEX(DEZ!J$8:J$73,MATCH($A39,DEZ!$A$8:$A$73,0))&amp;"","")</f>
        <v/>
      </c>
      <c r="AP39" s="136">
        <f>IFERROR(INDEX(DEZ!K$8:K$73,MATCH($A39,DEZ!$A$8:$A$73,0))&amp;"","")</f>
        <v/>
      </c>
      <c r="AQ39" s="136">
        <f>IFERROR(INDEX(DEZ!L$8:L$73,MATCH($A39,DEZ!$A$8:$A$73,0))&amp;"","")</f>
        <v/>
      </c>
      <c r="AR39" s="116">
        <f>IFERROR(INDEX(DEZ!M$8:M$73,MATCH($A39,DEZ!$A$8:$A$73,0))&amp;"","")</f>
        <v/>
      </c>
      <c r="AS39" s="116">
        <f>IFERROR(INDEX(DEZ!N$8:N$73,MATCH($A39,DEZ!$A$8:$A$73,0))&amp;"","")</f>
        <v/>
      </c>
      <c r="AT39" s="117">
        <f>SUMPRODUCT(($C39:$I39="M")*6+($C39:$I39="T")*6+($C39:$I39="D")*12+($C39:$I39="N")*12+($C39:$I39="NT")*6+($C39:$I39="C")*10+($C39:$I39="A")*8+($C39:$I39="J")*5+($C39:$I39="CEP")*4+($C39:$I39="CP")*6+($C39:$I39="CRO")*6+($C39:$I39="M+")*6+($C39:$I39="T+")*6+($C39:$I39="D+")*12+($C39:$I39="N+")*12+($C39:$I39="Dm+")*12+($C39:$I39="Dt+")*12+($C39:$I39="Tm-")*6+($C39:$I39="Mt-")*6)</f>
        <v/>
      </c>
      <c r="AU39" s="118">
        <f>AT39-MAX(0,IFERROR(INDEX(CADASTRO!$I$4:$I$80,MATCH($A39,CADASTRO!$A$4:$A$80,0)),$B39)-CONFIG!$B$50*(COUNTIF($C39:$I39,"AB")+COUNTIF($C39:$I39,"FE")+COUNTIF($C39:$I39,"LM")))</f>
        <v/>
      </c>
      <c r="AV39" s="117">
        <f>SUMPRODUCT(($J39:$P39="M")*6+($J39:$P39="T")*6+($J39:$P39="D")*12+($J39:$P39="N")*12+($J39:$P39="NT")*6+($J39:$P39="C")*10+($J39:$P39="A")*8+($J39:$P39="J")*5+($J39:$P39="CEP")*4+($J39:$P39="CP")*6+($J39:$P39="CRO")*6+($J39:$P39="M+")*6+($J39:$P39="T+")*6+($J39:$P39="D+")*12+($J39:$P39="N+")*12+($J39:$P39="Dm+")*12+($J39:$P39="Dt+")*12+($J39:$P39="Tm-")*6+($J39:$P39="Mt-")*6)</f>
        <v/>
      </c>
      <c r="AW39" s="118">
        <f>AV39-MAX(0,IFERROR(INDEX(CADASTRO!$I$4:$I$80,MATCH($A39,CADASTRO!$A$4:$A$80,0)),$B39)-CONFIG!$B$50*(COUNTIF($J39:$P39,"AB")+COUNTIF($J39:$P39,"FE")+COUNTIF($J39:$P39,"LM")))</f>
        <v/>
      </c>
      <c r="AX39" s="117">
        <f>SUMPRODUCT(($Q39:$W39="M")*6+($Q39:$W39="T")*6+($Q39:$W39="D")*12+($Q39:$W39="N")*12+($Q39:$W39="NT")*6+($Q39:$W39="C")*10+($Q39:$W39="A")*8+($Q39:$W39="J")*5+($Q39:$W39="CEP")*4+($Q39:$W39="CP")*6+($Q39:$W39="CRO")*6+($Q39:$W39="M+")*6+($Q39:$W39="T+")*6+($Q39:$W39="D+")*12+($Q39:$W39="N+")*12+($Q39:$W39="Dm+")*12+($Q39:$W39="Dt+")*12+($Q39:$W39="Tm-")*6+($Q39:$W39="Mt-")*6)</f>
        <v/>
      </c>
      <c r="AY39" s="118">
        <f>AX39-MAX(0,IFERROR(INDEX(CADASTRO!$I$4:$I$80,MATCH($A39,CADASTRO!$A$4:$A$80,0)),$B39)-CONFIG!$B$50*(COUNTIF($Q39:$W39,"AB")+COUNTIF($Q39:$W39,"FE")+COUNTIF($Q39:$W39,"LM")))</f>
        <v/>
      </c>
      <c r="AZ39" s="117">
        <f>SUMPRODUCT(($X39:$AD39="M")*6+($X39:$AD39="T")*6+($X39:$AD39="D")*12+($X39:$AD39="N")*12+($X39:$AD39="NT")*6+($X39:$AD39="C")*10+($X39:$AD39="A")*8+($X39:$AD39="J")*5+($X39:$AD39="CEP")*4+($X39:$AD39="CP")*6+($X39:$AD39="CRO")*6+($X39:$AD39="M+")*6+($X39:$AD39="T+")*6+($X39:$AD39="D+")*12+($X39:$AD39="N+")*12+($X39:$AD39="Dm+")*12+($X39:$AD39="Dt+")*12+($X39:$AD39="Tm-")*6+($X39:$AD39="Mt-")*6)</f>
        <v/>
      </c>
      <c r="BA39" s="118">
        <f>AZ39-MAX(0,IFERROR(INDEX(CADASTRO!$I$4:$I$80,MATCH($A39,CADASTRO!$A$4:$A$80,0)),$B39)-CONFIG!$B$50*(COUNTIF($X39:$AD39,"AB")+COUNTIF($X39:$AD39,"FE")+COUNTIF($X39:$AD39,"LM")))</f>
        <v/>
      </c>
      <c r="BB39" s="117">
        <f>SUMPRODUCT(($AE39:$AK39="M")*6+($AE39:$AK39="T")*6+($AE39:$AK39="D")*12+($AE39:$AK39="N")*12+($AE39:$AK39="NT")*6+($AE39:$AK39="C")*10+($AE39:$AK39="A")*8+($AE39:$AK39="J")*5+($AE39:$AK39="CEP")*4+($AE39:$AK39="CP")*6+($AE39:$AK39="CRO")*6+($AE39:$AK39="M+")*6+($AE39:$AK39="T+")*6+($AE39:$AK39="D+")*12+($AE39:$AK39="N+")*12+($AE39:$AK39="Dm+")*12+($AE39:$AK39="Dt+")*12+($AE39:$AK39="Tm-")*6+($AE39:$AK39="Mt-")*6)</f>
        <v/>
      </c>
      <c r="BC39" s="118">
        <f>BB39-MAX(0,IFERROR(INDEX(CADASTRO!$I$4:$I$80,MATCH($A39,CADASTRO!$A$4:$A$80,0)),$B39)-CONFIG!$B$50*(COUNTIF($AE39:$AK39,"AB")+COUNTIF($AE39:$AK39,"FE")+COUNTIF($AE39:$AK39,"LM")))</f>
        <v/>
      </c>
      <c r="BD39" s="117">
        <f>SUMPRODUCT(($AL39:$AL39="M")*6+($AL39:$AL39="T")*6+($AL39:$AL39="D")*12+($AL39:$AL39="N")*12+($AL39:$AL39="NT")*6+($AL39:$AL39="C")*10+($AL39:$AL39="A")*8+($AL39:$AL39="J")*5+($AL39:$AL39="CEP")*4+($AL39:$AL39="CP")*6+($AL39:$AL39="CRO")*6+($AL39:$AL39="M+")*6+($AL39:$AL39="T+")*6+($AL39:$AL39="D+")*12+($AL39:$AL39="N+")*12+($AL39:$AL39="Dm+")*12+($AL39:$AL39="Dt+")*12+($AL39:$AL39="Tm-")*6+($AL39:$AL39="Mt-")*6)+SUMPRODUCT(($AN39:$AS39="M")*6+($AN39:$AS39="T")*6+($AN39:$AS39="D")*12+($AN39:$AS39="N")*12+($AN39:$AS39="NT")*6+($AN39:$AS39="C")*10+($AN39:$AS39="A")*8+($AN39:$AS39="J")*5+($AN39:$AS39="CEP")*4+($AN39:$AS39="CP")*6+($AN39:$AS39="CRO")*6+($AN39:$AS39="M+")*6+($AN39:$AS39="T+")*6+($AN39:$AS39="D+")*12+($AN39:$AS39="N+")*12+($AN39:$AS39="Dm+")*12+($AN39:$AS39="Dt+")*12+($AN39:$AS39="Tm-")*6+($AN39:$AS39="Mt-")*6)</f>
        <v/>
      </c>
      <c r="BE39" s="118">
        <f>BD39-MAX(0,IFERROR(INDEX(CADASTRO!$I$4:$I$80,MATCH($A39,CADASTRO!$A$4:$A$80,0)),$B39)-CONFIG!$B$50*(COUNTIF($AL39:$AL39,"AB")+COUNTIF($AL39:$AL39,"FE")+COUNTIF($AL39:$AL39,"LM")+COUNTIF($AN39:$AS39,"AB")+COUNTIF($AN39:$AS39,"FE")+COUNTIF($AN39:$AS39,"LM")))</f>
        <v/>
      </c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ROUND(B39*4.29,0)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36">
        <f>IFERROR(INDEX(OUT!AH$8:AH$73,MATCH($A40,OUT!$A$8:$A$73,0))&amp;"","")</f>
        <v/>
      </c>
      <c r="D40" s="136">
        <f>IFERROR(INDEX(OUT!AI$8:AI$73,MATCH($A40,OUT!$A$8:$A$73,0))&amp;"","")</f>
        <v/>
      </c>
      <c r="E40" s="136">
        <f>IFERROR(INDEX(OUT!AJ$8:AJ$73,MATCH($A40,OUT!$A$8:$A$73,0))&amp;"","")</f>
        <v/>
      </c>
      <c r="F40" s="136">
        <f>IFERROR(INDEX(OUT!AK$8:AK$73,MATCH($A40,OUT!$A$8:$A$73,0))&amp;"","")</f>
        <v/>
      </c>
      <c r="G40" s="136">
        <f>IFERROR(INDEX(OUT!AL$8:AL$73,MATCH($A40,OUT!$A$8:$A$73,0))&amp;"","")</f>
        <v/>
      </c>
      <c r="H40" s="116">
        <f>IFERROR(INDEX(OUT!AM$8:AM$73,MATCH($A40,OUT!$A$8:$A$73,0))&amp;"","")</f>
        <v/>
      </c>
      <c r="I40" s="125" t="inlineStr">
        <is>
          <t>N</t>
        </is>
      </c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00" t="n"/>
      <c r="AN40" s="136">
        <f>IFERROR(INDEX(DEZ!I$8:I$73,MATCH($A40,DEZ!$A$8:$A$73,0))&amp;"","")</f>
        <v/>
      </c>
      <c r="AO40" s="136">
        <f>IFERROR(INDEX(DEZ!J$8:J$73,MATCH($A40,DEZ!$A$8:$A$73,0))&amp;"","")</f>
        <v/>
      </c>
      <c r="AP40" s="136">
        <f>IFERROR(INDEX(DEZ!K$8:K$73,MATCH($A40,DEZ!$A$8:$A$73,0))&amp;"","")</f>
        <v/>
      </c>
      <c r="AQ40" s="136">
        <f>IFERROR(INDEX(DEZ!L$8:L$73,MATCH($A40,DEZ!$A$8:$A$73,0))&amp;"","")</f>
        <v/>
      </c>
      <c r="AR40" s="116">
        <f>IFERROR(INDEX(DEZ!M$8:M$73,MATCH($A40,DEZ!$A$8:$A$73,0))&amp;"","")</f>
        <v/>
      </c>
      <c r="AS40" s="116">
        <f>IFERROR(INDEX(DEZ!N$8:N$73,MATCH($A40,DEZ!$A$8:$A$73,0))&amp;"","")</f>
        <v/>
      </c>
      <c r="AT40" s="117">
        <f>SUMPRODUCT(($C40:$I40="M")*6+($C40:$I40="T")*6+($C40:$I40="D")*12+($C40:$I40="N")*12+($C40:$I40="NT")*6+($C40:$I40="C")*10+($C40:$I40="A")*8+($C40:$I40="J")*5+($C40:$I40="CEP")*4+($C40:$I40="CP")*6+($C40:$I40="CRO")*6+($C40:$I40="M+")*6+($C40:$I40="T+")*6+($C40:$I40="D+")*12+($C40:$I40="N+")*12+($C40:$I40="Dm+")*12+($C40:$I40="Dt+")*12+($C40:$I40="Tm-")*6+($C40:$I40="Mt-")*6)</f>
        <v/>
      </c>
      <c r="AU40" s="118">
        <f>AT40-MAX(0,IFERROR(INDEX(CADASTRO!$I$4:$I$80,MATCH($A40,CADASTRO!$A$4:$A$80,0)),$B40)-CONFIG!$B$50*(COUNTIF($C40:$I40,"AB")+COUNTIF($C40:$I40,"FE")+COUNTIF($C40:$I40,"LM")))</f>
        <v/>
      </c>
      <c r="AV40" s="117">
        <f>SUMPRODUCT(($J40:$P40="M")*6+($J40:$P40="T")*6+($J40:$P40="D")*12+($J40:$P40="N")*12+($J40:$P40="NT")*6+($J40:$P40="C")*10+($J40:$P40="A")*8+($J40:$P40="J")*5+($J40:$P40="CEP")*4+($J40:$P40="CP")*6+($J40:$P40="CRO")*6+($J40:$P40="M+")*6+($J40:$P40="T+")*6+($J40:$P40="D+")*12+($J40:$P40="N+")*12+($J40:$P40="Dm+")*12+($J40:$P40="Dt+")*12+($J40:$P40="Tm-")*6+($J40:$P40="Mt-")*6)</f>
        <v/>
      </c>
      <c r="AW40" s="118">
        <f>AV40-MAX(0,IFERROR(INDEX(CADASTRO!$I$4:$I$80,MATCH($A40,CADASTRO!$A$4:$A$80,0)),$B40)-CONFIG!$B$50*(COUNTIF($J40:$P40,"AB")+COUNTIF($J40:$P40,"FE")+COUNTIF($J40:$P40,"LM")))</f>
        <v/>
      </c>
      <c r="AX40" s="117">
        <f>SUMPRODUCT(($Q40:$W40="M")*6+($Q40:$W40="T")*6+($Q40:$W40="D")*12+($Q40:$W40="N")*12+($Q40:$W40="NT")*6+($Q40:$W40="C")*10+($Q40:$W40="A")*8+($Q40:$W40="J")*5+($Q40:$W40="CEP")*4+($Q40:$W40="CP")*6+($Q40:$W40="CRO")*6+($Q40:$W40="M+")*6+($Q40:$W40="T+")*6+($Q40:$W40="D+")*12+($Q40:$W40="N+")*12+($Q40:$W40="Dm+")*12+($Q40:$W40="Dt+")*12+($Q40:$W40="Tm-")*6+($Q40:$W40="Mt-")*6)</f>
        <v/>
      </c>
      <c r="AY40" s="118">
        <f>AX40-MAX(0,IFERROR(INDEX(CADASTRO!$I$4:$I$80,MATCH($A40,CADASTRO!$A$4:$A$80,0)),$B40)-CONFIG!$B$50*(COUNTIF($Q40:$W40,"AB")+COUNTIF($Q40:$W40,"FE")+COUNTIF($Q40:$W40,"LM")))</f>
        <v/>
      </c>
      <c r="AZ40" s="117">
        <f>SUMPRODUCT(($X40:$AD40="M")*6+($X40:$AD40="T")*6+($X40:$AD40="D")*12+($X40:$AD40="N")*12+($X40:$AD40="NT")*6+($X40:$AD40="C")*10+($X40:$AD40="A")*8+($X40:$AD40="J")*5+($X40:$AD40="CEP")*4+($X40:$AD40="CP")*6+($X40:$AD40="CRO")*6+($X40:$AD40="M+")*6+($X40:$AD40="T+")*6+($X40:$AD40="D+")*12+($X40:$AD40="N+")*12+($X40:$AD40="Dm+")*12+($X40:$AD40="Dt+")*12+($X40:$AD40="Tm-")*6+($X40:$AD40="Mt-")*6)</f>
        <v/>
      </c>
      <c r="BA40" s="118">
        <f>AZ40-MAX(0,IFERROR(INDEX(CADASTRO!$I$4:$I$80,MATCH($A40,CADASTRO!$A$4:$A$80,0)),$B40)-CONFIG!$B$50*(COUNTIF($X40:$AD40,"AB")+COUNTIF($X40:$AD40,"FE")+COUNTIF($X40:$AD40,"LM")))</f>
        <v/>
      </c>
      <c r="BB40" s="117">
        <f>SUMPRODUCT(($AE40:$AK40="M")*6+($AE40:$AK40="T")*6+($AE40:$AK40="D")*12+($AE40:$AK40="N")*12+($AE40:$AK40="NT")*6+($AE40:$AK40="C")*10+($AE40:$AK40="A")*8+($AE40:$AK40="J")*5+($AE40:$AK40="CEP")*4+($AE40:$AK40="CP")*6+($AE40:$AK40="CRO")*6+($AE40:$AK40="M+")*6+($AE40:$AK40="T+")*6+($AE40:$AK40="D+")*12+($AE40:$AK40="N+")*12+($AE40:$AK40="Dm+")*12+($AE40:$AK40="Dt+")*12+($AE40:$AK40="Tm-")*6+($AE40:$AK40="Mt-")*6)</f>
        <v/>
      </c>
      <c r="BC40" s="118">
        <f>BB40-MAX(0,IFERROR(INDEX(CADASTRO!$I$4:$I$80,MATCH($A40,CADASTRO!$A$4:$A$80,0)),$B40)-CONFIG!$B$50*(COUNTIF($AE40:$AK40,"AB")+COUNTIF($AE40:$AK40,"FE")+COUNTIF($AE40:$AK40,"LM")))</f>
        <v/>
      </c>
      <c r="BD40" s="117">
        <f>SUMPRODUCT(($AL40:$AL40="M")*6+($AL40:$AL40="T")*6+($AL40:$AL40="D")*12+($AL40:$AL40="N")*12+($AL40:$AL40="NT")*6+($AL40:$AL40="C")*10+($AL40:$AL40="A")*8+($AL40:$AL40="J")*5+($AL40:$AL40="CEP")*4+($AL40:$AL40="CP")*6+($AL40:$AL40="CRO")*6+($AL40:$AL40="M+")*6+($AL40:$AL40="T+")*6+($AL40:$AL40="D+")*12+($AL40:$AL40="N+")*12+($AL40:$AL40="Dm+")*12+($AL40:$AL40="Dt+")*12+($AL40:$AL40="Tm-")*6+($AL40:$AL40="Mt-")*6)+SUMPRODUCT(($AN40:$AS40="M")*6+($AN40:$AS40="T")*6+($AN40:$AS40="D")*12+($AN40:$AS40="N")*12+($AN40:$AS40="NT")*6+($AN40:$AS40="C")*10+($AN40:$AS40="A")*8+($AN40:$AS40="J")*5+($AN40:$AS40="CEP")*4+($AN40:$AS40="CP")*6+($AN40:$AS40="CRO")*6+($AN40:$AS40="M+")*6+($AN40:$AS40="T+")*6+($AN40:$AS40="D+")*12+($AN40:$AS40="N+")*12+($AN40:$AS40="Dm+")*12+($AN40:$AS40="Dt+")*12+($AN40:$AS40="Tm-")*6+($AN40:$AS40="Mt-")*6)</f>
        <v/>
      </c>
      <c r="BE40" s="118">
        <f>BD40-MAX(0,IFERROR(INDEX(CADASTRO!$I$4:$I$80,MATCH($A40,CADASTRO!$A$4:$A$80,0)),$B40)-CONFIG!$B$50*(COUNTIF($AL40:$AL40,"AB")+COUNTIF($AL40:$AL40,"FE")+COUNTIF($AL40:$AL40,"LM")+COUNTIF($AN40:$AS40,"AB")+COUNTIF($AN40:$AS40,"FE")+COUNTIF($AN40:$AS40,"LM")))</f>
        <v/>
      </c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ROUND(B40*4.29,0)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36">
        <f>IFERROR(INDEX(OUT!AH$8:AH$73,MATCH($A41,OUT!$A$8:$A$73,0))&amp;"","")</f>
        <v/>
      </c>
      <c r="D41" s="136">
        <f>IFERROR(INDEX(OUT!AI$8:AI$73,MATCH($A41,OUT!$A$8:$A$73,0))&amp;"","")</f>
        <v/>
      </c>
      <c r="E41" s="136">
        <f>IFERROR(INDEX(OUT!AJ$8:AJ$73,MATCH($A41,OUT!$A$8:$A$73,0))&amp;"","")</f>
        <v/>
      </c>
      <c r="F41" s="136">
        <f>IFERROR(INDEX(OUT!AK$8:AK$73,MATCH($A41,OUT!$A$8:$A$73,0))&amp;"","")</f>
        <v/>
      </c>
      <c r="G41" s="136">
        <f>IFERROR(INDEX(OUT!AL$8:AL$73,MATCH($A41,OUT!$A$8:$A$73,0))&amp;"","")</f>
        <v/>
      </c>
      <c r="H41" s="116">
        <f>IFERROR(INDEX(OUT!AM$8:AM$73,MATCH($A41,OUT!$A$8:$A$73,0))&amp;"","")</f>
        <v/>
      </c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  <c r="AB41" s="114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114" t="n"/>
      <c r="AL41" s="114" t="n"/>
      <c r="AM41" s="100" t="n"/>
      <c r="AN41" s="136">
        <f>IFERROR(INDEX(DEZ!I$8:I$73,MATCH($A41,DEZ!$A$8:$A$73,0))&amp;"","")</f>
        <v/>
      </c>
      <c r="AO41" s="136">
        <f>IFERROR(INDEX(DEZ!J$8:J$73,MATCH($A41,DEZ!$A$8:$A$73,0))&amp;"","")</f>
        <v/>
      </c>
      <c r="AP41" s="136">
        <f>IFERROR(INDEX(DEZ!K$8:K$73,MATCH($A41,DEZ!$A$8:$A$73,0))&amp;"","")</f>
        <v/>
      </c>
      <c r="AQ41" s="136">
        <f>IFERROR(INDEX(DEZ!L$8:L$73,MATCH($A41,DEZ!$A$8:$A$73,0))&amp;"","")</f>
        <v/>
      </c>
      <c r="AR41" s="116">
        <f>IFERROR(INDEX(DEZ!M$8:M$73,MATCH($A41,DEZ!$A$8:$A$73,0))&amp;"","")</f>
        <v/>
      </c>
      <c r="AS41" s="116">
        <f>IFERROR(INDEX(DEZ!N$8:N$73,MATCH($A41,DEZ!$A$8:$A$73,0))&amp;"","")</f>
        <v/>
      </c>
      <c r="AT41" s="117">
        <f>SUMPRODUCT(($C41:$I41="M")*6+($C41:$I41="T")*6+($C41:$I41="D")*12+($C41:$I41="N")*12+($C41:$I41="NT")*6+($C41:$I41="C")*10+($C41:$I41="A")*8+($C41:$I41="J")*5+($C41:$I41="CEP")*4+($C41:$I41="CP")*6+($C41:$I41="CRO")*6+($C41:$I41="M+")*6+($C41:$I41="T+")*6+($C41:$I41="D+")*12+($C41:$I41="N+")*12+($C41:$I41="Dm+")*12+($C41:$I41="Dt+")*12+($C41:$I41="Tm-")*6+($C41:$I41="Mt-")*6)</f>
        <v/>
      </c>
      <c r="AU41" s="118">
        <f>AT41-MAX(0,IFERROR(INDEX(CADASTRO!$I$4:$I$80,MATCH($A41,CADASTRO!$A$4:$A$80,0)),$B41)-CONFIG!$B$50*(COUNTIF($C41:$I41,"AB")+COUNTIF($C41:$I41,"FE")+COUNTIF($C41:$I41,"LM")))</f>
        <v/>
      </c>
      <c r="AV41" s="117">
        <f>SUMPRODUCT(($J41:$P41="M")*6+($J41:$P41="T")*6+($J41:$P41="D")*12+($J41:$P41="N")*12+($J41:$P41="NT")*6+($J41:$P41="C")*10+($J41:$P41="A")*8+($J41:$P41="J")*5+($J41:$P41="CEP")*4+($J41:$P41="CP")*6+($J41:$P41="CRO")*6+($J41:$P41="M+")*6+($J41:$P41="T+")*6+($J41:$P41="D+")*12+($J41:$P41="N+")*12+($J41:$P41="Dm+")*12+($J41:$P41="Dt+")*12+($J41:$P41="Tm-")*6+($J41:$P41="Mt-")*6)</f>
        <v/>
      </c>
      <c r="AW41" s="118">
        <f>AV41-MAX(0,IFERROR(INDEX(CADASTRO!$I$4:$I$80,MATCH($A41,CADASTRO!$A$4:$A$80,0)),$B41)-CONFIG!$B$50*(COUNTIF($J41:$P41,"AB")+COUNTIF($J41:$P41,"FE")+COUNTIF($J41:$P41,"LM")))</f>
        <v/>
      </c>
      <c r="AX41" s="117">
        <f>SUMPRODUCT(($Q41:$W41="M")*6+($Q41:$W41="T")*6+($Q41:$W41="D")*12+($Q41:$W41="N")*12+($Q41:$W41="NT")*6+($Q41:$W41="C")*10+($Q41:$W41="A")*8+($Q41:$W41="J")*5+($Q41:$W41="CEP")*4+($Q41:$W41="CP")*6+($Q41:$W41="CRO")*6+($Q41:$W41="M+")*6+($Q41:$W41="T+")*6+($Q41:$W41="D+")*12+($Q41:$W41="N+")*12+($Q41:$W41="Dm+")*12+($Q41:$W41="Dt+")*12+($Q41:$W41="Tm-")*6+($Q41:$W41="Mt-")*6)</f>
        <v/>
      </c>
      <c r="AY41" s="118">
        <f>AX41-MAX(0,IFERROR(INDEX(CADASTRO!$I$4:$I$80,MATCH($A41,CADASTRO!$A$4:$A$80,0)),$B41)-CONFIG!$B$50*(COUNTIF($Q41:$W41,"AB")+COUNTIF($Q41:$W41,"FE")+COUNTIF($Q41:$W41,"LM")))</f>
        <v/>
      </c>
      <c r="AZ41" s="117">
        <f>SUMPRODUCT(($X41:$AD41="M")*6+($X41:$AD41="T")*6+($X41:$AD41="D")*12+($X41:$AD41="N")*12+($X41:$AD41="NT")*6+($X41:$AD41="C")*10+($X41:$AD41="A")*8+($X41:$AD41="J")*5+($X41:$AD41="CEP")*4+($X41:$AD41="CP")*6+($X41:$AD41="CRO")*6+($X41:$AD41="M+")*6+($X41:$AD41="T+")*6+($X41:$AD41="D+")*12+($X41:$AD41="N+")*12+($X41:$AD41="Dm+")*12+($X41:$AD41="Dt+")*12+($X41:$AD41="Tm-")*6+($X41:$AD41="Mt-")*6)</f>
        <v/>
      </c>
      <c r="BA41" s="118">
        <f>AZ41-MAX(0,IFERROR(INDEX(CADASTRO!$I$4:$I$80,MATCH($A41,CADASTRO!$A$4:$A$80,0)),$B41)-CONFIG!$B$50*(COUNTIF($X41:$AD41,"AB")+COUNTIF($X41:$AD41,"FE")+COUNTIF($X41:$AD41,"LM")))</f>
        <v/>
      </c>
      <c r="BB41" s="117">
        <f>SUMPRODUCT(($AE41:$AK41="M")*6+($AE41:$AK41="T")*6+($AE41:$AK41="D")*12+($AE41:$AK41="N")*12+($AE41:$AK41="NT")*6+($AE41:$AK41="C")*10+($AE41:$AK41="A")*8+($AE41:$AK41="J")*5+($AE41:$AK41="CEP")*4+($AE41:$AK41="CP")*6+($AE41:$AK41="CRO")*6+($AE41:$AK41="M+")*6+($AE41:$AK41="T+")*6+($AE41:$AK41="D+")*12+($AE41:$AK41="N+")*12+($AE41:$AK41="Dm+")*12+($AE41:$AK41="Dt+")*12+($AE41:$AK41="Tm-")*6+($AE41:$AK41="Mt-")*6)</f>
        <v/>
      </c>
      <c r="BC41" s="118">
        <f>BB41-MAX(0,IFERROR(INDEX(CADASTRO!$I$4:$I$80,MATCH($A41,CADASTRO!$A$4:$A$80,0)),$B41)-CONFIG!$B$50*(COUNTIF($AE41:$AK41,"AB")+COUNTIF($AE41:$AK41,"FE")+COUNTIF($AE41:$AK41,"LM")))</f>
        <v/>
      </c>
      <c r="BD41" s="117">
        <f>SUMPRODUCT(($AL41:$AL41="M")*6+($AL41:$AL41="T")*6+($AL41:$AL41="D")*12+($AL41:$AL41="N")*12+($AL41:$AL41="NT")*6+($AL41:$AL41="C")*10+($AL41:$AL41="A")*8+($AL41:$AL41="J")*5+($AL41:$AL41="CEP")*4+($AL41:$AL41="CP")*6+($AL41:$AL41="CRO")*6+($AL41:$AL41="M+")*6+($AL41:$AL41="T+")*6+($AL41:$AL41="D+")*12+($AL41:$AL41="N+")*12+($AL41:$AL41="Dm+")*12+($AL41:$AL41="Dt+")*12+($AL41:$AL41="Tm-")*6+($AL41:$AL41="Mt-")*6)+SUMPRODUCT(($AN41:$AS41="M")*6+($AN41:$AS41="T")*6+($AN41:$AS41="D")*12+($AN41:$AS41="N")*12+($AN41:$AS41="NT")*6+($AN41:$AS41="C")*10+($AN41:$AS41="A")*8+($AN41:$AS41="J")*5+($AN41:$AS41="CEP")*4+($AN41:$AS41="CP")*6+($AN41:$AS41="CRO")*6+($AN41:$AS41="M+")*6+($AN41:$AS41="T+")*6+($AN41:$AS41="D+")*12+($AN41:$AS41="N+")*12+($AN41:$AS41="Dm+")*12+($AN41:$AS41="Dt+")*12+($AN41:$AS41="Tm-")*6+($AN41:$AS41="Mt-")*6)</f>
        <v/>
      </c>
      <c r="BE41" s="118">
        <f>BD41-MAX(0,IFERROR(INDEX(CADASTRO!$I$4:$I$80,MATCH($A41,CADASTRO!$A$4:$A$80,0)),$B41)-CONFIG!$B$50*(COUNTIF($AL41:$AL41,"AB")+COUNTIF($AL41:$AL41,"FE")+COUNTIF($AL41:$AL41,"LM")+COUNTIF($AN41:$AS41,"AB")+COUNTIF($AN41:$AS41,"FE")+COUNTIF($AN41:$AS41,"LM")))</f>
        <v/>
      </c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ROUND(B41*4.29,0)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36">
        <f>IFERROR(INDEX(OUT!AH$8:AH$73,MATCH($A42,OUT!$A$8:$A$73,0))&amp;"","")</f>
        <v/>
      </c>
      <c r="D42" s="136">
        <f>IFERROR(INDEX(OUT!AI$8:AI$73,MATCH($A42,OUT!$A$8:$A$73,0))&amp;"","")</f>
        <v/>
      </c>
      <c r="E42" s="136">
        <f>IFERROR(INDEX(OUT!AJ$8:AJ$73,MATCH($A42,OUT!$A$8:$A$73,0))&amp;"","")</f>
        <v/>
      </c>
      <c r="F42" s="136">
        <f>IFERROR(INDEX(OUT!AK$8:AK$73,MATCH($A42,OUT!$A$8:$A$73,0))&amp;"","")</f>
        <v/>
      </c>
      <c r="G42" s="136">
        <f>IFERROR(INDEX(OUT!AL$8:AL$73,MATCH($A42,OUT!$A$8:$A$73,0))&amp;"","")</f>
        <v/>
      </c>
      <c r="H42" s="116">
        <f>IFERROR(INDEX(OUT!AM$8:AM$73,MATCH($A42,OUT!$A$8:$A$73,0))&amp;"","")</f>
        <v/>
      </c>
      <c r="I42" s="139" t="inlineStr">
        <is>
          <t>FE</t>
        </is>
      </c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  <c r="AB42" s="114" t="n"/>
      <c r="AC42" s="114" t="n"/>
      <c r="AD42" s="114" t="n"/>
      <c r="AE42" s="114" t="n"/>
      <c r="AF42" s="114" t="n"/>
      <c r="AG42" s="114" t="n"/>
      <c r="AH42" s="114" t="n"/>
      <c r="AI42" s="114" t="n"/>
      <c r="AJ42" s="114" t="n"/>
      <c r="AK42" s="114" t="n"/>
      <c r="AL42" s="114" t="n"/>
      <c r="AM42" s="100" t="n"/>
      <c r="AN42" s="136">
        <f>IFERROR(INDEX(DEZ!I$8:I$73,MATCH($A42,DEZ!$A$8:$A$73,0))&amp;"","")</f>
        <v/>
      </c>
      <c r="AO42" s="136">
        <f>IFERROR(INDEX(DEZ!J$8:J$73,MATCH($A42,DEZ!$A$8:$A$73,0))&amp;"","")</f>
        <v/>
      </c>
      <c r="AP42" s="136">
        <f>IFERROR(INDEX(DEZ!K$8:K$73,MATCH($A42,DEZ!$A$8:$A$73,0))&amp;"","")</f>
        <v/>
      </c>
      <c r="AQ42" s="136">
        <f>IFERROR(INDEX(DEZ!L$8:L$73,MATCH($A42,DEZ!$A$8:$A$73,0))&amp;"","")</f>
        <v/>
      </c>
      <c r="AR42" s="116">
        <f>IFERROR(INDEX(DEZ!M$8:M$73,MATCH($A42,DEZ!$A$8:$A$73,0))&amp;"","")</f>
        <v/>
      </c>
      <c r="AS42" s="116">
        <f>IFERROR(INDEX(DEZ!N$8:N$73,MATCH($A42,DEZ!$A$8:$A$73,0))&amp;"","")</f>
        <v/>
      </c>
      <c r="AT42" s="117">
        <f>SUMPRODUCT(($C42:$I42="M")*6+($C42:$I42="T")*6+($C42:$I42="D")*12+($C42:$I42="N")*12+($C42:$I42="NT")*6+($C42:$I42="C")*10+($C42:$I42="A")*8+($C42:$I42="J")*5+($C42:$I42="CEP")*4+($C42:$I42="CP")*6+($C42:$I42="CRO")*6+($C42:$I42="M+")*6+($C42:$I42="T+")*6+($C42:$I42="D+")*12+($C42:$I42="N+")*12+($C42:$I42="Dm+")*12+($C42:$I42="Dt+")*12+($C42:$I42="Tm-")*6+($C42:$I42="Mt-")*6)</f>
        <v/>
      </c>
      <c r="AU42" s="118">
        <f>AT42-MAX(0,IFERROR(INDEX(CADASTRO!$I$4:$I$80,MATCH($A42,CADASTRO!$A$4:$A$80,0)),$B42)-CONFIG!$B$50*(COUNTIF($C42:$I42,"AB")+COUNTIF($C42:$I42,"FE")+COUNTIF($C42:$I42,"LM")))</f>
        <v/>
      </c>
      <c r="AV42" s="117">
        <f>SUMPRODUCT(($J42:$P42="M")*6+($J42:$P42="T")*6+($J42:$P42="D")*12+($J42:$P42="N")*12+($J42:$P42="NT")*6+($J42:$P42="C")*10+($J42:$P42="A")*8+($J42:$P42="J")*5+($J42:$P42="CEP")*4+($J42:$P42="CP")*6+($J42:$P42="CRO")*6+($J42:$P42="M+")*6+($J42:$P42="T+")*6+($J42:$P42="D+")*12+($J42:$P42="N+")*12+($J42:$P42="Dm+")*12+($J42:$P42="Dt+")*12+($J42:$P42="Tm-")*6+($J42:$P42="Mt-")*6)</f>
        <v/>
      </c>
      <c r="AW42" s="118">
        <f>AV42-MAX(0,IFERROR(INDEX(CADASTRO!$I$4:$I$80,MATCH($A42,CADASTRO!$A$4:$A$80,0)),$B42)-CONFIG!$B$50*(COUNTIF($J42:$P42,"AB")+COUNTIF($J42:$P42,"FE")+COUNTIF($J42:$P42,"LM")))</f>
        <v/>
      </c>
      <c r="AX42" s="117">
        <f>SUMPRODUCT(($Q42:$W42="M")*6+($Q42:$W42="T")*6+($Q42:$W42="D")*12+($Q42:$W42="N")*12+($Q42:$W42="NT")*6+($Q42:$W42="C")*10+($Q42:$W42="A")*8+($Q42:$W42="J")*5+($Q42:$W42="CEP")*4+($Q42:$W42="CP")*6+($Q42:$W42="CRO")*6+($Q42:$W42="M+")*6+($Q42:$W42="T+")*6+($Q42:$W42="D+")*12+($Q42:$W42="N+")*12+($Q42:$W42="Dm+")*12+($Q42:$W42="Dt+")*12+($Q42:$W42="Tm-")*6+($Q42:$W42="Mt-")*6)</f>
        <v/>
      </c>
      <c r="AY42" s="118">
        <f>AX42-MAX(0,IFERROR(INDEX(CADASTRO!$I$4:$I$80,MATCH($A42,CADASTRO!$A$4:$A$80,0)),$B42)-CONFIG!$B$50*(COUNTIF($Q42:$W42,"AB")+COUNTIF($Q42:$W42,"FE")+COUNTIF($Q42:$W42,"LM")))</f>
        <v/>
      </c>
      <c r="AZ42" s="117">
        <f>SUMPRODUCT(($X42:$AD42="M")*6+($X42:$AD42="T")*6+($X42:$AD42="D")*12+($X42:$AD42="N")*12+($X42:$AD42="NT")*6+($X42:$AD42="C")*10+($X42:$AD42="A")*8+($X42:$AD42="J")*5+($X42:$AD42="CEP")*4+($X42:$AD42="CP")*6+($X42:$AD42="CRO")*6+($X42:$AD42="M+")*6+($X42:$AD42="T+")*6+($X42:$AD42="D+")*12+($X42:$AD42="N+")*12+($X42:$AD42="Dm+")*12+($X42:$AD42="Dt+")*12+($X42:$AD42="Tm-")*6+($X42:$AD42="Mt-")*6)</f>
        <v/>
      </c>
      <c r="BA42" s="118">
        <f>AZ42-MAX(0,IFERROR(INDEX(CADASTRO!$I$4:$I$80,MATCH($A42,CADASTRO!$A$4:$A$80,0)),$B42)-CONFIG!$B$50*(COUNTIF($X42:$AD42,"AB")+COUNTIF($X42:$AD42,"FE")+COUNTIF($X42:$AD42,"LM")))</f>
        <v/>
      </c>
      <c r="BB42" s="117">
        <f>SUMPRODUCT(($AE42:$AK42="M")*6+($AE42:$AK42="T")*6+($AE42:$AK42="D")*12+($AE42:$AK42="N")*12+($AE42:$AK42="NT")*6+($AE42:$AK42="C")*10+($AE42:$AK42="A")*8+($AE42:$AK42="J")*5+($AE42:$AK42="CEP")*4+($AE42:$AK42="CP")*6+($AE42:$AK42="CRO")*6+($AE42:$AK42="M+")*6+($AE42:$AK42="T+")*6+($AE42:$AK42="D+")*12+($AE42:$AK42="N+")*12+($AE42:$AK42="Dm+")*12+($AE42:$AK42="Dt+")*12+($AE42:$AK42="Tm-")*6+($AE42:$AK42="Mt-")*6)</f>
        <v/>
      </c>
      <c r="BC42" s="118">
        <f>BB42-MAX(0,IFERROR(INDEX(CADASTRO!$I$4:$I$80,MATCH($A42,CADASTRO!$A$4:$A$80,0)),$B42)-CONFIG!$B$50*(COUNTIF($AE42:$AK42,"AB")+COUNTIF($AE42:$AK42,"FE")+COUNTIF($AE42:$AK42,"LM")))</f>
        <v/>
      </c>
      <c r="BD42" s="117">
        <f>SUMPRODUCT(($AL42:$AL42="M")*6+($AL42:$AL42="T")*6+($AL42:$AL42="D")*12+($AL42:$AL42="N")*12+($AL42:$AL42="NT")*6+($AL42:$AL42="C")*10+($AL42:$AL42="A")*8+($AL42:$AL42="J")*5+($AL42:$AL42="CEP")*4+($AL42:$AL42="CP")*6+($AL42:$AL42="CRO")*6+($AL42:$AL42="M+")*6+($AL42:$AL42="T+")*6+($AL42:$AL42="D+")*12+($AL42:$AL42="N+")*12+($AL42:$AL42="Dm+")*12+($AL42:$AL42="Dt+")*12+($AL42:$AL42="Tm-")*6+($AL42:$AL42="Mt-")*6)+SUMPRODUCT(($AN42:$AS42="M")*6+($AN42:$AS42="T")*6+($AN42:$AS42="D")*12+($AN42:$AS42="N")*12+($AN42:$AS42="NT")*6+($AN42:$AS42="C")*10+($AN42:$AS42="A")*8+($AN42:$AS42="J")*5+($AN42:$AS42="CEP")*4+($AN42:$AS42="CP")*6+($AN42:$AS42="CRO")*6+($AN42:$AS42="M+")*6+($AN42:$AS42="T+")*6+($AN42:$AS42="D+")*12+($AN42:$AS42="N+")*12+($AN42:$AS42="Dm+")*12+($AN42:$AS42="Dt+")*12+($AN42:$AS42="Tm-")*6+($AN42:$AS42="Mt-")*6)</f>
        <v/>
      </c>
      <c r="BE42" s="118">
        <f>BD42-MAX(0,IFERROR(INDEX(CADASTRO!$I$4:$I$80,MATCH($A42,CADASTRO!$A$4:$A$80,0)),$B42)-CONFIG!$B$50*(COUNTIF($AL42:$AL42,"AB")+COUNTIF($AL42:$AL42,"FE")+COUNTIF($AL42:$AL42,"LM")+COUNTIF($AN42:$AS42,"AB")+COUNTIF($AN42:$AS42,"FE")+COUNTIF($AN42:$AS42,"LM")))</f>
        <v/>
      </c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ROUND(B42*4.29,0)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36">
        <f>IFERROR(INDEX(OUT!AH$8:AH$73,MATCH($A43,OUT!$A$8:$A$73,0))&amp;"","")</f>
        <v/>
      </c>
      <c r="D43" s="136">
        <f>IFERROR(INDEX(OUT!AI$8:AI$73,MATCH($A43,OUT!$A$8:$A$73,0))&amp;"","")</f>
        <v/>
      </c>
      <c r="E43" s="136">
        <f>IFERROR(INDEX(OUT!AJ$8:AJ$73,MATCH($A43,OUT!$A$8:$A$73,0))&amp;"","")</f>
        <v/>
      </c>
      <c r="F43" s="136">
        <f>IFERROR(INDEX(OUT!AK$8:AK$73,MATCH($A43,OUT!$A$8:$A$73,0))&amp;"","")</f>
        <v/>
      </c>
      <c r="G43" s="136">
        <f>IFERROR(INDEX(OUT!AL$8:AL$73,MATCH($A43,OUT!$A$8:$A$73,0))&amp;"","")</f>
        <v/>
      </c>
      <c r="H43" s="116">
        <f>IFERROR(INDEX(OUT!AM$8:AM$73,MATCH($A43,OUT!$A$8:$A$73,0))&amp;"","")</f>
        <v/>
      </c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  <c r="AB43" s="114" t="n"/>
      <c r="AC43" s="114" t="n"/>
      <c r="AD43" s="114" t="n"/>
      <c r="AE43" s="114" t="n"/>
      <c r="AF43" s="114" t="n"/>
      <c r="AG43" s="114" t="n"/>
      <c r="AH43" s="114" t="n"/>
      <c r="AI43" s="114" t="n"/>
      <c r="AJ43" s="114" t="n"/>
      <c r="AK43" s="114" t="n"/>
      <c r="AL43" s="114" t="n"/>
      <c r="AM43" s="100" t="n"/>
      <c r="AN43" s="136">
        <f>IFERROR(INDEX(DEZ!I$8:I$73,MATCH($A43,DEZ!$A$8:$A$73,0))&amp;"","")</f>
        <v/>
      </c>
      <c r="AO43" s="136">
        <f>IFERROR(INDEX(DEZ!J$8:J$73,MATCH($A43,DEZ!$A$8:$A$73,0))&amp;"","")</f>
        <v/>
      </c>
      <c r="AP43" s="136">
        <f>IFERROR(INDEX(DEZ!K$8:K$73,MATCH($A43,DEZ!$A$8:$A$73,0))&amp;"","")</f>
        <v/>
      </c>
      <c r="AQ43" s="136">
        <f>IFERROR(INDEX(DEZ!L$8:L$73,MATCH($A43,DEZ!$A$8:$A$73,0))&amp;"","")</f>
        <v/>
      </c>
      <c r="AR43" s="116">
        <f>IFERROR(INDEX(DEZ!M$8:M$73,MATCH($A43,DEZ!$A$8:$A$73,0))&amp;"","")</f>
        <v/>
      </c>
      <c r="AS43" s="116">
        <f>IFERROR(INDEX(DEZ!N$8:N$73,MATCH($A43,DEZ!$A$8:$A$73,0))&amp;"","")</f>
        <v/>
      </c>
      <c r="AT43" s="117">
        <f>SUMPRODUCT(($C43:$I43="M")*6+($C43:$I43="T")*6+($C43:$I43="D")*12+($C43:$I43="N")*12+($C43:$I43="NT")*6+($C43:$I43="C")*10+($C43:$I43="A")*8+($C43:$I43="J")*5+($C43:$I43="CEP")*4+($C43:$I43="CP")*6+($C43:$I43="CRO")*6+($C43:$I43="M+")*6+($C43:$I43="T+")*6+($C43:$I43="D+")*12+($C43:$I43="N+")*12+($C43:$I43="Dm+")*12+($C43:$I43="Dt+")*12+($C43:$I43="Tm-")*6+($C43:$I43="Mt-")*6)</f>
        <v/>
      </c>
      <c r="AU43" s="118">
        <f>AT43-MAX(0,IFERROR(INDEX(CADASTRO!$I$4:$I$80,MATCH($A43,CADASTRO!$A$4:$A$80,0)),$B43)-CONFIG!$B$50*(COUNTIF($C43:$I43,"AB")+COUNTIF($C43:$I43,"FE")+COUNTIF($C43:$I43,"LM")))</f>
        <v/>
      </c>
      <c r="AV43" s="117">
        <f>SUMPRODUCT(($J43:$P43="M")*6+($J43:$P43="T")*6+($J43:$P43="D")*12+($J43:$P43="N")*12+($J43:$P43="NT")*6+($J43:$P43="C")*10+($J43:$P43="A")*8+($J43:$P43="J")*5+($J43:$P43="CEP")*4+($J43:$P43="CP")*6+($J43:$P43="CRO")*6+($J43:$P43="M+")*6+($J43:$P43="T+")*6+($J43:$P43="D+")*12+($J43:$P43="N+")*12+($J43:$P43="Dm+")*12+($J43:$P43="Dt+")*12+($J43:$P43="Tm-")*6+($J43:$P43="Mt-")*6)</f>
        <v/>
      </c>
      <c r="AW43" s="118">
        <f>AV43-MAX(0,IFERROR(INDEX(CADASTRO!$I$4:$I$80,MATCH($A43,CADASTRO!$A$4:$A$80,0)),$B43)-CONFIG!$B$50*(COUNTIF($J43:$P43,"AB")+COUNTIF($J43:$P43,"FE")+COUNTIF($J43:$P43,"LM")))</f>
        <v/>
      </c>
      <c r="AX43" s="117">
        <f>SUMPRODUCT(($Q43:$W43="M")*6+($Q43:$W43="T")*6+($Q43:$W43="D")*12+($Q43:$W43="N")*12+($Q43:$W43="NT")*6+($Q43:$W43="C")*10+($Q43:$W43="A")*8+($Q43:$W43="J")*5+($Q43:$W43="CEP")*4+($Q43:$W43="CP")*6+($Q43:$W43="CRO")*6+($Q43:$W43="M+")*6+($Q43:$W43="T+")*6+($Q43:$W43="D+")*12+($Q43:$W43="N+")*12+($Q43:$W43="Dm+")*12+($Q43:$W43="Dt+")*12+($Q43:$W43="Tm-")*6+($Q43:$W43="Mt-")*6)</f>
        <v/>
      </c>
      <c r="AY43" s="118">
        <f>AX43-MAX(0,IFERROR(INDEX(CADASTRO!$I$4:$I$80,MATCH($A43,CADASTRO!$A$4:$A$80,0)),$B43)-CONFIG!$B$50*(COUNTIF($Q43:$W43,"AB")+COUNTIF($Q43:$W43,"FE")+COUNTIF($Q43:$W43,"LM")))</f>
        <v/>
      </c>
      <c r="AZ43" s="117">
        <f>SUMPRODUCT(($X43:$AD43="M")*6+($X43:$AD43="T")*6+($X43:$AD43="D")*12+($X43:$AD43="N")*12+($X43:$AD43="NT")*6+($X43:$AD43="C")*10+($X43:$AD43="A")*8+($X43:$AD43="J")*5+($X43:$AD43="CEP")*4+($X43:$AD43="CP")*6+($X43:$AD43="CRO")*6+($X43:$AD43="M+")*6+($X43:$AD43="T+")*6+($X43:$AD43="D+")*12+($X43:$AD43="N+")*12+($X43:$AD43="Dm+")*12+($X43:$AD43="Dt+")*12+($X43:$AD43="Tm-")*6+($X43:$AD43="Mt-")*6)</f>
        <v/>
      </c>
      <c r="BA43" s="118">
        <f>AZ43-MAX(0,IFERROR(INDEX(CADASTRO!$I$4:$I$80,MATCH($A43,CADASTRO!$A$4:$A$80,0)),$B43)-CONFIG!$B$50*(COUNTIF($X43:$AD43,"AB")+COUNTIF($X43:$AD43,"FE")+COUNTIF($X43:$AD43,"LM")))</f>
        <v/>
      </c>
      <c r="BB43" s="117">
        <f>SUMPRODUCT(($AE43:$AK43="M")*6+($AE43:$AK43="T")*6+($AE43:$AK43="D")*12+($AE43:$AK43="N")*12+($AE43:$AK43="NT")*6+($AE43:$AK43="C")*10+($AE43:$AK43="A")*8+($AE43:$AK43="J")*5+($AE43:$AK43="CEP")*4+($AE43:$AK43="CP")*6+($AE43:$AK43="CRO")*6+($AE43:$AK43="M+")*6+($AE43:$AK43="T+")*6+($AE43:$AK43="D+")*12+($AE43:$AK43="N+")*12+($AE43:$AK43="Dm+")*12+($AE43:$AK43="Dt+")*12+($AE43:$AK43="Tm-")*6+($AE43:$AK43="Mt-")*6)</f>
        <v/>
      </c>
      <c r="BC43" s="118">
        <f>BB43-MAX(0,IFERROR(INDEX(CADASTRO!$I$4:$I$80,MATCH($A43,CADASTRO!$A$4:$A$80,0)),$B43)-CONFIG!$B$50*(COUNTIF($AE43:$AK43,"AB")+COUNTIF($AE43:$AK43,"FE")+COUNTIF($AE43:$AK43,"LM")))</f>
        <v/>
      </c>
      <c r="BD43" s="117">
        <f>SUMPRODUCT(($AL43:$AL43="M")*6+($AL43:$AL43="T")*6+($AL43:$AL43="D")*12+($AL43:$AL43="N")*12+($AL43:$AL43="NT")*6+($AL43:$AL43="C")*10+($AL43:$AL43="A")*8+($AL43:$AL43="J")*5+($AL43:$AL43="CEP")*4+($AL43:$AL43="CP")*6+($AL43:$AL43="CRO")*6+($AL43:$AL43="M+")*6+($AL43:$AL43="T+")*6+($AL43:$AL43="D+")*12+($AL43:$AL43="N+")*12+($AL43:$AL43="Dm+")*12+($AL43:$AL43="Dt+")*12+($AL43:$AL43="Tm-")*6+($AL43:$AL43="Mt-")*6)+SUMPRODUCT(($AN43:$AS43="M")*6+($AN43:$AS43="T")*6+($AN43:$AS43="D")*12+($AN43:$AS43="N")*12+($AN43:$AS43="NT")*6+($AN43:$AS43="C")*10+($AN43:$AS43="A")*8+($AN43:$AS43="J")*5+($AN43:$AS43="CEP")*4+($AN43:$AS43="CP")*6+($AN43:$AS43="CRO")*6+($AN43:$AS43="M+")*6+($AN43:$AS43="T+")*6+($AN43:$AS43="D+")*12+($AN43:$AS43="N+")*12+($AN43:$AS43="Dm+")*12+($AN43:$AS43="Dt+")*12+($AN43:$AS43="Tm-")*6+($AN43:$AS43="Mt-")*6)</f>
        <v/>
      </c>
      <c r="BE43" s="118">
        <f>BD43-MAX(0,IFERROR(INDEX(CADASTRO!$I$4:$I$80,MATCH($A43,CADASTRO!$A$4:$A$80,0)),$B43)-CONFIG!$B$50*(COUNTIF($AL43:$AL43,"AB")+COUNTIF($AL43:$AL43,"FE")+COUNTIF($AL43:$AL43,"LM")+COUNTIF($AN43:$AS43,"AB")+COUNTIF($AN43:$AS43,"FE")+COUNTIF($AN43:$AS43,"LM")))</f>
        <v/>
      </c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ROUND(B43*4.29,0)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36">
        <f>IFERROR(INDEX(OUT!AH$8:AH$73,MATCH($A44,OUT!$A$8:$A$73,0))&amp;"","")</f>
        <v/>
      </c>
      <c r="D44" s="136">
        <f>IFERROR(INDEX(OUT!AI$8:AI$73,MATCH($A44,OUT!$A$8:$A$73,0))&amp;"","")</f>
        <v/>
      </c>
      <c r="E44" s="136">
        <f>IFERROR(INDEX(OUT!AJ$8:AJ$73,MATCH($A44,OUT!$A$8:$A$73,0))&amp;"","")</f>
        <v/>
      </c>
      <c r="F44" s="136">
        <f>IFERROR(INDEX(OUT!AK$8:AK$73,MATCH($A44,OUT!$A$8:$A$73,0))&amp;"","")</f>
        <v/>
      </c>
      <c r="G44" s="136">
        <f>IFERROR(INDEX(OUT!AL$8:AL$73,MATCH($A44,OUT!$A$8:$A$73,0))&amp;"","")</f>
        <v/>
      </c>
      <c r="H44" s="116">
        <f>IFERROR(INDEX(OUT!AM$8:AM$73,MATCH($A44,OUT!$A$8:$A$73,0))&amp;"","")</f>
        <v/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4" t="n"/>
      <c r="AF44" s="114" t="n"/>
      <c r="AG44" s="114" t="n"/>
      <c r="AH44" s="114" t="n"/>
      <c r="AI44" s="114" t="n"/>
      <c r="AJ44" s="114" t="n"/>
      <c r="AK44" s="114" t="n"/>
      <c r="AL44" s="114" t="n"/>
      <c r="AM44" s="100" t="n"/>
      <c r="AN44" s="136">
        <f>IFERROR(INDEX(DEZ!I$8:I$73,MATCH($A44,DEZ!$A$8:$A$73,0))&amp;"","")</f>
        <v/>
      </c>
      <c r="AO44" s="136">
        <f>IFERROR(INDEX(DEZ!J$8:J$73,MATCH($A44,DEZ!$A$8:$A$73,0))&amp;"","")</f>
        <v/>
      </c>
      <c r="AP44" s="136">
        <f>IFERROR(INDEX(DEZ!K$8:K$73,MATCH($A44,DEZ!$A$8:$A$73,0))&amp;"","")</f>
        <v/>
      </c>
      <c r="AQ44" s="136">
        <f>IFERROR(INDEX(DEZ!L$8:L$73,MATCH($A44,DEZ!$A$8:$A$73,0))&amp;"","")</f>
        <v/>
      </c>
      <c r="AR44" s="116">
        <f>IFERROR(INDEX(DEZ!M$8:M$73,MATCH($A44,DEZ!$A$8:$A$73,0))&amp;"","")</f>
        <v/>
      </c>
      <c r="AS44" s="116">
        <f>IFERROR(INDEX(DEZ!N$8:N$73,MATCH($A44,DEZ!$A$8:$A$73,0))&amp;"","")</f>
        <v/>
      </c>
      <c r="AT44" s="117">
        <f>SUMPRODUCT(($C44:$I44="M")*6+($C44:$I44="T")*6+($C44:$I44="D")*12+($C44:$I44="N")*12+($C44:$I44="NT")*6+($C44:$I44="C")*10+($C44:$I44="A")*8+($C44:$I44="J")*5+($C44:$I44="CEP")*4+($C44:$I44="CP")*6+($C44:$I44="CRO")*6+($C44:$I44="M+")*6+($C44:$I44="T+")*6+($C44:$I44="D+")*12+($C44:$I44="N+")*12+($C44:$I44="Dm+")*12+($C44:$I44="Dt+")*12+($C44:$I44="Tm-")*6+($C44:$I44="Mt-")*6)</f>
        <v/>
      </c>
      <c r="AU44" s="118">
        <f>AT44-MAX(0,IFERROR(INDEX(CADASTRO!$I$4:$I$80,MATCH($A44,CADASTRO!$A$4:$A$80,0)),$B44)-CONFIG!$B$50*(COUNTIF($C44:$I44,"AB")+COUNTIF($C44:$I44,"FE")+COUNTIF($C44:$I44,"LM")))</f>
        <v/>
      </c>
      <c r="AV44" s="117">
        <f>SUMPRODUCT(($J44:$P44="M")*6+($J44:$P44="T")*6+($J44:$P44="D")*12+($J44:$P44="N")*12+($J44:$P44="NT")*6+($J44:$P44="C")*10+($J44:$P44="A")*8+($J44:$P44="J")*5+($J44:$P44="CEP")*4+($J44:$P44="CP")*6+($J44:$P44="CRO")*6+($J44:$P44="M+")*6+($J44:$P44="T+")*6+($J44:$P44="D+")*12+($J44:$P44="N+")*12+($J44:$P44="Dm+")*12+($J44:$P44="Dt+")*12+($J44:$P44="Tm-")*6+($J44:$P44="Mt-")*6)</f>
        <v/>
      </c>
      <c r="AW44" s="118">
        <f>AV44-MAX(0,IFERROR(INDEX(CADASTRO!$I$4:$I$80,MATCH($A44,CADASTRO!$A$4:$A$80,0)),$B44)-CONFIG!$B$50*(COUNTIF($J44:$P44,"AB")+COUNTIF($J44:$P44,"FE")+COUNTIF($J44:$P44,"LM")))</f>
        <v/>
      </c>
      <c r="AX44" s="117">
        <f>SUMPRODUCT(($Q44:$W44="M")*6+($Q44:$W44="T")*6+($Q44:$W44="D")*12+($Q44:$W44="N")*12+($Q44:$W44="NT")*6+($Q44:$W44="C")*10+($Q44:$W44="A")*8+($Q44:$W44="J")*5+($Q44:$W44="CEP")*4+($Q44:$W44="CP")*6+($Q44:$W44="CRO")*6+($Q44:$W44="M+")*6+($Q44:$W44="T+")*6+($Q44:$W44="D+")*12+($Q44:$W44="N+")*12+($Q44:$W44="Dm+")*12+($Q44:$W44="Dt+")*12+($Q44:$W44="Tm-")*6+($Q44:$W44="Mt-")*6)</f>
        <v/>
      </c>
      <c r="AY44" s="118">
        <f>AX44-MAX(0,IFERROR(INDEX(CADASTRO!$I$4:$I$80,MATCH($A44,CADASTRO!$A$4:$A$80,0)),$B44)-CONFIG!$B$50*(COUNTIF($Q44:$W44,"AB")+COUNTIF($Q44:$W44,"FE")+COUNTIF($Q44:$W44,"LM")))</f>
        <v/>
      </c>
      <c r="AZ44" s="117">
        <f>SUMPRODUCT(($X44:$AD44="M")*6+($X44:$AD44="T")*6+($X44:$AD44="D")*12+($X44:$AD44="N")*12+($X44:$AD44="NT")*6+($X44:$AD44="C")*10+($X44:$AD44="A")*8+($X44:$AD44="J")*5+($X44:$AD44="CEP")*4+($X44:$AD44="CP")*6+($X44:$AD44="CRO")*6+($X44:$AD44="M+")*6+($X44:$AD44="T+")*6+($X44:$AD44="D+")*12+($X44:$AD44="N+")*12+($X44:$AD44="Dm+")*12+($X44:$AD44="Dt+")*12+($X44:$AD44="Tm-")*6+($X44:$AD44="Mt-")*6)</f>
        <v/>
      </c>
      <c r="BA44" s="118">
        <f>AZ44-MAX(0,IFERROR(INDEX(CADASTRO!$I$4:$I$80,MATCH($A44,CADASTRO!$A$4:$A$80,0)),$B44)-CONFIG!$B$50*(COUNTIF($X44:$AD44,"AB")+COUNTIF($X44:$AD44,"FE")+COUNTIF($X44:$AD44,"LM")))</f>
        <v/>
      </c>
      <c r="BB44" s="117">
        <f>SUMPRODUCT(($AE44:$AK44="M")*6+($AE44:$AK44="T")*6+($AE44:$AK44="D")*12+($AE44:$AK44="N")*12+($AE44:$AK44="NT")*6+($AE44:$AK44="C")*10+($AE44:$AK44="A")*8+($AE44:$AK44="J")*5+($AE44:$AK44="CEP")*4+($AE44:$AK44="CP")*6+($AE44:$AK44="CRO")*6+($AE44:$AK44="M+")*6+($AE44:$AK44="T+")*6+($AE44:$AK44="D+")*12+($AE44:$AK44="N+")*12+($AE44:$AK44="Dm+")*12+($AE44:$AK44="Dt+")*12+($AE44:$AK44="Tm-")*6+($AE44:$AK44="Mt-")*6)</f>
        <v/>
      </c>
      <c r="BC44" s="118">
        <f>BB44-MAX(0,IFERROR(INDEX(CADASTRO!$I$4:$I$80,MATCH($A44,CADASTRO!$A$4:$A$80,0)),$B44)-CONFIG!$B$50*(COUNTIF($AE44:$AK44,"AB")+COUNTIF($AE44:$AK44,"FE")+COUNTIF($AE44:$AK44,"LM")))</f>
        <v/>
      </c>
      <c r="BD44" s="117">
        <f>SUMPRODUCT(($AL44:$AL44="M")*6+($AL44:$AL44="T")*6+($AL44:$AL44="D")*12+($AL44:$AL44="N")*12+($AL44:$AL44="NT")*6+($AL44:$AL44="C")*10+($AL44:$AL44="A")*8+($AL44:$AL44="J")*5+($AL44:$AL44="CEP")*4+($AL44:$AL44="CP")*6+($AL44:$AL44="CRO")*6+($AL44:$AL44="M+")*6+($AL44:$AL44="T+")*6+($AL44:$AL44="D+")*12+($AL44:$AL44="N+")*12+($AL44:$AL44="Dm+")*12+($AL44:$AL44="Dt+")*12+($AL44:$AL44="Tm-")*6+($AL44:$AL44="Mt-")*6)+SUMPRODUCT(($AN44:$AS44="M")*6+($AN44:$AS44="T")*6+($AN44:$AS44="D")*12+($AN44:$AS44="N")*12+($AN44:$AS44="NT")*6+($AN44:$AS44="C")*10+($AN44:$AS44="A")*8+($AN44:$AS44="J")*5+($AN44:$AS44="CEP")*4+($AN44:$AS44="CP")*6+($AN44:$AS44="CRO")*6+($AN44:$AS44="M+")*6+($AN44:$AS44="T+")*6+($AN44:$AS44="D+")*12+($AN44:$AS44="N+")*12+($AN44:$AS44="Dm+")*12+($AN44:$AS44="Dt+")*12+($AN44:$AS44="Tm-")*6+($AN44:$AS44="Mt-")*6)</f>
        <v/>
      </c>
      <c r="BE44" s="118">
        <f>BD44-MAX(0,IFERROR(INDEX(CADASTRO!$I$4:$I$80,MATCH($A44,CADASTRO!$A$4:$A$80,0)),$B44)-CONFIG!$B$50*(COUNTIF($AL44:$AL44,"AB")+COUNTIF($AL44:$AL44,"FE")+COUNTIF($AL44:$AL44,"LM")+COUNTIF($AN44:$AS44,"AB")+COUNTIF($AN44:$AS44,"FE")+COUNTIF($AN44:$AS44,"LM")))</f>
        <v/>
      </c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ROUND(B44*4.29,0)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36">
        <f>IFERROR(INDEX(OUT!AH$8:AH$73,MATCH($A45,OUT!$A$8:$A$73,0))&amp;"","")</f>
        <v/>
      </c>
      <c r="D45" s="136">
        <f>IFERROR(INDEX(OUT!AI$8:AI$73,MATCH($A45,OUT!$A$8:$A$73,0))&amp;"","")</f>
        <v/>
      </c>
      <c r="E45" s="136">
        <f>IFERROR(INDEX(OUT!AJ$8:AJ$73,MATCH($A45,OUT!$A$8:$A$73,0))&amp;"","")</f>
        <v/>
      </c>
      <c r="F45" s="136">
        <f>IFERROR(INDEX(OUT!AK$8:AK$73,MATCH($A45,OUT!$A$8:$A$73,0))&amp;"","")</f>
        <v/>
      </c>
      <c r="G45" s="136">
        <f>IFERROR(INDEX(OUT!AL$8:AL$73,MATCH($A45,OUT!$A$8:$A$73,0))&amp;"","")</f>
        <v/>
      </c>
      <c r="H45" s="116">
        <f>IFERROR(INDEX(OUT!AM$8:AM$73,MATCH($A45,OUT!$A$8:$A$73,0))&amp;"","")</f>
        <v/>
      </c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  <c r="AB45" s="114" t="n"/>
      <c r="AC45" s="114" t="n"/>
      <c r="AD45" s="114" t="n"/>
      <c r="AE45" s="114" t="n"/>
      <c r="AF45" s="114" t="n"/>
      <c r="AG45" s="114" t="n"/>
      <c r="AH45" s="114" t="n"/>
      <c r="AI45" s="114" t="n"/>
      <c r="AJ45" s="114" t="n"/>
      <c r="AK45" s="114" t="n"/>
      <c r="AL45" s="114" t="n"/>
      <c r="AM45" s="100" t="n"/>
      <c r="AN45" s="136">
        <f>IFERROR(INDEX(DEZ!I$8:I$73,MATCH($A45,DEZ!$A$8:$A$73,0))&amp;"","")</f>
        <v/>
      </c>
      <c r="AO45" s="136">
        <f>IFERROR(INDEX(DEZ!J$8:J$73,MATCH($A45,DEZ!$A$8:$A$73,0))&amp;"","")</f>
        <v/>
      </c>
      <c r="AP45" s="136">
        <f>IFERROR(INDEX(DEZ!K$8:K$73,MATCH($A45,DEZ!$A$8:$A$73,0))&amp;"","")</f>
        <v/>
      </c>
      <c r="AQ45" s="136">
        <f>IFERROR(INDEX(DEZ!L$8:L$73,MATCH($A45,DEZ!$A$8:$A$73,0))&amp;"","")</f>
        <v/>
      </c>
      <c r="AR45" s="116">
        <f>IFERROR(INDEX(DEZ!M$8:M$73,MATCH($A45,DEZ!$A$8:$A$73,0))&amp;"","")</f>
        <v/>
      </c>
      <c r="AS45" s="116">
        <f>IFERROR(INDEX(DEZ!N$8:N$73,MATCH($A45,DEZ!$A$8:$A$73,0))&amp;"","")</f>
        <v/>
      </c>
      <c r="AT45" s="117">
        <f>SUMPRODUCT(($C45:$I45="M")*6+($C45:$I45="T")*6+($C45:$I45="D")*12+($C45:$I45="N")*12+($C45:$I45="NT")*6+($C45:$I45="C")*10+($C45:$I45="A")*8+($C45:$I45="J")*5+($C45:$I45="CEP")*4+($C45:$I45="CP")*6+($C45:$I45="CRO")*6+($C45:$I45="M+")*6+($C45:$I45="T+")*6+($C45:$I45="D+")*12+($C45:$I45="N+")*12+($C45:$I45="Dm+")*12+($C45:$I45="Dt+")*12+($C45:$I45="Tm-")*6+($C45:$I45="Mt-")*6)</f>
        <v/>
      </c>
      <c r="AU45" s="118">
        <f>AT45-MAX(0,IFERROR(INDEX(CADASTRO!$I$4:$I$80,MATCH($A45,CADASTRO!$A$4:$A$80,0)),$B45)-CONFIG!$B$50*(COUNTIF($C45:$I45,"AB")+COUNTIF($C45:$I45,"FE")+COUNTIF($C45:$I45,"LM")))</f>
        <v/>
      </c>
      <c r="AV45" s="117">
        <f>SUMPRODUCT(($J45:$P45="M")*6+($J45:$P45="T")*6+($J45:$P45="D")*12+($J45:$P45="N")*12+($J45:$P45="NT")*6+($J45:$P45="C")*10+($J45:$P45="A")*8+($J45:$P45="J")*5+($J45:$P45="CEP")*4+($J45:$P45="CP")*6+($J45:$P45="CRO")*6+($J45:$P45="M+")*6+($J45:$P45="T+")*6+($J45:$P45="D+")*12+($J45:$P45="N+")*12+($J45:$P45="Dm+")*12+($J45:$P45="Dt+")*12+($J45:$P45="Tm-")*6+($J45:$P45="Mt-")*6)</f>
        <v/>
      </c>
      <c r="AW45" s="118">
        <f>AV45-MAX(0,IFERROR(INDEX(CADASTRO!$I$4:$I$80,MATCH($A45,CADASTRO!$A$4:$A$80,0)),$B45)-CONFIG!$B$50*(COUNTIF($J45:$P45,"AB")+COUNTIF($J45:$P45,"FE")+COUNTIF($J45:$P45,"LM")))</f>
        <v/>
      </c>
      <c r="AX45" s="117">
        <f>SUMPRODUCT(($Q45:$W45="M")*6+($Q45:$W45="T")*6+($Q45:$W45="D")*12+($Q45:$W45="N")*12+($Q45:$W45="NT")*6+($Q45:$W45="C")*10+($Q45:$W45="A")*8+($Q45:$W45="J")*5+($Q45:$W45="CEP")*4+($Q45:$W45="CP")*6+($Q45:$W45="CRO")*6+($Q45:$W45="M+")*6+($Q45:$W45="T+")*6+($Q45:$W45="D+")*12+($Q45:$W45="N+")*12+($Q45:$W45="Dm+")*12+($Q45:$W45="Dt+")*12+($Q45:$W45="Tm-")*6+($Q45:$W45="Mt-")*6)</f>
        <v/>
      </c>
      <c r="AY45" s="118">
        <f>AX45-MAX(0,IFERROR(INDEX(CADASTRO!$I$4:$I$80,MATCH($A45,CADASTRO!$A$4:$A$80,0)),$B45)-CONFIG!$B$50*(COUNTIF($Q45:$W45,"AB")+COUNTIF($Q45:$W45,"FE")+COUNTIF($Q45:$W45,"LM")))</f>
        <v/>
      </c>
      <c r="AZ45" s="117">
        <f>SUMPRODUCT(($X45:$AD45="M")*6+($X45:$AD45="T")*6+($X45:$AD45="D")*12+($X45:$AD45="N")*12+($X45:$AD45="NT")*6+($X45:$AD45="C")*10+($X45:$AD45="A")*8+($X45:$AD45="J")*5+($X45:$AD45="CEP")*4+($X45:$AD45="CP")*6+($X45:$AD45="CRO")*6+($X45:$AD45="M+")*6+($X45:$AD45="T+")*6+($X45:$AD45="D+")*12+($X45:$AD45="N+")*12+($X45:$AD45="Dm+")*12+($X45:$AD45="Dt+")*12+($X45:$AD45="Tm-")*6+($X45:$AD45="Mt-")*6)</f>
        <v/>
      </c>
      <c r="BA45" s="118">
        <f>AZ45-MAX(0,IFERROR(INDEX(CADASTRO!$I$4:$I$80,MATCH($A45,CADASTRO!$A$4:$A$80,0)),$B45)-CONFIG!$B$50*(COUNTIF($X45:$AD45,"AB")+COUNTIF($X45:$AD45,"FE")+COUNTIF($X45:$AD45,"LM")))</f>
        <v/>
      </c>
      <c r="BB45" s="117">
        <f>SUMPRODUCT(($AE45:$AK45="M")*6+($AE45:$AK45="T")*6+($AE45:$AK45="D")*12+($AE45:$AK45="N")*12+($AE45:$AK45="NT")*6+($AE45:$AK45="C")*10+($AE45:$AK45="A")*8+($AE45:$AK45="J")*5+($AE45:$AK45="CEP")*4+($AE45:$AK45="CP")*6+($AE45:$AK45="CRO")*6+($AE45:$AK45="M+")*6+($AE45:$AK45="T+")*6+($AE45:$AK45="D+")*12+($AE45:$AK45="N+")*12+($AE45:$AK45="Dm+")*12+($AE45:$AK45="Dt+")*12+($AE45:$AK45="Tm-")*6+($AE45:$AK45="Mt-")*6)</f>
        <v/>
      </c>
      <c r="BC45" s="118">
        <f>BB45-MAX(0,IFERROR(INDEX(CADASTRO!$I$4:$I$80,MATCH($A45,CADASTRO!$A$4:$A$80,0)),$B45)-CONFIG!$B$50*(COUNTIF($AE45:$AK45,"AB")+COUNTIF($AE45:$AK45,"FE")+COUNTIF($AE45:$AK45,"LM")))</f>
        <v/>
      </c>
      <c r="BD45" s="117">
        <f>SUMPRODUCT(($AL45:$AL45="M")*6+($AL45:$AL45="T")*6+($AL45:$AL45="D")*12+($AL45:$AL45="N")*12+($AL45:$AL45="NT")*6+($AL45:$AL45="C")*10+($AL45:$AL45="A")*8+($AL45:$AL45="J")*5+($AL45:$AL45="CEP")*4+($AL45:$AL45="CP")*6+($AL45:$AL45="CRO")*6+($AL45:$AL45="M+")*6+($AL45:$AL45="T+")*6+($AL45:$AL45="D+")*12+($AL45:$AL45="N+")*12+($AL45:$AL45="Dm+")*12+($AL45:$AL45="Dt+")*12+($AL45:$AL45="Tm-")*6+($AL45:$AL45="Mt-")*6)+SUMPRODUCT(($AN45:$AS45="M")*6+($AN45:$AS45="T")*6+($AN45:$AS45="D")*12+($AN45:$AS45="N")*12+($AN45:$AS45="NT")*6+($AN45:$AS45="C")*10+($AN45:$AS45="A")*8+($AN45:$AS45="J")*5+($AN45:$AS45="CEP")*4+($AN45:$AS45="CP")*6+($AN45:$AS45="CRO")*6+($AN45:$AS45="M+")*6+($AN45:$AS45="T+")*6+($AN45:$AS45="D+")*12+($AN45:$AS45="N+")*12+($AN45:$AS45="Dm+")*12+($AN45:$AS45="Dt+")*12+($AN45:$AS45="Tm-")*6+($AN45:$AS45="Mt-")*6)</f>
        <v/>
      </c>
      <c r="BE45" s="118">
        <f>BD45-MAX(0,IFERROR(INDEX(CADASTRO!$I$4:$I$80,MATCH($A45,CADASTRO!$A$4:$A$80,0)),$B45)-CONFIG!$B$50*(COUNTIF($AL45:$AL45,"AB")+COUNTIF($AL45:$AL45,"FE")+COUNTIF($AL45:$AL45,"LM")+COUNTIF($AN45:$AS45,"AB")+COUNTIF($AN45:$AS45,"FE")+COUNTIF($AN45:$AS45,"LM")))</f>
        <v/>
      </c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ROUND(B45*4.29,0)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36">
        <f>IFERROR(INDEX(OUT!AH$8:AH$73,MATCH($A46,OUT!$A$8:$A$73,0))&amp;"","")</f>
        <v/>
      </c>
      <c r="D46" s="136">
        <f>IFERROR(INDEX(OUT!AI$8:AI$73,MATCH($A46,OUT!$A$8:$A$73,0))&amp;"","")</f>
        <v/>
      </c>
      <c r="E46" s="136">
        <f>IFERROR(INDEX(OUT!AJ$8:AJ$73,MATCH($A46,OUT!$A$8:$A$73,0))&amp;"","")</f>
        <v/>
      </c>
      <c r="F46" s="136">
        <f>IFERROR(INDEX(OUT!AK$8:AK$73,MATCH($A46,OUT!$A$8:$A$73,0))&amp;"","")</f>
        <v/>
      </c>
      <c r="G46" s="136">
        <f>IFERROR(INDEX(OUT!AL$8:AL$73,MATCH($A46,OUT!$A$8:$A$73,0))&amp;"","")</f>
        <v/>
      </c>
      <c r="H46" s="116">
        <f>IFERROR(INDEX(OUT!AM$8:AM$73,MATCH($A46,OUT!$A$8:$A$73,0))&amp;"","")</f>
        <v/>
      </c>
      <c r="I46" s="115" t="inlineStr">
        <is>
          <t>M</t>
        </is>
      </c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  <c r="AB46" s="114" t="n"/>
      <c r="AC46" s="114" t="n"/>
      <c r="AD46" s="114" t="n"/>
      <c r="AE46" s="114" t="n"/>
      <c r="AF46" s="114" t="n"/>
      <c r="AG46" s="114" t="n"/>
      <c r="AH46" s="114" t="n"/>
      <c r="AI46" s="114" t="n"/>
      <c r="AJ46" s="114" t="n"/>
      <c r="AK46" s="114" t="n"/>
      <c r="AL46" s="114" t="n"/>
      <c r="AM46" s="100" t="n"/>
      <c r="AN46" s="136">
        <f>IFERROR(INDEX(DEZ!I$8:I$73,MATCH($A46,DEZ!$A$8:$A$73,0))&amp;"","")</f>
        <v/>
      </c>
      <c r="AO46" s="136">
        <f>IFERROR(INDEX(DEZ!J$8:J$73,MATCH($A46,DEZ!$A$8:$A$73,0))&amp;"","")</f>
        <v/>
      </c>
      <c r="AP46" s="136">
        <f>IFERROR(INDEX(DEZ!K$8:K$73,MATCH($A46,DEZ!$A$8:$A$73,0))&amp;"","")</f>
        <v/>
      </c>
      <c r="AQ46" s="136">
        <f>IFERROR(INDEX(DEZ!L$8:L$73,MATCH($A46,DEZ!$A$8:$A$73,0))&amp;"","")</f>
        <v/>
      </c>
      <c r="AR46" s="116">
        <f>IFERROR(INDEX(DEZ!M$8:M$73,MATCH($A46,DEZ!$A$8:$A$73,0))&amp;"","")</f>
        <v/>
      </c>
      <c r="AS46" s="116">
        <f>IFERROR(INDEX(DEZ!N$8:N$73,MATCH($A46,DEZ!$A$8:$A$73,0))&amp;"","")</f>
        <v/>
      </c>
      <c r="AT46" s="117">
        <f>SUMPRODUCT(($C46:$I46="M")*6+($C46:$I46="T")*6+($C46:$I46="D")*12+($C46:$I46="N")*12+($C46:$I46="NT")*6+($C46:$I46="C")*10+($C46:$I46="A")*8+($C46:$I46="J")*5+($C46:$I46="CEP")*4+($C46:$I46="CP")*6+($C46:$I46="CRO")*6+($C46:$I46="M+")*6+($C46:$I46="T+")*6+($C46:$I46="D+")*12+($C46:$I46="N+")*12+($C46:$I46="Dm+")*12+($C46:$I46="Dt+")*12+($C46:$I46="Tm-")*6+($C46:$I46="Mt-")*6)</f>
        <v/>
      </c>
      <c r="AU46" s="118">
        <f>AT46-MAX(0,IFERROR(INDEX(CADASTRO!$I$4:$I$80,MATCH($A46,CADASTRO!$A$4:$A$80,0)),$B46)-CONFIG!$B$50*(COUNTIF($C46:$I46,"AB")+COUNTIF($C46:$I46,"FE")+COUNTIF($C46:$I46,"LM")))</f>
        <v/>
      </c>
      <c r="AV46" s="117">
        <f>SUMPRODUCT(($J46:$P46="M")*6+($J46:$P46="T")*6+($J46:$P46="D")*12+($J46:$P46="N")*12+($J46:$P46="NT")*6+($J46:$P46="C")*10+($J46:$P46="A")*8+($J46:$P46="J")*5+($J46:$P46="CEP")*4+($J46:$P46="CP")*6+($J46:$P46="CRO")*6+($J46:$P46="M+")*6+($J46:$P46="T+")*6+($J46:$P46="D+")*12+($J46:$P46="N+")*12+($J46:$P46="Dm+")*12+($J46:$P46="Dt+")*12+($J46:$P46="Tm-")*6+($J46:$P46="Mt-")*6)</f>
        <v/>
      </c>
      <c r="AW46" s="118">
        <f>AV46-MAX(0,IFERROR(INDEX(CADASTRO!$I$4:$I$80,MATCH($A46,CADASTRO!$A$4:$A$80,0)),$B46)-CONFIG!$B$50*(COUNTIF($J46:$P46,"AB")+COUNTIF($J46:$P46,"FE")+COUNTIF($J46:$P46,"LM")))</f>
        <v/>
      </c>
      <c r="AX46" s="117">
        <f>SUMPRODUCT(($Q46:$W46="M")*6+($Q46:$W46="T")*6+($Q46:$W46="D")*12+($Q46:$W46="N")*12+($Q46:$W46="NT")*6+($Q46:$W46="C")*10+($Q46:$W46="A")*8+($Q46:$W46="J")*5+($Q46:$W46="CEP")*4+($Q46:$W46="CP")*6+($Q46:$W46="CRO")*6+($Q46:$W46="M+")*6+($Q46:$W46="T+")*6+($Q46:$W46="D+")*12+($Q46:$W46="N+")*12+($Q46:$W46="Dm+")*12+($Q46:$W46="Dt+")*12+($Q46:$W46="Tm-")*6+($Q46:$W46="Mt-")*6)</f>
        <v/>
      </c>
      <c r="AY46" s="118">
        <f>AX46-MAX(0,IFERROR(INDEX(CADASTRO!$I$4:$I$80,MATCH($A46,CADASTRO!$A$4:$A$80,0)),$B46)-CONFIG!$B$50*(COUNTIF($Q46:$W46,"AB")+COUNTIF($Q46:$W46,"FE")+COUNTIF($Q46:$W46,"LM")))</f>
        <v/>
      </c>
      <c r="AZ46" s="117">
        <f>SUMPRODUCT(($X46:$AD46="M")*6+($X46:$AD46="T")*6+($X46:$AD46="D")*12+($X46:$AD46="N")*12+($X46:$AD46="NT")*6+($X46:$AD46="C")*10+($X46:$AD46="A")*8+($X46:$AD46="J")*5+($X46:$AD46="CEP")*4+($X46:$AD46="CP")*6+($X46:$AD46="CRO")*6+($X46:$AD46="M+")*6+($X46:$AD46="T+")*6+($X46:$AD46="D+")*12+($X46:$AD46="N+")*12+($X46:$AD46="Dm+")*12+($X46:$AD46="Dt+")*12+($X46:$AD46="Tm-")*6+($X46:$AD46="Mt-")*6)</f>
        <v/>
      </c>
      <c r="BA46" s="118">
        <f>AZ46-MAX(0,IFERROR(INDEX(CADASTRO!$I$4:$I$80,MATCH($A46,CADASTRO!$A$4:$A$80,0)),$B46)-CONFIG!$B$50*(COUNTIF($X46:$AD46,"AB")+COUNTIF($X46:$AD46,"FE")+COUNTIF($X46:$AD46,"LM")))</f>
        <v/>
      </c>
      <c r="BB46" s="117">
        <f>SUMPRODUCT(($AE46:$AK46="M")*6+($AE46:$AK46="T")*6+($AE46:$AK46="D")*12+($AE46:$AK46="N")*12+($AE46:$AK46="NT")*6+($AE46:$AK46="C")*10+($AE46:$AK46="A")*8+($AE46:$AK46="J")*5+($AE46:$AK46="CEP")*4+($AE46:$AK46="CP")*6+($AE46:$AK46="CRO")*6+($AE46:$AK46="M+")*6+($AE46:$AK46="T+")*6+($AE46:$AK46="D+")*12+($AE46:$AK46="N+")*12+($AE46:$AK46="Dm+")*12+($AE46:$AK46="Dt+")*12+($AE46:$AK46="Tm-")*6+($AE46:$AK46="Mt-")*6)</f>
        <v/>
      </c>
      <c r="BC46" s="118">
        <f>BB46-MAX(0,IFERROR(INDEX(CADASTRO!$I$4:$I$80,MATCH($A46,CADASTRO!$A$4:$A$80,0)),$B46)-CONFIG!$B$50*(COUNTIF($AE46:$AK46,"AB")+COUNTIF($AE46:$AK46,"FE")+COUNTIF($AE46:$AK46,"LM")))</f>
        <v/>
      </c>
      <c r="BD46" s="117">
        <f>SUMPRODUCT(($AL46:$AL46="M")*6+($AL46:$AL46="T")*6+($AL46:$AL46="D")*12+($AL46:$AL46="N")*12+($AL46:$AL46="NT")*6+($AL46:$AL46="C")*10+($AL46:$AL46="A")*8+($AL46:$AL46="J")*5+($AL46:$AL46="CEP")*4+($AL46:$AL46="CP")*6+($AL46:$AL46="CRO")*6+($AL46:$AL46="M+")*6+($AL46:$AL46="T+")*6+($AL46:$AL46="D+")*12+($AL46:$AL46="N+")*12+($AL46:$AL46="Dm+")*12+($AL46:$AL46="Dt+")*12+($AL46:$AL46="Tm-")*6+($AL46:$AL46="Mt-")*6)+SUMPRODUCT(($AN46:$AS46="M")*6+($AN46:$AS46="T")*6+($AN46:$AS46="D")*12+($AN46:$AS46="N")*12+($AN46:$AS46="NT")*6+($AN46:$AS46="C")*10+($AN46:$AS46="A")*8+($AN46:$AS46="J")*5+($AN46:$AS46="CEP")*4+($AN46:$AS46="CP")*6+($AN46:$AS46="CRO")*6+($AN46:$AS46="M+")*6+($AN46:$AS46="T+")*6+($AN46:$AS46="D+")*12+($AN46:$AS46="N+")*12+($AN46:$AS46="Dm+")*12+($AN46:$AS46="Dt+")*12+($AN46:$AS46="Tm-")*6+($AN46:$AS46="Mt-")*6)</f>
        <v/>
      </c>
      <c r="BE46" s="118">
        <f>BD46-MAX(0,IFERROR(INDEX(CADASTRO!$I$4:$I$80,MATCH($A46,CADASTRO!$A$4:$A$80,0)),$B46)-CONFIG!$B$50*(COUNTIF($AL46:$AL46,"AB")+COUNTIF($AL46:$AL46,"FE")+COUNTIF($AL46:$AL46,"LM")+COUNTIF($AN46:$AS46,"AB")+COUNTIF($AN46:$AS46,"FE")+COUNTIF($AN46:$AS46,"LM")))</f>
        <v/>
      </c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ROUND(B46*4.29,0)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36">
        <f>IFERROR(INDEX(OUT!AH$8:AH$73,MATCH($A47,OUT!$A$8:$A$73,0))&amp;"","")</f>
        <v/>
      </c>
      <c r="D47" s="136">
        <f>IFERROR(INDEX(OUT!AI$8:AI$73,MATCH($A47,OUT!$A$8:$A$73,0))&amp;"","")</f>
        <v/>
      </c>
      <c r="E47" s="136">
        <f>IFERROR(INDEX(OUT!AJ$8:AJ$73,MATCH($A47,OUT!$A$8:$A$73,0))&amp;"","")</f>
        <v/>
      </c>
      <c r="F47" s="136">
        <f>IFERROR(INDEX(OUT!AK$8:AK$73,MATCH($A47,OUT!$A$8:$A$73,0))&amp;"","")</f>
        <v/>
      </c>
      <c r="G47" s="136">
        <f>IFERROR(INDEX(OUT!AL$8:AL$73,MATCH($A47,OUT!$A$8:$A$73,0))&amp;"","")</f>
        <v/>
      </c>
      <c r="H47" s="116">
        <f>IFERROR(INDEX(OUT!AM$8:AM$73,MATCH($A47,OUT!$A$8:$A$73,0))&amp;"","")</f>
        <v/>
      </c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  <c r="AB47" s="114" t="n"/>
      <c r="AC47" s="114" t="n"/>
      <c r="AD47" s="114" t="n"/>
      <c r="AE47" s="114" t="n"/>
      <c r="AF47" s="114" t="n"/>
      <c r="AG47" s="114" t="n"/>
      <c r="AH47" s="114" t="n"/>
      <c r="AI47" s="114" t="n"/>
      <c r="AJ47" s="114" t="n"/>
      <c r="AK47" s="114" t="n"/>
      <c r="AL47" s="114" t="n"/>
      <c r="AM47" s="100" t="n"/>
      <c r="AN47" s="136">
        <f>IFERROR(INDEX(DEZ!I$8:I$73,MATCH($A47,DEZ!$A$8:$A$73,0))&amp;"","")</f>
        <v/>
      </c>
      <c r="AO47" s="136">
        <f>IFERROR(INDEX(DEZ!J$8:J$73,MATCH($A47,DEZ!$A$8:$A$73,0))&amp;"","")</f>
        <v/>
      </c>
      <c r="AP47" s="136">
        <f>IFERROR(INDEX(DEZ!K$8:K$73,MATCH($A47,DEZ!$A$8:$A$73,0))&amp;"","")</f>
        <v/>
      </c>
      <c r="AQ47" s="136">
        <f>IFERROR(INDEX(DEZ!L$8:L$73,MATCH($A47,DEZ!$A$8:$A$73,0))&amp;"","")</f>
        <v/>
      </c>
      <c r="AR47" s="116">
        <f>IFERROR(INDEX(DEZ!M$8:M$73,MATCH($A47,DEZ!$A$8:$A$73,0))&amp;"","")</f>
        <v/>
      </c>
      <c r="AS47" s="116">
        <f>IFERROR(INDEX(DEZ!N$8:N$73,MATCH($A47,DEZ!$A$8:$A$73,0))&amp;"","")</f>
        <v/>
      </c>
      <c r="AT47" s="117">
        <f>SUMPRODUCT(($C47:$I47="M")*6+($C47:$I47="T")*6+($C47:$I47="D")*12+($C47:$I47="N")*12+($C47:$I47="NT")*6+($C47:$I47="C")*10+($C47:$I47="A")*8+($C47:$I47="J")*5+($C47:$I47="CEP")*4+($C47:$I47="CP")*6+($C47:$I47="CRO")*6+($C47:$I47="M+")*6+($C47:$I47="T+")*6+($C47:$I47="D+")*12+($C47:$I47="N+")*12+($C47:$I47="Dm+")*12+($C47:$I47="Dt+")*12+($C47:$I47="Tm-")*6+($C47:$I47="Mt-")*6)</f>
        <v/>
      </c>
      <c r="AU47" s="118">
        <f>AT47-MAX(0,IFERROR(INDEX(CADASTRO!$I$4:$I$80,MATCH($A47,CADASTRO!$A$4:$A$80,0)),$B47)-CONFIG!$B$50*(COUNTIF($C47:$I47,"AB")+COUNTIF($C47:$I47,"FE")+COUNTIF($C47:$I47,"LM")))</f>
        <v/>
      </c>
      <c r="AV47" s="117">
        <f>SUMPRODUCT(($J47:$P47="M")*6+($J47:$P47="T")*6+($J47:$P47="D")*12+($J47:$P47="N")*12+($J47:$P47="NT")*6+($J47:$P47="C")*10+($J47:$P47="A")*8+($J47:$P47="J")*5+($J47:$P47="CEP")*4+($J47:$P47="CP")*6+($J47:$P47="CRO")*6+($J47:$P47="M+")*6+($J47:$P47="T+")*6+($J47:$P47="D+")*12+($J47:$P47="N+")*12+($J47:$P47="Dm+")*12+($J47:$P47="Dt+")*12+($J47:$P47="Tm-")*6+($J47:$P47="Mt-")*6)</f>
        <v/>
      </c>
      <c r="AW47" s="118">
        <f>AV47-MAX(0,IFERROR(INDEX(CADASTRO!$I$4:$I$80,MATCH($A47,CADASTRO!$A$4:$A$80,0)),$B47)-CONFIG!$B$50*(COUNTIF($J47:$P47,"AB")+COUNTIF($J47:$P47,"FE")+COUNTIF($J47:$P47,"LM")))</f>
        <v/>
      </c>
      <c r="AX47" s="117">
        <f>SUMPRODUCT(($Q47:$W47="M")*6+($Q47:$W47="T")*6+($Q47:$W47="D")*12+($Q47:$W47="N")*12+($Q47:$W47="NT")*6+($Q47:$W47="C")*10+($Q47:$W47="A")*8+($Q47:$W47="J")*5+($Q47:$W47="CEP")*4+($Q47:$W47="CP")*6+($Q47:$W47="CRO")*6+($Q47:$W47="M+")*6+($Q47:$W47="T+")*6+($Q47:$W47="D+")*12+($Q47:$W47="N+")*12+($Q47:$W47="Dm+")*12+($Q47:$W47="Dt+")*12+($Q47:$W47="Tm-")*6+($Q47:$W47="Mt-")*6)</f>
        <v/>
      </c>
      <c r="AY47" s="118">
        <f>AX47-MAX(0,IFERROR(INDEX(CADASTRO!$I$4:$I$80,MATCH($A47,CADASTRO!$A$4:$A$80,0)),$B47)-CONFIG!$B$50*(COUNTIF($Q47:$W47,"AB")+COUNTIF($Q47:$W47,"FE")+COUNTIF($Q47:$W47,"LM")))</f>
        <v/>
      </c>
      <c r="AZ47" s="117">
        <f>SUMPRODUCT(($X47:$AD47="M")*6+($X47:$AD47="T")*6+($X47:$AD47="D")*12+($X47:$AD47="N")*12+($X47:$AD47="NT")*6+($X47:$AD47="C")*10+($X47:$AD47="A")*8+($X47:$AD47="J")*5+($X47:$AD47="CEP")*4+($X47:$AD47="CP")*6+($X47:$AD47="CRO")*6+($X47:$AD47="M+")*6+($X47:$AD47="T+")*6+($X47:$AD47="D+")*12+($X47:$AD47="N+")*12+($X47:$AD47="Dm+")*12+($X47:$AD47="Dt+")*12+($X47:$AD47="Tm-")*6+($X47:$AD47="Mt-")*6)</f>
        <v/>
      </c>
      <c r="BA47" s="118">
        <f>AZ47-MAX(0,IFERROR(INDEX(CADASTRO!$I$4:$I$80,MATCH($A47,CADASTRO!$A$4:$A$80,0)),$B47)-CONFIG!$B$50*(COUNTIF($X47:$AD47,"AB")+COUNTIF($X47:$AD47,"FE")+COUNTIF($X47:$AD47,"LM")))</f>
        <v/>
      </c>
      <c r="BB47" s="117">
        <f>SUMPRODUCT(($AE47:$AK47="M")*6+($AE47:$AK47="T")*6+($AE47:$AK47="D")*12+($AE47:$AK47="N")*12+($AE47:$AK47="NT")*6+($AE47:$AK47="C")*10+($AE47:$AK47="A")*8+($AE47:$AK47="J")*5+($AE47:$AK47="CEP")*4+($AE47:$AK47="CP")*6+($AE47:$AK47="CRO")*6+($AE47:$AK47="M+")*6+($AE47:$AK47="T+")*6+($AE47:$AK47="D+")*12+($AE47:$AK47="N+")*12+($AE47:$AK47="Dm+")*12+($AE47:$AK47="Dt+")*12+($AE47:$AK47="Tm-")*6+($AE47:$AK47="Mt-")*6)</f>
        <v/>
      </c>
      <c r="BC47" s="118">
        <f>BB47-MAX(0,IFERROR(INDEX(CADASTRO!$I$4:$I$80,MATCH($A47,CADASTRO!$A$4:$A$80,0)),$B47)-CONFIG!$B$50*(COUNTIF($AE47:$AK47,"AB")+COUNTIF($AE47:$AK47,"FE")+COUNTIF($AE47:$AK47,"LM")))</f>
        <v/>
      </c>
      <c r="BD47" s="117">
        <f>SUMPRODUCT(($AL47:$AL47="M")*6+($AL47:$AL47="T")*6+($AL47:$AL47="D")*12+($AL47:$AL47="N")*12+($AL47:$AL47="NT")*6+($AL47:$AL47="C")*10+($AL47:$AL47="A")*8+($AL47:$AL47="J")*5+($AL47:$AL47="CEP")*4+($AL47:$AL47="CP")*6+($AL47:$AL47="CRO")*6+($AL47:$AL47="M+")*6+($AL47:$AL47="T+")*6+($AL47:$AL47="D+")*12+($AL47:$AL47="N+")*12+($AL47:$AL47="Dm+")*12+($AL47:$AL47="Dt+")*12+($AL47:$AL47="Tm-")*6+($AL47:$AL47="Mt-")*6)+SUMPRODUCT(($AN47:$AS47="M")*6+($AN47:$AS47="T")*6+($AN47:$AS47="D")*12+($AN47:$AS47="N")*12+($AN47:$AS47="NT")*6+($AN47:$AS47="C")*10+($AN47:$AS47="A")*8+($AN47:$AS47="J")*5+($AN47:$AS47="CEP")*4+($AN47:$AS47="CP")*6+($AN47:$AS47="CRO")*6+($AN47:$AS47="M+")*6+($AN47:$AS47="T+")*6+($AN47:$AS47="D+")*12+($AN47:$AS47="N+")*12+($AN47:$AS47="Dm+")*12+($AN47:$AS47="Dt+")*12+($AN47:$AS47="Tm-")*6+($AN47:$AS47="Mt-")*6)</f>
        <v/>
      </c>
      <c r="BE47" s="118">
        <f>BD47-MAX(0,IFERROR(INDEX(CADASTRO!$I$4:$I$80,MATCH($A47,CADASTRO!$A$4:$A$80,0)),$B47)-CONFIG!$B$50*(COUNTIF($AL47:$AL47,"AB")+COUNTIF($AL47:$AL47,"FE")+COUNTIF($AL47:$AL47,"LM")+COUNTIF($AN47:$AS47,"AB")+COUNTIF($AN47:$AS47,"FE")+COUNTIF($AN47:$AS47,"LM")))</f>
        <v/>
      </c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ROUND(B47*4.29,0)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36">
        <f>IFERROR(INDEX(OUT!AH$8:AH$73,MATCH($A48,OUT!$A$8:$A$73,0))&amp;"","")</f>
        <v/>
      </c>
      <c r="D48" s="136">
        <f>IFERROR(INDEX(OUT!AI$8:AI$73,MATCH($A48,OUT!$A$8:$A$73,0))&amp;"","")</f>
        <v/>
      </c>
      <c r="E48" s="136">
        <f>IFERROR(INDEX(OUT!AJ$8:AJ$73,MATCH($A48,OUT!$A$8:$A$73,0))&amp;"","")</f>
        <v/>
      </c>
      <c r="F48" s="136">
        <f>IFERROR(INDEX(OUT!AK$8:AK$73,MATCH($A48,OUT!$A$8:$A$73,0))&amp;"","")</f>
        <v/>
      </c>
      <c r="G48" s="136">
        <f>IFERROR(INDEX(OUT!AL$8:AL$73,MATCH($A48,OUT!$A$8:$A$73,0))&amp;"","")</f>
        <v/>
      </c>
      <c r="H48" s="116">
        <f>IFERROR(INDEX(OUT!AM$8:AM$73,MATCH($A48,OUT!$A$8:$A$73,0))&amp;"","")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00" t="n"/>
      <c r="AN48" s="136">
        <f>IFERROR(INDEX(DEZ!I$8:I$73,MATCH($A48,DEZ!$A$8:$A$73,0))&amp;"","")</f>
        <v/>
      </c>
      <c r="AO48" s="136">
        <f>IFERROR(INDEX(DEZ!J$8:J$73,MATCH($A48,DEZ!$A$8:$A$73,0))&amp;"","")</f>
        <v/>
      </c>
      <c r="AP48" s="136">
        <f>IFERROR(INDEX(DEZ!K$8:K$73,MATCH($A48,DEZ!$A$8:$A$73,0))&amp;"","")</f>
        <v/>
      </c>
      <c r="AQ48" s="136">
        <f>IFERROR(INDEX(DEZ!L$8:L$73,MATCH($A48,DEZ!$A$8:$A$73,0))&amp;"","")</f>
        <v/>
      </c>
      <c r="AR48" s="116">
        <f>IFERROR(INDEX(DEZ!M$8:M$73,MATCH($A48,DEZ!$A$8:$A$73,0))&amp;"","")</f>
        <v/>
      </c>
      <c r="AS48" s="116">
        <f>IFERROR(INDEX(DEZ!N$8:N$73,MATCH($A48,DEZ!$A$8:$A$73,0))&amp;"","")</f>
        <v/>
      </c>
      <c r="AT48" s="117">
        <f>SUMPRODUCT(($C48:$I48="M")*6+($C48:$I48="T")*6+($C48:$I48="D")*12+($C48:$I48="N")*12+($C48:$I48="NT")*6+($C48:$I48="C")*10+($C48:$I48="A")*8+($C48:$I48="J")*5+($C48:$I48="CEP")*4+($C48:$I48="CP")*6+($C48:$I48="CRO")*6+($C48:$I48="M+")*6+($C48:$I48="T+")*6+($C48:$I48="D+")*12+($C48:$I48="N+")*12+($C48:$I48="Dm+")*12+($C48:$I48="Dt+")*12+($C48:$I48="Tm-")*6+($C48:$I48="Mt-")*6)</f>
        <v/>
      </c>
      <c r="AU48" s="118">
        <f>AT48-MAX(0,IFERROR(INDEX(CADASTRO!$I$4:$I$80,MATCH($A48,CADASTRO!$A$4:$A$80,0)),$B48)-CONFIG!$B$50*(COUNTIF($C48:$I48,"AB")+COUNTIF($C48:$I48,"FE")+COUNTIF($C48:$I48,"LM")))</f>
        <v/>
      </c>
      <c r="AV48" s="117">
        <f>SUMPRODUCT(($J48:$P48="M")*6+($J48:$P48="T")*6+($J48:$P48="D")*12+($J48:$P48="N")*12+($J48:$P48="NT")*6+($J48:$P48="C")*10+($J48:$P48="A")*8+($J48:$P48="J")*5+($J48:$P48="CEP")*4+($J48:$P48="CP")*6+($J48:$P48="CRO")*6+($J48:$P48="M+")*6+($J48:$P48="T+")*6+($J48:$P48="D+")*12+($J48:$P48="N+")*12+($J48:$P48="Dm+")*12+($J48:$P48="Dt+")*12+($J48:$P48="Tm-")*6+($J48:$P48="Mt-")*6)</f>
        <v/>
      </c>
      <c r="AW48" s="118">
        <f>AV48-MAX(0,IFERROR(INDEX(CADASTRO!$I$4:$I$80,MATCH($A48,CADASTRO!$A$4:$A$80,0)),$B48)-CONFIG!$B$50*(COUNTIF($J48:$P48,"AB")+COUNTIF($J48:$P48,"FE")+COUNTIF($J48:$P48,"LM")))</f>
        <v/>
      </c>
      <c r="AX48" s="117">
        <f>SUMPRODUCT(($Q48:$W48="M")*6+($Q48:$W48="T")*6+($Q48:$W48="D")*12+($Q48:$W48="N")*12+($Q48:$W48="NT")*6+($Q48:$W48="C")*10+($Q48:$W48="A")*8+($Q48:$W48="J")*5+($Q48:$W48="CEP")*4+($Q48:$W48="CP")*6+($Q48:$W48="CRO")*6+($Q48:$W48="M+")*6+($Q48:$W48="T+")*6+($Q48:$W48="D+")*12+($Q48:$W48="N+")*12+($Q48:$W48="Dm+")*12+($Q48:$W48="Dt+")*12+($Q48:$W48="Tm-")*6+($Q48:$W48="Mt-")*6)</f>
        <v/>
      </c>
      <c r="AY48" s="118">
        <f>AX48-MAX(0,IFERROR(INDEX(CADASTRO!$I$4:$I$80,MATCH($A48,CADASTRO!$A$4:$A$80,0)),$B48)-CONFIG!$B$50*(COUNTIF($Q48:$W48,"AB")+COUNTIF($Q48:$W48,"FE")+COUNTIF($Q48:$W48,"LM")))</f>
        <v/>
      </c>
      <c r="AZ48" s="117">
        <f>SUMPRODUCT(($X48:$AD48="M")*6+($X48:$AD48="T")*6+($X48:$AD48="D")*12+($X48:$AD48="N")*12+($X48:$AD48="NT")*6+($X48:$AD48="C")*10+($X48:$AD48="A")*8+($X48:$AD48="J")*5+($X48:$AD48="CEP")*4+($X48:$AD48="CP")*6+($X48:$AD48="CRO")*6+($X48:$AD48="M+")*6+($X48:$AD48="T+")*6+($X48:$AD48="D+")*12+($X48:$AD48="N+")*12+($X48:$AD48="Dm+")*12+($X48:$AD48="Dt+")*12+($X48:$AD48="Tm-")*6+($X48:$AD48="Mt-")*6)</f>
        <v/>
      </c>
      <c r="BA48" s="118">
        <f>AZ48-MAX(0,IFERROR(INDEX(CADASTRO!$I$4:$I$80,MATCH($A48,CADASTRO!$A$4:$A$80,0)),$B48)-CONFIG!$B$50*(COUNTIF($X48:$AD48,"AB")+COUNTIF($X48:$AD48,"FE")+COUNTIF($X48:$AD48,"LM")))</f>
        <v/>
      </c>
      <c r="BB48" s="117">
        <f>SUMPRODUCT(($AE48:$AK48="M")*6+($AE48:$AK48="T")*6+($AE48:$AK48="D")*12+($AE48:$AK48="N")*12+($AE48:$AK48="NT")*6+($AE48:$AK48="C")*10+($AE48:$AK48="A")*8+($AE48:$AK48="J")*5+($AE48:$AK48="CEP")*4+($AE48:$AK48="CP")*6+($AE48:$AK48="CRO")*6+($AE48:$AK48="M+")*6+($AE48:$AK48="T+")*6+($AE48:$AK48="D+")*12+($AE48:$AK48="N+")*12+($AE48:$AK48="Dm+")*12+($AE48:$AK48="Dt+")*12+($AE48:$AK48="Tm-")*6+($AE48:$AK48="Mt-")*6)</f>
        <v/>
      </c>
      <c r="BC48" s="118">
        <f>BB48-MAX(0,IFERROR(INDEX(CADASTRO!$I$4:$I$80,MATCH($A48,CADASTRO!$A$4:$A$80,0)),$B48)-CONFIG!$B$50*(COUNTIF($AE48:$AK48,"AB")+COUNTIF($AE48:$AK48,"FE")+COUNTIF($AE48:$AK48,"LM")))</f>
        <v/>
      </c>
      <c r="BD48" s="117">
        <f>SUMPRODUCT(($AL48:$AL48="M")*6+($AL48:$AL48="T")*6+($AL48:$AL48="D")*12+($AL48:$AL48="N")*12+($AL48:$AL48="NT")*6+($AL48:$AL48="C")*10+($AL48:$AL48="A")*8+($AL48:$AL48="J")*5+($AL48:$AL48="CEP")*4+($AL48:$AL48="CP")*6+($AL48:$AL48="CRO")*6+($AL48:$AL48="M+")*6+($AL48:$AL48="T+")*6+($AL48:$AL48="D+")*12+($AL48:$AL48="N+")*12+($AL48:$AL48="Dm+")*12+($AL48:$AL48="Dt+")*12+($AL48:$AL48="Tm-")*6+($AL48:$AL48="Mt-")*6)+SUMPRODUCT(($AN48:$AS48="M")*6+($AN48:$AS48="T")*6+($AN48:$AS48="D")*12+($AN48:$AS48="N")*12+($AN48:$AS48="NT")*6+($AN48:$AS48="C")*10+($AN48:$AS48="A")*8+($AN48:$AS48="J")*5+($AN48:$AS48="CEP")*4+($AN48:$AS48="CP")*6+($AN48:$AS48="CRO")*6+($AN48:$AS48="M+")*6+($AN48:$AS48="T+")*6+($AN48:$AS48="D+")*12+($AN48:$AS48="N+")*12+($AN48:$AS48="Dm+")*12+($AN48:$AS48="Dt+")*12+($AN48:$AS48="Tm-")*6+($AN48:$AS48="Mt-")*6)</f>
        <v/>
      </c>
      <c r="BE48" s="118">
        <f>BD48-MAX(0,IFERROR(INDEX(CADASTRO!$I$4:$I$80,MATCH($A48,CADASTRO!$A$4:$A$80,0)),$B48)-CONFIG!$B$50*(COUNTIF($AL48:$AL48,"AB")+COUNTIF($AL48:$AL48,"FE")+COUNTIF($AL48:$AL48,"LM")+COUNTIF($AN48:$AS48,"AB")+COUNTIF($AN48:$AS48,"FE")+COUNTIF($AN48:$AS48,"LM")))</f>
        <v/>
      </c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ROUND(B48*4.29,0)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36">
        <f>IFERROR(INDEX(OUT!AH$8:AH$73,MATCH($A49,OUT!$A$8:$A$73,0))&amp;"","")</f>
        <v/>
      </c>
      <c r="D49" s="136">
        <f>IFERROR(INDEX(OUT!AI$8:AI$73,MATCH($A49,OUT!$A$8:$A$73,0))&amp;"","")</f>
        <v/>
      </c>
      <c r="E49" s="136">
        <f>IFERROR(INDEX(OUT!AJ$8:AJ$73,MATCH($A49,OUT!$A$8:$A$73,0))&amp;"","")</f>
        <v/>
      </c>
      <c r="F49" s="136">
        <f>IFERROR(INDEX(OUT!AK$8:AK$73,MATCH($A49,OUT!$A$8:$A$73,0))&amp;"","")</f>
        <v/>
      </c>
      <c r="G49" s="136">
        <f>IFERROR(INDEX(OUT!AL$8:AL$73,MATCH($A49,OUT!$A$8:$A$73,0))&amp;"","")</f>
        <v/>
      </c>
      <c r="H49" s="116">
        <f>IFERROR(INDEX(OUT!AM$8:AM$73,MATCH($A49,OUT!$A$8:$A$73,0))&amp;"","")</f>
        <v/>
      </c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  <c r="AB49" s="114" t="n"/>
      <c r="AC49" s="114" t="n"/>
      <c r="AD49" s="114" t="n"/>
      <c r="AE49" s="114" t="n"/>
      <c r="AF49" s="114" t="n"/>
      <c r="AG49" s="114" t="n"/>
      <c r="AH49" s="114" t="n"/>
      <c r="AI49" s="114" t="n"/>
      <c r="AJ49" s="114" t="n"/>
      <c r="AK49" s="114" t="n"/>
      <c r="AL49" s="114" t="n"/>
      <c r="AM49" s="100" t="n"/>
      <c r="AN49" s="136">
        <f>IFERROR(INDEX(DEZ!I$8:I$73,MATCH($A49,DEZ!$A$8:$A$73,0))&amp;"","")</f>
        <v/>
      </c>
      <c r="AO49" s="136">
        <f>IFERROR(INDEX(DEZ!J$8:J$73,MATCH($A49,DEZ!$A$8:$A$73,0))&amp;"","")</f>
        <v/>
      </c>
      <c r="AP49" s="136">
        <f>IFERROR(INDEX(DEZ!K$8:K$73,MATCH($A49,DEZ!$A$8:$A$73,0))&amp;"","")</f>
        <v/>
      </c>
      <c r="AQ49" s="136">
        <f>IFERROR(INDEX(DEZ!L$8:L$73,MATCH($A49,DEZ!$A$8:$A$73,0))&amp;"","")</f>
        <v/>
      </c>
      <c r="AR49" s="116">
        <f>IFERROR(INDEX(DEZ!M$8:M$73,MATCH($A49,DEZ!$A$8:$A$73,0))&amp;"","")</f>
        <v/>
      </c>
      <c r="AS49" s="116">
        <f>IFERROR(INDEX(DEZ!N$8:N$73,MATCH($A49,DEZ!$A$8:$A$73,0))&amp;"","")</f>
        <v/>
      </c>
      <c r="AT49" s="117">
        <f>SUMPRODUCT(($C49:$I49="M")*6+($C49:$I49="T")*6+($C49:$I49="D")*12+($C49:$I49="N")*12+($C49:$I49="NT")*6+($C49:$I49="C")*10+($C49:$I49="A")*8+($C49:$I49="J")*5+($C49:$I49="CEP")*4+($C49:$I49="CP")*6+($C49:$I49="CRO")*6+($C49:$I49="M+")*6+($C49:$I49="T+")*6+($C49:$I49="D+")*12+($C49:$I49="N+")*12+($C49:$I49="Dm+")*12+($C49:$I49="Dt+")*12+($C49:$I49="Tm-")*6+($C49:$I49="Mt-")*6)</f>
        <v/>
      </c>
      <c r="AU49" s="118">
        <f>AT49-MAX(0,IFERROR(INDEX(CADASTRO!$I$4:$I$80,MATCH($A49,CADASTRO!$A$4:$A$80,0)),$B49)-CONFIG!$B$50*(COUNTIF($C49:$I49,"AB")+COUNTIF($C49:$I49,"FE")+COUNTIF($C49:$I49,"LM")))</f>
        <v/>
      </c>
      <c r="AV49" s="117">
        <f>SUMPRODUCT(($J49:$P49="M")*6+($J49:$P49="T")*6+($J49:$P49="D")*12+($J49:$P49="N")*12+($J49:$P49="NT")*6+($J49:$P49="C")*10+($J49:$P49="A")*8+($J49:$P49="J")*5+($J49:$P49="CEP")*4+($J49:$P49="CP")*6+($J49:$P49="CRO")*6+($J49:$P49="M+")*6+($J49:$P49="T+")*6+($J49:$P49="D+")*12+($J49:$P49="N+")*12+($J49:$P49="Dm+")*12+($J49:$P49="Dt+")*12+($J49:$P49="Tm-")*6+($J49:$P49="Mt-")*6)</f>
        <v/>
      </c>
      <c r="AW49" s="118">
        <f>AV49-MAX(0,IFERROR(INDEX(CADASTRO!$I$4:$I$80,MATCH($A49,CADASTRO!$A$4:$A$80,0)),$B49)-CONFIG!$B$50*(COUNTIF($J49:$P49,"AB")+COUNTIF($J49:$P49,"FE")+COUNTIF($J49:$P49,"LM")))</f>
        <v/>
      </c>
      <c r="AX49" s="117">
        <f>SUMPRODUCT(($Q49:$W49="M")*6+($Q49:$W49="T")*6+($Q49:$W49="D")*12+($Q49:$W49="N")*12+($Q49:$W49="NT")*6+($Q49:$W49="C")*10+($Q49:$W49="A")*8+($Q49:$W49="J")*5+($Q49:$W49="CEP")*4+($Q49:$W49="CP")*6+($Q49:$W49="CRO")*6+($Q49:$W49="M+")*6+($Q49:$W49="T+")*6+($Q49:$W49="D+")*12+($Q49:$W49="N+")*12+($Q49:$W49="Dm+")*12+($Q49:$W49="Dt+")*12+($Q49:$W49="Tm-")*6+($Q49:$W49="Mt-")*6)</f>
        <v/>
      </c>
      <c r="AY49" s="118">
        <f>AX49-MAX(0,IFERROR(INDEX(CADASTRO!$I$4:$I$80,MATCH($A49,CADASTRO!$A$4:$A$80,0)),$B49)-CONFIG!$B$50*(COUNTIF($Q49:$W49,"AB")+COUNTIF($Q49:$W49,"FE")+COUNTIF($Q49:$W49,"LM")))</f>
        <v/>
      </c>
      <c r="AZ49" s="117">
        <f>SUMPRODUCT(($X49:$AD49="M")*6+($X49:$AD49="T")*6+($X49:$AD49="D")*12+($X49:$AD49="N")*12+($X49:$AD49="NT")*6+($X49:$AD49="C")*10+($X49:$AD49="A")*8+($X49:$AD49="J")*5+($X49:$AD49="CEP")*4+($X49:$AD49="CP")*6+($X49:$AD49="CRO")*6+($X49:$AD49="M+")*6+($X49:$AD49="T+")*6+($X49:$AD49="D+")*12+($X49:$AD49="N+")*12+($X49:$AD49="Dm+")*12+($X49:$AD49="Dt+")*12+($X49:$AD49="Tm-")*6+($X49:$AD49="Mt-")*6)</f>
        <v/>
      </c>
      <c r="BA49" s="118">
        <f>AZ49-MAX(0,IFERROR(INDEX(CADASTRO!$I$4:$I$80,MATCH($A49,CADASTRO!$A$4:$A$80,0)),$B49)-CONFIG!$B$50*(COUNTIF($X49:$AD49,"AB")+COUNTIF($X49:$AD49,"FE")+COUNTIF($X49:$AD49,"LM")))</f>
        <v/>
      </c>
      <c r="BB49" s="117">
        <f>SUMPRODUCT(($AE49:$AK49="M")*6+($AE49:$AK49="T")*6+($AE49:$AK49="D")*12+($AE49:$AK49="N")*12+($AE49:$AK49="NT")*6+($AE49:$AK49="C")*10+($AE49:$AK49="A")*8+($AE49:$AK49="J")*5+($AE49:$AK49="CEP")*4+($AE49:$AK49="CP")*6+($AE49:$AK49="CRO")*6+($AE49:$AK49="M+")*6+($AE49:$AK49="T+")*6+($AE49:$AK49="D+")*12+($AE49:$AK49="N+")*12+($AE49:$AK49="Dm+")*12+($AE49:$AK49="Dt+")*12+($AE49:$AK49="Tm-")*6+($AE49:$AK49="Mt-")*6)</f>
        <v/>
      </c>
      <c r="BC49" s="118">
        <f>BB49-MAX(0,IFERROR(INDEX(CADASTRO!$I$4:$I$80,MATCH($A49,CADASTRO!$A$4:$A$80,0)),$B49)-CONFIG!$B$50*(COUNTIF($AE49:$AK49,"AB")+COUNTIF($AE49:$AK49,"FE")+COUNTIF($AE49:$AK49,"LM")))</f>
        <v/>
      </c>
      <c r="BD49" s="117">
        <f>SUMPRODUCT(($AL49:$AL49="M")*6+($AL49:$AL49="T")*6+($AL49:$AL49="D")*12+($AL49:$AL49="N")*12+($AL49:$AL49="NT")*6+($AL49:$AL49="C")*10+($AL49:$AL49="A")*8+($AL49:$AL49="J")*5+($AL49:$AL49="CEP")*4+($AL49:$AL49="CP")*6+($AL49:$AL49="CRO")*6+($AL49:$AL49="M+")*6+($AL49:$AL49="T+")*6+($AL49:$AL49="D+")*12+($AL49:$AL49="N+")*12+($AL49:$AL49="Dm+")*12+($AL49:$AL49="Dt+")*12+($AL49:$AL49="Tm-")*6+($AL49:$AL49="Mt-")*6)+SUMPRODUCT(($AN49:$AS49="M")*6+($AN49:$AS49="T")*6+($AN49:$AS49="D")*12+($AN49:$AS49="N")*12+($AN49:$AS49="NT")*6+($AN49:$AS49="C")*10+($AN49:$AS49="A")*8+($AN49:$AS49="J")*5+($AN49:$AS49="CEP")*4+($AN49:$AS49="CP")*6+($AN49:$AS49="CRO")*6+($AN49:$AS49="M+")*6+($AN49:$AS49="T+")*6+($AN49:$AS49="D+")*12+($AN49:$AS49="N+")*12+($AN49:$AS49="Dm+")*12+($AN49:$AS49="Dt+")*12+($AN49:$AS49="Tm-")*6+($AN49:$AS49="Mt-")*6)</f>
        <v/>
      </c>
      <c r="BE49" s="118">
        <f>BD49-MAX(0,IFERROR(INDEX(CADASTRO!$I$4:$I$80,MATCH($A49,CADASTRO!$A$4:$A$80,0)),$B49)-CONFIG!$B$50*(COUNTIF($AL49:$AL49,"AB")+COUNTIF($AL49:$AL49,"FE")+COUNTIF($AL49:$AL49,"LM")+COUNTIF($AN49:$AS49,"AB")+COUNTIF($AN49:$AS49,"FE")+COUNTIF($AN49:$AS49,"LM")))</f>
        <v/>
      </c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ROUND(B49*4.29,0)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36">
        <f>IFERROR(INDEX(OUT!AH$8:AH$73,MATCH($A50,OUT!$A$8:$A$73,0))&amp;"","")</f>
        <v/>
      </c>
      <c r="D50" s="136">
        <f>IFERROR(INDEX(OUT!AI$8:AI$73,MATCH($A50,OUT!$A$8:$A$73,0))&amp;"","")</f>
        <v/>
      </c>
      <c r="E50" s="136">
        <f>IFERROR(INDEX(OUT!AJ$8:AJ$73,MATCH($A50,OUT!$A$8:$A$73,0))&amp;"","")</f>
        <v/>
      </c>
      <c r="F50" s="136">
        <f>IFERROR(INDEX(OUT!AK$8:AK$73,MATCH($A50,OUT!$A$8:$A$73,0))&amp;"","")</f>
        <v/>
      </c>
      <c r="G50" s="136">
        <f>IFERROR(INDEX(OUT!AL$8:AL$73,MATCH($A50,OUT!$A$8:$A$73,0))&amp;"","")</f>
        <v/>
      </c>
      <c r="H50" s="116">
        <f>IFERROR(INDEX(OUT!AM$8:AM$73,MATCH($A50,OUT!$A$8:$A$73,0))&amp;"","")</f>
        <v/>
      </c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14" t="n"/>
      <c r="AF50" s="114" t="n"/>
      <c r="AG50" s="114" t="n"/>
      <c r="AH50" s="114" t="n"/>
      <c r="AI50" s="114" t="n"/>
      <c r="AJ50" s="114" t="n"/>
      <c r="AK50" s="114" t="n"/>
      <c r="AL50" s="114" t="n"/>
      <c r="AM50" s="100" t="n"/>
      <c r="AN50" s="136">
        <f>IFERROR(INDEX(DEZ!I$8:I$73,MATCH($A50,DEZ!$A$8:$A$73,0))&amp;"","")</f>
        <v/>
      </c>
      <c r="AO50" s="136">
        <f>IFERROR(INDEX(DEZ!J$8:J$73,MATCH($A50,DEZ!$A$8:$A$73,0))&amp;"","")</f>
        <v/>
      </c>
      <c r="AP50" s="136">
        <f>IFERROR(INDEX(DEZ!K$8:K$73,MATCH($A50,DEZ!$A$8:$A$73,0))&amp;"","")</f>
        <v/>
      </c>
      <c r="AQ50" s="136">
        <f>IFERROR(INDEX(DEZ!L$8:L$73,MATCH($A50,DEZ!$A$8:$A$73,0))&amp;"","")</f>
        <v/>
      </c>
      <c r="AR50" s="116">
        <f>IFERROR(INDEX(DEZ!M$8:M$73,MATCH($A50,DEZ!$A$8:$A$73,0))&amp;"","")</f>
        <v/>
      </c>
      <c r="AS50" s="116">
        <f>IFERROR(INDEX(DEZ!N$8:N$73,MATCH($A50,DEZ!$A$8:$A$73,0))&amp;"","")</f>
        <v/>
      </c>
      <c r="AT50" s="117">
        <f>SUMPRODUCT(($C50:$I50="M")*6+($C50:$I50="T")*6+($C50:$I50="D")*12+($C50:$I50="N")*12+($C50:$I50="NT")*6+($C50:$I50="C")*10+($C50:$I50="A")*8+($C50:$I50="J")*5+($C50:$I50="CEP")*4+($C50:$I50="CP")*6+($C50:$I50="CRO")*6+($C50:$I50="M+")*6+($C50:$I50="T+")*6+($C50:$I50="D+")*12+($C50:$I50="N+")*12+($C50:$I50="Dm+")*12+($C50:$I50="Dt+")*12+($C50:$I50="Tm-")*6+($C50:$I50="Mt-")*6)</f>
        <v/>
      </c>
      <c r="AU50" s="118">
        <f>AT50-MAX(0,IFERROR(INDEX(CADASTRO!$I$4:$I$80,MATCH($A50,CADASTRO!$A$4:$A$80,0)),$B50)-CONFIG!$B$50*(COUNTIF($C50:$I50,"AB")+COUNTIF($C50:$I50,"FE")+COUNTIF($C50:$I50,"LM")))</f>
        <v/>
      </c>
      <c r="AV50" s="117">
        <f>SUMPRODUCT(($J50:$P50="M")*6+($J50:$P50="T")*6+($J50:$P50="D")*12+($J50:$P50="N")*12+($J50:$P50="NT")*6+($J50:$P50="C")*10+($J50:$P50="A")*8+($J50:$P50="J")*5+($J50:$P50="CEP")*4+($J50:$P50="CP")*6+($J50:$P50="CRO")*6+($J50:$P50="M+")*6+($J50:$P50="T+")*6+($J50:$P50="D+")*12+($J50:$P50="N+")*12+($J50:$P50="Dm+")*12+($J50:$P50="Dt+")*12+($J50:$P50="Tm-")*6+($J50:$P50="Mt-")*6)</f>
        <v/>
      </c>
      <c r="AW50" s="118">
        <f>AV50-MAX(0,IFERROR(INDEX(CADASTRO!$I$4:$I$80,MATCH($A50,CADASTRO!$A$4:$A$80,0)),$B50)-CONFIG!$B$50*(COUNTIF($J50:$P50,"AB")+COUNTIF($J50:$P50,"FE")+COUNTIF($J50:$P50,"LM")))</f>
        <v/>
      </c>
      <c r="AX50" s="117">
        <f>SUMPRODUCT(($Q50:$W50="M")*6+($Q50:$W50="T")*6+($Q50:$W50="D")*12+($Q50:$W50="N")*12+($Q50:$W50="NT")*6+($Q50:$W50="C")*10+($Q50:$W50="A")*8+($Q50:$W50="J")*5+($Q50:$W50="CEP")*4+($Q50:$W50="CP")*6+($Q50:$W50="CRO")*6+($Q50:$W50="M+")*6+($Q50:$W50="T+")*6+($Q50:$W50="D+")*12+($Q50:$W50="N+")*12+($Q50:$W50="Dm+")*12+($Q50:$W50="Dt+")*12+($Q50:$W50="Tm-")*6+($Q50:$W50="Mt-")*6)</f>
        <v/>
      </c>
      <c r="AY50" s="118">
        <f>AX50-MAX(0,IFERROR(INDEX(CADASTRO!$I$4:$I$80,MATCH($A50,CADASTRO!$A$4:$A$80,0)),$B50)-CONFIG!$B$50*(COUNTIF($Q50:$W50,"AB")+COUNTIF($Q50:$W50,"FE")+COUNTIF($Q50:$W50,"LM")))</f>
        <v/>
      </c>
      <c r="AZ50" s="117">
        <f>SUMPRODUCT(($X50:$AD50="M")*6+($X50:$AD50="T")*6+($X50:$AD50="D")*12+($X50:$AD50="N")*12+($X50:$AD50="NT")*6+($X50:$AD50="C")*10+($X50:$AD50="A")*8+($X50:$AD50="J")*5+($X50:$AD50="CEP")*4+($X50:$AD50="CP")*6+($X50:$AD50="CRO")*6+($X50:$AD50="M+")*6+($X50:$AD50="T+")*6+($X50:$AD50="D+")*12+($X50:$AD50="N+")*12+($X50:$AD50="Dm+")*12+($X50:$AD50="Dt+")*12+($X50:$AD50="Tm-")*6+($X50:$AD50="Mt-")*6)</f>
        <v/>
      </c>
      <c r="BA50" s="118">
        <f>AZ50-MAX(0,IFERROR(INDEX(CADASTRO!$I$4:$I$80,MATCH($A50,CADASTRO!$A$4:$A$80,0)),$B50)-CONFIG!$B$50*(COUNTIF($X50:$AD50,"AB")+COUNTIF($X50:$AD50,"FE")+COUNTIF($X50:$AD50,"LM")))</f>
        <v/>
      </c>
      <c r="BB50" s="117">
        <f>SUMPRODUCT(($AE50:$AK50="M")*6+($AE50:$AK50="T")*6+($AE50:$AK50="D")*12+($AE50:$AK50="N")*12+($AE50:$AK50="NT")*6+($AE50:$AK50="C")*10+($AE50:$AK50="A")*8+($AE50:$AK50="J")*5+($AE50:$AK50="CEP")*4+($AE50:$AK50="CP")*6+($AE50:$AK50="CRO")*6+($AE50:$AK50="M+")*6+($AE50:$AK50="T+")*6+($AE50:$AK50="D+")*12+($AE50:$AK50="N+")*12+($AE50:$AK50="Dm+")*12+($AE50:$AK50="Dt+")*12+($AE50:$AK50="Tm-")*6+($AE50:$AK50="Mt-")*6)</f>
        <v/>
      </c>
      <c r="BC50" s="118">
        <f>BB50-MAX(0,IFERROR(INDEX(CADASTRO!$I$4:$I$80,MATCH($A50,CADASTRO!$A$4:$A$80,0)),$B50)-CONFIG!$B$50*(COUNTIF($AE50:$AK50,"AB")+COUNTIF($AE50:$AK50,"FE")+COUNTIF($AE50:$AK50,"LM")))</f>
        <v/>
      </c>
      <c r="BD50" s="117">
        <f>SUMPRODUCT(($AL50:$AL50="M")*6+($AL50:$AL50="T")*6+($AL50:$AL50="D")*12+($AL50:$AL50="N")*12+($AL50:$AL50="NT")*6+($AL50:$AL50="C")*10+($AL50:$AL50="A")*8+($AL50:$AL50="J")*5+($AL50:$AL50="CEP")*4+($AL50:$AL50="CP")*6+($AL50:$AL50="CRO")*6+($AL50:$AL50="M+")*6+($AL50:$AL50="T+")*6+($AL50:$AL50="D+")*12+($AL50:$AL50="N+")*12+($AL50:$AL50="Dm+")*12+($AL50:$AL50="Dt+")*12+($AL50:$AL50="Tm-")*6+($AL50:$AL50="Mt-")*6)+SUMPRODUCT(($AN50:$AS50="M")*6+($AN50:$AS50="T")*6+($AN50:$AS50="D")*12+($AN50:$AS50="N")*12+($AN50:$AS50="NT")*6+($AN50:$AS50="C")*10+($AN50:$AS50="A")*8+($AN50:$AS50="J")*5+($AN50:$AS50="CEP")*4+($AN50:$AS50="CP")*6+($AN50:$AS50="CRO")*6+($AN50:$AS50="M+")*6+($AN50:$AS50="T+")*6+($AN50:$AS50="D+")*12+($AN50:$AS50="N+")*12+($AN50:$AS50="Dm+")*12+($AN50:$AS50="Dt+")*12+($AN50:$AS50="Tm-")*6+($AN50:$AS50="Mt-")*6)</f>
        <v/>
      </c>
      <c r="BE50" s="118">
        <f>BD50-MAX(0,IFERROR(INDEX(CADASTRO!$I$4:$I$80,MATCH($A50,CADASTRO!$A$4:$A$80,0)),$B50)-CONFIG!$B$50*(COUNTIF($AL50:$AL50,"AB")+COUNTIF($AL50:$AL50,"FE")+COUNTIF($AL50:$AL50,"LM")+COUNTIF($AN50:$AS50,"AB")+COUNTIF($AN50:$AS50,"FE")+COUNTIF($AN50:$AS50,"LM")))</f>
        <v/>
      </c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ROUND(B50*4.29,0)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36">
        <f>IFERROR(INDEX(OUT!AH$8:AH$73,MATCH($A51,OUT!$A$8:$A$73,0))&amp;"","")</f>
        <v/>
      </c>
      <c r="D51" s="136">
        <f>IFERROR(INDEX(OUT!AI$8:AI$73,MATCH($A51,OUT!$A$8:$A$73,0))&amp;"","")</f>
        <v/>
      </c>
      <c r="E51" s="136">
        <f>IFERROR(INDEX(OUT!AJ$8:AJ$73,MATCH($A51,OUT!$A$8:$A$73,0))&amp;"","")</f>
        <v/>
      </c>
      <c r="F51" s="136">
        <f>IFERROR(INDEX(OUT!AK$8:AK$73,MATCH($A51,OUT!$A$8:$A$73,0))&amp;"","")</f>
        <v/>
      </c>
      <c r="G51" s="136">
        <f>IFERROR(INDEX(OUT!AL$8:AL$73,MATCH($A51,OUT!$A$8:$A$73,0))&amp;"","")</f>
        <v/>
      </c>
      <c r="H51" s="116">
        <f>IFERROR(INDEX(OUT!AM$8:AM$73,MATCH($A51,OUT!$A$8:$A$73,0))&amp;"","")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00" t="n"/>
      <c r="AN51" s="136">
        <f>IFERROR(INDEX(DEZ!I$8:I$73,MATCH($A51,DEZ!$A$8:$A$73,0))&amp;"","")</f>
        <v/>
      </c>
      <c r="AO51" s="136">
        <f>IFERROR(INDEX(DEZ!J$8:J$73,MATCH($A51,DEZ!$A$8:$A$73,0))&amp;"","")</f>
        <v/>
      </c>
      <c r="AP51" s="136">
        <f>IFERROR(INDEX(DEZ!K$8:K$73,MATCH($A51,DEZ!$A$8:$A$73,0))&amp;"","")</f>
        <v/>
      </c>
      <c r="AQ51" s="136">
        <f>IFERROR(INDEX(DEZ!L$8:L$73,MATCH($A51,DEZ!$A$8:$A$73,0))&amp;"","")</f>
        <v/>
      </c>
      <c r="AR51" s="116">
        <f>IFERROR(INDEX(DEZ!M$8:M$73,MATCH($A51,DEZ!$A$8:$A$73,0))&amp;"","")</f>
        <v/>
      </c>
      <c r="AS51" s="116">
        <f>IFERROR(INDEX(DEZ!N$8:N$73,MATCH($A51,DEZ!$A$8:$A$73,0))&amp;"","")</f>
        <v/>
      </c>
      <c r="AT51" s="117">
        <f>SUMPRODUCT(($C51:$I51="M")*6+($C51:$I51="T")*6+($C51:$I51="D")*12+($C51:$I51="N")*12+($C51:$I51="NT")*6+($C51:$I51="C")*10+($C51:$I51="A")*8+($C51:$I51="J")*5+($C51:$I51="CEP")*4+($C51:$I51="CP")*6+($C51:$I51="CRO")*6+($C51:$I51="M+")*6+($C51:$I51="T+")*6+($C51:$I51="D+")*12+($C51:$I51="N+")*12+($C51:$I51="Dm+")*12+($C51:$I51="Dt+")*12+($C51:$I51="Tm-")*6+($C51:$I51="Mt-")*6)</f>
        <v/>
      </c>
      <c r="AU51" s="118">
        <f>AT51-MAX(0,IFERROR(INDEX(CADASTRO!$I$4:$I$80,MATCH($A51,CADASTRO!$A$4:$A$80,0)),$B51)-CONFIG!$B$50*(COUNTIF($C51:$I51,"AB")+COUNTIF($C51:$I51,"FE")+COUNTIF($C51:$I51,"LM")))</f>
        <v/>
      </c>
      <c r="AV51" s="117">
        <f>SUMPRODUCT(($J51:$P51="M")*6+($J51:$P51="T")*6+($J51:$P51="D")*12+($J51:$P51="N")*12+($J51:$P51="NT")*6+($J51:$P51="C")*10+($J51:$P51="A")*8+($J51:$P51="J")*5+($J51:$P51="CEP")*4+($J51:$P51="CP")*6+($J51:$P51="CRO")*6+($J51:$P51="M+")*6+($J51:$P51="T+")*6+($J51:$P51="D+")*12+($J51:$P51="N+")*12+($J51:$P51="Dm+")*12+($J51:$P51="Dt+")*12+($J51:$P51="Tm-")*6+($J51:$P51="Mt-")*6)</f>
        <v/>
      </c>
      <c r="AW51" s="118">
        <f>AV51-MAX(0,IFERROR(INDEX(CADASTRO!$I$4:$I$80,MATCH($A51,CADASTRO!$A$4:$A$80,0)),$B51)-CONFIG!$B$50*(COUNTIF($J51:$P51,"AB")+COUNTIF($J51:$P51,"FE")+COUNTIF($J51:$P51,"LM")))</f>
        <v/>
      </c>
      <c r="AX51" s="117">
        <f>SUMPRODUCT(($Q51:$W51="M")*6+($Q51:$W51="T")*6+($Q51:$W51="D")*12+($Q51:$W51="N")*12+($Q51:$W51="NT")*6+($Q51:$W51="C")*10+($Q51:$W51="A")*8+($Q51:$W51="J")*5+($Q51:$W51="CEP")*4+($Q51:$W51="CP")*6+($Q51:$W51="CRO")*6+($Q51:$W51="M+")*6+($Q51:$W51="T+")*6+($Q51:$W51="D+")*12+($Q51:$W51="N+")*12+($Q51:$W51="Dm+")*12+($Q51:$W51="Dt+")*12+($Q51:$W51="Tm-")*6+($Q51:$W51="Mt-")*6)</f>
        <v/>
      </c>
      <c r="AY51" s="118">
        <f>AX51-MAX(0,IFERROR(INDEX(CADASTRO!$I$4:$I$80,MATCH($A51,CADASTRO!$A$4:$A$80,0)),$B51)-CONFIG!$B$50*(COUNTIF($Q51:$W51,"AB")+COUNTIF($Q51:$W51,"FE")+COUNTIF($Q51:$W51,"LM")))</f>
        <v/>
      </c>
      <c r="AZ51" s="117">
        <f>SUMPRODUCT(($X51:$AD51="M")*6+($X51:$AD51="T")*6+($X51:$AD51="D")*12+($X51:$AD51="N")*12+($X51:$AD51="NT")*6+($X51:$AD51="C")*10+($X51:$AD51="A")*8+($X51:$AD51="J")*5+($X51:$AD51="CEP")*4+($X51:$AD51="CP")*6+($X51:$AD51="CRO")*6+($X51:$AD51="M+")*6+($X51:$AD51="T+")*6+($X51:$AD51="D+")*12+($X51:$AD51="N+")*12+($X51:$AD51="Dm+")*12+($X51:$AD51="Dt+")*12+($X51:$AD51="Tm-")*6+($X51:$AD51="Mt-")*6)</f>
        <v/>
      </c>
      <c r="BA51" s="118">
        <f>AZ51-MAX(0,IFERROR(INDEX(CADASTRO!$I$4:$I$80,MATCH($A51,CADASTRO!$A$4:$A$80,0)),$B51)-CONFIG!$B$50*(COUNTIF($X51:$AD51,"AB")+COUNTIF($X51:$AD51,"FE")+COUNTIF($X51:$AD51,"LM")))</f>
        <v/>
      </c>
      <c r="BB51" s="117">
        <f>SUMPRODUCT(($AE51:$AK51="M")*6+($AE51:$AK51="T")*6+($AE51:$AK51="D")*12+($AE51:$AK51="N")*12+($AE51:$AK51="NT")*6+($AE51:$AK51="C")*10+($AE51:$AK51="A")*8+($AE51:$AK51="J")*5+($AE51:$AK51="CEP")*4+($AE51:$AK51="CP")*6+($AE51:$AK51="CRO")*6+($AE51:$AK51="M+")*6+($AE51:$AK51="T+")*6+($AE51:$AK51="D+")*12+($AE51:$AK51="N+")*12+($AE51:$AK51="Dm+")*12+($AE51:$AK51="Dt+")*12+($AE51:$AK51="Tm-")*6+($AE51:$AK51="Mt-")*6)</f>
        <v/>
      </c>
      <c r="BC51" s="118">
        <f>BB51-MAX(0,IFERROR(INDEX(CADASTRO!$I$4:$I$80,MATCH($A51,CADASTRO!$A$4:$A$80,0)),$B51)-CONFIG!$B$50*(COUNTIF($AE51:$AK51,"AB")+COUNTIF($AE51:$AK51,"FE")+COUNTIF($AE51:$AK51,"LM")))</f>
        <v/>
      </c>
      <c r="BD51" s="117">
        <f>SUMPRODUCT(($AL51:$AL51="M")*6+($AL51:$AL51="T")*6+($AL51:$AL51="D")*12+($AL51:$AL51="N")*12+($AL51:$AL51="NT")*6+($AL51:$AL51="C")*10+($AL51:$AL51="A")*8+($AL51:$AL51="J")*5+($AL51:$AL51="CEP")*4+($AL51:$AL51="CP")*6+($AL51:$AL51="CRO")*6+($AL51:$AL51="M+")*6+($AL51:$AL51="T+")*6+($AL51:$AL51="D+")*12+($AL51:$AL51="N+")*12+($AL51:$AL51="Dm+")*12+($AL51:$AL51="Dt+")*12+($AL51:$AL51="Tm-")*6+($AL51:$AL51="Mt-")*6)+SUMPRODUCT(($AN51:$AS51="M")*6+($AN51:$AS51="T")*6+($AN51:$AS51="D")*12+($AN51:$AS51="N")*12+($AN51:$AS51="NT")*6+($AN51:$AS51="C")*10+($AN51:$AS51="A")*8+($AN51:$AS51="J")*5+($AN51:$AS51="CEP")*4+($AN51:$AS51="CP")*6+($AN51:$AS51="CRO")*6+($AN51:$AS51="M+")*6+($AN51:$AS51="T+")*6+($AN51:$AS51="D+")*12+($AN51:$AS51="N+")*12+($AN51:$AS51="Dm+")*12+($AN51:$AS51="Dt+")*12+($AN51:$AS51="Tm-")*6+($AN51:$AS51="Mt-")*6)</f>
        <v/>
      </c>
      <c r="BE51" s="118">
        <f>BD51-MAX(0,IFERROR(INDEX(CADASTRO!$I$4:$I$80,MATCH($A51,CADASTRO!$A$4:$A$80,0)),$B51)-CONFIG!$B$50*(COUNTIF($AL51:$AL51,"AB")+COUNTIF($AL51:$AL51,"FE")+COUNTIF($AL51:$AL51,"LM")+COUNTIF($AN51:$AS51,"AB")+COUNTIF($AN51:$AS51,"FE")+COUNTIF($AN51:$AS51,"LM")))</f>
        <v/>
      </c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ROUND(B51*4.29,0)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36">
        <f>IFERROR(INDEX(OUT!AH$8:AH$73,MATCH($A52,OUT!$A$8:$A$73,0))&amp;"","")</f>
        <v/>
      </c>
      <c r="D52" s="136">
        <f>IFERROR(INDEX(OUT!AI$8:AI$73,MATCH($A52,OUT!$A$8:$A$73,0))&amp;"","")</f>
        <v/>
      </c>
      <c r="E52" s="136">
        <f>IFERROR(INDEX(OUT!AJ$8:AJ$73,MATCH($A52,OUT!$A$8:$A$73,0))&amp;"","")</f>
        <v/>
      </c>
      <c r="F52" s="136">
        <f>IFERROR(INDEX(OUT!AK$8:AK$73,MATCH($A52,OUT!$A$8:$A$73,0))&amp;"","")</f>
        <v/>
      </c>
      <c r="G52" s="136">
        <f>IFERROR(INDEX(OUT!AL$8:AL$73,MATCH($A52,OUT!$A$8:$A$73,0))&amp;"","")</f>
        <v/>
      </c>
      <c r="H52" s="116">
        <f>IFERROR(INDEX(OUT!AM$8:AM$73,MATCH($A52,OUT!$A$8:$A$73,0))&amp;"","")</f>
        <v/>
      </c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4" t="n"/>
      <c r="AF52" s="114" t="n"/>
      <c r="AG52" s="114" t="n"/>
      <c r="AH52" s="114" t="n"/>
      <c r="AI52" s="114" t="n"/>
      <c r="AJ52" s="114" t="n"/>
      <c r="AK52" s="114" t="n"/>
      <c r="AL52" s="114" t="n"/>
      <c r="AM52" s="100" t="n"/>
      <c r="AN52" s="136">
        <f>IFERROR(INDEX(DEZ!I$8:I$73,MATCH($A52,DEZ!$A$8:$A$73,0))&amp;"","")</f>
        <v/>
      </c>
      <c r="AO52" s="136">
        <f>IFERROR(INDEX(DEZ!J$8:J$73,MATCH($A52,DEZ!$A$8:$A$73,0))&amp;"","")</f>
        <v/>
      </c>
      <c r="AP52" s="136">
        <f>IFERROR(INDEX(DEZ!K$8:K$73,MATCH($A52,DEZ!$A$8:$A$73,0))&amp;"","")</f>
        <v/>
      </c>
      <c r="AQ52" s="136">
        <f>IFERROR(INDEX(DEZ!L$8:L$73,MATCH($A52,DEZ!$A$8:$A$73,0))&amp;"","")</f>
        <v/>
      </c>
      <c r="AR52" s="116">
        <f>IFERROR(INDEX(DEZ!M$8:M$73,MATCH($A52,DEZ!$A$8:$A$73,0))&amp;"","")</f>
        <v/>
      </c>
      <c r="AS52" s="116">
        <f>IFERROR(INDEX(DEZ!N$8:N$73,MATCH($A52,DEZ!$A$8:$A$73,0))&amp;"","")</f>
        <v/>
      </c>
      <c r="AT52" s="117">
        <f>SUMPRODUCT(($C52:$I52="M")*6+($C52:$I52="T")*6+($C52:$I52="D")*12+($C52:$I52="N")*12+($C52:$I52="NT")*6+($C52:$I52="C")*10+($C52:$I52="A")*8+($C52:$I52="J")*5+($C52:$I52="CEP")*4+($C52:$I52="CP")*6+($C52:$I52="CRO")*6+($C52:$I52="M+")*6+($C52:$I52="T+")*6+($C52:$I52="D+")*12+($C52:$I52="N+")*12+($C52:$I52="Dm+")*12+($C52:$I52="Dt+")*12+($C52:$I52="Tm-")*6+($C52:$I52="Mt-")*6)</f>
        <v/>
      </c>
      <c r="AU52" s="118">
        <f>AT52-MAX(0,IFERROR(INDEX(CADASTRO!$I$4:$I$80,MATCH($A52,CADASTRO!$A$4:$A$80,0)),$B52)-CONFIG!$B$50*(COUNTIF($C52:$I52,"AB")+COUNTIF($C52:$I52,"FE")+COUNTIF($C52:$I52,"LM")))</f>
        <v/>
      </c>
      <c r="AV52" s="117">
        <f>SUMPRODUCT(($J52:$P52="M")*6+($J52:$P52="T")*6+($J52:$P52="D")*12+($J52:$P52="N")*12+($J52:$P52="NT")*6+($J52:$P52="C")*10+($J52:$P52="A")*8+($J52:$P52="J")*5+($J52:$P52="CEP")*4+($J52:$P52="CP")*6+($J52:$P52="CRO")*6+($J52:$P52="M+")*6+($J52:$P52="T+")*6+($J52:$P52="D+")*12+($J52:$P52="N+")*12+($J52:$P52="Dm+")*12+($J52:$P52="Dt+")*12+($J52:$P52="Tm-")*6+($J52:$P52="Mt-")*6)</f>
        <v/>
      </c>
      <c r="AW52" s="118">
        <f>AV52-MAX(0,IFERROR(INDEX(CADASTRO!$I$4:$I$80,MATCH($A52,CADASTRO!$A$4:$A$80,0)),$B52)-CONFIG!$B$50*(COUNTIF($J52:$P52,"AB")+COUNTIF($J52:$P52,"FE")+COUNTIF($J52:$P52,"LM")))</f>
        <v/>
      </c>
      <c r="AX52" s="117">
        <f>SUMPRODUCT(($Q52:$W52="M")*6+($Q52:$W52="T")*6+($Q52:$W52="D")*12+($Q52:$W52="N")*12+($Q52:$W52="NT")*6+($Q52:$W52="C")*10+($Q52:$W52="A")*8+($Q52:$W52="J")*5+($Q52:$W52="CEP")*4+($Q52:$W52="CP")*6+($Q52:$W52="CRO")*6+($Q52:$W52="M+")*6+($Q52:$W52="T+")*6+($Q52:$W52="D+")*12+($Q52:$W52="N+")*12+($Q52:$W52="Dm+")*12+($Q52:$W52="Dt+")*12+($Q52:$W52="Tm-")*6+($Q52:$W52="Mt-")*6)</f>
        <v/>
      </c>
      <c r="AY52" s="118">
        <f>AX52-MAX(0,IFERROR(INDEX(CADASTRO!$I$4:$I$80,MATCH($A52,CADASTRO!$A$4:$A$80,0)),$B52)-CONFIG!$B$50*(COUNTIF($Q52:$W52,"AB")+COUNTIF($Q52:$W52,"FE")+COUNTIF($Q52:$W52,"LM")))</f>
        <v/>
      </c>
      <c r="AZ52" s="117">
        <f>SUMPRODUCT(($X52:$AD52="M")*6+($X52:$AD52="T")*6+($X52:$AD52="D")*12+($X52:$AD52="N")*12+($X52:$AD52="NT")*6+($X52:$AD52="C")*10+($X52:$AD52="A")*8+($X52:$AD52="J")*5+($X52:$AD52="CEP")*4+($X52:$AD52="CP")*6+($X52:$AD52="CRO")*6+($X52:$AD52="M+")*6+($X52:$AD52="T+")*6+($X52:$AD52="D+")*12+($X52:$AD52="N+")*12+($X52:$AD52="Dm+")*12+($X52:$AD52="Dt+")*12+($X52:$AD52="Tm-")*6+($X52:$AD52="Mt-")*6)</f>
        <v/>
      </c>
      <c r="BA52" s="118">
        <f>AZ52-MAX(0,IFERROR(INDEX(CADASTRO!$I$4:$I$80,MATCH($A52,CADASTRO!$A$4:$A$80,0)),$B52)-CONFIG!$B$50*(COUNTIF($X52:$AD52,"AB")+COUNTIF($X52:$AD52,"FE")+COUNTIF($X52:$AD52,"LM")))</f>
        <v/>
      </c>
      <c r="BB52" s="117">
        <f>SUMPRODUCT(($AE52:$AK52="M")*6+($AE52:$AK52="T")*6+($AE52:$AK52="D")*12+($AE52:$AK52="N")*12+($AE52:$AK52="NT")*6+($AE52:$AK52="C")*10+($AE52:$AK52="A")*8+($AE52:$AK52="J")*5+($AE52:$AK52="CEP")*4+($AE52:$AK52="CP")*6+($AE52:$AK52="CRO")*6+($AE52:$AK52="M+")*6+($AE52:$AK52="T+")*6+($AE52:$AK52="D+")*12+($AE52:$AK52="N+")*12+($AE52:$AK52="Dm+")*12+($AE52:$AK52="Dt+")*12+($AE52:$AK52="Tm-")*6+($AE52:$AK52="Mt-")*6)</f>
        <v/>
      </c>
      <c r="BC52" s="118">
        <f>BB52-MAX(0,IFERROR(INDEX(CADASTRO!$I$4:$I$80,MATCH($A52,CADASTRO!$A$4:$A$80,0)),$B52)-CONFIG!$B$50*(COUNTIF($AE52:$AK52,"AB")+COUNTIF($AE52:$AK52,"FE")+COUNTIF($AE52:$AK52,"LM")))</f>
        <v/>
      </c>
      <c r="BD52" s="117">
        <f>SUMPRODUCT(($AL52:$AL52="M")*6+($AL52:$AL52="T")*6+($AL52:$AL52="D")*12+($AL52:$AL52="N")*12+($AL52:$AL52="NT")*6+($AL52:$AL52="C")*10+($AL52:$AL52="A")*8+($AL52:$AL52="J")*5+($AL52:$AL52="CEP")*4+($AL52:$AL52="CP")*6+($AL52:$AL52="CRO")*6+($AL52:$AL52="M+")*6+($AL52:$AL52="T+")*6+($AL52:$AL52="D+")*12+($AL52:$AL52="N+")*12+($AL52:$AL52="Dm+")*12+($AL52:$AL52="Dt+")*12+($AL52:$AL52="Tm-")*6+($AL52:$AL52="Mt-")*6)+SUMPRODUCT(($AN52:$AS52="M")*6+($AN52:$AS52="T")*6+($AN52:$AS52="D")*12+($AN52:$AS52="N")*12+($AN52:$AS52="NT")*6+($AN52:$AS52="C")*10+($AN52:$AS52="A")*8+($AN52:$AS52="J")*5+($AN52:$AS52="CEP")*4+($AN52:$AS52="CP")*6+($AN52:$AS52="CRO")*6+($AN52:$AS52="M+")*6+($AN52:$AS52="T+")*6+($AN52:$AS52="D+")*12+($AN52:$AS52="N+")*12+($AN52:$AS52="Dm+")*12+($AN52:$AS52="Dt+")*12+($AN52:$AS52="Tm-")*6+($AN52:$AS52="Mt-")*6)</f>
        <v/>
      </c>
      <c r="BE52" s="118">
        <f>BD52-MAX(0,IFERROR(INDEX(CADASTRO!$I$4:$I$80,MATCH($A52,CADASTRO!$A$4:$A$80,0)),$B52)-CONFIG!$B$50*(COUNTIF($AL52:$AL52,"AB")+COUNTIF($AL52:$AL52,"FE")+COUNTIF($AL52:$AL52,"LM")+COUNTIF($AN52:$AS52,"AB")+COUNTIF($AN52:$AS52,"FE")+COUNTIF($AN52:$AS52,"LM")))</f>
        <v/>
      </c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ROUND(B52*4.29,0)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36">
        <f>IFERROR(INDEX(OUT!AH$8:AH$73,MATCH($A53,OUT!$A$8:$A$73,0))&amp;"","")</f>
        <v/>
      </c>
      <c r="D53" s="136">
        <f>IFERROR(INDEX(OUT!AI$8:AI$73,MATCH($A53,OUT!$A$8:$A$73,0))&amp;"","")</f>
        <v/>
      </c>
      <c r="E53" s="136">
        <f>IFERROR(INDEX(OUT!AJ$8:AJ$73,MATCH($A53,OUT!$A$8:$A$73,0))&amp;"","")</f>
        <v/>
      </c>
      <c r="F53" s="136">
        <f>IFERROR(INDEX(OUT!AK$8:AK$73,MATCH($A53,OUT!$A$8:$A$73,0))&amp;"","")</f>
        <v/>
      </c>
      <c r="G53" s="136">
        <f>IFERROR(INDEX(OUT!AL$8:AL$73,MATCH($A53,OUT!$A$8:$A$73,0))&amp;"","")</f>
        <v/>
      </c>
      <c r="H53" s="116">
        <f>IFERROR(INDEX(OUT!AM$8:AM$73,MATCH($A53,OUT!$A$8:$A$73,0))&amp;"","")</f>
        <v/>
      </c>
      <c r="I53" s="124" t="inlineStr">
        <is>
          <t>D</t>
        </is>
      </c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14" t="n"/>
      <c r="AF53" s="114" t="n"/>
      <c r="AG53" s="114" t="n"/>
      <c r="AH53" s="114" t="n"/>
      <c r="AI53" s="114" t="n"/>
      <c r="AJ53" s="114" t="n"/>
      <c r="AK53" s="114" t="n"/>
      <c r="AL53" s="114" t="n"/>
      <c r="AM53" s="100" t="n"/>
      <c r="AN53" s="136">
        <f>IFERROR(INDEX(DEZ!I$8:I$73,MATCH($A53,DEZ!$A$8:$A$73,0))&amp;"","")</f>
        <v/>
      </c>
      <c r="AO53" s="136">
        <f>IFERROR(INDEX(DEZ!J$8:J$73,MATCH($A53,DEZ!$A$8:$A$73,0))&amp;"","")</f>
        <v/>
      </c>
      <c r="AP53" s="136">
        <f>IFERROR(INDEX(DEZ!K$8:K$73,MATCH($A53,DEZ!$A$8:$A$73,0))&amp;"","")</f>
        <v/>
      </c>
      <c r="AQ53" s="136">
        <f>IFERROR(INDEX(DEZ!L$8:L$73,MATCH($A53,DEZ!$A$8:$A$73,0))&amp;"","")</f>
        <v/>
      </c>
      <c r="AR53" s="116">
        <f>IFERROR(INDEX(DEZ!M$8:M$73,MATCH($A53,DEZ!$A$8:$A$73,0))&amp;"","")</f>
        <v/>
      </c>
      <c r="AS53" s="116">
        <f>IFERROR(INDEX(DEZ!N$8:N$73,MATCH($A53,DEZ!$A$8:$A$73,0))&amp;"","")</f>
        <v/>
      </c>
      <c r="AT53" s="117">
        <f>SUMPRODUCT(($C53:$I53="M")*6+($C53:$I53="T")*6+($C53:$I53="D")*12+($C53:$I53="N")*12+($C53:$I53="NT")*6+($C53:$I53="C")*10+($C53:$I53="A")*8+($C53:$I53="J")*5+($C53:$I53="CEP")*4+($C53:$I53="CP")*6+($C53:$I53="CRO")*6+($C53:$I53="M+")*6+($C53:$I53="T+")*6+($C53:$I53="D+")*12+($C53:$I53="N+")*12+($C53:$I53="Dm+")*12+($C53:$I53="Dt+")*12+($C53:$I53="Tm-")*6+($C53:$I53="Mt-")*6)</f>
        <v/>
      </c>
      <c r="AU53" s="118">
        <f>AT53-MAX(0,IFERROR(INDEX(CADASTRO!$I$4:$I$80,MATCH($A53,CADASTRO!$A$4:$A$80,0)),$B53)-CONFIG!$B$50*(COUNTIF($C53:$I53,"AB")+COUNTIF($C53:$I53,"FE")+COUNTIF($C53:$I53,"LM")))</f>
        <v/>
      </c>
      <c r="AV53" s="117">
        <f>SUMPRODUCT(($J53:$P53="M")*6+($J53:$P53="T")*6+($J53:$P53="D")*12+($J53:$P53="N")*12+($J53:$P53="NT")*6+($J53:$P53="C")*10+($J53:$P53="A")*8+($J53:$P53="J")*5+($J53:$P53="CEP")*4+($J53:$P53="CP")*6+($J53:$P53="CRO")*6+($J53:$P53="M+")*6+($J53:$P53="T+")*6+($J53:$P53="D+")*12+($J53:$P53="N+")*12+($J53:$P53="Dm+")*12+($J53:$P53="Dt+")*12+($J53:$P53="Tm-")*6+($J53:$P53="Mt-")*6)</f>
        <v/>
      </c>
      <c r="AW53" s="118">
        <f>AV53-MAX(0,IFERROR(INDEX(CADASTRO!$I$4:$I$80,MATCH($A53,CADASTRO!$A$4:$A$80,0)),$B53)-CONFIG!$B$50*(COUNTIF($J53:$P53,"AB")+COUNTIF($J53:$P53,"FE")+COUNTIF($J53:$P53,"LM")))</f>
        <v/>
      </c>
      <c r="AX53" s="117">
        <f>SUMPRODUCT(($Q53:$W53="M")*6+($Q53:$W53="T")*6+($Q53:$W53="D")*12+($Q53:$W53="N")*12+($Q53:$W53="NT")*6+($Q53:$W53="C")*10+($Q53:$W53="A")*8+($Q53:$W53="J")*5+($Q53:$W53="CEP")*4+($Q53:$W53="CP")*6+($Q53:$W53="CRO")*6+($Q53:$W53="M+")*6+($Q53:$W53="T+")*6+($Q53:$W53="D+")*12+($Q53:$W53="N+")*12+($Q53:$W53="Dm+")*12+($Q53:$W53="Dt+")*12+($Q53:$W53="Tm-")*6+($Q53:$W53="Mt-")*6)</f>
        <v/>
      </c>
      <c r="AY53" s="118">
        <f>AX53-MAX(0,IFERROR(INDEX(CADASTRO!$I$4:$I$80,MATCH($A53,CADASTRO!$A$4:$A$80,0)),$B53)-CONFIG!$B$50*(COUNTIF($Q53:$W53,"AB")+COUNTIF($Q53:$W53,"FE")+COUNTIF($Q53:$W53,"LM")))</f>
        <v/>
      </c>
      <c r="AZ53" s="117">
        <f>SUMPRODUCT(($X53:$AD53="M")*6+($X53:$AD53="T")*6+($X53:$AD53="D")*12+($X53:$AD53="N")*12+($X53:$AD53="NT")*6+($X53:$AD53="C")*10+($X53:$AD53="A")*8+($X53:$AD53="J")*5+($X53:$AD53="CEP")*4+($X53:$AD53="CP")*6+($X53:$AD53="CRO")*6+($X53:$AD53="M+")*6+($X53:$AD53="T+")*6+($X53:$AD53="D+")*12+($X53:$AD53="N+")*12+($X53:$AD53="Dm+")*12+($X53:$AD53="Dt+")*12+($X53:$AD53="Tm-")*6+($X53:$AD53="Mt-")*6)</f>
        <v/>
      </c>
      <c r="BA53" s="118">
        <f>AZ53-MAX(0,IFERROR(INDEX(CADASTRO!$I$4:$I$80,MATCH($A53,CADASTRO!$A$4:$A$80,0)),$B53)-CONFIG!$B$50*(COUNTIF($X53:$AD53,"AB")+COUNTIF($X53:$AD53,"FE")+COUNTIF($X53:$AD53,"LM")))</f>
        <v/>
      </c>
      <c r="BB53" s="117">
        <f>SUMPRODUCT(($AE53:$AK53="M")*6+($AE53:$AK53="T")*6+($AE53:$AK53="D")*12+($AE53:$AK53="N")*12+($AE53:$AK53="NT")*6+($AE53:$AK53="C")*10+($AE53:$AK53="A")*8+($AE53:$AK53="J")*5+($AE53:$AK53="CEP")*4+($AE53:$AK53="CP")*6+($AE53:$AK53="CRO")*6+($AE53:$AK53="M+")*6+($AE53:$AK53="T+")*6+($AE53:$AK53="D+")*12+($AE53:$AK53="N+")*12+($AE53:$AK53="Dm+")*12+($AE53:$AK53="Dt+")*12+($AE53:$AK53="Tm-")*6+($AE53:$AK53="Mt-")*6)</f>
        <v/>
      </c>
      <c r="BC53" s="118">
        <f>BB53-MAX(0,IFERROR(INDEX(CADASTRO!$I$4:$I$80,MATCH($A53,CADASTRO!$A$4:$A$80,0)),$B53)-CONFIG!$B$50*(COUNTIF($AE53:$AK53,"AB")+COUNTIF($AE53:$AK53,"FE")+COUNTIF($AE53:$AK53,"LM")))</f>
        <v/>
      </c>
      <c r="BD53" s="117">
        <f>SUMPRODUCT(($AL53:$AL53="M")*6+($AL53:$AL53="T")*6+($AL53:$AL53="D")*12+($AL53:$AL53="N")*12+($AL53:$AL53="NT")*6+($AL53:$AL53="C")*10+($AL53:$AL53="A")*8+($AL53:$AL53="J")*5+($AL53:$AL53="CEP")*4+($AL53:$AL53="CP")*6+($AL53:$AL53="CRO")*6+($AL53:$AL53="M+")*6+($AL53:$AL53="T+")*6+($AL53:$AL53="D+")*12+($AL53:$AL53="N+")*12+($AL53:$AL53="Dm+")*12+($AL53:$AL53="Dt+")*12+($AL53:$AL53="Tm-")*6+($AL53:$AL53="Mt-")*6)+SUMPRODUCT(($AN53:$AS53="M")*6+($AN53:$AS53="T")*6+($AN53:$AS53="D")*12+($AN53:$AS53="N")*12+($AN53:$AS53="NT")*6+($AN53:$AS53="C")*10+($AN53:$AS53="A")*8+($AN53:$AS53="J")*5+($AN53:$AS53="CEP")*4+($AN53:$AS53="CP")*6+($AN53:$AS53="CRO")*6+($AN53:$AS53="M+")*6+($AN53:$AS53="T+")*6+($AN53:$AS53="D+")*12+($AN53:$AS53="N+")*12+($AN53:$AS53="Dm+")*12+($AN53:$AS53="Dt+")*12+($AN53:$AS53="Tm-")*6+($AN53:$AS53="Mt-")*6)</f>
        <v/>
      </c>
      <c r="BE53" s="118">
        <f>BD53-MAX(0,IFERROR(INDEX(CADASTRO!$I$4:$I$80,MATCH($A53,CADASTRO!$A$4:$A$80,0)),$B53)-CONFIG!$B$50*(COUNTIF($AL53:$AL53,"AB")+COUNTIF($AL53:$AL53,"FE")+COUNTIF($AL53:$AL53,"LM")+COUNTIF($AN53:$AS53,"AB")+COUNTIF($AN53:$AS53,"FE")+COUNTIF($AN53:$AS53,"LM")))</f>
        <v/>
      </c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ROUND(B53*4.29,0)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36">
        <f>IFERROR(INDEX(OUT!AH$8:AH$73,MATCH($A54,OUT!$A$8:$A$73,0))&amp;"","")</f>
        <v/>
      </c>
      <c r="D54" s="136">
        <f>IFERROR(INDEX(OUT!AI$8:AI$73,MATCH($A54,OUT!$A$8:$A$73,0))&amp;"","")</f>
        <v/>
      </c>
      <c r="E54" s="136">
        <f>IFERROR(INDEX(OUT!AJ$8:AJ$73,MATCH($A54,OUT!$A$8:$A$73,0))&amp;"","")</f>
        <v/>
      </c>
      <c r="F54" s="136">
        <f>IFERROR(INDEX(OUT!AK$8:AK$73,MATCH($A54,OUT!$A$8:$A$73,0))&amp;"","")</f>
        <v/>
      </c>
      <c r="G54" s="136">
        <f>IFERROR(INDEX(OUT!AL$8:AL$73,MATCH($A54,OUT!$A$8:$A$73,0))&amp;"","")</f>
        <v/>
      </c>
      <c r="H54" s="116">
        <f>IFERROR(INDEX(OUT!AM$8:AM$73,MATCH($A54,OUT!$A$8:$A$73,0))&amp;"","")</f>
        <v/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14" t="n"/>
      <c r="AF54" s="114" t="n"/>
      <c r="AG54" s="114" t="n"/>
      <c r="AH54" s="114" t="n"/>
      <c r="AI54" s="114" t="n"/>
      <c r="AJ54" s="114" t="n"/>
      <c r="AK54" s="114" t="n"/>
      <c r="AL54" s="114" t="n"/>
      <c r="AM54" s="100" t="n"/>
      <c r="AN54" s="136">
        <f>IFERROR(INDEX(DEZ!I$8:I$73,MATCH($A54,DEZ!$A$8:$A$73,0))&amp;"","")</f>
        <v/>
      </c>
      <c r="AO54" s="136">
        <f>IFERROR(INDEX(DEZ!J$8:J$73,MATCH($A54,DEZ!$A$8:$A$73,0))&amp;"","")</f>
        <v/>
      </c>
      <c r="AP54" s="136">
        <f>IFERROR(INDEX(DEZ!K$8:K$73,MATCH($A54,DEZ!$A$8:$A$73,0))&amp;"","")</f>
        <v/>
      </c>
      <c r="AQ54" s="136">
        <f>IFERROR(INDEX(DEZ!L$8:L$73,MATCH($A54,DEZ!$A$8:$A$73,0))&amp;"","")</f>
        <v/>
      </c>
      <c r="AR54" s="116">
        <f>IFERROR(INDEX(DEZ!M$8:M$73,MATCH($A54,DEZ!$A$8:$A$73,0))&amp;"","")</f>
        <v/>
      </c>
      <c r="AS54" s="116">
        <f>IFERROR(INDEX(DEZ!N$8:N$73,MATCH($A54,DEZ!$A$8:$A$73,0))&amp;"","")</f>
        <v/>
      </c>
      <c r="AT54" s="117">
        <f>SUMPRODUCT(($C54:$I54="M")*6+($C54:$I54="T")*6+($C54:$I54="D")*12+($C54:$I54="N")*12+($C54:$I54="NT")*6+($C54:$I54="C")*10+($C54:$I54="A")*8+($C54:$I54="J")*5+($C54:$I54="CEP")*4+($C54:$I54="CP")*6+($C54:$I54="CRO")*6+($C54:$I54="M+")*6+($C54:$I54="T+")*6+($C54:$I54="D+")*12+($C54:$I54="N+")*12+($C54:$I54="Dm+")*12+($C54:$I54="Dt+")*12+($C54:$I54="Tm-")*6+($C54:$I54="Mt-")*6)</f>
        <v/>
      </c>
      <c r="AU54" s="118">
        <f>AT54-MAX(0,IFERROR(INDEX(CADASTRO!$I$4:$I$80,MATCH($A54,CADASTRO!$A$4:$A$80,0)),$B54)-CONFIG!$B$50*(COUNTIF($C54:$I54,"AB")+COUNTIF($C54:$I54,"FE")+COUNTIF($C54:$I54,"LM")))</f>
        <v/>
      </c>
      <c r="AV54" s="117">
        <f>SUMPRODUCT(($J54:$P54="M")*6+($J54:$P54="T")*6+($J54:$P54="D")*12+($J54:$P54="N")*12+($J54:$P54="NT")*6+($J54:$P54="C")*10+($J54:$P54="A")*8+($J54:$P54="J")*5+($J54:$P54="CEP")*4+($J54:$P54="CP")*6+($J54:$P54="CRO")*6+($J54:$P54="M+")*6+($J54:$P54="T+")*6+($J54:$P54="D+")*12+($J54:$P54="N+")*12+($J54:$P54="Dm+")*12+($J54:$P54="Dt+")*12+($J54:$P54="Tm-")*6+($J54:$P54="Mt-")*6)</f>
        <v/>
      </c>
      <c r="AW54" s="118">
        <f>AV54-MAX(0,IFERROR(INDEX(CADASTRO!$I$4:$I$80,MATCH($A54,CADASTRO!$A$4:$A$80,0)),$B54)-CONFIG!$B$50*(COUNTIF($J54:$P54,"AB")+COUNTIF($J54:$P54,"FE")+COUNTIF($J54:$P54,"LM")))</f>
        <v/>
      </c>
      <c r="AX54" s="117">
        <f>SUMPRODUCT(($Q54:$W54="M")*6+($Q54:$W54="T")*6+($Q54:$W54="D")*12+($Q54:$W54="N")*12+($Q54:$W54="NT")*6+($Q54:$W54="C")*10+($Q54:$W54="A")*8+($Q54:$W54="J")*5+($Q54:$W54="CEP")*4+($Q54:$W54="CP")*6+($Q54:$W54="CRO")*6+($Q54:$W54="M+")*6+($Q54:$W54="T+")*6+($Q54:$W54="D+")*12+($Q54:$W54="N+")*12+($Q54:$W54="Dm+")*12+($Q54:$W54="Dt+")*12+($Q54:$W54="Tm-")*6+($Q54:$W54="Mt-")*6)</f>
        <v/>
      </c>
      <c r="AY54" s="118">
        <f>AX54-MAX(0,IFERROR(INDEX(CADASTRO!$I$4:$I$80,MATCH($A54,CADASTRO!$A$4:$A$80,0)),$B54)-CONFIG!$B$50*(COUNTIF($Q54:$W54,"AB")+COUNTIF($Q54:$W54,"FE")+COUNTIF($Q54:$W54,"LM")))</f>
        <v/>
      </c>
      <c r="AZ54" s="117">
        <f>SUMPRODUCT(($X54:$AD54="M")*6+($X54:$AD54="T")*6+($X54:$AD54="D")*12+($X54:$AD54="N")*12+($X54:$AD54="NT")*6+($X54:$AD54="C")*10+($X54:$AD54="A")*8+($X54:$AD54="J")*5+($X54:$AD54="CEP")*4+($X54:$AD54="CP")*6+($X54:$AD54="CRO")*6+($X54:$AD54="M+")*6+($X54:$AD54="T+")*6+($X54:$AD54="D+")*12+($X54:$AD54="N+")*12+($X54:$AD54="Dm+")*12+($X54:$AD54="Dt+")*12+($X54:$AD54="Tm-")*6+($X54:$AD54="Mt-")*6)</f>
        <v/>
      </c>
      <c r="BA54" s="118">
        <f>AZ54-MAX(0,IFERROR(INDEX(CADASTRO!$I$4:$I$80,MATCH($A54,CADASTRO!$A$4:$A$80,0)),$B54)-CONFIG!$B$50*(COUNTIF($X54:$AD54,"AB")+COUNTIF($X54:$AD54,"FE")+COUNTIF($X54:$AD54,"LM")))</f>
        <v/>
      </c>
      <c r="BB54" s="117">
        <f>SUMPRODUCT(($AE54:$AK54="M")*6+($AE54:$AK54="T")*6+($AE54:$AK54="D")*12+($AE54:$AK54="N")*12+($AE54:$AK54="NT")*6+($AE54:$AK54="C")*10+($AE54:$AK54="A")*8+($AE54:$AK54="J")*5+($AE54:$AK54="CEP")*4+($AE54:$AK54="CP")*6+($AE54:$AK54="CRO")*6+($AE54:$AK54="M+")*6+($AE54:$AK54="T+")*6+($AE54:$AK54="D+")*12+($AE54:$AK54="N+")*12+($AE54:$AK54="Dm+")*12+($AE54:$AK54="Dt+")*12+($AE54:$AK54="Tm-")*6+($AE54:$AK54="Mt-")*6)</f>
        <v/>
      </c>
      <c r="BC54" s="118">
        <f>BB54-MAX(0,IFERROR(INDEX(CADASTRO!$I$4:$I$80,MATCH($A54,CADASTRO!$A$4:$A$80,0)),$B54)-CONFIG!$B$50*(COUNTIF($AE54:$AK54,"AB")+COUNTIF($AE54:$AK54,"FE")+COUNTIF($AE54:$AK54,"LM")))</f>
        <v/>
      </c>
      <c r="BD54" s="117">
        <f>SUMPRODUCT(($AL54:$AL54="M")*6+($AL54:$AL54="T")*6+($AL54:$AL54="D")*12+($AL54:$AL54="N")*12+($AL54:$AL54="NT")*6+($AL54:$AL54="C")*10+($AL54:$AL54="A")*8+($AL54:$AL54="J")*5+($AL54:$AL54="CEP")*4+($AL54:$AL54="CP")*6+($AL54:$AL54="CRO")*6+($AL54:$AL54="M+")*6+($AL54:$AL54="T+")*6+($AL54:$AL54="D+")*12+($AL54:$AL54="N+")*12+($AL54:$AL54="Dm+")*12+($AL54:$AL54="Dt+")*12+($AL54:$AL54="Tm-")*6+($AL54:$AL54="Mt-")*6)+SUMPRODUCT(($AN54:$AS54="M")*6+($AN54:$AS54="T")*6+($AN54:$AS54="D")*12+($AN54:$AS54="N")*12+($AN54:$AS54="NT")*6+($AN54:$AS54="C")*10+($AN54:$AS54="A")*8+($AN54:$AS54="J")*5+($AN54:$AS54="CEP")*4+($AN54:$AS54="CP")*6+($AN54:$AS54="CRO")*6+($AN54:$AS54="M+")*6+($AN54:$AS54="T+")*6+($AN54:$AS54="D+")*12+($AN54:$AS54="N+")*12+($AN54:$AS54="Dm+")*12+($AN54:$AS54="Dt+")*12+($AN54:$AS54="Tm-")*6+($AN54:$AS54="Mt-")*6)</f>
        <v/>
      </c>
      <c r="BE54" s="118">
        <f>BD54-MAX(0,IFERROR(INDEX(CADASTRO!$I$4:$I$80,MATCH($A54,CADASTRO!$A$4:$A$80,0)),$B54)-CONFIG!$B$50*(COUNTIF($AL54:$AL54,"AB")+COUNTIF($AL54:$AL54,"FE")+COUNTIF($AL54:$AL54,"LM")+COUNTIF($AN54:$AS54,"AB")+COUNTIF($AN54:$AS54,"FE")+COUNTIF($AN54:$AS54,"LM")))</f>
        <v/>
      </c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ROUND(B54*4.29,0)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36">
        <f>IFERROR(INDEX(OUT!AH$8:AH$73,MATCH($A55,OUT!$A$8:$A$73,0))&amp;"","")</f>
        <v/>
      </c>
      <c r="D55" s="136">
        <f>IFERROR(INDEX(OUT!AI$8:AI$73,MATCH($A55,OUT!$A$8:$A$73,0))&amp;"","")</f>
        <v/>
      </c>
      <c r="E55" s="136">
        <f>IFERROR(INDEX(OUT!AJ$8:AJ$73,MATCH($A55,OUT!$A$8:$A$73,0))&amp;"","")</f>
        <v/>
      </c>
      <c r="F55" s="136">
        <f>IFERROR(INDEX(OUT!AK$8:AK$73,MATCH($A55,OUT!$A$8:$A$73,0))&amp;"","")</f>
        <v/>
      </c>
      <c r="G55" s="136">
        <f>IFERROR(INDEX(OUT!AL$8:AL$73,MATCH($A55,OUT!$A$8:$A$73,0))&amp;"","")</f>
        <v/>
      </c>
      <c r="H55" s="116">
        <f>IFERROR(INDEX(OUT!AM$8:AM$73,MATCH($A55,OUT!$A$8:$A$73,0))&amp;"","")</f>
        <v/>
      </c>
      <c r="I55" s="115" t="inlineStr">
        <is>
          <t>M</t>
        </is>
      </c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14" t="n"/>
      <c r="AF55" s="114" t="n"/>
      <c r="AG55" s="114" t="n"/>
      <c r="AH55" s="114" t="n"/>
      <c r="AI55" s="114" t="n"/>
      <c r="AJ55" s="114" t="n"/>
      <c r="AK55" s="114" t="n"/>
      <c r="AL55" s="114" t="n"/>
      <c r="AM55" s="100" t="n"/>
      <c r="AN55" s="136">
        <f>IFERROR(INDEX(DEZ!I$8:I$73,MATCH($A55,DEZ!$A$8:$A$73,0))&amp;"","")</f>
        <v/>
      </c>
      <c r="AO55" s="136">
        <f>IFERROR(INDEX(DEZ!J$8:J$73,MATCH($A55,DEZ!$A$8:$A$73,0))&amp;"","")</f>
        <v/>
      </c>
      <c r="AP55" s="136">
        <f>IFERROR(INDEX(DEZ!K$8:K$73,MATCH($A55,DEZ!$A$8:$A$73,0))&amp;"","")</f>
        <v/>
      </c>
      <c r="AQ55" s="136">
        <f>IFERROR(INDEX(DEZ!L$8:L$73,MATCH($A55,DEZ!$A$8:$A$73,0))&amp;"","")</f>
        <v/>
      </c>
      <c r="AR55" s="116">
        <f>IFERROR(INDEX(DEZ!M$8:M$73,MATCH($A55,DEZ!$A$8:$A$73,0))&amp;"","")</f>
        <v/>
      </c>
      <c r="AS55" s="116">
        <f>IFERROR(INDEX(DEZ!N$8:N$73,MATCH($A55,DEZ!$A$8:$A$73,0))&amp;"","")</f>
        <v/>
      </c>
      <c r="AT55" s="117">
        <f>SUMPRODUCT(($C55:$I55="M")*6+($C55:$I55="T")*6+($C55:$I55="D")*12+($C55:$I55="N")*12+($C55:$I55="NT")*6+($C55:$I55="C")*10+($C55:$I55="A")*8+($C55:$I55="J")*5+($C55:$I55="CEP")*4+($C55:$I55="CP")*6+($C55:$I55="CRO")*6+($C55:$I55="M+")*6+($C55:$I55="T+")*6+($C55:$I55="D+")*12+($C55:$I55="N+")*12+($C55:$I55="Dm+")*12+($C55:$I55="Dt+")*12+($C55:$I55="Tm-")*6+($C55:$I55="Mt-")*6)</f>
        <v/>
      </c>
      <c r="AU55" s="118">
        <f>AT55-MAX(0,IFERROR(INDEX(CADASTRO!$I$4:$I$80,MATCH($A55,CADASTRO!$A$4:$A$80,0)),$B55)-CONFIG!$B$50*(COUNTIF($C55:$I55,"AB")+COUNTIF($C55:$I55,"FE")+COUNTIF($C55:$I55,"LM")))</f>
        <v/>
      </c>
      <c r="AV55" s="117">
        <f>SUMPRODUCT(($J55:$P55="M")*6+($J55:$P55="T")*6+($J55:$P55="D")*12+($J55:$P55="N")*12+($J55:$P55="NT")*6+($J55:$P55="C")*10+($J55:$P55="A")*8+($J55:$P55="J")*5+($J55:$P55="CEP")*4+($J55:$P55="CP")*6+($J55:$P55="CRO")*6+($J55:$P55="M+")*6+($J55:$P55="T+")*6+($J55:$P55="D+")*12+($J55:$P55="N+")*12+($J55:$P55="Dm+")*12+($J55:$P55="Dt+")*12+($J55:$P55="Tm-")*6+($J55:$P55="Mt-")*6)</f>
        <v/>
      </c>
      <c r="AW55" s="118">
        <f>AV55-MAX(0,IFERROR(INDEX(CADASTRO!$I$4:$I$80,MATCH($A55,CADASTRO!$A$4:$A$80,0)),$B55)-CONFIG!$B$50*(COUNTIF($J55:$P55,"AB")+COUNTIF($J55:$P55,"FE")+COUNTIF($J55:$P55,"LM")))</f>
        <v/>
      </c>
      <c r="AX55" s="117">
        <f>SUMPRODUCT(($Q55:$W55="M")*6+($Q55:$W55="T")*6+($Q55:$W55="D")*12+($Q55:$W55="N")*12+($Q55:$W55="NT")*6+($Q55:$W55="C")*10+($Q55:$W55="A")*8+($Q55:$W55="J")*5+($Q55:$W55="CEP")*4+($Q55:$W55="CP")*6+($Q55:$W55="CRO")*6+($Q55:$W55="M+")*6+($Q55:$W55="T+")*6+($Q55:$W55="D+")*12+($Q55:$W55="N+")*12+($Q55:$W55="Dm+")*12+($Q55:$W55="Dt+")*12+($Q55:$W55="Tm-")*6+($Q55:$W55="Mt-")*6)</f>
        <v/>
      </c>
      <c r="AY55" s="118">
        <f>AX55-MAX(0,IFERROR(INDEX(CADASTRO!$I$4:$I$80,MATCH($A55,CADASTRO!$A$4:$A$80,0)),$B55)-CONFIG!$B$50*(COUNTIF($Q55:$W55,"AB")+COUNTIF($Q55:$W55,"FE")+COUNTIF($Q55:$W55,"LM")))</f>
        <v/>
      </c>
      <c r="AZ55" s="117">
        <f>SUMPRODUCT(($X55:$AD55="M")*6+($X55:$AD55="T")*6+($X55:$AD55="D")*12+($X55:$AD55="N")*12+($X55:$AD55="NT")*6+($X55:$AD55="C")*10+($X55:$AD55="A")*8+($X55:$AD55="J")*5+($X55:$AD55="CEP")*4+($X55:$AD55="CP")*6+($X55:$AD55="CRO")*6+($X55:$AD55="M+")*6+($X55:$AD55="T+")*6+($X55:$AD55="D+")*12+($X55:$AD55="N+")*12+($X55:$AD55="Dm+")*12+($X55:$AD55="Dt+")*12+($X55:$AD55="Tm-")*6+($X55:$AD55="Mt-")*6)</f>
        <v/>
      </c>
      <c r="BA55" s="118">
        <f>AZ55-MAX(0,IFERROR(INDEX(CADASTRO!$I$4:$I$80,MATCH($A55,CADASTRO!$A$4:$A$80,0)),$B55)-CONFIG!$B$50*(COUNTIF($X55:$AD55,"AB")+COUNTIF($X55:$AD55,"FE")+COUNTIF($X55:$AD55,"LM")))</f>
        <v/>
      </c>
      <c r="BB55" s="117">
        <f>SUMPRODUCT(($AE55:$AK55="M")*6+($AE55:$AK55="T")*6+($AE55:$AK55="D")*12+($AE55:$AK55="N")*12+($AE55:$AK55="NT")*6+($AE55:$AK55="C")*10+($AE55:$AK55="A")*8+($AE55:$AK55="J")*5+($AE55:$AK55="CEP")*4+($AE55:$AK55="CP")*6+($AE55:$AK55="CRO")*6+($AE55:$AK55="M+")*6+($AE55:$AK55="T+")*6+($AE55:$AK55="D+")*12+($AE55:$AK55="N+")*12+($AE55:$AK55="Dm+")*12+($AE55:$AK55="Dt+")*12+($AE55:$AK55="Tm-")*6+($AE55:$AK55="Mt-")*6)</f>
        <v/>
      </c>
      <c r="BC55" s="118">
        <f>BB55-MAX(0,IFERROR(INDEX(CADASTRO!$I$4:$I$80,MATCH($A55,CADASTRO!$A$4:$A$80,0)),$B55)-CONFIG!$B$50*(COUNTIF($AE55:$AK55,"AB")+COUNTIF($AE55:$AK55,"FE")+COUNTIF($AE55:$AK55,"LM")))</f>
        <v/>
      </c>
      <c r="BD55" s="117">
        <f>SUMPRODUCT(($AL55:$AL55="M")*6+($AL55:$AL55="T")*6+($AL55:$AL55="D")*12+($AL55:$AL55="N")*12+($AL55:$AL55="NT")*6+($AL55:$AL55="C")*10+($AL55:$AL55="A")*8+($AL55:$AL55="J")*5+($AL55:$AL55="CEP")*4+($AL55:$AL55="CP")*6+($AL55:$AL55="CRO")*6+($AL55:$AL55="M+")*6+($AL55:$AL55="T+")*6+($AL55:$AL55="D+")*12+($AL55:$AL55="N+")*12+($AL55:$AL55="Dm+")*12+($AL55:$AL55="Dt+")*12+($AL55:$AL55="Tm-")*6+($AL55:$AL55="Mt-")*6)+SUMPRODUCT(($AN55:$AS55="M")*6+($AN55:$AS55="T")*6+($AN55:$AS55="D")*12+($AN55:$AS55="N")*12+($AN55:$AS55="NT")*6+($AN55:$AS55="C")*10+($AN55:$AS55="A")*8+($AN55:$AS55="J")*5+($AN55:$AS55="CEP")*4+($AN55:$AS55="CP")*6+($AN55:$AS55="CRO")*6+($AN55:$AS55="M+")*6+($AN55:$AS55="T+")*6+($AN55:$AS55="D+")*12+($AN55:$AS55="N+")*12+($AN55:$AS55="Dm+")*12+($AN55:$AS55="Dt+")*12+($AN55:$AS55="Tm-")*6+($AN55:$AS55="Mt-")*6)</f>
        <v/>
      </c>
      <c r="BE55" s="118">
        <f>BD55-MAX(0,IFERROR(INDEX(CADASTRO!$I$4:$I$80,MATCH($A55,CADASTRO!$A$4:$A$80,0)),$B55)-CONFIG!$B$50*(COUNTIF($AL55:$AL55,"AB")+COUNTIF($AL55:$AL55,"FE")+COUNTIF($AL55:$AL55,"LM")+COUNTIF($AN55:$AS55,"AB")+COUNTIF($AN55:$AS55,"FE")+COUNTIF($AN55:$AS55,"LM")))</f>
        <v/>
      </c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ROUND(B55*4.29,0)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36">
        <f>IFERROR(INDEX(OUT!AH$8:AH$73,MATCH($A56,OUT!$A$8:$A$73,0))&amp;"","")</f>
        <v/>
      </c>
      <c r="D56" s="136">
        <f>IFERROR(INDEX(OUT!AI$8:AI$73,MATCH($A56,OUT!$A$8:$A$73,0))&amp;"","")</f>
        <v/>
      </c>
      <c r="E56" s="136">
        <f>IFERROR(INDEX(OUT!AJ$8:AJ$73,MATCH($A56,OUT!$A$8:$A$73,0))&amp;"","")</f>
        <v/>
      </c>
      <c r="F56" s="136">
        <f>IFERROR(INDEX(OUT!AK$8:AK$73,MATCH($A56,OUT!$A$8:$A$73,0))&amp;"","")</f>
        <v/>
      </c>
      <c r="G56" s="136">
        <f>IFERROR(INDEX(OUT!AL$8:AL$73,MATCH($A56,OUT!$A$8:$A$73,0))&amp;"","")</f>
        <v/>
      </c>
      <c r="H56" s="116">
        <f>IFERROR(INDEX(OUT!AM$8:AM$73,MATCH($A56,OUT!$A$8:$A$73,0))&amp;"","")</f>
        <v/>
      </c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  <c r="AJ56" s="114" t="n"/>
      <c r="AK56" s="114" t="n"/>
      <c r="AL56" s="114" t="n"/>
      <c r="AM56" s="100" t="n"/>
      <c r="AN56" s="136">
        <f>IFERROR(INDEX(DEZ!I$8:I$73,MATCH($A56,DEZ!$A$8:$A$73,0))&amp;"","")</f>
        <v/>
      </c>
      <c r="AO56" s="136">
        <f>IFERROR(INDEX(DEZ!J$8:J$73,MATCH($A56,DEZ!$A$8:$A$73,0))&amp;"","")</f>
        <v/>
      </c>
      <c r="AP56" s="136">
        <f>IFERROR(INDEX(DEZ!K$8:K$73,MATCH($A56,DEZ!$A$8:$A$73,0))&amp;"","")</f>
        <v/>
      </c>
      <c r="AQ56" s="136">
        <f>IFERROR(INDEX(DEZ!L$8:L$73,MATCH($A56,DEZ!$A$8:$A$73,0))&amp;"","")</f>
        <v/>
      </c>
      <c r="AR56" s="116">
        <f>IFERROR(INDEX(DEZ!M$8:M$73,MATCH($A56,DEZ!$A$8:$A$73,0))&amp;"","")</f>
        <v/>
      </c>
      <c r="AS56" s="116">
        <f>IFERROR(INDEX(DEZ!N$8:N$73,MATCH($A56,DEZ!$A$8:$A$73,0))&amp;"","")</f>
        <v/>
      </c>
      <c r="AT56" s="117">
        <f>SUMPRODUCT(($C56:$I56="M")*6+($C56:$I56="T")*6+($C56:$I56="D")*12+($C56:$I56="N")*12+($C56:$I56="NT")*6+($C56:$I56="C")*10+($C56:$I56="A")*8+($C56:$I56="J")*5+($C56:$I56="CEP")*4+($C56:$I56="CP")*6+($C56:$I56="CRO")*6+($C56:$I56="M+")*6+($C56:$I56="T+")*6+($C56:$I56="D+")*12+($C56:$I56="N+")*12+($C56:$I56="Dm+")*12+($C56:$I56="Dt+")*12+($C56:$I56="Tm-")*6+($C56:$I56="Mt-")*6)</f>
        <v/>
      </c>
      <c r="AU56" s="118">
        <f>AT56-MAX(0,IFERROR(INDEX(CADASTRO!$I$4:$I$80,MATCH($A56,CADASTRO!$A$4:$A$80,0)),$B56)-CONFIG!$B$50*(COUNTIF($C56:$I56,"AB")+COUNTIF($C56:$I56,"FE")+COUNTIF($C56:$I56,"LM")))</f>
        <v/>
      </c>
      <c r="AV56" s="117">
        <f>SUMPRODUCT(($J56:$P56="M")*6+($J56:$P56="T")*6+($J56:$P56="D")*12+($J56:$P56="N")*12+($J56:$P56="NT")*6+($J56:$P56="C")*10+($J56:$P56="A")*8+($J56:$P56="J")*5+($J56:$P56="CEP")*4+($J56:$P56="CP")*6+($J56:$P56="CRO")*6+($J56:$P56="M+")*6+($J56:$P56="T+")*6+($J56:$P56="D+")*12+($J56:$P56="N+")*12+($J56:$P56="Dm+")*12+($J56:$P56="Dt+")*12+($J56:$P56="Tm-")*6+($J56:$P56="Mt-")*6)</f>
        <v/>
      </c>
      <c r="AW56" s="118">
        <f>AV56-MAX(0,IFERROR(INDEX(CADASTRO!$I$4:$I$80,MATCH($A56,CADASTRO!$A$4:$A$80,0)),$B56)-CONFIG!$B$50*(COUNTIF($J56:$P56,"AB")+COUNTIF($J56:$P56,"FE")+COUNTIF($J56:$P56,"LM")))</f>
        <v/>
      </c>
      <c r="AX56" s="117">
        <f>SUMPRODUCT(($Q56:$W56="M")*6+($Q56:$W56="T")*6+($Q56:$W56="D")*12+($Q56:$W56="N")*12+($Q56:$W56="NT")*6+($Q56:$W56="C")*10+($Q56:$W56="A")*8+($Q56:$W56="J")*5+($Q56:$W56="CEP")*4+($Q56:$W56="CP")*6+($Q56:$W56="CRO")*6+($Q56:$W56="M+")*6+($Q56:$W56="T+")*6+($Q56:$W56="D+")*12+($Q56:$W56="N+")*12+($Q56:$W56="Dm+")*12+($Q56:$W56="Dt+")*12+($Q56:$W56="Tm-")*6+($Q56:$W56="Mt-")*6)</f>
        <v/>
      </c>
      <c r="AY56" s="118">
        <f>AX56-MAX(0,IFERROR(INDEX(CADASTRO!$I$4:$I$80,MATCH($A56,CADASTRO!$A$4:$A$80,0)),$B56)-CONFIG!$B$50*(COUNTIF($Q56:$W56,"AB")+COUNTIF($Q56:$W56,"FE")+COUNTIF($Q56:$W56,"LM")))</f>
        <v/>
      </c>
      <c r="AZ56" s="117">
        <f>SUMPRODUCT(($X56:$AD56="M")*6+($X56:$AD56="T")*6+($X56:$AD56="D")*12+($X56:$AD56="N")*12+($X56:$AD56="NT")*6+($X56:$AD56="C")*10+($X56:$AD56="A")*8+($X56:$AD56="J")*5+($X56:$AD56="CEP")*4+($X56:$AD56="CP")*6+($X56:$AD56="CRO")*6+($X56:$AD56="M+")*6+($X56:$AD56="T+")*6+($X56:$AD56="D+")*12+($X56:$AD56="N+")*12+($X56:$AD56="Dm+")*12+($X56:$AD56="Dt+")*12+($X56:$AD56="Tm-")*6+($X56:$AD56="Mt-")*6)</f>
        <v/>
      </c>
      <c r="BA56" s="118">
        <f>AZ56-MAX(0,IFERROR(INDEX(CADASTRO!$I$4:$I$80,MATCH($A56,CADASTRO!$A$4:$A$80,0)),$B56)-CONFIG!$B$50*(COUNTIF($X56:$AD56,"AB")+COUNTIF($X56:$AD56,"FE")+COUNTIF($X56:$AD56,"LM")))</f>
        <v/>
      </c>
      <c r="BB56" s="117">
        <f>SUMPRODUCT(($AE56:$AK56="M")*6+($AE56:$AK56="T")*6+($AE56:$AK56="D")*12+($AE56:$AK56="N")*12+($AE56:$AK56="NT")*6+($AE56:$AK56="C")*10+($AE56:$AK56="A")*8+($AE56:$AK56="J")*5+($AE56:$AK56="CEP")*4+($AE56:$AK56="CP")*6+($AE56:$AK56="CRO")*6+($AE56:$AK56="M+")*6+($AE56:$AK56="T+")*6+($AE56:$AK56="D+")*12+($AE56:$AK56="N+")*12+($AE56:$AK56="Dm+")*12+($AE56:$AK56="Dt+")*12+($AE56:$AK56="Tm-")*6+($AE56:$AK56="Mt-")*6)</f>
        <v/>
      </c>
      <c r="BC56" s="118">
        <f>BB56-MAX(0,IFERROR(INDEX(CADASTRO!$I$4:$I$80,MATCH($A56,CADASTRO!$A$4:$A$80,0)),$B56)-CONFIG!$B$50*(COUNTIF($AE56:$AK56,"AB")+COUNTIF($AE56:$AK56,"FE")+COUNTIF($AE56:$AK56,"LM")))</f>
        <v/>
      </c>
      <c r="BD56" s="117">
        <f>SUMPRODUCT(($AL56:$AL56="M")*6+($AL56:$AL56="T")*6+($AL56:$AL56="D")*12+($AL56:$AL56="N")*12+($AL56:$AL56="NT")*6+($AL56:$AL56="C")*10+($AL56:$AL56="A")*8+($AL56:$AL56="J")*5+($AL56:$AL56="CEP")*4+($AL56:$AL56="CP")*6+($AL56:$AL56="CRO")*6+($AL56:$AL56="M+")*6+($AL56:$AL56="T+")*6+($AL56:$AL56="D+")*12+($AL56:$AL56="N+")*12+($AL56:$AL56="Dm+")*12+($AL56:$AL56="Dt+")*12+($AL56:$AL56="Tm-")*6+($AL56:$AL56="Mt-")*6)+SUMPRODUCT(($AN56:$AS56="M")*6+($AN56:$AS56="T")*6+($AN56:$AS56="D")*12+($AN56:$AS56="N")*12+($AN56:$AS56="NT")*6+($AN56:$AS56="C")*10+($AN56:$AS56="A")*8+($AN56:$AS56="J")*5+($AN56:$AS56="CEP")*4+($AN56:$AS56="CP")*6+($AN56:$AS56="CRO")*6+($AN56:$AS56="M+")*6+($AN56:$AS56="T+")*6+($AN56:$AS56="D+")*12+($AN56:$AS56="N+")*12+($AN56:$AS56="Dm+")*12+($AN56:$AS56="Dt+")*12+($AN56:$AS56="Tm-")*6+($AN56:$AS56="Mt-")*6)</f>
        <v/>
      </c>
      <c r="BE56" s="118">
        <f>BD56-MAX(0,IFERROR(INDEX(CADASTRO!$I$4:$I$80,MATCH($A56,CADASTRO!$A$4:$A$80,0)),$B56)-CONFIG!$B$50*(COUNTIF($AL56:$AL56,"AB")+COUNTIF($AL56:$AL56,"FE")+COUNTIF($AL56:$AL56,"LM")+COUNTIF($AN56:$AS56,"AB")+COUNTIF($AN56:$AS56,"FE")+COUNTIF($AN56:$AS56,"LM")))</f>
        <v/>
      </c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ROUND(B56*4.29,0)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36">
        <f>IFERROR(INDEX(OUT!AH$8:AH$73,MATCH($A57,OUT!$A$8:$A$73,0))&amp;"","")</f>
        <v/>
      </c>
      <c r="D57" s="136">
        <f>IFERROR(INDEX(OUT!AI$8:AI$73,MATCH($A57,OUT!$A$8:$A$73,0))&amp;"","")</f>
        <v/>
      </c>
      <c r="E57" s="136">
        <f>IFERROR(INDEX(OUT!AJ$8:AJ$73,MATCH($A57,OUT!$A$8:$A$73,0))&amp;"","")</f>
        <v/>
      </c>
      <c r="F57" s="136">
        <f>IFERROR(INDEX(OUT!AK$8:AK$73,MATCH($A57,OUT!$A$8:$A$73,0))&amp;"","")</f>
        <v/>
      </c>
      <c r="G57" s="136">
        <f>IFERROR(INDEX(OUT!AL$8:AL$73,MATCH($A57,OUT!$A$8:$A$73,0))&amp;"","")</f>
        <v/>
      </c>
      <c r="H57" s="116">
        <f>IFERROR(INDEX(OUT!AM$8:AM$73,MATCH($A57,OUT!$A$8:$A$73,0))&amp;"","")</f>
        <v/>
      </c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4" t="n"/>
      <c r="AF57" s="114" t="n"/>
      <c r="AG57" s="114" t="n"/>
      <c r="AH57" s="114" t="n"/>
      <c r="AI57" s="114" t="n"/>
      <c r="AJ57" s="114" t="n"/>
      <c r="AK57" s="114" t="n"/>
      <c r="AL57" s="114" t="n"/>
      <c r="AM57" s="100" t="n"/>
      <c r="AN57" s="136">
        <f>IFERROR(INDEX(DEZ!I$8:I$73,MATCH($A57,DEZ!$A$8:$A$73,0))&amp;"","")</f>
        <v/>
      </c>
      <c r="AO57" s="136">
        <f>IFERROR(INDEX(DEZ!J$8:J$73,MATCH($A57,DEZ!$A$8:$A$73,0))&amp;"","")</f>
        <v/>
      </c>
      <c r="AP57" s="136">
        <f>IFERROR(INDEX(DEZ!K$8:K$73,MATCH($A57,DEZ!$A$8:$A$73,0))&amp;"","")</f>
        <v/>
      </c>
      <c r="AQ57" s="136">
        <f>IFERROR(INDEX(DEZ!L$8:L$73,MATCH($A57,DEZ!$A$8:$A$73,0))&amp;"","")</f>
        <v/>
      </c>
      <c r="AR57" s="116">
        <f>IFERROR(INDEX(DEZ!M$8:M$73,MATCH($A57,DEZ!$A$8:$A$73,0))&amp;"","")</f>
        <v/>
      </c>
      <c r="AS57" s="116">
        <f>IFERROR(INDEX(DEZ!N$8:N$73,MATCH($A57,DEZ!$A$8:$A$73,0))&amp;"","")</f>
        <v/>
      </c>
      <c r="AT57" s="117">
        <f>SUMPRODUCT(($C57:$I57="M")*6+($C57:$I57="T")*6+($C57:$I57="D")*12+($C57:$I57="N")*12+($C57:$I57="NT")*6+($C57:$I57="C")*10+($C57:$I57="A")*8+($C57:$I57="J")*5+($C57:$I57="CEP")*4+($C57:$I57="CP")*6+($C57:$I57="CRO")*6+($C57:$I57="M+")*6+($C57:$I57="T+")*6+($C57:$I57="D+")*12+($C57:$I57="N+")*12+($C57:$I57="Dm+")*12+($C57:$I57="Dt+")*12+($C57:$I57="Tm-")*6+($C57:$I57="Mt-")*6)</f>
        <v/>
      </c>
      <c r="AU57" s="118">
        <f>AT57-MAX(0,IFERROR(INDEX(CADASTRO!$I$4:$I$80,MATCH($A57,CADASTRO!$A$4:$A$80,0)),$B57)-CONFIG!$B$50*(COUNTIF($C57:$I57,"AB")+COUNTIF($C57:$I57,"FE")+COUNTIF($C57:$I57,"LM")))</f>
        <v/>
      </c>
      <c r="AV57" s="117">
        <f>SUMPRODUCT(($J57:$P57="M")*6+($J57:$P57="T")*6+($J57:$P57="D")*12+($J57:$P57="N")*12+($J57:$P57="NT")*6+($J57:$P57="C")*10+($J57:$P57="A")*8+($J57:$P57="J")*5+($J57:$P57="CEP")*4+($J57:$P57="CP")*6+($J57:$P57="CRO")*6+($J57:$P57="M+")*6+($J57:$P57="T+")*6+($J57:$P57="D+")*12+($J57:$P57="N+")*12+($J57:$P57="Dm+")*12+($J57:$P57="Dt+")*12+($J57:$P57="Tm-")*6+($J57:$P57="Mt-")*6)</f>
        <v/>
      </c>
      <c r="AW57" s="118">
        <f>AV57-MAX(0,IFERROR(INDEX(CADASTRO!$I$4:$I$80,MATCH($A57,CADASTRO!$A$4:$A$80,0)),$B57)-CONFIG!$B$50*(COUNTIF($J57:$P57,"AB")+COUNTIF($J57:$P57,"FE")+COUNTIF($J57:$P57,"LM")))</f>
        <v/>
      </c>
      <c r="AX57" s="117">
        <f>SUMPRODUCT(($Q57:$W57="M")*6+($Q57:$W57="T")*6+($Q57:$W57="D")*12+($Q57:$W57="N")*12+($Q57:$W57="NT")*6+($Q57:$W57="C")*10+($Q57:$W57="A")*8+($Q57:$W57="J")*5+($Q57:$W57="CEP")*4+($Q57:$W57="CP")*6+($Q57:$W57="CRO")*6+($Q57:$W57="M+")*6+($Q57:$W57="T+")*6+($Q57:$W57="D+")*12+($Q57:$W57="N+")*12+($Q57:$W57="Dm+")*12+($Q57:$W57="Dt+")*12+($Q57:$W57="Tm-")*6+($Q57:$W57="Mt-")*6)</f>
        <v/>
      </c>
      <c r="AY57" s="118">
        <f>AX57-MAX(0,IFERROR(INDEX(CADASTRO!$I$4:$I$80,MATCH($A57,CADASTRO!$A$4:$A$80,0)),$B57)-CONFIG!$B$50*(COUNTIF($Q57:$W57,"AB")+COUNTIF($Q57:$W57,"FE")+COUNTIF($Q57:$W57,"LM")))</f>
        <v/>
      </c>
      <c r="AZ57" s="117">
        <f>SUMPRODUCT(($X57:$AD57="M")*6+($X57:$AD57="T")*6+($X57:$AD57="D")*12+($X57:$AD57="N")*12+($X57:$AD57="NT")*6+($X57:$AD57="C")*10+($X57:$AD57="A")*8+($X57:$AD57="J")*5+($X57:$AD57="CEP")*4+($X57:$AD57="CP")*6+($X57:$AD57="CRO")*6+($X57:$AD57="M+")*6+($X57:$AD57="T+")*6+($X57:$AD57="D+")*12+($X57:$AD57="N+")*12+($X57:$AD57="Dm+")*12+($X57:$AD57="Dt+")*12+($X57:$AD57="Tm-")*6+($X57:$AD57="Mt-")*6)</f>
        <v/>
      </c>
      <c r="BA57" s="118">
        <f>AZ57-MAX(0,IFERROR(INDEX(CADASTRO!$I$4:$I$80,MATCH($A57,CADASTRO!$A$4:$A$80,0)),$B57)-CONFIG!$B$50*(COUNTIF($X57:$AD57,"AB")+COUNTIF($X57:$AD57,"FE")+COUNTIF($X57:$AD57,"LM")))</f>
        <v/>
      </c>
      <c r="BB57" s="117">
        <f>SUMPRODUCT(($AE57:$AK57="M")*6+($AE57:$AK57="T")*6+($AE57:$AK57="D")*12+($AE57:$AK57="N")*12+($AE57:$AK57="NT")*6+($AE57:$AK57="C")*10+($AE57:$AK57="A")*8+($AE57:$AK57="J")*5+($AE57:$AK57="CEP")*4+($AE57:$AK57="CP")*6+($AE57:$AK57="CRO")*6+($AE57:$AK57="M+")*6+($AE57:$AK57="T+")*6+($AE57:$AK57="D+")*12+($AE57:$AK57="N+")*12+($AE57:$AK57="Dm+")*12+($AE57:$AK57="Dt+")*12+($AE57:$AK57="Tm-")*6+($AE57:$AK57="Mt-")*6)</f>
        <v/>
      </c>
      <c r="BC57" s="118">
        <f>BB57-MAX(0,IFERROR(INDEX(CADASTRO!$I$4:$I$80,MATCH($A57,CADASTRO!$A$4:$A$80,0)),$B57)-CONFIG!$B$50*(COUNTIF($AE57:$AK57,"AB")+COUNTIF($AE57:$AK57,"FE")+COUNTIF($AE57:$AK57,"LM")))</f>
        <v/>
      </c>
      <c r="BD57" s="117">
        <f>SUMPRODUCT(($AL57:$AL57="M")*6+($AL57:$AL57="T")*6+($AL57:$AL57="D")*12+($AL57:$AL57="N")*12+($AL57:$AL57="NT")*6+($AL57:$AL57="C")*10+($AL57:$AL57="A")*8+($AL57:$AL57="J")*5+($AL57:$AL57="CEP")*4+($AL57:$AL57="CP")*6+($AL57:$AL57="CRO")*6+($AL57:$AL57="M+")*6+($AL57:$AL57="T+")*6+($AL57:$AL57="D+")*12+($AL57:$AL57="N+")*12+($AL57:$AL57="Dm+")*12+($AL57:$AL57="Dt+")*12+($AL57:$AL57="Tm-")*6+($AL57:$AL57="Mt-")*6)+SUMPRODUCT(($AN57:$AS57="M")*6+($AN57:$AS57="T")*6+($AN57:$AS57="D")*12+($AN57:$AS57="N")*12+($AN57:$AS57="NT")*6+($AN57:$AS57="C")*10+($AN57:$AS57="A")*8+($AN57:$AS57="J")*5+($AN57:$AS57="CEP")*4+($AN57:$AS57="CP")*6+($AN57:$AS57="CRO")*6+($AN57:$AS57="M+")*6+($AN57:$AS57="T+")*6+($AN57:$AS57="D+")*12+($AN57:$AS57="N+")*12+($AN57:$AS57="Dm+")*12+($AN57:$AS57="Dt+")*12+($AN57:$AS57="Tm-")*6+($AN57:$AS57="Mt-")*6)</f>
        <v/>
      </c>
      <c r="BE57" s="118">
        <f>BD57-MAX(0,IFERROR(INDEX(CADASTRO!$I$4:$I$80,MATCH($A57,CADASTRO!$A$4:$A$80,0)),$B57)-CONFIG!$B$50*(COUNTIF($AL57:$AL57,"AB")+COUNTIF($AL57:$AL57,"FE")+COUNTIF($AL57:$AL57,"LM")+COUNTIF($AN57:$AS57,"AB")+COUNTIF($AN57:$AS57,"FE")+COUNTIF($AN57:$AS57,"LM")))</f>
        <v/>
      </c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ROUND(B57*4.29,0)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36">
        <f>IFERROR(INDEX(OUT!AH$8:AH$73,MATCH($A58,OUT!$A$8:$A$73,0))&amp;"","")</f>
        <v/>
      </c>
      <c r="D58" s="136">
        <f>IFERROR(INDEX(OUT!AI$8:AI$73,MATCH($A58,OUT!$A$8:$A$73,0))&amp;"","")</f>
        <v/>
      </c>
      <c r="E58" s="136">
        <f>IFERROR(INDEX(OUT!AJ$8:AJ$73,MATCH($A58,OUT!$A$8:$A$73,0))&amp;"","")</f>
        <v/>
      </c>
      <c r="F58" s="136">
        <f>IFERROR(INDEX(OUT!AK$8:AK$73,MATCH($A58,OUT!$A$8:$A$73,0))&amp;"","")</f>
        <v/>
      </c>
      <c r="G58" s="136">
        <f>IFERROR(INDEX(OUT!AL$8:AL$73,MATCH($A58,OUT!$A$8:$A$73,0))&amp;"","")</f>
        <v/>
      </c>
      <c r="H58" s="116">
        <f>IFERROR(INDEX(OUT!AM$8:AM$73,MATCH($A58,OUT!$A$8:$A$73,0))&amp;"","")</f>
        <v/>
      </c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4" t="n"/>
      <c r="AF58" s="114" t="n"/>
      <c r="AG58" s="114" t="n"/>
      <c r="AH58" s="114" t="n"/>
      <c r="AI58" s="114" t="n"/>
      <c r="AJ58" s="114" t="n"/>
      <c r="AK58" s="114" t="n"/>
      <c r="AL58" s="114" t="n"/>
      <c r="AM58" s="100" t="n"/>
      <c r="AN58" s="136">
        <f>IFERROR(INDEX(DEZ!I$8:I$73,MATCH($A58,DEZ!$A$8:$A$73,0))&amp;"","")</f>
        <v/>
      </c>
      <c r="AO58" s="136">
        <f>IFERROR(INDEX(DEZ!J$8:J$73,MATCH($A58,DEZ!$A$8:$A$73,0))&amp;"","")</f>
        <v/>
      </c>
      <c r="AP58" s="136">
        <f>IFERROR(INDEX(DEZ!K$8:K$73,MATCH($A58,DEZ!$A$8:$A$73,0))&amp;"","")</f>
        <v/>
      </c>
      <c r="AQ58" s="136">
        <f>IFERROR(INDEX(DEZ!L$8:L$73,MATCH($A58,DEZ!$A$8:$A$73,0))&amp;"","")</f>
        <v/>
      </c>
      <c r="AR58" s="116">
        <f>IFERROR(INDEX(DEZ!M$8:M$73,MATCH($A58,DEZ!$A$8:$A$73,0))&amp;"","")</f>
        <v/>
      </c>
      <c r="AS58" s="116">
        <f>IFERROR(INDEX(DEZ!N$8:N$73,MATCH($A58,DEZ!$A$8:$A$73,0))&amp;"","")</f>
        <v/>
      </c>
      <c r="AT58" s="117">
        <f>SUMPRODUCT(($C58:$I58="M")*6+($C58:$I58="T")*6+($C58:$I58="D")*12+($C58:$I58="N")*12+($C58:$I58="NT")*6+($C58:$I58="C")*10+($C58:$I58="A")*8+($C58:$I58="J")*5+($C58:$I58="CEP")*4+($C58:$I58="CP")*6+($C58:$I58="CRO")*6+($C58:$I58="M+")*6+($C58:$I58="T+")*6+($C58:$I58="D+")*12+($C58:$I58="N+")*12+($C58:$I58="Dm+")*12+($C58:$I58="Dt+")*12+($C58:$I58="Tm-")*6+($C58:$I58="Mt-")*6)</f>
        <v/>
      </c>
      <c r="AU58" s="118">
        <f>AT58-MAX(0,IFERROR(INDEX(CADASTRO!$I$4:$I$80,MATCH($A58,CADASTRO!$A$4:$A$80,0)),$B58)-CONFIG!$B$50*(COUNTIF($C58:$I58,"AB")+COUNTIF($C58:$I58,"FE")+COUNTIF($C58:$I58,"LM")))</f>
        <v/>
      </c>
      <c r="AV58" s="117">
        <f>SUMPRODUCT(($J58:$P58="M")*6+($J58:$P58="T")*6+($J58:$P58="D")*12+($J58:$P58="N")*12+($J58:$P58="NT")*6+($J58:$P58="C")*10+($J58:$P58="A")*8+($J58:$P58="J")*5+($J58:$P58="CEP")*4+($J58:$P58="CP")*6+($J58:$P58="CRO")*6+($J58:$P58="M+")*6+($J58:$P58="T+")*6+($J58:$P58="D+")*12+($J58:$P58="N+")*12+($J58:$P58="Dm+")*12+($J58:$P58="Dt+")*12+($J58:$P58="Tm-")*6+($J58:$P58="Mt-")*6)</f>
        <v/>
      </c>
      <c r="AW58" s="118">
        <f>AV58-MAX(0,IFERROR(INDEX(CADASTRO!$I$4:$I$80,MATCH($A58,CADASTRO!$A$4:$A$80,0)),$B58)-CONFIG!$B$50*(COUNTIF($J58:$P58,"AB")+COUNTIF($J58:$P58,"FE")+COUNTIF($J58:$P58,"LM")))</f>
        <v/>
      </c>
      <c r="AX58" s="117">
        <f>SUMPRODUCT(($Q58:$W58="M")*6+($Q58:$W58="T")*6+($Q58:$W58="D")*12+($Q58:$W58="N")*12+($Q58:$W58="NT")*6+($Q58:$W58="C")*10+($Q58:$W58="A")*8+($Q58:$W58="J")*5+($Q58:$W58="CEP")*4+($Q58:$W58="CP")*6+($Q58:$W58="CRO")*6+($Q58:$W58="M+")*6+($Q58:$W58="T+")*6+($Q58:$W58="D+")*12+($Q58:$W58="N+")*12+($Q58:$W58="Dm+")*12+($Q58:$W58="Dt+")*12+($Q58:$W58="Tm-")*6+($Q58:$W58="Mt-")*6)</f>
        <v/>
      </c>
      <c r="AY58" s="118">
        <f>AX58-MAX(0,IFERROR(INDEX(CADASTRO!$I$4:$I$80,MATCH($A58,CADASTRO!$A$4:$A$80,0)),$B58)-CONFIG!$B$50*(COUNTIF($Q58:$W58,"AB")+COUNTIF($Q58:$W58,"FE")+COUNTIF($Q58:$W58,"LM")))</f>
        <v/>
      </c>
      <c r="AZ58" s="117">
        <f>SUMPRODUCT(($X58:$AD58="M")*6+($X58:$AD58="T")*6+($X58:$AD58="D")*12+($X58:$AD58="N")*12+($X58:$AD58="NT")*6+($X58:$AD58="C")*10+($X58:$AD58="A")*8+($X58:$AD58="J")*5+($X58:$AD58="CEP")*4+($X58:$AD58="CP")*6+($X58:$AD58="CRO")*6+($X58:$AD58="M+")*6+($X58:$AD58="T+")*6+($X58:$AD58="D+")*12+($X58:$AD58="N+")*12+($X58:$AD58="Dm+")*12+($X58:$AD58="Dt+")*12+($X58:$AD58="Tm-")*6+($X58:$AD58="Mt-")*6)</f>
        <v/>
      </c>
      <c r="BA58" s="118">
        <f>AZ58-MAX(0,IFERROR(INDEX(CADASTRO!$I$4:$I$80,MATCH($A58,CADASTRO!$A$4:$A$80,0)),$B58)-CONFIG!$B$50*(COUNTIF($X58:$AD58,"AB")+COUNTIF($X58:$AD58,"FE")+COUNTIF($X58:$AD58,"LM")))</f>
        <v/>
      </c>
      <c r="BB58" s="117">
        <f>SUMPRODUCT(($AE58:$AK58="M")*6+($AE58:$AK58="T")*6+($AE58:$AK58="D")*12+($AE58:$AK58="N")*12+($AE58:$AK58="NT")*6+($AE58:$AK58="C")*10+($AE58:$AK58="A")*8+($AE58:$AK58="J")*5+($AE58:$AK58="CEP")*4+($AE58:$AK58="CP")*6+($AE58:$AK58="CRO")*6+($AE58:$AK58="M+")*6+($AE58:$AK58="T+")*6+($AE58:$AK58="D+")*12+($AE58:$AK58="N+")*12+($AE58:$AK58="Dm+")*12+($AE58:$AK58="Dt+")*12+($AE58:$AK58="Tm-")*6+($AE58:$AK58="Mt-")*6)</f>
        <v/>
      </c>
      <c r="BC58" s="118">
        <f>BB58-MAX(0,IFERROR(INDEX(CADASTRO!$I$4:$I$80,MATCH($A58,CADASTRO!$A$4:$A$80,0)),$B58)-CONFIG!$B$50*(COUNTIF($AE58:$AK58,"AB")+COUNTIF($AE58:$AK58,"FE")+COUNTIF($AE58:$AK58,"LM")))</f>
        <v/>
      </c>
      <c r="BD58" s="117">
        <f>SUMPRODUCT(($AL58:$AL58="M")*6+($AL58:$AL58="T")*6+($AL58:$AL58="D")*12+($AL58:$AL58="N")*12+($AL58:$AL58="NT")*6+($AL58:$AL58="C")*10+($AL58:$AL58="A")*8+($AL58:$AL58="J")*5+($AL58:$AL58="CEP")*4+($AL58:$AL58="CP")*6+($AL58:$AL58="CRO")*6+($AL58:$AL58="M+")*6+($AL58:$AL58="T+")*6+($AL58:$AL58="D+")*12+($AL58:$AL58="N+")*12+($AL58:$AL58="Dm+")*12+($AL58:$AL58="Dt+")*12+($AL58:$AL58="Tm-")*6+($AL58:$AL58="Mt-")*6)+SUMPRODUCT(($AN58:$AS58="M")*6+($AN58:$AS58="T")*6+($AN58:$AS58="D")*12+($AN58:$AS58="N")*12+($AN58:$AS58="NT")*6+($AN58:$AS58="C")*10+($AN58:$AS58="A")*8+($AN58:$AS58="J")*5+($AN58:$AS58="CEP")*4+($AN58:$AS58="CP")*6+($AN58:$AS58="CRO")*6+($AN58:$AS58="M+")*6+($AN58:$AS58="T+")*6+($AN58:$AS58="D+")*12+($AN58:$AS58="N+")*12+($AN58:$AS58="Dm+")*12+($AN58:$AS58="Dt+")*12+($AN58:$AS58="Tm-")*6+($AN58:$AS58="Mt-")*6)</f>
        <v/>
      </c>
      <c r="BE58" s="118">
        <f>BD58-MAX(0,IFERROR(INDEX(CADASTRO!$I$4:$I$80,MATCH($A58,CADASTRO!$A$4:$A$80,0)),$B58)-CONFIG!$B$50*(COUNTIF($AL58:$AL58,"AB")+COUNTIF($AL58:$AL58,"FE")+COUNTIF($AL58:$AL58,"LM")+COUNTIF($AN58:$AS58,"AB")+COUNTIF($AN58:$AS58,"FE")+COUNTIF($AN58:$AS58,"LM")))</f>
        <v/>
      </c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ROUND(B58*4.29,0)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36">
        <f>IFERROR(INDEX(OUT!AH$8:AH$73,MATCH($A59,OUT!$A$8:$A$73,0))&amp;"","")</f>
        <v/>
      </c>
      <c r="D59" s="136">
        <f>IFERROR(INDEX(OUT!AI$8:AI$73,MATCH($A59,OUT!$A$8:$A$73,0))&amp;"","")</f>
        <v/>
      </c>
      <c r="E59" s="136">
        <f>IFERROR(INDEX(OUT!AJ$8:AJ$73,MATCH($A59,OUT!$A$8:$A$73,0))&amp;"","")</f>
        <v/>
      </c>
      <c r="F59" s="136">
        <f>IFERROR(INDEX(OUT!AK$8:AK$73,MATCH($A59,OUT!$A$8:$A$73,0))&amp;"","")</f>
        <v/>
      </c>
      <c r="G59" s="136">
        <f>IFERROR(INDEX(OUT!AL$8:AL$73,MATCH($A59,OUT!$A$8:$A$73,0))&amp;"","")</f>
        <v/>
      </c>
      <c r="H59" s="116">
        <f>IFERROR(INDEX(OUT!AM$8:AM$73,MATCH($A59,OUT!$A$8:$A$73,0))&amp;"","")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00" t="n"/>
      <c r="AN59" s="136">
        <f>IFERROR(INDEX(DEZ!I$8:I$73,MATCH($A59,DEZ!$A$8:$A$73,0))&amp;"","")</f>
        <v/>
      </c>
      <c r="AO59" s="136">
        <f>IFERROR(INDEX(DEZ!J$8:J$73,MATCH($A59,DEZ!$A$8:$A$73,0))&amp;"","")</f>
        <v/>
      </c>
      <c r="AP59" s="136">
        <f>IFERROR(INDEX(DEZ!K$8:K$73,MATCH($A59,DEZ!$A$8:$A$73,0))&amp;"","")</f>
        <v/>
      </c>
      <c r="AQ59" s="136">
        <f>IFERROR(INDEX(DEZ!L$8:L$73,MATCH($A59,DEZ!$A$8:$A$73,0))&amp;"","")</f>
        <v/>
      </c>
      <c r="AR59" s="116">
        <f>IFERROR(INDEX(DEZ!M$8:M$73,MATCH($A59,DEZ!$A$8:$A$73,0))&amp;"","")</f>
        <v/>
      </c>
      <c r="AS59" s="116">
        <f>IFERROR(INDEX(DEZ!N$8:N$73,MATCH($A59,DEZ!$A$8:$A$73,0))&amp;"","")</f>
        <v/>
      </c>
      <c r="AT59" s="117">
        <f>SUMPRODUCT(($C59:$I59="M")*6+($C59:$I59="T")*6+($C59:$I59="D")*12+($C59:$I59="N")*12+($C59:$I59="NT")*6+($C59:$I59="C")*10+($C59:$I59="A")*8+($C59:$I59="J")*5+($C59:$I59="CEP")*4+($C59:$I59="CP")*6+($C59:$I59="CRO")*6+($C59:$I59="M+")*6+($C59:$I59="T+")*6+($C59:$I59="D+")*12+($C59:$I59="N+")*12+($C59:$I59="Dm+")*12+($C59:$I59="Dt+")*12+($C59:$I59="Tm-")*6+($C59:$I59="Mt-")*6)</f>
        <v/>
      </c>
      <c r="AU59" s="118">
        <f>AT59-MAX(0,IFERROR(INDEX(CADASTRO!$I$4:$I$80,MATCH($A59,CADASTRO!$A$4:$A$80,0)),$B59)-CONFIG!$B$50*(COUNTIF($C59:$I59,"AB")+COUNTIF($C59:$I59,"FE")+COUNTIF($C59:$I59,"LM")))</f>
        <v/>
      </c>
      <c r="AV59" s="117">
        <f>SUMPRODUCT(($J59:$P59="M")*6+($J59:$P59="T")*6+($J59:$P59="D")*12+($J59:$P59="N")*12+($J59:$P59="NT")*6+($J59:$P59="C")*10+($J59:$P59="A")*8+($J59:$P59="J")*5+($J59:$P59="CEP")*4+($J59:$P59="CP")*6+($J59:$P59="CRO")*6+($J59:$P59="M+")*6+($J59:$P59="T+")*6+($J59:$P59="D+")*12+($J59:$P59="N+")*12+($J59:$P59="Dm+")*12+($J59:$P59="Dt+")*12+($J59:$P59="Tm-")*6+($J59:$P59="Mt-")*6)</f>
        <v/>
      </c>
      <c r="AW59" s="118">
        <f>AV59-MAX(0,IFERROR(INDEX(CADASTRO!$I$4:$I$80,MATCH($A59,CADASTRO!$A$4:$A$80,0)),$B59)-CONFIG!$B$50*(COUNTIF($J59:$P59,"AB")+COUNTIF($J59:$P59,"FE")+COUNTIF($J59:$P59,"LM")))</f>
        <v/>
      </c>
      <c r="AX59" s="117">
        <f>SUMPRODUCT(($Q59:$W59="M")*6+($Q59:$W59="T")*6+($Q59:$W59="D")*12+($Q59:$W59="N")*12+($Q59:$W59="NT")*6+($Q59:$W59="C")*10+($Q59:$W59="A")*8+($Q59:$W59="J")*5+($Q59:$W59="CEP")*4+($Q59:$W59="CP")*6+($Q59:$W59="CRO")*6+($Q59:$W59="M+")*6+($Q59:$W59="T+")*6+($Q59:$W59="D+")*12+($Q59:$W59="N+")*12+($Q59:$W59="Dm+")*12+($Q59:$W59="Dt+")*12+($Q59:$W59="Tm-")*6+($Q59:$W59="Mt-")*6)</f>
        <v/>
      </c>
      <c r="AY59" s="118">
        <f>AX59-MAX(0,IFERROR(INDEX(CADASTRO!$I$4:$I$80,MATCH($A59,CADASTRO!$A$4:$A$80,0)),$B59)-CONFIG!$B$50*(COUNTIF($Q59:$W59,"AB")+COUNTIF($Q59:$W59,"FE")+COUNTIF($Q59:$W59,"LM")))</f>
        <v/>
      </c>
      <c r="AZ59" s="117">
        <f>SUMPRODUCT(($X59:$AD59="M")*6+($X59:$AD59="T")*6+($X59:$AD59="D")*12+($X59:$AD59="N")*12+($X59:$AD59="NT")*6+($X59:$AD59="C")*10+($X59:$AD59="A")*8+($X59:$AD59="J")*5+($X59:$AD59="CEP")*4+($X59:$AD59="CP")*6+($X59:$AD59="CRO")*6+($X59:$AD59="M+")*6+($X59:$AD59="T+")*6+($X59:$AD59="D+")*12+($X59:$AD59="N+")*12+($X59:$AD59="Dm+")*12+($X59:$AD59="Dt+")*12+($X59:$AD59="Tm-")*6+($X59:$AD59="Mt-")*6)</f>
        <v/>
      </c>
      <c r="BA59" s="118">
        <f>AZ59-MAX(0,IFERROR(INDEX(CADASTRO!$I$4:$I$80,MATCH($A59,CADASTRO!$A$4:$A$80,0)),$B59)-CONFIG!$B$50*(COUNTIF($X59:$AD59,"AB")+COUNTIF($X59:$AD59,"FE")+COUNTIF($X59:$AD59,"LM")))</f>
        <v/>
      </c>
      <c r="BB59" s="117">
        <f>SUMPRODUCT(($AE59:$AK59="M")*6+($AE59:$AK59="T")*6+($AE59:$AK59="D")*12+($AE59:$AK59="N")*12+($AE59:$AK59="NT")*6+($AE59:$AK59="C")*10+($AE59:$AK59="A")*8+($AE59:$AK59="J")*5+($AE59:$AK59="CEP")*4+($AE59:$AK59="CP")*6+($AE59:$AK59="CRO")*6+($AE59:$AK59="M+")*6+($AE59:$AK59="T+")*6+($AE59:$AK59="D+")*12+($AE59:$AK59="N+")*12+($AE59:$AK59="Dm+")*12+($AE59:$AK59="Dt+")*12+($AE59:$AK59="Tm-")*6+($AE59:$AK59="Mt-")*6)</f>
        <v/>
      </c>
      <c r="BC59" s="118">
        <f>BB59-MAX(0,IFERROR(INDEX(CADASTRO!$I$4:$I$80,MATCH($A59,CADASTRO!$A$4:$A$80,0)),$B59)-CONFIG!$B$50*(COUNTIF($AE59:$AK59,"AB")+COUNTIF($AE59:$AK59,"FE")+COUNTIF($AE59:$AK59,"LM")))</f>
        <v/>
      </c>
      <c r="BD59" s="117">
        <f>SUMPRODUCT(($AL59:$AL59="M")*6+($AL59:$AL59="T")*6+($AL59:$AL59="D")*12+($AL59:$AL59="N")*12+($AL59:$AL59="NT")*6+($AL59:$AL59="C")*10+($AL59:$AL59="A")*8+($AL59:$AL59="J")*5+($AL59:$AL59="CEP")*4+($AL59:$AL59="CP")*6+($AL59:$AL59="CRO")*6+($AL59:$AL59="M+")*6+($AL59:$AL59="T+")*6+($AL59:$AL59="D+")*12+($AL59:$AL59="N+")*12+($AL59:$AL59="Dm+")*12+($AL59:$AL59="Dt+")*12+($AL59:$AL59="Tm-")*6+($AL59:$AL59="Mt-")*6)+SUMPRODUCT(($AN59:$AS59="M")*6+($AN59:$AS59="T")*6+($AN59:$AS59="D")*12+($AN59:$AS59="N")*12+($AN59:$AS59="NT")*6+($AN59:$AS59="C")*10+($AN59:$AS59="A")*8+($AN59:$AS59="J")*5+($AN59:$AS59="CEP")*4+($AN59:$AS59="CP")*6+($AN59:$AS59="CRO")*6+($AN59:$AS59="M+")*6+($AN59:$AS59="T+")*6+($AN59:$AS59="D+")*12+($AN59:$AS59="N+")*12+($AN59:$AS59="Dm+")*12+($AN59:$AS59="Dt+")*12+($AN59:$AS59="Tm-")*6+($AN59:$AS59="Mt-")*6)</f>
        <v/>
      </c>
      <c r="BE59" s="118">
        <f>BD59-MAX(0,IFERROR(INDEX(CADASTRO!$I$4:$I$80,MATCH($A59,CADASTRO!$A$4:$A$80,0)),$B59)-CONFIG!$B$50*(COUNTIF($AL59:$AL59,"AB")+COUNTIF($AL59:$AL59,"FE")+COUNTIF($AL59:$AL59,"LM")+COUNTIF($AN59:$AS59,"AB")+COUNTIF($AN59:$AS59,"FE")+COUNTIF($AN59:$AS59,"LM")))</f>
        <v/>
      </c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ROUND(B59*4.29,0)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36">
        <f>IFERROR(INDEX(OUT!AH$8:AH$73,MATCH($A60,OUT!$A$8:$A$73,0))&amp;"","")</f>
        <v/>
      </c>
      <c r="D60" s="136">
        <f>IFERROR(INDEX(OUT!AI$8:AI$73,MATCH($A60,OUT!$A$8:$A$73,0))&amp;"","")</f>
        <v/>
      </c>
      <c r="E60" s="136">
        <f>IFERROR(INDEX(OUT!AJ$8:AJ$73,MATCH($A60,OUT!$A$8:$A$73,0))&amp;"","")</f>
        <v/>
      </c>
      <c r="F60" s="136">
        <f>IFERROR(INDEX(OUT!AK$8:AK$73,MATCH($A60,OUT!$A$8:$A$73,0))&amp;"","")</f>
        <v/>
      </c>
      <c r="G60" s="136">
        <f>IFERROR(INDEX(OUT!AL$8:AL$73,MATCH($A60,OUT!$A$8:$A$73,0))&amp;"","")</f>
        <v/>
      </c>
      <c r="H60" s="116">
        <f>IFERROR(INDEX(OUT!AM$8:AM$73,MATCH($A60,OUT!$A$8:$A$73,0))&amp;"","")</f>
        <v/>
      </c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  <c r="AD60" s="114" t="n"/>
      <c r="AE60" s="114" t="n"/>
      <c r="AF60" s="114" t="n"/>
      <c r="AG60" s="114" t="n"/>
      <c r="AH60" s="114" t="n"/>
      <c r="AI60" s="114" t="n"/>
      <c r="AJ60" s="114" t="n"/>
      <c r="AK60" s="114" t="n"/>
      <c r="AL60" s="114" t="n"/>
      <c r="AM60" s="100" t="n"/>
      <c r="AN60" s="136">
        <f>IFERROR(INDEX(DEZ!I$8:I$73,MATCH($A60,DEZ!$A$8:$A$73,0))&amp;"","")</f>
        <v/>
      </c>
      <c r="AO60" s="136">
        <f>IFERROR(INDEX(DEZ!J$8:J$73,MATCH($A60,DEZ!$A$8:$A$73,0))&amp;"","")</f>
        <v/>
      </c>
      <c r="AP60" s="136">
        <f>IFERROR(INDEX(DEZ!K$8:K$73,MATCH($A60,DEZ!$A$8:$A$73,0))&amp;"","")</f>
        <v/>
      </c>
      <c r="AQ60" s="136">
        <f>IFERROR(INDEX(DEZ!L$8:L$73,MATCH($A60,DEZ!$A$8:$A$73,0))&amp;"","")</f>
        <v/>
      </c>
      <c r="AR60" s="116">
        <f>IFERROR(INDEX(DEZ!M$8:M$73,MATCH($A60,DEZ!$A$8:$A$73,0))&amp;"","")</f>
        <v/>
      </c>
      <c r="AS60" s="116">
        <f>IFERROR(INDEX(DEZ!N$8:N$73,MATCH($A60,DEZ!$A$8:$A$73,0))&amp;"","")</f>
        <v/>
      </c>
      <c r="AT60" s="117">
        <f>SUMPRODUCT(($C60:$I60="M")*6+($C60:$I60="T")*6+($C60:$I60="D")*12+($C60:$I60="N")*12+($C60:$I60="NT")*6+($C60:$I60="C")*10+($C60:$I60="A")*8+($C60:$I60="J")*5+($C60:$I60="CEP")*4+($C60:$I60="CP")*6+($C60:$I60="CRO")*6+($C60:$I60="M+")*6+($C60:$I60="T+")*6+($C60:$I60="D+")*12+($C60:$I60="N+")*12+($C60:$I60="Dm+")*12+($C60:$I60="Dt+")*12+($C60:$I60="Tm-")*6+($C60:$I60="Mt-")*6)</f>
        <v/>
      </c>
      <c r="AU60" s="118">
        <f>AT60-MAX(0,IFERROR(INDEX(CADASTRO!$I$4:$I$80,MATCH($A60,CADASTRO!$A$4:$A$80,0)),$B60)-CONFIG!$B$50*(COUNTIF($C60:$I60,"AB")+COUNTIF($C60:$I60,"FE")+COUNTIF($C60:$I60,"LM")))</f>
        <v/>
      </c>
      <c r="AV60" s="117">
        <f>SUMPRODUCT(($J60:$P60="M")*6+($J60:$P60="T")*6+($J60:$P60="D")*12+($J60:$P60="N")*12+($J60:$P60="NT")*6+($J60:$P60="C")*10+($J60:$P60="A")*8+($J60:$P60="J")*5+($J60:$P60="CEP")*4+($J60:$P60="CP")*6+($J60:$P60="CRO")*6+($J60:$P60="M+")*6+($J60:$P60="T+")*6+($J60:$P60="D+")*12+($J60:$P60="N+")*12+($J60:$P60="Dm+")*12+($J60:$P60="Dt+")*12+($J60:$P60="Tm-")*6+($J60:$P60="Mt-")*6)</f>
        <v/>
      </c>
      <c r="AW60" s="118">
        <f>AV60-MAX(0,IFERROR(INDEX(CADASTRO!$I$4:$I$80,MATCH($A60,CADASTRO!$A$4:$A$80,0)),$B60)-CONFIG!$B$50*(COUNTIF($J60:$P60,"AB")+COUNTIF($J60:$P60,"FE")+COUNTIF($J60:$P60,"LM")))</f>
        <v/>
      </c>
      <c r="AX60" s="117">
        <f>SUMPRODUCT(($Q60:$W60="M")*6+($Q60:$W60="T")*6+($Q60:$W60="D")*12+($Q60:$W60="N")*12+($Q60:$W60="NT")*6+($Q60:$W60="C")*10+($Q60:$W60="A")*8+($Q60:$W60="J")*5+($Q60:$W60="CEP")*4+($Q60:$W60="CP")*6+($Q60:$W60="CRO")*6+($Q60:$W60="M+")*6+($Q60:$W60="T+")*6+($Q60:$W60="D+")*12+($Q60:$W60="N+")*12+($Q60:$W60="Dm+")*12+($Q60:$W60="Dt+")*12+($Q60:$W60="Tm-")*6+($Q60:$W60="Mt-")*6)</f>
        <v/>
      </c>
      <c r="AY60" s="118">
        <f>AX60-MAX(0,IFERROR(INDEX(CADASTRO!$I$4:$I$80,MATCH($A60,CADASTRO!$A$4:$A$80,0)),$B60)-CONFIG!$B$50*(COUNTIF($Q60:$W60,"AB")+COUNTIF($Q60:$W60,"FE")+COUNTIF($Q60:$W60,"LM")))</f>
        <v/>
      </c>
      <c r="AZ60" s="117">
        <f>SUMPRODUCT(($X60:$AD60="M")*6+($X60:$AD60="T")*6+($X60:$AD60="D")*12+($X60:$AD60="N")*12+($X60:$AD60="NT")*6+($X60:$AD60="C")*10+($X60:$AD60="A")*8+($X60:$AD60="J")*5+($X60:$AD60="CEP")*4+($X60:$AD60="CP")*6+($X60:$AD60="CRO")*6+($X60:$AD60="M+")*6+($X60:$AD60="T+")*6+($X60:$AD60="D+")*12+($X60:$AD60="N+")*12+($X60:$AD60="Dm+")*12+($X60:$AD60="Dt+")*12+($X60:$AD60="Tm-")*6+($X60:$AD60="Mt-")*6)</f>
        <v/>
      </c>
      <c r="BA60" s="118">
        <f>AZ60-MAX(0,IFERROR(INDEX(CADASTRO!$I$4:$I$80,MATCH($A60,CADASTRO!$A$4:$A$80,0)),$B60)-CONFIG!$B$50*(COUNTIF($X60:$AD60,"AB")+COUNTIF($X60:$AD60,"FE")+COUNTIF($X60:$AD60,"LM")))</f>
        <v/>
      </c>
      <c r="BB60" s="117">
        <f>SUMPRODUCT(($AE60:$AK60="M")*6+($AE60:$AK60="T")*6+($AE60:$AK60="D")*12+($AE60:$AK60="N")*12+($AE60:$AK60="NT")*6+($AE60:$AK60="C")*10+($AE60:$AK60="A")*8+($AE60:$AK60="J")*5+($AE60:$AK60="CEP")*4+($AE60:$AK60="CP")*6+($AE60:$AK60="CRO")*6+($AE60:$AK60="M+")*6+($AE60:$AK60="T+")*6+($AE60:$AK60="D+")*12+($AE60:$AK60="N+")*12+($AE60:$AK60="Dm+")*12+($AE60:$AK60="Dt+")*12+($AE60:$AK60="Tm-")*6+($AE60:$AK60="Mt-")*6)</f>
        <v/>
      </c>
      <c r="BC60" s="118">
        <f>BB60-MAX(0,IFERROR(INDEX(CADASTRO!$I$4:$I$80,MATCH($A60,CADASTRO!$A$4:$A$80,0)),$B60)-CONFIG!$B$50*(COUNTIF($AE60:$AK60,"AB")+COUNTIF($AE60:$AK60,"FE")+COUNTIF($AE60:$AK60,"LM")))</f>
        <v/>
      </c>
      <c r="BD60" s="117">
        <f>SUMPRODUCT(($AL60:$AL60="M")*6+($AL60:$AL60="T")*6+($AL60:$AL60="D")*12+($AL60:$AL60="N")*12+($AL60:$AL60="NT")*6+($AL60:$AL60="C")*10+($AL60:$AL60="A")*8+($AL60:$AL60="J")*5+($AL60:$AL60="CEP")*4+($AL60:$AL60="CP")*6+($AL60:$AL60="CRO")*6+($AL60:$AL60="M+")*6+($AL60:$AL60="T+")*6+($AL60:$AL60="D+")*12+($AL60:$AL60="N+")*12+($AL60:$AL60="Dm+")*12+($AL60:$AL60="Dt+")*12+($AL60:$AL60="Tm-")*6+($AL60:$AL60="Mt-")*6)+SUMPRODUCT(($AN60:$AS60="M")*6+($AN60:$AS60="T")*6+($AN60:$AS60="D")*12+($AN60:$AS60="N")*12+($AN60:$AS60="NT")*6+($AN60:$AS60="C")*10+($AN60:$AS60="A")*8+($AN60:$AS60="J")*5+($AN60:$AS60="CEP")*4+($AN60:$AS60="CP")*6+($AN60:$AS60="CRO")*6+($AN60:$AS60="M+")*6+($AN60:$AS60="T+")*6+($AN60:$AS60="D+")*12+($AN60:$AS60="N+")*12+($AN60:$AS60="Dm+")*12+($AN60:$AS60="Dt+")*12+($AN60:$AS60="Tm-")*6+($AN60:$AS60="Mt-")*6)</f>
        <v/>
      </c>
      <c r="BE60" s="118">
        <f>BD60-MAX(0,IFERROR(INDEX(CADASTRO!$I$4:$I$80,MATCH($A60,CADASTRO!$A$4:$A$80,0)),$B60)-CONFIG!$B$50*(COUNTIF($AL60:$AL60,"AB")+COUNTIF($AL60:$AL60,"FE")+COUNTIF($AL60:$AL60,"LM")+COUNTIF($AN60:$AS60,"AB")+COUNTIF($AN60:$AS60,"FE")+COUNTIF($AN60:$AS60,"LM")))</f>
        <v/>
      </c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ROUND(B60*4.29,0)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36">
        <f>IFERROR(INDEX(OUT!AH$8:AH$73,MATCH($A61,OUT!$A$8:$A$73,0))&amp;"","")</f>
        <v/>
      </c>
      <c r="D61" s="136">
        <f>IFERROR(INDEX(OUT!AI$8:AI$73,MATCH($A61,OUT!$A$8:$A$73,0))&amp;"","")</f>
        <v/>
      </c>
      <c r="E61" s="136">
        <f>IFERROR(INDEX(OUT!AJ$8:AJ$73,MATCH($A61,OUT!$A$8:$A$73,0))&amp;"","")</f>
        <v/>
      </c>
      <c r="F61" s="136">
        <f>IFERROR(INDEX(OUT!AK$8:AK$73,MATCH($A61,OUT!$A$8:$A$73,0))&amp;"","")</f>
        <v/>
      </c>
      <c r="G61" s="136">
        <f>IFERROR(INDEX(OUT!AL$8:AL$73,MATCH($A61,OUT!$A$8:$A$73,0))&amp;"","")</f>
        <v/>
      </c>
      <c r="H61" s="116">
        <f>IFERROR(INDEX(OUT!AM$8:AM$73,MATCH($A61,OUT!$A$8:$A$73,0))&amp;"","")</f>
        <v/>
      </c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14" t="n"/>
      <c r="AM61" s="100" t="n"/>
      <c r="AN61" s="136">
        <f>IFERROR(INDEX(DEZ!I$8:I$73,MATCH($A61,DEZ!$A$8:$A$73,0))&amp;"","")</f>
        <v/>
      </c>
      <c r="AO61" s="136">
        <f>IFERROR(INDEX(DEZ!J$8:J$73,MATCH($A61,DEZ!$A$8:$A$73,0))&amp;"","")</f>
        <v/>
      </c>
      <c r="AP61" s="136">
        <f>IFERROR(INDEX(DEZ!K$8:K$73,MATCH($A61,DEZ!$A$8:$A$73,0))&amp;"","")</f>
        <v/>
      </c>
      <c r="AQ61" s="136">
        <f>IFERROR(INDEX(DEZ!L$8:L$73,MATCH($A61,DEZ!$A$8:$A$73,0))&amp;"","")</f>
        <v/>
      </c>
      <c r="AR61" s="116">
        <f>IFERROR(INDEX(DEZ!M$8:M$73,MATCH($A61,DEZ!$A$8:$A$73,0))&amp;"","")</f>
        <v/>
      </c>
      <c r="AS61" s="116">
        <f>IFERROR(INDEX(DEZ!N$8:N$73,MATCH($A61,DEZ!$A$8:$A$73,0))&amp;"","")</f>
        <v/>
      </c>
      <c r="AT61" s="117">
        <f>SUMPRODUCT(($C61:$I61="M")*6+($C61:$I61="T")*6+($C61:$I61="D")*12+($C61:$I61="N")*12+($C61:$I61="NT")*6+($C61:$I61="C")*10+($C61:$I61="A")*8+($C61:$I61="J")*5+($C61:$I61="CEP")*4+($C61:$I61="CP")*6+($C61:$I61="CRO")*6+($C61:$I61="M+")*6+($C61:$I61="T+")*6+($C61:$I61="D+")*12+($C61:$I61="N+")*12+($C61:$I61="Dm+")*12+($C61:$I61="Dt+")*12+($C61:$I61="Tm-")*6+($C61:$I61="Mt-")*6)</f>
        <v/>
      </c>
      <c r="AU61" s="118">
        <f>AT61-MAX(0,IFERROR(INDEX(CADASTRO!$I$4:$I$80,MATCH($A61,CADASTRO!$A$4:$A$80,0)),$B61)-CONFIG!$B$50*(COUNTIF($C61:$I61,"AB")+COUNTIF($C61:$I61,"FE")+COUNTIF($C61:$I61,"LM")))</f>
        <v/>
      </c>
      <c r="AV61" s="117">
        <f>SUMPRODUCT(($J61:$P61="M")*6+($J61:$P61="T")*6+($J61:$P61="D")*12+($J61:$P61="N")*12+($J61:$P61="NT")*6+($J61:$P61="C")*10+($J61:$P61="A")*8+($J61:$P61="J")*5+($J61:$P61="CEP")*4+($J61:$P61="CP")*6+($J61:$P61="CRO")*6+($J61:$P61="M+")*6+($J61:$P61="T+")*6+($J61:$P61="D+")*12+($J61:$P61="N+")*12+($J61:$P61="Dm+")*12+($J61:$P61="Dt+")*12+($J61:$P61="Tm-")*6+($J61:$P61="Mt-")*6)</f>
        <v/>
      </c>
      <c r="AW61" s="118">
        <f>AV61-MAX(0,IFERROR(INDEX(CADASTRO!$I$4:$I$80,MATCH($A61,CADASTRO!$A$4:$A$80,0)),$B61)-CONFIG!$B$50*(COUNTIF($J61:$P61,"AB")+COUNTIF($J61:$P61,"FE")+COUNTIF($J61:$P61,"LM")))</f>
        <v/>
      </c>
      <c r="AX61" s="117">
        <f>SUMPRODUCT(($Q61:$W61="M")*6+($Q61:$W61="T")*6+($Q61:$W61="D")*12+($Q61:$W61="N")*12+($Q61:$W61="NT")*6+($Q61:$W61="C")*10+($Q61:$W61="A")*8+($Q61:$W61="J")*5+($Q61:$W61="CEP")*4+($Q61:$W61="CP")*6+($Q61:$W61="CRO")*6+($Q61:$W61="M+")*6+($Q61:$W61="T+")*6+($Q61:$W61="D+")*12+($Q61:$W61="N+")*12+($Q61:$W61="Dm+")*12+($Q61:$W61="Dt+")*12+($Q61:$W61="Tm-")*6+($Q61:$W61="Mt-")*6)</f>
        <v/>
      </c>
      <c r="AY61" s="118">
        <f>AX61-MAX(0,IFERROR(INDEX(CADASTRO!$I$4:$I$80,MATCH($A61,CADASTRO!$A$4:$A$80,0)),$B61)-CONFIG!$B$50*(COUNTIF($Q61:$W61,"AB")+COUNTIF($Q61:$W61,"FE")+COUNTIF($Q61:$W61,"LM")))</f>
        <v/>
      </c>
      <c r="AZ61" s="117">
        <f>SUMPRODUCT(($X61:$AD61="M")*6+($X61:$AD61="T")*6+($X61:$AD61="D")*12+($X61:$AD61="N")*12+($X61:$AD61="NT")*6+($X61:$AD61="C")*10+($X61:$AD61="A")*8+($X61:$AD61="J")*5+($X61:$AD61="CEP")*4+($X61:$AD61="CP")*6+($X61:$AD61="CRO")*6+($X61:$AD61="M+")*6+($X61:$AD61="T+")*6+($X61:$AD61="D+")*12+($X61:$AD61="N+")*12+($X61:$AD61="Dm+")*12+($X61:$AD61="Dt+")*12+($X61:$AD61="Tm-")*6+($X61:$AD61="Mt-")*6)</f>
        <v/>
      </c>
      <c r="BA61" s="118">
        <f>AZ61-MAX(0,IFERROR(INDEX(CADASTRO!$I$4:$I$80,MATCH($A61,CADASTRO!$A$4:$A$80,0)),$B61)-CONFIG!$B$50*(COUNTIF($X61:$AD61,"AB")+COUNTIF($X61:$AD61,"FE")+COUNTIF($X61:$AD61,"LM")))</f>
        <v/>
      </c>
      <c r="BB61" s="117">
        <f>SUMPRODUCT(($AE61:$AK61="M")*6+($AE61:$AK61="T")*6+($AE61:$AK61="D")*12+($AE61:$AK61="N")*12+($AE61:$AK61="NT")*6+($AE61:$AK61="C")*10+($AE61:$AK61="A")*8+($AE61:$AK61="J")*5+($AE61:$AK61="CEP")*4+($AE61:$AK61="CP")*6+($AE61:$AK61="CRO")*6+($AE61:$AK61="M+")*6+($AE61:$AK61="T+")*6+($AE61:$AK61="D+")*12+($AE61:$AK61="N+")*12+($AE61:$AK61="Dm+")*12+($AE61:$AK61="Dt+")*12+($AE61:$AK61="Tm-")*6+($AE61:$AK61="Mt-")*6)</f>
        <v/>
      </c>
      <c r="BC61" s="118">
        <f>BB61-MAX(0,IFERROR(INDEX(CADASTRO!$I$4:$I$80,MATCH($A61,CADASTRO!$A$4:$A$80,0)),$B61)-CONFIG!$B$50*(COUNTIF($AE61:$AK61,"AB")+COUNTIF($AE61:$AK61,"FE")+COUNTIF($AE61:$AK61,"LM")))</f>
        <v/>
      </c>
      <c r="BD61" s="117">
        <f>SUMPRODUCT(($AL61:$AL61="M")*6+($AL61:$AL61="T")*6+($AL61:$AL61="D")*12+($AL61:$AL61="N")*12+($AL61:$AL61="NT")*6+($AL61:$AL61="C")*10+($AL61:$AL61="A")*8+($AL61:$AL61="J")*5+($AL61:$AL61="CEP")*4+($AL61:$AL61="CP")*6+($AL61:$AL61="CRO")*6+($AL61:$AL61="M+")*6+($AL61:$AL61="T+")*6+($AL61:$AL61="D+")*12+($AL61:$AL61="N+")*12+($AL61:$AL61="Dm+")*12+($AL61:$AL61="Dt+")*12+($AL61:$AL61="Tm-")*6+($AL61:$AL61="Mt-")*6)+SUMPRODUCT(($AN61:$AS61="M")*6+($AN61:$AS61="T")*6+($AN61:$AS61="D")*12+($AN61:$AS61="N")*12+($AN61:$AS61="NT")*6+($AN61:$AS61="C")*10+($AN61:$AS61="A")*8+($AN61:$AS61="J")*5+($AN61:$AS61="CEP")*4+($AN61:$AS61="CP")*6+($AN61:$AS61="CRO")*6+($AN61:$AS61="M+")*6+($AN61:$AS61="T+")*6+($AN61:$AS61="D+")*12+($AN61:$AS61="N+")*12+($AN61:$AS61="Dm+")*12+($AN61:$AS61="Dt+")*12+($AN61:$AS61="Tm-")*6+($AN61:$AS61="Mt-")*6)</f>
        <v/>
      </c>
      <c r="BE61" s="118">
        <f>BD61-MAX(0,IFERROR(INDEX(CADASTRO!$I$4:$I$80,MATCH($A61,CADASTRO!$A$4:$A$80,0)),$B61)-CONFIG!$B$50*(COUNTIF($AL61:$AL61,"AB")+COUNTIF($AL61:$AL61,"FE")+COUNTIF($AL61:$AL61,"LM")+COUNTIF($AN61:$AS61,"AB")+COUNTIF($AN61:$AS61,"FE")+COUNTIF($AN61:$AS61,"LM")))</f>
        <v/>
      </c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ROUND(B61*4.29,0)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36">
        <f>IFERROR(INDEX(OUT!AH$8:AH$73,MATCH($A62,OUT!$A$8:$A$73,0))&amp;"","")</f>
        <v/>
      </c>
      <c r="D62" s="136">
        <f>IFERROR(INDEX(OUT!AI$8:AI$73,MATCH($A62,OUT!$A$8:$A$73,0))&amp;"","")</f>
        <v/>
      </c>
      <c r="E62" s="136">
        <f>IFERROR(INDEX(OUT!AJ$8:AJ$73,MATCH($A62,OUT!$A$8:$A$73,0))&amp;"","")</f>
        <v/>
      </c>
      <c r="F62" s="136">
        <f>IFERROR(INDEX(OUT!AK$8:AK$73,MATCH($A62,OUT!$A$8:$A$73,0))&amp;"","")</f>
        <v/>
      </c>
      <c r="G62" s="136">
        <f>IFERROR(INDEX(OUT!AL$8:AL$73,MATCH($A62,OUT!$A$8:$A$73,0))&amp;"","")</f>
        <v/>
      </c>
      <c r="H62" s="116">
        <f>IFERROR(INDEX(OUT!AM$8:AM$73,MATCH($A62,OUT!$A$8:$A$73,0))&amp;"","")</f>
        <v/>
      </c>
      <c r="I62" s="124" t="inlineStr">
        <is>
          <t>D</t>
        </is>
      </c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4" t="n"/>
      <c r="AF62" s="114" t="n"/>
      <c r="AG62" s="114" t="n"/>
      <c r="AH62" s="114" t="n"/>
      <c r="AI62" s="114" t="n"/>
      <c r="AJ62" s="114" t="n"/>
      <c r="AK62" s="114" t="n"/>
      <c r="AL62" s="114" t="n"/>
      <c r="AM62" s="100" t="n"/>
      <c r="AN62" s="136">
        <f>IFERROR(INDEX(DEZ!I$8:I$73,MATCH($A62,DEZ!$A$8:$A$73,0))&amp;"","")</f>
        <v/>
      </c>
      <c r="AO62" s="136">
        <f>IFERROR(INDEX(DEZ!J$8:J$73,MATCH($A62,DEZ!$A$8:$A$73,0))&amp;"","")</f>
        <v/>
      </c>
      <c r="AP62" s="136">
        <f>IFERROR(INDEX(DEZ!K$8:K$73,MATCH($A62,DEZ!$A$8:$A$73,0))&amp;"","")</f>
        <v/>
      </c>
      <c r="AQ62" s="136">
        <f>IFERROR(INDEX(DEZ!L$8:L$73,MATCH($A62,DEZ!$A$8:$A$73,0))&amp;"","")</f>
        <v/>
      </c>
      <c r="AR62" s="116">
        <f>IFERROR(INDEX(DEZ!M$8:M$73,MATCH($A62,DEZ!$A$8:$A$73,0))&amp;"","")</f>
        <v/>
      </c>
      <c r="AS62" s="116">
        <f>IFERROR(INDEX(DEZ!N$8:N$73,MATCH($A62,DEZ!$A$8:$A$73,0))&amp;"","")</f>
        <v/>
      </c>
      <c r="AT62" s="117">
        <f>SUMPRODUCT(($C62:$I62="M")*6+($C62:$I62="T")*6+($C62:$I62="D")*12+($C62:$I62="N")*12+($C62:$I62="NT")*6+($C62:$I62="C")*10+($C62:$I62="A")*8+($C62:$I62="J")*5+($C62:$I62="CEP")*4+($C62:$I62="CP")*6+($C62:$I62="CRO")*6+($C62:$I62="M+")*6+($C62:$I62="T+")*6+($C62:$I62="D+")*12+($C62:$I62="N+")*12+($C62:$I62="Dm+")*12+($C62:$I62="Dt+")*12+($C62:$I62="Tm-")*6+($C62:$I62="Mt-")*6)</f>
        <v/>
      </c>
      <c r="AU62" s="118">
        <f>AT62-MAX(0,IFERROR(INDEX(CADASTRO!$I$4:$I$80,MATCH($A62,CADASTRO!$A$4:$A$80,0)),$B62)-CONFIG!$B$50*(COUNTIF($C62:$I62,"AB")+COUNTIF($C62:$I62,"FE")+COUNTIF($C62:$I62,"LM")))</f>
        <v/>
      </c>
      <c r="AV62" s="117">
        <f>SUMPRODUCT(($J62:$P62="M")*6+($J62:$P62="T")*6+($J62:$P62="D")*12+($J62:$P62="N")*12+($J62:$P62="NT")*6+($J62:$P62="C")*10+($J62:$P62="A")*8+($J62:$P62="J")*5+($J62:$P62="CEP")*4+($J62:$P62="CP")*6+($J62:$P62="CRO")*6+($J62:$P62="M+")*6+($J62:$P62="T+")*6+($J62:$P62="D+")*12+($J62:$P62="N+")*12+($J62:$P62="Dm+")*12+($J62:$P62="Dt+")*12+($J62:$P62="Tm-")*6+($J62:$P62="Mt-")*6)</f>
        <v/>
      </c>
      <c r="AW62" s="118">
        <f>AV62-MAX(0,IFERROR(INDEX(CADASTRO!$I$4:$I$80,MATCH($A62,CADASTRO!$A$4:$A$80,0)),$B62)-CONFIG!$B$50*(COUNTIF($J62:$P62,"AB")+COUNTIF($J62:$P62,"FE")+COUNTIF($J62:$P62,"LM")))</f>
        <v/>
      </c>
      <c r="AX62" s="117">
        <f>SUMPRODUCT(($Q62:$W62="M")*6+($Q62:$W62="T")*6+($Q62:$W62="D")*12+($Q62:$W62="N")*12+($Q62:$W62="NT")*6+($Q62:$W62="C")*10+($Q62:$W62="A")*8+($Q62:$W62="J")*5+($Q62:$W62="CEP")*4+($Q62:$W62="CP")*6+($Q62:$W62="CRO")*6+($Q62:$W62="M+")*6+($Q62:$W62="T+")*6+($Q62:$W62="D+")*12+($Q62:$W62="N+")*12+($Q62:$W62="Dm+")*12+($Q62:$W62="Dt+")*12+($Q62:$W62="Tm-")*6+($Q62:$W62="Mt-")*6)</f>
        <v/>
      </c>
      <c r="AY62" s="118">
        <f>AX62-MAX(0,IFERROR(INDEX(CADASTRO!$I$4:$I$80,MATCH($A62,CADASTRO!$A$4:$A$80,0)),$B62)-CONFIG!$B$50*(COUNTIF($Q62:$W62,"AB")+COUNTIF($Q62:$W62,"FE")+COUNTIF($Q62:$W62,"LM")))</f>
        <v/>
      </c>
      <c r="AZ62" s="117">
        <f>SUMPRODUCT(($X62:$AD62="M")*6+($X62:$AD62="T")*6+($X62:$AD62="D")*12+($X62:$AD62="N")*12+($X62:$AD62="NT")*6+($X62:$AD62="C")*10+($X62:$AD62="A")*8+($X62:$AD62="J")*5+($X62:$AD62="CEP")*4+($X62:$AD62="CP")*6+($X62:$AD62="CRO")*6+($X62:$AD62="M+")*6+($X62:$AD62="T+")*6+($X62:$AD62="D+")*12+($X62:$AD62="N+")*12+($X62:$AD62="Dm+")*12+($X62:$AD62="Dt+")*12+($X62:$AD62="Tm-")*6+($X62:$AD62="Mt-")*6)</f>
        <v/>
      </c>
      <c r="BA62" s="118">
        <f>AZ62-MAX(0,IFERROR(INDEX(CADASTRO!$I$4:$I$80,MATCH($A62,CADASTRO!$A$4:$A$80,0)),$B62)-CONFIG!$B$50*(COUNTIF($X62:$AD62,"AB")+COUNTIF($X62:$AD62,"FE")+COUNTIF($X62:$AD62,"LM")))</f>
        <v/>
      </c>
      <c r="BB62" s="117">
        <f>SUMPRODUCT(($AE62:$AK62="M")*6+($AE62:$AK62="T")*6+($AE62:$AK62="D")*12+($AE62:$AK62="N")*12+($AE62:$AK62="NT")*6+($AE62:$AK62="C")*10+($AE62:$AK62="A")*8+($AE62:$AK62="J")*5+($AE62:$AK62="CEP")*4+($AE62:$AK62="CP")*6+($AE62:$AK62="CRO")*6+($AE62:$AK62="M+")*6+($AE62:$AK62="T+")*6+($AE62:$AK62="D+")*12+($AE62:$AK62="N+")*12+($AE62:$AK62="Dm+")*12+($AE62:$AK62="Dt+")*12+($AE62:$AK62="Tm-")*6+($AE62:$AK62="Mt-")*6)</f>
        <v/>
      </c>
      <c r="BC62" s="118">
        <f>BB62-MAX(0,IFERROR(INDEX(CADASTRO!$I$4:$I$80,MATCH($A62,CADASTRO!$A$4:$A$80,0)),$B62)-CONFIG!$B$50*(COUNTIF($AE62:$AK62,"AB")+COUNTIF($AE62:$AK62,"FE")+COUNTIF($AE62:$AK62,"LM")))</f>
        <v/>
      </c>
      <c r="BD62" s="117">
        <f>SUMPRODUCT(($AL62:$AL62="M")*6+($AL62:$AL62="T")*6+($AL62:$AL62="D")*12+($AL62:$AL62="N")*12+($AL62:$AL62="NT")*6+($AL62:$AL62="C")*10+($AL62:$AL62="A")*8+($AL62:$AL62="J")*5+($AL62:$AL62="CEP")*4+($AL62:$AL62="CP")*6+($AL62:$AL62="CRO")*6+($AL62:$AL62="M+")*6+($AL62:$AL62="T+")*6+($AL62:$AL62="D+")*12+($AL62:$AL62="N+")*12+($AL62:$AL62="Dm+")*12+($AL62:$AL62="Dt+")*12+($AL62:$AL62="Tm-")*6+($AL62:$AL62="Mt-")*6)+SUMPRODUCT(($AN62:$AS62="M")*6+($AN62:$AS62="T")*6+($AN62:$AS62="D")*12+($AN62:$AS62="N")*12+($AN62:$AS62="NT")*6+($AN62:$AS62="C")*10+($AN62:$AS62="A")*8+($AN62:$AS62="J")*5+($AN62:$AS62="CEP")*4+($AN62:$AS62="CP")*6+($AN62:$AS62="CRO")*6+($AN62:$AS62="M+")*6+($AN62:$AS62="T+")*6+($AN62:$AS62="D+")*12+($AN62:$AS62="N+")*12+($AN62:$AS62="Dm+")*12+($AN62:$AS62="Dt+")*12+($AN62:$AS62="Tm-")*6+($AN62:$AS62="Mt-")*6)</f>
        <v/>
      </c>
      <c r="BE62" s="118">
        <f>BD62-MAX(0,IFERROR(INDEX(CADASTRO!$I$4:$I$80,MATCH($A62,CADASTRO!$A$4:$A$80,0)),$B62)-CONFIG!$B$50*(COUNTIF($AL62:$AL62,"AB")+COUNTIF($AL62:$AL62,"FE")+COUNTIF($AL62:$AL62,"LM")+COUNTIF($AN62:$AS62,"AB")+COUNTIF($AN62:$AS62,"FE")+COUNTIF($AN62:$AS62,"LM")))</f>
        <v/>
      </c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ROUND(B62*4.29,0)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36">
        <f>IFERROR(INDEX(OUT!AH$8:AH$73,MATCH($A63,OUT!$A$8:$A$73,0))&amp;"","")</f>
        <v/>
      </c>
      <c r="D63" s="136">
        <f>IFERROR(INDEX(OUT!AI$8:AI$73,MATCH($A63,OUT!$A$8:$A$73,0))&amp;"","")</f>
        <v/>
      </c>
      <c r="E63" s="136">
        <f>IFERROR(INDEX(OUT!AJ$8:AJ$73,MATCH($A63,OUT!$A$8:$A$73,0))&amp;"","")</f>
        <v/>
      </c>
      <c r="F63" s="136">
        <f>IFERROR(INDEX(OUT!AK$8:AK$73,MATCH($A63,OUT!$A$8:$A$73,0))&amp;"","")</f>
        <v/>
      </c>
      <c r="G63" s="136">
        <f>IFERROR(INDEX(OUT!AL$8:AL$73,MATCH($A63,OUT!$A$8:$A$73,0))&amp;"","")</f>
        <v/>
      </c>
      <c r="H63" s="116">
        <f>IFERROR(INDEX(OUT!AM$8:AM$73,MATCH($A63,OUT!$A$8:$A$73,0))&amp;"","")</f>
        <v/>
      </c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  <c r="AD63" s="114" t="n"/>
      <c r="AE63" s="114" t="n"/>
      <c r="AF63" s="114" t="n"/>
      <c r="AG63" s="114" t="n"/>
      <c r="AH63" s="114" t="n"/>
      <c r="AI63" s="114" t="n"/>
      <c r="AJ63" s="114" t="n"/>
      <c r="AK63" s="114" t="n"/>
      <c r="AL63" s="114" t="n"/>
      <c r="AM63" s="100" t="n"/>
      <c r="AN63" s="136">
        <f>IFERROR(INDEX(DEZ!I$8:I$73,MATCH($A63,DEZ!$A$8:$A$73,0))&amp;"","")</f>
        <v/>
      </c>
      <c r="AO63" s="136">
        <f>IFERROR(INDEX(DEZ!J$8:J$73,MATCH($A63,DEZ!$A$8:$A$73,0))&amp;"","")</f>
        <v/>
      </c>
      <c r="AP63" s="136">
        <f>IFERROR(INDEX(DEZ!K$8:K$73,MATCH($A63,DEZ!$A$8:$A$73,0))&amp;"","")</f>
        <v/>
      </c>
      <c r="AQ63" s="136">
        <f>IFERROR(INDEX(DEZ!L$8:L$73,MATCH($A63,DEZ!$A$8:$A$73,0))&amp;"","")</f>
        <v/>
      </c>
      <c r="AR63" s="116">
        <f>IFERROR(INDEX(DEZ!M$8:M$73,MATCH($A63,DEZ!$A$8:$A$73,0))&amp;"","")</f>
        <v/>
      </c>
      <c r="AS63" s="116">
        <f>IFERROR(INDEX(DEZ!N$8:N$73,MATCH($A63,DEZ!$A$8:$A$73,0))&amp;"","")</f>
        <v/>
      </c>
      <c r="AT63" s="117">
        <f>SUMPRODUCT(($C63:$I63="M")*6+($C63:$I63="T")*6+($C63:$I63="D")*12+($C63:$I63="N")*12+($C63:$I63="NT")*6+($C63:$I63="C")*10+($C63:$I63="A")*8+($C63:$I63="J")*5+($C63:$I63="CEP")*4+($C63:$I63="CP")*6+($C63:$I63="CRO")*6+($C63:$I63="M+")*6+($C63:$I63="T+")*6+($C63:$I63="D+")*12+($C63:$I63="N+")*12+($C63:$I63="Dm+")*12+($C63:$I63="Dt+")*12+($C63:$I63="Tm-")*6+($C63:$I63="Mt-")*6)</f>
        <v/>
      </c>
      <c r="AU63" s="118">
        <f>AT63-MAX(0,IFERROR(INDEX(CADASTRO!$I$4:$I$80,MATCH($A63,CADASTRO!$A$4:$A$80,0)),$B63)-CONFIG!$B$50*(COUNTIF($C63:$I63,"AB")+COUNTIF($C63:$I63,"FE")+COUNTIF($C63:$I63,"LM")))</f>
        <v/>
      </c>
      <c r="AV63" s="117">
        <f>SUMPRODUCT(($J63:$P63="M")*6+($J63:$P63="T")*6+($J63:$P63="D")*12+($J63:$P63="N")*12+($J63:$P63="NT")*6+($J63:$P63="C")*10+($J63:$P63="A")*8+($J63:$P63="J")*5+($J63:$P63="CEP")*4+($J63:$P63="CP")*6+($J63:$P63="CRO")*6+($J63:$P63="M+")*6+($J63:$P63="T+")*6+($J63:$P63="D+")*12+($J63:$P63="N+")*12+($J63:$P63="Dm+")*12+($J63:$P63="Dt+")*12+($J63:$P63="Tm-")*6+($J63:$P63="Mt-")*6)</f>
        <v/>
      </c>
      <c r="AW63" s="118">
        <f>AV63-MAX(0,IFERROR(INDEX(CADASTRO!$I$4:$I$80,MATCH($A63,CADASTRO!$A$4:$A$80,0)),$B63)-CONFIG!$B$50*(COUNTIF($J63:$P63,"AB")+COUNTIF($J63:$P63,"FE")+COUNTIF($J63:$P63,"LM")))</f>
        <v/>
      </c>
      <c r="AX63" s="117">
        <f>SUMPRODUCT(($Q63:$W63="M")*6+($Q63:$W63="T")*6+($Q63:$W63="D")*12+($Q63:$W63="N")*12+($Q63:$W63="NT")*6+($Q63:$W63="C")*10+($Q63:$W63="A")*8+($Q63:$W63="J")*5+($Q63:$W63="CEP")*4+($Q63:$W63="CP")*6+($Q63:$W63="CRO")*6+($Q63:$W63="M+")*6+($Q63:$W63="T+")*6+($Q63:$W63="D+")*12+($Q63:$W63="N+")*12+($Q63:$W63="Dm+")*12+($Q63:$W63="Dt+")*12+($Q63:$W63="Tm-")*6+($Q63:$W63="Mt-")*6)</f>
        <v/>
      </c>
      <c r="AY63" s="118">
        <f>AX63-MAX(0,IFERROR(INDEX(CADASTRO!$I$4:$I$80,MATCH($A63,CADASTRO!$A$4:$A$80,0)),$B63)-CONFIG!$B$50*(COUNTIF($Q63:$W63,"AB")+COUNTIF($Q63:$W63,"FE")+COUNTIF($Q63:$W63,"LM")))</f>
        <v/>
      </c>
      <c r="AZ63" s="117">
        <f>SUMPRODUCT(($X63:$AD63="M")*6+($X63:$AD63="T")*6+($X63:$AD63="D")*12+($X63:$AD63="N")*12+($X63:$AD63="NT")*6+($X63:$AD63="C")*10+($X63:$AD63="A")*8+($X63:$AD63="J")*5+($X63:$AD63="CEP")*4+($X63:$AD63="CP")*6+($X63:$AD63="CRO")*6+($X63:$AD63="M+")*6+($X63:$AD63="T+")*6+($X63:$AD63="D+")*12+($X63:$AD63="N+")*12+($X63:$AD63="Dm+")*12+($X63:$AD63="Dt+")*12+($X63:$AD63="Tm-")*6+($X63:$AD63="Mt-")*6)</f>
        <v/>
      </c>
      <c r="BA63" s="118">
        <f>AZ63-MAX(0,IFERROR(INDEX(CADASTRO!$I$4:$I$80,MATCH($A63,CADASTRO!$A$4:$A$80,0)),$B63)-CONFIG!$B$50*(COUNTIF($X63:$AD63,"AB")+COUNTIF($X63:$AD63,"FE")+COUNTIF($X63:$AD63,"LM")))</f>
        <v/>
      </c>
      <c r="BB63" s="117">
        <f>SUMPRODUCT(($AE63:$AK63="M")*6+($AE63:$AK63="T")*6+($AE63:$AK63="D")*12+($AE63:$AK63="N")*12+($AE63:$AK63="NT")*6+($AE63:$AK63="C")*10+($AE63:$AK63="A")*8+($AE63:$AK63="J")*5+($AE63:$AK63="CEP")*4+($AE63:$AK63="CP")*6+($AE63:$AK63="CRO")*6+($AE63:$AK63="M+")*6+($AE63:$AK63="T+")*6+($AE63:$AK63="D+")*12+($AE63:$AK63="N+")*12+($AE63:$AK63="Dm+")*12+($AE63:$AK63="Dt+")*12+($AE63:$AK63="Tm-")*6+($AE63:$AK63="Mt-")*6)</f>
        <v/>
      </c>
      <c r="BC63" s="118">
        <f>BB63-MAX(0,IFERROR(INDEX(CADASTRO!$I$4:$I$80,MATCH($A63,CADASTRO!$A$4:$A$80,0)),$B63)-CONFIG!$B$50*(COUNTIF($AE63:$AK63,"AB")+COUNTIF($AE63:$AK63,"FE")+COUNTIF($AE63:$AK63,"LM")))</f>
        <v/>
      </c>
      <c r="BD63" s="117">
        <f>SUMPRODUCT(($AL63:$AL63="M")*6+($AL63:$AL63="T")*6+($AL63:$AL63="D")*12+($AL63:$AL63="N")*12+($AL63:$AL63="NT")*6+($AL63:$AL63="C")*10+($AL63:$AL63="A")*8+($AL63:$AL63="J")*5+($AL63:$AL63="CEP")*4+($AL63:$AL63="CP")*6+($AL63:$AL63="CRO")*6+($AL63:$AL63="M+")*6+($AL63:$AL63="T+")*6+($AL63:$AL63="D+")*12+($AL63:$AL63="N+")*12+($AL63:$AL63="Dm+")*12+($AL63:$AL63="Dt+")*12+($AL63:$AL63="Tm-")*6+($AL63:$AL63="Mt-")*6)+SUMPRODUCT(($AN63:$AS63="M")*6+($AN63:$AS63="T")*6+($AN63:$AS63="D")*12+($AN63:$AS63="N")*12+($AN63:$AS63="NT")*6+($AN63:$AS63="C")*10+($AN63:$AS63="A")*8+($AN63:$AS63="J")*5+($AN63:$AS63="CEP")*4+($AN63:$AS63="CP")*6+($AN63:$AS63="CRO")*6+($AN63:$AS63="M+")*6+($AN63:$AS63="T+")*6+($AN63:$AS63="D+")*12+($AN63:$AS63="N+")*12+($AN63:$AS63="Dm+")*12+($AN63:$AS63="Dt+")*12+($AN63:$AS63="Tm-")*6+($AN63:$AS63="Mt-")*6)</f>
        <v/>
      </c>
      <c r="BE63" s="118">
        <f>BD63-MAX(0,IFERROR(INDEX(CADASTRO!$I$4:$I$80,MATCH($A63,CADASTRO!$A$4:$A$80,0)),$B63)-CONFIG!$B$50*(COUNTIF($AL63:$AL63,"AB")+COUNTIF($AL63:$AL63,"FE")+COUNTIF($AL63:$AL63,"LM")+COUNTIF($AN63:$AS63,"AB")+COUNTIF($AN63:$AS63,"FE")+COUNTIF($AN63:$AS63,"LM")))</f>
        <v/>
      </c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ROUND(B63*4.29,0)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36">
        <f>IFERROR(INDEX(OUT!AH$8:AH$73,MATCH($A64,OUT!$A$8:$A$73,0))&amp;"","")</f>
        <v/>
      </c>
      <c r="D64" s="136">
        <f>IFERROR(INDEX(OUT!AI$8:AI$73,MATCH($A64,OUT!$A$8:$A$73,0))&amp;"","")</f>
        <v/>
      </c>
      <c r="E64" s="136">
        <f>IFERROR(INDEX(OUT!AJ$8:AJ$73,MATCH($A64,OUT!$A$8:$A$73,0))&amp;"","")</f>
        <v/>
      </c>
      <c r="F64" s="136">
        <f>IFERROR(INDEX(OUT!AK$8:AK$73,MATCH($A64,OUT!$A$8:$A$73,0))&amp;"","")</f>
        <v/>
      </c>
      <c r="G64" s="136">
        <f>IFERROR(INDEX(OUT!AL$8:AL$73,MATCH($A64,OUT!$A$8:$A$73,0))&amp;"","")</f>
        <v/>
      </c>
      <c r="H64" s="116">
        <f>IFERROR(INDEX(OUT!AM$8:AM$73,MATCH($A64,OUT!$A$8:$A$73,0))&amp;"","")</f>
        <v/>
      </c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14" t="n"/>
      <c r="AE64" s="114" t="n"/>
      <c r="AF64" s="114" t="n"/>
      <c r="AG64" s="114" t="n"/>
      <c r="AH64" s="114" t="n"/>
      <c r="AI64" s="114" t="n"/>
      <c r="AJ64" s="114" t="n"/>
      <c r="AK64" s="114" t="n"/>
      <c r="AL64" s="114" t="n"/>
      <c r="AM64" s="100" t="n"/>
      <c r="AN64" s="136">
        <f>IFERROR(INDEX(DEZ!I$8:I$73,MATCH($A64,DEZ!$A$8:$A$73,0))&amp;"","")</f>
        <v/>
      </c>
      <c r="AO64" s="136">
        <f>IFERROR(INDEX(DEZ!J$8:J$73,MATCH($A64,DEZ!$A$8:$A$73,0))&amp;"","")</f>
        <v/>
      </c>
      <c r="AP64" s="136">
        <f>IFERROR(INDEX(DEZ!K$8:K$73,MATCH($A64,DEZ!$A$8:$A$73,0))&amp;"","")</f>
        <v/>
      </c>
      <c r="AQ64" s="136">
        <f>IFERROR(INDEX(DEZ!L$8:L$73,MATCH($A64,DEZ!$A$8:$A$73,0))&amp;"","")</f>
        <v/>
      </c>
      <c r="AR64" s="116">
        <f>IFERROR(INDEX(DEZ!M$8:M$73,MATCH($A64,DEZ!$A$8:$A$73,0))&amp;"","")</f>
        <v/>
      </c>
      <c r="AS64" s="116">
        <f>IFERROR(INDEX(DEZ!N$8:N$73,MATCH($A64,DEZ!$A$8:$A$73,0))&amp;"","")</f>
        <v/>
      </c>
      <c r="AT64" s="117">
        <f>SUMPRODUCT(($C64:$I64="M")*6+($C64:$I64="T")*6+($C64:$I64="D")*12+($C64:$I64="N")*12+($C64:$I64="NT")*6+($C64:$I64="C")*10+($C64:$I64="A")*8+($C64:$I64="J")*5+($C64:$I64="CEP")*4+($C64:$I64="CP")*6+($C64:$I64="CRO")*6+($C64:$I64="M+")*6+($C64:$I64="T+")*6+($C64:$I64="D+")*12+($C64:$I64="N+")*12+($C64:$I64="Dm+")*12+($C64:$I64="Dt+")*12+($C64:$I64="Tm-")*6+($C64:$I64="Mt-")*6)</f>
        <v/>
      </c>
      <c r="AU64" s="118">
        <f>AT64-MAX(0,IFERROR(INDEX(CADASTRO!$I$4:$I$80,MATCH($A64,CADASTRO!$A$4:$A$80,0)),$B64)-CONFIG!$B$50*(COUNTIF($C64:$I64,"AB")+COUNTIF($C64:$I64,"FE")+COUNTIF($C64:$I64,"LM")))</f>
        <v/>
      </c>
      <c r="AV64" s="117">
        <f>SUMPRODUCT(($J64:$P64="M")*6+($J64:$P64="T")*6+($J64:$P64="D")*12+($J64:$P64="N")*12+($J64:$P64="NT")*6+($J64:$P64="C")*10+($J64:$P64="A")*8+($J64:$P64="J")*5+($J64:$P64="CEP")*4+($J64:$P64="CP")*6+($J64:$P64="CRO")*6+($J64:$P64="M+")*6+($J64:$P64="T+")*6+($J64:$P64="D+")*12+($J64:$P64="N+")*12+($J64:$P64="Dm+")*12+($J64:$P64="Dt+")*12+($J64:$P64="Tm-")*6+($J64:$P64="Mt-")*6)</f>
        <v/>
      </c>
      <c r="AW64" s="118">
        <f>AV64-MAX(0,IFERROR(INDEX(CADASTRO!$I$4:$I$80,MATCH($A64,CADASTRO!$A$4:$A$80,0)),$B64)-CONFIG!$B$50*(COUNTIF($J64:$P64,"AB")+COUNTIF($J64:$P64,"FE")+COUNTIF($J64:$P64,"LM")))</f>
        <v/>
      </c>
      <c r="AX64" s="117">
        <f>SUMPRODUCT(($Q64:$W64="M")*6+($Q64:$W64="T")*6+($Q64:$W64="D")*12+($Q64:$W64="N")*12+($Q64:$W64="NT")*6+($Q64:$W64="C")*10+($Q64:$W64="A")*8+($Q64:$W64="J")*5+($Q64:$W64="CEP")*4+($Q64:$W64="CP")*6+($Q64:$W64="CRO")*6+($Q64:$W64="M+")*6+($Q64:$W64="T+")*6+($Q64:$W64="D+")*12+($Q64:$W64="N+")*12+($Q64:$W64="Dm+")*12+($Q64:$W64="Dt+")*12+($Q64:$W64="Tm-")*6+($Q64:$W64="Mt-")*6)</f>
        <v/>
      </c>
      <c r="AY64" s="118">
        <f>AX64-MAX(0,IFERROR(INDEX(CADASTRO!$I$4:$I$80,MATCH($A64,CADASTRO!$A$4:$A$80,0)),$B64)-CONFIG!$B$50*(COUNTIF($Q64:$W64,"AB")+COUNTIF($Q64:$W64,"FE")+COUNTIF($Q64:$W64,"LM")))</f>
        <v/>
      </c>
      <c r="AZ64" s="117">
        <f>SUMPRODUCT(($X64:$AD64="M")*6+($X64:$AD64="T")*6+($X64:$AD64="D")*12+($X64:$AD64="N")*12+($X64:$AD64="NT")*6+($X64:$AD64="C")*10+($X64:$AD64="A")*8+($X64:$AD64="J")*5+($X64:$AD64="CEP")*4+($X64:$AD64="CP")*6+($X64:$AD64="CRO")*6+($X64:$AD64="M+")*6+($X64:$AD64="T+")*6+($X64:$AD64="D+")*12+($X64:$AD64="N+")*12+($X64:$AD64="Dm+")*12+($X64:$AD64="Dt+")*12+($X64:$AD64="Tm-")*6+($X64:$AD64="Mt-")*6)</f>
        <v/>
      </c>
      <c r="BA64" s="118">
        <f>AZ64-MAX(0,IFERROR(INDEX(CADASTRO!$I$4:$I$80,MATCH($A64,CADASTRO!$A$4:$A$80,0)),$B64)-CONFIG!$B$50*(COUNTIF($X64:$AD64,"AB")+COUNTIF($X64:$AD64,"FE")+COUNTIF($X64:$AD64,"LM")))</f>
        <v/>
      </c>
      <c r="BB64" s="117">
        <f>SUMPRODUCT(($AE64:$AK64="M")*6+($AE64:$AK64="T")*6+($AE64:$AK64="D")*12+($AE64:$AK64="N")*12+($AE64:$AK64="NT")*6+($AE64:$AK64="C")*10+($AE64:$AK64="A")*8+($AE64:$AK64="J")*5+($AE64:$AK64="CEP")*4+($AE64:$AK64="CP")*6+($AE64:$AK64="CRO")*6+($AE64:$AK64="M+")*6+($AE64:$AK64="T+")*6+($AE64:$AK64="D+")*12+($AE64:$AK64="N+")*12+($AE64:$AK64="Dm+")*12+($AE64:$AK64="Dt+")*12+($AE64:$AK64="Tm-")*6+($AE64:$AK64="Mt-")*6)</f>
        <v/>
      </c>
      <c r="BC64" s="118">
        <f>BB64-MAX(0,IFERROR(INDEX(CADASTRO!$I$4:$I$80,MATCH($A64,CADASTRO!$A$4:$A$80,0)),$B64)-CONFIG!$B$50*(COUNTIF($AE64:$AK64,"AB")+COUNTIF($AE64:$AK64,"FE")+COUNTIF($AE64:$AK64,"LM")))</f>
        <v/>
      </c>
      <c r="BD64" s="117">
        <f>SUMPRODUCT(($AL64:$AL64="M")*6+($AL64:$AL64="T")*6+($AL64:$AL64="D")*12+($AL64:$AL64="N")*12+($AL64:$AL64="NT")*6+($AL64:$AL64="C")*10+($AL64:$AL64="A")*8+($AL64:$AL64="J")*5+($AL64:$AL64="CEP")*4+($AL64:$AL64="CP")*6+($AL64:$AL64="CRO")*6+($AL64:$AL64="M+")*6+($AL64:$AL64="T+")*6+($AL64:$AL64="D+")*12+($AL64:$AL64="N+")*12+($AL64:$AL64="Dm+")*12+($AL64:$AL64="Dt+")*12+($AL64:$AL64="Tm-")*6+($AL64:$AL64="Mt-")*6)+SUMPRODUCT(($AN64:$AS64="M")*6+($AN64:$AS64="T")*6+($AN64:$AS64="D")*12+($AN64:$AS64="N")*12+($AN64:$AS64="NT")*6+($AN64:$AS64="C")*10+($AN64:$AS64="A")*8+($AN64:$AS64="J")*5+($AN64:$AS64="CEP")*4+($AN64:$AS64="CP")*6+($AN64:$AS64="CRO")*6+($AN64:$AS64="M+")*6+($AN64:$AS64="T+")*6+($AN64:$AS64="D+")*12+($AN64:$AS64="N+")*12+($AN64:$AS64="Dm+")*12+($AN64:$AS64="Dt+")*12+($AN64:$AS64="Tm-")*6+($AN64:$AS64="Mt-")*6)</f>
        <v/>
      </c>
      <c r="BE64" s="118">
        <f>BD64-MAX(0,IFERROR(INDEX(CADASTRO!$I$4:$I$80,MATCH($A64,CADASTRO!$A$4:$A$80,0)),$B64)-CONFIG!$B$50*(COUNTIF($AL64:$AL64,"AB")+COUNTIF($AL64:$AL64,"FE")+COUNTIF($AL64:$AL64,"LM")+COUNTIF($AN64:$AS64,"AB")+COUNTIF($AN64:$AS64,"FE")+COUNTIF($AN64:$AS64,"LM")))</f>
        <v/>
      </c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ROUND(B64*4.29,0)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36">
        <f>IFERROR(INDEX(OUT!AH$8:AH$73,MATCH($A65,OUT!$A$8:$A$73,0))&amp;"","")</f>
        <v/>
      </c>
      <c r="D65" s="136">
        <f>IFERROR(INDEX(OUT!AI$8:AI$73,MATCH($A65,OUT!$A$8:$A$73,0))&amp;"","")</f>
        <v/>
      </c>
      <c r="E65" s="136">
        <f>IFERROR(INDEX(OUT!AJ$8:AJ$73,MATCH($A65,OUT!$A$8:$A$73,0))&amp;"","")</f>
        <v/>
      </c>
      <c r="F65" s="136">
        <f>IFERROR(INDEX(OUT!AK$8:AK$73,MATCH($A65,OUT!$A$8:$A$73,0))&amp;"","")</f>
        <v/>
      </c>
      <c r="G65" s="136">
        <f>IFERROR(INDEX(OUT!AL$8:AL$73,MATCH($A65,OUT!$A$8:$A$73,0))&amp;"","")</f>
        <v/>
      </c>
      <c r="H65" s="116">
        <f>IFERROR(INDEX(OUT!AM$8:AM$73,MATCH($A65,OUT!$A$8:$A$73,0))&amp;"","")</f>
        <v/>
      </c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  <c r="AB65" s="114" t="n"/>
      <c r="AC65" s="114" t="n"/>
      <c r="AD65" s="114" t="n"/>
      <c r="AE65" s="114" t="n"/>
      <c r="AF65" s="114" t="n"/>
      <c r="AG65" s="114" t="n"/>
      <c r="AH65" s="114" t="n"/>
      <c r="AI65" s="114" t="n"/>
      <c r="AJ65" s="114" t="n"/>
      <c r="AK65" s="114" t="n"/>
      <c r="AL65" s="114" t="n"/>
      <c r="AM65" s="100" t="n"/>
      <c r="AN65" s="136">
        <f>IFERROR(INDEX(DEZ!I$8:I$73,MATCH($A65,DEZ!$A$8:$A$73,0))&amp;"","")</f>
        <v/>
      </c>
      <c r="AO65" s="136">
        <f>IFERROR(INDEX(DEZ!J$8:J$73,MATCH($A65,DEZ!$A$8:$A$73,0))&amp;"","")</f>
        <v/>
      </c>
      <c r="AP65" s="136">
        <f>IFERROR(INDEX(DEZ!K$8:K$73,MATCH($A65,DEZ!$A$8:$A$73,0))&amp;"","")</f>
        <v/>
      </c>
      <c r="AQ65" s="136">
        <f>IFERROR(INDEX(DEZ!L$8:L$73,MATCH($A65,DEZ!$A$8:$A$73,0))&amp;"","")</f>
        <v/>
      </c>
      <c r="AR65" s="116">
        <f>IFERROR(INDEX(DEZ!M$8:M$73,MATCH($A65,DEZ!$A$8:$A$73,0))&amp;"","")</f>
        <v/>
      </c>
      <c r="AS65" s="116">
        <f>IFERROR(INDEX(DEZ!N$8:N$73,MATCH($A65,DEZ!$A$8:$A$73,0))&amp;"","")</f>
        <v/>
      </c>
      <c r="AT65" s="117">
        <f>SUMPRODUCT(($C65:$I65="M")*6+($C65:$I65="T")*6+($C65:$I65="D")*12+($C65:$I65="N")*12+($C65:$I65="NT")*6+($C65:$I65="C")*10+($C65:$I65="A")*8+($C65:$I65="J")*5+($C65:$I65="CEP")*4+($C65:$I65="CP")*6+($C65:$I65="CRO")*6+($C65:$I65="M+")*6+($C65:$I65="T+")*6+($C65:$I65="D+")*12+($C65:$I65="N+")*12+($C65:$I65="Dm+")*12+($C65:$I65="Dt+")*12+($C65:$I65="Tm-")*6+($C65:$I65="Mt-")*6)</f>
        <v/>
      </c>
      <c r="AU65" s="118">
        <f>AT65-MAX(0,IFERROR(INDEX(CADASTRO!$I$4:$I$80,MATCH($A65,CADASTRO!$A$4:$A$80,0)),$B65)-CONFIG!$B$50*(COUNTIF($C65:$I65,"AB")+COUNTIF($C65:$I65,"FE")+COUNTIF($C65:$I65,"LM")))</f>
        <v/>
      </c>
      <c r="AV65" s="117">
        <f>SUMPRODUCT(($J65:$P65="M")*6+($J65:$P65="T")*6+($J65:$P65="D")*12+($J65:$P65="N")*12+($J65:$P65="NT")*6+($J65:$P65="C")*10+($J65:$P65="A")*8+($J65:$P65="J")*5+($J65:$P65="CEP")*4+($J65:$P65="CP")*6+($J65:$P65="CRO")*6+($J65:$P65="M+")*6+($J65:$P65="T+")*6+($J65:$P65="D+")*12+($J65:$P65="N+")*12+($J65:$P65="Dm+")*12+($J65:$P65="Dt+")*12+($J65:$P65="Tm-")*6+($J65:$P65="Mt-")*6)</f>
        <v/>
      </c>
      <c r="AW65" s="118">
        <f>AV65-MAX(0,IFERROR(INDEX(CADASTRO!$I$4:$I$80,MATCH($A65,CADASTRO!$A$4:$A$80,0)),$B65)-CONFIG!$B$50*(COUNTIF($J65:$P65,"AB")+COUNTIF($J65:$P65,"FE")+COUNTIF($J65:$P65,"LM")))</f>
        <v/>
      </c>
      <c r="AX65" s="117">
        <f>SUMPRODUCT(($Q65:$W65="M")*6+($Q65:$W65="T")*6+($Q65:$W65="D")*12+($Q65:$W65="N")*12+($Q65:$W65="NT")*6+($Q65:$W65="C")*10+($Q65:$W65="A")*8+($Q65:$W65="J")*5+($Q65:$W65="CEP")*4+($Q65:$W65="CP")*6+($Q65:$W65="CRO")*6+($Q65:$W65="M+")*6+($Q65:$W65="T+")*6+($Q65:$W65="D+")*12+($Q65:$W65="N+")*12+($Q65:$W65="Dm+")*12+($Q65:$W65="Dt+")*12+($Q65:$W65="Tm-")*6+($Q65:$W65="Mt-")*6)</f>
        <v/>
      </c>
      <c r="AY65" s="118">
        <f>AX65-MAX(0,IFERROR(INDEX(CADASTRO!$I$4:$I$80,MATCH($A65,CADASTRO!$A$4:$A$80,0)),$B65)-CONFIG!$B$50*(COUNTIF($Q65:$W65,"AB")+COUNTIF($Q65:$W65,"FE")+COUNTIF($Q65:$W65,"LM")))</f>
        <v/>
      </c>
      <c r="AZ65" s="117">
        <f>SUMPRODUCT(($X65:$AD65="M")*6+($X65:$AD65="T")*6+($X65:$AD65="D")*12+($X65:$AD65="N")*12+($X65:$AD65="NT")*6+($X65:$AD65="C")*10+($X65:$AD65="A")*8+($X65:$AD65="J")*5+($X65:$AD65="CEP")*4+($X65:$AD65="CP")*6+($X65:$AD65="CRO")*6+($X65:$AD65="M+")*6+($X65:$AD65="T+")*6+($X65:$AD65="D+")*12+($X65:$AD65="N+")*12+($X65:$AD65="Dm+")*12+($X65:$AD65="Dt+")*12+($X65:$AD65="Tm-")*6+($X65:$AD65="Mt-")*6)</f>
        <v/>
      </c>
      <c r="BA65" s="118">
        <f>AZ65-MAX(0,IFERROR(INDEX(CADASTRO!$I$4:$I$80,MATCH($A65,CADASTRO!$A$4:$A$80,0)),$B65)-CONFIG!$B$50*(COUNTIF($X65:$AD65,"AB")+COUNTIF($X65:$AD65,"FE")+COUNTIF($X65:$AD65,"LM")))</f>
        <v/>
      </c>
      <c r="BB65" s="117">
        <f>SUMPRODUCT(($AE65:$AK65="M")*6+($AE65:$AK65="T")*6+($AE65:$AK65="D")*12+($AE65:$AK65="N")*12+($AE65:$AK65="NT")*6+($AE65:$AK65="C")*10+($AE65:$AK65="A")*8+($AE65:$AK65="J")*5+($AE65:$AK65="CEP")*4+($AE65:$AK65="CP")*6+($AE65:$AK65="CRO")*6+($AE65:$AK65="M+")*6+($AE65:$AK65="T+")*6+($AE65:$AK65="D+")*12+($AE65:$AK65="N+")*12+($AE65:$AK65="Dm+")*12+($AE65:$AK65="Dt+")*12+($AE65:$AK65="Tm-")*6+($AE65:$AK65="Mt-")*6)</f>
        <v/>
      </c>
      <c r="BC65" s="118">
        <f>BB65-MAX(0,IFERROR(INDEX(CADASTRO!$I$4:$I$80,MATCH($A65,CADASTRO!$A$4:$A$80,0)),$B65)-CONFIG!$B$50*(COUNTIF($AE65:$AK65,"AB")+COUNTIF($AE65:$AK65,"FE")+COUNTIF($AE65:$AK65,"LM")))</f>
        <v/>
      </c>
      <c r="BD65" s="117">
        <f>SUMPRODUCT(($AL65:$AL65="M")*6+($AL65:$AL65="T")*6+($AL65:$AL65="D")*12+($AL65:$AL65="N")*12+($AL65:$AL65="NT")*6+($AL65:$AL65="C")*10+($AL65:$AL65="A")*8+($AL65:$AL65="J")*5+($AL65:$AL65="CEP")*4+($AL65:$AL65="CP")*6+($AL65:$AL65="CRO")*6+($AL65:$AL65="M+")*6+($AL65:$AL65="T+")*6+($AL65:$AL65="D+")*12+($AL65:$AL65="N+")*12+($AL65:$AL65="Dm+")*12+($AL65:$AL65="Dt+")*12+($AL65:$AL65="Tm-")*6+($AL65:$AL65="Mt-")*6)+SUMPRODUCT(($AN65:$AS65="M")*6+($AN65:$AS65="T")*6+($AN65:$AS65="D")*12+($AN65:$AS65="N")*12+($AN65:$AS65="NT")*6+($AN65:$AS65="C")*10+($AN65:$AS65="A")*8+($AN65:$AS65="J")*5+($AN65:$AS65="CEP")*4+($AN65:$AS65="CP")*6+($AN65:$AS65="CRO")*6+($AN65:$AS65="M+")*6+($AN65:$AS65="T+")*6+($AN65:$AS65="D+")*12+($AN65:$AS65="N+")*12+($AN65:$AS65="Dm+")*12+($AN65:$AS65="Dt+")*12+($AN65:$AS65="Tm-")*6+($AN65:$AS65="Mt-")*6)</f>
        <v/>
      </c>
      <c r="BE65" s="118">
        <f>BD65-MAX(0,IFERROR(INDEX(CADASTRO!$I$4:$I$80,MATCH($A65,CADASTRO!$A$4:$A$80,0)),$B65)-CONFIG!$B$50*(COUNTIF($AL65:$AL65,"AB")+COUNTIF($AL65:$AL65,"FE")+COUNTIF($AL65:$AL65,"LM")+COUNTIF($AN65:$AS65,"AB")+COUNTIF($AN65:$AS65,"FE")+COUNTIF($AN65:$AS65,"LM")))</f>
        <v/>
      </c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ROUND(B65*4.29,0)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36">
        <f>IFERROR(INDEX(OUT!AH$8:AH$73,MATCH($A66,OUT!$A$8:$A$73,0))&amp;"","")</f>
        <v/>
      </c>
      <c r="D66" s="136">
        <f>IFERROR(INDEX(OUT!AI$8:AI$73,MATCH($A66,OUT!$A$8:$A$73,0))&amp;"","")</f>
        <v/>
      </c>
      <c r="E66" s="136">
        <f>IFERROR(INDEX(OUT!AJ$8:AJ$73,MATCH($A66,OUT!$A$8:$A$73,0))&amp;"","")</f>
        <v/>
      </c>
      <c r="F66" s="136">
        <f>IFERROR(INDEX(OUT!AK$8:AK$73,MATCH($A66,OUT!$A$8:$A$73,0))&amp;"","")</f>
        <v/>
      </c>
      <c r="G66" s="136">
        <f>IFERROR(INDEX(OUT!AL$8:AL$73,MATCH($A66,OUT!$A$8:$A$73,0))&amp;"","")</f>
        <v/>
      </c>
      <c r="H66" s="116">
        <f>IFERROR(INDEX(OUT!AM$8:AM$73,MATCH($A66,OUT!$A$8:$A$73,0))&amp;"","")</f>
        <v/>
      </c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  <c r="AB66" s="114" t="n"/>
      <c r="AC66" s="114" t="n"/>
      <c r="AD66" s="114" t="n"/>
      <c r="AE66" s="114" t="n"/>
      <c r="AF66" s="114" t="n"/>
      <c r="AG66" s="114" t="n"/>
      <c r="AH66" s="114" t="n"/>
      <c r="AI66" s="114" t="n"/>
      <c r="AJ66" s="114" t="n"/>
      <c r="AK66" s="114" t="n"/>
      <c r="AL66" s="114" t="n"/>
      <c r="AM66" s="100" t="n"/>
      <c r="AN66" s="136">
        <f>IFERROR(INDEX(DEZ!I$8:I$73,MATCH($A66,DEZ!$A$8:$A$73,0))&amp;"","")</f>
        <v/>
      </c>
      <c r="AO66" s="136">
        <f>IFERROR(INDEX(DEZ!J$8:J$73,MATCH($A66,DEZ!$A$8:$A$73,0))&amp;"","")</f>
        <v/>
      </c>
      <c r="AP66" s="136">
        <f>IFERROR(INDEX(DEZ!K$8:K$73,MATCH($A66,DEZ!$A$8:$A$73,0))&amp;"","")</f>
        <v/>
      </c>
      <c r="AQ66" s="136">
        <f>IFERROR(INDEX(DEZ!L$8:L$73,MATCH($A66,DEZ!$A$8:$A$73,0))&amp;"","")</f>
        <v/>
      </c>
      <c r="AR66" s="116">
        <f>IFERROR(INDEX(DEZ!M$8:M$73,MATCH($A66,DEZ!$A$8:$A$73,0))&amp;"","")</f>
        <v/>
      </c>
      <c r="AS66" s="116">
        <f>IFERROR(INDEX(DEZ!N$8:N$73,MATCH($A66,DEZ!$A$8:$A$73,0))&amp;"","")</f>
        <v/>
      </c>
      <c r="AT66" s="117">
        <f>SUMPRODUCT(($C66:$I66="M")*6+($C66:$I66="T")*6+($C66:$I66="D")*12+($C66:$I66="N")*12+($C66:$I66="NT")*6+($C66:$I66="C")*10+($C66:$I66="A")*8+($C66:$I66="J")*5+($C66:$I66="CEP")*4+($C66:$I66="CP")*6+($C66:$I66="CRO")*6+($C66:$I66="M+")*6+($C66:$I66="T+")*6+($C66:$I66="D+")*12+($C66:$I66="N+")*12+($C66:$I66="Dm+")*12+($C66:$I66="Dt+")*12+($C66:$I66="Tm-")*6+($C66:$I66="Mt-")*6)</f>
        <v/>
      </c>
      <c r="AU66" s="118">
        <f>AT66-MAX(0,IFERROR(INDEX(CADASTRO!$I$4:$I$80,MATCH($A66,CADASTRO!$A$4:$A$80,0)),$B66)-CONFIG!$B$50*(COUNTIF($C66:$I66,"AB")+COUNTIF($C66:$I66,"FE")+COUNTIF($C66:$I66,"LM")))</f>
        <v/>
      </c>
      <c r="AV66" s="117">
        <f>SUMPRODUCT(($J66:$P66="M")*6+($J66:$P66="T")*6+($J66:$P66="D")*12+($J66:$P66="N")*12+($J66:$P66="NT")*6+($J66:$P66="C")*10+($J66:$P66="A")*8+($J66:$P66="J")*5+($J66:$P66="CEP")*4+($J66:$P66="CP")*6+($J66:$P66="CRO")*6+($J66:$P66="M+")*6+($J66:$P66="T+")*6+($J66:$P66="D+")*12+($J66:$P66="N+")*12+($J66:$P66="Dm+")*12+($J66:$P66="Dt+")*12+($J66:$P66="Tm-")*6+($J66:$P66="Mt-")*6)</f>
        <v/>
      </c>
      <c r="AW66" s="118">
        <f>AV66-MAX(0,IFERROR(INDEX(CADASTRO!$I$4:$I$80,MATCH($A66,CADASTRO!$A$4:$A$80,0)),$B66)-CONFIG!$B$50*(COUNTIF($J66:$P66,"AB")+COUNTIF($J66:$P66,"FE")+COUNTIF($J66:$P66,"LM")))</f>
        <v/>
      </c>
      <c r="AX66" s="117">
        <f>SUMPRODUCT(($Q66:$W66="M")*6+($Q66:$W66="T")*6+($Q66:$W66="D")*12+($Q66:$W66="N")*12+($Q66:$W66="NT")*6+($Q66:$W66="C")*10+($Q66:$W66="A")*8+($Q66:$W66="J")*5+($Q66:$W66="CEP")*4+($Q66:$W66="CP")*6+($Q66:$W66="CRO")*6+($Q66:$W66="M+")*6+($Q66:$W66="T+")*6+($Q66:$W66="D+")*12+($Q66:$W66="N+")*12+($Q66:$W66="Dm+")*12+($Q66:$W66="Dt+")*12+($Q66:$W66="Tm-")*6+($Q66:$W66="Mt-")*6)</f>
        <v/>
      </c>
      <c r="AY66" s="118">
        <f>AX66-MAX(0,IFERROR(INDEX(CADASTRO!$I$4:$I$80,MATCH($A66,CADASTRO!$A$4:$A$80,0)),$B66)-CONFIG!$B$50*(COUNTIF($Q66:$W66,"AB")+COUNTIF($Q66:$W66,"FE")+COUNTIF($Q66:$W66,"LM")))</f>
        <v/>
      </c>
      <c r="AZ66" s="117">
        <f>SUMPRODUCT(($X66:$AD66="M")*6+($X66:$AD66="T")*6+($X66:$AD66="D")*12+($X66:$AD66="N")*12+($X66:$AD66="NT")*6+($X66:$AD66="C")*10+($X66:$AD66="A")*8+($X66:$AD66="J")*5+($X66:$AD66="CEP")*4+($X66:$AD66="CP")*6+($X66:$AD66="CRO")*6+($X66:$AD66="M+")*6+($X66:$AD66="T+")*6+($X66:$AD66="D+")*12+($X66:$AD66="N+")*12+($X66:$AD66="Dm+")*12+($X66:$AD66="Dt+")*12+($X66:$AD66="Tm-")*6+($X66:$AD66="Mt-")*6)</f>
        <v/>
      </c>
      <c r="BA66" s="118">
        <f>AZ66-MAX(0,IFERROR(INDEX(CADASTRO!$I$4:$I$80,MATCH($A66,CADASTRO!$A$4:$A$80,0)),$B66)-CONFIG!$B$50*(COUNTIF($X66:$AD66,"AB")+COUNTIF($X66:$AD66,"FE")+COUNTIF($X66:$AD66,"LM")))</f>
        <v/>
      </c>
      <c r="BB66" s="117">
        <f>SUMPRODUCT(($AE66:$AK66="M")*6+($AE66:$AK66="T")*6+($AE66:$AK66="D")*12+($AE66:$AK66="N")*12+($AE66:$AK66="NT")*6+($AE66:$AK66="C")*10+($AE66:$AK66="A")*8+($AE66:$AK66="J")*5+($AE66:$AK66="CEP")*4+($AE66:$AK66="CP")*6+($AE66:$AK66="CRO")*6+($AE66:$AK66="M+")*6+($AE66:$AK66="T+")*6+($AE66:$AK66="D+")*12+($AE66:$AK66="N+")*12+($AE66:$AK66="Dm+")*12+($AE66:$AK66="Dt+")*12+($AE66:$AK66="Tm-")*6+($AE66:$AK66="Mt-")*6)</f>
        <v/>
      </c>
      <c r="BC66" s="118">
        <f>BB66-MAX(0,IFERROR(INDEX(CADASTRO!$I$4:$I$80,MATCH($A66,CADASTRO!$A$4:$A$80,0)),$B66)-CONFIG!$B$50*(COUNTIF($AE66:$AK66,"AB")+COUNTIF($AE66:$AK66,"FE")+COUNTIF($AE66:$AK66,"LM")))</f>
        <v/>
      </c>
      <c r="BD66" s="117">
        <f>SUMPRODUCT(($AL66:$AL66="M")*6+($AL66:$AL66="T")*6+($AL66:$AL66="D")*12+($AL66:$AL66="N")*12+($AL66:$AL66="NT")*6+($AL66:$AL66="C")*10+($AL66:$AL66="A")*8+($AL66:$AL66="J")*5+($AL66:$AL66="CEP")*4+($AL66:$AL66="CP")*6+($AL66:$AL66="CRO")*6+($AL66:$AL66="M+")*6+($AL66:$AL66="T+")*6+($AL66:$AL66="D+")*12+($AL66:$AL66="N+")*12+($AL66:$AL66="Dm+")*12+($AL66:$AL66="Dt+")*12+($AL66:$AL66="Tm-")*6+($AL66:$AL66="Mt-")*6)+SUMPRODUCT(($AN66:$AS66="M")*6+($AN66:$AS66="T")*6+($AN66:$AS66="D")*12+($AN66:$AS66="N")*12+($AN66:$AS66="NT")*6+($AN66:$AS66="C")*10+($AN66:$AS66="A")*8+($AN66:$AS66="J")*5+($AN66:$AS66="CEP")*4+($AN66:$AS66="CP")*6+($AN66:$AS66="CRO")*6+($AN66:$AS66="M+")*6+($AN66:$AS66="T+")*6+($AN66:$AS66="D+")*12+($AN66:$AS66="N+")*12+($AN66:$AS66="Dm+")*12+($AN66:$AS66="Dt+")*12+($AN66:$AS66="Tm-")*6+($AN66:$AS66="Mt-")*6)</f>
        <v/>
      </c>
      <c r="BE66" s="118">
        <f>BD66-MAX(0,IFERROR(INDEX(CADASTRO!$I$4:$I$80,MATCH($A66,CADASTRO!$A$4:$A$80,0)),$B66)-CONFIG!$B$50*(COUNTIF($AL66:$AL66,"AB")+COUNTIF($AL66:$AL66,"FE")+COUNTIF($AL66:$AL66,"LM")+COUNTIF($AN66:$AS66,"AB")+COUNTIF($AN66:$AS66,"FE")+COUNTIF($AN66:$AS66,"LM")))</f>
        <v/>
      </c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ROUND(B66*4.29,0)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36">
        <f>IFERROR(INDEX(OUT!AH$8:AH$73,MATCH($A67,OUT!$A$8:$A$73,0))&amp;"","")</f>
        <v/>
      </c>
      <c r="D67" s="136">
        <f>IFERROR(INDEX(OUT!AI$8:AI$73,MATCH($A67,OUT!$A$8:$A$73,0))&amp;"","")</f>
        <v/>
      </c>
      <c r="E67" s="136">
        <f>IFERROR(INDEX(OUT!AJ$8:AJ$73,MATCH($A67,OUT!$A$8:$A$73,0))&amp;"","")</f>
        <v/>
      </c>
      <c r="F67" s="136">
        <f>IFERROR(INDEX(OUT!AK$8:AK$73,MATCH($A67,OUT!$A$8:$A$73,0))&amp;"","")</f>
        <v/>
      </c>
      <c r="G67" s="136">
        <f>IFERROR(INDEX(OUT!AL$8:AL$73,MATCH($A67,OUT!$A$8:$A$73,0))&amp;"","")</f>
        <v/>
      </c>
      <c r="H67" s="116">
        <f>IFERROR(INDEX(OUT!AM$8:AM$73,MATCH($A67,OUT!$A$8:$A$73,0))&amp;"","")</f>
        <v/>
      </c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  <c r="AB67" s="114" t="n"/>
      <c r="AC67" s="114" t="n"/>
      <c r="AD67" s="114" t="n"/>
      <c r="AE67" s="114" t="n"/>
      <c r="AF67" s="114" t="n"/>
      <c r="AG67" s="114" t="n"/>
      <c r="AH67" s="114" t="n"/>
      <c r="AI67" s="114" t="n"/>
      <c r="AJ67" s="114" t="n"/>
      <c r="AK67" s="114" t="n"/>
      <c r="AL67" s="114" t="n"/>
      <c r="AM67" s="100" t="n"/>
      <c r="AN67" s="136">
        <f>IFERROR(INDEX(DEZ!I$8:I$73,MATCH($A67,DEZ!$A$8:$A$73,0))&amp;"","")</f>
        <v/>
      </c>
      <c r="AO67" s="136">
        <f>IFERROR(INDEX(DEZ!J$8:J$73,MATCH($A67,DEZ!$A$8:$A$73,0))&amp;"","")</f>
        <v/>
      </c>
      <c r="AP67" s="136">
        <f>IFERROR(INDEX(DEZ!K$8:K$73,MATCH($A67,DEZ!$A$8:$A$73,0))&amp;"","")</f>
        <v/>
      </c>
      <c r="AQ67" s="136">
        <f>IFERROR(INDEX(DEZ!L$8:L$73,MATCH($A67,DEZ!$A$8:$A$73,0))&amp;"","")</f>
        <v/>
      </c>
      <c r="AR67" s="116">
        <f>IFERROR(INDEX(DEZ!M$8:M$73,MATCH($A67,DEZ!$A$8:$A$73,0))&amp;"","")</f>
        <v/>
      </c>
      <c r="AS67" s="116">
        <f>IFERROR(INDEX(DEZ!N$8:N$73,MATCH($A67,DEZ!$A$8:$A$73,0))&amp;"","")</f>
        <v/>
      </c>
      <c r="AT67" s="117">
        <f>SUMPRODUCT(($C67:$I67="M")*6+($C67:$I67="T")*6+($C67:$I67="D")*12+($C67:$I67="N")*12+($C67:$I67="NT")*6+($C67:$I67="C")*10+($C67:$I67="A")*8+($C67:$I67="J")*5+($C67:$I67="CEP")*4+($C67:$I67="CP")*6+($C67:$I67="CRO")*6+($C67:$I67="M+")*6+($C67:$I67="T+")*6+($C67:$I67="D+")*12+($C67:$I67="N+")*12+($C67:$I67="Dm+")*12+($C67:$I67="Dt+")*12+($C67:$I67="Tm-")*6+($C67:$I67="Mt-")*6)</f>
        <v/>
      </c>
      <c r="AU67" s="118">
        <f>AT67-MAX(0,IFERROR(INDEX(CADASTRO!$I$4:$I$80,MATCH($A67,CADASTRO!$A$4:$A$80,0)),$B67)-CONFIG!$B$50*(COUNTIF($C67:$I67,"AB")+COUNTIF($C67:$I67,"FE")+COUNTIF($C67:$I67,"LM")))</f>
        <v/>
      </c>
      <c r="AV67" s="117">
        <f>SUMPRODUCT(($J67:$P67="M")*6+($J67:$P67="T")*6+($J67:$P67="D")*12+($J67:$P67="N")*12+($J67:$P67="NT")*6+($J67:$P67="C")*10+($J67:$P67="A")*8+($J67:$P67="J")*5+($J67:$P67="CEP")*4+($J67:$P67="CP")*6+($J67:$P67="CRO")*6+($J67:$P67="M+")*6+($J67:$P67="T+")*6+($J67:$P67="D+")*12+($J67:$P67="N+")*12+($J67:$P67="Dm+")*12+($J67:$P67="Dt+")*12+($J67:$P67="Tm-")*6+($J67:$P67="Mt-")*6)</f>
        <v/>
      </c>
      <c r="AW67" s="118">
        <f>AV67-MAX(0,IFERROR(INDEX(CADASTRO!$I$4:$I$80,MATCH($A67,CADASTRO!$A$4:$A$80,0)),$B67)-CONFIG!$B$50*(COUNTIF($J67:$P67,"AB")+COUNTIF($J67:$P67,"FE")+COUNTIF($J67:$P67,"LM")))</f>
        <v/>
      </c>
      <c r="AX67" s="117">
        <f>SUMPRODUCT(($Q67:$W67="M")*6+($Q67:$W67="T")*6+($Q67:$W67="D")*12+($Q67:$W67="N")*12+($Q67:$W67="NT")*6+($Q67:$W67="C")*10+($Q67:$W67="A")*8+($Q67:$W67="J")*5+($Q67:$W67="CEP")*4+($Q67:$W67="CP")*6+($Q67:$W67="CRO")*6+($Q67:$W67="M+")*6+($Q67:$W67="T+")*6+($Q67:$W67="D+")*12+($Q67:$W67="N+")*12+($Q67:$W67="Dm+")*12+($Q67:$W67="Dt+")*12+($Q67:$W67="Tm-")*6+($Q67:$W67="Mt-")*6)</f>
        <v/>
      </c>
      <c r="AY67" s="118">
        <f>AX67-MAX(0,IFERROR(INDEX(CADASTRO!$I$4:$I$80,MATCH($A67,CADASTRO!$A$4:$A$80,0)),$B67)-CONFIG!$B$50*(COUNTIF($Q67:$W67,"AB")+COUNTIF($Q67:$W67,"FE")+COUNTIF($Q67:$W67,"LM")))</f>
        <v/>
      </c>
      <c r="AZ67" s="117">
        <f>SUMPRODUCT(($X67:$AD67="M")*6+($X67:$AD67="T")*6+($X67:$AD67="D")*12+($X67:$AD67="N")*12+($X67:$AD67="NT")*6+($X67:$AD67="C")*10+($X67:$AD67="A")*8+($X67:$AD67="J")*5+($X67:$AD67="CEP")*4+($X67:$AD67="CP")*6+($X67:$AD67="CRO")*6+($X67:$AD67="M+")*6+($X67:$AD67="T+")*6+($X67:$AD67="D+")*12+($X67:$AD67="N+")*12+($X67:$AD67="Dm+")*12+($X67:$AD67="Dt+")*12+($X67:$AD67="Tm-")*6+($X67:$AD67="Mt-")*6)</f>
        <v/>
      </c>
      <c r="BA67" s="118">
        <f>AZ67-MAX(0,IFERROR(INDEX(CADASTRO!$I$4:$I$80,MATCH($A67,CADASTRO!$A$4:$A$80,0)),$B67)-CONFIG!$B$50*(COUNTIF($X67:$AD67,"AB")+COUNTIF($X67:$AD67,"FE")+COUNTIF($X67:$AD67,"LM")))</f>
        <v/>
      </c>
      <c r="BB67" s="117">
        <f>SUMPRODUCT(($AE67:$AK67="M")*6+($AE67:$AK67="T")*6+($AE67:$AK67="D")*12+($AE67:$AK67="N")*12+($AE67:$AK67="NT")*6+($AE67:$AK67="C")*10+($AE67:$AK67="A")*8+($AE67:$AK67="J")*5+($AE67:$AK67="CEP")*4+($AE67:$AK67="CP")*6+($AE67:$AK67="CRO")*6+($AE67:$AK67="M+")*6+($AE67:$AK67="T+")*6+($AE67:$AK67="D+")*12+($AE67:$AK67="N+")*12+($AE67:$AK67="Dm+")*12+($AE67:$AK67="Dt+")*12+($AE67:$AK67="Tm-")*6+($AE67:$AK67="Mt-")*6)</f>
        <v/>
      </c>
      <c r="BC67" s="118">
        <f>BB67-MAX(0,IFERROR(INDEX(CADASTRO!$I$4:$I$80,MATCH($A67,CADASTRO!$A$4:$A$80,0)),$B67)-CONFIG!$B$50*(COUNTIF($AE67:$AK67,"AB")+COUNTIF($AE67:$AK67,"FE")+COUNTIF($AE67:$AK67,"LM")))</f>
        <v/>
      </c>
      <c r="BD67" s="117">
        <f>SUMPRODUCT(($AL67:$AL67="M")*6+($AL67:$AL67="T")*6+($AL67:$AL67="D")*12+($AL67:$AL67="N")*12+($AL67:$AL67="NT")*6+($AL67:$AL67="C")*10+($AL67:$AL67="A")*8+($AL67:$AL67="J")*5+($AL67:$AL67="CEP")*4+($AL67:$AL67="CP")*6+($AL67:$AL67="CRO")*6+($AL67:$AL67="M+")*6+($AL67:$AL67="T+")*6+($AL67:$AL67="D+")*12+($AL67:$AL67="N+")*12+($AL67:$AL67="Dm+")*12+($AL67:$AL67="Dt+")*12+($AL67:$AL67="Tm-")*6+($AL67:$AL67="Mt-")*6)+SUMPRODUCT(($AN67:$AS67="M")*6+($AN67:$AS67="T")*6+($AN67:$AS67="D")*12+($AN67:$AS67="N")*12+($AN67:$AS67="NT")*6+($AN67:$AS67="C")*10+($AN67:$AS67="A")*8+($AN67:$AS67="J")*5+($AN67:$AS67="CEP")*4+($AN67:$AS67="CP")*6+($AN67:$AS67="CRO")*6+($AN67:$AS67="M+")*6+($AN67:$AS67="T+")*6+($AN67:$AS67="D+")*12+($AN67:$AS67="N+")*12+($AN67:$AS67="Dm+")*12+($AN67:$AS67="Dt+")*12+($AN67:$AS67="Tm-")*6+($AN67:$AS67="Mt-")*6)</f>
        <v/>
      </c>
      <c r="BE67" s="118">
        <f>BD67-MAX(0,IFERROR(INDEX(CADASTRO!$I$4:$I$80,MATCH($A67,CADASTRO!$A$4:$A$80,0)),$B67)-CONFIG!$B$50*(COUNTIF($AL67:$AL67,"AB")+COUNTIF($AL67:$AL67,"FE")+COUNTIF($AL67:$AL67,"LM")+COUNTIF($AN67:$AS67,"AB")+COUNTIF($AN67:$AS67,"FE")+COUNTIF($AN67:$AS67,"LM")))</f>
        <v/>
      </c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ROUND(B67*4.29,0)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36">
        <f>IFERROR(INDEX(OUT!AH$8:AH$73,MATCH($A68,OUT!$A$8:$A$73,0))&amp;"","")</f>
        <v/>
      </c>
      <c r="D68" s="136">
        <f>IFERROR(INDEX(OUT!AI$8:AI$73,MATCH($A68,OUT!$A$8:$A$73,0))&amp;"","")</f>
        <v/>
      </c>
      <c r="E68" s="136">
        <f>IFERROR(INDEX(OUT!AJ$8:AJ$73,MATCH($A68,OUT!$A$8:$A$73,0))&amp;"","")</f>
        <v/>
      </c>
      <c r="F68" s="136">
        <f>IFERROR(INDEX(OUT!AK$8:AK$73,MATCH($A68,OUT!$A$8:$A$73,0))&amp;"","")</f>
        <v/>
      </c>
      <c r="G68" s="136">
        <f>IFERROR(INDEX(OUT!AL$8:AL$73,MATCH($A68,OUT!$A$8:$A$73,0))&amp;"","")</f>
        <v/>
      </c>
      <c r="H68" s="116">
        <f>IFERROR(INDEX(OUT!AM$8:AM$73,MATCH($A68,OUT!$A$8:$A$73,0))&amp;"","")</f>
        <v/>
      </c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  <c r="AB68" s="114" t="n"/>
      <c r="AC68" s="114" t="n"/>
      <c r="AD68" s="114" t="n"/>
      <c r="AE68" s="114" t="n"/>
      <c r="AF68" s="114" t="n"/>
      <c r="AG68" s="114" t="n"/>
      <c r="AH68" s="114" t="n"/>
      <c r="AI68" s="114" t="n"/>
      <c r="AJ68" s="114" t="n"/>
      <c r="AK68" s="114" t="n"/>
      <c r="AL68" s="114" t="n"/>
      <c r="AM68" s="100" t="n"/>
      <c r="AN68" s="136">
        <f>IFERROR(INDEX(DEZ!I$8:I$73,MATCH($A68,DEZ!$A$8:$A$73,0))&amp;"","")</f>
        <v/>
      </c>
      <c r="AO68" s="136">
        <f>IFERROR(INDEX(DEZ!J$8:J$73,MATCH($A68,DEZ!$A$8:$A$73,0))&amp;"","")</f>
        <v/>
      </c>
      <c r="AP68" s="136">
        <f>IFERROR(INDEX(DEZ!K$8:K$73,MATCH($A68,DEZ!$A$8:$A$73,0))&amp;"","")</f>
        <v/>
      </c>
      <c r="AQ68" s="136">
        <f>IFERROR(INDEX(DEZ!L$8:L$73,MATCH($A68,DEZ!$A$8:$A$73,0))&amp;"","")</f>
        <v/>
      </c>
      <c r="AR68" s="116">
        <f>IFERROR(INDEX(DEZ!M$8:M$73,MATCH($A68,DEZ!$A$8:$A$73,0))&amp;"","")</f>
        <v/>
      </c>
      <c r="AS68" s="116">
        <f>IFERROR(INDEX(DEZ!N$8:N$73,MATCH($A68,DEZ!$A$8:$A$73,0))&amp;"","")</f>
        <v/>
      </c>
      <c r="AT68" s="117">
        <f>SUMPRODUCT(($C68:$I68="M")*6+($C68:$I68="T")*6+($C68:$I68="D")*12+($C68:$I68="N")*12+($C68:$I68="NT")*6+($C68:$I68="C")*10+($C68:$I68="A")*8+($C68:$I68="J")*5+($C68:$I68="CEP")*4+($C68:$I68="CP")*6+($C68:$I68="CRO")*6+($C68:$I68="M+")*6+($C68:$I68="T+")*6+($C68:$I68="D+")*12+($C68:$I68="N+")*12+($C68:$I68="Dm+")*12+($C68:$I68="Dt+")*12+($C68:$I68="Tm-")*6+($C68:$I68="Mt-")*6)</f>
        <v/>
      </c>
      <c r="AU68" s="118">
        <f>AT68-MAX(0,IFERROR(INDEX(CADASTRO!$I$4:$I$80,MATCH($A68,CADASTRO!$A$4:$A$80,0)),$B68)-CONFIG!$B$50*(COUNTIF($C68:$I68,"AB")+COUNTIF($C68:$I68,"FE")+COUNTIF($C68:$I68,"LM")))</f>
        <v/>
      </c>
      <c r="AV68" s="117">
        <f>SUMPRODUCT(($J68:$P68="M")*6+($J68:$P68="T")*6+($J68:$P68="D")*12+($J68:$P68="N")*12+($J68:$P68="NT")*6+($J68:$P68="C")*10+($J68:$P68="A")*8+($J68:$P68="J")*5+($J68:$P68="CEP")*4+($J68:$P68="CP")*6+($J68:$P68="CRO")*6+($J68:$P68="M+")*6+($J68:$P68="T+")*6+($J68:$P68="D+")*12+($J68:$P68="N+")*12+($J68:$P68="Dm+")*12+($J68:$P68="Dt+")*12+($J68:$P68="Tm-")*6+($J68:$P68="Mt-")*6)</f>
        <v/>
      </c>
      <c r="AW68" s="118">
        <f>AV68-MAX(0,IFERROR(INDEX(CADASTRO!$I$4:$I$80,MATCH($A68,CADASTRO!$A$4:$A$80,0)),$B68)-CONFIG!$B$50*(COUNTIF($J68:$P68,"AB")+COUNTIF($J68:$P68,"FE")+COUNTIF($J68:$P68,"LM")))</f>
        <v/>
      </c>
      <c r="AX68" s="117">
        <f>SUMPRODUCT(($Q68:$W68="M")*6+($Q68:$W68="T")*6+($Q68:$W68="D")*12+($Q68:$W68="N")*12+($Q68:$W68="NT")*6+($Q68:$W68="C")*10+($Q68:$W68="A")*8+($Q68:$W68="J")*5+($Q68:$W68="CEP")*4+($Q68:$W68="CP")*6+($Q68:$W68="CRO")*6+($Q68:$W68="M+")*6+($Q68:$W68="T+")*6+($Q68:$W68="D+")*12+($Q68:$W68="N+")*12+($Q68:$W68="Dm+")*12+($Q68:$W68="Dt+")*12+($Q68:$W68="Tm-")*6+($Q68:$W68="Mt-")*6)</f>
        <v/>
      </c>
      <c r="AY68" s="118">
        <f>AX68-MAX(0,IFERROR(INDEX(CADASTRO!$I$4:$I$80,MATCH($A68,CADASTRO!$A$4:$A$80,0)),$B68)-CONFIG!$B$50*(COUNTIF($Q68:$W68,"AB")+COUNTIF($Q68:$W68,"FE")+COUNTIF($Q68:$W68,"LM")))</f>
        <v/>
      </c>
      <c r="AZ68" s="117">
        <f>SUMPRODUCT(($X68:$AD68="M")*6+($X68:$AD68="T")*6+($X68:$AD68="D")*12+($X68:$AD68="N")*12+($X68:$AD68="NT")*6+($X68:$AD68="C")*10+($X68:$AD68="A")*8+($X68:$AD68="J")*5+($X68:$AD68="CEP")*4+($X68:$AD68="CP")*6+($X68:$AD68="CRO")*6+($X68:$AD68="M+")*6+($X68:$AD68="T+")*6+($X68:$AD68="D+")*12+($X68:$AD68="N+")*12+($X68:$AD68="Dm+")*12+($X68:$AD68="Dt+")*12+($X68:$AD68="Tm-")*6+($X68:$AD68="Mt-")*6)</f>
        <v/>
      </c>
      <c r="BA68" s="118">
        <f>AZ68-MAX(0,IFERROR(INDEX(CADASTRO!$I$4:$I$80,MATCH($A68,CADASTRO!$A$4:$A$80,0)),$B68)-CONFIG!$B$50*(COUNTIF($X68:$AD68,"AB")+COUNTIF($X68:$AD68,"FE")+COUNTIF($X68:$AD68,"LM")))</f>
        <v/>
      </c>
      <c r="BB68" s="117">
        <f>SUMPRODUCT(($AE68:$AK68="M")*6+($AE68:$AK68="T")*6+($AE68:$AK68="D")*12+($AE68:$AK68="N")*12+($AE68:$AK68="NT")*6+($AE68:$AK68="C")*10+($AE68:$AK68="A")*8+($AE68:$AK68="J")*5+($AE68:$AK68="CEP")*4+($AE68:$AK68="CP")*6+($AE68:$AK68="CRO")*6+($AE68:$AK68="M+")*6+($AE68:$AK68="T+")*6+($AE68:$AK68="D+")*12+($AE68:$AK68="N+")*12+($AE68:$AK68="Dm+")*12+($AE68:$AK68="Dt+")*12+($AE68:$AK68="Tm-")*6+($AE68:$AK68="Mt-")*6)</f>
        <v/>
      </c>
      <c r="BC68" s="118">
        <f>BB68-MAX(0,IFERROR(INDEX(CADASTRO!$I$4:$I$80,MATCH($A68,CADASTRO!$A$4:$A$80,0)),$B68)-CONFIG!$B$50*(COUNTIF($AE68:$AK68,"AB")+COUNTIF($AE68:$AK68,"FE")+COUNTIF($AE68:$AK68,"LM")))</f>
        <v/>
      </c>
      <c r="BD68" s="117">
        <f>SUMPRODUCT(($AL68:$AL68="M")*6+($AL68:$AL68="T")*6+($AL68:$AL68="D")*12+($AL68:$AL68="N")*12+($AL68:$AL68="NT")*6+($AL68:$AL68="C")*10+($AL68:$AL68="A")*8+($AL68:$AL68="J")*5+($AL68:$AL68="CEP")*4+($AL68:$AL68="CP")*6+($AL68:$AL68="CRO")*6+($AL68:$AL68="M+")*6+($AL68:$AL68="T+")*6+($AL68:$AL68="D+")*12+($AL68:$AL68="N+")*12+($AL68:$AL68="Dm+")*12+($AL68:$AL68="Dt+")*12+($AL68:$AL68="Tm-")*6+($AL68:$AL68="Mt-")*6)+SUMPRODUCT(($AN68:$AS68="M")*6+($AN68:$AS68="T")*6+($AN68:$AS68="D")*12+($AN68:$AS68="N")*12+($AN68:$AS68="NT")*6+($AN68:$AS68="C")*10+($AN68:$AS68="A")*8+($AN68:$AS68="J")*5+($AN68:$AS68="CEP")*4+($AN68:$AS68="CP")*6+($AN68:$AS68="CRO")*6+($AN68:$AS68="M+")*6+($AN68:$AS68="T+")*6+($AN68:$AS68="D+")*12+($AN68:$AS68="N+")*12+($AN68:$AS68="Dm+")*12+($AN68:$AS68="Dt+")*12+($AN68:$AS68="Tm-")*6+($AN68:$AS68="Mt-")*6)</f>
        <v/>
      </c>
      <c r="BE68" s="118">
        <f>BD68-MAX(0,IFERROR(INDEX(CADASTRO!$I$4:$I$80,MATCH($A68,CADASTRO!$A$4:$A$80,0)),$B68)-CONFIG!$B$50*(COUNTIF($AL68:$AL68,"AB")+COUNTIF($AL68:$AL68,"FE")+COUNTIF($AL68:$AL68,"LM")+COUNTIF($AN68:$AS68,"AB")+COUNTIF($AN68:$AS68,"FE")+COUNTIF($AN68:$AS68,"LM")))</f>
        <v/>
      </c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ROUND(B68*4.29,0)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36">
        <f>IFERROR(INDEX(OUT!AH$8:AH$73,MATCH($A69,OUT!$A$8:$A$73,0))&amp;"","")</f>
        <v/>
      </c>
      <c r="D69" s="136">
        <f>IFERROR(INDEX(OUT!AI$8:AI$73,MATCH($A69,OUT!$A$8:$A$73,0))&amp;"","")</f>
        <v/>
      </c>
      <c r="E69" s="136">
        <f>IFERROR(INDEX(OUT!AJ$8:AJ$73,MATCH($A69,OUT!$A$8:$A$73,0))&amp;"","")</f>
        <v/>
      </c>
      <c r="F69" s="136">
        <f>IFERROR(INDEX(OUT!AK$8:AK$73,MATCH($A69,OUT!$A$8:$A$73,0))&amp;"","")</f>
        <v/>
      </c>
      <c r="G69" s="136">
        <f>IFERROR(INDEX(OUT!AL$8:AL$73,MATCH($A69,OUT!$A$8:$A$73,0))&amp;"","")</f>
        <v/>
      </c>
      <c r="H69" s="116">
        <f>IFERROR(INDEX(OUT!AM$8:AM$73,MATCH($A69,OUT!$A$8:$A$73,0))&amp;"","")</f>
        <v/>
      </c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  <c r="AB69" s="114" t="n"/>
      <c r="AC69" s="114" t="n"/>
      <c r="AD69" s="114" t="n"/>
      <c r="AE69" s="114" t="n"/>
      <c r="AF69" s="114" t="n"/>
      <c r="AG69" s="114" t="n"/>
      <c r="AH69" s="114" t="n"/>
      <c r="AI69" s="114" t="n"/>
      <c r="AJ69" s="114" t="n"/>
      <c r="AK69" s="114" t="n"/>
      <c r="AL69" s="114" t="n"/>
      <c r="AM69" s="100" t="n"/>
      <c r="AN69" s="136">
        <f>IFERROR(INDEX(DEZ!I$8:I$73,MATCH($A69,DEZ!$A$8:$A$73,0))&amp;"","")</f>
        <v/>
      </c>
      <c r="AO69" s="136">
        <f>IFERROR(INDEX(DEZ!J$8:J$73,MATCH($A69,DEZ!$A$8:$A$73,0))&amp;"","")</f>
        <v/>
      </c>
      <c r="AP69" s="136">
        <f>IFERROR(INDEX(DEZ!K$8:K$73,MATCH($A69,DEZ!$A$8:$A$73,0))&amp;"","")</f>
        <v/>
      </c>
      <c r="AQ69" s="136">
        <f>IFERROR(INDEX(DEZ!L$8:L$73,MATCH($A69,DEZ!$A$8:$A$73,0))&amp;"","")</f>
        <v/>
      </c>
      <c r="AR69" s="116">
        <f>IFERROR(INDEX(DEZ!M$8:M$73,MATCH($A69,DEZ!$A$8:$A$73,0))&amp;"","")</f>
        <v/>
      </c>
      <c r="AS69" s="116">
        <f>IFERROR(INDEX(DEZ!N$8:N$73,MATCH($A69,DEZ!$A$8:$A$73,0))&amp;"","")</f>
        <v/>
      </c>
      <c r="AT69" s="117">
        <f>SUMPRODUCT(($C69:$I69="M")*6+($C69:$I69="T")*6+($C69:$I69="D")*12+($C69:$I69="N")*12+($C69:$I69="NT")*6+($C69:$I69="C")*10+($C69:$I69="A")*8+($C69:$I69="J")*5+($C69:$I69="CEP")*4+($C69:$I69="CP")*6+($C69:$I69="CRO")*6+($C69:$I69="M+")*6+($C69:$I69="T+")*6+($C69:$I69="D+")*12+($C69:$I69="N+")*12+($C69:$I69="Dm+")*12+($C69:$I69="Dt+")*12+($C69:$I69="Tm-")*6+($C69:$I69="Mt-")*6)</f>
        <v/>
      </c>
      <c r="AU69" s="118">
        <f>AT69-MAX(0,IFERROR(INDEX(CADASTRO!$I$4:$I$80,MATCH($A69,CADASTRO!$A$4:$A$80,0)),$B69)-CONFIG!$B$50*(COUNTIF($C69:$I69,"AB")+COUNTIF($C69:$I69,"FE")+COUNTIF($C69:$I69,"LM")))</f>
        <v/>
      </c>
      <c r="AV69" s="117">
        <f>SUMPRODUCT(($J69:$P69="M")*6+($J69:$P69="T")*6+($J69:$P69="D")*12+($J69:$P69="N")*12+($J69:$P69="NT")*6+($J69:$P69="C")*10+($J69:$P69="A")*8+($J69:$P69="J")*5+($J69:$P69="CEP")*4+($J69:$P69="CP")*6+($J69:$P69="CRO")*6+($J69:$P69="M+")*6+($J69:$P69="T+")*6+($J69:$P69="D+")*12+($J69:$P69="N+")*12+($J69:$P69="Dm+")*12+($J69:$P69="Dt+")*12+($J69:$P69="Tm-")*6+($J69:$P69="Mt-")*6)</f>
        <v/>
      </c>
      <c r="AW69" s="118">
        <f>AV69-MAX(0,IFERROR(INDEX(CADASTRO!$I$4:$I$80,MATCH($A69,CADASTRO!$A$4:$A$80,0)),$B69)-CONFIG!$B$50*(COUNTIF($J69:$P69,"AB")+COUNTIF($J69:$P69,"FE")+COUNTIF($J69:$P69,"LM")))</f>
        <v/>
      </c>
      <c r="AX69" s="117">
        <f>SUMPRODUCT(($Q69:$W69="M")*6+($Q69:$W69="T")*6+($Q69:$W69="D")*12+($Q69:$W69="N")*12+($Q69:$W69="NT")*6+($Q69:$W69="C")*10+($Q69:$W69="A")*8+($Q69:$W69="J")*5+($Q69:$W69="CEP")*4+($Q69:$W69="CP")*6+($Q69:$W69="CRO")*6+($Q69:$W69="M+")*6+($Q69:$W69="T+")*6+($Q69:$W69="D+")*12+($Q69:$W69="N+")*12+($Q69:$W69="Dm+")*12+($Q69:$W69="Dt+")*12+($Q69:$W69="Tm-")*6+($Q69:$W69="Mt-")*6)</f>
        <v/>
      </c>
      <c r="AY69" s="118">
        <f>AX69-MAX(0,IFERROR(INDEX(CADASTRO!$I$4:$I$80,MATCH($A69,CADASTRO!$A$4:$A$80,0)),$B69)-CONFIG!$B$50*(COUNTIF($Q69:$W69,"AB")+COUNTIF($Q69:$W69,"FE")+COUNTIF($Q69:$W69,"LM")))</f>
        <v/>
      </c>
      <c r="AZ69" s="117">
        <f>SUMPRODUCT(($X69:$AD69="M")*6+($X69:$AD69="T")*6+($X69:$AD69="D")*12+($X69:$AD69="N")*12+($X69:$AD69="NT")*6+($X69:$AD69="C")*10+($X69:$AD69="A")*8+($X69:$AD69="J")*5+($X69:$AD69="CEP")*4+($X69:$AD69="CP")*6+($X69:$AD69="CRO")*6+($X69:$AD69="M+")*6+($X69:$AD69="T+")*6+($X69:$AD69="D+")*12+($X69:$AD69="N+")*12+($X69:$AD69="Dm+")*12+($X69:$AD69="Dt+")*12+($X69:$AD69="Tm-")*6+($X69:$AD69="Mt-")*6)</f>
        <v/>
      </c>
      <c r="BA69" s="118">
        <f>AZ69-MAX(0,IFERROR(INDEX(CADASTRO!$I$4:$I$80,MATCH($A69,CADASTRO!$A$4:$A$80,0)),$B69)-CONFIG!$B$50*(COUNTIF($X69:$AD69,"AB")+COUNTIF($X69:$AD69,"FE")+COUNTIF($X69:$AD69,"LM")))</f>
        <v/>
      </c>
      <c r="BB69" s="117">
        <f>SUMPRODUCT(($AE69:$AK69="M")*6+($AE69:$AK69="T")*6+($AE69:$AK69="D")*12+($AE69:$AK69="N")*12+($AE69:$AK69="NT")*6+($AE69:$AK69="C")*10+($AE69:$AK69="A")*8+($AE69:$AK69="J")*5+($AE69:$AK69="CEP")*4+($AE69:$AK69="CP")*6+($AE69:$AK69="CRO")*6+($AE69:$AK69="M+")*6+($AE69:$AK69="T+")*6+($AE69:$AK69="D+")*12+($AE69:$AK69="N+")*12+($AE69:$AK69="Dm+")*12+($AE69:$AK69="Dt+")*12+($AE69:$AK69="Tm-")*6+($AE69:$AK69="Mt-")*6)</f>
        <v/>
      </c>
      <c r="BC69" s="118">
        <f>BB69-MAX(0,IFERROR(INDEX(CADASTRO!$I$4:$I$80,MATCH($A69,CADASTRO!$A$4:$A$80,0)),$B69)-CONFIG!$B$50*(COUNTIF($AE69:$AK69,"AB")+COUNTIF($AE69:$AK69,"FE")+COUNTIF($AE69:$AK69,"LM")))</f>
        <v/>
      </c>
      <c r="BD69" s="117">
        <f>SUMPRODUCT(($AL69:$AL69="M")*6+($AL69:$AL69="T")*6+($AL69:$AL69="D")*12+($AL69:$AL69="N")*12+($AL69:$AL69="NT")*6+($AL69:$AL69="C")*10+($AL69:$AL69="A")*8+($AL69:$AL69="J")*5+($AL69:$AL69="CEP")*4+($AL69:$AL69="CP")*6+($AL69:$AL69="CRO")*6+($AL69:$AL69="M+")*6+($AL69:$AL69="T+")*6+($AL69:$AL69="D+")*12+($AL69:$AL69="N+")*12+($AL69:$AL69="Dm+")*12+($AL69:$AL69="Dt+")*12+($AL69:$AL69="Tm-")*6+($AL69:$AL69="Mt-")*6)+SUMPRODUCT(($AN69:$AS69="M")*6+($AN69:$AS69="T")*6+($AN69:$AS69="D")*12+($AN69:$AS69="N")*12+($AN69:$AS69="NT")*6+($AN69:$AS69="C")*10+($AN69:$AS69="A")*8+($AN69:$AS69="J")*5+($AN69:$AS69="CEP")*4+($AN69:$AS69="CP")*6+($AN69:$AS69="CRO")*6+($AN69:$AS69="M+")*6+($AN69:$AS69="T+")*6+($AN69:$AS69="D+")*12+($AN69:$AS69="N+")*12+($AN69:$AS69="Dm+")*12+($AN69:$AS69="Dt+")*12+($AN69:$AS69="Tm-")*6+($AN69:$AS69="Mt-")*6)</f>
        <v/>
      </c>
      <c r="BE69" s="118">
        <f>BD69-MAX(0,IFERROR(INDEX(CADASTRO!$I$4:$I$80,MATCH($A69,CADASTRO!$A$4:$A$80,0)),$B69)-CONFIG!$B$50*(COUNTIF($AL69:$AL69,"AB")+COUNTIF($AL69:$AL69,"FE")+COUNTIF($AL69:$AL69,"LM")+COUNTIF($AN69:$AS69,"AB")+COUNTIF($AN69:$AS69,"FE")+COUNTIF($AN69:$AS69,"LM")))</f>
        <v/>
      </c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ROUND(B69*4.29,0)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36">
        <f>IFERROR(INDEX(OUT!AH$8:AH$73,MATCH($A70,OUT!$A$8:$A$73,0))&amp;"","")</f>
        <v/>
      </c>
      <c r="D70" s="136">
        <f>IFERROR(INDEX(OUT!AI$8:AI$73,MATCH($A70,OUT!$A$8:$A$73,0))&amp;"","")</f>
        <v/>
      </c>
      <c r="E70" s="136">
        <f>IFERROR(INDEX(OUT!AJ$8:AJ$73,MATCH($A70,OUT!$A$8:$A$73,0))&amp;"","")</f>
        <v/>
      </c>
      <c r="F70" s="136">
        <f>IFERROR(INDEX(OUT!AK$8:AK$73,MATCH($A70,OUT!$A$8:$A$73,0))&amp;"","")</f>
        <v/>
      </c>
      <c r="G70" s="136">
        <f>IFERROR(INDEX(OUT!AL$8:AL$73,MATCH($A70,OUT!$A$8:$A$73,0))&amp;"","")</f>
        <v/>
      </c>
      <c r="H70" s="116">
        <f>IFERROR(INDEX(OUT!AM$8:AM$73,MATCH($A70,OUT!$A$8:$A$73,0))&amp;"","")</f>
        <v/>
      </c>
      <c r="I70" s="125" t="inlineStr">
        <is>
          <t>N</t>
        </is>
      </c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  <c r="AB70" s="114" t="n"/>
      <c r="AC70" s="114" t="n"/>
      <c r="AD70" s="114" t="n"/>
      <c r="AE70" s="114" t="n"/>
      <c r="AF70" s="114" t="n"/>
      <c r="AG70" s="114" t="n"/>
      <c r="AH70" s="114" t="n"/>
      <c r="AI70" s="114" t="n"/>
      <c r="AJ70" s="114" t="n"/>
      <c r="AK70" s="114" t="n"/>
      <c r="AL70" s="114" t="n"/>
      <c r="AM70" s="100" t="n"/>
      <c r="AN70" s="136">
        <f>IFERROR(INDEX(DEZ!I$8:I$73,MATCH($A70,DEZ!$A$8:$A$73,0))&amp;"","")</f>
        <v/>
      </c>
      <c r="AO70" s="136">
        <f>IFERROR(INDEX(DEZ!J$8:J$73,MATCH($A70,DEZ!$A$8:$A$73,0))&amp;"","")</f>
        <v/>
      </c>
      <c r="AP70" s="136">
        <f>IFERROR(INDEX(DEZ!K$8:K$73,MATCH($A70,DEZ!$A$8:$A$73,0))&amp;"","")</f>
        <v/>
      </c>
      <c r="AQ70" s="136">
        <f>IFERROR(INDEX(DEZ!L$8:L$73,MATCH($A70,DEZ!$A$8:$A$73,0))&amp;"","")</f>
        <v/>
      </c>
      <c r="AR70" s="116">
        <f>IFERROR(INDEX(DEZ!M$8:M$73,MATCH($A70,DEZ!$A$8:$A$73,0))&amp;"","")</f>
        <v/>
      </c>
      <c r="AS70" s="116">
        <f>IFERROR(INDEX(DEZ!N$8:N$73,MATCH($A70,DEZ!$A$8:$A$73,0))&amp;"","")</f>
        <v/>
      </c>
      <c r="AT70" s="117">
        <f>SUMPRODUCT(($C70:$I70="M")*6+($C70:$I70="T")*6+($C70:$I70="D")*12+($C70:$I70="N")*12+($C70:$I70="NT")*6+($C70:$I70="C")*10+($C70:$I70="A")*8+($C70:$I70="J")*5+($C70:$I70="CEP")*4+($C70:$I70="CP")*6+($C70:$I70="CRO")*6+($C70:$I70="M+")*6+($C70:$I70="T+")*6+($C70:$I70="D+")*12+($C70:$I70="N+")*12+($C70:$I70="Dm+")*12+($C70:$I70="Dt+")*12+($C70:$I70="Tm-")*6+($C70:$I70="Mt-")*6)</f>
        <v/>
      </c>
      <c r="AU70" s="118">
        <f>AT70-MAX(0,IFERROR(INDEX(CADASTRO!$I$4:$I$80,MATCH($A70,CADASTRO!$A$4:$A$80,0)),$B70)-CONFIG!$B$50*(COUNTIF($C70:$I70,"AB")+COUNTIF($C70:$I70,"FE")+COUNTIF($C70:$I70,"LM")))</f>
        <v/>
      </c>
      <c r="AV70" s="117">
        <f>SUMPRODUCT(($J70:$P70="M")*6+($J70:$P70="T")*6+($J70:$P70="D")*12+($J70:$P70="N")*12+($J70:$P70="NT")*6+($J70:$P70="C")*10+($J70:$P70="A")*8+($J70:$P70="J")*5+($J70:$P70="CEP")*4+($J70:$P70="CP")*6+($J70:$P70="CRO")*6+($J70:$P70="M+")*6+($J70:$P70="T+")*6+($J70:$P70="D+")*12+($J70:$P70="N+")*12+($J70:$P70="Dm+")*12+($J70:$P70="Dt+")*12+($J70:$P70="Tm-")*6+($J70:$P70="Mt-")*6)</f>
        <v/>
      </c>
      <c r="AW70" s="118">
        <f>AV70-MAX(0,IFERROR(INDEX(CADASTRO!$I$4:$I$80,MATCH($A70,CADASTRO!$A$4:$A$80,0)),$B70)-CONFIG!$B$50*(COUNTIF($J70:$P70,"AB")+COUNTIF($J70:$P70,"FE")+COUNTIF($J70:$P70,"LM")))</f>
        <v/>
      </c>
      <c r="AX70" s="117">
        <f>SUMPRODUCT(($Q70:$W70="M")*6+($Q70:$W70="T")*6+($Q70:$W70="D")*12+($Q70:$W70="N")*12+($Q70:$W70="NT")*6+($Q70:$W70="C")*10+($Q70:$W70="A")*8+($Q70:$W70="J")*5+($Q70:$W70="CEP")*4+($Q70:$W70="CP")*6+($Q70:$W70="CRO")*6+($Q70:$W70="M+")*6+($Q70:$W70="T+")*6+($Q70:$W70="D+")*12+($Q70:$W70="N+")*12+($Q70:$W70="Dm+")*12+($Q70:$W70="Dt+")*12+($Q70:$W70="Tm-")*6+($Q70:$W70="Mt-")*6)</f>
        <v/>
      </c>
      <c r="AY70" s="118">
        <f>AX70-MAX(0,IFERROR(INDEX(CADASTRO!$I$4:$I$80,MATCH($A70,CADASTRO!$A$4:$A$80,0)),$B70)-CONFIG!$B$50*(COUNTIF($Q70:$W70,"AB")+COUNTIF($Q70:$W70,"FE")+COUNTIF($Q70:$W70,"LM")))</f>
        <v/>
      </c>
      <c r="AZ70" s="117">
        <f>SUMPRODUCT(($X70:$AD70="M")*6+($X70:$AD70="T")*6+($X70:$AD70="D")*12+($X70:$AD70="N")*12+($X70:$AD70="NT")*6+($X70:$AD70="C")*10+($X70:$AD70="A")*8+($X70:$AD70="J")*5+($X70:$AD70="CEP")*4+($X70:$AD70="CP")*6+($X70:$AD70="CRO")*6+($X70:$AD70="M+")*6+($X70:$AD70="T+")*6+($X70:$AD70="D+")*12+($X70:$AD70="N+")*12+($X70:$AD70="Dm+")*12+($X70:$AD70="Dt+")*12+($X70:$AD70="Tm-")*6+($X70:$AD70="Mt-")*6)</f>
        <v/>
      </c>
      <c r="BA70" s="118">
        <f>AZ70-MAX(0,IFERROR(INDEX(CADASTRO!$I$4:$I$80,MATCH($A70,CADASTRO!$A$4:$A$80,0)),$B70)-CONFIG!$B$50*(COUNTIF($X70:$AD70,"AB")+COUNTIF($X70:$AD70,"FE")+COUNTIF($X70:$AD70,"LM")))</f>
        <v/>
      </c>
      <c r="BB70" s="117">
        <f>SUMPRODUCT(($AE70:$AK70="M")*6+($AE70:$AK70="T")*6+($AE70:$AK70="D")*12+($AE70:$AK70="N")*12+($AE70:$AK70="NT")*6+($AE70:$AK70="C")*10+($AE70:$AK70="A")*8+($AE70:$AK70="J")*5+($AE70:$AK70="CEP")*4+($AE70:$AK70="CP")*6+($AE70:$AK70="CRO")*6+($AE70:$AK70="M+")*6+($AE70:$AK70="T+")*6+($AE70:$AK70="D+")*12+($AE70:$AK70="N+")*12+($AE70:$AK70="Dm+")*12+($AE70:$AK70="Dt+")*12+($AE70:$AK70="Tm-")*6+($AE70:$AK70="Mt-")*6)</f>
        <v/>
      </c>
      <c r="BC70" s="118">
        <f>BB70-MAX(0,IFERROR(INDEX(CADASTRO!$I$4:$I$80,MATCH($A70,CADASTRO!$A$4:$A$80,0)),$B70)-CONFIG!$B$50*(COUNTIF($AE70:$AK70,"AB")+COUNTIF($AE70:$AK70,"FE")+COUNTIF($AE70:$AK70,"LM")))</f>
        <v/>
      </c>
      <c r="BD70" s="117">
        <f>SUMPRODUCT(($AL70:$AL70="M")*6+($AL70:$AL70="T")*6+($AL70:$AL70="D")*12+($AL70:$AL70="N")*12+($AL70:$AL70="NT")*6+($AL70:$AL70="C")*10+($AL70:$AL70="A")*8+($AL70:$AL70="J")*5+($AL70:$AL70="CEP")*4+($AL70:$AL70="CP")*6+($AL70:$AL70="CRO")*6+($AL70:$AL70="M+")*6+($AL70:$AL70="T+")*6+($AL70:$AL70="D+")*12+($AL70:$AL70="N+")*12+($AL70:$AL70="Dm+")*12+($AL70:$AL70="Dt+")*12+($AL70:$AL70="Tm-")*6+($AL70:$AL70="Mt-")*6)+SUMPRODUCT(($AN70:$AS70="M")*6+($AN70:$AS70="T")*6+($AN70:$AS70="D")*12+($AN70:$AS70="N")*12+($AN70:$AS70="NT")*6+($AN70:$AS70="C")*10+($AN70:$AS70="A")*8+($AN70:$AS70="J")*5+($AN70:$AS70="CEP")*4+($AN70:$AS70="CP")*6+($AN70:$AS70="CRO")*6+($AN70:$AS70="M+")*6+($AN70:$AS70="T+")*6+($AN70:$AS70="D+")*12+($AN70:$AS70="N+")*12+($AN70:$AS70="Dm+")*12+($AN70:$AS70="Dt+")*12+($AN70:$AS70="Tm-")*6+($AN70:$AS70="Mt-")*6)</f>
        <v/>
      </c>
      <c r="BE70" s="118">
        <f>BD70-MAX(0,IFERROR(INDEX(CADASTRO!$I$4:$I$80,MATCH($A70,CADASTRO!$A$4:$A$80,0)),$B70)-CONFIG!$B$50*(COUNTIF($AL70:$AL70,"AB")+COUNTIF($AL70:$AL70,"FE")+COUNTIF($AL70:$AL70,"LM")+COUNTIF($AN70:$AS70,"AB")+COUNTIF($AN70:$AS70,"FE")+COUNTIF($AN70:$AS70,"LM")))</f>
        <v/>
      </c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ROUND(B70*4.29,0)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36">
        <f>IFERROR(INDEX(OUT!AH$8:AH$73,MATCH($A71,OUT!$A$8:$A$73,0))&amp;"","")</f>
        <v/>
      </c>
      <c r="D71" s="136">
        <f>IFERROR(INDEX(OUT!AI$8:AI$73,MATCH($A71,OUT!$A$8:$A$73,0))&amp;"","")</f>
        <v/>
      </c>
      <c r="E71" s="136">
        <f>IFERROR(INDEX(OUT!AJ$8:AJ$73,MATCH($A71,OUT!$A$8:$A$73,0))&amp;"","")</f>
        <v/>
      </c>
      <c r="F71" s="136">
        <f>IFERROR(INDEX(OUT!AK$8:AK$73,MATCH($A71,OUT!$A$8:$A$73,0))&amp;"","")</f>
        <v/>
      </c>
      <c r="G71" s="136">
        <f>IFERROR(INDEX(OUT!AL$8:AL$73,MATCH($A71,OUT!$A$8:$A$73,0))&amp;"","")</f>
        <v/>
      </c>
      <c r="H71" s="116">
        <f>IFERROR(INDEX(OUT!AM$8:AM$73,MATCH($A71,OUT!$A$8:$A$73,0))&amp;"","")</f>
        <v/>
      </c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  <c r="AB71" s="114" t="n"/>
      <c r="AC71" s="114" t="n"/>
      <c r="AD71" s="114" t="n"/>
      <c r="AE71" s="114" t="n"/>
      <c r="AF71" s="114" t="n"/>
      <c r="AG71" s="114" t="n"/>
      <c r="AH71" s="114" t="n"/>
      <c r="AI71" s="114" t="n"/>
      <c r="AJ71" s="114" t="n"/>
      <c r="AK71" s="114" t="n"/>
      <c r="AL71" s="114" t="n"/>
      <c r="AM71" s="100" t="n"/>
      <c r="AN71" s="136">
        <f>IFERROR(INDEX(DEZ!I$8:I$73,MATCH($A71,DEZ!$A$8:$A$73,0))&amp;"","")</f>
        <v/>
      </c>
      <c r="AO71" s="136">
        <f>IFERROR(INDEX(DEZ!J$8:J$73,MATCH($A71,DEZ!$A$8:$A$73,0))&amp;"","")</f>
        <v/>
      </c>
      <c r="AP71" s="136">
        <f>IFERROR(INDEX(DEZ!K$8:K$73,MATCH($A71,DEZ!$A$8:$A$73,0))&amp;"","")</f>
        <v/>
      </c>
      <c r="AQ71" s="136">
        <f>IFERROR(INDEX(DEZ!L$8:L$73,MATCH($A71,DEZ!$A$8:$A$73,0))&amp;"","")</f>
        <v/>
      </c>
      <c r="AR71" s="116">
        <f>IFERROR(INDEX(DEZ!M$8:M$73,MATCH($A71,DEZ!$A$8:$A$73,0))&amp;"","")</f>
        <v/>
      </c>
      <c r="AS71" s="116">
        <f>IFERROR(INDEX(DEZ!N$8:N$73,MATCH($A71,DEZ!$A$8:$A$73,0))&amp;"","")</f>
        <v/>
      </c>
      <c r="AT71" s="117">
        <f>SUMPRODUCT(($C71:$I71="M")*6+($C71:$I71="T")*6+($C71:$I71="D")*12+($C71:$I71="N")*12+($C71:$I71="NT")*6+($C71:$I71="C")*10+($C71:$I71="A")*8+($C71:$I71="J")*5+($C71:$I71="CEP")*4+($C71:$I71="CP")*6+($C71:$I71="CRO")*6+($C71:$I71="M+")*6+($C71:$I71="T+")*6+($C71:$I71="D+")*12+($C71:$I71="N+")*12+($C71:$I71="Dm+")*12+($C71:$I71="Dt+")*12+($C71:$I71="Tm-")*6+($C71:$I71="Mt-")*6)</f>
        <v/>
      </c>
      <c r="AU71" s="118">
        <f>AT71-MAX(0,IFERROR(INDEX(CADASTRO!$I$4:$I$80,MATCH($A71,CADASTRO!$A$4:$A$80,0)),$B71)-CONFIG!$B$50*(COUNTIF($C71:$I71,"AB")+COUNTIF($C71:$I71,"FE")+COUNTIF($C71:$I71,"LM")))</f>
        <v/>
      </c>
      <c r="AV71" s="117">
        <f>SUMPRODUCT(($J71:$P71="M")*6+($J71:$P71="T")*6+($J71:$P71="D")*12+($J71:$P71="N")*12+($J71:$P71="NT")*6+($J71:$P71="C")*10+($J71:$P71="A")*8+($J71:$P71="J")*5+($J71:$P71="CEP")*4+($J71:$P71="CP")*6+($J71:$P71="CRO")*6+($J71:$P71="M+")*6+($J71:$P71="T+")*6+($J71:$P71="D+")*12+($J71:$P71="N+")*12+($J71:$P71="Dm+")*12+($J71:$P71="Dt+")*12+($J71:$P71="Tm-")*6+($J71:$P71="Mt-")*6)</f>
        <v/>
      </c>
      <c r="AW71" s="118">
        <f>AV71-MAX(0,IFERROR(INDEX(CADASTRO!$I$4:$I$80,MATCH($A71,CADASTRO!$A$4:$A$80,0)),$B71)-CONFIG!$B$50*(COUNTIF($J71:$P71,"AB")+COUNTIF($J71:$P71,"FE")+COUNTIF($J71:$P71,"LM")))</f>
        <v/>
      </c>
      <c r="AX71" s="117">
        <f>SUMPRODUCT(($Q71:$W71="M")*6+($Q71:$W71="T")*6+($Q71:$W71="D")*12+($Q71:$W71="N")*12+($Q71:$W71="NT")*6+($Q71:$W71="C")*10+($Q71:$W71="A")*8+($Q71:$W71="J")*5+($Q71:$W71="CEP")*4+($Q71:$W71="CP")*6+($Q71:$W71="CRO")*6+($Q71:$W71="M+")*6+($Q71:$W71="T+")*6+($Q71:$W71="D+")*12+($Q71:$W71="N+")*12+($Q71:$W71="Dm+")*12+($Q71:$W71="Dt+")*12+($Q71:$W71="Tm-")*6+($Q71:$W71="Mt-")*6)</f>
        <v/>
      </c>
      <c r="AY71" s="118">
        <f>AX71-MAX(0,IFERROR(INDEX(CADASTRO!$I$4:$I$80,MATCH($A71,CADASTRO!$A$4:$A$80,0)),$B71)-CONFIG!$B$50*(COUNTIF($Q71:$W71,"AB")+COUNTIF($Q71:$W71,"FE")+COUNTIF($Q71:$W71,"LM")))</f>
        <v/>
      </c>
      <c r="AZ71" s="117">
        <f>SUMPRODUCT(($X71:$AD71="M")*6+($X71:$AD71="T")*6+($X71:$AD71="D")*12+($X71:$AD71="N")*12+($X71:$AD71="NT")*6+($X71:$AD71="C")*10+($X71:$AD71="A")*8+($X71:$AD71="J")*5+($X71:$AD71="CEP")*4+($X71:$AD71="CP")*6+($X71:$AD71="CRO")*6+($X71:$AD71="M+")*6+($X71:$AD71="T+")*6+($X71:$AD71="D+")*12+($X71:$AD71="N+")*12+($X71:$AD71="Dm+")*12+($X71:$AD71="Dt+")*12+($X71:$AD71="Tm-")*6+($X71:$AD71="Mt-")*6)</f>
        <v/>
      </c>
      <c r="BA71" s="118">
        <f>AZ71-MAX(0,IFERROR(INDEX(CADASTRO!$I$4:$I$80,MATCH($A71,CADASTRO!$A$4:$A$80,0)),$B71)-CONFIG!$B$50*(COUNTIF($X71:$AD71,"AB")+COUNTIF($X71:$AD71,"FE")+COUNTIF($X71:$AD71,"LM")))</f>
        <v/>
      </c>
      <c r="BB71" s="117">
        <f>SUMPRODUCT(($AE71:$AK71="M")*6+($AE71:$AK71="T")*6+($AE71:$AK71="D")*12+($AE71:$AK71="N")*12+($AE71:$AK71="NT")*6+($AE71:$AK71="C")*10+($AE71:$AK71="A")*8+($AE71:$AK71="J")*5+($AE71:$AK71="CEP")*4+($AE71:$AK71="CP")*6+($AE71:$AK71="CRO")*6+($AE71:$AK71="M+")*6+($AE71:$AK71="T+")*6+($AE71:$AK71="D+")*12+($AE71:$AK71="N+")*12+($AE71:$AK71="Dm+")*12+($AE71:$AK71="Dt+")*12+($AE71:$AK71="Tm-")*6+($AE71:$AK71="Mt-")*6)</f>
        <v/>
      </c>
      <c r="BC71" s="118">
        <f>BB71-MAX(0,IFERROR(INDEX(CADASTRO!$I$4:$I$80,MATCH($A71,CADASTRO!$A$4:$A$80,0)),$B71)-CONFIG!$B$50*(COUNTIF($AE71:$AK71,"AB")+COUNTIF($AE71:$AK71,"FE")+COUNTIF($AE71:$AK71,"LM")))</f>
        <v/>
      </c>
      <c r="BD71" s="117">
        <f>SUMPRODUCT(($AL71:$AL71="M")*6+($AL71:$AL71="T")*6+($AL71:$AL71="D")*12+($AL71:$AL71="N")*12+($AL71:$AL71="NT")*6+($AL71:$AL71="C")*10+($AL71:$AL71="A")*8+($AL71:$AL71="J")*5+($AL71:$AL71="CEP")*4+($AL71:$AL71="CP")*6+($AL71:$AL71="CRO")*6+($AL71:$AL71="M+")*6+($AL71:$AL71="T+")*6+($AL71:$AL71="D+")*12+($AL71:$AL71="N+")*12+($AL71:$AL71="Dm+")*12+($AL71:$AL71="Dt+")*12+($AL71:$AL71="Tm-")*6+($AL71:$AL71="Mt-")*6)+SUMPRODUCT(($AN71:$AS71="M")*6+($AN71:$AS71="T")*6+($AN71:$AS71="D")*12+($AN71:$AS71="N")*12+($AN71:$AS71="NT")*6+($AN71:$AS71="C")*10+($AN71:$AS71="A")*8+($AN71:$AS71="J")*5+($AN71:$AS71="CEP")*4+($AN71:$AS71="CP")*6+($AN71:$AS71="CRO")*6+($AN71:$AS71="M+")*6+($AN71:$AS71="T+")*6+($AN71:$AS71="D+")*12+($AN71:$AS71="N+")*12+($AN71:$AS71="Dm+")*12+($AN71:$AS71="Dt+")*12+($AN71:$AS71="Tm-")*6+($AN71:$AS71="Mt-")*6)</f>
        <v/>
      </c>
      <c r="BE71" s="118">
        <f>BD71-MAX(0,IFERROR(INDEX(CADASTRO!$I$4:$I$80,MATCH($A71,CADASTRO!$A$4:$A$80,0)),$B71)-CONFIG!$B$50*(COUNTIF($AL71:$AL71,"AB")+COUNTIF($AL71:$AL71,"FE")+COUNTIF($AL71:$AL71,"LM")+COUNTIF($AN71:$AS71,"AB")+COUNTIF($AN71:$AS71,"FE")+COUNTIF($AN71:$AS71,"LM")))</f>
        <v/>
      </c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ROUND(B71*4.29,0)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36">
        <f>IFERROR(INDEX(OUT!AH$8:AH$73,MATCH($A72,OUT!$A$8:$A$73,0))&amp;"","")</f>
        <v/>
      </c>
      <c r="D72" s="136">
        <f>IFERROR(INDEX(OUT!AI$8:AI$73,MATCH($A72,OUT!$A$8:$A$73,0))&amp;"","")</f>
        <v/>
      </c>
      <c r="E72" s="136">
        <f>IFERROR(INDEX(OUT!AJ$8:AJ$73,MATCH($A72,OUT!$A$8:$A$73,0))&amp;"","")</f>
        <v/>
      </c>
      <c r="F72" s="136">
        <f>IFERROR(INDEX(OUT!AK$8:AK$73,MATCH($A72,OUT!$A$8:$A$73,0))&amp;"","")</f>
        <v/>
      </c>
      <c r="G72" s="136">
        <f>IFERROR(INDEX(OUT!AL$8:AL$73,MATCH($A72,OUT!$A$8:$A$73,0))&amp;"","")</f>
        <v/>
      </c>
      <c r="H72" s="116">
        <f>IFERROR(INDEX(OUT!AM$8:AM$73,MATCH($A72,OUT!$A$8:$A$73,0))&amp;"","")</f>
        <v/>
      </c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  <c r="AD72" s="114" t="n"/>
      <c r="AE72" s="114" t="n"/>
      <c r="AF72" s="114" t="n"/>
      <c r="AG72" s="114" t="n"/>
      <c r="AH72" s="114" t="n"/>
      <c r="AI72" s="114" t="n"/>
      <c r="AJ72" s="114" t="n"/>
      <c r="AK72" s="114" t="n"/>
      <c r="AL72" s="114" t="n"/>
      <c r="AM72" s="100" t="n"/>
      <c r="AN72" s="136">
        <f>IFERROR(INDEX(DEZ!I$8:I$73,MATCH($A72,DEZ!$A$8:$A$73,0))&amp;"","")</f>
        <v/>
      </c>
      <c r="AO72" s="136">
        <f>IFERROR(INDEX(DEZ!J$8:J$73,MATCH($A72,DEZ!$A$8:$A$73,0))&amp;"","")</f>
        <v/>
      </c>
      <c r="AP72" s="136">
        <f>IFERROR(INDEX(DEZ!K$8:K$73,MATCH($A72,DEZ!$A$8:$A$73,0))&amp;"","")</f>
        <v/>
      </c>
      <c r="AQ72" s="136">
        <f>IFERROR(INDEX(DEZ!L$8:L$73,MATCH($A72,DEZ!$A$8:$A$73,0))&amp;"","")</f>
        <v/>
      </c>
      <c r="AR72" s="116">
        <f>IFERROR(INDEX(DEZ!M$8:M$73,MATCH($A72,DEZ!$A$8:$A$73,0))&amp;"","")</f>
        <v/>
      </c>
      <c r="AS72" s="116">
        <f>IFERROR(INDEX(DEZ!N$8:N$73,MATCH($A72,DEZ!$A$8:$A$73,0))&amp;"","")</f>
        <v/>
      </c>
      <c r="AT72" s="117">
        <f>SUMPRODUCT(($C72:$I72="M")*6+($C72:$I72="T")*6+($C72:$I72="D")*12+($C72:$I72="N")*12+($C72:$I72="NT")*6+($C72:$I72="C")*10+($C72:$I72="A")*8+($C72:$I72="J")*5+($C72:$I72="CEP")*4+($C72:$I72="CP")*6+($C72:$I72="CRO")*6+($C72:$I72="M+")*6+($C72:$I72="T+")*6+($C72:$I72="D+")*12+($C72:$I72="N+")*12+($C72:$I72="Dm+")*12+($C72:$I72="Dt+")*12+($C72:$I72="Tm-")*6+($C72:$I72="Mt-")*6)</f>
        <v/>
      </c>
      <c r="AU72" s="118">
        <f>AT72-MAX(0,IFERROR(INDEX(CADASTRO!$I$4:$I$80,MATCH($A72,CADASTRO!$A$4:$A$80,0)),$B72)-CONFIG!$B$50*(COUNTIF($C72:$I72,"AB")+COUNTIF($C72:$I72,"FE")+COUNTIF($C72:$I72,"LM")))</f>
        <v/>
      </c>
      <c r="AV72" s="117">
        <f>SUMPRODUCT(($J72:$P72="M")*6+($J72:$P72="T")*6+($J72:$P72="D")*12+($J72:$P72="N")*12+($J72:$P72="NT")*6+($J72:$P72="C")*10+($J72:$P72="A")*8+($J72:$P72="J")*5+($J72:$P72="CEP")*4+($J72:$P72="CP")*6+($J72:$P72="CRO")*6+($J72:$P72="M+")*6+($J72:$P72="T+")*6+($J72:$P72="D+")*12+($J72:$P72="N+")*12+($J72:$P72="Dm+")*12+($J72:$P72="Dt+")*12+($J72:$P72="Tm-")*6+($J72:$P72="Mt-")*6)</f>
        <v/>
      </c>
      <c r="AW72" s="118">
        <f>AV72-MAX(0,IFERROR(INDEX(CADASTRO!$I$4:$I$80,MATCH($A72,CADASTRO!$A$4:$A$80,0)),$B72)-CONFIG!$B$50*(COUNTIF($J72:$P72,"AB")+COUNTIF($J72:$P72,"FE")+COUNTIF($J72:$P72,"LM")))</f>
        <v/>
      </c>
      <c r="AX72" s="117">
        <f>SUMPRODUCT(($Q72:$W72="M")*6+($Q72:$W72="T")*6+($Q72:$W72="D")*12+($Q72:$W72="N")*12+($Q72:$W72="NT")*6+($Q72:$W72="C")*10+($Q72:$W72="A")*8+($Q72:$W72="J")*5+($Q72:$W72="CEP")*4+($Q72:$W72="CP")*6+($Q72:$W72="CRO")*6+($Q72:$W72="M+")*6+($Q72:$W72="T+")*6+($Q72:$W72="D+")*12+($Q72:$W72="N+")*12+($Q72:$W72="Dm+")*12+($Q72:$W72="Dt+")*12+($Q72:$W72="Tm-")*6+($Q72:$W72="Mt-")*6)</f>
        <v/>
      </c>
      <c r="AY72" s="118">
        <f>AX72-MAX(0,IFERROR(INDEX(CADASTRO!$I$4:$I$80,MATCH($A72,CADASTRO!$A$4:$A$80,0)),$B72)-CONFIG!$B$50*(COUNTIF($Q72:$W72,"AB")+COUNTIF($Q72:$W72,"FE")+COUNTIF($Q72:$W72,"LM")))</f>
        <v/>
      </c>
      <c r="AZ72" s="117">
        <f>SUMPRODUCT(($X72:$AD72="M")*6+($X72:$AD72="T")*6+($X72:$AD72="D")*12+($X72:$AD72="N")*12+($X72:$AD72="NT")*6+($X72:$AD72="C")*10+($X72:$AD72="A")*8+($X72:$AD72="J")*5+($X72:$AD72="CEP")*4+($X72:$AD72="CP")*6+($X72:$AD72="CRO")*6+($X72:$AD72="M+")*6+($X72:$AD72="T+")*6+($X72:$AD72="D+")*12+($X72:$AD72="N+")*12+($X72:$AD72="Dm+")*12+($X72:$AD72="Dt+")*12+($X72:$AD72="Tm-")*6+($X72:$AD72="Mt-")*6)</f>
        <v/>
      </c>
      <c r="BA72" s="118">
        <f>AZ72-MAX(0,IFERROR(INDEX(CADASTRO!$I$4:$I$80,MATCH($A72,CADASTRO!$A$4:$A$80,0)),$B72)-CONFIG!$B$50*(COUNTIF($X72:$AD72,"AB")+COUNTIF($X72:$AD72,"FE")+COUNTIF($X72:$AD72,"LM")))</f>
        <v/>
      </c>
      <c r="BB72" s="117">
        <f>SUMPRODUCT(($AE72:$AK72="M")*6+($AE72:$AK72="T")*6+($AE72:$AK72="D")*12+($AE72:$AK72="N")*12+($AE72:$AK72="NT")*6+($AE72:$AK72="C")*10+($AE72:$AK72="A")*8+($AE72:$AK72="J")*5+($AE72:$AK72="CEP")*4+($AE72:$AK72="CP")*6+($AE72:$AK72="CRO")*6+($AE72:$AK72="M+")*6+($AE72:$AK72="T+")*6+($AE72:$AK72="D+")*12+($AE72:$AK72="N+")*12+($AE72:$AK72="Dm+")*12+($AE72:$AK72="Dt+")*12+($AE72:$AK72="Tm-")*6+($AE72:$AK72="Mt-")*6)</f>
        <v/>
      </c>
      <c r="BC72" s="118">
        <f>BB72-MAX(0,IFERROR(INDEX(CADASTRO!$I$4:$I$80,MATCH($A72,CADASTRO!$A$4:$A$80,0)),$B72)-CONFIG!$B$50*(COUNTIF($AE72:$AK72,"AB")+COUNTIF($AE72:$AK72,"FE")+COUNTIF($AE72:$AK72,"LM")))</f>
        <v/>
      </c>
      <c r="BD72" s="117">
        <f>SUMPRODUCT(($AL72:$AL72="M")*6+($AL72:$AL72="T")*6+($AL72:$AL72="D")*12+($AL72:$AL72="N")*12+($AL72:$AL72="NT")*6+($AL72:$AL72="C")*10+($AL72:$AL72="A")*8+($AL72:$AL72="J")*5+($AL72:$AL72="CEP")*4+($AL72:$AL72="CP")*6+($AL72:$AL72="CRO")*6+($AL72:$AL72="M+")*6+($AL72:$AL72="T+")*6+($AL72:$AL72="D+")*12+($AL72:$AL72="N+")*12+($AL72:$AL72="Dm+")*12+($AL72:$AL72="Dt+")*12+($AL72:$AL72="Tm-")*6+($AL72:$AL72="Mt-")*6)+SUMPRODUCT(($AN72:$AS72="M")*6+($AN72:$AS72="T")*6+($AN72:$AS72="D")*12+($AN72:$AS72="N")*12+($AN72:$AS72="NT")*6+($AN72:$AS72="C")*10+($AN72:$AS72="A")*8+($AN72:$AS72="J")*5+($AN72:$AS72="CEP")*4+($AN72:$AS72="CP")*6+($AN72:$AS72="CRO")*6+($AN72:$AS72="M+")*6+($AN72:$AS72="T+")*6+($AN72:$AS72="D+")*12+($AN72:$AS72="N+")*12+($AN72:$AS72="Dm+")*12+($AN72:$AS72="Dt+")*12+($AN72:$AS72="Tm-")*6+($AN72:$AS72="Mt-")*6)</f>
        <v/>
      </c>
      <c r="BE72" s="118">
        <f>BD72-MAX(0,IFERROR(INDEX(CADASTRO!$I$4:$I$80,MATCH($A72,CADASTRO!$A$4:$A$80,0)),$B72)-CONFIG!$B$50*(COUNTIF($AL72:$AL72,"AB")+COUNTIF($AL72:$AL72,"FE")+COUNTIF($AL72:$AL72,"LM")+COUNTIF($AN72:$AS72,"AB")+COUNTIF($AN72:$AS72,"FE")+COUNTIF($AN72:$AS72,"LM")))</f>
        <v/>
      </c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ROUND(B72*4.29,0)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36">
        <f>IFERROR(INDEX(OUT!AH$8:AH$73,MATCH($A73,OUT!$A$8:$A$73,0))&amp;"","")</f>
        <v/>
      </c>
      <c r="D73" s="136">
        <f>IFERROR(INDEX(OUT!AI$8:AI$73,MATCH($A73,OUT!$A$8:$A$73,0))&amp;"","")</f>
        <v/>
      </c>
      <c r="E73" s="136">
        <f>IFERROR(INDEX(OUT!AJ$8:AJ$73,MATCH($A73,OUT!$A$8:$A$73,0))&amp;"","")</f>
        <v/>
      </c>
      <c r="F73" s="136">
        <f>IFERROR(INDEX(OUT!AK$8:AK$73,MATCH($A73,OUT!$A$8:$A$73,0))&amp;"","")</f>
        <v/>
      </c>
      <c r="G73" s="136">
        <f>IFERROR(INDEX(OUT!AL$8:AL$73,MATCH($A73,OUT!$A$8:$A$73,0))&amp;"","")</f>
        <v/>
      </c>
      <c r="H73" s="116">
        <f>IFERROR(INDEX(OUT!AM$8:AM$73,MATCH($A73,OUT!$A$8:$A$73,0))&amp;"","")</f>
        <v/>
      </c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14" t="n"/>
      <c r="AI73" s="114" t="n"/>
      <c r="AJ73" s="114" t="n"/>
      <c r="AK73" s="114" t="n"/>
      <c r="AL73" s="114" t="n"/>
      <c r="AM73" s="100" t="n"/>
      <c r="AN73" s="136">
        <f>IFERROR(INDEX(DEZ!I$8:I$73,MATCH($A73,DEZ!$A$8:$A$73,0))&amp;"","")</f>
        <v/>
      </c>
      <c r="AO73" s="136">
        <f>IFERROR(INDEX(DEZ!J$8:J$73,MATCH($A73,DEZ!$A$8:$A$73,0))&amp;"","")</f>
        <v/>
      </c>
      <c r="AP73" s="136">
        <f>IFERROR(INDEX(DEZ!K$8:K$73,MATCH($A73,DEZ!$A$8:$A$73,0))&amp;"","")</f>
        <v/>
      </c>
      <c r="AQ73" s="136">
        <f>IFERROR(INDEX(DEZ!L$8:L$73,MATCH($A73,DEZ!$A$8:$A$73,0))&amp;"","")</f>
        <v/>
      </c>
      <c r="AR73" s="116">
        <f>IFERROR(INDEX(DEZ!M$8:M$73,MATCH($A73,DEZ!$A$8:$A$73,0))&amp;"","")</f>
        <v/>
      </c>
      <c r="AS73" s="116">
        <f>IFERROR(INDEX(DEZ!N$8:N$73,MATCH($A73,DEZ!$A$8:$A$73,0))&amp;"","")</f>
        <v/>
      </c>
      <c r="AT73" s="117">
        <f>SUMPRODUCT(($C73:$I73="M")*6+($C73:$I73="T")*6+($C73:$I73="D")*12+($C73:$I73="N")*12+($C73:$I73="NT")*6+($C73:$I73="C")*10+($C73:$I73="A")*8+($C73:$I73="J")*5+($C73:$I73="CEP")*4+($C73:$I73="CP")*6+($C73:$I73="CRO")*6+($C73:$I73="M+")*6+($C73:$I73="T+")*6+($C73:$I73="D+")*12+($C73:$I73="N+")*12+($C73:$I73="Dm+")*12+($C73:$I73="Dt+")*12+($C73:$I73="Tm-")*6+($C73:$I73="Mt-")*6)</f>
        <v/>
      </c>
      <c r="AU73" s="118">
        <f>AT73-MAX(0,IFERROR(INDEX(CADASTRO!$I$4:$I$80,MATCH($A73,CADASTRO!$A$4:$A$80,0)),$B73)-CONFIG!$B$50*(COUNTIF($C73:$I73,"AB")+COUNTIF($C73:$I73,"FE")+COUNTIF($C73:$I73,"LM")))</f>
        <v/>
      </c>
      <c r="AV73" s="117">
        <f>SUMPRODUCT(($J73:$P73="M")*6+($J73:$P73="T")*6+($J73:$P73="D")*12+($J73:$P73="N")*12+($J73:$P73="NT")*6+($J73:$P73="C")*10+($J73:$P73="A")*8+($J73:$P73="J")*5+($J73:$P73="CEP")*4+($J73:$P73="CP")*6+($J73:$P73="CRO")*6+($J73:$P73="M+")*6+($J73:$P73="T+")*6+($J73:$P73="D+")*12+($J73:$P73="N+")*12+($J73:$P73="Dm+")*12+($J73:$P73="Dt+")*12+($J73:$P73="Tm-")*6+($J73:$P73="Mt-")*6)</f>
        <v/>
      </c>
      <c r="AW73" s="118">
        <f>AV73-MAX(0,IFERROR(INDEX(CADASTRO!$I$4:$I$80,MATCH($A73,CADASTRO!$A$4:$A$80,0)),$B73)-CONFIG!$B$50*(COUNTIF($J73:$P73,"AB")+COUNTIF($J73:$P73,"FE")+COUNTIF($J73:$P73,"LM")))</f>
        <v/>
      </c>
      <c r="AX73" s="117">
        <f>SUMPRODUCT(($Q73:$W73="M")*6+($Q73:$W73="T")*6+($Q73:$W73="D")*12+($Q73:$W73="N")*12+($Q73:$W73="NT")*6+($Q73:$W73="C")*10+($Q73:$W73="A")*8+($Q73:$W73="J")*5+($Q73:$W73="CEP")*4+($Q73:$W73="CP")*6+($Q73:$W73="CRO")*6+($Q73:$W73="M+")*6+($Q73:$W73="T+")*6+($Q73:$W73="D+")*12+($Q73:$W73="N+")*12+($Q73:$W73="Dm+")*12+($Q73:$W73="Dt+")*12+($Q73:$W73="Tm-")*6+($Q73:$W73="Mt-")*6)</f>
        <v/>
      </c>
      <c r="AY73" s="118">
        <f>AX73-MAX(0,IFERROR(INDEX(CADASTRO!$I$4:$I$80,MATCH($A73,CADASTRO!$A$4:$A$80,0)),$B73)-CONFIG!$B$50*(COUNTIF($Q73:$W73,"AB")+COUNTIF($Q73:$W73,"FE")+COUNTIF($Q73:$W73,"LM")))</f>
        <v/>
      </c>
      <c r="AZ73" s="117">
        <f>SUMPRODUCT(($X73:$AD73="M")*6+($X73:$AD73="T")*6+($X73:$AD73="D")*12+($X73:$AD73="N")*12+($X73:$AD73="NT")*6+($X73:$AD73="C")*10+($X73:$AD73="A")*8+($X73:$AD73="J")*5+($X73:$AD73="CEP")*4+($X73:$AD73="CP")*6+($X73:$AD73="CRO")*6+($X73:$AD73="M+")*6+($X73:$AD73="T+")*6+($X73:$AD73="D+")*12+($X73:$AD73="N+")*12+($X73:$AD73="Dm+")*12+($X73:$AD73="Dt+")*12+($X73:$AD73="Tm-")*6+($X73:$AD73="Mt-")*6)</f>
        <v/>
      </c>
      <c r="BA73" s="118">
        <f>AZ73-MAX(0,IFERROR(INDEX(CADASTRO!$I$4:$I$80,MATCH($A73,CADASTRO!$A$4:$A$80,0)),$B73)-CONFIG!$B$50*(COUNTIF($X73:$AD73,"AB")+COUNTIF($X73:$AD73,"FE")+COUNTIF($X73:$AD73,"LM")))</f>
        <v/>
      </c>
      <c r="BB73" s="117">
        <f>SUMPRODUCT(($AE73:$AK73="M")*6+($AE73:$AK73="T")*6+($AE73:$AK73="D")*12+($AE73:$AK73="N")*12+($AE73:$AK73="NT")*6+($AE73:$AK73="C")*10+($AE73:$AK73="A")*8+($AE73:$AK73="J")*5+($AE73:$AK73="CEP")*4+($AE73:$AK73="CP")*6+($AE73:$AK73="CRO")*6+($AE73:$AK73="M+")*6+($AE73:$AK73="T+")*6+($AE73:$AK73="D+")*12+($AE73:$AK73="N+")*12+($AE73:$AK73="Dm+")*12+($AE73:$AK73="Dt+")*12+($AE73:$AK73="Tm-")*6+($AE73:$AK73="Mt-")*6)</f>
        <v/>
      </c>
      <c r="BC73" s="118">
        <f>BB73-MAX(0,IFERROR(INDEX(CADASTRO!$I$4:$I$80,MATCH($A73,CADASTRO!$A$4:$A$80,0)),$B73)-CONFIG!$B$50*(COUNTIF($AE73:$AK73,"AB")+COUNTIF($AE73:$AK73,"FE")+COUNTIF($AE73:$AK73,"LM")))</f>
        <v/>
      </c>
      <c r="BD73" s="117">
        <f>SUMPRODUCT(($AL73:$AL73="M")*6+($AL73:$AL73="T")*6+($AL73:$AL73="D")*12+($AL73:$AL73="N")*12+($AL73:$AL73="NT")*6+($AL73:$AL73="C")*10+($AL73:$AL73="A")*8+($AL73:$AL73="J")*5+($AL73:$AL73="CEP")*4+($AL73:$AL73="CP")*6+($AL73:$AL73="CRO")*6+($AL73:$AL73="M+")*6+($AL73:$AL73="T+")*6+($AL73:$AL73="D+")*12+($AL73:$AL73="N+")*12+($AL73:$AL73="Dm+")*12+($AL73:$AL73="Dt+")*12+($AL73:$AL73="Tm-")*6+($AL73:$AL73="Mt-")*6)+SUMPRODUCT(($AN73:$AS73="M")*6+($AN73:$AS73="T")*6+($AN73:$AS73="D")*12+($AN73:$AS73="N")*12+($AN73:$AS73="NT")*6+($AN73:$AS73="C")*10+($AN73:$AS73="A")*8+($AN73:$AS73="J")*5+($AN73:$AS73="CEP")*4+($AN73:$AS73="CP")*6+($AN73:$AS73="CRO")*6+($AN73:$AS73="M+")*6+($AN73:$AS73="T+")*6+($AN73:$AS73="D+")*12+($AN73:$AS73="N+")*12+($AN73:$AS73="Dm+")*12+($AN73:$AS73="Dt+")*12+($AN73:$AS73="Tm-")*6+($AN73:$AS73="Mt-")*6)</f>
        <v/>
      </c>
      <c r="BE73" s="118">
        <f>BD73-MAX(0,IFERROR(INDEX(CADASTRO!$I$4:$I$80,MATCH($A73,CADASTRO!$A$4:$A$80,0)),$B73)-CONFIG!$B$50*(COUNTIF($AL73:$AL73,"AB")+COUNTIF($AL73:$AL73,"FE")+COUNTIF($AL73:$AL73,"LM")+COUNTIF($AN73:$AS73,"AB")+COUNTIF($AN73:$AS73,"FE")+COUNTIF($AN73:$AS73,"LM")))</f>
        <v/>
      </c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ROUND(B73*4.29,0)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133">
        <f>COUNTIF(C8:C73,"M")+COUNTIF(C8:C73,"D")+COUNTIF(C8:C73,"C")+COUNTIF(C8:C73,"J")+COUNTIF(C8:C73,"CEP")+COUNTIF(C8:C73,"M+")+COUNTIF(C8:C73,"D+")+COUNTIF(C8:C73,"Dm+")+COUNTIF(C8:C73,"Dt+")+COUNTIF(C8:C73,"Mt-")</f>
        <v/>
      </c>
      <c r="D75" s="133">
        <f>COUNTIF(D8:D73,"M")+COUNTIF(D8:D73,"D")+COUNTIF(D8:D73,"C")+COUNTIF(D8:D73,"J")+COUNTIF(D8:D73,"CEP")+COUNTIF(D8:D73,"M+")+COUNTIF(D8:D73,"D+")+COUNTIF(D8:D73,"Dm+")+COUNTIF(D8:D73,"Dt+")+COUNTIF(D8:D73,"Mt-")</f>
        <v/>
      </c>
      <c r="E75" s="133">
        <f>COUNTIF(E8:E73,"M")+COUNTIF(E8:E73,"D")+COUNTIF(E8:E73,"C")+COUNTIF(E8:E73,"J")+COUNTIF(E8:E73,"CEP")+COUNTIF(E8:E73,"M+")+COUNTIF(E8:E73,"D+")+COUNTIF(E8:E73,"Dm+")+COUNTIF(E8:E73,"Dt+")+COUNTIF(E8:E73,"Mt-")</f>
        <v/>
      </c>
      <c r="F75" s="133">
        <f>COUNTIF(F8:F73,"M")+COUNTIF(F8:F73,"D")+COUNTIF(F8:F73,"C")+COUNTIF(F8:F73,"J")+COUNTIF(F8:F73,"CEP")+COUNTIF(F8:F73,"M+")+COUNTIF(F8:F73,"D+")+COUNTIF(F8:F73,"Dm+")+COUNTIF(F8:F73,"Dt+")+COUNTIF(F8:F73,"Mt-")</f>
        <v/>
      </c>
      <c r="G75" s="133">
        <f>COUNTIF(G8:G73,"M")+COUNTIF(G8:G73,"D")+COUNTIF(G8:G73,"C")+COUNTIF(G8:G73,"J")+COUNTIF(G8:G73,"CEP")+COUNTIF(G8:G73,"M+")+COUNTIF(G8:G73,"D+")+COUNTIF(G8:G73,"Dm+")+COUNTIF(G8:G73,"Dt+")+COUNTIF(G8:G73,"Mt-")</f>
        <v/>
      </c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39" t="n"/>
      <c r="AN75" s="133">
        <f>COUNTIF(AN8:AN73,"M")+COUNTIF(AN8:AN73,"D")+COUNTIF(AN8:AN73,"C")+COUNTIF(AN8:AN73,"J")+COUNTIF(AN8:AN73,"CEP")+COUNTIF(AN8:AN73,"M+")+COUNTIF(AN8:AN73,"D+")+COUNTIF(AN8:AN73,"Dm+")+COUNTIF(AN8:AN73,"Dt+")+COUNTIF(AN8:AN73,"Mt-")</f>
        <v/>
      </c>
      <c r="AO75" s="133">
        <f>COUNTIF(AO8:AO73,"M")+COUNTIF(AO8:AO73,"D")+COUNTIF(AO8:AO73,"C")+COUNTIF(AO8:AO73,"J")+COUNTIF(AO8:AO73,"CEP")+COUNTIF(AO8:AO73,"M+")+COUNTIF(AO8:AO73,"D+")+COUNTIF(AO8:AO73,"Dm+")+COUNTIF(AO8:AO73,"Dt+")+COUNTIF(AO8:AO73,"Mt-")</f>
        <v/>
      </c>
      <c r="AP75" s="133">
        <f>COUNTIF(AP8:AP73,"M")+COUNTIF(AP8:AP73,"D")+COUNTIF(AP8:AP73,"C")+COUNTIF(AP8:AP73,"J")+COUNTIF(AP8:AP73,"CEP")+COUNTIF(AP8:AP73,"M+")+COUNTIF(AP8:AP73,"D+")+COUNTIF(AP8:AP73,"Dm+")+COUNTIF(AP8:AP73,"Dt+")+COUNTIF(AP8:AP73,"Mt-")</f>
        <v/>
      </c>
      <c r="AQ75" s="133">
        <f>COUNTIF(AQ8:AQ73,"M")+COUNTIF(AQ8:AQ73,"D")+COUNTIF(AQ8:AQ73,"C")+COUNTIF(AQ8:AQ73,"J")+COUNTIF(AQ8:AQ73,"CEP")+COUNTIF(AQ8:AQ73,"M+")+COUNTIF(AQ8:AQ73,"D+")+COUNTIF(AQ8:AQ73,"Dm+")+COUNTIF(AQ8:AQ73,"Dt+")+COUNTIF(AQ8:AQ73,"Mt-")</f>
        <v/>
      </c>
      <c r="AR75" s="133">
        <f>COUNTIF(AR8:AR73,"M")+COUNTIF(AR8:AR73,"D")+COUNTIF(AR8:AR73,"C")+COUNTIF(AR8:AR73,"J")+COUNTIF(AR8:AR73,"CEP")+COUNTIF(AR8:AR73,"M+")+COUNTIF(AR8:AR73,"D+")+COUNTIF(AR8:AR73,"Dm+")+COUNTIF(AR8:AR73,"Dt+")+COUNTIF(AR8:AR73,"Mt-")</f>
        <v/>
      </c>
      <c r="AS75" s="133">
        <f>COUNTIF(AS8:AS73,"M")+COUNTIF(AS8:AS73,"D")+COUNTIF(AS8:AS73,"C")+COUNTIF(AS8:AS73,"J")+COUNTIF(AS8:AS73,"CEP")+COUNTIF(AS8:AS73,"M+")+COUNTIF(AS8:AS73,"D+")+COUNTIF(AS8:AS73,"Dm+")+COUNTIF(AS8:AS73,"Dt+")+COUNTIF(AS8:AS73,"Mt-")</f>
        <v/>
      </c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133">
        <f>COUNTIF(C8:C73,"T")+COUNTIF(C8:C73,"D")+COUNTIF(C8:C73,"C")+COUNTIF(C8:C73,"T+")+COUNTIF(C8:C73,"D+")+COUNTIF(C8:C73,"Dm+")+COUNTIF(C8:C73,"Dt+")+COUNTIF(C8:C73,"Tm-")</f>
        <v/>
      </c>
      <c r="D76" s="133">
        <f>COUNTIF(D8:D73,"T")+COUNTIF(D8:D73,"D")+COUNTIF(D8:D73,"C")+COUNTIF(D8:D73,"T+")+COUNTIF(D8:D73,"D+")+COUNTIF(D8:D73,"Dm+")+COUNTIF(D8:D73,"Dt+")+COUNTIF(D8:D73,"Tm-")</f>
        <v/>
      </c>
      <c r="E76" s="133">
        <f>COUNTIF(E8:E73,"T")+COUNTIF(E8:E73,"D")+COUNTIF(E8:E73,"C")+COUNTIF(E8:E73,"T+")+COUNTIF(E8:E73,"D+")+COUNTIF(E8:E73,"Dm+")+COUNTIF(E8:E73,"Dt+")+COUNTIF(E8:E73,"Tm-")</f>
        <v/>
      </c>
      <c r="F76" s="133">
        <f>COUNTIF(F8:F73,"T")+COUNTIF(F8:F73,"D")+COUNTIF(F8:F73,"C")+COUNTIF(F8:F73,"T+")+COUNTIF(F8:F73,"D+")+COUNTIF(F8:F73,"Dm+")+COUNTIF(F8:F73,"Dt+")+COUNTIF(F8:F73,"Tm-")</f>
        <v/>
      </c>
      <c r="G76" s="133">
        <f>COUNTIF(G8:G73,"T")+COUNTIF(G8:G73,"D")+COUNTIF(G8:G73,"C")+COUNTIF(G8:G73,"T+")+COUNTIF(G8:G73,"D+")+COUNTIF(G8:G73,"Dm+")+COUNTIF(G8:G73,"Dt+")+COUNTIF(G8:G73,"Tm-")</f>
        <v/>
      </c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39" t="n"/>
      <c r="AN76" s="133">
        <f>COUNTIF(AN8:AN73,"T")+COUNTIF(AN8:AN73,"D")+COUNTIF(AN8:AN73,"C")+COUNTIF(AN8:AN73,"T+")+COUNTIF(AN8:AN73,"D+")+COUNTIF(AN8:AN73,"Dm+")+COUNTIF(AN8:AN73,"Dt+")+COUNTIF(AN8:AN73,"Tm-")</f>
        <v/>
      </c>
      <c r="AO76" s="133">
        <f>COUNTIF(AO8:AO73,"T")+COUNTIF(AO8:AO73,"D")+COUNTIF(AO8:AO73,"C")+COUNTIF(AO8:AO73,"T+")+COUNTIF(AO8:AO73,"D+")+COUNTIF(AO8:AO73,"Dm+")+COUNTIF(AO8:AO73,"Dt+")+COUNTIF(AO8:AO73,"Tm-")</f>
        <v/>
      </c>
      <c r="AP76" s="133">
        <f>COUNTIF(AP8:AP73,"T")+COUNTIF(AP8:AP73,"D")+COUNTIF(AP8:AP73,"C")+COUNTIF(AP8:AP73,"T+")+COUNTIF(AP8:AP73,"D+")+COUNTIF(AP8:AP73,"Dm+")+COUNTIF(AP8:AP73,"Dt+")+COUNTIF(AP8:AP73,"Tm-")</f>
        <v/>
      </c>
      <c r="AQ76" s="133">
        <f>COUNTIF(AQ8:AQ73,"T")+COUNTIF(AQ8:AQ73,"D")+COUNTIF(AQ8:AQ73,"C")+COUNTIF(AQ8:AQ73,"T+")+COUNTIF(AQ8:AQ73,"D+")+COUNTIF(AQ8:AQ73,"Dm+")+COUNTIF(AQ8:AQ73,"Dt+")+COUNTIF(AQ8:AQ73,"Tm-")</f>
        <v/>
      </c>
      <c r="AR76" s="133">
        <f>COUNTIF(AR8:AR73,"T")+COUNTIF(AR8:AR73,"D")+COUNTIF(AR8:AR73,"C")+COUNTIF(AR8:AR73,"T+")+COUNTIF(AR8:AR73,"D+")+COUNTIF(AR8:AR73,"Dm+")+COUNTIF(AR8:AR73,"Dt+")+COUNTIF(AR8:AR73,"Tm-")</f>
        <v/>
      </c>
      <c r="AS76" s="133">
        <f>COUNTIF(AS8:AS73,"T")+COUNTIF(AS8:AS73,"D")+COUNTIF(AS8:AS73,"C")+COUNTIF(AS8:AS73,"T+")+COUNTIF(AS8:AS73,"D+")+COUNTIF(AS8:AS73,"Dm+")+COUNTIF(AS8:AS73,"Dt+")+COUNTIF(AS8:AS73,"Tm-")</f>
        <v/>
      </c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133">
        <f>COUNTIF(C8:C73,"N")+COUNTIF(C8:C73,"NT")+COUNTIF(C8:C73,"N+")</f>
        <v/>
      </c>
      <c r="D77" s="133">
        <f>COUNTIF(D8:D73,"N")+COUNTIF(D8:D73,"NT")+COUNTIF(D8:D73,"N+")</f>
        <v/>
      </c>
      <c r="E77" s="133">
        <f>COUNTIF(E8:E73,"N")+COUNTIF(E8:E73,"NT")+COUNTIF(E8:E73,"N+")</f>
        <v/>
      </c>
      <c r="F77" s="133">
        <f>COUNTIF(F8:F73,"N")+COUNTIF(F8:F73,"NT")+COUNTIF(F8:F73,"N+")</f>
        <v/>
      </c>
      <c r="G77" s="133">
        <f>COUNTIF(G8:G73,"N")+COUNTIF(G8:G73,"NT")+COUNTIF(G8:G73,"N+")</f>
        <v/>
      </c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39" t="n"/>
      <c r="AN77" s="133">
        <f>COUNTIF(AN8:AN73,"N")+COUNTIF(AN8:AN73,"NT")+COUNTIF(AN8:AN73,"N+")</f>
        <v/>
      </c>
      <c r="AO77" s="133">
        <f>COUNTIF(AO8:AO73,"N")+COUNTIF(AO8:AO73,"NT")+COUNTIF(AO8:AO73,"N+")</f>
        <v/>
      </c>
      <c r="AP77" s="133">
        <f>COUNTIF(AP8:AP73,"N")+COUNTIF(AP8:AP73,"NT")+COUNTIF(AP8:AP73,"N+")</f>
        <v/>
      </c>
      <c r="AQ77" s="133">
        <f>COUNTIF(AQ8:AQ73,"N")+COUNTIF(AQ8:AQ73,"NT")+COUNTIF(AQ8:AQ73,"N+")</f>
        <v/>
      </c>
      <c r="AR77" s="133">
        <f>COUNTIF(AR8:AR73,"N")+COUNTIF(AR8:AR73,"NT")+COUNTIF(AR8:AR73,"N+")</f>
        <v/>
      </c>
      <c r="AS77" s="133">
        <f>COUNTIF(AS8:AS73,"N")+COUNTIF(AS8:AS73,"NT")+COUNTIF(AS8:AS73,"N+")</f>
        <v/>
      </c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135">
        <f>MAX(0,CONFIG!$B$4-C75)</f>
        <v/>
      </c>
      <c r="D78" s="135">
        <f>MAX(0,CONFIG!$B$4-D75)</f>
        <v/>
      </c>
      <c r="E78" s="135">
        <f>MAX(0,CONFIG!$B$4-E75)</f>
        <v/>
      </c>
      <c r="F78" s="135">
        <f>MAX(0,CONFIG!$B$4-F75)</f>
        <v/>
      </c>
      <c r="G78" s="135">
        <f>MAX(0,CONFIG!$B$4-G75)</f>
        <v/>
      </c>
      <c r="H78" s="135">
        <f>MAX(0,CONFIG!$B$5-H75)</f>
        <v/>
      </c>
      <c r="I78" s="135">
        <f>MAX(0,CONFIG!$B$6-I75)</f>
        <v/>
      </c>
      <c r="J78" s="135">
        <f>MAX(0,CONFIG!$B$4-J75)</f>
        <v/>
      </c>
      <c r="K78" s="135">
        <f>MAX(0,CONFIG!$B$4-K75)</f>
        <v/>
      </c>
      <c r="L78" s="135">
        <f>MAX(0,CONFIG!$B$4-L75)</f>
        <v/>
      </c>
      <c r="M78" s="135">
        <f>MAX(0,CONFIG!$B$4-M75)</f>
        <v/>
      </c>
      <c r="N78" s="135">
        <f>MAX(0,CONFIG!$B$4-N75)</f>
        <v/>
      </c>
      <c r="O78" s="135">
        <f>MAX(0,CONFIG!$B$5-O75)</f>
        <v/>
      </c>
      <c r="P78" s="135">
        <f>MAX(0,CONFIG!$B$6-P75)</f>
        <v/>
      </c>
      <c r="Q78" s="135">
        <f>MAX(0,CONFIG!$B$4-Q75)</f>
        <v/>
      </c>
      <c r="R78" s="135">
        <f>MAX(0,CONFIG!$B$4-R75)</f>
        <v/>
      </c>
      <c r="S78" s="135">
        <f>MAX(0,CONFIG!$B$4-S75)</f>
        <v/>
      </c>
      <c r="T78" s="135">
        <f>MAX(0,CONFIG!$B$4-T75)</f>
        <v/>
      </c>
      <c r="U78" s="135">
        <f>MAX(0,CONFIG!$B$4-U75)</f>
        <v/>
      </c>
      <c r="V78" s="135">
        <f>MAX(0,CONFIG!$B$5-V75)</f>
        <v/>
      </c>
      <c r="W78" s="135">
        <f>MAX(0,CONFIG!$B$6-W75)</f>
        <v/>
      </c>
      <c r="X78" s="135">
        <f>MAX(0,CONFIG!$B$4-X75)</f>
        <v/>
      </c>
      <c r="Y78" s="135">
        <f>MAX(0,CONFIG!$B$4-Y75)</f>
        <v/>
      </c>
      <c r="Z78" s="135">
        <f>MAX(0,CONFIG!$B$4-Z75)</f>
        <v/>
      </c>
      <c r="AA78" s="135">
        <f>MAX(0,CONFIG!$B$4-AA75)</f>
        <v/>
      </c>
      <c r="AB78" s="135">
        <f>MAX(0,CONFIG!$B$4-AB75)</f>
        <v/>
      </c>
      <c r="AC78" s="135">
        <f>MAX(0,CONFIG!$B$5-AC75)</f>
        <v/>
      </c>
      <c r="AD78" s="135">
        <f>MAX(0,CONFIG!$B$6-AD75)</f>
        <v/>
      </c>
      <c r="AE78" s="135">
        <f>MAX(0,CONFIG!$B$4-AE75)</f>
        <v/>
      </c>
      <c r="AF78" s="135">
        <f>MAX(0,CONFIG!$B$4-AF75)</f>
        <v/>
      </c>
      <c r="AG78" s="135">
        <f>MAX(0,CONFIG!$B$4-AG75)</f>
        <v/>
      </c>
      <c r="AH78" s="135">
        <f>MAX(0,CONFIG!$B$4-AH75)</f>
        <v/>
      </c>
      <c r="AI78" s="135">
        <f>MAX(0,CONFIG!$B$4-AI75)</f>
        <v/>
      </c>
      <c r="AJ78" s="135">
        <f>MAX(0,CONFIG!$B$5-AJ75)</f>
        <v/>
      </c>
      <c r="AK78" s="135">
        <f>MAX(0,CONFIG!$B$6-AK75)</f>
        <v/>
      </c>
      <c r="AL78" s="135">
        <f>MAX(0,CONFIG!$B$4-AL75)</f>
        <v/>
      </c>
      <c r="AM78" s="39" t="n"/>
      <c r="AN78" s="135">
        <f>MAX(0,CONFIG!$B$4-AN75)</f>
        <v/>
      </c>
      <c r="AO78" s="135">
        <f>MAX(0,CONFIG!$B$4-AO75)</f>
        <v/>
      </c>
      <c r="AP78" s="135">
        <f>MAX(0,CONFIG!$B$4-AP75)</f>
        <v/>
      </c>
      <c r="AQ78" s="135">
        <f>MAX(0,CONFIG!$B$4-AQ75)</f>
        <v/>
      </c>
      <c r="AR78" s="135">
        <f>MAX(0,CONFIG!$B$5-AR75)</f>
        <v/>
      </c>
      <c r="AS78" s="135">
        <f>MAX(0,CONFIG!$B$6-AS75)</f>
        <v/>
      </c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135">
        <f>MAX(0,CONFIG!$C$4-C76)</f>
        <v/>
      </c>
      <c r="D79" s="135">
        <f>MAX(0,CONFIG!$C$4-D76)</f>
        <v/>
      </c>
      <c r="E79" s="135">
        <f>MAX(0,CONFIG!$C$4-E76)</f>
        <v/>
      </c>
      <c r="F79" s="135">
        <f>MAX(0,CONFIG!$C$4-F76)</f>
        <v/>
      </c>
      <c r="G79" s="135">
        <f>MAX(0,CONFIG!$C$4-G76)</f>
        <v/>
      </c>
      <c r="H79" s="135">
        <f>MAX(0,CONFIG!$C$5-H76)</f>
        <v/>
      </c>
      <c r="I79" s="135">
        <f>MAX(0,CONFIG!$C$6-I76)</f>
        <v/>
      </c>
      <c r="J79" s="135">
        <f>MAX(0,CONFIG!$C$4-J76)</f>
        <v/>
      </c>
      <c r="K79" s="135">
        <f>MAX(0,CONFIG!$C$4-K76)</f>
        <v/>
      </c>
      <c r="L79" s="135">
        <f>MAX(0,CONFIG!$C$4-L76)</f>
        <v/>
      </c>
      <c r="M79" s="135">
        <f>MAX(0,CONFIG!$C$4-M76)</f>
        <v/>
      </c>
      <c r="N79" s="135">
        <f>MAX(0,CONFIG!$C$4-N76)</f>
        <v/>
      </c>
      <c r="O79" s="135">
        <f>MAX(0,CONFIG!$C$5-O76)</f>
        <v/>
      </c>
      <c r="P79" s="135">
        <f>MAX(0,CONFIG!$C$6-P76)</f>
        <v/>
      </c>
      <c r="Q79" s="135">
        <f>MAX(0,CONFIG!$C$4-Q76)</f>
        <v/>
      </c>
      <c r="R79" s="135">
        <f>MAX(0,CONFIG!$C$4-R76)</f>
        <v/>
      </c>
      <c r="S79" s="135">
        <f>MAX(0,CONFIG!$C$4-S76)</f>
        <v/>
      </c>
      <c r="T79" s="135">
        <f>MAX(0,CONFIG!$C$4-T76)</f>
        <v/>
      </c>
      <c r="U79" s="135">
        <f>MAX(0,CONFIG!$C$4-U76)</f>
        <v/>
      </c>
      <c r="V79" s="135">
        <f>MAX(0,CONFIG!$C$5-V76)</f>
        <v/>
      </c>
      <c r="W79" s="135">
        <f>MAX(0,CONFIG!$C$6-W76)</f>
        <v/>
      </c>
      <c r="X79" s="135">
        <f>MAX(0,CONFIG!$C$4-X76)</f>
        <v/>
      </c>
      <c r="Y79" s="135">
        <f>MAX(0,CONFIG!$C$4-Y76)</f>
        <v/>
      </c>
      <c r="Z79" s="135">
        <f>MAX(0,CONFIG!$C$4-Z76)</f>
        <v/>
      </c>
      <c r="AA79" s="135">
        <f>MAX(0,CONFIG!$C$4-AA76)</f>
        <v/>
      </c>
      <c r="AB79" s="135">
        <f>MAX(0,CONFIG!$C$4-AB76)</f>
        <v/>
      </c>
      <c r="AC79" s="135">
        <f>MAX(0,CONFIG!$C$5-AC76)</f>
        <v/>
      </c>
      <c r="AD79" s="135">
        <f>MAX(0,CONFIG!$C$6-AD76)</f>
        <v/>
      </c>
      <c r="AE79" s="135">
        <f>MAX(0,CONFIG!$C$4-AE76)</f>
        <v/>
      </c>
      <c r="AF79" s="135">
        <f>MAX(0,CONFIG!$C$4-AF76)</f>
        <v/>
      </c>
      <c r="AG79" s="135">
        <f>MAX(0,CONFIG!$C$4-AG76)</f>
        <v/>
      </c>
      <c r="AH79" s="135">
        <f>MAX(0,CONFIG!$C$4-AH76)</f>
        <v/>
      </c>
      <c r="AI79" s="135">
        <f>MAX(0,CONFIG!$C$4-AI76)</f>
        <v/>
      </c>
      <c r="AJ79" s="135">
        <f>MAX(0,CONFIG!$C$5-AJ76)</f>
        <v/>
      </c>
      <c r="AK79" s="135">
        <f>MAX(0,CONFIG!$C$6-AK76)</f>
        <v/>
      </c>
      <c r="AL79" s="135">
        <f>MAX(0,CONFIG!$C$4-AL76)</f>
        <v/>
      </c>
      <c r="AM79" s="39" t="n"/>
      <c r="AN79" s="135">
        <f>MAX(0,CONFIG!$C$4-AN76)</f>
        <v/>
      </c>
      <c r="AO79" s="135">
        <f>MAX(0,CONFIG!$C$4-AO76)</f>
        <v/>
      </c>
      <c r="AP79" s="135">
        <f>MAX(0,CONFIG!$C$4-AP76)</f>
        <v/>
      </c>
      <c r="AQ79" s="135">
        <f>MAX(0,CONFIG!$C$4-AQ76)</f>
        <v/>
      </c>
      <c r="AR79" s="135">
        <f>MAX(0,CONFIG!$C$5-AR76)</f>
        <v/>
      </c>
      <c r="AS79" s="135">
        <f>MAX(0,CONFIG!$C$6-AS76)</f>
        <v/>
      </c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135">
        <f>MAX(0,CONFIG!$D$4-C77)</f>
        <v/>
      </c>
      <c r="D80" s="135">
        <f>MAX(0,CONFIG!$D$4-D77)</f>
        <v/>
      </c>
      <c r="E80" s="135">
        <f>MAX(0,CONFIG!$D$4-E77)</f>
        <v/>
      </c>
      <c r="F80" s="135">
        <f>MAX(0,CONFIG!$D$4-F77)</f>
        <v/>
      </c>
      <c r="G80" s="135">
        <f>MAX(0,CONFIG!$D$4-G77)</f>
        <v/>
      </c>
      <c r="H80" s="135">
        <f>MAX(0,CONFIG!$D$5-H77)</f>
        <v/>
      </c>
      <c r="I80" s="135">
        <f>MAX(0,CONFIG!$D$6-I77)</f>
        <v/>
      </c>
      <c r="J80" s="135">
        <f>MAX(0,CONFIG!$D$4-J77)</f>
        <v/>
      </c>
      <c r="K80" s="135">
        <f>MAX(0,CONFIG!$D$4-K77)</f>
        <v/>
      </c>
      <c r="L80" s="135">
        <f>MAX(0,CONFIG!$D$4-L77)</f>
        <v/>
      </c>
      <c r="M80" s="135">
        <f>MAX(0,CONFIG!$D$4-M77)</f>
        <v/>
      </c>
      <c r="N80" s="135">
        <f>MAX(0,CONFIG!$D$4-N77)</f>
        <v/>
      </c>
      <c r="O80" s="135">
        <f>MAX(0,CONFIG!$D$5-O77)</f>
        <v/>
      </c>
      <c r="P80" s="135">
        <f>MAX(0,CONFIG!$D$6-P77)</f>
        <v/>
      </c>
      <c r="Q80" s="135">
        <f>MAX(0,CONFIG!$D$4-Q77)</f>
        <v/>
      </c>
      <c r="R80" s="135">
        <f>MAX(0,CONFIG!$D$4-R77)</f>
        <v/>
      </c>
      <c r="S80" s="135">
        <f>MAX(0,CONFIG!$D$4-S77)</f>
        <v/>
      </c>
      <c r="T80" s="135">
        <f>MAX(0,CONFIG!$D$4-T77)</f>
        <v/>
      </c>
      <c r="U80" s="135">
        <f>MAX(0,CONFIG!$D$4-U77)</f>
        <v/>
      </c>
      <c r="V80" s="135">
        <f>MAX(0,CONFIG!$D$5-V77)</f>
        <v/>
      </c>
      <c r="W80" s="135">
        <f>MAX(0,CONFIG!$D$6-W77)</f>
        <v/>
      </c>
      <c r="X80" s="135">
        <f>MAX(0,CONFIG!$D$4-X77)</f>
        <v/>
      </c>
      <c r="Y80" s="135">
        <f>MAX(0,CONFIG!$D$4-Y77)</f>
        <v/>
      </c>
      <c r="Z80" s="135">
        <f>MAX(0,CONFIG!$D$4-Z77)</f>
        <v/>
      </c>
      <c r="AA80" s="135">
        <f>MAX(0,CONFIG!$D$4-AA77)</f>
        <v/>
      </c>
      <c r="AB80" s="135">
        <f>MAX(0,CONFIG!$D$4-AB77)</f>
        <v/>
      </c>
      <c r="AC80" s="135">
        <f>MAX(0,CONFIG!$D$5-AC77)</f>
        <v/>
      </c>
      <c r="AD80" s="135">
        <f>MAX(0,CONFIG!$D$6-AD77)</f>
        <v/>
      </c>
      <c r="AE80" s="135">
        <f>MAX(0,CONFIG!$D$4-AE77)</f>
        <v/>
      </c>
      <c r="AF80" s="135">
        <f>MAX(0,CONFIG!$D$4-AF77)</f>
        <v/>
      </c>
      <c r="AG80" s="135">
        <f>MAX(0,CONFIG!$D$4-AG77)</f>
        <v/>
      </c>
      <c r="AH80" s="135">
        <f>MAX(0,CONFIG!$D$4-AH77)</f>
        <v/>
      </c>
      <c r="AI80" s="135">
        <f>MAX(0,CONFIG!$D$4-AI77)</f>
        <v/>
      </c>
      <c r="AJ80" s="135">
        <f>MAX(0,CONFIG!$D$5-AJ77)</f>
        <v/>
      </c>
      <c r="AK80" s="135">
        <f>MAX(0,CONFIG!$D$6-AK77)</f>
        <v/>
      </c>
      <c r="AL80" s="135">
        <f>MAX(0,CONFIG!$D$4-AL77)</f>
        <v/>
      </c>
      <c r="AM80" s="39" t="n"/>
      <c r="AN80" s="135">
        <f>MAX(0,CONFIG!$D$4-AN77)</f>
        <v/>
      </c>
      <c r="AO80" s="135">
        <f>MAX(0,CONFIG!$D$4-AO77)</f>
        <v/>
      </c>
      <c r="AP80" s="135">
        <f>MAX(0,CONFIG!$D$4-AP77)</f>
        <v/>
      </c>
      <c r="AQ80" s="135">
        <f>MAX(0,CONFIG!$D$4-AQ77)</f>
        <v/>
      </c>
      <c r="AR80" s="135">
        <f>MAX(0,CONFIG!$D$5-AR77)</f>
        <v/>
      </c>
      <c r="AS80" s="135">
        <f>MAX(0,CONFIG!$D$6-AS77)</f>
        <v/>
      </c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2">
    <mergeCell ref="AT3:AU3"/>
    <mergeCell ref="BD3:BE3"/>
    <mergeCell ref="AX3:AY3"/>
    <mergeCell ref="AV3:AW3"/>
    <mergeCell ref="AZ3:BA3"/>
    <mergeCell ref="BD2:BE2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EBE8E5"/>
    <outlinePr summaryBelow="1" summaryRight="1"/>
    <pageSetUpPr/>
  </sheetPr>
  <dimension ref="A1:BS8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5.3" customWidth="1" min="32" max="32"/>
    <col width="5.3" customWidth="1" min="33" max="33"/>
    <col width="5.3" customWidth="1" min="34" max="34"/>
    <col width="5.3" customWidth="1" min="35" max="35"/>
    <col width="5.3" customWidth="1" min="36" max="36"/>
    <col width="5.3" customWidth="1" min="37" max="37"/>
    <col width="5.3" customWidth="1" min="38" max="38"/>
    <col width="5.3" customWidth="1" min="39" max="39"/>
    <col width="5.3" customWidth="1" min="40" max="40"/>
    <col width="5.3" customWidth="1" min="41" max="41"/>
    <col width="5.3" customWidth="1" min="42" max="42"/>
    <col width="2.5" customWidth="1" min="43" max="43"/>
    <col width="2.5" customWidth="1" min="44" max="44"/>
    <col width="2.5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5.4" customWidth="1" min="58" max="58"/>
    <col width="5.4" customWidth="1" min="59" max="59"/>
    <col width="5.4" customWidth="1" min="60" max="60"/>
    <col width="5.4" customWidth="1" min="61" max="61"/>
    <col width="5.4" customWidth="1" min="62" max="62"/>
    <col width="5.4" customWidth="1" min="63" max="63"/>
    <col width="5.4" customWidth="1" min="64" max="64"/>
    <col width="5.4" customWidth="1" min="65" max="65"/>
    <col width="5.4" customWidth="1" min="66" max="66"/>
    <col width="5.4" customWidth="1" min="67" max="67"/>
    <col width="5.4" customWidth="1" min="68" max="68"/>
    <col width="13" customWidth="1" min="69" max="69"/>
    <col width="4.6" customWidth="1" min="70" max="70"/>
  </cols>
  <sheetData>
    <row r="1">
      <c r="A1" s="98" t="inlineStr">
        <is>
          <t>Dezembro · 2026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99" t="inlineStr">
        <is>
          <t>Legenda: M manhã 7–13 · T tarde 13–19 · D dia 7–19 · N noite 19–7 · NT noitinha · C chefia 10h · J Janaina 8–13 · CEP · CP · CRO · + = BHP (a mais, no banco) · − = BHN (dispensa) · FE férias · LM licença · AB abono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9" t="n"/>
      <c r="BQ1" s="39" t="n"/>
      <c r="BR1" s="39" t="n"/>
      <c r="BS1" s="39" t="n"/>
    </row>
    <row r="2">
      <c r="A2" s="39" t="n"/>
      <c r="B2" s="39" t="n"/>
      <c r="C2" s="100" t="n"/>
      <c r="D2" s="100" t="n"/>
      <c r="E2" s="100" t="n"/>
      <c r="F2" s="100" t="n"/>
      <c r="G2" s="100" t="n"/>
      <c r="H2" s="101" t="inlineStr">
        <is>
          <t>30/11</t>
        </is>
      </c>
      <c r="I2" s="103" t="n">
        <v>1</v>
      </c>
      <c r="J2" s="103" t="n">
        <v>2</v>
      </c>
      <c r="K2" s="103" t="n">
        <v>3</v>
      </c>
      <c r="L2" s="103" t="n">
        <v>4</v>
      </c>
      <c r="M2" s="104" t="n">
        <v>5</v>
      </c>
      <c r="N2" s="104" t="n">
        <v>6</v>
      </c>
      <c r="O2" s="103" t="n">
        <v>7</v>
      </c>
      <c r="P2" s="103" t="n">
        <v>8</v>
      </c>
      <c r="Q2" s="103" t="n">
        <v>9</v>
      </c>
      <c r="R2" s="103" t="n">
        <v>10</v>
      </c>
      <c r="S2" s="103" t="n">
        <v>11</v>
      </c>
      <c r="T2" s="104" t="n">
        <v>12</v>
      </c>
      <c r="U2" s="104" t="n">
        <v>13</v>
      </c>
      <c r="V2" s="103" t="n">
        <v>14</v>
      </c>
      <c r="W2" s="103" t="n">
        <v>15</v>
      </c>
      <c r="X2" s="103" t="n">
        <v>16</v>
      </c>
      <c r="Y2" s="103" t="n">
        <v>17</v>
      </c>
      <c r="Z2" s="103" t="n">
        <v>18</v>
      </c>
      <c r="AA2" s="104" t="n">
        <v>19</v>
      </c>
      <c r="AB2" s="104" t="n">
        <v>20</v>
      </c>
      <c r="AC2" s="103" t="n">
        <v>21</v>
      </c>
      <c r="AD2" s="103" t="n">
        <v>22</v>
      </c>
      <c r="AE2" s="103" t="n">
        <v>23</v>
      </c>
      <c r="AF2" s="103" t="n">
        <v>24</v>
      </c>
      <c r="AG2" s="102" t="n">
        <v>25</v>
      </c>
      <c r="AH2" s="104" t="n">
        <v>26</v>
      </c>
      <c r="AI2" s="104" t="n">
        <v>27</v>
      </c>
      <c r="AJ2" s="103" t="n">
        <v>28</v>
      </c>
      <c r="AK2" s="103" t="n">
        <v>29</v>
      </c>
      <c r="AL2" s="103" t="n">
        <v>30</v>
      </c>
      <c r="AM2" s="103" t="n">
        <v>31</v>
      </c>
      <c r="AN2" s="101" t="inlineStr">
        <is>
          <t>01/01</t>
        </is>
      </c>
      <c r="AO2" s="105" t="inlineStr">
        <is>
          <t>02/01</t>
        </is>
      </c>
      <c r="AP2" s="105" t="inlineStr">
        <is>
          <t>03/01</t>
        </is>
      </c>
      <c r="AQ2" s="100" t="n"/>
      <c r="AR2" s="100" t="n"/>
      <c r="AS2" s="100" t="n"/>
      <c r="AT2" s="106" t="inlineStr">
        <is>
          <t>30/11–06/12</t>
        </is>
      </c>
      <c r="AU2" s="39" t="n"/>
      <c r="AV2" s="106" t="inlineStr">
        <is>
          <t>07/12–13/12</t>
        </is>
      </c>
      <c r="AW2" s="39" t="n"/>
      <c r="AX2" s="106" t="inlineStr">
        <is>
          <t>14/12–20/12</t>
        </is>
      </c>
      <c r="AY2" s="39" t="n"/>
      <c r="AZ2" s="106" t="inlineStr">
        <is>
          <t>21/12–27/12</t>
        </is>
      </c>
      <c r="BA2" s="39" t="n"/>
      <c r="BB2" s="106" t="inlineStr">
        <is>
          <t>28/12–03/01</t>
        </is>
      </c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</row>
    <row r="3">
      <c r="A3" s="39" t="n"/>
      <c r="B3" s="39" t="n"/>
      <c r="C3" s="100" t="n"/>
      <c r="D3" s="100" t="n"/>
      <c r="E3" s="100" t="n"/>
      <c r="F3" s="100" t="n"/>
      <c r="G3" s="100" t="n"/>
      <c r="H3" s="107" t="inlineStr">
        <is>
          <t>seg</t>
        </is>
      </c>
      <c r="I3" s="107" t="inlineStr">
        <is>
          <t>ter</t>
        </is>
      </c>
      <c r="J3" s="107" t="inlineStr">
        <is>
          <t>qua</t>
        </is>
      </c>
      <c r="K3" s="107" t="inlineStr">
        <is>
          <t>qui</t>
        </is>
      </c>
      <c r="L3" s="107" t="inlineStr">
        <is>
          <t>sex</t>
        </is>
      </c>
      <c r="M3" s="109" t="inlineStr">
        <is>
          <t>sáb</t>
        </is>
      </c>
      <c r="N3" s="109" t="inlineStr">
        <is>
          <t>dom</t>
        </is>
      </c>
      <c r="O3" s="107" t="inlineStr">
        <is>
          <t>seg</t>
        </is>
      </c>
      <c r="P3" s="107" t="inlineStr">
        <is>
          <t>ter</t>
        </is>
      </c>
      <c r="Q3" s="107" t="inlineStr">
        <is>
          <t>qua</t>
        </is>
      </c>
      <c r="R3" s="107" t="inlineStr">
        <is>
          <t>qui</t>
        </is>
      </c>
      <c r="S3" s="107" t="inlineStr">
        <is>
          <t>sex</t>
        </is>
      </c>
      <c r="T3" s="109" t="inlineStr">
        <is>
          <t>sáb</t>
        </is>
      </c>
      <c r="U3" s="109" t="inlineStr">
        <is>
          <t>dom</t>
        </is>
      </c>
      <c r="V3" s="107" t="inlineStr">
        <is>
          <t>seg</t>
        </is>
      </c>
      <c r="W3" s="107" t="inlineStr">
        <is>
          <t>ter</t>
        </is>
      </c>
      <c r="X3" s="107" t="inlineStr">
        <is>
          <t>qua</t>
        </is>
      </c>
      <c r="Y3" s="107" t="inlineStr">
        <is>
          <t>qui</t>
        </is>
      </c>
      <c r="Z3" s="107" t="inlineStr">
        <is>
          <t>sex</t>
        </is>
      </c>
      <c r="AA3" s="109" t="inlineStr">
        <is>
          <t>sáb</t>
        </is>
      </c>
      <c r="AB3" s="109" t="inlineStr">
        <is>
          <t>dom</t>
        </is>
      </c>
      <c r="AC3" s="107" t="inlineStr">
        <is>
          <t>seg</t>
        </is>
      </c>
      <c r="AD3" s="107" t="inlineStr">
        <is>
          <t>ter</t>
        </is>
      </c>
      <c r="AE3" s="107" t="inlineStr">
        <is>
          <t>qua</t>
        </is>
      </c>
      <c r="AF3" s="107" t="inlineStr">
        <is>
          <t>qui</t>
        </is>
      </c>
      <c r="AG3" s="108" t="inlineStr">
        <is>
          <t>natal</t>
        </is>
      </c>
      <c r="AH3" s="109" t="inlineStr">
        <is>
          <t>sáb</t>
        </is>
      </c>
      <c r="AI3" s="109" t="inlineStr">
        <is>
          <t>dom</t>
        </is>
      </c>
      <c r="AJ3" s="107" t="inlineStr">
        <is>
          <t>seg</t>
        </is>
      </c>
      <c r="AK3" s="107" t="inlineStr">
        <is>
          <t>ter</t>
        </is>
      </c>
      <c r="AL3" s="107" t="inlineStr">
        <is>
          <t>qua</t>
        </is>
      </c>
      <c r="AM3" s="107" t="inlineStr">
        <is>
          <t>qui</t>
        </is>
      </c>
      <c r="AN3" s="107" t="inlineStr">
        <is>
          <t>sex</t>
        </is>
      </c>
      <c r="AO3" s="109" t="inlineStr">
        <is>
          <t>sáb</t>
        </is>
      </c>
      <c r="AP3" s="109" t="inlineStr">
        <is>
          <t>dom</t>
        </is>
      </c>
      <c r="AQ3" s="100" t="n"/>
      <c r="AR3" s="100" t="n"/>
      <c r="AS3" s="100" t="n"/>
      <c r="AT3" s="110" t="inlineStr">
        <is>
          <t>semana civil</t>
        </is>
      </c>
      <c r="AU3" s="39" t="n"/>
      <c r="AV3" s="110" t="inlineStr">
        <is>
          <t>semana civil</t>
        </is>
      </c>
      <c r="AW3" s="39" t="n"/>
      <c r="AX3" s="110" t="inlineStr">
        <is>
          <t>semana civil</t>
        </is>
      </c>
      <c r="AY3" s="39" t="n"/>
      <c r="AZ3" s="110" t="inlineStr">
        <is>
          <t>semana civil</t>
        </is>
      </c>
      <c r="BA3" s="39" t="n"/>
      <c r="BB3" s="110" t="inlineStr">
        <is>
          <t>semana civil</t>
        </is>
      </c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</row>
    <row r="4" hidden="1">
      <c r="A4" s="39" t="inlineStr">
        <is>
          <t>máscara fds</t>
        </is>
      </c>
      <c r="B4" s="39" t="n"/>
      <c r="C4" s="39" t="n">
        <v>0</v>
      </c>
      <c r="D4" s="39" t="n">
        <v>0</v>
      </c>
      <c r="E4" s="39" t="n">
        <v>0</v>
      </c>
      <c r="F4" s="39" t="n">
        <v>0</v>
      </c>
      <c r="G4" s="39" t="n">
        <v>0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0</v>
      </c>
      <c r="M4" s="39" t="n">
        <v>1</v>
      </c>
      <c r="N4" s="39" t="n">
        <v>1</v>
      </c>
      <c r="O4" s="39" t="n">
        <v>0</v>
      </c>
      <c r="P4" s="39" t="n">
        <v>0</v>
      </c>
      <c r="Q4" s="39" t="n">
        <v>0</v>
      </c>
      <c r="R4" s="39" t="n">
        <v>0</v>
      </c>
      <c r="S4" s="39" t="n">
        <v>0</v>
      </c>
      <c r="T4" s="39" t="n">
        <v>1</v>
      </c>
      <c r="U4" s="39" t="n">
        <v>1</v>
      </c>
      <c r="V4" s="39" t="n">
        <v>0</v>
      </c>
      <c r="W4" s="39" t="n">
        <v>0</v>
      </c>
      <c r="X4" s="39" t="n">
        <v>0</v>
      </c>
      <c r="Y4" s="39" t="n">
        <v>0</v>
      </c>
      <c r="Z4" s="39" t="n">
        <v>0</v>
      </c>
      <c r="AA4" s="39" t="n">
        <v>1</v>
      </c>
      <c r="AB4" s="39" t="n">
        <v>1</v>
      </c>
      <c r="AC4" s="39" t="n">
        <v>0</v>
      </c>
      <c r="AD4" s="39" t="n">
        <v>0</v>
      </c>
      <c r="AE4" s="39" t="n">
        <v>0</v>
      </c>
      <c r="AF4" s="39" t="n">
        <v>0</v>
      </c>
      <c r="AG4" s="39" t="n">
        <v>0</v>
      </c>
      <c r="AH4" s="39" t="n">
        <v>1</v>
      </c>
      <c r="AI4" s="39" t="n">
        <v>1</v>
      </c>
      <c r="AJ4" s="39" t="n">
        <v>0</v>
      </c>
      <c r="AK4" s="39" t="n">
        <v>0</v>
      </c>
      <c r="AL4" s="39" t="n">
        <v>0</v>
      </c>
      <c r="AM4" s="39" t="n">
        <v>0</v>
      </c>
      <c r="AN4" s="39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9" t="n">
        <v>0</v>
      </c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</row>
    <row r="5" hidden="1">
      <c r="A5" s="39" t="inlineStr">
        <is>
          <t>máscara sexta</t>
        </is>
      </c>
      <c r="B5" s="39" t="n"/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1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1</v>
      </c>
      <c r="T5" s="39" t="n">
        <v>0</v>
      </c>
      <c r="U5" s="39" t="n">
        <v>0</v>
      </c>
      <c r="V5" s="39" t="n">
        <v>0</v>
      </c>
      <c r="W5" s="39" t="n">
        <v>0</v>
      </c>
      <c r="X5" s="39" t="n">
        <v>0</v>
      </c>
      <c r="Y5" s="39" t="n">
        <v>0</v>
      </c>
      <c r="Z5" s="39" t="n">
        <v>1</v>
      </c>
      <c r="AA5" s="39" t="n">
        <v>0</v>
      </c>
      <c r="AB5" s="39" t="n">
        <v>0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1</v>
      </c>
      <c r="AH5" s="39" t="n">
        <v>0</v>
      </c>
      <c r="AI5" s="39" t="n">
        <v>0</v>
      </c>
      <c r="AJ5" s="39" t="n">
        <v>0</v>
      </c>
      <c r="AK5" s="39" t="n">
        <v>0</v>
      </c>
      <c r="AL5" s="39" t="n">
        <v>0</v>
      </c>
      <c r="AM5" s="39" t="n">
        <v>0</v>
      </c>
      <c r="AN5" s="39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9" t="n">
        <v>0</v>
      </c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</row>
    <row r="6" hidden="1">
      <c r="A6" s="39" t="inlineStr">
        <is>
          <t>máscara feriado</t>
        </is>
      </c>
      <c r="B6" s="39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1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9" t="n">
        <v>0</v>
      </c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</row>
    <row r="7" ht="66" customHeight="1">
      <c r="A7" s="43" t="inlineStr">
        <is>
          <t>Médico</t>
        </is>
      </c>
      <c r="B7" s="43" t="inlineStr">
        <is>
          <t>CH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111" t="inlineStr">
        <is>
          <t>Sem 1</t>
        </is>
      </c>
      <c r="AU7" s="111" t="inlineStr">
        <is>
          <t>BH 1</t>
        </is>
      </c>
      <c r="AV7" s="111" t="inlineStr">
        <is>
          <t>Sem 2</t>
        </is>
      </c>
      <c r="AW7" s="111" t="inlineStr">
        <is>
          <t>BH 2</t>
        </is>
      </c>
      <c r="AX7" s="111" t="inlineStr">
        <is>
          <t>Sem 3</t>
        </is>
      </c>
      <c r="AY7" s="111" t="inlineStr">
        <is>
          <t>BH 3</t>
        </is>
      </c>
      <c r="AZ7" s="111" t="inlineStr">
        <is>
          <t>Sem 4</t>
        </is>
      </c>
      <c r="BA7" s="111" t="inlineStr">
        <is>
          <t>BH 4</t>
        </is>
      </c>
      <c r="BB7" s="111" t="inlineStr">
        <is>
          <t>Sem 5</t>
        </is>
      </c>
      <c r="BC7" s="111" t="inlineStr">
        <is>
          <t>BH 5</t>
        </is>
      </c>
      <c r="BD7" s="111" t="inlineStr">
        <is>
          <t>Sem 6</t>
        </is>
      </c>
      <c r="BE7" s="111" t="inlineStr">
        <is>
          <t>BH 6</t>
        </is>
      </c>
      <c r="BF7" s="112" t="inlineStr">
        <is>
          <t>CH mês</t>
        </is>
      </c>
      <c r="BG7" s="112" t="inlineStr">
        <is>
          <t>FDS</t>
        </is>
      </c>
      <c r="BH7" s="112" t="inlineStr">
        <is>
          <t>SxN</t>
        </is>
      </c>
      <c r="BI7" s="112" t="inlineStr">
        <is>
          <t>Feriado</t>
        </is>
      </c>
      <c r="BJ7" s="112" t="inlineStr">
        <is>
          <t>Meta</t>
        </is>
      </c>
      <c r="BK7" s="112" t="inlineStr">
        <is>
          <t>Saldo</t>
        </is>
      </c>
      <c r="BL7" s="113" t="inlineStr">
        <is>
          <t>18h⚠</t>
        </is>
      </c>
      <c r="BM7" s="113" t="inlineStr">
        <is>
          <t>N→T</t>
        </is>
      </c>
      <c r="BN7" s="113" t="inlineStr">
        <is>
          <t>Cota FDS</t>
        </is>
      </c>
      <c r="BO7" s="113" t="inlineStr">
        <is>
          <t>FDS⚠</t>
        </is>
      </c>
      <c r="BP7" s="113" t="inlineStr">
        <is>
          <t>Sem⚠</t>
        </is>
      </c>
      <c r="BQ7" s="112" t="inlineStr">
        <is>
          <t>Grupo</t>
        </is>
      </c>
      <c r="BR7" s="112" t="inlineStr">
        <is>
          <t>Nº</t>
        </is>
      </c>
      <c r="BS7" s="39" t="n"/>
    </row>
    <row r="8">
      <c r="A8" s="89" t="inlineStr">
        <is>
          <t>Fred</t>
        </is>
      </c>
      <c r="B8" s="107" t="n">
        <v>36</v>
      </c>
      <c r="C8" s="100" t="n"/>
      <c r="D8" s="100" t="n"/>
      <c r="E8" s="100" t="n"/>
      <c r="F8" s="100" t="n"/>
      <c r="G8" s="100" t="n"/>
      <c r="H8" s="136">
        <f>IFERROR(INDEX(NOV!AL$8:AL$73,MATCH($A8,NOV!$A$8:$A$73,0))&amp;"","")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4" t="n"/>
      <c r="AF8" s="114" t="n"/>
      <c r="AG8" s="114" t="n"/>
      <c r="AH8" s="114" t="n"/>
      <c r="AI8" s="114" t="n"/>
      <c r="AJ8" s="114" t="n"/>
      <c r="AK8" s="114" t="n"/>
      <c r="AL8" s="114" t="n"/>
      <c r="AM8" s="114" t="n"/>
      <c r="AN8" s="100" t="n"/>
      <c r="AO8" s="100" t="n"/>
      <c r="AP8" s="100" t="n"/>
      <c r="AQ8" s="100" t="n"/>
      <c r="AR8" s="100" t="n"/>
      <c r="AS8" s="100" t="n"/>
      <c r="AT8" s="117">
        <f>SUMPRODUCT(($H8:$N8="M")*6+($H8:$N8="T")*6+($H8:$N8="D")*12+($H8:$N8="N")*12+($H8:$N8="NT")*6+($H8:$N8="C")*10+($H8:$N8="A")*8+($H8:$N8="J")*5+($H8:$N8="CEP")*4+($H8:$N8="CP")*6+($H8:$N8="CRO")*6+($H8:$N8="M+")*6+($H8:$N8="T+")*6+($H8:$N8="D+")*12+($H8:$N8="N+")*12+($H8:$N8="Dm+")*12+($H8:$N8="Dt+")*12+($H8:$N8="Tm-")*6+($H8:$N8="Mt-")*6)</f>
        <v/>
      </c>
      <c r="AU8" s="118">
        <f>AT8-MAX(0,IFERROR(INDEX(CADASTRO!$I$4:$I$80,MATCH($A8,CADASTRO!$A$4:$A$80,0)),$B8)-CONFIG!$B$50*(COUNTIF($H8:$N8,"AB")+COUNTIF($H8:$N8,"FE")+COUNTIF($H8:$N8,"LM")))</f>
        <v/>
      </c>
      <c r="AV8" s="117">
        <f>SUMPRODUCT(($O8:$U8="M")*6+($O8:$U8="T")*6+($O8:$U8="D")*12+($O8:$U8="N")*12+($O8:$U8="NT")*6+($O8:$U8="C")*10+($O8:$U8="A")*8+($O8:$U8="J")*5+($O8:$U8="CEP")*4+($O8:$U8="CP")*6+($O8:$U8="CRO")*6+($O8:$U8="M+")*6+($O8:$U8="T+")*6+($O8:$U8="D+")*12+($O8:$U8="N+")*12+($O8:$U8="Dm+")*12+($O8:$U8="Dt+")*12+($O8:$U8="Tm-")*6+($O8:$U8="Mt-")*6)</f>
        <v/>
      </c>
      <c r="AW8" s="118">
        <f>AV8-MAX(0,IFERROR(INDEX(CADASTRO!$I$4:$I$80,MATCH($A8,CADASTRO!$A$4:$A$80,0)),$B8)-CONFIG!$B$50*(COUNTIF($O8:$U8,"AB")+COUNTIF($O8:$U8,"FE")+COUNTIF($O8:$U8,"LM")))</f>
        <v/>
      </c>
      <c r="AX8" s="117">
        <f>SUMPRODUCT(($V8:$AB8="M")*6+($V8:$AB8="T")*6+($V8:$AB8="D")*12+($V8:$AB8="N")*12+($V8:$AB8="NT")*6+($V8:$AB8="C")*10+($V8:$AB8="A")*8+($V8:$AB8="J")*5+($V8:$AB8="CEP")*4+($V8:$AB8="CP")*6+($V8:$AB8="CRO")*6+($V8:$AB8="M+")*6+($V8:$AB8="T+")*6+($V8:$AB8="D+")*12+($V8:$AB8="N+")*12+($V8:$AB8="Dm+")*12+($V8:$AB8="Dt+")*12+($V8:$AB8="Tm-")*6+($V8:$AB8="Mt-")*6)</f>
        <v/>
      </c>
      <c r="AY8" s="118">
        <f>AX8-MAX(0,IFERROR(INDEX(CADASTRO!$I$4:$I$80,MATCH($A8,CADASTRO!$A$4:$A$80,0)),$B8)-CONFIG!$B$50*(COUNTIF($V8:$AB8,"AB")+COUNTIF($V8:$AB8,"FE")+COUNTIF($V8:$AB8,"LM")))</f>
        <v/>
      </c>
      <c r="AZ8" s="117">
        <f>SUMPRODUCT(($AC8:$AI8="M")*6+($AC8:$AI8="T")*6+($AC8:$AI8="D")*12+($AC8:$AI8="N")*12+($AC8:$AI8="NT")*6+($AC8:$AI8="C")*10+($AC8:$AI8="A")*8+($AC8:$AI8="J")*5+($AC8:$AI8="CEP")*4+($AC8:$AI8="CP")*6+($AC8:$AI8="CRO")*6+($AC8:$AI8="M+")*6+($AC8:$AI8="T+")*6+($AC8:$AI8="D+")*12+($AC8:$AI8="N+")*12+($AC8:$AI8="Dm+")*12+($AC8:$AI8="Dt+")*12+($AC8:$AI8="Tm-")*6+($AC8:$AI8="Mt-")*6)</f>
        <v/>
      </c>
      <c r="BA8" s="118">
        <f>AZ8-MAX(0,IFERROR(INDEX(CADASTRO!$I$4:$I$80,MATCH($A8,CADASTRO!$A$4:$A$80,0)),$B8)-CONFIG!$B$50*(COUNTIF($AC8:$AI8,"AB")+COUNTIF($AC8:$AI8,"FE")+COUNTIF($AC8:$AI8,"LM")))</f>
        <v/>
      </c>
      <c r="BB8" s="117">
        <f>SUMPRODUCT(($AJ8:$AM8="M")*6+($AJ8:$AM8="T")*6+($AJ8:$AM8="D")*12+($AJ8:$AM8="N")*12+($AJ8:$AM8="NT")*6+($AJ8:$AM8="C")*10+($AJ8:$AM8="A")*8+($AJ8:$AM8="J")*5+($AJ8:$AM8="CEP")*4+($AJ8:$AM8="CP")*6+($AJ8:$AM8="CRO")*6+($AJ8:$AM8="M+")*6+($AJ8:$AM8="T+")*6+($AJ8:$AM8="D+")*12+($AJ8:$AM8="N+")*12+($AJ8:$AM8="Dm+")*12+($AJ8:$AM8="Dt+")*12+($AJ8:$AM8="Tm-")*6+($AJ8:$AM8="Mt-")*6)+SUMPRODUCT(($AN8:$AP8="M")*6+($AN8:$AP8="T")*6+($AN8:$AP8="D")*12+($AN8:$AP8="N")*12+($AN8:$AP8="NT")*6+($AN8:$AP8="C")*10+($AN8:$AP8="A")*8+($AN8:$AP8="J")*5+($AN8:$AP8="CEP")*4+($AN8:$AP8="CP")*6+($AN8:$AP8="CRO")*6+($AN8:$AP8="M+")*6+($AN8:$AP8="T+")*6+($AN8:$AP8="D+")*12+($AN8:$AP8="N+")*12+($AN8:$AP8="Dm+")*12+($AN8:$AP8="Dt+")*12+($AN8:$AP8="Tm-")*6+($AN8:$AP8="Mt-")*6)</f>
        <v/>
      </c>
      <c r="BC8" s="118">
        <f>BB8-MAX(0,IFERROR(INDEX(CADASTRO!$I$4:$I$80,MATCH($A8,CADASTRO!$A$4:$A$80,0)),$B8)-CONFIG!$B$50*(COUNTIF($AJ8:$AM8,"AB")+COUNTIF($AJ8:$AM8,"FE")+COUNTIF($AJ8:$AM8,"LM")+COUNTIF($AN8:$AP8,"AB")+COUNTIF($AN8:$AP8,"FE")+COUNTIF($AN8:$AP8,"LM")))</f>
        <v/>
      </c>
      <c r="BD8" s="117" t="n"/>
      <c r="BE8" s="118" t="n"/>
      <c r="BF8" s="117">
        <f>SUMPRODUCT(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G8" s="117">
        <f>SUMPRODUCT($I$4:$AM$4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H8" s="117">
        <f>SUMPRODUCT($I$5:$AM$5,(($I8:$AM8="N")+($I8:$AM8="N+")))</f>
        <v/>
      </c>
      <c r="BI8" s="117">
        <f>SUMPRODUCT($I$6:$AM$6,($I8:$AM8="M")*6+($I8:$AM8="T")*6+($I8:$AM8="D")*12+($I8:$AM8="N")*12+($I8:$AM8="NT")*6+($I8:$AM8="C")*10+($I8:$AM8="A")*8+($I8:$AM8="J")*5+($I8:$AM8="CEP")*4+($I8:$AM8="CP")*6+($I8:$AM8="CRO")*6+($I8:$AM8="M+")*6+($I8:$AM8="T+")*6+($I8:$AM8="D+")*12+($I8:$AM8="N+")*12+($I8:$AM8="Dm+")*12+($I8:$AM8="Dt+")*12+($I8:$AM8="Tm-")*6+($I8:$AM8="Mt-")*6)</f>
        <v/>
      </c>
      <c r="BJ8" s="117">
        <f>ROUND(B8*4.43,0)</f>
        <v/>
      </c>
      <c r="BK8" s="119">
        <f>BF8-BJ8</f>
        <v/>
      </c>
      <c r="BL8" s="120">
        <f>SUMPRODUCT((($C8:$AL8="N")+($C8:$AL8="N+"))*(($D8:$AM8="M")+($D8:$AM8="D")+($D8:$AM8="C")+($D8:$AM8="CEP")+($D8:$AM8="M+")+($D8:$AM8="D+")+($D8:$AM8="Dm+")+($D8:$AM8="Dt+")+($D8:$AM8="Mt-")))</f>
        <v/>
      </c>
      <c r="BM8" s="120">
        <f>SUMPRODUCT((($C8:$AL8="N")+($C8:$AL8="N+"))*(($D8:$AM8="T")+($D8:$AM8="T+")+($D8:$AM8="Tm-")))</f>
        <v/>
      </c>
      <c r="BN8" s="120">
        <f>IFERROR(INDEX(CONFIG!$B$44:$D$46,MATCH($B8,CONFIG!$A$44:$A$46,0),IF(COUNTIF($I8:$AM8,"FE")&gt;=10,1,IF(COUNTIF($I8:$AM8,"FE")&gt;=1,2,3))),"")</f>
        <v/>
      </c>
      <c r="BO8" s="120">
        <f>IF(BN8="","",MAX(0,BG8-BN8*CONFIG!$E$44))</f>
        <v/>
      </c>
      <c r="BP8" s="120">
        <f>MAX(AT8,AV8,AX8,AZ8,BB8,BD8)</f>
        <v/>
      </c>
      <c r="BQ8" s="121" t="inlineStr">
        <is>
          <t>1 · coordenação</t>
        </is>
      </c>
      <c r="BR8" s="122" t="n">
        <v>7</v>
      </c>
      <c r="BS8" s="39" t="n"/>
    </row>
    <row r="9">
      <c r="A9" s="89" t="inlineStr">
        <is>
          <t>Milena</t>
        </is>
      </c>
      <c r="B9" s="107" t="n">
        <v>36</v>
      </c>
      <c r="C9" s="100" t="n"/>
      <c r="D9" s="100" t="n"/>
      <c r="E9" s="100" t="n"/>
      <c r="F9" s="100" t="n"/>
      <c r="G9" s="100" t="n"/>
      <c r="H9" s="136">
        <f>IFERROR(INDEX(NOV!AL$8:AL$73,MATCH($A9,NOV!$A$8:$A$73,0))&amp;"","")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14" t="n"/>
      <c r="AF9" s="114" t="n"/>
      <c r="AG9" s="114" t="n"/>
      <c r="AH9" s="114" t="n"/>
      <c r="AI9" s="114" t="n"/>
      <c r="AJ9" s="114" t="n"/>
      <c r="AK9" s="114" t="n"/>
      <c r="AL9" s="114" t="n"/>
      <c r="AM9" s="114" t="n"/>
      <c r="AN9" s="100" t="n"/>
      <c r="AO9" s="100" t="n"/>
      <c r="AP9" s="100" t="n"/>
      <c r="AQ9" s="100" t="n"/>
      <c r="AR9" s="100" t="n"/>
      <c r="AS9" s="100" t="n"/>
      <c r="AT9" s="117">
        <f>SUMPRODUCT(($H9:$N9="M")*6+($H9:$N9="T")*6+($H9:$N9="D")*12+($H9:$N9="N")*12+($H9:$N9="NT")*6+($H9:$N9="C")*10+($H9:$N9="A")*8+($H9:$N9="J")*5+($H9:$N9="CEP")*4+($H9:$N9="CP")*6+($H9:$N9="CRO")*6+($H9:$N9="M+")*6+($H9:$N9="T+")*6+($H9:$N9="D+")*12+($H9:$N9="N+")*12+($H9:$N9="Dm+")*12+($H9:$N9="Dt+")*12+($H9:$N9="Tm-")*6+($H9:$N9="Mt-")*6)</f>
        <v/>
      </c>
      <c r="AU9" s="118">
        <f>AT9-MAX(0,IFERROR(INDEX(CADASTRO!$I$4:$I$80,MATCH($A9,CADASTRO!$A$4:$A$80,0)),$B9)-CONFIG!$B$50*(COUNTIF($H9:$N9,"AB")+COUNTIF($H9:$N9,"FE")+COUNTIF($H9:$N9,"LM")))</f>
        <v/>
      </c>
      <c r="AV9" s="117">
        <f>SUMPRODUCT(($O9:$U9="M")*6+($O9:$U9="T")*6+($O9:$U9="D")*12+($O9:$U9="N")*12+($O9:$U9="NT")*6+($O9:$U9="C")*10+($O9:$U9="A")*8+($O9:$U9="J")*5+($O9:$U9="CEP")*4+($O9:$U9="CP")*6+($O9:$U9="CRO")*6+($O9:$U9="M+")*6+($O9:$U9="T+")*6+($O9:$U9="D+")*12+($O9:$U9="N+")*12+($O9:$U9="Dm+")*12+($O9:$U9="Dt+")*12+($O9:$U9="Tm-")*6+($O9:$U9="Mt-")*6)</f>
        <v/>
      </c>
      <c r="AW9" s="118">
        <f>AV9-MAX(0,IFERROR(INDEX(CADASTRO!$I$4:$I$80,MATCH($A9,CADASTRO!$A$4:$A$80,0)),$B9)-CONFIG!$B$50*(COUNTIF($O9:$U9,"AB")+COUNTIF($O9:$U9,"FE")+COUNTIF($O9:$U9,"LM")))</f>
        <v/>
      </c>
      <c r="AX9" s="117">
        <f>SUMPRODUCT(($V9:$AB9="M")*6+($V9:$AB9="T")*6+($V9:$AB9="D")*12+($V9:$AB9="N")*12+($V9:$AB9="NT")*6+($V9:$AB9="C")*10+($V9:$AB9="A")*8+($V9:$AB9="J")*5+($V9:$AB9="CEP")*4+($V9:$AB9="CP")*6+($V9:$AB9="CRO")*6+($V9:$AB9="M+")*6+($V9:$AB9="T+")*6+($V9:$AB9="D+")*12+($V9:$AB9="N+")*12+($V9:$AB9="Dm+")*12+($V9:$AB9="Dt+")*12+($V9:$AB9="Tm-")*6+($V9:$AB9="Mt-")*6)</f>
        <v/>
      </c>
      <c r="AY9" s="118">
        <f>AX9-MAX(0,IFERROR(INDEX(CADASTRO!$I$4:$I$80,MATCH($A9,CADASTRO!$A$4:$A$80,0)),$B9)-CONFIG!$B$50*(COUNTIF($V9:$AB9,"AB")+COUNTIF($V9:$AB9,"FE")+COUNTIF($V9:$AB9,"LM")))</f>
        <v/>
      </c>
      <c r="AZ9" s="117">
        <f>SUMPRODUCT(($AC9:$AI9="M")*6+($AC9:$AI9="T")*6+($AC9:$AI9="D")*12+($AC9:$AI9="N")*12+($AC9:$AI9="NT")*6+($AC9:$AI9="C")*10+($AC9:$AI9="A")*8+($AC9:$AI9="J")*5+($AC9:$AI9="CEP")*4+($AC9:$AI9="CP")*6+($AC9:$AI9="CRO")*6+($AC9:$AI9="M+")*6+($AC9:$AI9="T+")*6+($AC9:$AI9="D+")*12+($AC9:$AI9="N+")*12+($AC9:$AI9="Dm+")*12+($AC9:$AI9="Dt+")*12+($AC9:$AI9="Tm-")*6+($AC9:$AI9="Mt-")*6)</f>
        <v/>
      </c>
      <c r="BA9" s="118">
        <f>AZ9-MAX(0,IFERROR(INDEX(CADASTRO!$I$4:$I$80,MATCH($A9,CADASTRO!$A$4:$A$80,0)),$B9)-CONFIG!$B$50*(COUNTIF($AC9:$AI9,"AB")+COUNTIF($AC9:$AI9,"FE")+COUNTIF($AC9:$AI9,"LM")))</f>
        <v/>
      </c>
      <c r="BB9" s="117">
        <f>SUMPRODUCT(($AJ9:$AM9="M")*6+($AJ9:$AM9="T")*6+($AJ9:$AM9="D")*12+($AJ9:$AM9="N")*12+($AJ9:$AM9="NT")*6+($AJ9:$AM9="C")*10+($AJ9:$AM9="A")*8+($AJ9:$AM9="J")*5+($AJ9:$AM9="CEP")*4+($AJ9:$AM9="CP")*6+($AJ9:$AM9="CRO")*6+($AJ9:$AM9="M+")*6+($AJ9:$AM9="T+")*6+($AJ9:$AM9="D+")*12+($AJ9:$AM9="N+")*12+($AJ9:$AM9="Dm+")*12+($AJ9:$AM9="Dt+")*12+($AJ9:$AM9="Tm-")*6+($AJ9:$AM9="Mt-")*6)+SUMPRODUCT(($AN9:$AP9="M")*6+($AN9:$AP9="T")*6+($AN9:$AP9="D")*12+($AN9:$AP9="N")*12+($AN9:$AP9="NT")*6+($AN9:$AP9="C")*10+($AN9:$AP9="A")*8+($AN9:$AP9="J")*5+($AN9:$AP9="CEP")*4+($AN9:$AP9="CP")*6+($AN9:$AP9="CRO")*6+($AN9:$AP9="M+")*6+($AN9:$AP9="T+")*6+($AN9:$AP9="D+")*12+($AN9:$AP9="N+")*12+($AN9:$AP9="Dm+")*12+($AN9:$AP9="Dt+")*12+($AN9:$AP9="Tm-")*6+($AN9:$AP9="Mt-")*6)</f>
        <v/>
      </c>
      <c r="BC9" s="118">
        <f>BB9-MAX(0,IFERROR(INDEX(CADASTRO!$I$4:$I$80,MATCH($A9,CADASTRO!$A$4:$A$80,0)),$B9)-CONFIG!$B$50*(COUNTIF($AJ9:$AM9,"AB")+COUNTIF($AJ9:$AM9,"FE")+COUNTIF($AJ9:$AM9,"LM")+COUNTIF($AN9:$AP9,"AB")+COUNTIF($AN9:$AP9,"FE")+COUNTIF($AN9:$AP9,"LM")))</f>
        <v/>
      </c>
      <c r="BD9" s="117" t="n"/>
      <c r="BE9" s="118" t="n"/>
      <c r="BF9" s="117">
        <f>SUMPRODUCT(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G9" s="117">
        <f>SUMPRODUCT($I$4:$AM$4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H9" s="117">
        <f>SUMPRODUCT($I$5:$AM$5,(($I9:$AM9="N")+($I9:$AM9="N+")))</f>
        <v/>
      </c>
      <c r="BI9" s="117">
        <f>SUMPRODUCT($I$6:$AM$6,($I9:$AM9="M")*6+($I9:$AM9="T")*6+($I9:$AM9="D")*12+($I9:$AM9="N")*12+($I9:$AM9="NT")*6+($I9:$AM9="C")*10+($I9:$AM9="A")*8+($I9:$AM9="J")*5+($I9:$AM9="CEP")*4+($I9:$AM9="CP")*6+($I9:$AM9="CRO")*6+($I9:$AM9="M+")*6+($I9:$AM9="T+")*6+($I9:$AM9="D+")*12+($I9:$AM9="N+")*12+($I9:$AM9="Dm+")*12+($I9:$AM9="Dt+")*12+($I9:$AM9="Tm-")*6+($I9:$AM9="Mt-")*6)</f>
        <v/>
      </c>
      <c r="BJ9" s="117">
        <f>ROUND(B9*4.43,0)</f>
        <v/>
      </c>
      <c r="BK9" s="119">
        <f>BF9-BJ9</f>
        <v/>
      </c>
      <c r="BL9" s="120">
        <f>SUMPRODUCT((($C9:$AL9="N")+($C9:$AL9="N+"))*(($D9:$AM9="M")+($D9:$AM9="D")+($D9:$AM9="C")+($D9:$AM9="CEP")+($D9:$AM9="M+")+($D9:$AM9="D+")+($D9:$AM9="Dm+")+($D9:$AM9="Dt+")+($D9:$AM9="Mt-")))</f>
        <v/>
      </c>
      <c r="BM9" s="120">
        <f>SUMPRODUCT((($C9:$AL9="N")+($C9:$AL9="N+"))*(($D9:$AM9="T")+($D9:$AM9="T+")+($D9:$AM9="Tm-")))</f>
        <v/>
      </c>
      <c r="BN9" s="120">
        <f>IFERROR(INDEX(CONFIG!$B$44:$D$46,MATCH($B9,CONFIG!$A$44:$A$46,0),IF(COUNTIF($I9:$AM9,"FE")&gt;=10,1,IF(COUNTIF($I9:$AM9,"FE")&gt;=1,2,3))),"")</f>
        <v/>
      </c>
      <c r="BO9" s="120">
        <f>IF(BN9="","",MAX(0,BG9-BN9*CONFIG!$E$44))</f>
        <v/>
      </c>
      <c r="BP9" s="120">
        <f>MAX(AT9,AV9,AX9,AZ9,BB9,BD9)</f>
        <v/>
      </c>
      <c r="BQ9" s="121" t="inlineStr">
        <is>
          <t>1 · coordenação</t>
        </is>
      </c>
      <c r="BR9" s="122" t="n">
        <v>7</v>
      </c>
      <c r="BS9" s="39" t="n"/>
    </row>
    <row r="10">
      <c r="A10" s="89" t="inlineStr">
        <is>
          <t>Pabdo</t>
        </is>
      </c>
      <c r="B10" s="107" t="n">
        <v>36</v>
      </c>
      <c r="C10" s="100" t="n"/>
      <c r="D10" s="100" t="n"/>
      <c r="E10" s="100" t="n"/>
      <c r="F10" s="100" t="n"/>
      <c r="G10" s="100" t="n"/>
      <c r="H10" s="136">
        <f>IFERROR(INDEX(NOV!AL$8:AL$73,MATCH($A10,NOV!$A$8:$A$73,0))&amp;"","")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4" t="n"/>
      <c r="AI10" s="114" t="n"/>
      <c r="AJ10" s="114" t="n"/>
      <c r="AK10" s="114" t="n"/>
      <c r="AL10" s="114" t="n"/>
      <c r="AM10" s="114" t="n"/>
      <c r="AN10" s="100" t="n"/>
      <c r="AO10" s="100" t="n"/>
      <c r="AP10" s="100" t="n"/>
      <c r="AQ10" s="100" t="n"/>
      <c r="AR10" s="100" t="n"/>
      <c r="AS10" s="100" t="n"/>
      <c r="AT10" s="117">
        <f>SUMPRODUCT(($H10:$N10="M")*6+($H10:$N10="T")*6+($H10:$N10="D")*12+($H10:$N10="N")*12+($H10:$N10="NT")*6+($H10:$N10="C")*10+($H10:$N10="A")*8+($H10:$N10="J")*5+($H10:$N10="CEP")*4+($H10:$N10="CP")*6+($H10:$N10="CRO")*6+($H10:$N10="M+")*6+($H10:$N10="T+")*6+($H10:$N10="D+")*12+($H10:$N10="N+")*12+($H10:$N10="Dm+")*12+($H10:$N10="Dt+")*12+($H10:$N10="Tm-")*6+($H10:$N10="Mt-")*6)</f>
        <v/>
      </c>
      <c r="AU10" s="118">
        <f>AT10-MAX(0,IFERROR(INDEX(CADASTRO!$I$4:$I$80,MATCH($A10,CADASTRO!$A$4:$A$80,0)),$B10)-CONFIG!$B$50*(COUNTIF($H10:$N10,"AB")+COUNTIF($H10:$N10,"FE")+COUNTIF($H10:$N10,"LM")))</f>
        <v/>
      </c>
      <c r="AV10" s="117">
        <f>SUMPRODUCT(($O10:$U10="M")*6+($O10:$U10="T")*6+($O10:$U10="D")*12+($O10:$U10="N")*12+($O10:$U10="NT")*6+($O10:$U10="C")*10+($O10:$U10="A")*8+($O10:$U10="J")*5+($O10:$U10="CEP")*4+($O10:$U10="CP")*6+($O10:$U10="CRO")*6+($O10:$U10="M+")*6+($O10:$U10="T+")*6+($O10:$U10="D+")*12+($O10:$U10="N+")*12+($O10:$U10="Dm+")*12+($O10:$U10="Dt+")*12+($O10:$U10="Tm-")*6+($O10:$U10="Mt-")*6)</f>
        <v/>
      </c>
      <c r="AW10" s="118">
        <f>AV10-MAX(0,IFERROR(INDEX(CADASTRO!$I$4:$I$80,MATCH($A10,CADASTRO!$A$4:$A$80,0)),$B10)-CONFIG!$B$50*(COUNTIF($O10:$U10,"AB")+COUNTIF($O10:$U10,"FE")+COUNTIF($O10:$U10,"LM")))</f>
        <v/>
      </c>
      <c r="AX10" s="117">
        <f>SUMPRODUCT(($V10:$AB10="M")*6+($V10:$AB10="T")*6+($V10:$AB10="D")*12+($V10:$AB10="N")*12+($V10:$AB10="NT")*6+($V10:$AB10="C")*10+($V10:$AB10="A")*8+($V10:$AB10="J")*5+($V10:$AB10="CEP")*4+($V10:$AB10="CP")*6+($V10:$AB10="CRO")*6+($V10:$AB10="M+")*6+($V10:$AB10="T+")*6+($V10:$AB10="D+")*12+($V10:$AB10="N+")*12+($V10:$AB10="Dm+")*12+($V10:$AB10="Dt+")*12+($V10:$AB10="Tm-")*6+($V10:$AB10="Mt-")*6)</f>
        <v/>
      </c>
      <c r="AY10" s="118">
        <f>AX10-MAX(0,IFERROR(INDEX(CADASTRO!$I$4:$I$80,MATCH($A10,CADASTRO!$A$4:$A$80,0)),$B10)-CONFIG!$B$50*(COUNTIF($V10:$AB10,"AB")+COUNTIF($V10:$AB10,"FE")+COUNTIF($V10:$AB10,"LM")))</f>
        <v/>
      </c>
      <c r="AZ10" s="117">
        <f>SUMPRODUCT(($AC10:$AI10="M")*6+($AC10:$AI10="T")*6+($AC10:$AI10="D")*12+($AC10:$AI10="N")*12+($AC10:$AI10="NT")*6+($AC10:$AI10="C")*10+($AC10:$AI10="A")*8+($AC10:$AI10="J")*5+($AC10:$AI10="CEP")*4+($AC10:$AI10="CP")*6+($AC10:$AI10="CRO")*6+($AC10:$AI10="M+")*6+($AC10:$AI10="T+")*6+($AC10:$AI10="D+")*12+($AC10:$AI10="N+")*12+($AC10:$AI10="Dm+")*12+($AC10:$AI10="Dt+")*12+($AC10:$AI10="Tm-")*6+($AC10:$AI10="Mt-")*6)</f>
        <v/>
      </c>
      <c r="BA10" s="118">
        <f>AZ10-MAX(0,IFERROR(INDEX(CADASTRO!$I$4:$I$80,MATCH($A10,CADASTRO!$A$4:$A$80,0)),$B10)-CONFIG!$B$50*(COUNTIF($AC10:$AI10,"AB")+COUNTIF($AC10:$AI10,"FE")+COUNTIF($AC10:$AI10,"LM")))</f>
        <v/>
      </c>
      <c r="BB10" s="117">
        <f>SUMPRODUCT(($AJ10:$AM10="M")*6+($AJ10:$AM10="T")*6+($AJ10:$AM10="D")*12+($AJ10:$AM10="N")*12+($AJ10:$AM10="NT")*6+($AJ10:$AM10="C")*10+($AJ10:$AM10="A")*8+($AJ10:$AM10="J")*5+($AJ10:$AM10="CEP")*4+($AJ10:$AM10="CP")*6+($AJ10:$AM10="CRO")*6+($AJ10:$AM10="M+")*6+($AJ10:$AM10="T+")*6+($AJ10:$AM10="D+")*12+($AJ10:$AM10="N+")*12+($AJ10:$AM10="Dm+")*12+($AJ10:$AM10="Dt+")*12+($AJ10:$AM10="Tm-")*6+($AJ10:$AM10="Mt-")*6)+SUMPRODUCT(($AN10:$AP10="M")*6+($AN10:$AP10="T")*6+($AN10:$AP10="D")*12+($AN10:$AP10="N")*12+($AN10:$AP10="NT")*6+($AN10:$AP10="C")*10+($AN10:$AP10="A")*8+($AN10:$AP10="J")*5+($AN10:$AP10="CEP")*4+($AN10:$AP10="CP")*6+($AN10:$AP10="CRO")*6+($AN10:$AP10="M+")*6+($AN10:$AP10="T+")*6+($AN10:$AP10="D+")*12+($AN10:$AP10="N+")*12+($AN10:$AP10="Dm+")*12+($AN10:$AP10="Dt+")*12+($AN10:$AP10="Tm-")*6+($AN10:$AP10="Mt-")*6)</f>
        <v/>
      </c>
      <c r="BC10" s="118">
        <f>BB10-MAX(0,IFERROR(INDEX(CADASTRO!$I$4:$I$80,MATCH($A10,CADASTRO!$A$4:$A$80,0)),$B10)-CONFIG!$B$50*(COUNTIF($AJ10:$AM10,"AB")+COUNTIF($AJ10:$AM10,"FE")+COUNTIF($AJ10:$AM10,"LM")+COUNTIF($AN10:$AP10,"AB")+COUNTIF($AN10:$AP10,"FE")+COUNTIF($AN10:$AP10,"LM")))</f>
        <v/>
      </c>
      <c r="BD10" s="117" t="n"/>
      <c r="BE10" s="118" t="n"/>
      <c r="BF10" s="117">
        <f>SUMPRODUCT(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G10" s="117">
        <f>SUMPRODUCT($I$4:$AM$4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H10" s="117">
        <f>SUMPRODUCT($I$5:$AM$5,(($I10:$AM10="N")+($I10:$AM10="N+")))</f>
        <v/>
      </c>
      <c r="BI10" s="117">
        <f>SUMPRODUCT($I$6:$AM$6,($I10:$AM10="M")*6+($I10:$AM10="T")*6+($I10:$AM10="D")*12+($I10:$AM10="N")*12+($I10:$AM10="NT")*6+($I10:$AM10="C")*10+($I10:$AM10="A")*8+($I10:$AM10="J")*5+($I10:$AM10="CEP")*4+($I10:$AM10="CP")*6+($I10:$AM10="CRO")*6+($I10:$AM10="M+")*6+($I10:$AM10="T+")*6+($I10:$AM10="D+")*12+($I10:$AM10="N+")*12+($I10:$AM10="Dm+")*12+($I10:$AM10="Dt+")*12+($I10:$AM10="Tm-")*6+($I10:$AM10="Mt-")*6)</f>
        <v/>
      </c>
      <c r="BJ10" s="117">
        <f>ROUND(B10*4.43,0)</f>
        <v/>
      </c>
      <c r="BK10" s="119">
        <f>BF10-BJ10</f>
        <v/>
      </c>
      <c r="BL10" s="120">
        <f>SUMPRODUCT((($C10:$AL10="N")+($C10:$AL10="N+"))*(($D10:$AM10="M")+($D10:$AM10="D")+($D10:$AM10="C")+($D10:$AM10="CEP")+($D10:$AM10="M+")+($D10:$AM10="D+")+($D10:$AM10="Dm+")+($D10:$AM10="Dt+")+($D10:$AM10="Mt-")))</f>
        <v/>
      </c>
      <c r="BM10" s="120">
        <f>SUMPRODUCT((($C10:$AL10="N")+($C10:$AL10="N+"))*(($D10:$AM10="T")+($D10:$AM10="T+")+($D10:$AM10="Tm-")))</f>
        <v/>
      </c>
      <c r="BN10" s="120">
        <f>IFERROR(INDEX(CONFIG!$B$44:$D$46,MATCH($B10,CONFIG!$A$44:$A$46,0),IF(COUNTIF($I10:$AM10,"FE")&gt;=10,1,IF(COUNTIF($I10:$AM10,"FE")&gt;=1,2,3))),"")</f>
        <v/>
      </c>
      <c r="BO10" s="120">
        <f>IF(BN10="","",MAX(0,BG10-BN10*CONFIG!$E$44))</f>
        <v/>
      </c>
      <c r="BP10" s="120">
        <f>MAX(AT10,AV10,AX10,AZ10,BB10,BD10)</f>
        <v/>
      </c>
      <c r="BQ10" s="121" t="inlineStr">
        <is>
          <t>2 · rotina</t>
        </is>
      </c>
      <c r="BR10" s="122" t="n">
        <v>7</v>
      </c>
      <c r="BS10" s="39" t="n"/>
    </row>
    <row r="11">
      <c r="A11" s="89" t="inlineStr">
        <is>
          <t>MSalomão</t>
        </is>
      </c>
      <c r="B11" s="107" t="n">
        <v>40</v>
      </c>
      <c r="C11" s="100" t="n"/>
      <c r="D11" s="100" t="n"/>
      <c r="E11" s="100" t="n"/>
      <c r="F11" s="100" t="n"/>
      <c r="G11" s="100" t="n"/>
      <c r="H11" s="136">
        <f>IFERROR(INDEX(NOV!AL$8:AL$73,MATCH($A11,NOV!$A$8:$A$73,0))&amp;"","")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14" t="n"/>
      <c r="AF11" s="114" t="n"/>
      <c r="AG11" s="114" t="n"/>
      <c r="AH11" s="114" t="n"/>
      <c r="AI11" s="114" t="n"/>
      <c r="AJ11" s="114" t="n"/>
      <c r="AK11" s="114" t="n"/>
      <c r="AL11" s="114" t="n"/>
      <c r="AM11" s="114" t="n"/>
      <c r="AN11" s="100" t="n"/>
      <c r="AO11" s="100" t="n"/>
      <c r="AP11" s="100" t="n"/>
      <c r="AQ11" s="100" t="n"/>
      <c r="AR11" s="100" t="n"/>
      <c r="AS11" s="100" t="n"/>
      <c r="AT11" s="117">
        <f>SUMPRODUCT(($H11:$N11="M")*6+($H11:$N11="T")*6+($H11:$N11="D")*12+($H11:$N11="N")*12+($H11:$N11="NT")*6+($H11:$N11="C")*10+($H11:$N11="A")*8+($H11:$N11="J")*5+($H11:$N11="CEP")*4+($H11:$N11="CP")*6+($H11:$N11="CRO")*6+($H11:$N11="M+")*6+($H11:$N11="T+")*6+($H11:$N11="D+")*12+($H11:$N11="N+")*12+($H11:$N11="Dm+")*12+($H11:$N11="Dt+")*12+($H11:$N11="Tm-")*6+($H11:$N11="Mt-")*6)</f>
        <v/>
      </c>
      <c r="AU11" s="118">
        <f>AT11-MAX(0,IFERROR(INDEX(CADASTRO!$I$4:$I$80,MATCH($A11,CADASTRO!$A$4:$A$80,0)),$B11)-CONFIG!$B$50*(COUNTIF($H11:$N11,"AB")+COUNTIF($H11:$N11,"FE")+COUNTIF($H11:$N11,"LM")))</f>
        <v/>
      </c>
      <c r="AV11" s="117">
        <f>SUMPRODUCT(($O11:$U11="M")*6+($O11:$U11="T")*6+($O11:$U11="D")*12+($O11:$U11="N")*12+($O11:$U11="NT")*6+($O11:$U11="C")*10+($O11:$U11="A")*8+($O11:$U11="J")*5+($O11:$U11="CEP")*4+($O11:$U11="CP")*6+($O11:$U11="CRO")*6+($O11:$U11="M+")*6+($O11:$U11="T+")*6+($O11:$U11="D+")*12+($O11:$U11="N+")*12+($O11:$U11="Dm+")*12+($O11:$U11="Dt+")*12+($O11:$U11="Tm-")*6+($O11:$U11="Mt-")*6)</f>
        <v/>
      </c>
      <c r="AW11" s="118">
        <f>AV11-MAX(0,IFERROR(INDEX(CADASTRO!$I$4:$I$80,MATCH($A11,CADASTRO!$A$4:$A$80,0)),$B11)-CONFIG!$B$50*(COUNTIF($O11:$U11,"AB")+COUNTIF($O11:$U11,"FE")+COUNTIF($O11:$U11,"LM")))</f>
        <v/>
      </c>
      <c r="AX11" s="117">
        <f>SUMPRODUCT(($V11:$AB11="M")*6+($V11:$AB11="T")*6+($V11:$AB11="D")*12+($V11:$AB11="N")*12+($V11:$AB11="NT")*6+($V11:$AB11="C")*10+($V11:$AB11="A")*8+($V11:$AB11="J")*5+($V11:$AB11="CEP")*4+($V11:$AB11="CP")*6+($V11:$AB11="CRO")*6+($V11:$AB11="M+")*6+($V11:$AB11="T+")*6+($V11:$AB11="D+")*12+($V11:$AB11="N+")*12+($V11:$AB11="Dm+")*12+($V11:$AB11="Dt+")*12+($V11:$AB11="Tm-")*6+($V11:$AB11="Mt-")*6)</f>
        <v/>
      </c>
      <c r="AY11" s="118">
        <f>AX11-MAX(0,IFERROR(INDEX(CADASTRO!$I$4:$I$80,MATCH($A11,CADASTRO!$A$4:$A$80,0)),$B11)-CONFIG!$B$50*(COUNTIF($V11:$AB11,"AB")+COUNTIF($V11:$AB11,"FE")+COUNTIF($V11:$AB11,"LM")))</f>
        <v/>
      </c>
      <c r="AZ11" s="117">
        <f>SUMPRODUCT(($AC11:$AI11="M")*6+($AC11:$AI11="T")*6+($AC11:$AI11="D")*12+($AC11:$AI11="N")*12+($AC11:$AI11="NT")*6+($AC11:$AI11="C")*10+($AC11:$AI11="A")*8+($AC11:$AI11="J")*5+($AC11:$AI11="CEP")*4+($AC11:$AI11="CP")*6+($AC11:$AI11="CRO")*6+($AC11:$AI11="M+")*6+($AC11:$AI11="T+")*6+($AC11:$AI11="D+")*12+($AC11:$AI11="N+")*12+($AC11:$AI11="Dm+")*12+($AC11:$AI11="Dt+")*12+($AC11:$AI11="Tm-")*6+($AC11:$AI11="Mt-")*6)</f>
        <v/>
      </c>
      <c r="BA11" s="118">
        <f>AZ11-MAX(0,IFERROR(INDEX(CADASTRO!$I$4:$I$80,MATCH($A11,CADASTRO!$A$4:$A$80,0)),$B11)-CONFIG!$B$50*(COUNTIF($AC11:$AI11,"AB")+COUNTIF($AC11:$AI11,"FE")+COUNTIF($AC11:$AI11,"LM")))</f>
        <v/>
      </c>
      <c r="BB11" s="117">
        <f>SUMPRODUCT(($AJ11:$AM11="M")*6+($AJ11:$AM11="T")*6+($AJ11:$AM11="D")*12+($AJ11:$AM11="N")*12+($AJ11:$AM11="NT")*6+($AJ11:$AM11="C")*10+($AJ11:$AM11="A")*8+($AJ11:$AM11="J")*5+($AJ11:$AM11="CEP")*4+($AJ11:$AM11="CP")*6+($AJ11:$AM11="CRO")*6+($AJ11:$AM11="M+")*6+($AJ11:$AM11="T+")*6+($AJ11:$AM11="D+")*12+($AJ11:$AM11="N+")*12+($AJ11:$AM11="Dm+")*12+($AJ11:$AM11="Dt+")*12+($AJ11:$AM11="Tm-")*6+($AJ11:$AM11="Mt-")*6)+SUMPRODUCT(($AN11:$AP11="M")*6+($AN11:$AP11="T")*6+($AN11:$AP11="D")*12+($AN11:$AP11="N")*12+($AN11:$AP11="NT")*6+($AN11:$AP11="C")*10+($AN11:$AP11="A")*8+($AN11:$AP11="J")*5+($AN11:$AP11="CEP")*4+($AN11:$AP11="CP")*6+($AN11:$AP11="CRO")*6+($AN11:$AP11="M+")*6+($AN11:$AP11="T+")*6+($AN11:$AP11="D+")*12+($AN11:$AP11="N+")*12+($AN11:$AP11="Dm+")*12+($AN11:$AP11="Dt+")*12+($AN11:$AP11="Tm-")*6+($AN11:$AP11="Mt-")*6)</f>
        <v/>
      </c>
      <c r="BC11" s="118">
        <f>BB11-MAX(0,IFERROR(INDEX(CADASTRO!$I$4:$I$80,MATCH($A11,CADASTRO!$A$4:$A$80,0)),$B11)-CONFIG!$B$50*(COUNTIF($AJ11:$AM11,"AB")+COUNTIF($AJ11:$AM11,"FE")+COUNTIF($AJ11:$AM11,"LM")+COUNTIF($AN11:$AP11,"AB")+COUNTIF($AN11:$AP11,"FE")+COUNTIF($AN11:$AP11,"LM")))</f>
        <v/>
      </c>
      <c r="BD11" s="117" t="n"/>
      <c r="BE11" s="118" t="n"/>
      <c r="BF11" s="117">
        <f>SUMPRODUCT(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G11" s="117">
        <f>SUMPRODUCT($I$4:$AM$4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H11" s="117">
        <f>SUMPRODUCT($I$5:$AM$5,(($I11:$AM11="N")+($I11:$AM11="N+")))</f>
        <v/>
      </c>
      <c r="BI11" s="117">
        <f>SUMPRODUCT($I$6:$AM$6,($I11:$AM11="M")*6+($I11:$AM11="T")*6+($I11:$AM11="D")*12+($I11:$AM11="N")*12+($I11:$AM11="NT")*6+($I11:$AM11="C")*10+($I11:$AM11="A")*8+($I11:$AM11="J")*5+($I11:$AM11="CEP")*4+($I11:$AM11="CP")*6+($I11:$AM11="CRO")*6+($I11:$AM11="M+")*6+($I11:$AM11="T+")*6+($I11:$AM11="D+")*12+($I11:$AM11="N+")*12+($I11:$AM11="Dm+")*12+($I11:$AM11="Dt+")*12+($I11:$AM11="Tm-")*6+($I11:$AM11="Mt-")*6)</f>
        <v/>
      </c>
      <c r="BJ11" s="117">
        <f>ROUND(B11*4.43,0)</f>
        <v/>
      </c>
      <c r="BK11" s="119">
        <f>BF11-BJ11</f>
        <v/>
      </c>
      <c r="BL11" s="120">
        <f>SUMPRODUCT((($C11:$AL11="N")+($C11:$AL11="N+"))*(($D11:$AM11="M")+($D11:$AM11="D")+($D11:$AM11="C")+($D11:$AM11="CEP")+($D11:$AM11="M+")+($D11:$AM11="D+")+($D11:$AM11="Dm+")+($D11:$AM11="Dt+")+($D11:$AM11="Mt-")))</f>
        <v/>
      </c>
      <c r="BM11" s="120">
        <f>SUMPRODUCT((($C11:$AL11="N")+($C11:$AL11="N+"))*(($D11:$AM11="T")+($D11:$AM11="T+")+($D11:$AM11="Tm-")))</f>
        <v/>
      </c>
      <c r="BN11" s="120">
        <f>IFERROR(INDEX(CONFIG!$B$44:$D$46,MATCH($B11,CONFIG!$A$44:$A$46,0),IF(COUNTIF($I11:$AM11,"FE")&gt;=10,1,IF(COUNTIF($I11:$AM11,"FE")&gt;=1,2,3))),"")</f>
        <v/>
      </c>
      <c r="BO11" s="120">
        <f>IF(BN11="","",MAX(0,BG11-BN11*CONFIG!$E$44))</f>
        <v/>
      </c>
      <c r="BP11" s="120">
        <f>MAX(AT11,AV11,AX11,AZ11,BB11,BD11)</f>
        <v/>
      </c>
      <c r="BQ11" s="121" t="inlineStr">
        <is>
          <t>2 · rotina</t>
        </is>
      </c>
      <c r="BR11" s="122" t="n">
        <v>7</v>
      </c>
      <c r="BS11" s="39" t="n"/>
    </row>
    <row r="12">
      <c r="A12" s="89" t="inlineStr">
        <is>
          <t>DebAlves</t>
        </is>
      </c>
      <c r="B12" s="107" t="n">
        <v>40</v>
      </c>
      <c r="C12" s="100" t="n"/>
      <c r="D12" s="100" t="n"/>
      <c r="E12" s="100" t="n"/>
      <c r="F12" s="100" t="n"/>
      <c r="G12" s="100" t="n"/>
      <c r="H12" s="136">
        <f>IFERROR(INDEX(NOV!AL$8:AL$73,MATCH($A12,NOV!$A$8:$A$73,0))&amp;"","")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  <c r="AB12" s="114" t="n"/>
      <c r="AC12" s="114" t="n"/>
      <c r="AD12" s="114" t="n"/>
      <c r="AE12" s="114" t="n"/>
      <c r="AF12" s="114" t="n"/>
      <c r="AG12" s="114" t="n"/>
      <c r="AH12" s="114" t="n"/>
      <c r="AI12" s="114" t="n"/>
      <c r="AJ12" s="114" t="n"/>
      <c r="AK12" s="114" t="n"/>
      <c r="AL12" s="114" t="n"/>
      <c r="AM12" s="114" t="n"/>
      <c r="AN12" s="100" t="n"/>
      <c r="AO12" s="100" t="n"/>
      <c r="AP12" s="100" t="n"/>
      <c r="AQ12" s="100" t="n"/>
      <c r="AR12" s="100" t="n"/>
      <c r="AS12" s="100" t="n"/>
      <c r="AT12" s="117">
        <f>SUMPRODUCT(($H12:$N12="M")*6+($H12:$N12="T")*6+($H12:$N12="D")*12+($H12:$N12="N")*12+($H12:$N12="NT")*6+($H12:$N12="C")*10+($H12:$N12="A")*8+($H12:$N12="J")*5+($H12:$N12="CEP")*4+($H12:$N12="CP")*6+($H12:$N12="CRO")*6+($H12:$N12="M+")*6+($H12:$N12="T+")*6+($H12:$N12="D+")*12+($H12:$N12="N+")*12+($H12:$N12="Dm+")*12+($H12:$N12="Dt+")*12+($H12:$N12="Tm-")*6+($H12:$N12="Mt-")*6)</f>
        <v/>
      </c>
      <c r="AU12" s="118">
        <f>AT12-MAX(0,IFERROR(INDEX(CADASTRO!$I$4:$I$80,MATCH($A12,CADASTRO!$A$4:$A$80,0)),$B12)-CONFIG!$B$50*(COUNTIF($H12:$N12,"AB")+COUNTIF($H12:$N12,"FE")+COUNTIF($H12:$N12,"LM")))</f>
        <v/>
      </c>
      <c r="AV12" s="117">
        <f>SUMPRODUCT(($O12:$U12="M")*6+($O12:$U12="T")*6+($O12:$U12="D")*12+($O12:$U12="N")*12+($O12:$U12="NT")*6+($O12:$U12="C")*10+($O12:$U12="A")*8+($O12:$U12="J")*5+($O12:$U12="CEP")*4+($O12:$U12="CP")*6+($O12:$U12="CRO")*6+($O12:$U12="M+")*6+($O12:$U12="T+")*6+($O12:$U12="D+")*12+($O12:$U12="N+")*12+($O12:$U12="Dm+")*12+($O12:$U12="Dt+")*12+($O12:$U12="Tm-")*6+($O12:$U12="Mt-")*6)</f>
        <v/>
      </c>
      <c r="AW12" s="118">
        <f>AV12-MAX(0,IFERROR(INDEX(CADASTRO!$I$4:$I$80,MATCH($A12,CADASTRO!$A$4:$A$80,0)),$B12)-CONFIG!$B$50*(COUNTIF($O12:$U12,"AB")+COUNTIF($O12:$U12,"FE")+COUNTIF($O12:$U12,"LM")))</f>
        <v/>
      </c>
      <c r="AX12" s="117">
        <f>SUMPRODUCT(($V12:$AB12="M")*6+($V12:$AB12="T")*6+($V12:$AB12="D")*12+($V12:$AB12="N")*12+($V12:$AB12="NT")*6+($V12:$AB12="C")*10+($V12:$AB12="A")*8+($V12:$AB12="J")*5+($V12:$AB12="CEP")*4+($V12:$AB12="CP")*6+($V12:$AB12="CRO")*6+($V12:$AB12="M+")*6+($V12:$AB12="T+")*6+($V12:$AB12="D+")*12+($V12:$AB12="N+")*12+($V12:$AB12="Dm+")*12+($V12:$AB12="Dt+")*12+($V12:$AB12="Tm-")*6+($V12:$AB12="Mt-")*6)</f>
        <v/>
      </c>
      <c r="AY12" s="118">
        <f>AX12-MAX(0,IFERROR(INDEX(CADASTRO!$I$4:$I$80,MATCH($A12,CADASTRO!$A$4:$A$80,0)),$B12)-CONFIG!$B$50*(COUNTIF($V12:$AB12,"AB")+COUNTIF($V12:$AB12,"FE")+COUNTIF($V12:$AB12,"LM")))</f>
        <v/>
      </c>
      <c r="AZ12" s="117">
        <f>SUMPRODUCT(($AC12:$AI12="M")*6+($AC12:$AI12="T")*6+($AC12:$AI12="D")*12+($AC12:$AI12="N")*12+($AC12:$AI12="NT")*6+($AC12:$AI12="C")*10+($AC12:$AI12="A")*8+($AC12:$AI12="J")*5+($AC12:$AI12="CEP")*4+($AC12:$AI12="CP")*6+($AC12:$AI12="CRO")*6+($AC12:$AI12="M+")*6+($AC12:$AI12="T+")*6+($AC12:$AI12="D+")*12+($AC12:$AI12="N+")*12+($AC12:$AI12="Dm+")*12+($AC12:$AI12="Dt+")*12+($AC12:$AI12="Tm-")*6+($AC12:$AI12="Mt-")*6)</f>
        <v/>
      </c>
      <c r="BA12" s="118">
        <f>AZ12-MAX(0,IFERROR(INDEX(CADASTRO!$I$4:$I$80,MATCH($A12,CADASTRO!$A$4:$A$80,0)),$B12)-CONFIG!$B$50*(COUNTIF($AC12:$AI12,"AB")+COUNTIF($AC12:$AI12,"FE")+COUNTIF($AC12:$AI12,"LM")))</f>
        <v/>
      </c>
      <c r="BB12" s="117">
        <f>SUMPRODUCT(($AJ12:$AM12="M")*6+($AJ12:$AM12="T")*6+($AJ12:$AM12="D")*12+($AJ12:$AM12="N")*12+($AJ12:$AM12="NT")*6+($AJ12:$AM12="C")*10+($AJ12:$AM12="A")*8+($AJ12:$AM12="J")*5+($AJ12:$AM12="CEP")*4+($AJ12:$AM12="CP")*6+($AJ12:$AM12="CRO")*6+($AJ12:$AM12="M+")*6+($AJ12:$AM12="T+")*6+($AJ12:$AM12="D+")*12+($AJ12:$AM12="N+")*12+($AJ12:$AM12="Dm+")*12+($AJ12:$AM12="Dt+")*12+($AJ12:$AM12="Tm-")*6+($AJ12:$AM12="Mt-")*6)+SUMPRODUCT(($AN12:$AP12="M")*6+($AN12:$AP12="T")*6+($AN12:$AP12="D")*12+($AN12:$AP12="N")*12+($AN12:$AP12="NT")*6+($AN12:$AP12="C")*10+($AN12:$AP12="A")*8+($AN12:$AP12="J")*5+($AN12:$AP12="CEP")*4+($AN12:$AP12="CP")*6+($AN12:$AP12="CRO")*6+($AN12:$AP12="M+")*6+($AN12:$AP12="T+")*6+($AN12:$AP12="D+")*12+($AN12:$AP12="N+")*12+($AN12:$AP12="Dm+")*12+($AN12:$AP12="Dt+")*12+($AN12:$AP12="Tm-")*6+($AN12:$AP12="Mt-")*6)</f>
        <v/>
      </c>
      <c r="BC12" s="118">
        <f>BB12-MAX(0,IFERROR(INDEX(CADASTRO!$I$4:$I$80,MATCH($A12,CADASTRO!$A$4:$A$80,0)),$B12)-CONFIG!$B$50*(COUNTIF($AJ12:$AM12,"AB")+COUNTIF($AJ12:$AM12,"FE")+COUNTIF($AJ12:$AM12,"LM")+COUNTIF($AN12:$AP12,"AB")+COUNTIF($AN12:$AP12,"FE")+COUNTIF($AN12:$AP12,"LM")))</f>
        <v/>
      </c>
      <c r="BD12" s="117" t="n"/>
      <c r="BE12" s="118" t="n"/>
      <c r="BF12" s="117">
        <f>SUMPRODUCT(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G12" s="117">
        <f>SUMPRODUCT($I$4:$AM$4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H12" s="117">
        <f>SUMPRODUCT($I$5:$AM$5,(($I12:$AM12="N")+($I12:$AM12="N+")))</f>
        <v/>
      </c>
      <c r="BI12" s="117">
        <f>SUMPRODUCT($I$6:$AM$6,($I12:$AM12="M")*6+($I12:$AM12="T")*6+($I12:$AM12="D")*12+($I12:$AM12="N")*12+($I12:$AM12="NT")*6+($I12:$AM12="C")*10+($I12:$AM12="A")*8+($I12:$AM12="J")*5+($I12:$AM12="CEP")*4+($I12:$AM12="CP")*6+($I12:$AM12="CRO")*6+($I12:$AM12="M+")*6+($I12:$AM12="T+")*6+($I12:$AM12="D+")*12+($I12:$AM12="N+")*12+($I12:$AM12="Dm+")*12+($I12:$AM12="Dt+")*12+($I12:$AM12="Tm-")*6+($I12:$AM12="Mt-")*6)</f>
        <v/>
      </c>
      <c r="BJ12" s="117">
        <f>ROUND(B12*4.43,0)</f>
        <v/>
      </c>
      <c r="BK12" s="119">
        <f>BF12-BJ12</f>
        <v/>
      </c>
      <c r="BL12" s="120">
        <f>SUMPRODUCT((($C12:$AL12="N")+($C12:$AL12="N+"))*(($D12:$AM12="M")+($D12:$AM12="D")+($D12:$AM12="C")+($D12:$AM12="CEP")+($D12:$AM12="M+")+($D12:$AM12="D+")+($D12:$AM12="Dm+")+($D12:$AM12="Dt+")+($D12:$AM12="Mt-")))</f>
        <v/>
      </c>
      <c r="BM12" s="120">
        <f>SUMPRODUCT((($C12:$AL12="N")+($C12:$AL12="N+"))*(($D12:$AM12="T")+($D12:$AM12="T+")+($D12:$AM12="Tm-")))</f>
        <v/>
      </c>
      <c r="BN12" s="120">
        <f>IFERROR(INDEX(CONFIG!$B$44:$D$46,MATCH($B12,CONFIG!$A$44:$A$46,0),IF(COUNTIF($I12:$AM12,"FE")&gt;=10,1,IF(COUNTIF($I12:$AM12,"FE")&gt;=1,2,3))),"")</f>
        <v/>
      </c>
      <c r="BO12" s="120">
        <f>IF(BN12="","",MAX(0,BG12-BN12*CONFIG!$E$44))</f>
        <v/>
      </c>
      <c r="BP12" s="120">
        <f>MAX(AT12,AV12,AX12,AZ12,BB12,BD12)</f>
        <v/>
      </c>
      <c r="BQ12" s="121" t="inlineStr">
        <is>
          <t>2 · rotina</t>
        </is>
      </c>
      <c r="BR12" s="122" t="n">
        <v>7</v>
      </c>
      <c r="BS12" s="39" t="n"/>
    </row>
    <row r="13">
      <c r="A13" s="89" t="inlineStr">
        <is>
          <t>Vinicius</t>
        </is>
      </c>
      <c r="B13" s="107" t="n">
        <v>36</v>
      </c>
      <c r="C13" s="100" t="n"/>
      <c r="D13" s="100" t="n"/>
      <c r="E13" s="100" t="n"/>
      <c r="F13" s="100" t="n"/>
      <c r="G13" s="100" t="n"/>
      <c r="H13" s="136">
        <f>IFERROR(INDEX(NOV!AL$8:AL$73,MATCH($A13,NOV!$A$8:$A$73,0))&amp;"","")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  <c r="AB13" s="114" t="n"/>
      <c r="AC13" s="114" t="n"/>
      <c r="AD13" s="114" t="n"/>
      <c r="AE13" s="114" t="n"/>
      <c r="AF13" s="114" t="n"/>
      <c r="AG13" s="114" t="n"/>
      <c r="AH13" s="114" t="n"/>
      <c r="AI13" s="114" t="n"/>
      <c r="AJ13" s="114" t="n"/>
      <c r="AK13" s="114" t="n"/>
      <c r="AL13" s="114" t="n"/>
      <c r="AM13" s="114" t="n"/>
      <c r="AN13" s="100" t="n"/>
      <c r="AO13" s="100" t="n"/>
      <c r="AP13" s="100" t="n"/>
      <c r="AQ13" s="100" t="n"/>
      <c r="AR13" s="100" t="n"/>
      <c r="AS13" s="100" t="n"/>
      <c r="AT13" s="117">
        <f>SUMPRODUCT(($H13:$N13="M")*6+($H13:$N13="T")*6+($H13:$N13="D")*12+($H13:$N13="N")*12+($H13:$N13="NT")*6+($H13:$N13="C")*10+($H13:$N13="A")*8+($H13:$N13="J")*5+($H13:$N13="CEP")*4+($H13:$N13="CP")*6+($H13:$N13="CRO")*6+($H13:$N13="M+")*6+($H13:$N13="T+")*6+($H13:$N13="D+")*12+($H13:$N13="N+")*12+($H13:$N13="Dm+")*12+($H13:$N13="Dt+")*12+($H13:$N13="Tm-")*6+($H13:$N13="Mt-")*6)</f>
        <v/>
      </c>
      <c r="AU13" s="118">
        <f>AT13-MAX(0,IFERROR(INDEX(CADASTRO!$I$4:$I$80,MATCH($A13,CADASTRO!$A$4:$A$80,0)),$B13)-CONFIG!$B$50*(COUNTIF($H13:$N13,"AB")+COUNTIF($H13:$N13,"FE")+COUNTIF($H13:$N13,"LM")))</f>
        <v/>
      </c>
      <c r="AV13" s="117">
        <f>SUMPRODUCT(($O13:$U13="M")*6+($O13:$U13="T")*6+($O13:$U13="D")*12+($O13:$U13="N")*12+($O13:$U13="NT")*6+($O13:$U13="C")*10+($O13:$U13="A")*8+($O13:$U13="J")*5+($O13:$U13="CEP")*4+($O13:$U13="CP")*6+($O13:$U13="CRO")*6+($O13:$U13="M+")*6+($O13:$U13="T+")*6+($O13:$U13="D+")*12+($O13:$U13="N+")*12+($O13:$U13="Dm+")*12+($O13:$U13="Dt+")*12+($O13:$U13="Tm-")*6+($O13:$U13="Mt-")*6)</f>
        <v/>
      </c>
      <c r="AW13" s="118">
        <f>AV13-MAX(0,IFERROR(INDEX(CADASTRO!$I$4:$I$80,MATCH($A13,CADASTRO!$A$4:$A$80,0)),$B13)-CONFIG!$B$50*(COUNTIF($O13:$U13,"AB")+COUNTIF($O13:$U13,"FE")+COUNTIF($O13:$U13,"LM")))</f>
        <v/>
      </c>
      <c r="AX13" s="117">
        <f>SUMPRODUCT(($V13:$AB13="M")*6+($V13:$AB13="T")*6+($V13:$AB13="D")*12+($V13:$AB13="N")*12+($V13:$AB13="NT")*6+($V13:$AB13="C")*10+($V13:$AB13="A")*8+($V13:$AB13="J")*5+($V13:$AB13="CEP")*4+($V13:$AB13="CP")*6+($V13:$AB13="CRO")*6+($V13:$AB13="M+")*6+($V13:$AB13="T+")*6+($V13:$AB13="D+")*12+($V13:$AB13="N+")*12+($V13:$AB13="Dm+")*12+($V13:$AB13="Dt+")*12+($V13:$AB13="Tm-")*6+($V13:$AB13="Mt-")*6)</f>
        <v/>
      </c>
      <c r="AY13" s="118">
        <f>AX13-MAX(0,IFERROR(INDEX(CADASTRO!$I$4:$I$80,MATCH($A13,CADASTRO!$A$4:$A$80,0)),$B13)-CONFIG!$B$50*(COUNTIF($V13:$AB13,"AB")+COUNTIF($V13:$AB13,"FE")+COUNTIF($V13:$AB13,"LM")))</f>
        <v/>
      </c>
      <c r="AZ13" s="117">
        <f>SUMPRODUCT(($AC13:$AI13="M")*6+($AC13:$AI13="T")*6+($AC13:$AI13="D")*12+($AC13:$AI13="N")*12+($AC13:$AI13="NT")*6+($AC13:$AI13="C")*10+($AC13:$AI13="A")*8+($AC13:$AI13="J")*5+($AC13:$AI13="CEP")*4+($AC13:$AI13="CP")*6+($AC13:$AI13="CRO")*6+($AC13:$AI13="M+")*6+($AC13:$AI13="T+")*6+($AC13:$AI13="D+")*12+($AC13:$AI13="N+")*12+($AC13:$AI13="Dm+")*12+($AC13:$AI13="Dt+")*12+($AC13:$AI13="Tm-")*6+($AC13:$AI13="Mt-")*6)</f>
        <v/>
      </c>
      <c r="BA13" s="118">
        <f>AZ13-MAX(0,IFERROR(INDEX(CADASTRO!$I$4:$I$80,MATCH($A13,CADASTRO!$A$4:$A$80,0)),$B13)-CONFIG!$B$50*(COUNTIF($AC13:$AI13,"AB")+COUNTIF($AC13:$AI13,"FE")+COUNTIF($AC13:$AI13,"LM")))</f>
        <v/>
      </c>
      <c r="BB13" s="117">
        <f>SUMPRODUCT(($AJ13:$AM13="M")*6+($AJ13:$AM13="T")*6+($AJ13:$AM13="D")*12+($AJ13:$AM13="N")*12+($AJ13:$AM13="NT")*6+($AJ13:$AM13="C")*10+($AJ13:$AM13="A")*8+($AJ13:$AM13="J")*5+($AJ13:$AM13="CEP")*4+($AJ13:$AM13="CP")*6+($AJ13:$AM13="CRO")*6+($AJ13:$AM13="M+")*6+($AJ13:$AM13="T+")*6+($AJ13:$AM13="D+")*12+($AJ13:$AM13="N+")*12+($AJ13:$AM13="Dm+")*12+($AJ13:$AM13="Dt+")*12+($AJ13:$AM13="Tm-")*6+($AJ13:$AM13="Mt-")*6)+SUMPRODUCT(($AN13:$AP13="M")*6+($AN13:$AP13="T")*6+($AN13:$AP13="D")*12+($AN13:$AP13="N")*12+($AN13:$AP13="NT")*6+($AN13:$AP13="C")*10+($AN13:$AP13="A")*8+($AN13:$AP13="J")*5+($AN13:$AP13="CEP")*4+($AN13:$AP13="CP")*6+($AN13:$AP13="CRO")*6+($AN13:$AP13="M+")*6+($AN13:$AP13="T+")*6+($AN13:$AP13="D+")*12+($AN13:$AP13="N+")*12+($AN13:$AP13="Dm+")*12+($AN13:$AP13="Dt+")*12+($AN13:$AP13="Tm-")*6+($AN13:$AP13="Mt-")*6)</f>
        <v/>
      </c>
      <c r="BC13" s="118">
        <f>BB13-MAX(0,IFERROR(INDEX(CADASTRO!$I$4:$I$80,MATCH($A13,CADASTRO!$A$4:$A$80,0)),$B13)-CONFIG!$B$50*(COUNTIF($AJ13:$AM13,"AB")+COUNTIF($AJ13:$AM13,"FE")+COUNTIF($AJ13:$AM13,"LM")+COUNTIF($AN13:$AP13,"AB")+COUNTIF($AN13:$AP13,"FE")+COUNTIF($AN13:$AP13,"LM")))</f>
        <v/>
      </c>
      <c r="BD13" s="117" t="n"/>
      <c r="BE13" s="118" t="n"/>
      <c r="BF13" s="117">
        <f>SUMPRODUCT(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G13" s="117">
        <f>SUMPRODUCT($I$4:$AM$4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H13" s="117">
        <f>SUMPRODUCT($I$5:$AM$5,(($I13:$AM13="N")+($I13:$AM13="N+")))</f>
        <v/>
      </c>
      <c r="BI13" s="117">
        <f>SUMPRODUCT($I$6:$AM$6,($I13:$AM13="M")*6+($I13:$AM13="T")*6+($I13:$AM13="D")*12+($I13:$AM13="N")*12+($I13:$AM13="NT")*6+($I13:$AM13="C")*10+($I13:$AM13="A")*8+($I13:$AM13="J")*5+($I13:$AM13="CEP")*4+($I13:$AM13="CP")*6+($I13:$AM13="CRO")*6+($I13:$AM13="M+")*6+($I13:$AM13="T+")*6+($I13:$AM13="D+")*12+($I13:$AM13="N+")*12+($I13:$AM13="Dm+")*12+($I13:$AM13="Dt+")*12+($I13:$AM13="Tm-")*6+($I13:$AM13="Mt-")*6)</f>
        <v/>
      </c>
      <c r="BJ13" s="117">
        <f>ROUND(B13*4.43,0)</f>
        <v/>
      </c>
      <c r="BK13" s="119">
        <f>BF13-BJ13</f>
        <v/>
      </c>
      <c r="BL13" s="120">
        <f>SUMPRODUCT((($C13:$AL13="N")+($C13:$AL13="N+"))*(($D13:$AM13="M")+($D13:$AM13="D")+($D13:$AM13="C")+($D13:$AM13="CEP")+($D13:$AM13="M+")+($D13:$AM13="D+")+($D13:$AM13="Dm+")+($D13:$AM13="Dt+")+($D13:$AM13="Mt-")))</f>
        <v/>
      </c>
      <c r="BM13" s="120">
        <f>SUMPRODUCT((($C13:$AL13="N")+($C13:$AL13="N+"))*(($D13:$AM13="T")+($D13:$AM13="T+")+($D13:$AM13="Tm-")))</f>
        <v/>
      </c>
      <c r="BN13" s="120">
        <f>IFERROR(INDEX(CONFIG!$B$44:$D$46,MATCH($B13,CONFIG!$A$44:$A$46,0),IF(COUNTIF($I13:$AM13,"FE")&gt;=10,1,IF(COUNTIF($I13:$AM13,"FE")&gt;=1,2,3))),"")</f>
        <v/>
      </c>
      <c r="BO13" s="120">
        <f>IF(BN13="","",MAX(0,BG13-BN13*CONFIG!$E$44))</f>
        <v/>
      </c>
      <c r="BP13" s="120">
        <f>MAX(AT13,AV13,AX13,AZ13,BB13,BD13)</f>
        <v/>
      </c>
      <c r="BQ13" s="121" t="inlineStr">
        <is>
          <t>2 · rotina</t>
        </is>
      </c>
      <c r="BR13" s="122" t="n">
        <v>7</v>
      </c>
      <c r="BS13" s="39" t="n"/>
    </row>
    <row r="14">
      <c r="A14" s="89" t="inlineStr">
        <is>
          <t>Amelio</t>
        </is>
      </c>
      <c r="B14" s="107" t="n">
        <v>36</v>
      </c>
      <c r="C14" s="100" t="n"/>
      <c r="D14" s="100" t="n"/>
      <c r="E14" s="100" t="n"/>
      <c r="F14" s="100" t="n"/>
      <c r="G14" s="100" t="n"/>
      <c r="H14" s="136">
        <f>IFERROR(INDEX(NOV!AL$8:AL$73,MATCH($A14,NOV!$A$8:$A$73,0))&amp;"","")</f>
        <v/>
      </c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  <c r="AB14" s="114" t="n"/>
      <c r="AC14" s="114" t="n"/>
      <c r="AD14" s="114" t="n"/>
      <c r="AE14" s="114" t="n"/>
      <c r="AF14" s="114" t="n"/>
      <c r="AG14" s="114" t="n"/>
      <c r="AH14" s="114" t="n"/>
      <c r="AI14" s="114" t="n"/>
      <c r="AJ14" s="114" t="n"/>
      <c r="AK14" s="114" t="n"/>
      <c r="AL14" s="114" t="n"/>
      <c r="AM14" s="114" t="n"/>
      <c r="AN14" s="100" t="n"/>
      <c r="AO14" s="100" t="n"/>
      <c r="AP14" s="100" t="n"/>
      <c r="AQ14" s="100" t="n"/>
      <c r="AR14" s="100" t="n"/>
      <c r="AS14" s="100" t="n"/>
      <c r="AT14" s="117">
        <f>SUMPRODUCT(($H14:$N14="M")*6+($H14:$N14="T")*6+($H14:$N14="D")*12+($H14:$N14="N")*12+($H14:$N14="NT")*6+($H14:$N14="C")*10+($H14:$N14="A")*8+($H14:$N14="J")*5+($H14:$N14="CEP")*4+($H14:$N14="CP")*6+($H14:$N14="CRO")*6+($H14:$N14="M+")*6+($H14:$N14="T+")*6+($H14:$N14="D+")*12+($H14:$N14="N+")*12+($H14:$N14="Dm+")*12+($H14:$N14="Dt+")*12+($H14:$N14="Tm-")*6+($H14:$N14="Mt-")*6)</f>
        <v/>
      </c>
      <c r="AU14" s="118">
        <f>AT14-MAX(0,IFERROR(INDEX(CADASTRO!$I$4:$I$80,MATCH($A14,CADASTRO!$A$4:$A$80,0)),$B14)-CONFIG!$B$50*(COUNTIF($H14:$N14,"AB")+COUNTIF($H14:$N14,"FE")+COUNTIF($H14:$N14,"LM")))</f>
        <v/>
      </c>
      <c r="AV14" s="117">
        <f>SUMPRODUCT(($O14:$U14="M")*6+($O14:$U14="T")*6+($O14:$U14="D")*12+($O14:$U14="N")*12+($O14:$U14="NT")*6+($O14:$U14="C")*10+($O14:$U14="A")*8+($O14:$U14="J")*5+($O14:$U14="CEP")*4+($O14:$U14="CP")*6+($O14:$U14="CRO")*6+($O14:$U14="M+")*6+($O14:$U14="T+")*6+($O14:$U14="D+")*12+($O14:$U14="N+")*12+($O14:$U14="Dm+")*12+($O14:$U14="Dt+")*12+($O14:$U14="Tm-")*6+($O14:$U14="Mt-")*6)</f>
        <v/>
      </c>
      <c r="AW14" s="118">
        <f>AV14-MAX(0,IFERROR(INDEX(CADASTRO!$I$4:$I$80,MATCH($A14,CADASTRO!$A$4:$A$80,0)),$B14)-CONFIG!$B$50*(COUNTIF($O14:$U14,"AB")+COUNTIF($O14:$U14,"FE")+COUNTIF($O14:$U14,"LM")))</f>
        <v/>
      </c>
      <c r="AX14" s="117">
        <f>SUMPRODUCT(($V14:$AB14="M")*6+($V14:$AB14="T")*6+($V14:$AB14="D")*12+($V14:$AB14="N")*12+($V14:$AB14="NT")*6+($V14:$AB14="C")*10+($V14:$AB14="A")*8+($V14:$AB14="J")*5+($V14:$AB14="CEP")*4+($V14:$AB14="CP")*6+($V14:$AB14="CRO")*6+($V14:$AB14="M+")*6+($V14:$AB14="T+")*6+($V14:$AB14="D+")*12+($V14:$AB14="N+")*12+($V14:$AB14="Dm+")*12+($V14:$AB14="Dt+")*12+($V14:$AB14="Tm-")*6+($V14:$AB14="Mt-")*6)</f>
        <v/>
      </c>
      <c r="AY14" s="118">
        <f>AX14-MAX(0,IFERROR(INDEX(CADASTRO!$I$4:$I$80,MATCH($A14,CADASTRO!$A$4:$A$80,0)),$B14)-CONFIG!$B$50*(COUNTIF($V14:$AB14,"AB")+COUNTIF($V14:$AB14,"FE")+COUNTIF($V14:$AB14,"LM")))</f>
        <v/>
      </c>
      <c r="AZ14" s="117">
        <f>SUMPRODUCT(($AC14:$AI14="M")*6+($AC14:$AI14="T")*6+($AC14:$AI14="D")*12+($AC14:$AI14="N")*12+($AC14:$AI14="NT")*6+($AC14:$AI14="C")*10+($AC14:$AI14="A")*8+($AC14:$AI14="J")*5+($AC14:$AI14="CEP")*4+($AC14:$AI14="CP")*6+($AC14:$AI14="CRO")*6+($AC14:$AI14="M+")*6+($AC14:$AI14="T+")*6+($AC14:$AI14="D+")*12+($AC14:$AI14="N+")*12+($AC14:$AI14="Dm+")*12+($AC14:$AI14="Dt+")*12+($AC14:$AI14="Tm-")*6+($AC14:$AI14="Mt-")*6)</f>
        <v/>
      </c>
      <c r="BA14" s="118">
        <f>AZ14-MAX(0,IFERROR(INDEX(CADASTRO!$I$4:$I$80,MATCH($A14,CADASTRO!$A$4:$A$80,0)),$B14)-CONFIG!$B$50*(COUNTIF($AC14:$AI14,"AB")+COUNTIF($AC14:$AI14,"FE")+COUNTIF($AC14:$AI14,"LM")))</f>
        <v/>
      </c>
      <c r="BB14" s="117">
        <f>SUMPRODUCT(($AJ14:$AM14="M")*6+($AJ14:$AM14="T")*6+($AJ14:$AM14="D")*12+($AJ14:$AM14="N")*12+($AJ14:$AM14="NT")*6+($AJ14:$AM14="C")*10+($AJ14:$AM14="A")*8+($AJ14:$AM14="J")*5+($AJ14:$AM14="CEP")*4+($AJ14:$AM14="CP")*6+($AJ14:$AM14="CRO")*6+($AJ14:$AM14="M+")*6+($AJ14:$AM14="T+")*6+($AJ14:$AM14="D+")*12+($AJ14:$AM14="N+")*12+($AJ14:$AM14="Dm+")*12+($AJ14:$AM14="Dt+")*12+($AJ14:$AM14="Tm-")*6+($AJ14:$AM14="Mt-")*6)+SUMPRODUCT(($AN14:$AP14="M")*6+($AN14:$AP14="T")*6+($AN14:$AP14="D")*12+($AN14:$AP14="N")*12+($AN14:$AP14="NT")*6+($AN14:$AP14="C")*10+($AN14:$AP14="A")*8+($AN14:$AP14="J")*5+($AN14:$AP14="CEP")*4+($AN14:$AP14="CP")*6+($AN14:$AP14="CRO")*6+($AN14:$AP14="M+")*6+($AN14:$AP14="T+")*6+($AN14:$AP14="D+")*12+($AN14:$AP14="N+")*12+($AN14:$AP14="Dm+")*12+($AN14:$AP14="Dt+")*12+($AN14:$AP14="Tm-")*6+($AN14:$AP14="Mt-")*6)</f>
        <v/>
      </c>
      <c r="BC14" s="118">
        <f>BB14-MAX(0,IFERROR(INDEX(CADASTRO!$I$4:$I$80,MATCH($A14,CADASTRO!$A$4:$A$80,0)),$B14)-CONFIG!$B$50*(COUNTIF($AJ14:$AM14,"AB")+COUNTIF($AJ14:$AM14,"FE")+COUNTIF($AJ14:$AM14,"LM")+COUNTIF($AN14:$AP14,"AB")+COUNTIF($AN14:$AP14,"FE")+COUNTIF($AN14:$AP14,"LM")))</f>
        <v/>
      </c>
      <c r="BD14" s="117" t="n"/>
      <c r="BE14" s="118" t="n"/>
      <c r="BF14" s="117">
        <f>SUMPRODUCT(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G14" s="117">
        <f>SUMPRODUCT($I$4:$AM$4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H14" s="117">
        <f>SUMPRODUCT($I$5:$AM$5,(($I14:$AM14="N")+($I14:$AM14="N+")))</f>
        <v/>
      </c>
      <c r="BI14" s="117">
        <f>SUMPRODUCT($I$6:$AM$6,($I14:$AM14="M")*6+($I14:$AM14="T")*6+($I14:$AM14="D")*12+($I14:$AM14="N")*12+($I14:$AM14="NT")*6+($I14:$AM14="C")*10+($I14:$AM14="A")*8+($I14:$AM14="J")*5+($I14:$AM14="CEP")*4+($I14:$AM14="CP")*6+($I14:$AM14="CRO")*6+($I14:$AM14="M+")*6+($I14:$AM14="T+")*6+($I14:$AM14="D+")*12+($I14:$AM14="N+")*12+($I14:$AM14="Dm+")*12+($I14:$AM14="Dt+")*12+($I14:$AM14="Tm-")*6+($I14:$AM14="Mt-")*6)</f>
        <v/>
      </c>
      <c r="BJ14" s="117">
        <f>ROUND(B14*4.43,0)</f>
        <v/>
      </c>
      <c r="BK14" s="119">
        <f>BF14-BJ14</f>
        <v/>
      </c>
      <c r="BL14" s="120">
        <f>SUMPRODUCT((($C14:$AL14="N")+($C14:$AL14="N+"))*(($D14:$AM14="M")+($D14:$AM14="D")+($D14:$AM14="C")+($D14:$AM14="CEP")+($D14:$AM14="M+")+($D14:$AM14="D+")+($D14:$AM14="Dm+")+($D14:$AM14="Dt+")+($D14:$AM14="Mt-")))</f>
        <v/>
      </c>
      <c r="BM14" s="120">
        <f>SUMPRODUCT((($C14:$AL14="N")+($C14:$AL14="N+"))*(($D14:$AM14="T")+($D14:$AM14="T+")+($D14:$AM14="Tm-")))</f>
        <v/>
      </c>
      <c r="BN14" s="120">
        <f>IFERROR(INDEX(CONFIG!$B$44:$D$46,MATCH($B14,CONFIG!$A$44:$A$46,0),IF(COUNTIF($I14:$AM14,"FE")&gt;=10,1,IF(COUNTIF($I14:$AM14,"FE")&gt;=1,2,3))),"")</f>
        <v/>
      </c>
      <c r="BO14" s="120">
        <f>IF(BN14="","",MAX(0,BG14-BN14*CONFIG!$E$44))</f>
        <v/>
      </c>
      <c r="BP14" s="120">
        <f>MAX(AT14,AV14,AX14,AZ14,BB14,BD14)</f>
        <v/>
      </c>
      <c r="BQ14" s="121" t="inlineStr">
        <is>
          <t>2 · rotina</t>
        </is>
      </c>
      <c r="BR14" s="122" t="n">
        <v>7</v>
      </c>
      <c r="BS14" s="39" t="n"/>
    </row>
    <row r="15">
      <c r="A15" s="89" t="inlineStr">
        <is>
          <t>Murilo</t>
        </is>
      </c>
      <c r="B15" s="107" t="n">
        <v>36</v>
      </c>
      <c r="C15" s="100" t="n"/>
      <c r="D15" s="100" t="n"/>
      <c r="E15" s="100" t="n"/>
      <c r="F15" s="100" t="n"/>
      <c r="G15" s="100" t="n"/>
      <c r="H15" s="136">
        <f>IFERROR(INDEX(NOV!AL$8:AL$73,MATCH($A15,NOV!$A$8:$A$73,0))&amp;"","")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  <c r="AH15" s="114" t="n"/>
      <c r="AI15" s="114" t="n"/>
      <c r="AJ15" s="114" t="n"/>
      <c r="AK15" s="114" t="n"/>
      <c r="AL15" s="114" t="n"/>
      <c r="AM15" s="114" t="n"/>
      <c r="AN15" s="100" t="n"/>
      <c r="AO15" s="100" t="n"/>
      <c r="AP15" s="100" t="n"/>
      <c r="AQ15" s="100" t="n"/>
      <c r="AR15" s="100" t="n"/>
      <c r="AS15" s="100" t="n"/>
      <c r="AT15" s="117">
        <f>SUMPRODUCT(($H15:$N15="M")*6+($H15:$N15="T")*6+($H15:$N15="D")*12+($H15:$N15="N")*12+($H15:$N15="NT")*6+($H15:$N15="C")*10+($H15:$N15="A")*8+($H15:$N15="J")*5+($H15:$N15="CEP")*4+($H15:$N15="CP")*6+($H15:$N15="CRO")*6+($H15:$N15="M+")*6+($H15:$N15="T+")*6+($H15:$N15="D+")*12+($H15:$N15="N+")*12+($H15:$N15="Dm+")*12+($H15:$N15="Dt+")*12+($H15:$N15="Tm-")*6+($H15:$N15="Mt-")*6)</f>
        <v/>
      </c>
      <c r="AU15" s="118">
        <f>AT15-MAX(0,IFERROR(INDEX(CADASTRO!$I$4:$I$80,MATCH($A15,CADASTRO!$A$4:$A$80,0)),$B15)-CONFIG!$B$50*(COUNTIF($H15:$N15,"AB")+COUNTIF($H15:$N15,"FE")+COUNTIF($H15:$N15,"LM")))</f>
        <v/>
      </c>
      <c r="AV15" s="117">
        <f>SUMPRODUCT(($O15:$U15="M")*6+($O15:$U15="T")*6+($O15:$U15="D")*12+($O15:$U15="N")*12+($O15:$U15="NT")*6+($O15:$U15="C")*10+($O15:$U15="A")*8+($O15:$U15="J")*5+($O15:$U15="CEP")*4+($O15:$U15="CP")*6+($O15:$U15="CRO")*6+($O15:$U15="M+")*6+($O15:$U15="T+")*6+($O15:$U15="D+")*12+($O15:$U15="N+")*12+($O15:$U15="Dm+")*12+($O15:$U15="Dt+")*12+($O15:$U15="Tm-")*6+($O15:$U15="Mt-")*6)</f>
        <v/>
      </c>
      <c r="AW15" s="118">
        <f>AV15-MAX(0,IFERROR(INDEX(CADASTRO!$I$4:$I$80,MATCH($A15,CADASTRO!$A$4:$A$80,0)),$B15)-CONFIG!$B$50*(COUNTIF($O15:$U15,"AB")+COUNTIF($O15:$U15,"FE")+COUNTIF($O15:$U15,"LM")))</f>
        <v/>
      </c>
      <c r="AX15" s="117">
        <f>SUMPRODUCT(($V15:$AB15="M")*6+($V15:$AB15="T")*6+($V15:$AB15="D")*12+($V15:$AB15="N")*12+($V15:$AB15="NT")*6+($V15:$AB15="C")*10+($V15:$AB15="A")*8+($V15:$AB15="J")*5+($V15:$AB15="CEP")*4+($V15:$AB15="CP")*6+($V15:$AB15="CRO")*6+($V15:$AB15="M+")*6+($V15:$AB15="T+")*6+($V15:$AB15="D+")*12+($V15:$AB15="N+")*12+($V15:$AB15="Dm+")*12+($V15:$AB15="Dt+")*12+($V15:$AB15="Tm-")*6+($V15:$AB15="Mt-")*6)</f>
        <v/>
      </c>
      <c r="AY15" s="118">
        <f>AX15-MAX(0,IFERROR(INDEX(CADASTRO!$I$4:$I$80,MATCH($A15,CADASTRO!$A$4:$A$80,0)),$B15)-CONFIG!$B$50*(COUNTIF($V15:$AB15,"AB")+COUNTIF($V15:$AB15,"FE")+COUNTIF($V15:$AB15,"LM")))</f>
        <v/>
      </c>
      <c r="AZ15" s="117">
        <f>SUMPRODUCT(($AC15:$AI15="M")*6+($AC15:$AI15="T")*6+($AC15:$AI15="D")*12+($AC15:$AI15="N")*12+($AC15:$AI15="NT")*6+($AC15:$AI15="C")*10+($AC15:$AI15="A")*8+($AC15:$AI15="J")*5+($AC15:$AI15="CEP")*4+($AC15:$AI15="CP")*6+($AC15:$AI15="CRO")*6+($AC15:$AI15="M+")*6+($AC15:$AI15="T+")*6+($AC15:$AI15="D+")*12+($AC15:$AI15="N+")*12+($AC15:$AI15="Dm+")*12+($AC15:$AI15="Dt+")*12+($AC15:$AI15="Tm-")*6+($AC15:$AI15="Mt-")*6)</f>
        <v/>
      </c>
      <c r="BA15" s="118">
        <f>AZ15-MAX(0,IFERROR(INDEX(CADASTRO!$I$4:$I$80,MATCH($A15,CADASTRO!$A$4:$A$80,0)),$B15)-CONFIG!$B$50*(COUNTIF($AC15:$AI15,"AB")+COUNTIF($AC15:$AI15,"FE")+COUNTIF($AC15:$AI15,"LM")))</f>
        <v/>
      </c>
      <c r="BB15" s="117">
        <f>SUMPRODUCT(($AJ15:$AM15="M")*6+($AJ15:$AM15="T")*6+($AJ15:$AM15="D")*12+($AJ15:$AM15="N")*12+($AJ15:$AM15="NT")*6+($AJ15:$AM15="C")*10+($AJ15:$AM15="A")*8+($AJ15:$AM15="J")*5+($AJ15:$AM15="CEP")*4+($AJ15:$AM15="CP")*6+($AJ15:$AM15="CRO")*6+($AJ15:$AM15="M+")*6+($AJ15:$AM15="T+")*6+($AJ15:$AM15="D+")*12+($AJ15:$AM15="N+")*12+($AJ15:$AM15="Dm+")*12+($AJ15:$AM15="Dt+")*12+($AJ15:$AM15="Tm-")*6+($AJ15:$AM15="Mt-")*6)+SUMPRODUCT(($AN15:$AP15="M")*6+($AN15:$AP15="T")*6+($AN15:$AP15="D")*12+($AN15:$AP15="N")*12+($AN15:$AP15="NT")*6+($AN15:$AP15="C")*10+($AN15:$AP15="A")*8+($AN15:$AP15="J")*5+($AN15:$AP15="CEP")*4+($AN15:$AP15="CP")*6+($AN15:$AP15="CRO")*6+($AN15:$AP15="M+")*6+($AN15:$AP15="T+")*6+($AN15:$AP15="D+")*12+($AN15:$AP15="N+")*12+($AN15:$AP15="Dm+")*12+($AN15:$AP15="Dt+")*12+($AN15:$AP15="Tm-")*6+($AN15:$AP15="Mt-")*6)</f>
        <v/>
      </c>
      <c r="BC15" s="118">
        <f>BB15-MAX(0,IFERROR(INDEX(CADASTRO!$I$4:$I$80,MATCH($A15,CADASTRO!$A$4:$A$80,0)),$B15)-CONFIG!$B$50*(COUNTIF($AJ15:$AM15,"AB")+COUNTIF($AJ15:$AM15,"FE")+COUNTIF($AJ15:$AM15,"LM")+COUNTIF($AN15:$AP15,"AB")+COUNTIF($AN15:$AP15,"FE")+COUNTIF($AN15:$AP15,"LM")))</f>
        <v/>
      </c>
      <c r="BD15" s="117" t="n"/>
      <c r="BE15" s="118" t="n"/>
      <c r="BF15" s="117">
        <f>SUMPRODUCT(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G15" s="117">
        <f>SUMPRODUCT($I$4:$AM$4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H15" s="117">
        <f>SUMPRODUCT($I$5:$AM$5,(($I15:$AM15="N")+($I15:$AM15="N+")))</f>
        <v/>
      </c>
      <c r="BI15" s="117">
        <f>SUMPRODUCT($I$6:$AM$6,($I15:$AM15="M")*6+($I15:$AM15="T")*6+($I15:$AM15="D")*12+($I15:$AM15="N")*12+($I15:$AM15="NT")*6+($I15:$AM15="C")*10+($I15:$AM15="A")*8+($I15:$AM15="J")*5+($I15:$AM15="CEP")*4+($I15:$AM15="CP")*6+($I15:$AM15="CRO")*6+($I15:$AM15="M+")*6+($I15:$AM15="T+")*6+($I15:$AM15="D+")*12+($I15:$AM15="N+")*12+($I15:$AM15="Dm+")*12+($I15:$AM15="Dt+")*12+($I15:$AM15="Tm-")*6+($I15:$AM15="Mt-")*6)</f>
        <v/>
      </c>
      <c r="BJ15" s="117">
        <f>ROUND(B15*4.43,0)</f>
        <v/>
      </c>
      <c r="BK15" s="119">
        <f>BF15-BJ15</f>
        <v/>
      </c>
      <c r="BL15" s="120">
        <f>SUMPRODUCT((($C15:$AL15="N")+($C15:$AL15="N+"))*(($D15:$AM15="M")+($D15:$AM15="D")+($D15:$AM15="C")+($D15:$AM15="CEP")+($D15:$AM15="M+")+($D15:$AM15="D+")+($D15:$AM15="Dm+")+($D15:$AM15="Dt+")+($D15:$AM15="Mt-")))</f>
        <v/>
      </c>
      <c r="BM15" s="120">
        <f>SUMPRODUCT((($C15:$AL15="N")+($C15:$AL15="N+"))*(($D15:$AM15="T")+($D15:$AM15="T+")+($D15:$AM15="Tm-")))</f>
        <v/>
      </c>
      <c r="BN15" s="120">
        <f>IFERROR(INDEX(CONFIG!$B$44:$D$46,MATCH($B15,CONFIG!$A$44:$A$46,0),IF(COUNTIF($I15:$AM15,"FE")&gt;=10,1,IF(COUNTIF($I15:$AM15,"FE")&gt;=1,2,3))),"")</f>
        <v/>
      </c>
      <c r="BO15" s="120">
        <f>IF(BN15="","",MAX(0,BG15-BN15*CONFIG!$E$44))</f>
        <v/>
      </c>
      <c r="BP15" s="120">
        <f>MAX(AT15,AV15,AX15,AZ15,BB15,BD15)</f>
        <v/>
      </c>
      <c r="BQ15" s="121" t="inlineStr">
        <is>
          <t>2 · rotina</t>
        </is>
      </c>
      <c r="BR15" s="122" t="n">
        <v>7</v>
      </c>
      <c r="BS15" s="39" t="n"/>
    </row>
    <row r="16">
      <c r="A16" s="89" t="inlineStr">
        <is>
          <t>Janaina</t>
        </is>
      </c>
      <c r="B16" s="107" t="n">
        <v>30</v>
      </c>
      <c r="C16" s="100" t="n"/>
      <c r="D16" s="100" t="n"/>
      <c r="E16" s="100" t="n"/>
      <c r="F16" s="100" t="n"/>
      <c r="G16" s="100" t="n"/>
      <c r="H16" s="136">
        <f>IFERROR(INDEX(NOV!AL$8:AL$73,MATCH($A16,NOV!$A$8:$A$73,0))&amp;"","")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4" t="n"/>
      <c r="AI16" s="114" t="n"/>
      <c r="AJ16" s="114" t="n"/>
      <c r="AK16" s="114" t="n"/>
      <c r="AL16" s="114" t="n"/>
      <c r="AM16" s="114" t="n"/>
      <c r="AN16" s="100" t="n"/>
      <c r="AO16" s="100" t="n"/>
      <c r="AP16" s="100" t="n"/>
      <c r="AQ16" s="100" t="n"/>
      <c r="AR16" s="100" t="n"/>
      <c r="AS16" s="100" t="n"/>
      <c r="AT16" s="117">
        <f>SUMPRODUCT(($H16:$N16="M")*6+($H16:$N16="T")*6+($H16:$N16="D")*12+($H16:$N16="N")*12+($H16:$N16="NT")*6+($H16:$N16="C")*10+($H16:$N16="A")*8+($H16:$N16="J")*5+($H16:$N16="CEP")*4+($H16:$N16="CP")*6+($H16:$N16="CRO")*6+($H16:$N16="M+")*6+($H16:$N16="T+")*6+($H16:$N16="D+")*12+($H16:$N16="N+")*12+($H16:$N16="Dm+")*12+($H16:$N16="Dt+")*12+($H16:$N16="Tm-")*6+($H16:$N16="Mt-")*6)</f>
        <v/>
      </c>
      <c r="AU16" s="118">
        <f>AT16-MAX(0,IFERROR(INDEX(CADASTRO!$I$4:$I$80,MATCH($A16,CADASTRO!$A$4:$A$80,0)),$B16)-CONFIG!$B$50*(COUNTIF($H16:$N16,"AB")+COUNTIF($H16:$N16,"FE")+COUNTIF($H16:$N16,"LM")))</f>
        <v/>
      </c>
      <c r="AV16" s="117">
        <f>SUMPRODUCT(($O16:$U16="M")*6+($O16:$U16="T")*6+($O16:$U16="D")*12+($O16:$U16="N")*12+($O16:$U16="NT")*6+($O16:$U16="C")*10+($O16:$U16="A")*8+($O16:$U16="J")*5+($O16:$U16="CEP")*4+($O16:$U16="CP")*6+($O16:$U16="CRO")*6+($O16:$U16="M+")*6+($O16:$U16="T+")*6+($O16:$U16="D+")*12+($O16:$U16="N+")*12+($O16:$U16="Dm+")*12+($O16:$U16="Dt+")*12+($O16:$U16="Tm-")*6+($O16:$U16="Mt-")*6)</f>
        <v/>
      </c>
      <c r="AW16" s="118">
        <f>AV16-MAX(0,IFERROR(INDEX(CADASTRO!$I$4:$I$80,MATCH($A16,CADASTRO!$A$4:$A$80,0)),$B16)-CONFIG!$B$50*(COUNTIF($O16:$U16,"AB")+COUNTIF($O16:$U16,"FE")+COUNTIF($O16:$U16,"LM")))</f>
        <v/>
      </c>
      <c r="AX16" s="117">
        <f>SUMPRODUCT(($V16:$AB16="M")*6+($V16:$AB16="T")*6+($V16:$AB16="D")*12+($V16:$AB16="N")*12+($V16:$AB16="NT")*6+($V16:$AB16="C")*10+($V16:$AB16="A")*8+($V16:$AB16="J")*5+($V16:$AB16="CEP")*4+($V16:$AB16="CP")*6+($V16:$AB16="CRO")*6+($V16:$AB16="M+")*6+($V16:$AB16="T+")*6+($V16:$AB16="D+")*12+($V16:$AB16="N+")*12+($V16:$AB16="Dm+")*12+($V16:$AB16="Dt+")*12+($V16:$AB16="Tm-")*6+($V16:$AB16="Mt-")*6)</f>
        <v/>
      </c>
      <c r="AY16" s="118">
        <f>AX16-MAX(0,IFERROR(INDEX(CADASTRO!$I$4:$I$80,MATCH($A16,CADASTRO!$A$4:$A$80,0)),$B16)-CONFIG!$B$50*(COUNTIF($V16:$AB16,"AB")+COUNTIF($V16:$AB16,"FE")+COUNTIF($V16:$AB16,"LM")))</f>
        <v/>
      </c>
      <c r="AZ16" s="117">
        <f>SUMPRODUCT(($AC16:$AI16="M")*6+($AC16:$AI16="T")*6+($AC16:$AI16="D")*12+($AC16:$AI16="N")*12+($AC16:$AI16="NT")*6+($AC16:$AI16="C")*10+($AC16:$AI16="A")*8+($AC16:$AI16="J")*5+($AC16:$AI16="CEP")*4+($AC16:$AI16="CP")*6+($AC16:$AI16="CRO")*6+($AC16:$AI16="M+")*6+($AC16:$AI16="T+")*6+($AC16:$AI16="D+")*12+($AC16:$AI16="N+")*12+($AC16:$AI16="Dm+")*12+($AC16:$AI16="Dt+")*12+($AC16:$AI16="Tm-")*6+($AC16:$AI16="Mt-")*6)</f>
        <v/>
      </c>
      <c r="BA16" s="118">
        <f>AZ16-MAX(0,IFERROR(INDEX(CADASTRO!$I$4:$I$80,MATCH($A16,CADASTRO!$A$4:$A$80,0)),$B16)-CONFIG!$B$50*(COUNTIF($AC16:$AI16,"AB")+COUNTIF($AC16:$AI16,"FE")+COUNTIF($AC16:$AI16,"LM")))</f>
        <v/>
      </c>
      <c r="BB16" s="117">
        <f>SUMPRODUCT(($AJ16:$AM16="M")*6+($AJ16:$AM16="T")*6+($AJ16:$AM16="D")*12+($AJ16:$AM16="N")*12+($AJ16:$AM16="NT")*6+($AJ16:$AM16="C")*10+($AJ16:$AM16="A")*8+($AJ16:$AM16="J")*5+($AJ16:$AM16="CEP")*4+($AJ16:$AM16="CP")*6+($AJ16:$AM16="CRO")*6+($AJ16:$AM16="M+")*6+($AJ16:$AM16="T+")*6+($AJ16:$AM16="D+")*12+($AJ16:$AM16="N+")*12+($AJ16:$AM16="Dm+")*12+($AJ16:$AM16="Dt+")*12+($AJ16:$AM16="Tm-")*6+($AJ16:$AM16="Mt-")*6)+SUMPRODUCT(($AN16:$AP16="M")*6+($AN16:$AP16="T")*6+($AN16:$AP16="D")*12+($AN16:$AP16="N")*12+($AN16:$AP16="NT")*6+($AN16:$AP16="C")*10+($AN16:$AP16="A")*8+($AN16:$AP16="J")*5+($AN16:$AP16="CEP")*4+($AN16:$AP16="CP")*6+($AN16:$AP16="CRO")*6+($AN16:$AP16="M+")*6+($AN16:$AP16="T+")*6+($AN16:$AP16="D+")*12+($AN16:$AP16="N+")*12+($AN16:$AP16="Dm+")*12+($AN16:$AP16="Dt+")*12+($AN16:$AP16="Tm-")*6+($AN16:$AP16="Mt-")*6)</f>
        <v/>
      </c>
      <c r="BC16" s="118">
        <f>BB16-MAX(0,IFERROR(INDEX(CADASTRO!$I$4:$I$80,MATCH($A16,CADASTRO!$A$4:$A$80,0)),$B16)-CONFIG!$B$50*(COUNTIF($AJ16:$AM16,"AB")+COUNTIF($AJ16:$AM16,"FE")+COUNTIF($AJ16:$AM16,"LM")+COUNTIF($AN16:$AP16,"AB")+COUNTIF($AN16:$AP16,"FE")+COUNTIF($AN16:$AP16,"LM")))</f>
        <v/>
      </c>
      <c r="BD16" s="117" t="n"/>
      <c r="BE16" s="118" t="n"/>
      <c r="BF16" s="117">
        <f>SUMPRODUCT(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G16" s="117">
        <f>SUMPRODUCT($I$4:$AM$4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H16" s="117">
        <f>SUMPRODUCT($I$5:$AM$5,(($I16:$AM16="N")+($I16:$AM16="N+")))</f>
        <v/>
      </c>
      <c r="BI16" s="117">
        <f>SUMPRODUCT($I$6:$AM$6,($I16:$AM16="M")*6+($I16:$AM16="T")*6+($I16:$AM16="D")*12+($I16:$AM16="N")*12+($I16:$AM16="NT")*6+($I16:$AM16="C")*10+($I16:$AM16="A")*8+($I16:$AM16="J")*5+($I16:$AM16="CEP")*4+($I16:$AM16="CP")*6+($I16:$AM16="CRO")*6+($I16:$AM16="M+")*6+($I16:$AM16="T+")*6+($I16:$AM16="D+")*12+($I16:$AM16="N+")*12+($I16:$AM16="Dm+")*12+($I16:$AM16="Dt+")*12+($I16:$AM16="Tm-")*6+($I16:$AM16="Mt-")*6)</f>
        <v/>
      </c>
      <c r="BJ16" s="117">
        <f>ROUND(B16*4.43,0)</f>
        <v/>
      </c>
      <c r="BK16" s="119">
        <f>BF16-BJ16</f>
        <v/>
      </c>
      <c r="BL16" s="120">
        <f>SUMPRODUCT((($C16:$AL16="N")+($C16:$AL16="N+"))*(($D16:$AM16="M")+($D16:$AM16="D")+($D16:$AM16="C")+($D16:$AM16="CEP")+($D16:$AM16="M+")+($D16:$AM16="D+")+($D16:$AM16="Dm+")+($D16:$AM16="Dt+")+($D16:$AM16="Mt-")))</f>
        <v/>
      </c>
      <c r="BM16" s="120">
        <f>SUMPRODUCT((($C16:$AL16="N")+($C16:$AL16="N+"))*(($D16:$AM16="T")+($D16:$AM16="T+")+($D16:$AM16="Tm-")))</f>
        <v/>
      </c>
      <c r="BN16" s="120">
        <f>IFERROR(INDEX(CONFIG!$B$44:$D$46,MATCH($B16,CONFIG!$A$44:$A$46,0),IF(COUNTIF($I16:$AM16,"FE")&gt;=10,1,IF(COUNTIF($I16:$AM16,"FE")&gt;=1,2,3))),"")</f>
        <v/>
      </c>
      <c r="BO16" s="120">
        <f>IF(BN16="","",MAX(0,BG16-BN16*CONFIG!$E$44))</f>
        <v/>
      </c>
      <c r="BP16" s="120">
        <f>MAX(AT16,AV16,AX16,AZ16,BB16,BD16)</f>
        <v/>
      </c>
      <c r="BQ16" s="121" t="inlineStr">
        <is>
          <t>3 · staff</t>
        </is>
      </c>
      <c r="BR16" s="122" t="n">
        <v>7</v>
      </c>
      <c r="BS16" s="39" t="n"/>
    </row>
    <row r="17">
      <c r="A17" s="89" t="inlineStr">
        <is>
          <t>Aline</t>
        </is>
      </c>
      <c r="B17" s="107" t="n">
        <v>40</v>
      </c>
      <c r="C17" s="100" t="n"/>
      <c r="D17" s="100" t="n"/>
      <c r="E17" s="100" t="n"/>
      <c r="F17" s="100" t="n"/>
      <c r="G17" s="100" t="n"/>
      <c r="H17" s="136">
        <f>IFERROR(INDEX(NOV!AL$8:AL$73,MATCH($A17,NOV!$A$8:$A$73,0))&amp;"","")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  <c r="AB17" s="114" t="n"/>
      <c r="AC17" s="114" t="n"/>
      <c r="AD17" s="114" t="n"/>
      <c r="AE17" s="114" t="n"/>
      <c r="AF17" s="114" t="n"/>
      <c r="AG17" s="114" t="n"/>
      <c r="AH17" s="114" t="n"/>
      <c r="AI17" s="114" t="n"/>
      <c r="AJ17" s="114" t="n"/>
      <c r="AK17" s="114" t="n"/>
      <c r="AL17" s="114" t="n"/>
      <c r="AM17" s="114" t="n"/>
      <c r="AN17" s="100" t="n"/>
      <c r="AO17" s="100" t="n"/>
      <c r="AP17" s="100" t="n"/>
      <c r="AQ17" s="100" t="n"/>
      <c r="AR17" s="100" t="n"/>
      <c r="AS17" s="100" t="n"/>
      <c r="AT17" s="117">
        <f>SUMPRODUCT(($H17:$N17="M")*6+($H17:$N17="T")*6+($H17:$N17="D")*12+($H17:$N17="N")*12+($H17:$N17="NT")*6+($H17:$N17="C")*10+($H17:$N17="A")*8+($H17:$N17="J")*5+($H17:$N17="CEP")*4+($H17:$N17="CP")*6+($H17:$N17="CRO")*6+($H17:$N17="M+")*6+($H17:$N17="T+")*6+($H17:$N17="D+")*12+($H17:$N17="N+")*12+($H17:$N17="Dm+")*12+($H17:$N17="Dt+")*12+($H17:$N17="Tm-")*6+($H17:$N17="Mt-")*6)</f>
        <v/>
      </c>
      <c r="AU17" s="118">
        <f>AT17-MAX(0,IFERROR(INDEX(CADASTRO!$I$4:$I$80,MATCH($A17,CADASTRO!$A$4:$A$80,0)),$B17)-CONFIG!$B$50*(COUNTIF($H17:$N17,"AB")+COUNTIF($H17:$N17,"FE")+COUNTIF($H17:$N17,"LM")))</f>
        <v/>
      </c>
      <c r="AV17" s="117">
        <f>SUMPRODUCT(($O17:$U17="M")*6+($O17:$U17="T")*6+($O17:$U17="D")*12+($O17:$U17="N")*12+($O17:$U17="NT")*6+($O17:$U17="C")*10+($O17:$U17="A")*8+($O17:$U17="J")*5+($O17:$U17="CEP")*4+($O17:$U17="CP")*6+($O17:$U17="CRO")*6+($O17:$U17="M+")*6+($O17:$U17="T+")*6+($O17:$U17="D+")*12+($O17:$U17="N+")*12+($O17:$U17="Dm+")*12+($O17:$U17="Dt+")*12+($O17:$U17="Tm-")*6+($O17:$U17="Mt-")*6)</f>
        <v/>
      </c>
      <c r="AW17" s="118">
        <f>AV17-MAX(0,IFERROR(INDEX(CADASTRO!$I$4:$I$80,MATCH($A17,CADASTRO!$A$4:$A$80,0)),$B17)-CONFIG!$B$50*(COUNTIF($O17:$U17,"AB")+COUNTIF($O17:$U17,"FE")+COUNTIF($O17:$U17,"LM")))</f>
        <v/>
      </c>
      <c r="AX17" s="117">
        <f>SUMPRODUCT(($V17:$AB17="M")*6+($V17:$AB17="T")*6+($V17:$AB17="D")*12+($V17:$AB17="N")*12+($V17:$AB17="NT")*6+($V17:$AB17="C")*10+($V17:$AB17="A")*8+($V17:$AB17="J")*5+($V17:$AB17="CEP")*4+($V17:$AB17="CP")*6+($V17:$AB17="CRO")*6+($V17:$AB17="M+")*6+($V17:$AB17="T+")*6+($V17:$AB17="D+")*12+($V17:$AB17="N+")*12+($V17:$AB17="Dm+")*12+($V17:$AB17="Dt+")*12+($V17:$AB17="Tm-")*6+($V17:$AB17="Mt-")*6)</f>
        <v/>
      </c>
      <c r="AY17" s="118">
        <f>AX17-MAX(0,IFERROR(INDEX(CADASTRO!$I$4:$I$80,MATCH($A17,CADASTRO!$A$4:$A$80,0)),$B17)-CONFIG!$B$50*(COUNTIF($V17:$AB17,"AB")+COUNTIF($V17:$AB17,"FE")+COUNTIF($V17:$AB17,"LM")))</f>
        <v/>
      </c>
      <c r="AZ17" s="117">
        <f>SUMPRODUCT(($AC17:$AI17="M")*6+($AC17:$AI17="T")*6+($AC17:$AI17="D")*12+($AC17:$AI17="N")*12+($AC17:$AI17="NT")*6+($AC17:$AI17="C")*10+($AC17:$AI17="A")*8+($AC17:$AI17="J")*5+($AC17:$AI17="CEP")*4+($AC17:$AI17="CP")*6+($AC17:$AI17="CRO")*6+($AC17:$AI17="M+")*6+($AC17:$AI17="T+")*6+($AC17:$AI17="D+")*12+($AC17:$AI17="N+")*12+($AC17:$AI17="Dm+")*12+($AC17:$AI17="Dt+")*12+($AC17:$AI17="Tm-")*6+($AC17:$AI17="Mt-")*6)</f>
        <v/>
      </c>
      <c r="BA17" s="118">
        <f>AZ17-MAX(0,IFERROR(INDEX(CADASTRO!$I$4:$I$80,MATCH($A17,CADASTRO!$A$4:$A$80,0)),$B17)-CONFIG!$B$50*(COUNTIF($AC17:$AI17,"AB")+COUNTIF($AC17:$AI17,"FE")+COUNTIF($AC17:$AI17,"LM")))</f>
        <v/>
      </c>
      <c r="BB17" s="117">
        <f>SUMPRODUCT(($AJ17:$AM17="M")*6+($AJ17:$AM17="T")*6+($AJ17:$AM17="D")*12+($AJ17:$AM17="N")*12+($AJ17:$AM17="NT")*6+($AJ17:$AM17="C")*10+($AJ17:$AM17="A")*8+($AJ17:$AM17="J")*5+($AJ17:$AM17="CEP")*4+($AJ17:$AM17="CP")*6+($AJ17:$AM17="CRO")*6+($AJ17:$AM17="M+")*6+($AJ17:$AM17="T+")*6+($AJ17:$AM17="D+")*12+($AJ17:$AM17="N+")*12+($AJ17:$AM17="Dm+")*12+($AJ17:$AM17="Dt+")*12+($AJ17:$AM17="Tm-")*6+($AJ17:$AM17="Mt-")*6)+SUMPRODUCT(($AN17:$AP17="M")*6+($AN17:$AP17="T")*6+($AN17:$AP17="D")*12+($AN17:$AP17="N")*12+($AN17:$AP17="NT")*6+($AN17:$AP17="C")*10+($AN17:$AP17="A")*8+($AN17:$AP17="J")*5+($AN17:$AP17="CEP")*4+($AN17:$AP17="CP")*6+($AN17:$AP17="CRO")*6+($AN17:$AP17="M+")*6+($AN17:$AP17="T+")*6+($AN17:$AP17="D+")*12+($AN17:$AP17="N+")*12+($AN17:$AP17="Dm+")*12+($AN17:$AP17="Dt+")*12+($AN17:$AP17="Tm-")*6+($AN17:$AP17="Mt-")*6)</f>
        <v/>
      </c>
      <c r="BC17" s="118">
        <f>BB17-MAX(0,IFERROR(INDEX(CADASTRO!$I$4:$I$80,MATCH($A17,CADASTRO!$A$4:$A$80,0)),$B17)-CONFIG!$B$50*(COUNTIF($AJ17:$AM17,"AB")+COUNTIF($AJ17:$AM17,"FE")+COUNTIF($AJ17:$AM17,"LM")+COUNTIF($AN17:$AP17,"AB")+COUNTIF($AN17:$AP17,"FE")+COUNTIF($AN17:$AP17,"LM")))</f>
        <v/>
      </c>
      <c r="BD17" s="117" t="n"/>
      <c r="BE17" s="118" t="n"/>
      <c r="BF17" s="117">
        <f>SUMPRODUCT(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G17" s="117">
        <f>SUMPRODUCT($I$4:$AM$4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H17" s="117">
        <f>SUMPRODUCT($I$5:$AM$5,(($I17:$AM17="N")+($I17:$AM17="N+")))</f>
        <v/>
      </c>
      <c r="BI17" s="117">
        <f>SUMPRODUCT($I$6:$AM$6,($I17:$AM17="M")*6+($I17:$AM17="T")*6+($I17:$AM17="D")*12+($I17:$AM17="N")*12+($I17:$AM17="NT")*6+($I17:$AM17="C")*10+($I17:$AM17="A")*8+($I17:$AM17="J")*5+($I17:$AM17="CEP")*4+($I17:$AM17="CP")*6+($I17:$AM17="CRO")*6+($I17:$AM17="M+")*6+($I17:$AM17="T+")*6+($I17:$AM17="D+")*12+($I17:$AM17="N+")*12+($I17:$AM17="Dm+")*12+($I17:$AM17="Dt+")*12+($I17:$AM17="Tm-")*6+($I17:$AM17="Mt-")*6)</f>
        <v/>
      </c>
      <c r="BJ17" s="117">
        <f>ROUND(B17*4.43,0)</f>
        <v/>
      </c>
      <c r="BK17" s="119">
        <f>BF17-BJ17</f>
        <v/>
      </c>
      <c r="BL17" s="120">
        <f>SUMPRODUCT((($C17:$AL17="N")+($C17:$AL17="N+"))*(($D17:$AM17="M")+($D17:$AM17="D")+($D17:$AM17="C")+($D17:$AM17="CEP")+($D17:$AM17="M+")+($D17:$AM17="D+")+($D17:$AM17="Dm+")+($D17:$AM17="Dt+")+($D17:$AM17="Mt-")))</f>
        <v/>
      </c>
      <c r="BM17" s="120">
        <f>SUMPRODUCT((($C17:$AL17="N")+($C17:$AL17="N+"))*(($D17:$AM17="T")+($D17:$AM17="T+")+($D17:$AM17="Tm-")))</f>
        <v/>
      </c>
      <c r="BN17" s="120">
        <f>IFERROR(INDEX(CONFIG!$B$44:$D$46,MATCH($B17,CONFIG!$A$44:$A$46,0),IF(COUNTIF($I17:$AM17,"FE")&gt;=10,1,IF(COUNTIF($I17:$AM17,"FE")&gt;=1,2,3))),"")</f>
        <v/>
      </c>
      <c r="BO17" s="120">
        <f>IF(BN17="","",MAX(0,BG17-BN17*CONFIG!$E$44))</f>
        <v/>
      </c>
      <c r="BP17" s="120">
        <f>MAX(AT17,AV17,AX17,AZ17,BB17,BD17)</f>
        <v/>
      </c>
      <c r="BQ17" s="121" t="inlineStr">
        <is>
          <t>3 · staff</t>
        </is>
      </c>
      <c r="BR17" s="122" t="n">
        <v>7</v>
      </c>
      <c r="BS17" s="39" t="n"/>
    </row>
    <row r="18">
      <c r="A18" s="89" t="inlineStr">
        <is>
          <t>CaAbreu</t>
        </is>
      </c>
      <c r="B18" s="107" t="n">
        <v>36</v>
      </c>
      <c r="C18" s="100" t="n"/>
      <c r="D18" s="100" t="n"/>
      <c r="E18" s="100" t="n"/>
      <c r="F18" s="100" t="n"/>
      <c r="G18" s="100" t="n"/>
      <c r="H18" s="136">
        <f>IFERROR(INDEX(NOV!AL$8:AL$73,MATCH($A18,NOV!$A$8:$A$73,0))&amp;"","")</f>
        <v/>
      </c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  <c r="AB18" s="114" t="n"/>
      <c r="AC18" s="114" t="n"/>
      <c r="AD18" s="114" t="n"/>
      <c r="AE18" s="114" t="n"/>
      <c r="AF18" s="114" t="n"/>
      <c r="AG18" s="114" t="n"/>
      <c r="AH18" s="114" t="n"/>
      <c r="AI18" s="114" t="n"/>
      <c r="AJ18" s="114" t="n"/>
      <c r="AK18" s="114" t="n"/>
      <c r="AL18" s="114" t="n"/>
      <c r="AM18" s="114" t="n"/>
      <c r="AN18" s="100" t="n"/>
      <c r="AO18" s="100" t="n"/>
      <c r="AP18" s="100" t="n"/>
      <c r="AQ18" s="100" t="n"/>
      <c r="AR18" s="100" t="n"/>
      <c r="AS18" s="100" t="n"/>
      <c r="AT18" s="117">
        <f>SUMPRODUCT(($H18:$N18="M")*6+($H18:$N18="T")*6+($H18:$N18="D")*12+($H18:$N18="N")*12+($H18:$N18="NT")*6+($H18:$N18="C")*10+($H18:$N18="A")*8+($H18:$N18="J")*5+($H18:$N18="CEP")*4+($H18:$N18="CP")*6+($H18:$N18="CRO")*6+($H18:$N18="M+")*6+($H18:$N18="T+")*6+($H18:$N18="D+")*12+($H18:$N18="N+")*12+($H18:$N18="Dm+")*12+($H18:$N18="Dt+")*12+($H18:$N18="Tm-")*6+($H18:$N18="Mt-")*6)</f>
        <v/>
      </c>
      <c r="AU18" s="118">
        <f>AT18-MAX(0,IFERROR(INDEX(CADASTRO!$I$4:$I$80,MATCH($A18,CADASTRO!$A$4:$A$80,0)),$B18)-CONFIG!$B$50*(COUNTIF($H18:$N18,"AB")+COUNTIF($H18:$N18,"FE")+COUNTIF($H18:$N18,"LM")))</f>
        <v/>
      </c>
      <c r="AV18" s="117">
        <f>SUMPRODUCT(($O18:$U18="M")*6+($O18:$U18="T")*6+($O18:$U18="D")*12+($O18:$U18="N")*12+($O18:$U18="NT")*6+($O18:$U18="C")*10+($O18:$U18="A")*8+($O18:$U18="J")*5+($O18:$U18="CEP")*4+($O18:$U18="CP")*6+($O18:$U18="CRO")*6+($O18:$U18="M+")*6+($O18:$U18="T+")*6+($O18:$U18="D+")*12+($O18:$U18="N+")*12+($O18:$U18="Dm+")*12+($O18:$U18="Dt+")*12+($O18:$U18="Tm-")*6+($O18:$U18="Mt-")*6)</f>
        <v/>
      </c>
      <c r="AW18" s="118">
        <f>AV18-MAX(0,IFERROR(INDEX(CADASTRO!$I$4:$I$80,MATCH($A18,CADASTRO!$A$4:$A$80,0)),$B18)-CONFIG!$B$50*(COUNTIF($O18:$U18,"AB")+COUNTIF($O18:$U18,"FE")+COUNTIF($O18:$U18,"LM")))</f>
        <v/>
      </c>
      <c r="AX18" s="117">
        <f>SUMPRODUCT(($V18:$AB18="M")*6+($V18:$AB18="T")*6+($V18:$AB18="D")*12+($V18:$AB18="N")*12+($V18:$AB18="NT")*6+($V18:$AB18="C")*10+($V18:$AB18="A")*8+($V18:$AB18="J")*5+($V18:$AB18="CEP")*4+($V18:$AB18="CP")*6+($V18:$AB18="CRO")*6+($V18:$AB18="M+")*6+($V18:$AB18="T+")*6+($V18:$AB18="D+")*12+($V18:$AB18="N+")*12+($V18:$AB18="Dm+")*12+($V18:$AB18="Dt+")*12+($V18:$AB18="Tm-")*6+($V18:$AB18="Mt-")*6)</f>
        <v/>
      </c>
      <c r="AY18" s="118">
        <f>AX18-MAX(0,IFERROR(INDEX(CADASTRO!$I$4:$I$80,MATCH($A18,CADASTRO!$A$4:$A$80,0)),$B18)-CONFIG!$B$50*(COUNTIF($V18:$AB18,"AB")+COUNTIF($V18:$AB18,"FE")+COUNTIF($V18:$AB18,"LM")))</f>
        <v/>
      </c>
      <c r="AZ18" s="117">
        <f>SUMPRODUCT(($AC18:$AI18="M")*6+($AC18:$AI18="T")*6+($AC18:$AI18="D")*12+($AC18:$AI18="N")*12+($AC18:$AI18="NT")*6+($AC18:$AI18="C")*10+($AC18:$AI18="A")*8+($AC18:$AI18="J")*5+($AC18:$AI18="CEP")*4+($AC18:$AI18="CP")*6+($AC18:$AI18="CRO")*6+($AC18:$AI18="M+")*6+($AC18:$AI18="T+")*6+($AC18:$AI18="D+")*12+($AC18:$AI18="N+")*12+($AC18:$AI18="Dm+")*12+($AC18:$AI18="Dt+")*12+($AC18:$AI18="Tm-")*6+($AC18:$AI18="Mt-")*6)</f>
        <v/>
      </c>
      <c r="BA18" s="118">
        <f>AZ18-MAX(0,IFERROR(INDEX(CADASTRO!$I$4:$I$80,MATCH($A18,CADASTRO!$A$4:$A$80,0)),$B18)-CONFIG!$B$50*(COUNTIF($AC18:$AI18,"AB")+COUNTIF($AC18:$AI18,"FE")+COUNTIF($AC18:$AI18,"LM")))</f>
        <v/>
      </c>
      <c r="BB18" s="117">
        <f>SUMPRODUCT(($AJ18:$AM18="M")*6+($AJ18:$AM18="T")*6+($AJ18:$AM18="D")*12+($AJ18:$AM18="N")*12+($AJ18:$AM18="NT")*6+($AJ18:$AM18="C")*10+($AJ18:$AM18="A")*8+($AJ18:$AM18="J")*5+($AJ18:$AM18="CEP")*4+($AJ18:$AM18="CP")*6+($AJ18:$AM18="CRO")*6+($AJ18:$AM18="M+")*6+($AJ18:$AM18="T+")*6+($AJ18:$AM18="D+")*12+($AJ18:$AM18="N+")*12+($AJ18:$AM18="Dm+")*12+($AJ18:$AM18="Dt+")*12+($AJ18:$AM18="Tm-")*6+($AJ18:$AM18="Mt-")*6)+SUMPRODUCT(($AN18:$AP18="M")*6+($AN18:$AP18="T")*6+($AN18:$AP18="D")*12+($AN18:$AP18="N")*12+($AN18:$AP18="NT")*6+($AN18:$AP18="C")*10+($AN18:$AP18="A")*8+($AN18:$AP18="J")*5+($AN18:$AP18="CEP")*4+($AN18:$AP18="CP")*6+($AN18:$AP18="CRO")*6+($AN18:$AP18="M+")*6+($AN18:$AP18="T+")*6+($AN18:$AP18="D+")*12+($AN18:$AP18="N+")*12+($AN18:$AP18="Dm+")*12+($AN18:$AP18="Dt+")*12+($AN18:$AP18="Tm-")*6+($AN18:$AP18="Mt-")*6)</f>
        <v/>
      </c>
      <c r="BC18" s="118">
        <f>BB18-MAX(0,IFERROR(INDEX(CADASTRO!$I$4:$I$80,MATCH($A18,CADASTRO!$A$4:$A$80,0)),$B18)-CONFIG!$B$50*(COUNTIF($AJ18:$AM18,"AB")+COUNTIF($AJ18:$AM18,"FE")+COUNTIF($AJ18:$AM18,"LM")+COUNTIF($AN18:$AP18,"AB")+COUNTIF($AN18:$AP18,"FE")+COUNTIF($AN18:$AP18,"LM")))</f>
        <v/>
      </c>
      <c r="BD18" s="117" t="n"/>
      <c r="BE18" s="118" t="n"/>
      <c r="BF18" s="117">
        <f>SUMPRODUCT(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G18" s="117">
        <f>SUMPRODUCT($I$4:$AM$4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H18" s="117">
        <f>SUMPRODUCT($I$5:$AM$5,(($I18:$AM18="N")+($I18:$AM18="N+")))</f>
        <v/>
      </c>
      <c r="BI18" s="117">
        <f>SUMPRODUCT($I$6:$AM$6,($I18:$AM18="M")*6+($I18:$AM18="T")*6+($I18:$AM18="D")*12+($I18:$AM18="N")*12+($I18:$AM18="NT")*6+($I18:$AM18="C")*10+($I18:$AM18="A")*8+($I18:$AM18="J")*5+($I18:$AM18="CEP")*4+($I18:$AM18="CP")*6+($I18:$AM18="CRO")*6+($I18:$AM18="M+")*6+($I18:$AM18="T+")*6+($I18:$AM18="D+")*12+($I18:$AM18="N+")*12+($I18:$AM18="Dm+")*12+($I18:$AM18="Dt+")*12+($I18:$AM18="Tm-")*6+($I18:$AM18="Mt-")*6)</f>
        <v/>
      </c>
      <c r="BJ18" s="117">
        <f>ROUND(B18*4.43,0)</f>
        <v/>
      </c>
      <c r="BK18" s="119">
        <f>BF18-BJ18</f>
        <v/>
      </c>
      <c r="BL18" s="120">
        <f>SUMPRODUCT((($C18:$AL18="N")+($C18:$AL18="N+"))*(($D18:$AM18="M")+($D18:$AM18="D")+($D18:$AM18="C")+($D18:$AM18="CEP")+($D18:$AM18="M+")+($D18:$AM18="D+")+($D18:$AM18="Dm+")+($D18:$AM18="Dt+")+($D18:$AM18="Mt-")))</f>
        <v/>
      </c>
      <c r="BM18" s="120">
        <f>SUMPRODUCT((($C18:$AL18="N")+($C18:$AL18="N+"))*(($D18:$AM18="T")+($D18:$AM18="T+")+($D18:$AM18="Tm-")))</f>
        <v/>
      </c>
      <c r="BN18" s="120">
        <f>IFERROR(INDEX(CONFIG!$B$44:$D$46,MATCH($B18,CONFIG!$A$44:$A$46,0),IF(COUNTIF($I18:$AM18,"FE")&gt;=10,1,IF(COUNTIF($I18:$AM18,"FE")&gt;=1,2,3))),"")</f>
        <v/>
      </c>
      <c r="BO18" s="120">
        <f>IF(BN18="","",MAX(0,BG18-BN18*CONFIG!$E$44))</f>
        <v/>
      </c>
      <c r="BP18" s="120">
        <f>MAX(AT18,AV18,AX18,AZ18,BB18,BD18)</f>
        <v/>
      </c>
      <c r="BQ18" s="121" t="inlineStr">
        <is>
          <t>3 · staff</t>
        </is>
      </c>
      <c r="BR18" s="122" t="n">
        <v>7</v>
      </c>
      <c r="BS18" s="39" t="n"/>
    </row>
    <row r="19">
      <c r="A19" s="89" t="inlineStr">
        <is>
          <t>Danielle</t>
        </is>
      </c>
      <c r="B19" s="107" t="n">
        <v>36</v>
      </c>
      <c r="C19" s="100" t="n"/>
      <c r="D19" s="100" t="n"/>
      <c r="E19" s="100" t="n"/>
      <c r="F19" s="100" t="n"/>
      <c r="G19" s="100" t="n"/>
      <c r="H19" s="136">
        <f>IFERROR(INDEX(NOV!AL$8:AL$73,MATCH($A19,NOV!$A$8:$A$73,0))&amp;"","")</f>
        <v/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4" t="n"/>
      <c r="AF19" s="114" t="n"/>
      <c r="AG19" s="114" t="n"/>
      <c r="AH19" s="114" t="n"/>
      <c r="AI19" s="114" t="n"/>
      <c r="AJ19" s="114" t="n"/>
      <c r="AK19" s="114" t="n"/>
      <c r="AL19" s="114" t="n"/>
      <c r="AM19" s="114" t="n"/>
      <c r="AN19" s="100" t="n"/>
      <c r="AO19" s="100" t="n"/>
      <c r="AP19" s="100" t="n"/>
      <c r="AQ19" s="100" t="n"/>
      <c r="AR19" s="100" t="n"/>
      <c r="AS19" s="100" t="n"/>
      <c r="AT19" s="117">
        <f>SUMPRODUCT(($H19:$N19="M")*6+($H19:$N19="T")*6+($H19:$N19="D")*12+($H19:$N19="N")*12+($H19:$N19="NT")*6+($H19:$N19="C")*10+($H19:$N19="A")*8+($H19:$N19="J")*5+($H19:$N19="CEP")*4+($H19:$N19="CP")*6+($H19:$N19="CRO")*6+($H19:$N19="M+")*6+($H19:$N19="T+")*6+($H19:$N19="D+")*12+($H19:$N19="N+")*12+($H19:$N19="Dm+")*12+($H19:$N19="Dt+")*12+($H19:$N19="Tm-")*6+($H19:$N19="Mt-")*6)</f>
        <v/>
      </c>
      <c r="AU19" s="118">
        <f>AT19-MAX(0,IFERROR(INDEX(CADASTRO!$I$4:$I$80,MATCH($A19,CADASTRO!$A$4:$A$80,0)),$B19)-CONFIG!$B$50*(COUNTIF($H19:$N19,"AB")+COUNTIF($H19:$N19,"FE")+COUNTIF($H19:$N19,"LM")))</f>
        <v/>
      </c>
      <c r="AV19" s="117">
        <f>SUMPRODUCT(($O19:$U19="M")*6+($O19:$U19="T")*6+($O19:$U19="D")*12+($O19:$U19="N")*12+($O19:$U19="NT")*6+($O19:$U19="C")*10+($O19:$U19="A")*8+($O19:$U19="J")*5+($O19:$U19="CEP")*4+($O19:$U19="CP")*6+($O19:$U19="CRO")*6+($O19:$U19="M+")*6+($O19:$U19="T+")*6+($O19:$U19="D+")*12+($O19:$U19="N+")*12+($O19:$U19="Dm+")*12+($O19:$U19="Dt+")*12+($O19:$U19="Tm-")*6+($O19:$U19="Mt-")*6)</f>
        <v/>
      </c>
      <c r="AW19" s="118">
        <f>AV19-MAX(0,IFERROR(INDEX(CADASTRO!$I$4:$I$80,MATCH($A19,CADASTRO!$A$4:$A$80,0)),$B19)-CONFIG!$B$50*(COUNTIF($O19:$U19,"AB")+COUNTIF($O19:$U19,"FE")+COUNTIF($O19:$U19,"LM")))</f>
        <v/>
      </c>
      <c r="AX19" s="117">
        <f>SUMPRODUCT(($V19:$AB19="M")*6+($V19:$AB19="T")*6+($V19:$AB19="D")*12+($V19:$AB19="N")*12+($V19:$AB19="NT")*6+($V19:$AB19="C")*10+($V19:$AB19="A")*8+($V19:$AB19="J")*5+($V19:$AB19="CEP")*4+($V19:$AB19="CP")*6+($V19:$AB19="CRO")*6+($V19:$AB19="M+")*6+($V19:$AB19="T+")*6+($V19:$AB19="D+")*12+($V19:$AB19="N+")*12+($V19:$AB19="Dm+")*12+($V19:$AB19="Dt+")*12+($V19:$AB19="Tm-")*6+($V19:$AB19="Mt-")*6)</f>
        <v/>
      </c>
      <c r="AY19" s="118">
        <f>AX19-MAX(0,IFERROR(INDEX(CADASTRO!$I$4:$I$80,MATCH($A19,CADASTRO!$A$4:$A$80,0)),$B19)-CONFIG!$B$50*(COUNTIF($V19:$AB19,"AB")+COUNTIF($V19:$AB19,"FE")+COUNTIF($V19:$AB19,"LM")))</f>
        <v/>
      </c>
      <c r="AZ19" s="117">
        <f>SUMPRODUCT(($AC19:$AI19="M")*6+($AC19:$AI19="T")*6+($AC19:$AI19="D")*12+($AC19:$AI19="N")*12+($AC19:$AI19="NT")*6+($AC19:$AI19="C")*10+($AC19:$AI19="A")*8+($AC19:$AI19="J")*5+($AC19:$AI19="CEP")*4+($AC19:$AI19="CP")*6+($AC19:$AI19="CRO")*6+($AC19:$AI19="M+")*6+($AC19:$AI19="T+")*6+($AC19:$AI19="D+")*12+($AC19:$AI19="N+")*12+($AC19:$AI19="Dm+")*12+($AC19:$AI19="Dt+")*12+($AC19:$AI19="Tm-")*6+($AC19:$AI19="Mt-")*6)</f>
        <v/>
      </c>
      <c r="BA19" s="118">
        <f>AZ19-MAX(0,IFERROR(INDEX(CADASTRO!$I$4:$I$80,MATCH($A19,CADASTRO!$A$4:$A$80,0)),$B19)-CONFIG!$B$50*(COUNTIF($AC19:$AI19,"AB")+COUNTIF($AC19:$AI19,"FE")+COUNTIF($AC19:$AI19,"LM")))</f>
        <v/>
      </c>
      <c r="BB19" s="117">
        <f>SUMPRODUCT(($AJ19:$AM19="M")*6+($AJ19:$AM19="T")*6+($AJ19:$AM19="D")*12+($AJ19:$AM19="N")*12+($AJ19:$AM19="NT")*6+($AJ19:$AM19="C")*10+($AJ19:$AM19="A")*8+($AJ19:$AM19="J")*5+($AJ19:$AM19="CEP")*4+($AJ19:$AM19="CP")*6+($AJ19:$AM19="CRO")*6+($AJ19:$AM19="M+")*6+($AJ19:$AM19="T+")*6+($AJ19:$AM19="D+")*12+($AJ19:$AM19="N+")*12+($AJ19:$AM19="Dm+")*12+($AJ19:$AM19="Dt+")*12+($AJ19:$AM19="Tm-")*6+($AJ19:$AM19="Mt-")*6)+SUMPRODUCT(($AN19:$AP19="M")*6+($AN19:$AP19="T")*6+($AN19:$AP19="D")*12+($AN19:$AP19="N")*12+($AN19:$AP19="NT")*6+($AN19:$AP19="C")*10+($AN19:$AP19="A")*8+($AN19:$AP19="J")*5+($AN19:$AP19="CEP")*4+($AN19:$AP19="CP")*6+($AN19:$AP19="CRO")*6+($AN19:$AP19="M+")*6+($AN19:$AP19="T+")*6+($AN19:$AP19="D+")*12+($AN19:$AP19="N+")*12+($AN19:$AP19="Dm+")*12+($AN19:$AP19="Dt+")*12+($AN19:$AP19="Tm-")*6+($AN19:$AP19="Mt-")*6)</f>
        <v/>
      </c>
      <c r="BC19" s="118">
        <f>BB19-MAX(0,IFERROR(INDEX(CADASTRO!$I$4:$I$80,MATCH($A19,CADASTRO!$A$4:$A$80,0)),$B19)-CONFIG!$B$50*(COUNTIF($AJ19:$AM19,"AB")+COUNTIF($AJ19:$AM19,"FE")+COUNTIF($AJ19:$AM19,"LM")+COUNTIF($AN19:$AP19,"AB")+COUNTIF($AN19:$AP19,"FE")+COUNTIF($AN19:$AP19,"LM")))</f>
        <v/>
      </c>
      <c r="BD19" s="117" t="n"/>
      <c r="BE19" s="118" t="n"/>
      <c r="BF19" s="117">
        <f>SUMPRODUCT(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G19" s="117">
        <f>SUMPRODUCT($I$4:$AM$4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H19" s="117">
        <f>SUMPRODUCT($I$5:$AM$5,(($I19:$AM19="N")+($I19:$AM19="N+")))</f>
        <v/>
      </c>
      <c r="BI19" s="117">
        <f>SUMPRODUCT($I$6:$AM$6,($I19:$AM19="M")*6+($I19:$AM19="T")*6+($I19:$AM19="D")*12+($I19:$AM19="N")*12+($I19:$AM19="NT")*6+($I19:$AM19="C")*10+($I19:$AM19="A")*8+($I19:$AM19="J")*5+($I19:$AM19="CEP")*4+($I19:$AM19="CP")*6+($I19:$AM19="CRO")*6+($I19:$AM19="M+")*6+($I19:$AM19="T+")*6+($I19:$AM19="D+")*12+($I19:$AM19="N+")*12+($I19:$AM19="Dm+")*12+($I19:$AM19="Dt+")*12+($I19:$AM19="Tm-")*6+($I19:$AM19="Mt-")*6)</f>
        <v/>
      </c>
      <c r="BJ19" s="117">
        <f>ROUND(B19*4.43,0)</f>
        <v/>
      </c>
      <c r="BK19" s="119">
        <f>BF19-BJ19</f>
        <v/>
      </c>
      <c r="BL19" s="120">
        <f>SUMPRODUCT((($C19:$AL19="N")+($C19:$AL19="N+"))*(($D19:$AM19="M")+($D19:$AM19="D")+($D19:$AM19="C")+($D19:$AM19="CEP")+($D19:$AM19="M+")+($D19:$AM19="D+")+($D19:$AM19="Dm+")+($D19:$AM19="Dt+")+($D19:$AM19="Mt-")))</f>
        <v/>
      </c>
      <c r="BM19" s="120">
        <f>SUMPRODUCT((($C19:$AL19="N")+($C19:$AL19="N+"))*(($D19:$AM19="T")+($D19:$AM19="T+")+($D19:$AM19="Tm-")))</f>
        <v/>
      </c>
      <c r="BN19" s="120">
        <f>IFERROR(INDEX(CONFIG!$B$44:$D$46,MATCH($B19,CONFIG!$A$44:$A$46,0),IF(COUNTIF($I19:$AM19,"FE")&gt;=10,1,IF(COUNTIF($I19:$AM19,"FE")&gt;=1,2,3))),"")</f>
        <v/>
      </c>
      <c r="BO19" s="120">
        <f>IF(BN19="","",MAX(0,BG19-BN19*CONFIG!$E$44))</f>
        <v/>
      </c>
      <c r="BP19" s="120">
        <f>MAX(AT19,AV19,AX19,AZ19,BB19,BD19)</f>
        <v/>
      </c>
      <c r="BQ19" s="121" t="inlineStr">
        <is>
          <t>3 · staff</t>
        </is>
      </c>
      <c r="BR19" s="122" t="n">
        <v>7</v>
      </c>
      <c r="BS19" s="39" t="n"/>
    </row>
    <row r="20">
      <c r="A20" s="89" t="inlineStr">
        <is>
          <t>Fabiula</t>
        </is>
      </c>
      <c r="B20" s="107" t="n">
        <v>36</v>
      </c>
      <c r="C20" s="100" t="n"/>
      <c r="D20" s="100" t="n"/>
      <c r="E20" s="100" t="n"/>
      <c r="F20" s="100" t="n"/>
      <c r="G20" s="100" t="n"/>
      <c r="H20" s="136">
        <f>IFERROR(INDEX(NOV!AL$8:AL$73,MATCH($A20,NOV!$A$8:$A$73,0))&amp;"","")</f>
        <v/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  <c r="AH20" s="114" t="n"/>
      <c r="AI20" s="114" t="n"/>
      <c r="AJ20" s="114" t="n"/>
      <c r="AK20" s="114" t="n"/>
      <c r="AL20" s="114" t="n"/>
      <c r="AM20" s="114" t="n"/>
      <c r="AN20" s="100" t="n"/>
      <c r="AO20" s="100" t="n"/>
      <c r="AP20" s="100" t="n"/>
      <c r="AQ20" s="100" t="n"/>
      <c r="AR20" s="100" t="n"/>
      <c r="AS20" s="100" t="n"/>
      <c r="AT20" s="117">
        <f>SUMPRODUCT(($H20:$N20="M")*6+($H20:$N20="T")*6+($H20:$N20="D")*12+($H20:$N20="N")*12+($H20:$N20="NT")*6+($H20:$N20="C")*10+($H20:$N20="A")*8+($H20:$N20="J")*5+($H20:$N20="CEP")*4+($H20:$N20="CP")*6+($H20:$N20="CRO")*6+($H20:$N20="M+")*6+($H20:$N20="T+")*6+($H20:$N20="D+")*12+($H20:$N20="N+")*12+($H20:$N20="Dm+")*12+($H20:$N20="Dt+")*12+($H20:$N20="Tm-")*6+($H20:$N20="Mt-")*6)</f>
        <v/>
      </c>
      <c r="AU20" s="118">
        <f>AT20-MAX(0,IFERROR(INDEX(CADASTRO!$I$4:$I$80,MATCH($A20,CADASTRO!$A$4:$A$80,0)),$B20)-CONFIG!$B$50*(COUNTIF($H20:$N20,"AB")+COUNTIF($H20:$N20,"FE")+COUNTIF($H20:$N20,"LM")))</f>
        <v/>
      </c>
      <c r="AV20" s="117">
        <f>SUMPRODUCT(($O20:$U20="M")*6+($O20:$U20="T")*6+($O20:$U20="D")*12+($O20:$U20="N")*12+($O20:$U20="NT")*6+($O20:$U20="C")*10+($O20:$U20="A")*8+($O20:$U20="J")*5+($O20:$U20="CEP")*4+($O20:$U20="CP")*6+($O20:$U20="CRO")*6+($O20:$U20="M+")*6+($O20:$U20="T+")*6+($O20:$U20="D+")*12+($O20:$U20="N+")*12+($O20:$U20="Dm+")*12+($O20:$U20="Dt+")*12+($O20:$U20="Tm-")*6+($O20:$U20="Mt-")*6)</f>
        <v/>
      </c>
      <c r="AW20" s="118">
        <f>AV20-MAX(0,IFERROR(INDEX(CADASTRO!$I$4:$I$80,MATCH($A20,CADASTRO!$A$4:$A$80,0)),$B20)-CONFIG!$B$50*(COUNTIF($O20:$U20,"AB")+COUNTIF($O20:$U20,"FE")+COUNTIF($O20:$U20,"LM")))</f>
        <v/>
      </c>
      <c r="AX20" s="117">
        <f>SUMPRODUCT(($V20:$AB20="M")*6+($V20:$AB20="T")*6+($V20:$AB20="D")*12+($V20:$AB20="N")*12+($V20:$AB20="NT")*6+($V20:$AB20="C")*10+($V20:$AB20="A")*8+($V20:$AB20="J")*5+($V20:$AB20="CEP")*4+($V20:$AB20="CP")*6+($V20:$AB20="CRO")*6+($V20:$AB20="M+")*6+($V20:$AB20="T+")*6+($V20:$AB20="D+")*12+($V20:$AB20="N+")*12+($V20:$AB20="Dm+")*12+($V20:$AB20="Dt+")*12+($V20:$AB20="Tm-")*6+($V20:$AB20="Mt-")*6)</f>
        <v/>
      </c>
      <c r="AY20" s="118">
        <f>AX20-MAX(0,IFERROR(INDEX(CADASTRO!$I$4:$I$80,MATCH($A20,CADASTRO!$A$4:$A$80,0)),$B20)-CONFIG!$B$50*(COUNTIF($V20:$AB20,"AB")+COUNTIF($V20:$AB20,"FE")+COUNTIF($V20:$AB20,"LM")))</f>
        <v/>
      </c>
      <c r="AZ20" s="117">
        <f>SUMPRODUCT(($AC20:$AI20="M")*6+($AC20:$AI20="T")*6+($AC20:$AI20="D")*12+($AC20:$AI20="N")*12+($AC20:$AI20="NT")*6+($AC20:$AI20="C")*10+($AC20:$AI20="A")*8+($AC20:$AI20="J")*5+($AC20:$AI20="CEP")*4+($AC20:$AI20="CP")*6+($AC20:$AI20="CRO")*6+($AC20:$AI20="M+")*6+($AC20:$AI20="T+")*6+($AC20:$AI20="D+")*12+($AC20:$AI20="N+")*12+($AC20:$AI20="Dm+")*12+($AC20:$AI20="Dt+")*12+($AC20:$AI20="Tm-")*6+($AC20:$AI20="Mt-")*6)</f>
        <v/>
      </c>
      <c r="BA20" s="118">
        <f>AZ20-MAX(0,IFERROR(INDEX(CADASTRO!$I$4:$I$80,MATCH($A20,CADASTRO!$A$4:$A$80,0)),$B20)-CONFIG!$B$50*(COUNTIF($AC20:$AI20,"AB")+COUNTIF($AC20:$AI20,"FE")+COUNTIF($AC20:$AI20,"LM")))</f>
        <v/>
      </c>
      <c r="BB20" s="117">
        <f>SUMPRODUCT(($AJ20:$AM20="M")*6+($AJ20:$AM20="T")*6+($AJ20:$AM20="D")*12+($AJ20:$AM20="N")*12+($AJ20:$AM20="NT")*6+($AJ20:$AM20="C")*10+($AJ20:$AM20="A")*8+($AJ20:$AM20="J")*5+($AJ20:$AM20="CEP")*4+($AJ20:$AM20="CP")*6+($AJ20:$AM20="CRO")*6+($AJ20:$AM20="M+")*6+($AJ20:$AM20="T+")*6+($AJ20:$AM20="D+")*12+($AJ20:$AM20="N+")*12+($AJ20:$AM20="Dm+")*12+($AJ20:$AM20="Dt+")*12+($AJ20:$AM20="Tm-")*6+($AJ20:$AM20="Mt-")*6)+SUMPRODUCT(($AN20:$AP20="M")*6+($AN20:$AP20="T")*6+($AN20:$AP20="D")*12+($AN20:$AP20="N")*12+($AN20:$AP20="NT")*6+($AN20:$AP20="C")*10+($AN20:$AP20="A")*8+($AN20:$AP20="J")*5+($AN20:$AP20="CEP")*4+($AN20:$AP20="CP")*6+($AN20:$AP20="CRO")*6+($AN20:$AP20="M+")*6+($AN20:$AP20="T+")*6+($AN20:$AP20="D+")*12+($AN20:$AP20="N+")*12+($AN20:$AP20="Dm+")*12+($AN20:$AP20="Dt+")*12+($AN20:$AP20="Tm-")*6+($AN20:$AP20="Mt-")*6)</f>
        <v/>
      </c>
      <c r="BC20" s="118">
        <f>BB20-MAX(0,IFERROR(INDEX(CADASTRO!$I$4:$I$80,MATCH($A20,CADASTRO!$A$4:$A$80,0)),$B20)-CONFIG!$B$50*(COUNTIF($AJ20:$AM20,"AB")+COUNTIF($AJ20:$AM20,"FE")+COUNTIF($AJ20:$AM20,"LM")+COUNTIF($AN20:$AP20,"AB")+COUNTIF($AN20:$AP20,"FE")+COUNTIF($AN20:$AP20,"LM")))</f>
        <v/>
      </c>
      <c r="BD20" s="117" t="n"/>
      <c r="BE20" s="118" t="n"/>
      <c r="BF20" s="117">
        <f>SUMPRODUCT(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G20" s="117">
        <f>SUMPRODUCT($I$4:$AM$4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H20" s="117">
        <f>SUMPRODUCT($I$5:$AM$5,(($I20:$AM20="N")+($I20:$AM20="N+")))</f>
        <v/>
      </c>
      <c r="BI20" s="117">
        <f>SUMPRODUCT($I$6:$AM$6,($I20:$AM20="M")*6+($I20:$AM20="T")*6+($I20:$AM20="D")*12+($I20:$AM20="N")*12+($I20:$AM20="NT")*6+($I20:$AM20="C")*10+($I20:$AM20="A")*8+($I20:$AM20="J")*5+($I20:$AM20="CEP")*4+($I20:$AM20="CP")*6+($I20:$AM20="CRO")*6+($I20:$AM20="M+")*6+($I20:$AM20="T+")*6+($I20:$AM20="D+")*12+($I20:$AM20="N+")*12+($I20:$AM20="Dm+")*12+($I20:$AM20="Dt+")*12+($I20:$AM20="Tm-")*6+($I20:$AM20="Mt-")*6)</f>
        <v/>
      </c>
      <c r="BJ20" s="117">
        <f>ROUND(B20*4.43,0)</f>
        <v/>
      </c>
      <c r="BK20" s="119">
        <f>BF20-BJ20</f>
        <v/>
      </c>
      <c r="BL20" s="120">
        <f>SUMPRODUCT((($C20:$AL20="N")+($C20:$AL20="N+"))*(($D20:$AM20="M")+($D20:$AM20="D")+($D20:$AM20="C")+($D20:$AM20="CEP")+($D20:$AM20="M+")+($D20:$AM20="D+")+($D20:$AM20="Dm+")+($D20:$AM20="Dt+")+($D20:$AM20="Mt-")))</f>
        <v/>
      </c>
      <c r="BM20" s="120">
        <f>SUMPRODUCT((($C20:$AL20="N")+($C20:$AL20="N+"))*(($D20:$AM20="T")+($D20:$AM20="T+")+($D20:$AM20="Tm-")))</f>
        <v/>
      </c>
      <c r="BN20" s="120">
        <f>IFERROR(INDEX(CONFIG!$B$44:$D$46,MATCH($B20,CONFIG!$A$44:$A$46,0),IF(COUNTIF($I20:$AM20,"FE")&gt;=10,1,IF(COUNTIF($I20:$AM20,"FE")&gt;=1,2,3))),"")</f>
        <v/>
      </c>
      <c r="BO20" s="120">
        <f>IF(BN20="","",MAX(0,BG20-BN20*CONFIG!$E$44))</f>
        <v/>
      </c>
      <c r="BP20" s="120">
        <f>MAX(AT20,AV20,AX20,AZ20,BB20,BD20)</f>
        <v/>
      </c>
      <c r="BQ20" s="121" t="inlineStr">
        <is>
          <t>3 · staff</t>
        </is>
      </c>
      <c r="BR20" s="122" t="n">
        <v>7</v>
      </c>
      <c r="BS20" s="39" t="n"/>
    </row>
    <row r="21">
      <c r="A21" s="89" t="inlineStr">
        <is>
          <t>Isabella</t>
        </is>
      </c>
      <c r="B21" s="107" t="n">
        <v>36</v>
      </c>
      <c r="C21" s="100" t="n"/>
      <c r="D21" s="100" t="n"/>
      <c r="E21" s="100" t="n"/>
      <c r="F21" s="100" t="n"/>
      <c r="G21" s="100" t="n"/>
      <c r="H21" s="136">
        <f>IFERROR(INDEX(NOV!AL$8:AL$73,MATCH($A21,NOV!$A$8:$A$73,0))&amp;"","")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  <c r="AB21" s="114" t="n"/>
      <c r="AC21" s="114" t="n"/>
      <c r="AD21" s="114" t="n"/>
      <c r="AE21" s="114" t="n"/>
      <c r="AF21" s="114" t="n"/>
      <c r="AG21" s="114" t="n"/>
      <c r="AH21" s="114" t="n"/>
      <c r="AI21" s="114" t="n"/>
      <c r="AJ21" s="114" t="n"/>
      <c r="AK21" s="114" t="n"/>
      <c r="AL21" s="114" t="n"/>
      <c r="AM21" s="114" t="n"/>
      <c r="AN21" s="100" t="n"/>
      <c r="AO21" s="100" t="n"/>
      <c r="AP21" s="100" t="n"/>
      <c r="AQ21" s="100" t="n"/>
      <c r="AR21" s="100" t="n"/>
      <c r="AS21" s="100" t="n"/>
      <c r="AT21" s="117">
        <f>SUMPRODUCT(($H21:$N21="M")*6+($H21:$N21="T")*6+($H21:$N21="D")*12+($H21:$N21="N")*12+($H21:$N21="NT")*6+($H21:$N21="C")*10+($H21:$N21="A")*8+($H21:$N21="J")*5+($H21:$N21="CEP")*4+($H21:$N21="CP")*6+($H21:$N21="CRO")*6+($H21:$N21="M+")*6+($H21:$N21="T+")*6+($H21:$N21="D+")*12+($H21:$N21="N+")*12+($H21:$N21="Dm+")*12+($H21:$N21="Dt+")*12+($H21:$N21="Tm-")*6+($H21:$N21="Mt-")*6)</f>
        <v/>
      </c>
      <c r="AU21" s="118">
        <f>AT21-MAX(0,IFERROR(INDEX(CADASTRO!$I$4:$I$80,MATCH($A21,CADASTRO!$A$4:$A$80,0)),$B21)-CONFIG!$B$50*(COUNTIF($H21:$N21,"AB")+COUNTIF($H21:$N21,"FE")+COUNTIF($H21:$N21,"LM")))</f>
        <v/>
      </c>
      <c r="AV21" s="117">
        <f>SUMPRODUCT(($O21:$U21="M")*6+($O21:$U21="T")*6+($O21:$U21="D")*12+($O21:$U21="N")*12+($O21:$U21="NT")*6+($O21:$U21="C")*10+($O21:$U21="A")*8+($O21:$U21="J")*5+($O21:$U21="CEP")*4+($O21:$U21="CP")*6+($O21:$U21="CRO")*6+($O21:$U21="M+")*6+($O21:$U21="T+")*6+($O21:$U21="D+")*12+($O21:$U21="N+")*12+($O21:$U21="Dm+")*12+($O21:$U21="Dt+")*12+($O21:$U21="Tm-")*6+($O21:$U21="Mt-")*6)</f>
        <v/>
      </c>
      <c r="AW21" s="118">
        <f>AV21-MAX(0,IFERROR(INDEX(CADASTRO!$I$4:$I$80,MATCH($A21,CADASTRO!$A$4:$A$80,0)),$B21)-CONFIG!$B$50*(COUNTIF($O21:$U21,"AB")+COUNTIF($O21:$U21,"FE")+COUNTIF($O21:$U21,"LM")))</f>
        <v/>
      </c>
      <c r="AX21" s="117">
        <f>SUMPRODUCT(($V21:$AB21="M")*6+($V21:$AB21="T")*6+($V21:$AB21="D")*12+($V21:$AB21="N")*12+($V21:$AB21="NT")*6+($V21:$AB21="C")*10+($V21:$AB21="A")*8+($V21:$AB21="J")*5+($V21:$AB21="CEP")*4+($V21:$AB21="CP")*6+($V21:$AB21="CRO")*6+($V21:$AB21="M+")*6+($V21:$AB21="T+")*6+($V21:$AB21="D+")*12+($V21:$AB21="N+")*12+($V21:$AB21="Dm+")*12+($V21:$AB21="Dt+")*12+($V21:$AB21="Tm-")*6+($V21:$AB21="Mt-")*6)</f>
        <v/>
      </c>
      <c r="AY21" s="118">
        <f>AX21-MAX(0,IFERROR(INDEX(CADASTRO!$I$4:$I$80,MATCH($A21,CADASTRO!$A$4:$A$80,0)),$B21)-CONFIG!$B$50*(COUNTIF($V21:$AB21,"AB")+COUNTIF($V21:$AB21,"FE")+COUNTIF($V21:$AB21,"LM")))</f>
        <v/>
      </c>
      <c r="AZ21" s="117">
        <f>SUMPRODUCT(($AC21:$AI21="M")*6+($AC21:$AI21="T")*6+($AC21:$AI21="D")*12+($AC21:$AI21="N")*12+($AC21:$AI21="NT")*6+($AC21:$AI21="C")*10+($AC21:$AI21="A")*8+($AC21:$AI21="J")*5+($AC21:$AI21="CEP")*4+($AC21:$AI21="CP")*6+($AC21:$AI21="CRO")*6+($AC21:$AI21="M+")*6+($AC21:$AI21="T+")*6+($AC21:$AI21="D+")*12+($AC21:$AI21="N+")*12+($AC21:$AI21="Dm+")*12+($AC21:$AI21="Dt+")*12+($AC21:$AI21="Tm-")*6+($AC21:$AI21="Mt-")*6)</f>
        <v/>
      </c>
      <c r="BA21" s="118">
        <f>AZ21-MAX(0,IFERROR(INDEX(CADASTRO!$I$4:$I$80,MATCH($A21,CADASTRO!$A$4:$A$80,0)),$B21)-CONFIG!$B$50*(COUNTIF($AC21:$AI21,"AB")+COUNTIF($AC21:$AI21,"FE")+COUNTIF($AC21:$AI21,"LM")))</f>
        <v/>
      </c>
      <c r="BB21" s="117">
        <f>SUMPRODUCT(($AJ21:$AM21="M")*6+($AJ21:$AM21="T")*6+($AJ21:$AM21="D")*12+($AJ21:$AM21="N")*12+($AJ21:$AM21="NT")*6+($AJ21:$AM21="C")*10+($AJ21:$AM21="A")*8+($AJ21:$AM21="J")*5+($AJ21:$AM21="CEP")*4+($AJ21:$AM21="CP")*6+($AJ21:$AM21="CRO")*6+($AJ21:$AM21="M+")*6+($AJ21:$AM21="T+")*6+($AJ21:$AM21="D+")*12+($AJ21:$AM21="N+")*12+($AJ21:$AM21="Dm+")*12+($AJ21:$AM21="Dt+")*12+($AJ21:$AM21="Tm-")*6+($AJ21:$AM21="Mt-")*6)+SUMPRODUCT(($AN21:$AP21="M")*6+($AN21:$AP21="T")*6+($AN21:$AP21="D")*12+($AN21:$AP21="N")*12+($AN21:$AP21="NT")*6+($AN21:$AP21="C")*10+($AN21:$AP21="A")*8+($AN21:$AP21="J")*5+($AN21:$AP21="CEP")*4+($AN21:$AP21="CP")*6+($AN21:$AP21="CRO")*6+($AN21:$AP21="M+")*6+($AN21:$AP21="T+")*6+($AN21:$AP21="D+")*12+($AN21:$AP21="N+")*12+($AN21:$AP21="Dm+")*12+($AN21:$AP21="Dt+")*12+($AN21:$AP21="Tm-")*6+($AN21:$AP21="Mt-")*6)</f>
        <v/>
      </c>
      <c r="BC21" s="118">
        <f>BB21-MAX(0,IFERROR(INDEX(CADASTRO!$I$4:$I$80,MATCH($A21,CADASTRO!$A$4:$A$80,0)),$B21)-CONFIG!$B$50*(COUNTIF($AJ21:$AM21,"AB")+COUNTIF($AJ21:$AM21,"FE")+COUNTIF($AJ21:$AM21,"LM")+COUNTIF($AN21:$AP21,"AB")+COUNTIF($AN21:$AP21,"FE")+COUNTIF($AN21:$AP21,"LM")))</f>
        <v/>
      </c>
      <c r="BD21" s="117" t="n"/>
      <c r="BE21" s="118" t="n"/>
      <c r="BF21" s="117">
        <f>SUMPRODUCT(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G21" s="117">
        <f>SUMPRODUCT($I$4:$AM$4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H21" s="117">
        <f>SUMPRODUCT($I$5:$AM$5,(($I21:$AM21="N")+($I21:$AM21="N+")))</f>
        <v/>
      </c>
      <c r="BI21" s="117">
        <f>SUMPRODUCT($I$6:$AM$6,($I21:$AM21="M")*6+($I21:$AM21="T")*6+($I21:$AM21="D")*12+($I21:$AM21="N")*12+($I21:$AM21="NT")*6+($I21:$AM21="C")*10+($I21:$AM21="A")*8+($I21:$AM21="J")*5+($I21:$AM21="CEP")*4+($I21:$AM21="CP")*6+($I21:$AM21="CRO")*6+($I21:$AM21="M+")*6+($I21:$AM21="T+")*6+($I21:$AM21="D+")*12+($I21:$AM21="N+")*12+($I21:$AM21="Dm+")*12+($I21:$AM21="Dt+")*12+($I21:$AM21="Tm-")*6+($I21:$AM21="Mt-")*6)</f>
        <v/>
      </c>
      <c r="BJ21" s="117">
        <f>ROUND(B21*4.43,0)</f>
        <v/>
      </c>
      <c r="BK21" s="119">
        <f>BF21-BJ21</f>
        <v/>
      </c>
      <c r="BL21" s="120">
        <f>SUMPRODUCT((($C21:$AL21="N")+($C21:$AL21="N+"))*(($D21:$AM21="M")+($D21:$AM21="D")+($D21:$AM21="C")+($D21:$AM21="CEP")+($D21:$AM21="M+")+($D21:$AM21="D+")+($D21:$AM21="Dm+")+($D21:$AM21="Dt+")+($D21:$AM21="Mt-")))</f>
        <v/>
      </c>
      <c r="BM21" s="120">
        <f>SUMPRODUCT((($C21:$AL21="N")+($C21:$AL21="N+"))*(($D21:$AM21="T")+($D21:$AM21="T+")+($D21:$AM21="Tm-")))</f>
        <v/>
      </c>
      <c r="BN21" s="120">
        <f>IFERROR(INDEX(CONFIG!$B$44:$D$46,MATCH($B21,CONFIG!$A$44:$A$46,0),IF(COUNTIF($I21:$AM21,"FE")&gt;=10,1,IF(COUNTIF($I21:$AM21,"FE")&gt;=1,2,3))),"")</f>
        <v/>
      </c>
      <c r="BO21" s="120">
        <f>IF(BN21="","",MAX(0,BG21-BN21*CONFIG!$E$44))</f>
        <v/>
      </c>
      <c r="BP21" s="120">
        <f>MAX(AT21,AV21,AX21,AZ21,BB21,BD21)</f>
        <v/>
      </c>
      <c r="BQ21" s="121" t="inlineStr">
        <is>
          <t>3 · staff</t>
        </is>
      </c>
      <c r="BR21" s="122" t="n">
        <v>7</v>
      </c>
      <c r="BS21" s="39" t="n"/>
    </row>
    <row r="22">
      <c r="A22" s="89" t="inlineStr">
        <is>
          <t>JuBrito</t>
        </is>
      </c>
      <c r="B22" s="107" t="n">
        <v>30</v>
      </c>
      <c r="C22" s="100" t="n"/>
      <c r="D22" s="100" t="n"/>
      <c r="E22" s="100" t="n"/>
      <c r="F22" s="100" t="n"/>
      <c r="G22" s="100" t="n"/>
      <c r="H22" s="136">
        <f>IFERROR(INDEX(NOV!AL$8:AL$73,MATCH($A22,NOV!$A$8:$A$73,0))&amp;"","")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  <c r="AH22" s="114" t="n"/>
      <c r="AI22" s="114" t="n"/>
      <c r="AJ22" s="114" t="n"/>
      <c r="AK22" s="114" t="n"/>
      <c r="AL22" s="114" t="n"/>
      <c r="AM22" s="114" t="n"/>
      <c r="AN22" s="100" t="n"/>
      <c r="AO22" s="100" t="n"/>
      <c r="AP22" s="100" t="n"/>
      <c r="AQ22" s="100" t="n"/>
      <c r="AR22" s="100" t="n"/>
      <c r="AS22" s="100" t="n"/>
      <c r="AT22" s="117">
        <f>SUMPRODUCT(($H22:$N22="M")*6+($H22:$N22="T")*6+($H22:$N22="D")*12+($H22:$N22="N")*12+($H22:$N22="NT")*6+($H22:$N22="C")*10+($H22:$N22="A")*8+($H22:$N22="J")*5+($H22:$N22="CEP")*4+($H22:$N22="CP")*6+($H22:$N22="CRO")*6+($H22:$N22="M+")*6+($H22:$N22="T+")*6+($H22:$N22="D+")*12+($H22:$N22="N+")*12+($H22:$N22="Dm+")*12+($H22:$N22="Dt+")*12+($H22:$N22="Tm-")*6+($H22:$N22="Mt-")*6)</f>
        <v/>
      </c>
      <c r="AU22" s="118">
        <f>AT22-MAX(0,IFERROR(INDEX(CADASTRO!$I$4:$I$80,MATCH($A22,CADASTRO!$A$4:$A$80,0)),$B22)-CONFIG!$B$50*(COUNTIF($H22:$N22,"AB")+COUNTIF($H22:$N22,"FE")+COUNTIF($H22:$N22,"LM")))</f>
        <v/>
      </c>
      <c r="AV22" s="117">
        <f>SUMPRODUCT(($O22:$U22="M")*6+($O22:$U22="T")*6+($O22:$U22="D")*12+($O22:$U22="N")*12+($O22:$U22="NT")*6+($O22:$U22="C")*10+($O22:$U22="A")*8+($O22:$U22="J")*5+($O22:$U22="CEP")*4+($O22:$U22="CP")*6+($O22:$U22="CRO")*6+($O22:$U22="M+")*6+($O22:$U22="T+")*6+($O22:$U22="D+")*12+($O22:$U22="N+")*12+($O22:$U22="Dm+")*12+($O22:$U22="Dt+")*12+($O22:$U22="Tm-")*6+($O22:$U22="Mt-")*6)</f>
        <v/>
      </c>
      <c r="AW22" s="118">
        <f>AV22-MAX(0,IFERROR(INDEX(CADASTRO!$I$4:$I$80,MATCH($A22,CADASTRO!$A$4:$A$80,0)),$B22)-CONFIG!$B$50*(COUNTIF($O22:$U22,"AB")+COUNTIF($O22:$U22,"FE")+COUNTIF($O22:$U22,"LM")))</f>
        <v/>
      </c>
      <c r="AX22" s="117">
        <f>SUMPRODUCT(($V22:$AB22="M")*6+($V22:$AB22="T")*6+($V22:$AB22="D")*12+($V22:$AB22="N")*12+($V22:$AB22="NT")*6+($V22:$AB22="C")*10+($V22:$AB22="A")*8+($V22:$AB22="J")*5+($V22:$AB22="CEP")*4+($V22:$AB22="CP")*6+($V22:$AB22="CRO")*6+($V22:$AB22="M+")*6+($V22:$AB22="T+")*6+($V22:$AB22="D+")*12+($V22:$AB22="N+")*12+($V22:$AB22="Dm+")*12+($V22:$AB22="Dt+")*12+($V22:$AB22="Tm-")*6+($V22:$AB22="Mt-")*6)</f>
        <v/>
      </c>
      <c r="AY22" s="118">
        <f>AX22-MAX(0,IFERROR(INDEX(CADASTRO!$I$4:$I$80,MATCH($A22,CADASTRO!$A$4:$A$80,0)),$B22)-CONFIG!$B$50*(COUNTIF($V22:$AB22,"AB")+COUNTIF($V22:$AB22,"FE")+COUNTIF($V22:$AB22,"LM")))</f>
        <v/>
      </c>
      <c r="AZ22" s="117">
        <f>SUMPRODUCT(($AC22:$AI22="M")*6+($AC22:$AI22="T")*6+($AC22:$AI22="D")*12+($AC22:$AI22="N")*12+($AC22:$AI22="NT")*6+($AC22:$AI22="C")*10+($AC22:$AI22="A")*8+($AC22:$AI22="J")*5+($AC22:$AI22="CEP")*4+($AC22:$AI22="CP")*6+($AC22:$AI22="CRO")*6+($AC22:$AI22="M+")*6+($AC22:$AI22="T+")*6+($AC22:$AI22="D+")*12+($AC22:$AI22="N+")*12+($AC22:$AI22="Dm+")*12+($AC22:$AI22="Dt+")*12+($AC22:$AI22="Tm-")*6+($AC22:$AI22="Mt-")*6)</f>
        <v/>
      </c>
      <c r="BA22" s="118">
        <f>AZ22-MAX(0,IFERROR(INDEX(CADASTRO!$I$4:$I$80,MATCH($A22,CADASTRO!$A$4:$A$80,0)),$B22)-CONFIG!$B$50*(COUNTIF($AC22:$AI22,"AB")+COUNTIF($AC22:$AI22,"FE")+COUNTIF($AC22:$AI22,"LM")))</f>
        <v/>
      </c>
      <c r="BB22" s="117">
        <f>SUMPRODUCT(($AJ22:$AM22="M")*6+($AJ22:$AM22="T")*6+($AJ22:$AM22="D")*12+($AJ22:$AM22="N")*12+($AJ22:$AM22="NT")*6+($AJ22:$AM22="C")*10+($AJ22:$AM22="A")*8+($AJ22:$AM22="J")*5+($AJ22:$AM22="CEP")*4+($AJ22:$AM22="CP")*6+($AJ22:$AM22="CRO")*6+($AJ22:$AM22="M+")*6+($AJ22:$AM22="T+")*6+($AJ22:$AM22="D+")*12+($AJ22:$AM22="N+")*12+($AJ22:$AM22="Dm+")*12+($AJ22:$AM22="Dt+")*12+($AJ22:$AM22="Tm-")*6+($AJ22:$AM22="Mt-")*6)+SUMPRODUCT(($AN22:$AP22="M")*6+($AN22:$AP22="T")*6+($AN22:$AP22="D")*12+($AN22:$AP22="N")*12+($AN22:$AP22="NT")*6+($AN22:$AP22="C")*10+($AN22:$AP22="A")*8+($AN22:$AP22="J")*5+($AN22:$AP22="CEP")*4+($AN22:$AP22="CP")*6+($AN22:$AP22="CRO")*6+($AN22:$AP22="M+")*6+($AN22:$AP22="T+")*6+($AN22:$AP22="D+")*12+($AN22:$AP22="N+")*12+($AN22:$AP22="Dm+")*12+($AN22:$AP22="Dt+")*12+($AN22:$AP22="Tm-")*6+($AN22:$AP22="Mt-")*6)</f>
        <v/>
      </c>
      <c r="BC22" s="118">
        <f>BB22-MAX(0,IFERROR(INDEX(CADASTRO!$I$4:$I$80,MATCH($A22,CADASTRO!$A$4:$A$80,0)),$B22)-CONFIG!$B$50*(COUNTIF($AJ22:$AM22,"AB")+COUNTIF($AJ22:$AM22,"FE")+COUNTIF($AJ22:$AM22,"LM")+COUNTIF($AN22:$AP22,"AB")+COUNTIF($AN22:$AP22,"FE")+COUNTIF($AN22:$AP22,"LM")))</f>
        <v/>
      </c>
      <c r="BD22" s="117" t="n"/>
      <c r="BE22" s="118" t="n"/>
      <c r="BF22" s="117">
        <f>SUMPRODUCT(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G22" s="117">
        <f>SUMPRODUCT($I$4:$AM$4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H22" s="117">
        <f>SUMPRODUCT($I$5:$AM$5,(($I22:$AM22="N")+($I22:$AM22="N+")))</f>
        <v/>
      </c>
      <c r="BI22" s="117">
        <f>SUMPRODUCT($I$6:$AM$6,($I22:$AM22="M")*6+($I22:$AM22="T")*6+($I22:$AM22="D")*12+($I22:$AM22="N")*12+($I22:$AM22="NT")*6+($I22:$AM22="C")*10+($I22:$AM22="A")*8+($I22:$AM22="J")*5+($I22:$AM22="CEP")*4+($I22:$AM22="CP")*6+($I22:$AM22="CRO")*6+($I22:$AM22="M+")*6+($I22:$AM22="T+")*6+($I22:$AM22="D+")*12+($I22:$AM22="N+")*12+($I22:$AM22="Dm+")*12+($I22:$AM22="Dt+")*12+($I22:$AM22="Tm-")*6+($I22:$AM22="Mt-")*6)</f>
        <v/>
      </c>
      <c r="BJ22" s="117">
        <f>ROUND(B22*4.43,0)</f>
        <v/>
      </c>
      <c r="BK22" s="119">
        <f>BF22-BJ22</f>
        <v/>
      </c>
      <c r="BL22" s="120">
        <f>SUMPRODUCT((($C22:$AL22="N")+($C22:$AL22="N+"))*(($D22:$AM22="M")+($D22:$AM22="D")+($D22:$AM22="C")+($D22:$AM22="CEP")+($D22:$AM22="M+")+($D22:$AM22="D+")+($D22:$AM22="Dm+")+($D22:$AM22="Dt+")+($D22:$AM22="Mt-")))</f>
        <v/>
      </c>
      <c r="BM22" s="120">
        <f>SUMPRODUCT((($C22:$AL22="N")+($C22:$AL22="N+"))*(($D22:$AM22="T")+($D22:$AM22="T+")+($D22:$AM22="Tm-")))</f>
        <v/>
      </c>
      <c r="BN22" s="120">
        <f>IFERROR(INDEX(CONFIG!$B$44:$D$46,MATCH($B22,CONFIG!$A$44:$A$46,0),IF(COUNTIF($I22:$AM22,"FE")&gt;=10,1,IF(COUNTIF($I22:$AM22,"FE")&gt;=1,2,3))),"")</f>
        <v/>
      </c>
      <c r="BO22" s="120">
        <f>IF(BN22="","",MAX(0,BG22-BN22*CONFIG!$E$44))</f>
        <v/>
      </c>
      <c r="BP22" s="120">
        <f>MAX(AT22,AV22,AX22,AZ22,BB22,BD22)</f>
        <v/>
      </c>
      <c r="BQ22" s="121" t="inlineStr">
        <is>
          <t>3 · staff</t>
        </is>
      </c>
      <c r="BR22" s="122" t="n">
        <v>7</v>
      </c>
      <c r="BS22" s="39" t="n"/>
    </row>
    <row r="23">
      <c r="A23" s="89" t="inlineStr">
        <is>
          <t>Kariny</t>
        </is>
      </c>
      <c r="B23" s="107" t="n">
        <v>36</v>
      </c>
      <c r="C23" s="100" t="n"/>
      <c r="D23" s="100" t="n"/>
      <c r="E23" s="100" t="n"/>
      <c r="F23" s="100" t="n"/>
      <c r="G23" s="100" t="n"/>
      <c r="H23" s="136">
        <f>IFERROR(INDEX(NOV!AL$8:AL$73,MATCH($A23,NOV!$A$8:$A$73,0))&amp;"","")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  <c r="AB23" s="114" t="n"/>
      <c r="AC23" s="114" t="n"/>
      <c r="AD23" s="114" t="n"/>
      <c r="AE23" s="114" t="n"/>
      <c r="AF23" s="114" t="n"/>
      <c r="AG23" s="114" t="n"/>
      <c r="AH23" s="114" t="n"/>
      <c r="AI23" s="114" t="n"/>
      <c r="AJ23" s="114" t="n"/>
      <c r="AK23" s="114" t="n"/>
      <c r="AL23" s="114" t="n"/>
      <c r="AM23" s="114" t="n"/>
      <c r="AN23" s="100" t="n"/>
      <c r="AO23" s="100" t="n"/>
      <c r="AP23" s="100" t="n"/>
      <c r="AQ23" s="100" t="n"/>
      <c r="AR23" s="100" t="n"/>
      <c r="AS23" s="100" t="n"/>
      <c r="AT23" s="117">
        <f>SUMPRODUCT(($H23:$N23="M")*6+($H23:$N23="T")*6+($H23:$N23="D")*12+($H23:$N23="N")*12+($H23:$N23="NT")*6+($H23:$N23="C")*10+($H23:$N23="A")*8+($H23:$N23="J")*5+($H23:$N23="CEP")*4+($H23:$N23="CP")*6+($H23:$N23="CRO")*6+($H23:$N23="M+")*6+($H23:$N23="T+")*6+($H23:$N23="D+")*12+($H23:$N23="N+")*12+($H23:$N23="Dm+")*12+($H23:$N23="Dt+")*12+($H23:$N23="Tm-")*6+($H23:$N23="Mt-")*6)</f>
        <v/>
      </c>
      <c r="AU23" s="118">
        <f>AT23-MAX(0,IFERROR(INDEX(CADASTRO!$I$4:$I$80,MATCH($A23,CADASTRO!$A$4:$A$80,0)),$B23)-CONFIG!$B$50*(COUNTIF($H23:$N23,"AB")+COUNTIF($H23:$N23,"FE")+COUNTIF($H23:$N23,"LM")))</f>
        <v/>
      </c>
      <c r="AV23" s="117">
        <f>SUMPRODUCT(($O23:$U23="M")*6+($O23:$U23="T")*6+($O23:$U23="D")*12+($O23:$U23="N")*12+($O23:$U23="NT")*6+($O23:$U23="C")*10+($O23:$U23="A")*8+($O23:$U23="J")*5+($O23:$U23="CEP")*4+($O23:$U23="CP")*6+($O23:$U23="CRO")*6+($O23:$U23="M+")*6+($O23:$U23="T+")*6+($O23:$U23="D+")*12+($O23:$U23="N+")*12+($O23:$U23="Dm+")*12+($O23:$U23="Dt+")*12+($O23:$U23="Tm-")*6+($O23:$U23="Mt-")*6)</f>
        <v/>
      </c>
      <c r="AW23" s="118">
        <f>AV23-MAX(0,IFERROR(INDEX(CADASTRO!$I$4:$I$80,MATCH($A23,CADASTRO!$A$4:$A$80,0)),$B23)-CONFIG!$B$50*(COUNTIF($O23:$U23,"AB")+COUNTIF($O23:$U23,"FE")+COUNTIF($O23:$U23,"LM")))</f>
        <v/>
      </c>
      <c r="AX23" s="117">
        <f>SUMPRODUCT(($V23:$AB23="M")*6+($V23:$AB23="T")*6+($V23:$AB23="D")*12+($V23:$AB23="N")*12+($V23:$AB23="NT")*6+($V23:$AB23="C")*10+($V23:$AB23="A")*8+($V23:$AB23="J")*5+($V23:$AB23="CEP")*4+($V23:$AB23="CP")*6+($V23:$AB23="CRO")*6+($V23:$AB23="M+")*6+($V23:$AB23="T+")*6+($V23:$AB23="D+")*12+($V23:$AB23="N+")*12+($V23:$AB23="Dm+")*12+($V23:$AB23="Dt+")*12+($V23:$AB23="Tm-")*6+($V23:$AB23="Mt-")*6)</f>
        <v/>
      </c>
      <c r="AY23" s="118">
        <f>AX23-MAX(0,IFERROR(INDEX(CADASTRO!$I$4:$I$80,MATCH($A23,CADASTRO!$A$4:$A$80,0)),$B23)-CONFIG!$B$50*(COUNTIF($V23:$AB23,"AB")+COUNTIF($V23:$AB23,"FE")+COUNTIF($V23:$AB23,"LM")))</f>
        <v/>
      </c>
      <c r="AZ23" s="117">
        <f>SUMPRODUCT(($AC23:$AI23="M")*6+($AC23:$AI23="T")*6+($AC23:$AI23="D")*12+($AC23:$AI23="N")*12+($AC23:$AI23="NT")*6+($AC23:$AI23="C")*10+($AC23:$AI23="A")*8+($AC23:$AI23="J")*5+($AC23:$AI23="CEP")*4+($AC23:$AI23="CP")*6+($AC23:$AI23="CRO")*6+($AC23:$AI23="M+")*6+($AC23:$AI23="T+")*6+($AC23:$AI23="D+")*12+($AC23:$AI23="N+")*12+($AC23:$AI23="Dm+")*12+($AC23:$AI23="Dt+")*12+($AC23:$AI23="Tm-")*6+($AC23:$AI23="Mt-")*6)</f>
        <v/>
      </c>
      <c r="BA23" s="118">
        <f>AZ23-MAX(0,IFERROR(INDEX(CADASTRO!$I$4:$I$80,MATCH($A23,CADASTRO!$A$4:$A$80,0)),$B23)-CONFIG!$B$50*(COUNTIF($AC23:$AI23,"AB")+COUNTIF($AC23:$AI23,"FE")+COUNTIF($AC23:$AI23,"LM")))</f>
        <v/>
      </c>
      <c r="BB23" s="117">
        <f>SUMPRODUCT(($AJ23:$AM23="M")*6+($AJ23:$AM23="T")*6+($AJ23:$AM23="D")*12+($AJ23:$AM23="N")*12+($AJ23:$AM23="NT")*6+($AJ23:$AM23="C")*10+($AJ23:$AM23="A")*8+($AJ23:$AM23="J")*5+($AJ23:$AM23="CEP")*4+($AJ23:$AM23="CP")*6+($AJ23:$AM23="CRO")*6+($AJ23:$AM23="M+")*6+($AJ23:$AM23="T+")*6+($AJ23:$AM23="D+")*12+($AJ23:$AM23="N+")*12+($AJ23:$AM23="Dm+")*12+($AJ23:$AM23="Dt+")*12+($AJ23:$AM23="Tm-")*6+($AJ23:$AM23="Mt-")*6)+SUMPRODUCT(($AN23:$AP23="M")*6+($AN23:$AP23="T")*6+($AN23:$AP23="D")*12+($AN23:$AP23="N")*12+($AN23:$AP23="NT")*6+($AN23:$AP23="C")*10+($AN23:$AP23="A")*8+($AN23:$AP23="J")*5+($AN23:$AP23="CEP")*4+($AN23:$AP23="CP")*6+($AN23:$AP23="CRO")*6+($AN23:$AP23="M+")*6+($AN23:$AP23="T+")*6+($AN23:$AP23="D+")*12+($AN23:$AP23="N+")*12+($AN23:$AP23="Dm+")*12+($AN23:$AP23="Dt+")*12+($AN23:$AP23="Tm-")*6+($AN23:$AP23="Mt-")*6)</f>
        <v/>
      </c>
      <c r="BC23" s="118">
        <f>BB23-MAX(0,IFERROR(INDEX(CADASTRO!$I$4:$I$80,MATCH($A23,CADASTRO!$A$4:$A$80,0)),$B23)-CONFIG!$B$50*(COUNTIF($AJ23:$AM23,"AB")+COUNTIF($AJ23:$AM23,"FE")+COUNTIF($AJ23:$AM23,"LM")+COUNTIF($AN23:$AP23,"AB")+COUNTIF($AN23:$AP23,"FE")+COUNTIF($AN23:$AP23,"LM")))</f>
        <v/>
      </c>
      <c r="BD23" s="117" t="n"/>
      <c r="BE23" s="118" t="n"/>
      <c r="BF23" s="117">
        <f>SUMPRODUCT(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G23" s="117">
        <f>SUMPRODUCT($I$4:$AM$4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H23" s="117">
        <f>SUMPRODUCT($I$5:$AM$5,(($I23:$AM23="N")+($I23:$AM23="N+")))</f>
        <v/>
      </c>
      <c r="BI23" s="117">
        <f>SUMPRODUCT($I$6:$AM$6,($I23:$AM23="M")*6+($I23:$AM23="T")*6+($I23:$AM23="D")*12+($I23:$AM23="N")*12+($I23:$AM23="NT")*6+($I23:$AM23="C")*10+($I23:$AM23="A")*8+($I23:$AM23="J")*5+($I23:$AM23="CEP")*4+($I23:$AM23="CP")*6+($I23:$AM23="CRO")*6+($I23:$AM23="M+")*6+($I23:$AM23="T+")*6+($I23:$AM23="D+")*12+($I23:$AM23="N+")*12+($I23:$AM23="Dm+")*12+($I23:$AM23="Dt+")*12+($I23:$AM23="Tm-")*6+($I23:$AM23="Mt-")*6)</f>
        <v/>
      </c>
      <c r="BJ23" s="117">
        <f>ROUND(B23*4.43,0)</f>
        <v/>
      </c>
      <c r="BK23" s="119">
        <f>BF23-BJ23</f>
        <v/>
      </c>
      <c r="BL23" s="120">
        <f>SUMPRODUCT((($C23:$AL23="N")+($C23:$AL23="N+"))*(($D23:$AM23="M")+($D23:$AM23="D")+($D23:$AM23="C")+($D23:$AM23="CEP")+($D23:$AM23="M+")+($D23:$AM23="D+")+($D23:$AM23="Dm+")+($D23:$AM23="Dt+")+($D23:$AM23="Mt-")))</f>
        <v/>
      </c>
      <c r="BM23" s="120">
        <f>SUMPRODUCT((($C23:$AL23="N")+($C23:$AL23="N+"))*(($D23:$AM23="T")+($D23:$AM23="T+")+($D23:$AM23="Tm-")))</f>
        <v/>
      </c>
      <c r="BN23" s="120">
        <f>IFERROR(INDEX(CONFIG!$B$44:$D$46,MATCH($B23,CONFIG!$A$44:$A$46,0),IF(COUNTIF($I23:$AM23,"FE")&gt;=10,1,IF(COUNTIF($I23:$AM23,"FE")&gt;=1,2,3))),"")</f>
        <v/>
      </c>
      <c r="BO23" s="120">
        <f>IF(BN23="","",MAX(0,BG23-BN23*CONFIG!$E$44))</f>
        <v/>
      </c>
      <c r="BP23" s="120">
        <f>MAX(AT23,AV23,AX23,AZ23,BB23,BD23)</f>
        <v/>
      </c>
      <c r="BQ23" s="121" t="inlineStr">
        <is>
          <t>3 · staff</t>
        </is>
      </c>
      <c r="BR23" s="122" t="n">
        <v>7</v>
      </c>
      <c r="BS23" s="39" t="n"/>
    </row>
    <row r="24">
      <c r="A24" s="89" t="inlineStr">
        <is>
          <t>Mayana</t>
        </is>
      </c>
      <c r="B24" s="107" t="n">
        <v>36</v>
      </c>
      <c r="C24" s="100" t="n"/>
      <c r="D24" s="100" t="n"/>
      <c r="E24" s="100" t="n"/>
      <c r="F24" s="100" t="n"/>
      <c r="G24" s="100" t="n"/>
      <c r="H24" s="136">
        <f>IFERROR(INDEX(NOV!AL$8:AL$73,MATCH($A24,NOV!$A$8:$A$73,0))&amp;"","")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4" t="n"/>
      <c r="AJ24" s="114" t="n"/>
      <c r="AK24" s="114" t="n"/>
      <c r="AL24" s="114" t="n"/>
      <c r="AM24" s="114" t="n"/>
      <c r="AN24" s="100" t="n"/>
      <c r="AO24" s="100" t="n"/>
      <c r="AP24" s="100" t="n"/>
      <c r="AQ24" s="100" t="n"/>
      <c r="AR24" s="100" t="n"/>
      <c r="AS24" s="100" t="n"/>
      <c r="AT24" s="117">
        <f>SUMPRODUCT(($H24:$N24="M")*6+($H24:$N24="T")*6+($H24:$N24="D")*12+($H24:$N24="N")*12+($H24:$N24="NT")*6+($H24:$N24="C")*10+($H24:$N24="A")*8+($H24:$N24="J")*5+($H24:$N24="CEP")*4+($H24:$N24="CP")*6+($H24:$N24="CRO")*6+($H24:$N24="M+")*6+($H24:$N24="T+")*6+($H24:$N24="D+")*12+($H24:$N24="N+")*12+($H24:$N24="Dm+")*12+($H24:$N24="Dt+")*12+($H24:$N24="Tm-")*6+($H24:$N24="Mt-")*6)</f>
        <v/>
      </c>
      <c r="AU24" s="118">
        <f>AT24-MAX(0,IFERROR(INDEX(CADASTRO!$I$4:$I$80,MATCH($A24,CADASTRO!$A$4:$A$80,0)),$B24)-CONFIG!$B$50*(COUNTIF($H24:$N24,"AB")+COUNTIF($H24:$N24,"FE")+COUNTIF($H24:$N24,"LM")))</f>
        <v/>
      </c>
      <c r="AV24" s="117">
        <f>SUMPRODUCT(($O24:$U24="M")*6+($O24:$U24="T")*6+($O24:$U24="D")*12+($O24:$U24="N")*12+($O24:$U24="NT")*6+($O24:$U24="C")*10+($O24:$U24="A")*8+($O24:$U24="J")*5+($O24:$U24="CEP")*4+($O24:$U24="CP")*6+($O24:$U24="CRO")*6+($O24:$U24="M+")*6+($O24:$U24="T+")*6+($O24:$U24="D+")*12+($O24:$U24="N+")*12+($O24:$U24="Dm+")*12+($O24:$U24="Dt+")*12+($O24:$U24="Tm-")*6+($O24:$U24="Mt-")*6)</f>
        <v/>
      </c>
      <c r="AW24" s="118">
        <f>AV24-MAX(0,IFERROR(INDEX(CADASTRO!$I$4:$I$80,MATCH($A24,CADASTRO!$A$4:$A$80,0)),$B24)-CONFIG!$B$50*(COUNTIF($O24:$U24,"AB")+COUNTIF($O24:$U24,"FE")+COUNTIF($O24:$U24,"LM")))</f>
        <v/>
      </c>
      <c r="AX24" s="117">
        <f>SUMPRODUCT(($V24:$AB24="M")*6+($V24:$AB24="T")*6+($V24:$AB24="D")*12+($V24:$AB24="N")*12+($V24:$AB24="NT")*6+($V24:$AB24="C")*10+($V24:$AB24="A")*8+($V24:$AB24="J")*5+($V24:$AB24="CEP")*4+($V24:$AB24="CP")*6+($V24:$AB24="CRO")*6+($V24:$AB24="M+")*6+($V24:$AB24="T+")*6+($V24:$AB24="D+")*12+($V24:$AB24="N+")*12+($V24:$AB24="Dm+")*12+($V24:$AB24="Dt+")*12+($V24:$AB24="Tm-")*6+($V24:$AB24="Mt-")*6)</f>
        <v/>
      </c>
      <c r="AY24" s="118">
        <f>AX24-MAX(0,IFERROR(INDEX(CADASTRO!$I$4:$I$80,MATCH($A24,CADASTRO!$A$4:$A$80,0)),$B24)-CONFIG!$B$50*(COUNTIF($V24:$AB24,"AB")+COUNTIF($V24:$AB24,"FE")+COUNTIF($V24:$AB24,"LM")))</f>
        <v/>
      </c>
      <c r="AZ24" s="117">
        <f>SUMPRODUCT(($AC24:$AI24="M")*6+($AC24:$AI24="T")*6+($AC24:$AI24="D")*12+($AC24:$AI24="N")*12+($AC24:$AI24="NT")*6+($AC24:$AI24="C")*10+($AC24:$AI24="A")*8+($AC24:$AI24="J")*5+($AC24:$AI24="CEP")*4+($AC24:$AI24="CP")*6+($AC24:$AI24="CRO")*6+($AC24:$AI24="M+")*6+($AC24:$AI24="T+")*6+($AC24:$AI24="D+")*12+($AC24:$AI24="N+")*12+($AC24:$AI24="Dm+")*12+($AC24:$AI24="Dt+")*12+($AC24:$AI24="Tm-")*6+($AC24:$AI24="Mt-")*6)</f>
        <v/>
      </c>
      <c r="BA24" s="118">
        <f>AZ24-MAX(0,IFERROR(INDEX(CADASTRO!$I$4:$I$80,MATCH($A24,CADASTRO!$A$4:$A$80,0)),$B24)-CONFIG!$B$50*(COUNTIF($AC24:$AI24,"AB")+COUNTIF($AC24:$AI24,"FE")+COUNTIF($AC24:$AI24,"LM")))</f>
        <v/>
      </c>
      <c r="BB24" s="117">
        <f>SUMPRODUCT(($AJ24:$AM24="M")*6+($AJ24:$AM24="T")*6+($AJ24:$AM24="D")*12+($AJ24:$AM24="N")*12+($AJ24:$AM24="NT")*6+($AJ24:$AM24="C")*10+($AJ24:$AM24="A")*8+($AJ24:$AM24="J")*5+($AJ24:$AM24="CEP")*4+($AJ24:$AM24="CP")*6+($AJ24:$AM24="CRO")*6+($AJ24:$AM24="M+")*6+($AJ24:$AM24="T+")*6+($AJ24:$AM24="D+")*12+($AJ24:$AM24="N+")*12+($AJ24:$AM24="Dm+")*12+($AJ24:$AM24="Dt+")*12+($AJ24:$AM24="Tm-")*6+($AJ24:$AM24="Mt-")*6)+SUMPRODUCT(($AN24:$AP24="M")*6+($AN24:$AP24="T")*6+($AN24:$AP24="D")*12+($AN24:$AP24="N")*12+($AN24:$AP24="NT")*6+($AN24:$AP24="C")*10+($AN24:$AP24="A")*8+($AN24:$AP24="J")*5+($AN24:$AP24="CEP")*4+($AN24:$AP24="CP")*6+($AN24:$AP24="CRO")*6+($AN24:$AP24="M+")*6+($AN24:$AP24="T+")*6+($AN24:$AP24="D+")*12+($AN24:$AP24="N+")*12+($AN24:$AP24="Dm+")*12+($AN24:$AP24="Dt+")*12+($AN24:$AP24="Tm-")*6+($AN24:$AP24="Mt-")*6)</f>
        <v/>
      </c>
      <c r="BC24" s="118">
        <f>BB24-MAX(0,IFERROR(INDEX(CADASTRO!$I$4:$I$80,MATCH($A24,CADASTRO!$A$4:$A$80,0)),$B24)-CONFIG!$B$50*(COUNTIF($AJ24:$AM24,"AB")+COUNTIF($AJ24:$AM24,"FE")+COUNTIF($AJ24:$AM24,"LM")+COUNTIF($AN24:$AP24,"AB")+COUNTIF($AN24:$AP24,"FE")+COUNTIF($AN24:$AP24,"LM")))</f>
        <v/>
      </c>
      <c r="BD24" s="117" t="n"/>
      <c r="BE24" s="118" t="n"/>
      <c r="BF24" s="117">
        <f>SUMPRODUCT(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G24" s="117">
        <f>SUMPRODUCT($I$4:$AM$4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H24" s="117">
        <f>SUMPRODUCT($I$5:$AM$5,(($I24:$AM24="N")+($I24:$AM24="N+")))</f>
        <v/>
      </c>
      <c r="BI24" s="117">
        <f>SUMPRODUCT($I$6:$AM$6,($I24:$AM24="M")*6+($I24:$AM24="T")*6+($I24:$AM24="D")*12+($I24:$AM24="N")*12+($I24:$AM24="NT")*6+($I24:$AM24="C")*10+($I24:$AM24="A")*8+($I24:$AM24="J")*5+($I24:$AM24="CEP")*4+($I24:$AM24="CP")*6+($I24:$AM24="CRO")*6+($I24:$AM24="M+")*6+($I24:$AM24="T+")*6+($I24:$AM24="D+")*12+($I24:$AM24="N+")*12+($I24:$AM24="Dm+")*12+($I24:$AM24="Dt+")*12+($I24:$AM24="Tm-")*6+($I24:$AM24="Mt-")*6)</f>
        <v/>
      </c>
      <c r="BJ24" s="117">
        <f>ROUND(B24*4.43,0)</f>
        <v/>
      </c>
      <c r="BK24" s="119">
        <f>BF24-BJ24</f>
        <v/>
      </c>
      <c r="BL24" s="120">
        <f>SUMPRODUCT((($C24:$AL24="N")+($C24:$AL24="N+"))*(($D24:$AM24="M")+($D24:$AM24="D")+($D24:$AM24="C")+($D24:$AM24="CEP")+($D24:$AM24="M+")+($D24:$AM24="D+")+($D24:$AM24="Dm+")+($D24:$AM24="Dt+")+($D24:$AM24="Mt-")))</f>
        <v/>
      </c>
      <c r="BM24" s="120">
        <f>SUMPRODUCT((($C24:$AL24="N")+($C24:$AL24="N+"))*(($D24:$AM24="T")+($D24:$AM24="T+")+($D24:$AM24="Tm-")))</f>
        <v/>
      </c>
      <c r="BN24" s="120">
        <f>IFERROR(INDEX(CONFIG!$B$44:$D$46,MATCH($B24,CONFIG!$A$44:$A$46,0),IF(COUNTIF($I24:$AM24,"FE")&gt;=10,1,IF(COUNTIF($I24:$AM24,"FE")&gt;=1,2,3))),"")</f>
        <v/>
      </c>
      <c r="BO24" s="120">
        <f>IF(BN24="","",MAX(0,BG24-BN24*CONFIG!$E$44))</f>
        <v/>
      </c>
      <c r="BP24" s="120">
        <f>MAX(AT24,AV24,AX24,AZ24,BB24,BD24)</f>
        <v/>
      </c>
      <c r="BQ24" s="121" t="inlineStr">
        <is>
          <t>3 · staff</t>
        </is>
      </c>
      <c r="BR24" s="122" t="n">
        <v>7</v>
      </c>
      <c r="BS24" s="39" t="n"/>
    </row>
    <row r="25">
      <c r="A25" s="89" t="inlineStr">
        <is>
          <t>Neyde</t>
        </is>
      </c>
      <c r="B25" s="107" t="n">
        <v>36</v>
      </c>
      <c r="C25" s="100" t="n"/>
      <c r="D25" s="100" t="n"/>
      <c r="E25" s="100" t="n"/>
      <c r="F25" s="100" t="n"/>
      <c r="G25" s="100" t="n"/>
      <c r="H25" s="136">
        <f>IFERROR(INDEX(NOV!AL$8:AL$73,MATCH($A25,NOV!$A$8:$A$73,0))&amp;"","")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  <c r="AD25" s="114" t="n"/>
      <c r="AE25" s="114" t="n"/>
      <c r="AF25" s="114" t="n"/>
      <c r="AG25" s="114" t="n"/>
      <c r="AH25" s="114" t="n"/>
      <c r="AI25" s="114" t="n"/>
      <c r="AJ25" s="114" t="n"/>
      <c r="AK25" s="114" t="n"/>
      <c r="AL25" s="114" t="n"/>
      <c r="AM25" s="114" t="n"/>
      <c r="AN25" s="100" t="n"/>
      <c r="AO25" s="100" t="n"/>
      <c r="AP25" s="100" t="n"/>
      <c r="AQ25" s="100" t="n"/>
      <c r="AR25" s="100" t="n"/>
      <c r="AS25" s="100" t="n"/>
      <c r="AT25" s="117">
        <f>SUMPRODUCT(($H25:$N25="M")*6+($H25:$N25="T")*6+($H25:$N25="D")*12+($H25:$N25="N")*12+($H25:$N25="NT")*6+($H25:$N25="C")*10+($H25:$N25="A")*8+($H25:$N25="J")*5+($H25:$N25="CEP")*4+($H25:$N25="CP")*6+($H25:$N25="CRO")*6+($H25:$N25="M+")*6+($H25:$N25="T+")*6+($H25:$N25="D+")*12+($H25:$N25="N+")*12+($H25:$N25="Dm+")*12+($H25:$N25="Dt+")*12+($H25:$N25="Tm-")*6+($H25:$N25="Mt-")*6)</f>
        <v/>
      </c>
      <c r="AU25" s="118">
        <f>AT25-MAX(0,IFERROR(INDEX(CADASTRO!$I$4:$I$80,MATCH($A25,CADASTRO!$A$4:$A$80,0)),$B25)-CONFIG!$B$50*(COUNTIF($H25:$N25,"AB")+COUNTIF($H25:$N25,"FE")+COUNTIF($H25:$N25,"LM")))</f>
        <v/>
      </c>
      <c r="AV25" s="117">
        <f>SUMPRODUCT(($O25:$U25="M")*6+($O25:$U25="T")*6+($O25:$U25="D")*12+($O25:$U25="N")*12+($O25:$U25="NT")*6+($O25:$U25="C")*10+($O25:$U25="A")*8+($O25:$U25="J")*5+($O25:$U25="CEP")*4+($O25:$U25="CP")*6+($O25:$U25="CRO")*6+($O25:$U25="M+")*6+($O25:$U25="T+")*6+($O25:$U25="D+")*12+($O25:$U25="N+")*12+($O25:$U25="Dm+")*12+($O25:$U25="Dt+")*12+($O25:$U25="Tm-")*6+($O25:$U25="Mt-")*6)</f>
        <v/>
      </c>
      <c r="AW25" s="118">
        <f>AV25-MAX(0,IFERROR(INDEX(CADASTRO!$I$4:$I$80,MATCH($A25,CADASTRO!$A$4:$A$80,0)),$B25)-CONFIG!$B$50*(COUNTIF($O25:$U25,"AB")+COUNTIF($O25:$U25,"FE")+COUNTIF($O25:$U25,"LM")))</f>
        <v/>
      </c>
      <c r="AX25" s="117">
        <f>SUMPRODUCT(($V25:$AB25="M")*6+($V25:$AB25="T")*6+($V25:$AB25="D")*12+($V25:$AB25="N")*12+($V25:$AB25="NT")*6+($V25:$AB25="C")*10+($V25:$AB25="A")*8+($V25:$AB25="J")*5+($V25:$AB25="CEP")*4+($V25:$AB25="CP")*6+($V25:$AB25="CRO")*6+($V25:$AB25="M+")*6+($V25:$AB25="T+")*6+($V25:$AB25="D+")*12+($V25:$AB25="N+")*12+($V25:$AB25="Dm+")*12+($V25:$AB25="Dt+")*12+($V25:$AB25="Tm-")*6+($V25:$AB25="Mt-")*6)</f>
        <v/>
      </c>
      <c r="AY25" s="118">
        <f>AX25-MAX(0,IFERROR(INDEX(CADASTRO!$I$4:$I$80,MATCH($A25,CADASTRO!$A$4:$A$80,0)),$B25)-CONFIG!$B$50*(COUNTIF($V25:$AB25,"AB")+COUNTIF($V25:$AB25,"FE")+COUNTIF($V25:$AB25,"LM")))</f>
        <v/>
      </c>
      <c r="AZ25" s="117">
        <f>SUMPRODUCT(($AC25:$AI25="M")*6+($AC25:$AI25="T")*6+($AC25:$AI25="D")*12+($AC25:$AI25="N")*12+($AC25:$AI25="NT")*6+($AC25:$AI25="C")*10+($AC25:$AI25="A")*8+($AC25:$AI25="J")*5+($AC25:$AI25="CEP")*4+($AC25:$AI25="CP")*6+($AC25:$AI25="CRO")*6+($AC25:$AI25="M+")*6+($AC25:$AI25="T+")*6+($AC25:$AI25="D+")*12+($AC25:$AI25="N+")*12+($AC25:$AI25="Dm+")*12+($AC25:$AI25="Dt+")*12+($AC25:$AI25="Tm-")*6+($AC25:$AI25="Mt-")*6)</f>
        <v/>
      </c>
      <c r="BA25" s="118">
        <f>AZ25-MAX(0,IFERROR(INDEX(CADASTRO!$I$4:$I$80,MATCH($A25,CADASTRO!$A$4:$A$80,0)),$B25)-CONFIG!$B$50*(COUNTIF($AC25:$AI25,"AB")+COUNTIF($AC25:$AI25,"FE")+COUNTIF($AC25:$AI25,"LM")))</f>
        <v/>
      </c>
      <c r="BB25" s="117">
        <f>SUMPRODUCT(($AJ25:$AM25="M")*6+($AJ25:$AM25="T")*6+($AJ25:$AM25="D")*12+($AJ25:$AM25="N")*12+($AJ25:$AM25="NT")*6+($AJ25:$AM25="C")*10+($AJ25:$AM25="A")*8+($AJ25:$AM25="J")*5+($AJ25:$AM25="CEP")*4+($AJ25:$AM25="CP")*6+($AJ25:$AM25="CRO")*6+($AJ25:$AM25="M+")*6+($AJ25:$AM25="T+")*6+($AJ25:$AM25="D+")*12+($AJ25:$AM25="N+")*12+($AJ25:$AM25="Dm+")*12+($AJ25:$AM25="Dt+")*12+($AJ25:$AM25="Tm-")*6+($AJ25:$AM25="Mt-")*6)+SUMPRODUCT(($AN25:$AP25="M")*6+($AN25:$AP25="T")*6+($AN25:$AP25="D")*12+($AN25:$AP25="N")*12+($AN25:$AP25="NT")*6+($AN25:$AP25="C")*10+($AN25:$AP25="A")*8+($AN25:$AP25="J")*5+($AN25:$AP25="CEP")*4+($AN25:$AP25="CP")*6+($AN25:$AP25="CRO")*6+($AN25:$AP25="M+")*6+($AN25:$AP25="T+")*6+($AN25:$AP25="D+")*12+($AN25:$AP25="N+")*12+($AN25:$AP25="Dm+")*12+($AN25:$AP25="Dt+")*12+($AN25:$AP25="Tm-")*6+($AN25:$AP25="Mt-")*6)</f>
        <v/>
      </c>
      <c r="BC25" s="118">
        <f>BB25-MAX(0,IFERROR(INDEX(CADASTRO!$I$4:$I$80,MATCH($A25,CADASTRO!$A$4:$A$80,0)),$B25)-CONFIG!$B$50*(COUNTIF($AJ25:$AM25,"AB")+COUNTIF($AJ25:$AM25,"FE")+COUNTIF($AJ25:$AM25,"LM")+COUNTIF($AN25:$AP25,"AB")+COUNTIF($AN25:$AP25,"FE")+COUNTIF($AN25:$AP25,"LM")))</f>
        <v/>
      </c>
      <c r="BD25" s="117" t="n"/>
      <c r="BE25" s="118" t="n"/>
      <c r="BF25" s="117">
        <f>SUMPRODUCT(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G25" s="117">
        <f>SUMPRODUCT($I$4:$AM$4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H25" s="117">
        <f>SUMPRODUCT($I$5:$AM$5,(($I25:$AM25="N")+($I25:$AM25="N+")))</f>
        <v/>
      </c>
      <c r="BI25" s="117">
        <f>SUMPRODUCT($I$6:$AM$6,($I25:$AM25="M")*6+($I25:$AM25="T")*6+($I25:$AM25="D")*12+($I25:$AM25="N")*12+($I25:$AM25="NT")*6+($I25:$AM25="C")*10+($I25:$AM25="A")*8+($I25:$AM25="J")*5+($I25:$AM25="CEP")*4+($I25:$AM25="CP")*6+($I25:$AM25="CRO")*6+($I25:$AM25="M+")*6+($I25:$AM25="T+")*6+($I25:$AM25="D+")*12+($I25:$AM25="N+")*12+($I25:$AM25="Dm+")*12+($I25:$AM25="Dt+")*12+($I25:$AM25="Tm-")*6+($I25:$AM25="Mt-")*6)</f>
        <v/>
      </c>
      <c r="BJ25" s="117">
        <f>ROUND(B25*4.43,0)</f>
        <v/>
      </c>
      <c r="BK25" s="119">
        <f>BF25-BJ25</f>
        <v/>
      </c>
      <c r="BL25" s="120">
        <f>SUMPRODUCT((($C25:$AL25="N")+($C25:$AL25="N+"))*(($D25:$AM25="M")+($D25:$AM25="D")+($D25:$AM25="C")+($D25:$AM25="CEP")+($D25:$AM25="M+")+($D25:$AM25="D+")+($D25:$AM25="Dm+")+($D25:$AM25="Dt+")+($D25:$AM25="Mt-")))</f>
        <v/>
      </c>
      <c r="BM25" s="120">
        <f>SUMPRODUCT((($C25:$AL25="N")+($C25:$AL25="N+"))*(($D25:$AM25="T")+($D25:$AM25="T+")+($D25:$AM25="Tm-")))</f>
        <v/>
      </c>
      <c r="BN25" s="120">
        <f>IFERROR(INDEX(CONFIG!$B$44:$D$46,MATCH($B25,CONFIG!$A$44:$A$46,0),IF(COUNTIF($I25:$AM25,"FE")&gt;=10,1,IF(COUNTIF($I25:$AM25,"FE")&gt;=1,2,3))),"")</f>
        <v/>
      </c>
      <c r="BO25" s="120">
        <f>IF(BN25="","",MAX(0,BG25-BN25*CONFIG!$E$44))</f>
        <v/>
      </c>
      <c r="BP25" s="120">
        <f>MAX(AT25,AV25,AX25,AZ25,BB25,BD25)</f>
        <v/>
      </c>
      <c r="BQ25" s="121" t="inlineStr">
        <is>
          <t>3 · staff</t>
        </is>
      </c>
      <c r="BR25" s="122" t="n">
        <v>7</v>
      </c>
      <c r="BS25" s="39" t="n"/>
    </row>
    <row r="26">
      <c r="A26" s="89" t="inlineStr">
        <is>
          <t>Roberta</t>
        </is>
      </c>
      <c r="B26" s="107" t="n">
        <v>36</v>
      </c>
      <c r="C26" s="100" t="n"/>
      <c r="D26" s="100" t="n"/>
      <c r="E26" s="100" t="n"/>
      <c r="F26" s="100" t="n"/>
      <c r="G26" s="100" t="n"/>
      <c r="H26" s="136">
        <f>IFERROR(INDEX(NOV!AL$8:AL$73,MATCH($A26,NOV!$A$8:$A$73,0))&amp;"","")</f>
        <v/>
      </c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  <c r="AB26" s="114" t="n"/>
      <c r="AC26" s="114" t="n"/>
      <c r="AD26" s="114" t="n"/>
      <c r="AE26" s="114" t="n"/>
      <c r="AF26" s="114" t="n"/>
      <c r="AG26" s="114" t="n"/>
      <c r="AH26" s="114" t="n"/>
      <c r="AI26" s="114" t="n"/>
      <c r="AJ26" s="114" t="n"/>
      <c r="AK26" s="114" t="n"/>
      <c r="AL26" s="114" t="n"/>
      <c r="AM26" s="114" t="n"/>
      <c r="AN26" s="100" t="n"/>
      <c r="AO26" s="100" t="n"/>
      <c r="AP26" s="100" t="n"/>
      <c r="AQ26" s="100" t="n"/>
      <c r="AR26" s="100" t="n"/>
      <c r="AS26" s="100" t="n"/>
      <c r="AT26" s="117">
        <f>SUMPRODUCT(($H26:$N26="M")*6+($H26:$N26="T")*6+($H26:$N26="D")*12+($H26:$N26="N")*12+($H26:$N26="NT")*6+($H26:$N26="C")*10+($H26:$N26="A")*8+($H26:$N26="J")*5+($H26:$N26="CEP")*4+($H26:$N26="CP")*6+($H26:$N26="CRO")*6+($H26:$N26="M+")*6+($H26:$N26="T+")*6+($H26:$N26="D+")*12+($H26:$N26="N+")*12+($H26:$N26="Dm+")*12+($H26:$N26="Dt+")*12+($H26:$N26="Tm-")*6+($H26:$N26="Mt-")*6)</f>
        <v/>
      </c>
      <c r="AU26" s="118">
        <f>AT26-MAX(0,IFERROR(INDEX(CADASTRO!$I$4:$I$80,MATCH($A26,CADASTRO!$A$4:$A$80,0)),$B26)-CONFIG!$B$50*(COUNTIF($H26:$N26,"AB")+COUNTIF($H26:$N26,"FE")+COUNTIF($H26:$N26,"LM")))</f>
        <v/>
      </c>
      <c r="AV26" s="117">
        <f>SUMPRODUCT(($O26:$U26="M")*6+($O26:$U26="T")*6+($O26:$U26="D")*12+($O26:$U26="N")*12+($O26:$U26="NT")*6+($O26:$U26="C")*10+($O26:$U26="A")*8+($O26:$U26="J")*5+($O26:$U26="CEP")*4+($O26:$U26="CP")*6+($O26:$U26="CRO")*6+($O26:$U26="M+")*6+($O26:$U26="T+")*6+($O26:$U26="D+")*12+($O26:$U26="N+")*12+($O26:$U26="Dm+")*12+($O26:$U26="Dt+")*12+($O26:$U26="Tm-")*6+($O26:$U26="Mt-")*6)</f>
        <v/>
      </c>
      <c r="AW26" s="118">
        <f>AV26-MAX(0,IFERROR(INDEX(CADASTRO!$I$4:$I$80,MATCH($A26,CADASTRO!$A$4:$A$80,0)),$B26)-CONFIG!$B$50*(COUNTIF($O26:$U26,"AB")+COUNTIF($O26:$U26,"FE")+COUNTIF($O26:$U26,"LM")))</f>
        <v/>
      </c>
      <c r="AX26" s="117">
        <f>SUMPRODUCT(($V26:$AB26="M")*6+($V26:$AB26="T")*6+($V26:$AB26="D")*12+($V26:$AB26="N")*12+($V26:$AB26="NT")*6+($V26:$AB26="C")*10+($V26:$AB26="A")*8+($V26:$AB26="J")*5+($V26:$AB26="CEP")*4+($V26:$AB26="CP")*6+($V26:$AB26="CRO")*6+($V26:$AB26="M+")*6+($V26:$AB26="T+")*6+($V26:$AB26="D+")*12+($V26:$AB26="N+")*12+($V26:$AB26="Dm+")*12+($V26:$AB26="Dt+")*12+($V26:$AB26="Tm-")*6+($V26:$AB26="Mt-")*6)</f>
        <v/>
      </c>
      <c r="AY26" s="118">
        <f>AX26-MAX(0,IFERROR(INDEX(CADASTRO!$I$4:$I$80,MATCH($A26,CADASTRO!$A$4:$A$80,0)),$B26)-CONFIG!$B$50*(COUNTIF($V26:$AB26,"AB")+COUNTIF($V26:$AB26,"FE")+COUNTIF($V26:$AB26,"LM")))</f>
        <v/>
      </c>
      <c r="AZ26" s="117">
        <f>SUMPRODUCT(($AC26:$AI26="M")*6+($AC26:$AI26="T")*6+($AC26:$AI26="D")*12+($AC26:$AI26="N")*12+($AC26:$AI26="NT")*6+($AC26:$AI26="C")*10+($AC26:$AI26="A")*8+($AC26:$AI26="J")*5+($AC26:$AI26="CEP")*4+($AC26:$AI26="CP")*6+($AC26:$AI26="CRO")*6+($AC26:$AI26="M+")*6+($AC26:$AI26="T+")*6+($AC26:$AI26="D+")*12+($AC26:$AI26="N+")*12+($AC26:$AI26="Dm+")*12+($AC26:$AI26="Dt+")*12+($AC26:$AI26="Tm-")*6+($AC26:$AI26="Mt-")*6)</f>
        <v/>
      </c>
      <c r="BA26" s="118">
        <f>AZ26-MAX(0,IFERROR(INDEX(CADASTRO!$I$4:$I$80,MATCH($A26,CADASTRO!$A$4:$A$80,0)),$B26)-CONFIG!$B$50*(COUNTIF($AC26:$AI26,"AB")+COUNTIF($AC26:$AI26,"FE")+COUNTIF($AC26:$AI26,"LM")))</f>
        <v/>
      </c>
      <c r="BB26" s="117">
        <f>SUMPRODUCT(($AJ26:$AM26="M")*6+($AJ26:$AM26="T")*6+($AJ26:$AM26="D")*12+($AJ26:$AM26="N")*12+($AJ26:$AM26="NT")*6+($AJ26:$AM26="C")*10+($AJ26:$AM26="A")*8+($AJ26:$AM26="J")*5+($AJ26:$AM26="CEP")*4+($AJ26:$AM26="CP")*6+($AJ26:$AM26="CRO")*6+($AJ26:$AM26="M+")*6+($AJ26:$AM26="T+")*6+($AJ26:$AM26="D+")*12+($AJ26:$AM26="N+")*12+($AJ26:$AM26="Dm+")*12+($AJ26:$AM26="Dt+")*12+($AJ26:$AM26="Tm-")*6+($AJ26:$AM26="Mt-")*6)+SUMPRODUCT(($AN26:$AP26="M")*6+($AN26:$AP26="T")*6+($AN26:$AP26="D")*12+($AN26:$AP26="N")*12+($AN26:$AP26="NT")*6+($AN26:$AP26="C")*10+($AN26:$AP26="A")*8+($AN26:$AP26="J")*5+($AN26:$AP26="CEP")*4+($AN26:$AP26="CP")*6+($AN26:$AP26="CRO")*6+($AN26:$AP26="M+")*6+($AN26:$AP26="T+")*6+($AN26:$AP26="D+")*12+($AN26:$AP26="N+")*12+($AN26:$AP26="Dm+")*12+($AN26:$AP26="Dt+")*12+($AN26:$AP26="Tm-")*6+($AN26:$AP26="Mt-")*6)</f>
        <v/>
      </c>
      <c r="BC26" s="118">
        <f>BB26-MAX(0,IFERROR(INDEX(CADASTRO!$I$4:$I$80,MATCH($A26,CADASTRO!$A$4:$A$80,0)),$B26)-CONFIG!$B$50*(COUNTIF($AJ26:$AM26,"AB")+COUNTIF($AJ26:$AM26,"FE")+COUNTIF($AJ26:$AM26,"LM")+COUNTIF($AN26:$AP26,"AB")+COUNTIF($AN26:$AP26,"FE")+COUNTIF($AN26:$AP26,"LM")))</f>
        <v/>
      </c>
      <c r="BD26" s="117" t="n"/>
      <c r="BE26" s="118" t="n"/>
      <c r="BF26" s="117">
        <f>SUMPRODUCT(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G26" s="117">
        <f>SUMPRODUCT($I$4:$AM$4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H26" s="117">
        <f>SUMPRODUCT($I$5:$AM$5,(($I26:$AM26="N")+($I26:$AM26="N+")))</f>
        <v/>
      </c>
      <c r="BI26" s="117">
        <f>SUMPRODUCT($I$6:$AM$6,($I26:$AM26="M")*6+($I26:$AM26="T")*6+($I26:$AM26="D")*12+($I26:$AM26="N")*12+($I26:$AM26="NT")*6+($I26:$AM26="C")*10+($I26:$AM26="A")*8+($I26:$AM26="J")*5+($I26:$AM26="CEP")*4+($I26:$AM26="CP")*6+($I26:$AM26="CRO")*6+($I26:$AM26="M+")*6+($I26:$AM26="T+")*6+($I26:$AM26="D+")*12+($I26:$AM26="N+")*12+($I26:$AM26="Dm+")*12+($I26:$AM26="Dt+")*12+($I26:$AM26="Tm-")*6+($I26:$AM26="Mt-")*6)</f>
        <v/>
      </c>
      <c r="BJ26" s="117">
        <f>ROUND(B26*4.43,0)</f>
        <v/>
      </c>
      <c r="BK26" s="119">
        <f>BF26-BJ26</f>
        <v/>
      </c>
      <c r="BL26" s="120">
        <f>SUMPRODUCT((($C26:$AL26="N")+($C26:$AL26="N+"))*(($D26:$AM26="M")+($D26:$AM26="D")+($D26:$AM26="C")+($D26:$AM26="CEP")+($D26:$AM26="M+")+($D26:$AM26="D+")+($D26:$AM26="Dm+")+($D26:$AM26="Dt+")+($D26:$AM26="Mt-")))</f>
        <v/>
      </c>
      <c r="BM26" s="120">
        <f>SUMPRODUCT((($C26:$AL26="N")+($C26:$AL26="N+"))*(($D26:$AM26="T")+($D26:$AM26="T+")+($D26:$AM26="Tm-")))</f>
        <v/>
      </c>
      <c r="BN26" s="120">
        <f>IFERROR(INDEX(CONFIG!$B$44:$D$46,MATCH($B26,CONFIG!$A$44:$A$46,0),IF(COUNTIF($I26:$AM26,"FE")&gt;=10,1,IF(COUNTIF($I26:$AM26,"FE")&gt;=1,2,3))),"")</f>
        <v/>
      </c>
      <c r="BO26" s="120">
        <f>IF(BN26="","",MAX(0,BG26-BN26*CONFIG!$E$44))</f>
        <v/>
      </c>
      <c r="BP26" s="120">
        <f>MAX(AT26,AV26,AX26,AZ26,BB26,BD26)</f>
        <v/>
      </c>
      <c r="BQ26" s="121" t="inlineStr">
        <is>
          <t>3 · staff</t>
        </is>
      </c>
      <c r="BR26" s="122" t="n">
        <v>7</v>
      </c>
      <c r="BS26" s="39" t="n"/>
    </row>
    <row r="27">
      <c r="A27" s="89" t="inlineStr">
        <is>
          <t>LuAlice</t>
        </is>
      </c>
      <c r="B27" s="107" t="n">
        <v>36</v>
      </c>
      <c r="C27" s="100" t="n"/>
      <c r="D27" s="100" t="n"/>
      <c r="E27" s="100" t="n"/>
      <c r="F27" s="100" t="n"/>
      <c r="G27" s="100" t="n"/>
      <c r="H27" s="136">
        <f>IFERROR(INDEX(NOV!AL$8:AL$73,MATCH($A27,NOV!$A$8:$A$73,0))&amp;"","")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  <c r="AD27" s="114" t="n"/>
      <c r="AE27" s="114" t="n"/>
      <c r="AF27" s="114" t="n"/>
      <c r="AG27" s="114" t="n"/>
      <c r="AH27" s="114" t="n"/>
      <c r="AI27" s="114" t="n"/>
      <c r="AJ27" s="114" t="n"/>
      <c r="AK27" s="114" t="n"/>
      <c r="AL27" s="114" t="n"/>
      <c r="AM27" s="114" t="n"/>
      <c r="AN27" s="100" t="n"/>
      <c r="AO27" s="100" t="n"/>
      <c r="AP27" s="100" t="n"/>
      <c r="AQ27" s="100" t="n"/>
      <c r="AR27" s="100" t="n"/>
      <c r="AS27" s="100" t="n"/>
      <c r="AT27" s="117">
        <f>SUMPRODUCT(($H27:$N27="M")*6+($H27:$N27="T")*6+($H27:$N27="D")*12+($H27:$N27="N")*12+($H27:$N27="NT")*6+($H27:$N27="C")*10+($H27:$N27="A")*8+($H27:$N27="J")*5+($H27:$N27="CEP")*4+($H27:$N27="CP")*6+($H27:$N27="CRO")*6+($H27:$N27="M+")*6+($H27:$N27="T+")*6+($H27:$N27="D+")*12+($H27:$N27="N+")*12+($H27:$N27="Dm+")*12+($H27:$N27="Dt+")*12+($H27:$N27="Tm-")*6+($H27:$N27="Mt-")*6)</f>
        <v/>
      </c>
      <c r="AU27" s="118">
        <f>AT27-MAX(0,IFERROR(INDEX(CADASTRO!$I$4:$I$80,MATCH($A27,CADASTRO!$A$4:$A$80,0)),$B27)-CONFIG!$B$50*(COUNTIF($H27:$N27,"AB")+COUNTIF($H27:$N27,"FE")+COUNTIF($H27:$N27,"LM")))</f>
        <v/>
      </c>
      <c r="AV27" s="117">
        <f>SUMPRODUCT(($O27:$U27="M")*6+($O27:$U27="T")*6+($O27:$U27="D")*12+($O27:$U27="N")*12+($O27:$U27="NT")*6+($O27:$U27="C")*10+($O27:$U27="A")*8+($O27:$U27="J")*5+($O27:$U27="CEP")*4+($O27:$U27="CP")*6+($O27:$U27="CRO")*6+($O27:$U27="M+")*6+($O27:$U27="T+")*6+($O27:$U27="D+")*12+($O27:$U27="N+")*12+($O27:$U27="Dm+")*12+($O27:$U27="Dt+")*12+($O27:$U27="Tm-")*6+($O27:$U27="Mt-")*6)</f>
        <v/>
      </c>
      <c r="AW27" s="118">
        <f>AV27-MAX(0,IFERROR(INDEX(CADASTRO!$I$4:$I$80,MATCH($A27,CADASTRO!$A$4:$A$80,0)),$B27)-CONFIG!$B$50*(COUNTIF($O27:$U27,"AB")+COUNTIF($O27:$U27,"FE")+COUNTIF($O27:$U27,"LM")))</f>
        <v/>
      </c>
      <c r="AX27" s="117">
        <f>SUMPRODUCT(($V27:$AB27="M")*6+($V27:$AB27="T")*6+($V27:$AB27="D")*12+($V27:$AB27="N")*12+($V27:$AB27="NT")*6+($V27:$AB27="C")*10+($V27:$AB27="A")*8+($V27:$AB27="J")*5+($V27:$AB27="CEP")*4+($V27:$AB27="CP")*6+($V27:$AB27="CRO")*6+($V27:$AB27="M+")*6+($V27:$AB27="T+")*6+($V27:$AB27="D+")*12+($V27:$AB27="N+")*12+($V27:$AB27="Dm+")*12+($V27:$AB27="Dt+")*12+($V27:$AB27="Tm-")*6+($V27:$AB27="Mt-")*6)</f>
        <v/>
      </c>
      <c r="AY27" s="118">
        <f>AX27-MAX(0,IFERROR(INDEX(CADASTRO!$I$4:$I$80,MATCH($A27,CADASTRO!$A$4:$A$80,0)),$B27)-CONFIG!$B$50*(COUNTIF($V27:$AB27,"AB")+COUNTIF($V27:$AB27,"FE")+COUNTIF($V27:$AB27,"LM")))</f>
        <v/>
      </c>
      <c r="AZ27" s="117">
        <f>SUMPRODUCT(($AC27:$AI27="M")*6+($AC27:$AI27="T")*6+($AC27:$AI27="D")*12+($AC27:$AI27="N")*12+($AC27:$AI27="NT")*6+($AC27:$AI27="C")*10+($AC27:$AI27="A")*8+($AC27:$AI27="J")*5+($AC27:$AI27="CEP")*4+($AC27:$AI27="CP")*6+($AC27:$AI27="CRO")*6+($AC27:$AI27="M+")*6+($AC27:$AI27="T+")*6+($AC27:$AI27="D+")*12+($AC27:$AI27="N+")*12+($AC27:$AI27="Dm+")*12+($AC27:$AI27="Dt+")*12+($AC27:$AI27="Tm-")*6+($AC27:$AI27="Mt-")*6)</f>
        <v/>
      </c>
      <c r="BA27" s="118">
        <f>AZ27-MAX(0,IFERROR(INDEX(CADASTRO!$I$4:$I$80,MATCH($A27,CADASTRO!$A$4:$A$80,0)),$B27)-CONFIG!$B$50*(COUNTIF($AC27:$AI27,"AB")+COUNTIF($AC27:$AI27,"FE")+COUNTIF($AC27:$AI27,"LM")))</f>
        <v/>
      </c>
      <c r="BB27" s="117">
        <f>SUMPRODUCT(($AJ27:$AM27="M")*6+($AJ27:$AM27="T")*6+($AJ27:$AM27="D")*12+($AJ27:$AM27="N")*12+($AJ27:$AM27="NT")*6+($AJ27:$AM27="C")*10+($AJ27:$AM27="A")*8+($AJ27:$AM27="J")*5+($AJ27:$AM27="CEP")*4+($AJ27:$AM27="CP")*6+($AJ27:$AM27="CRO")*6+($AJ27:$AM27="M+")*6+($AJ27:$AM27="T+")*6+($AJ27:$AM27="D+")*12+($AJ27:$AM27="N+")*12+($AJ27:$AM27="Dm+")*12+($AJ27:$AM27="Dt+")*12+($AJ27:$AM27="Tm-")*6+($AJ27:$AM27="Mt-")*6)+SUMPRODUCT(($AN27:$AP27="M")*6+($AN27:$AP27="T")*6+($AN27:$AP27="D")*12+($AN27:$AP27="N")*12+($AN27:$AP27="NT")*6+($AN27:$AP27="C")*10+($AN27:$AP27="A")*8+($AN27:$AP27="J")*5+($AN27:$AP27="CEP")*4+($AN27:$AP27="CP")*6+($AN27:$AP27="CRO")*6+($AN27:$AP27="M+")*6+($AN27:$AP27="T+")*6+($AN27:$AP27="D+")*12+($AN27:$AP27="N+")*12+($AN27:$AP27="Dm+")*12+($AN27:$AP27="Dt+")*12+($AN27:$AP27="Tm-")*6+($AN27:$AP27="Mt-")*6)</f>
        <v/>
      </c>
      <c r="BC27" s="118">
        <f>BB27-MAX(0,IFERROR(INDEX(CADASTRO!$I$4:$I$80,MATCH($A27,CADASTRO!$A$4:$A$80,0)),$B27)-CONFIG!$B$50*(COUNTIF($AJ27:$AM27,"AB")+COUNTIF($AJ27:$AM27,"FE")+COUNTIF($AJ27:$AM27,"LM")+COUNTIF($AN27:$AP27,"AB")+COUNTIF($AN27:$AP27,"FE")+COUNTIF($AN27:$AP27,"LM")))</f>
        <v/>
      </c>
      <c r="BD27" s="117" t="n"/>
      <c r="BE27" s="118" t="n"/>
      <c r="BF27" s="117">
        <f>SUMPRODUCT(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G27" s="117">
        <f>SUMPRODUCT($I$4:$AM$4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H27" s="117">
        <f>SUMPRODUCT($I$5:$AM$5,(($I27:$AM27="N")+($I27:$AM27="N+")))</f>
        <v/>
      </c>
      <c r="BI27" s="117">
        <f>SUMPRODUCT($I$6:$AM$6,($I27:$AM27="M")*6+($I27:$AM27="T")*6+($I27:$AM27="D")*12+($I27:$AM27="N")*12+($I27:$AM27="NT")*6+($I27:$AM27="C")*10+($I27:$AM27="A")*8+($I27:$AM27="J")*5+($I27:$AM27="CEP")*4+($I27:$AM27="CP")*6+($I27:$AM27="CRO")*6+($I27:$AM27="M+")*6+($I27:$AM27="T+")*6+($I27:$AM27="D+")*12+($I27:$AM27="N+")*12+($I27:$AM27="Dm+")*12+($I27:$AM27="Dt+")*12+($I27:$AM27="Tm-")*6+($I27:$AM27="Mt-")*6)</f>
        <v/>
      </c>
      <c r="BJ27" s="117">
        <f>ROUND(B27*4.43,0)</f>
        <v/>
      </c>
      <c r="BK27" s="119">
        <f>BF27-BJ27</f>
        <v/>
      </c>
      <c r="BL27" s="120">
        <f>SUMPRODUCT((($C27:$AL27="N")+($C27:$AL27="N+"))*(($D27:$AM27="M")+($D27:$AM27="D")+($D27:$AM27="C")+($D27:$AM27="CEP")+($D27:$AM27="M+")+($D27:$AM27="D+")+($D27:$AM27="Dm+")+($D27:$AM27="Dt+")+($D27:$AM27="Mt-")))</f>
        <v/>
      </c>
      <c r="BM27" s="120">
        <f>SUMPRODUCT((($C27:$AL27="N")+($C27:$AL27="N+"))*(($D27:$AM27="T")+($D27:$AM27="T+")+($D27:$AM27="Tm-")))</f>
        <v/>
      </c>
      <c r="BN27" s="120">
        <f>IFERROR(INDEX(CONFIG!$B$44:$D$46,MATCH($B27,CONFIG!$A$44:$A$46,0),IF(COUNTIF($I27:$AM27,"FE")&gt;=10,1,IF(COUNTIF($I27:$AM27,"FE")&gt;=1,2,3))),"")</f>
        <v/>
      </c>
      <c r="BO27" s="120">
        <f>IF(BN27="","",MAX(0,BG27-BN27*CONFIG!$E$44))</f>
        <v/>
      </c>
      <c r="BP27" s="120">
        <f>MAX(AT27,AV27,AX27,AZ27,BB27,BD27)</f>
        <v/>
      </c>
      <c r="BQ27" s="121" t="inlineStr">
        <is>
          <t>3 · staff</t>
        </is>
      </c>
      <c r="BR27" s="122" t="n">
        <v>7</v>
      </c>
      <c r="BS27" s="39" t="n"/>
    </row>
    <row r="28">
      <c r="A28" s="89" t="inlineStr">
        <is>
          <t>Amanda</t>
        </is>
      </c>
      <c r="B28" s="107" t="n">
        <v>30</v>
      </c>
      <c r="C28" s="100" t="n"/>
      <c r="D28" s="100" t="n"/>
      <c r="E28" s="100" t="n"/>
      <c r="F28" s="100" t="n"/>
      <c r="G28" s="100" t="n"/>
      <c r="H28" s="136">
        <f>IFERROR(INDEX(NOV!AL$8:AL$73,MATCH($A28,NOV!$A$8:$A$73,0))&amp;"","")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  <c r="AB28" s="114" t="n"/>
      <c r="AC28" s="114" t="n"/>
      <c r="AD28" s="114" t="n"/>
      <c r="AE28" s="114" t="n"/>
      <c r="AF28" s="114" t="n"/>
      <c r="AG28" s="114" t="n"/>
      <c r="AH28" s="114" t="n"/>
      <c r="AI28" s="114" t="n"/>
      <c r="AJ28" s="114" t="n"/>
      <c r="AK28" s="114" t="n"/>
      <c r="AL28" s="114" t="n"/>
      <c r="AM28" s="114" t="n"/>
      <c r="AN28" s="100" t="n"/>
      <c r="AO28" s="100" t="n"/>
      <c r="AP28" s="100" t="n"/>
      <c r="AQ28" s="100" t="n"/>
      <c r="AR28" s="100" t="n"/>
      <c r="AS28" s="100" t="n"/>
      <c r="AT28" s="117">
        <f>SUMPRODUCT(($H28:$N28="M")*6+($H28:$N28="T")*6+($H28:$N28="D")*12+($H28:$N28="N")*12+($H28:$N28="NT")*6+($H28:$N28="C")*10+($H28:$N28="A")*8+($H28:$N28="J")*5+($H28:$N28="CEP")*4+($H28:$N28="CP")*6+($H28:$N28="CRO")*6+($H28:$N28="M+")*6+($H28:$N28="T+")*6+($H28:$N28="D+")*12+($H28:$N28="N+")*12+($H28:$N28="Dm+")*12+($H28:$N28="Dt+")*12+($H28:$N28="Tm-")*6+($H28:$N28="Mt-")*6)</f>
        <v/>
      </c>
      <c r="AU28" s="118">
        <f>AT28-MAX(0,IFERROR(INDEX(CADASTRO!$I$4:$I$80,MATCH($A28,CADASTRO!$A$4:$A$80,0)),$B28)-CONFIG!$B$50*(COUNTIF($H28:$N28,"AB")+COUNTIF($H28:$N28,"FE")+COUNTIF($H28:$N28,"LM")))</f>
        <v/>
      </c>
      <c r="AV28" s="117">
        <f>SUMPRODUCT(($O28:$U28="M")*6+($O28:$U28="T")*6+($O28:$U28="D")*12+($O28:$U28="N")*12+($O28:$U28="NT")*6+($O28:$U28="C")*10+($O28:$U28="A")*8+($O28:$U28="J")*5+($O28:$U28="CEP")*4+($O28:$U28="CP")*6+($O28:$U28="CRO")*6+($O28:$U28="M+")*6+($O28:$U28="T+")*6+($O28:$U28="D+")*12+($O28:$U28="N+")*12+($O28:$U28="Dm+")*12+($O28:$U28="Dt+")*12+($O28:$U28="Tm-")*6+($O28:$U28="Mt-")*6)</f>
        <v/>
      </c>
      <c r="AW28" s="118">
        <f>AV28-MAX(0,IFERROR(INDEX(CADASTRO!$I$4:$I$80,MATCH($A28,CADASTRO!$A$4:$A$80,0)),$B28)-CONFIG!$B$50*(COUNTIF($O28:$U28,"AB")+COUNTIF($O28:$U28,"FE")+COUNTIF($O28:$U28,"LM")))</f>
        <v/>
      </c>
      <c r="AX28" s="117">
        <f>SUMPRODUCT(($V28:$AB28="M")*6+($V28:$AB28="T")*6+($V28:$AB28="D")*12+($V28:$AB28="N")*12+($V28:$AB28="NT")*6+($V28:$AB28="C")*10+($V28:$AB28="A")*8+($V28:$AB28="J")*5+($V28:$AB28="CEP")*4+($V28:$AB28="CP")*6+($V28:$AB28="CRO")*6+($V28:$AB28="M+")*6+($V28:$AB28="T+")*6+($V28:$AB28="D+")*12+($V28:$AB28="N+")*12+($V28:$AB28="Dm+")*12+($V28:$AB28="Dt+")*12+($V28:$AB28="Tm-")*6+($V28:$AB28="Mt-")*6)</f>
        <v/>
      </c>
      <c r="AY28" s="118">
        <f>AX28-MAX(0,IFERROR(INDEX(CADASTRO!$I$4:$I$80,MATCH($A28,CADASTRO!$A$4:$A$80,0)),$B28)-CONFIG!$B$50*(COUNTIF($V28:$AB28,"AB")+COUNTIF($V28:$AB28,"FE")+COUNTIF($V28:$AB28,"LM")))</f>
        <v/>
      </c>
      <c r="AZ28" s="117">
        <f>SUMPRODUCT(($AC28:$AI28="M")*6+($AC28:$AI28="T")*6+($AC28:$AI28="D")*12+($AC28:$AI28="N")*12+($AC28:$AI28="NT")*6+($AC28:$AI28="C")*10+($AC28:$AI28="A")*8+($AC28:$AI28="J")*5+($AC28:$AI28="CEP")*4+($AC28:$AI28="CP")*6+($AC28:$AI28="CRO")*6+($AC28:$AI28="M+")*6+($AC28:$AI28="T+")*6+($AC28:$AI28="D+")*12+($AC28:$AI28="N+")*12+($AC28:$AI28="Dm+")*12+($AC28:$AI28="Dt+")*12+($AC28:$AI28="Tm-")*6+($AC28:$AI28="Mt-")*6)</f>
        <v/>
      </c>
      <c r="BA28" s="118">
        <f>AZ28-MAX(0,IFERROR(INDEX(CADASTRO!$I$4:$I$80,MATCH($A28,CADASTRO!$A$4:$A$80,0)),$B28)-CONFIG!$B$50*(COUNTIF($AC28:$AI28,"AB")+COUNTIF($AC28:$AI28,"FE")+COUNTIF($AC28:$AI28,"LM")))</f>
        <v/>
      </c>
      <c r="BB28" s="117">
        <f>SUMPRODUCT(($AJ28:$AM28="M")*6+($AJ28:$AM28="T")*6+($AJ28:$AM28="D")*12+($AJ28:$AM28="N")*12+($AJ28:$AM28="NT")*6+($AJ28:$AM28="C")*10+($AJ28:$AM28="A")*8+($AJ28:$AM28="J")*5+($AJ28:$AM28="CEP")*4+($AJ28:$AM28="CP")*6+($AJ28:$AM28="CRO")*6+($AJ28:$AM28="M+")*6+($AJ28:$AM28="T+")*6+($AJ28:$AM28="D+")*12+($AJ28:$AM28="N+")*12+($AJ28:$AM28="Dm+")*12+($AJ28:$AM28="Dt+")*12+($AJ28:$AM28="Tm-")*6+($AJ28:$AM28="Mt-")*6)+SUMPRODUCT(($AN28:$AP28="M")*6+($AN28:$AP28="T")*6+($AN28:$AP28="D")*12+($AN28:$AP28="N")*12+($AN28:$AP28="NT")*6+($AN28:$AP28="C")*10+($AN28:$AP28="A")*8+($AN28:$AP28="J")*5+($AN28:$AP28="CEP")*4+($AN28:$AP28="CP")*6+($AN28:$AP28="CRO")*6+($AN28:$AP28="M+")*6+($AN28:$AP28="T+")*6+($AN28:$AP28="D+")*12+($AN28:$AP28="N+")*12+($AN28:$AP28="Dm+")*12+($AN28:$AP28="Dt+")*12+($AN28:$AP28="Tm-")*6+($AN28:$AP28="Mt-")*6)</f>
        <v/>
      </c>
      <c r="BC28" s="118">
        <f>BB28-MAX(0,IFERROR(INDEX(CADASTRO!$I$4:$I$80,MATCH($A28,CADASTRO!$A$4:$A$80,0)),$B28)-CONFIG!$B$50*(COUNTIF($AJ28:$AM28,"AB")+COUNTIF($AJ28:$AM28,"FE")+COUNTIF($AJ28:$AM28,"LM")+COUNTIF($AN28:$AP28,"AB")+COUNTIF($AN28:$AP28,"FE")+COUNTIF($AN28:$AP28,"LM")))</f>
        <v/>
      </c>
      <c r="BD28" s="117" t="n"/>
      <c r="BE28" s="118" t="n"/>
      <c r="BF28" s="117">
        <f>SUMPRODUCT(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G28" s="117">
        <f>SUMPRODUCT($I$4:$AM$4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H28" s="117">
        <f>SUMPRODUCT($I$5:$AM$5,(($I28:$AM28="N")+($I28:$AM28="N+")))</f>
        <v/>
      </c>
      <c r="BI28" s="117">
        <f>SUMPRODUCT($I$6:$AM$6,($I28:$AM28="M")*6+($I28:$AM28="T")*6+($I28:$AM28="D")*12+($I28:$AM28="N")*12+($I28:$AM28="NT")*6+($I28:$AM28="C")*10+($I28:$AM28="A")*8+($I28:$AM28="J")*5+($I28:$AM28="CEP")*4+($I28:$AM28="CP")*6+($I28:$AM28="CRO")*6+($I28:$AM28="M+")*6+($I28:$AM28="T+")*6+($I28:$AM28="D+")*12+($I28:$AM28="N+")*12+($I28:$AM28="Dm+")*12+($I28:$AM28="Dt+")*12+($I28:$AM28="Tm-")*6+($I28:$AM28="Mt-")*6)</f>
        <v/>
      </c>
      <c r="BJ28" s="117">
        <f>ROUND(B28*4.43,0)</f>
        <v/>
      </c>
      <c r="BK28" s="119">
        <f>BF28-BJ28</f>
        <v/>
      </c>
      <c r="BL28" s="120">
        <f>SUMPRODUCT((($C28:$AL28="N")+($C28:$AL28="N+"))*(($D28:$AM28="M")+($D28:$AM28="D")+($D28:$AM28="C")+($D28:$AM28="CEP")+($D28:$AM28="M+")+($D28:$AM28="D+")+($D28:$AM28="Dm+")+($D28:$AM28="Dt+")+($D28:$AM28="Mt-")))</f>
        <v/>
      </c>
      <c r="BM28" s="120">
        <f>SUMPRODUCT((($C28:$AL28="N")+($C28:$AL28="N+"))*(($D28:$AM28="T")+($D28:$AM28="T+")+($D28:$AM28="Tm-")))</f>
        <v/>
      </c>
      <c r="BN28" s="120">
        <f>IFERROR(INDEX(CONFIG!$B$44:$D$46,MATCH($B28,CONFIG!$A$44:$A$46,0),IF(COUNTIF($I28:$AM28,"FE")&gt;=10,1,IF(COUNTIF($I28:$AM28,"FE")&gt;=1,2,3))),"")</f>
        <v/>
      </c>
      <c r="BO28" s="120">
        <f>IF(BN28="","",MAX(0,BG28-BN28*CONFIG!$E$44))</f>
        <v/>
      </c>
      <c r="BP28" s="120">
        <f>MAX(AT28,AV28,AX28,AZ28,BB28,BD28)</f>
        <v/>
      </c>
      <c r="BQ28" s="121" t="inlineStr">
        <is>
          <t>3 · staff</t>
        </is>
      </c>
      <c r="BR28" s="122" t="n">
        <v>7</v>
      </c>
      <c r="BS28" s="39" t="n"/>
    </row>
    <row r="29">
      <c r="A29" s="89" t="inlineStr">
        <is>
          <t>Fernando</t>
        </is>
      </c>
      <c r="B29" s="107" t="n">
        <v>30</v>
      </c>
      <c r="C29" s="100" t="n"/>
      <c r="D29" s="100" t="n"/>
      <c r="E29" s="100" t="n"/>
      <c r="F29" s="100" t="n"/>
      <c r="G29" s="100" t="n"/>
      <c r="H29" s="136">
        <f>IFERROR(INDEX(NOV!AL$8:AL$73,MATCH($A29,NOV!$A$8:$A$73,0))&amp;"","")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  <c r="AH29" s="114" t="n"/>
      <c r="AI29" s="114" t="n"/>
      <c r="AJ29" s="114" t="n"/>
      <c r="AK29" s="114" t="n"/>
      <c r="AL29" s="114" t="n"/>
      <c r="AM29" s="114" t="n"/>
      <c r="AN29" s="100" t="n"/>
      <c r="AO29" s="100" t="n"/>
      <c r="AP29" s="100" t="n"/>
      <c r="AQ29" s="100" t="n"/>
      <c r="AR29" s="100" t="n"/>
      <c r="AS29" s="100" t="n"/>
      <c r="AT29" s="117">
        <f>SUMPRODUCT(($H29:$N29="M")*6+($H29:$N29="T")*6+($H29:$N29="D")*12+($H29:$N29="N")*12+($H29:$N29="NT")*6+($H29:$N29="C")*10+($H29:$N29="A")*8+($H29:$N29="J")*5+($H29:$N29="CEP")*4+($H29:$N29="CP")*6+($H29:$N29="CRO")*6+($H29:$N29="M+")*6+($H29:$N29="T+")*6+($H29:$N29="D+")*12+($H29:$N29="N+")*12+($H29:$N29="Dm+")*12+($H29:$N29="Dt+")*12+($H29:$N29="Tm-")*6+($H29:$N29="Mt-")*6)</f>
        <v/>
      </c>
      <c r="AU29" s="118">
        <f>AT29-MAX(0,IFERROR(INDEX(CADASTRO!$I$4:$I$80,MATCH($A29,CADASTRO!$A$4:$A$80,0)),$B29)-CONFIG!$B$50*(COUNTIF($H29:$N29,"AB")+COUNTIF($H29:$N29,"FE")+COUNTIF($H29:$N29,"LM")))</f>
        <v/>
      </c>
      <c r="AV29" s="117">
        <f>SUMPRODUCT(($O29:$U29="M")*6+($O29:$U29="T")*6+($O29:$U29="D")*12+($O29:$U29="N")*12+($O29:$U29="NT")*6+($O29:$U29="C")*10+($O29:$U29="A")*8+($O29:$U29="J")*5+($O29:$U29="CEP")*4+($O29:$U29="CP")*6+($O29:$U29="CRO")*6+($O29:$U29="M+")*6+($O29:$U29="T+")*6+($O29:$U29="D+")*12+($O29:$U29="N+")*12+($O29:$U29="Dm+")*12+($O29:$U29="Dt+")*12+($O29:$U29="Tm-")*6+($O29:$U29="Mt-")*6)</f>
        <v/>
      </c>
      <c r="AW29" s="118">
        <f>AV29-MAX(0,IFERROR(INDEX(CADASTRO!$I$4:$I$80,MATCH($A29,CADASTRO!$A$4:$A$80,0)),$B29)-CONFIG!$B$50*(COUNTIF($O29:$U29,"AB")+COUNTIF($O29:$U29,"FE")+COUNTIF($O29:$U29,"LM")))</f>
        <v/>
      </c>
      <c r="AX29" s="117">
        <f>SUMPRODUCT(($V29:$AB29="M")*6+($V29:$AB29="T")*6+($V29:$AB29="D")*12+($V29:$AB29="N")*12+($V29:$AB29="NT")*6+($V29:$AB29="C")*10+($V29:$AB29="A")*8+($V29:$AB29="J")*5+($V29:$AB29="CEP")*4+($V29:$AB29="CP")*6+($V29:$AB29="CRO")*6+($V29:$AB29="M+")*6+($V29:$AB29="T+")*6+($V29:$AB29="D+")*12+($V29:$AB29="N+")*12+($V29:$AB29="Dm+")*12+($V29:$AB29="Dt+")*12+($V29:$AB29="Tm-")*6+($V29:$AB29="Mt-")*6)</f>
        <v/>
      </c>
      <c r="AY29" s="118">
        <f>AX29-MAX(0,IFERROR(INDEX(CADASTRO!$I$4:$I$80,MATCH($A29,CADASTRO!$A$4:$A$80,0)),$B29)-CONFIG!$B$50*(COUNTIF($V29:$AB29,"AB")+COUNTIF($V29:$AB29,"FE")+COUNTIF($V29:$AB29,"LM")))</f>
        <v/>
      </c>
      <c r="AZ29" s="117">
        <f>SUMPRODUCT(($AC29:$AI29="M")*6+($AC29:$AI29="T")*6+($AC29:$AI29="D")*12+($AC29:$AI29="N")*12+($AC29:$AI29="NT")*6+($AC29:$AI29="C")*10+($AC29:$AI29="A")*8+($AC29:$AI29="J")*5+($AC29:$AI29="CEP")*4+($AC29:$AI29="CP")*6+($AC29:$AI29="CRO")*6+($AC29:$AI29="M+")*6+($AC29:$AI29="T+")*6+($AC29:$AI29="D+")*12+($AC29:$AI29="N+")*12+($AC29:$AI29="Dm+")*12+($AC29:$AI29="Dt+")*12+($AC29:$AI29="Tm-")*6+($AC29:$AI29="Mt-")*6)</f>
        <v/>
      </c>
      <c r="BA29" s="118">
        <f>AZ29-MAX(0,IFERROR(INDEX(CADASTRO!$I$4:$I$80,MATCH($A29,CADASTRO!$A$4:$A$80,0)),$B29)-CONFIG!$B$50*(COUNTIF($AC29:$AI29,"AB")+COUNTIF($AC29:$AI29,"FE")+COUNTIF($AC29:$AI29,"LM")))</f>
        <v/>
      </c>
      <c r="BB29" s="117">
        <f>SUMPRODUCT(($AJ29:$AM29="M")*6+($AJ29:$AM29="T")*6+($AJ29:$AM29="D")*12+($AJ29:$AM29="N")*12+($AJ29:$AM29="NT")*6+($AJ29:$AM29="C")*10+($AJ29:$AM29="A")*8+($AJ29:$AM29="J")*5+($AJ29:$AM29="CEP")*4+($AJ29:$AM29="CP")*6+($AJ29:$AM29="CRO")*6+($AJ29:$AM29="M+")*6+($AJ29:$AM29="T+")*6+($AJ29:$AM29="D+")*12+($AJ29:$AM29="N+")*12+($AJ29:$AM29="Dm+")*12+($AJ29:$AM29="Dt+")*12+($AJ29:$AM29="Tm-")*6+($AJ29:$AM29="Mt-")*6)+SUMPRODUCT(($AN29:$AP29="M")*6+($AN29:$AP29="T")*6+($AN29:$AP29="D")*12+($AN29:$AP29="N")*12+($AN29:$AP29="NT")*6+($AN29:$AP29="C")*10+($AN29:$AP29="A")*8+($AN29:$AP29="J")*5+($AN29:$AP29="CEP")*4+($AN29:$AP29="CP")*6+($AN29:$AP29="CRO")*6+($AN29:$AP29="M+")*6+($AN29:$AP29="T+")*6+($AN29:$AP29="D+")*12+($AN29:$AP29="N+")*12+($AN29:$AP29="Dm+")*12+($AN29:$AP29="Dt+")*12+($AN29:$AP29="Tm-")*6+($AN29:$AP29="Mt-")*6)</f>
        <v/>
      </c>
      <c r="BC29" s="118">
        <f>BB29-MAX(0,IFERROR(INDEX(CADASTRO!$I$4:$I$80,MATCH($A29,CADASTRO!$A$4:$A$80,0)),$B29)-CONFIG!$B$50*(COUNTIF($AJ29:$AM29,"AB")+COUNTIF($AJ29:$AM29,"FE")+COUNTIF($AJ29:$AM29,"LM")+COUNTIF($AN29:$AP29,"AB")+COUNTIF($AN29:$AP29,"FE")+COUNTIF($AN29:$AP29,"LM")))</f>
        <v/>
      </c>
      <c r="BD29" s="117" t="n"/>
      <c r="BE29" s="118" t="n"/>
      <c r="BF29" s="117">
        <f>SUMPRODUCT(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G29" s="117">
        <f>SUMPRODUCT($I$4:$AM$4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H29" s="117">
        <f>SUMPRODUCT($I$5:$AM$5,(($I29:$AM29="N")+($I29:$AM29="N+")))</f>
        <v/>
      </c>
      <c r="BI29" s="117">
        <f>SUMPRODUCT($I$6:$AM$6,($I29:$AM29="M")*6+($I29:$AM29="T")*6+($I29:$AM29="D")*12+($I29:$AM29="N")*12+($I29:$AM29="NT")*6+($I29:$AM29="C")*10+($I29:$AM29="A")*8+($I29:$AM29="J")*5+($I29:$AM29="CEP")*4+($I29:$AM29="CP")*6+($I29:$AM29="CRO")*6+($I29:$AM29="M+")*6+($I29:$AM29="T+")*6+($I29:$AM29="D+")*12+($I29:$AM29="N+")*12+($I29:$AM29="Dm+")*12+($I29:$AM29="Dt+")*12+($I29:$AM29="Tm-")*6+($I29:$AM29="Mt-")*6)</f>
        <v/>
      </c>
      <c r="BJ29" s="117">
        <f>ROUND(B29*4.43,0)</f>
        <v/>
      </c>
      <c r="BK29" s="119">
        <f>BF29-BJ29</f>
        <v/>
      </c>
      <c r="BL29" s="120">
        <f>SUMPRODUCT((($C29:$AL29="N")+($C29:$AL29="N+"))*(($D29:$AM29="M")+($D29:$AM29="D")+($D29:$AM29="C")+($D29:$AM29="CEP")+($D29:$AM29="M+")+($D29:$AM29="D+")+($D29:$AM29="Dm+")+($D29:$AM29="Dt+")+($D29:$AM29="Mt-")))</f>
        <v/>
      </c>
      <c r="BM29" s="120">
        <f>SUMPRODUCT((($C29:$AL29="N")+($C29:$AL29="N+"))*(($D29:$AM29="T")+($D29:$AM29="T+")+($D29:$AM29="Tm-")))</f>
        <v/>
      </c>
      <c r="BN29" s="120">
        <f>IFERROR(INDEX(CONFIG!$B$44:$D$46,MATCH($B29,CONFIG!$A$44:$A$46,0),IF(COUNTIF($I29:$AM29,"FE")&gt;=10,1,IF(COUNTIF($I29:$AM29,"FE")&gt;=1,2,3))),"")</f>
        <v/>
      </c>
      <c r="BO29" s="120">
        <f>IF(BN29="","",MAX(0,BG29-BN29*CONFIG!$E$44))</f>
        <v/>
      </c>
      <c r="BP29" s="120">
        <f>MAX(AT29,AV29,AX29,AZ29,BB29,BD29)</f>
        <v/>
      </c>
      <c r="BQ29" s="121" t="inlineStr">
        <is>
          <t>3 · staff</t>
        </is>
      </c>
      <c r="BR29" s="122" t="n">
        <v>7</v>
      </c>
      <c r="BS29" s="39" t="n"/>
    </row>
    <row r="30">
      <c r="A30" s="89" t="inlineStr">
        <is>
          <t>João</t>
        </is>
      </c>
      <c r="B30" s="107" t="n">
        <v>30</v>
      </c>
      <c r="C30" s="100" t="n"/>
      <c r="D30" s="100" t="n"/>
      <c r="E30" s="100" t="n"/>
      <c r="F30" s="100" t="n"/>
      <c r="G30" s="100" t="n"/>
      <c r="H30" s="136">
        <f>IFERROR(INDEX(NOV!AL$8:AL$73,MATCH($A30,NOV!$A$8:$A$73,0))&amp;"","")</f>
        <v/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14" t="n"/>
      <c r="AF30" s="114" t="n"/>
      <c r="AG30" s="114" t="n"/>
      <c r="AH30" s="114" t="n"/>
      <c r="AI30" s="114" t="n"/>
      <c r="AJ30" s="114" t="n"/>
      <c r="AK30" s="114" t="n"/>
      <c r="AL30" s="114" t="n"/>
      <c r="AM30" s="114" t="n"/>
      <c r="AN30" s="100" t="n"/>
      <c r="AO30" s="100" t="n"/>
      <c r="AP30" s="100" t="n"/>
      <c r="AQ30" s="100" t="n"/>
      <c r="AR30" s="100" t="n"/>
      <c r="AS30" s="100" t="n"/>
      <c r="AT30" s="117">
        <f>SUMPRODUCT(($H30:$N30="M")*6+($H30:$N30="T")*6+($H30:$N30="D")*12+($H30:$N30="N")*12+($H30:$N30="NT")*6+($H30:$N30="C")*10+($H30:$N30="A")*8+($H30:$N30="J")*5+($H30:$N30="CEP")*4+($H30:$N30="CP")*6+($H30:$N30="CRO")*6+($H30:$N30="M+")*6+($H30:$N30="T+")*6+($H30:$N30="D+")*12+($H30:$N30="N+")*12+($H30:$N30="Dm+")*12+($H30:$N30="Dt+")*12+($H30:$N30="Tm-")*6+($H30:$N30="Mt-")*6)</f>
        <v/>
      </c>
      <c r="AU30" s="118">
        <f>AT30-MAX(0,IFERROR(INDEX(CADASTRO!$I$4:$I$80,MATCH($A30,CADASTRO!$A$4:$A$80,0)),$B30)-CONFIG!$B$50*(COUNTIF($H30:$N30,"AB")+COUNTIF($H30:$N30,"FE")+COUNTIF($H30:$N30,"LM")))</f>
        <v/>
      </c>
      <c r="AV30" s="117">
        <f>SUMPRODUCT(($O30:$U30="M")*6+($O30:$U30="T")*6+($O30:$U30="D")*12+($O30:$U30="N")*12+($O30:$U30="NT")*6+($O30:$U30="C")*10+($O30:$U30="A")*8+($O30:$U30="J")*5+($O30:$U30="CEP")*4+($O30:$U30="CP")*6+($O30:$U30="CRO")*6+($O30:$U30="M+")*6+($O30:$U30="T+")*6+($O30:$U30="D+")*12+($O30:$U30="N+")*12+($O30:$U30="Dm+")*12+($O30:$U30="Dt+")*12+($O30:$U30="Tm-")*6+($O30:$U30="Mt-")*6)</f>
        <v/>
      </c>
      <c r="AW30" s="118">
        <f>AV30-MAX(0,IFERROR(INDEX(CADASTRO!$I$4:$I$80,MATCH($A30,CADASTRO!$A$4:$A$80,0)),$B30)-CONFIG!$B$50*(COUNTIF($O30:$U30,"AB")+COUNTIF($O30:$U30,"FE")+COUNTIF($O30:$U30,"LM")))</f>
        <v/>
      </c>
      <c r="AX30" s="117">
        <f>SUMPRODUCT(($V30:$AB30="M")*6+($V30:$AB30="T")*6+($V30:$AB30="D")*12+($V30:$AB30="N")*12+($V30:$AB30="NT")*6+($V30:$AB30="C")*10+($V30:$AB30="A")*8+($V30:$AB30="J")*5+($V30:$AB30="CEP")*4+($V30:$AB30="CP")*6+($V30:$AB30="CRO")*6+($V30:$AB30="M+")*6+($V30:$AB30="T+")*6+($V30:$AB30="D+")*12+($V30:$AB30="N+")*12+($V30:$AB30="Dm+")*12+($V30:$AB30="Dt+")*12+($V30:$AB30="Tm-")*6+($V30:$AB30="Mt-")*6)</f>
        <v/>
      </c>
      <c r="AY30" s="118">
        <f>AX30-MAX(0,IFERROR(INDEX(CADASTRO!$I$4:$I$80,MATCH($A30,CADASTRO!$A$4:$A$80,0)),$B30)-CONFIG!$B$50*(COUNTIF($V30:$AB30,"AB")+COUNTIF($V30:$AB30,"FE")+COUNTIF($V30:$AB30,"LM")))</f>
        <v/>
      </c>
      <c r="AZ30" s="117">
        <f>SUMPRODUCT(($AC30:$AI30="M")*6+($AC30:$AI30="T")*6+($AC30:$AI30="D")*12+($AC30:$AI30="N")*12+($AC30:$AI30="NT")*6+($AC30:$AI30="C")*10+($AC30:$AI30="A")*8+($AC30:$AI30="J")*5+($AC30:$AI30="CEP")*4+($AC30:$AI30="CP")*6+($AC30:$AI30="CRO")*6+($AC30:$AI30="M+")*6+($AC30:$AI30="T+")*6+($AC30:$AI30="D+")*12+($AC30:$AI30="N+")*12+($AC30:$AI30="Dm+")*12+($AC30:$AI30="Dt+")*12+($AC30:$AI30="Tm-")*6+($AC30:$AI30="Mt-")*6)</f>
        <v/>
      </c>
      <c r="BA30" s="118">
        <f>AZ30-MAX(0,IFERROR(INDEX(CADASTRO!$I$4:$I$80,MATCH($A30,CADASTRO!$A$4:$A$80,0)),$B30)-CONFIG!$B$50*(COUNTIF($AC30:$AI30,"AB")+COUNTIF($AC30:$AI30,"FE")+COUNTIF($AC30:$AI30,"LM")))</f>
        <v/>
      </c>
      <c r="BB30" s="117">
        <f>SUMPRODUCT(($AJ30:$AM30="M")*6+($AJ30:$AM30="T")*6+($AJ30:$AM30="D")*12+($AJ30:$AM30="N")*12+($AJ30:$AM30="NT")*6+($AJ30:$AM30="C")*10+($AJ30:$AM30="A")*8+($AJ30:$AM30="J")*5+($AJ30:$AM30="CEP")*4+($AJ30:$AM30="CP")*6+($AJ30:$AM30="CRO")*6+($AJ30:$AM30="M+")*6+($AJ30:$AM30="T+")*6+($AJ30:$AM30="D+")*12+($AJ30:$AM30="N+")*12+($AJ30:$AM30="Dm+")*12+($AJ30:$AM30="Dt+")*12+($AJ30:$AM30="Tm-")*6+($AJ30:$AM30="Mt-")*6)+SUMPRODUCT(($AN30:$AP30="M")*6+($AN30:$AP30="T")*6+($AN30:$AP30="D")*12+($AN30:$AP30="N")*12+($AN30:$AP30="NT")*6+($AN30:$AP30="C")*10+($AN30:$AP30="A")*8+($AN30:$AP30="J")*5+($AN30:$AP30="CEP")*4+($AN30:$AP30="CP")*6+($AN30:$AP30="CRO")*6+($AN30:$AP30="M+")*6+($AN30:$AP30="T+")*6+($AN30:$AP30="D+")*12+($AN30:$AP30="N+")*12+($AN30:$AP30="Dm+")*12+($AN30:$AP30="Dt+")*12+($AN30:$AP30="Tm-")*6+($AN30:$AP30="Mt-")*6)</f>
        <v/>
      </c>
      <c r="BC30" s="118">
        <f>BB30-MAX(0,IFERROR(INDEX(CADASTRO!$I$4:$I$80,MATCH($A30,CADASTRO!$A$4:$A$80,0)),$B30)-CONFIG!$B$50*(COUNTIF($AJ30:$AM30,"AB")+COUNTIF($AJ30:$AM30,"FE")+COUNTIF($AJ30:$AM30,"LM")+COUNTIF($AN30:$AP30,"AB")+COUNTIF($AN30:$AP30,"FE")+COUNTIF($AN30:$AP30,"LM")))</f>
        <v/>
      </c>
      <c r="BD30" s="117" t="n"/>
      <c r="BE30" s="118" t="n"/>
      <c r="BF30" s="117">
        <f>SUMPRODUCT(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G30" s="117">
        <f>SUMPRODUCT($I$4:$AM$4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H30" s="117">
        <f>SUMPRODUCT($I$5:$AM$5,(($I30:$AM30="N")+($I30:$AM30="N+")))</f>
        <v/>
      </c>
      <c r="BI30" s="117">
        <f>SUMPRODUCT($I$6:$AM$6,($I30:$AM30="M")*6+($I30:$AM30="T")*6+($I30:$AM30="D")*12+($I30:$AM30="N")*12+($I30:$AM30="NT")*6+($I30:$AM30="C")*10+($I30:$AM30="A")*8+($I30:$AM30="J")*5+($I30:$AM30="CEP")*4+($I30:$AM30="CP")*6+($I30:$AM30="CRO")*6+($I30:$AM30="M+")*6+($I30:$AM30="T+")*6+($I30:$AM30="D+")*12+($I30:$AM30="N+")*12+($I30:$AM30="Dm+")*12+($I30:$AM30="Dt+")*12+($I30:$AM30="Tm-")*6+($I30:$AM30="Mt-")*6)</f>
        <v/>
      </c>
      <c r="BJ30" s="117">
        <f>ROUND(B30*4.43,0)</f>
        <v/>
      </c>
      <c r="BK30" s="119">
        <f>BF30-BJ30</f>
        <v/>
      </c>
      <c r="BL30" s="120">
        <f>SUMPRODUCT((($C30:$AL30="N")+($C30:$AL30="N+"))*(($D30:$AM30="M")+($D30:$AM30="D")+($D30:$AM30="C")+($D30:$AM30="CEP")+($D30:$AM30="M+")+($D30:$AM30="D+")+($D30:$AM30="Dm+")+($D30:$AM30="Dt+")+($D30:$AM30="Mt-")))</f>
        <v/>
      </c>
      <c r="BM30" s="120">
        <f>SUMPRODUCT((($C30:$AL30="N")+($C30:$AL30="N+"))*(($D30:$AM30="T")+($D30:$AM30="T+")+($D30:$AM30="Tm-")))</f>
        <v/>
      </c>
      <c r="BN30" s="120">
        <f>IFERROR(INDEX(CONFIG!$B$44:$D$46,MATCH($B30,CONFIG!$A$44:$A$46,0),IF(COUNTIF($I30:$AM30,"FE")&gt;=10,1,IF(COUNTIF($I30:$AM30,"FE")&gt;=1,2,3))),"")</f>
        <v/>
      </c>
      <c r="BO30" s="120">
        <f>IF(BN30="","",MAX(0,BG30-BN30*CONFIG!$E$44))</f>
        <v/>
      </c>
      <c r="BP30" s="120">
        <f>MAX(AT30,AV30,AX30,AZ30,BB30,BD30)</f>
        <v/>
      </c>
      <c r="BQ30" s="121" t="inlineStr">
        <is>
          <t>3 · staff</t>
        </is>
      </c>
      <c r="BR30" s="122" t="n">
        <v>7</v>
      </c>
      <c r="BS30" s="39" t="n"/>
    </row>
    <row r="31">
      <c r="A31" s="89" t="inlineStr">
        <is>
          <t>JuCoutinho</t>
        </is>
      </c>
      <c r="B31" s="107" t="n">
        <v>30</v>
      </c>
      <c r="C31" s="100" t="n"/>
      <c r="D31" s="100" t="n"/>
      <c r="E31" s="100" t="n"/>
      <c r="F31" s="100" t="n"/>
      <c r="G31" s="100" t="n"/>
      <c r="H31" s="136">
        <f>IFERROR(INDEX(NOV!AL$8:AL$73,MATCH($A31,NOV!$A$8:$A$73,0))&amp;"","")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14" t="n"/>
      <c r="AH31" s="114" t="n"/>
      <c r="AI31" s="114" t="n"/>
      <c r="AJ31" s="114" t="n"/>
      <c r="AK31" s="114" t="n"/>
      <c r="AL31" s="114" t="n"/>
      <c r="AM31" s="114" t="n"/>
      <c r="AN31" s="100" t="n"/>
      <c r="AO31" s="100" t="n"/>
      <c r="AP31" s="100" t="n"/>
      <c r="AQ31" s="100" t="n"/>
      <c r="AR31" s="100" t="n"/>
      <c r="AS31" s="100" t="n"/>
      <c r="AT31" s="117">
        <f>SUMPRODUCT(($H31:$N31="M")*6+($H31:$N31="T")*6+($H31:$N31="D")*12+($H31:$N31="N")*12+($H31:$N31="NT")*6+($H31:$N31="C")*10+($H31:$N31="A")*8+($H31:$N31="J")*5+($H31:$N31="CEP")*4+($H31:$N31="CP")*6+($H31:$N31="CRO")*6+($H31:$N31="M+")*6+($H31:$N31="T+")*6+($H31:$N31="D+")*12+($H31:$N31="N+")*12+($H31:$N31="Dm+")*12+($H31:$N31="Dt+")*12+($H31:$N31="Tm-")*6+($H31:$N31="Mt-")*6)</f>
        <v/>
      </c>
      <c r="AU31" s="118">
        <f>AT31-MAX(0,IFERROR(INDEX(CADASTRO!$I$4:$I$80,MATCH($A31,CADASTRO!$A$4:$A$80,0)),$B31)-CONFIG!$B$50*(COUNTIF($H31:$N31,"AB")+COUNTIF($H31:$N31,"FE")+COUNTIF($H31:$N31,"LM")))</f>
        <v/>
      </c>
      <c r="AV31" s="117">
        <f>SUMPRODUCT(($O31:$U31="M")*6+($O31:$U31="T")*6+($O31:$U31="D")*12+($O31:$U31="N")*12+($O31:$U31="NT")*6+($O31:$U31="C")*10+($O31:$U31="A")*8+($O31:$U31="J")*5+($O31:$U31="CEP")*4+($O31:$U31="CP")*6+($O31:$U31="CRO")*6+($O31:$U31="M+")*6+($O31:$U31="T+")*6+($O31:$U31="D+")*12+($O31:$U31="N+")*12+($O31:$U31="Dm+")*12+($O31:$U31="Dt+")*12+($O31:$U31="Tm-")*6+($O31:$U31="Mt-")*6)</f>
        <v/>
      </c>
      <c r="AW31" s="118">
        <f>AV31-MAX(0,IFERROR(INDEX(CADASTRO!$I$4:$I$80,MATCH($A31,CADASTRO!$A$4:$A$80,0)),$B31)-CONFIG!$B$50*(COUNTIF($O31:$U31,"AB")+COUNTIF($O31:$U31,"FE")+COUNTIF($O31:$U31,"LM")))</f>
        <v/>
      </c>
      <c r="AX31" s="117">
        <f>SUMPRODUCT(($V31:$AB31="M")*6+($V31:$AB31="T")*6+($V31:$AB31="D")*12+($V31:$AB31="N")*12+($V31:$AB31="NT")*6+($V31:$AB31="C")*10+($V31:$AB31="A")*8+($V31:$AB31="J")*5+($V31:$AB31="CEP")*4+($V31:$AB31="CP")*6+($V31:$AB31="CRO")*6+($V31:$AB31="M+")*6+($V31:$AB31="T+")*6+($V31:$AB31="D+")*12+($V31:$AB31="N+")*12+($V31:$AB31="Dm+")*12+($V31:$AB31="Dt+")*12+($V31:$AB31="Tm-")*6+($V31:$AB31="Mt-")*6)</f>
        <v/>
      </c>
      <c r="AY31" s="118">
        <f>AX31-MAX(0,IFERROR(INDEX(CADASTRO!$I$4:$I$80,MATCH($A31,CADASTRO!$A$4:$A$80,0)),$B31)-CONFIG!$B$50*(COUNTIF($V31:$AB31,"AB")+COUNTIF($V31:$AB31,"FE")+COUNTIF($V31:$AB31,"LM")))</f>
        <v/>
      </c>
      <c r="AZ31" s="117">
        <f>SUMPRODUCT(($AC31:$AI31="M")*6+($AC31:$AI31="T")*6+($AC31:$AI31="D")*12+($AC31:$AI31="N")*12+($AC31:$AI31="NT")*6+($AC31:$AI31="C")*10+($AC31:$AI31="A")*8+($AC31:$AI31="J")*5+($AC31:$AI31="CEP")*4+($AC31:$AI31="CP")*6+($AC31:$AI31="CRO")*6+($AC31:$AI31="M+")*6+($AC31:$AI31="T+")*6+($AC31:$AI31="D+")*12+($AC31:$AI31="N+")*12+($AC31:$AI31="Dm+")*12+($AC31:$AI31="Dt+")*12+($AC31:$AI31="Tm-")*6+($AC31:$AI31="Mt-")*6)</f>
        <v/>
      </c>
      <c r="BA31" s="118">
        <f>AZ31-MAX(0,IFERROR(INDEX(CADASTRO!$I$4:$I$80,MATCH($A31,CADASTRO!$A$4:$A$80,0)),$B31)-CONFIG!$B$50*(COUNTIF($AC31:$AI31,"AB")+COUNTIF($AC31:$AI31,"FE")+COUNTIF($AC31:$AI31,"LM")))</f>
        <v/>
      </c>
      <c r="BB31" s="117">
        <f>SUMPRODUCT(($AJ31:$AM31="M")*6+($AJ31:$AM31="T")*6+($AJ31:$AM31="D")*12+($AJ31:$AM31="N")*12+($AJ31:$AM31="NT")*6+($AJ31:$AM31="C")*10+($AJ31:$AM31="A")*8+($AJ31:$AM31="J")*5+($AJ31:$AM31="CEP")*4+($AJ31:$AM31="CP")*6+($AJ31:$AM31="CRO")*6+($AJ31:$AM31="M+")*6+($AJ31:$AM31="T+")*6+($AJ31:$AM31="D+")*12+($AJ31:$AM31="N+")*12+($AJ31:$AM31="Dm+")*12+($AJ31:$AM31="Dt+")*12+($AJ31:$AM31="Tm-")*6+($AJ31:$AM31="Mt-")*6)+SUMPRODUCT(($AN31:$AP31="M")*6+($AN31:$AP31="T")*6+($AN31:$AP31="D")*12+($AN31:$AP31="N")*12+($AN31:$AP31="NT")*6+($AN31:$AP31="C")*10+($AN31:$AP31="A")*8+($AN31:$AP31="J")*5+($AN31:$AP31="CEP")*4+($AN31:$AP31="CP")*6+($AN31:$AP31="CRO")*6+($AN31:$AP31="M+")*6+($AN31:$AP31="T+")*6+($AN31:$AP31="D+")*12+($AN31:$AP31="N+")*12+($AN31:$AP31="Dm+")*12+($AN31:$AP31="Dt+")*12+($AN31:$AP31="Tm-")*6+($AN31:$AP31="Mt-")*6)</f>
        <v/>
      </c>
      <c r="BC31" s="118">
        <f>BB31-MAX(0,IFERROR(INDEX(CADASTRO!$I$4:$I$80,MATCH($A31,CADASTRO!$A$4:$A$80,0)),$B31)-CONFIG!$B$50*(COUNTIF($AJ31:$AM31,"AB")+COUNTIF($AJ31:$AM31,"FE")+COUNTIF($AJ31:$AM31,"LM")+COUNTIF($AN31:$AP31,"AB")+COUNTIF($AN31:$AP31,"FE")+COUNTIF($AN31:$AP31,"LM")))</f>
        <v/>
      </c>
      <c r="BD31" s="117" t="n"/>
      <c r="BE31" s="118" t="n"/>
      <c r="BF31" s="117">
        <f>SUMPRODUCT(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G31" s="117">
        <f>SUMPRODUCT($I$4:$AM$4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H31" s="117">
        <f>SUMPRODUCT($I$5:$AM$5,(($I31:$AM31="N")+($I31:$AM31="N+")))</f>
        <v/>
      </c>
      <c r="BI31" s="117">
        <f>SUMPRODUCT($I$6:$AM$6,($I31:$AM31="M")*6+($I31:$AM31="T")*6+($I31:$AM31="D")*12+($I31:$AM31="N")*12+($I31:$AM31="NT")*6+($I31:$AM31="C")*10+($I31:$AM31="A")*8+($I31:$AM31="J")*5+($I31:$AM31="CEP")*4+($I31:$AM31="CP")*6+($I31:$AM31="CRO")*6+($I31:$AM31="M+")*6+($I31:$AM31="T+")*6+($I31:$AM31="D+")*12+($I31:$AM31="N+")*12+($I31:$AM31="Dm+")*12+($I31:$AM31="Dt+")*12+($I31:$AM31="Tm-")*6+($I31:$AM31="Mt-")*6)</f>
        <v/>
      </c>
      <c r="BJ31" s="117">
        <f>ROUND(B31*4.43,0)</f>
        <v/>
      </c>
      <c r="BK31" s="119">
        <f>BF31-BJ31</f>
        <v/>
      </c>
      <c r="BL31" s="120">
        <f>SUMPRODUCT((($C31:$AL31="N")+($C31:$AL31="N+"))*(($D31:$AM31="M")+($D31:$AM31="D")+($D31:$AM31="C")+($D31:$AM31="CEP")+($D31:$AM31="M+")+($D31:$AM31="D+")+($D31:$AM31="Dm+")+($D31:$AM31="Dt+")+($D31:$AM31="Mt-")))</f>
        <v/>
      </c>
      <c r="BM31" s="120">
        <f>SUMPRODUCT((($C31:$AL31="N")+($C31:$AL31="N+"))*(($D31:$AM31="T")+($D31:$AM31="T+")+($D31:$AM31="Tm-")))</f>
        <v/>
      </c>
      <c r="BN31" s="120">
        <f>IFERROR(INDEX(CONFIG!$B$44:$D$46,MATCH($B31,CONFIG!$A$44:$A$46,0),IF(COUNTIF($I31:$AM31,"FE")&gt;=10,1,IF(COUNTIF($I31:$AM31,"FE")&gt;=1,2,3))),"")</f>
        <v/>
      </c>
      <c r="BO31" s="120">
        <f>IF(BN31="","",MAX(0,BG31-BN31*CONFIG!$E$44))</f>
        <v/>
      </c>
      <c r="BP31" s="120">
        <f>MAX(AT31,AV31,AX31,AZ31,BB31,BD31)</f>
        <v/>
      </c>
      <c r="BQ31" s="121" t="inlineStr">
        <is>
          <t>3 · staff</t>
        </is>
      </c>
      <c r="BR31" s="122" t="n">
        <v>7</v>
      </c>
      <c r="BS31" s="39" t="n"/>
    </row>
    <row r="32">
      <c r="A32" s="89" t="inlineStr">
        <is>
          <t>LeLemos</t>
        </is>
      </c>
      <c r="B32" s="107" t="n">
        <v>30</v>
      </c>
      <c r="C32" s="100" t="n"/>
      <c r="D32" s="100" t="n"/>
      <c r="E32" s="100" t="n"/>
      <c r="F32" s="100" t="n"/>
      <c r="G32" s="100" t="n"/>
      <c r="H32" s="136">
        <f>IFERROR(INDEX(NOV!AL$8:AL$73,MATCH($A32,NOV!$A$8:$A$73,0))&amp;"","")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14" t="n"/>
      <c r="AH32" s="114" t="n"/>
      <c r="AI32" s="114" t="n"/>
      <c r="AJ32" s="114" t="n"/>
      <c r="AK32" s="114" t="n"/>
      <c r="AL32" s="114" t="n"/>
      <c r="AM32" s="114" t="n"/>
      <c r="AN32" s="100" t="n"/>
      <c r="AO32" s="100" t="n"/>
      <c r="AP32" s="100" t="n"/>
      <c r="AQ32" s="100" t="n"/>
      <c r="AR32" s="100" t="n"/>
      <c r="AS32" s="100" t="n"/>
      <c r="AT32" s="117">
        <f>SUMPRODUCT(($H32:$N32="M")*6+($H32:$N32="T")*6+($H32:$N32="D")*12+($H32:$N32="N")*12+($H32:$N32="NT")*6+($H32:$N32="C")*10+($H32:$N32="A")*8+($H32:$N32="J")*5+($H32:$N32="CEP")*4+($H32:$N32="CP")*6+($H32:$N32="CRO")*6+($H32:$N32="M+")*6+($H32:$N32="T+")*6+($H32:$N32="D+")*12+($H32:$N32="N+")*12+($H32:$N32="Dm+")*12+($H32:$N32="Dt+")*12+($H32:$N32="Tm-")*6+($H32:$N32="Mt-")*6)</f>
        <v/>
      </c>
      <c r="AU32" s="118">
        <f>AT32-MAX(0,IFERROR(INDEX(CADASTRO!$I$4:$I$80,MATCH($A32,CADASTRO!$A$4:$A$80,0)),$B32)-CONFIG!$B$50*(COUNTIF($H32:$N32,"AB")+COUNTIF($H32:$N32,"FE")+COUNTIF($H32:$N32,"LM")))</f>
        <v/>
      </c>
      <c r="AV32" s="117">
        <f>SUMPRODUCT(($O32:$U32="M")*6+($O32:$U32="T")*6+($O32:$U32="D")*12+($O32:$U32="N")*12+($O32:$U32="NT")*6+($O32:$U32="C")*10+($O32:$U32="A")*8+($O32:$U32="J")*5+($O32:$U32="CEP")*4+($O32:$U32="CP")*6+($O32:$U32="CRO")*6+($O32:$U32="M+")*6+($O32:$U32="T+")*6+($O32:$U32="D+")*12+($O32:$U32="N+")*12+($O32:$U32="Dm+")*12+($O32:$U32="Dt+")*12+($O32:$U32="Tm-")*6+($O32:$U32="Mt-")*6)</f>
        <v/>
      </c>
      <c r="AW32" s="118">
        <f>AV32-MAX(0,IFERROR(INDEX(CADASTRO!$I$4:$I$80,MATCH($A32,CADASTRO!$A$4:$A$80,0)),$B32)-CONFIG!$B$50*(COUNTIF($O32:$U32,"AB")+COUNTIF($O32:$U32,"FE")+COUNTIF($O32:$U32,"LM")))</f>
        <v/>
      </c>
      <c r="AX32" s="117">
        <f>SUMPRODUCT(($V32:$AB32="M")*6+($V32:$AB32="T")*6+($V32:$AB32="D")*12+($V32:$AB32="N")*12+($V32:$AB32="NT")*6+($V32:$AB32="C")*10+($V32:$AB32="A")*8+($V32:$AB32="J")*5+($V32:$AB32="CEP")*4+($V32:$AB32="CP")*6+($V32:$AB32="CRO")*6+($V32:$AB32="M+")*6+($V32:$AB32="T+")*6+($V32:$AB32="D+")*12+($V32:$AB32="N+")*12+($V32:$AB32="Dm+")*12+($V32:$AB32="Dt+")*12+($V32:$AB32="Tm-")*6+($V32:$AB32="Mt-")*6)</f>
        <v/>
      </c>
      <c r="AY32" s="118">
        <f>AX32-MAX(0,IFERROR(INDEX(CADASTRO!$I$4:$I$80,MATCH($A32,CADASTRO!$A$4:$A$80,0)),$B32)-CONFIG!$B$50*(COUNTIF($V32:$AB32,"AB")+COUNTIF($V32:$AB32,"FE")+COUNTIF($V32:$AB32,"LM")))</f>
        <v/>
      </c>
      <c r="AZ32" s="117">
        <f>SUMPRODUCT(($AC32:$AI32="M")*6+($AC32:$AI32="T")*6+($AC32:$AI32="D")*12+($AC32:$AI32="N")*12+($AC32:$AI32="NT")*6+($AC32:$AI32="C")*10+($AC32:$AI32="A")*8+($AC32:$AI32="J")*5+($AC32:$AI32="CEP")*4+($AC32:$AI32="CP")*6+($AC32:$AI32="CRO")*6+($AC32:$AI32="M+")*6+($AC32:$AI32="T+")*6+($AC32:$AI32="D+")*12+($AC32:$AI32="N+")*12+($AC32:$AI32="Dm+")*12+($AC32:$AI32="Dt+")*12+($AC32:$AI32="Tm-")*6+($AC32:$AI32="Mt-")*6)</f>
        <v/>
      </c>
      <c r="BA32" s="118">
        <f>AZ32-MAX(0,IFERROR(INDEX(CADASTRO!$I$4:$I$80,MATCH($A32,CADASTRO!$A$4:$A$80,0)),$B32)-CONFIG!$B$50*(COUNTIF($AC32:$AI32,"AB")+COUNTIF($AC32:$AI32,"FE")+COUNTIF($AC32:$AI32,"LM")))</f>
        <v/>
      </c>
      <c r="BB32" s="117">
        <f>SUMPRODUCT(($AJ32:$AM32="M")*6+($AJ32:$AM32="T")*6+($AJ32:$AM32="D")*12+($AJ32:$AM32="N")*12+($AJ32:$AM32="NT")*6+($AJ32:$AM32="C")*10+($AJ32:$AM32="A")*8+($AJ32:$AM32="J")*5+($AJ32:$AM32="CEP")*4+($AJ32:$AM32="CP")*6+($AJ32:$AM32="CRO")*6+($AJ32:$AM32="M+")*6+($AJ32:$AM32="T+")*6+($AJ32:$AM32="D+")*12+($AJ32:$AM32="N+")*12+($AJ32:$AM32="Dm+")*12+($AJ32:$AM32="Dt+")*12+($AJ32:$AM32="Tm-")*6+($AJ32:$AM32="Mt-")*6)+SUMPRODUCT(($AN32:$AP32="M")*6+($AN32:$AP32="T")*6+($AN32:$AP32="D")*12+($AN32:$AP32="N")*12+($AN32:$AP32="NT")*6+($AN32:$AP32="C")*10+($AN32:$AP32="A")*8+($AN32:$AP32="J")*5+($AN32:$AP32="CEP")*4+($AN32:$AP32="CP")*6+($AN32:$AP32="CRO")*6+($AN32:$AP32="M+")*6+($AN32:$AP32="T+")*6+($AN32:$AP32="D+")*12+($AN32:$AP32="N+")*12+($AN32:$AP32="Dm+")*12+($AN32:$AP32="Dt+")*12+($AN32:$AP32="Tm-")*6+($AN32:$AP32="Mt-")*6)</f>
        <v/>
      </c>
      <c r="BC32" s="118">
        <f>BB32-MAX(0,IFERROR(INDEX(CADASTRO!$I$4:$I$80,MATCH($A32,CADASTRO!$A$4:$A$80,0)),$B32)-CONFIG!$B$50*(COUNTIF($AJ32:$AM32,"AB")+COUNTIF($AJ32:$AM32,"FE")+COUNTIF($AJ32:$AM32,"LM")+COUNTIF($AN32:$AP32,"AB")+COUNTIF($AN32:$AP32,"FE")+COUNTIF($AN32:$AP32,"LM")))</f>
        <v/>
      </c>
      <c r="BD32" s="117" t="n"/>
      <c r="BE32" s="118" t="n"/>
      <c r="BF32" s="117">
        <f>SUMPRODUCT(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G32" s="117">
        <f>SUMPRODUCT($I$4:$AM$4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H32" s="117">
        <f>SUMPRODUCT($I$5:$AM$5,(($I32:$AM32="N")+($I32:$AM32="N+")))</f>
        <v/>
      </c>
      <c r="BI32" s="117">
        <f>SUMPRODUCT($I$6:$AM$6,($I32:$AM32="M")*6+($I32:$AM32="T")*6+($I32:$AM32="D")*12+($I32:$AM32="N")*12+($I32:$AM32="NT")*6+($I32:$AM32="C")*10+($I32:$AM32="A")*8+($I32:$AM32="J")*5+($I32:$AM32="CEP")*4+($I32:$AM32="CP")*6+($I32:$AM32="CRO")*6+($I32:$AM32="M+")*6+($I32:$AM32="T+")*6+($I32:$AM32="D+")*12+($I32:$AM32="N+")*12+($I32:$AM32="Dm+")*12+($I32:$AM32="Dt+")*12+($I32:$AM32="Tm-")*6+($I32:$AM32="Mt-")*6)</f>
        <v/>
      </c>
      <c r="BJ32" s="117">
        <f>ROUND(B32*4.43,0)</f>
        <v/>
      </c>
      <c r="BK32" s="119">
        <f>BF32-BJ32</f>
        <v/>
      </c>
      <c r="BL32" s="120">
        <f>SUMPRODUCT((($C32:$AL32="N")+($C32:$AL32="N+"))*(($D32:$AM32="M")+($D32:$AM32="D")+($D32:$AM32="C")+($D32:$AM32="CEP")+($D32:$AM32="M+")+($D32:$AM32="D+")+($D32:$AM32="Dm+")+($D32:$AM32="Dt+")+($D32:$AM32="Mt-")))</f>
        <v/>
      </c>
      <c r="BM32" s="120">
        <f>SUMPRODUCT((($C32:$AL32="N")+($C32:$AL32="N+"))*(($D32:$AM32="T")+($D32:$AM32="T+")+($D32:$AM32="Tm-")))</f>
        <v/>
      </c>
      <c r="BN32" s="120">
        <f>IFERROR(INDEX(CONFIG!$B$44:$D$46,MATCH($B32,CONFIG!$A$44:$A$46,0),IF(COUNTIF($I32:$AM32,"FE")&gt;=10,1,IF(COUNTIF($I32:$AM32,"FE")&gt;=1,2,3))),"")</f>
        <v/>
      </c>
      <c r="BO32" s="120">
        <f>IF(BN32="","",MAX(0,BG32-BN32*CONFIG!$E$44))</f>
        <v/>
      </c>
      <c r="BP32" s="120">
        <f>MAX(AT32,AV32,AX32,AZ32,BB32,BD32)</f>
        <v/>
      </c>
      <c r="BQ32" s="121" t="inlineStr">
        <is>
          <t>3 · staff</t>
        </is>
      </c>
      <c r="BR32" s="122" t="n">
        <v>7</v>
      </c>
      <c r="BS32" s="39" t="n"/>
    </row>
    <row r="33">
      <c r="A33" s="89" t="inlineStr">
        <is>
          <t>Leomara</t>
        </is>
      </c>
      <c r="B33" s="107" t="n">
        <v>24</v>
      </c>
      <c r="C33" s="100" t="n"/>
      <c r="D33" s="100" t="n"/>
      <c r="E33" s="100" t="n"/>
      <c r="F33" s="100" t="n"/>
      <c r="G33" s="100" t="n"/>
      <c r="H33" s="136">
        <f>IFERROR(INDEX(NOV!AL$8:AL$73,MATCH($A33,NOV!$A$8:$A$73,0))&amp;"","")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4" t="n"/>
      <c r="AJ33" s="114" t="n"/>
      <c r="AK33" s="114" t="n"/>
      <c r="AL33" s="114" t="n"/>
      <c r="AM33" s="114" t="n"/>
      <c r="AN33" s="100" t="n"/>
      <c r="AO33" s="100" t="n"/>
      <c r="AP33" s="100" t="n"/>
      <c r="AQ33" s="100" t="n"/>
      <c r="AR33" s="100" t="n"/>
      <c r="AS33" s="100" t="n"/>
      <c r="AT33" s="117">
        <f>SUMPRODUCT(($H33:$N33="M")*6+($H33:$N33="T")*6+($H33:$N33="D")*12+($H33:$N33="N")*12+($H33:$N33="NT")*6+($H33:$N33="C")*10+($H33:$N33="A")*8+($H33:$N33="J")*5+($H33:$N33="CEP")*4+($H33:$N33="CP")*6+($H33:$N33="CRO")*6+($H33:$N33="M+")*6+($H33:$N33="T+")*6+($H33:$N33="D+")*12+($H33:$N33="N+")*12+($H33:$N33="Dm+")*12+($H33:$N33="Dt+")*12+($H33:$N33="Tm-")*6+($H33:$N33="Mt-")*6)</f>
        <v/>
      </c>
      <c r="AU33" s="118">
        <f>AT33-MAX(0,IFERROR(INDEX(CADASTRO!$I$4:$I$80,MATCH($A33,CADASTRO!$A$4:$A$80,0)),$B33)-CONFIG!$B$50*(COUNTIF($H33:$N33,"AB")+COUNTIF($H33:$N33,"FE")+COUNTIF($H33:$N33,"LM")))</f>
        <v/>
      </c>
      <c r="AV33" s="117">
        <f>SUMPRODUCT(($O33:$U33="M")*6+($O33:$U33="T")*6+($O33:$U33="D")*12+($O33:$U33="N")*12+($O33:$U33="NT")*6+($O33:$U33="C")*10+($O33:$U33="A")*8+($O33:$U33="J")*5+($O33:$U33="CEP")*4+($O33:$U33="CP")*6+($O33:$U33="CRO")*6+($O33:$U33="M+")*6+($O33:$U33="T+")*6+($O33:$U33="D+")*12+($O33:$U33="N+")*12+($O33:$U33="Dm+")*12+($O33:$U33="Dt+")*12+($O33:$U33="Tm-")*6+($O33:$U33="Mt-")*6)</f>
        <v/>
      </c>
      <c r="AW33" s="118">
        <f>AV33-MAX(0,IFERROR(INDEX(CADASTRO!$I$4:$I$80,MATCH($A33,CADASTRO!$A$4:$A$80,0)),$B33)-CONFIG!$B$50*(COUNTIF($O33:$U33,"AB")+COUNTIF($O33:$U33,"FE")+COUNTIF($O33:$U33,"LM")))</f>
        <v/>
      </c>
      <c r="AX33" s="117">
        <f>SUMPRODUCT(($V33:$AB33="M")*6+($V33:$AB33="T")*6+($V33:$AB33="D")*12+($V33:$AB33="N")*12+($V33:$AB33="NT")*6+($V33:$AB33="C")*10+($V33:$AB33="A")*8+($V33:$AB33="J")*5+($V33:$AB33="CEP")*4+($V33:$AB33="CP")*6+($V33:$AB33="CRO")*6+($V33:$AB33="M+")*6+($V33:$AB33="T+")*6+($V33:$AB33="D+")*12+($V33:$AB33="N+")*12+($V33:$AB33="Dm+")*12+($V33:$AB33="Dt+")*12+($V33:$AB33="Tm-")*6+($V33:$AB33="Mt-")*6)</f>
        <v/>
      </c>
      <c r="AY33" s="118">
        <f>AX33-MAX(0,IFERROR(INDEX(CADASTRO!$I$4:$I$80,MATCH($A33,CADASTRO!$A$4:$A$80,0)),$B33)-CONFIG!$B$50*(COUNTIF($V33:$AB33,"AB")+COUNTIF($V33:$AB33,"FE")+COUNTIF($V33:$AB33,"LM")))</f>
        <v/>
      </c>
      <c r="AZ33" s="117">
        <f>SUMPRODUCT(($AC33:$AI33="M")*6+($AC33:$AI33="T")*6+($AC33:$AI33="D")*12+($AC33:$AI33="N")*12+($AC33:$AI33="NT")*6+($AC33:$AI33="C")*10+($AC33:$AI33="A")*8+($AC33:$AI33="J")*5+($AC33:$AI33="CEP")*4+($AC33:$AI33="CP")*6+($AC33:$AI33="CRO")*6+($AC33:$AI33="M+")*6+($AC33:$AI33="T+")*6+($AC33:$AI33="D+")*12+($AC33:$AI33="N+")*12+($AC33:$AI33="Dm+")*12+($AC33:$AI33="Dt+")*12+($AC33:$AI33="Tm-")*6+($AC33:$AI33="Mt-")*6)</f>
        <v/>
      </c>
      <c r="BA33" s="118">
        <f>AZ33-MAX(0,IFERROR(INDEX(CADASTRO!$I$4:$I$80,MATCH($A33,CADASTRO!$A$4:$A$80,0)),$B33)-CONFIG!$B$50*(COUNTIF($AC33:$AI33,"AB")+COUNTIF($AC33:$AI33,"FE")+COUNTIF($AC33:$AI33,"LM")))</f>
        <v/>
      </c>
      <c r="BB33" s="117">
        <f>SUMPRODUCT(($AJ33:$AM33="M")*6+($AJ33:$AM33="T")*6+($AJ33:$AM33="D")*12+($AJ33:$AM33="N")*12+($AJ33:$AM33="NT")*6+($AJ33:$AM33="C")*10+($AJ33:$AM33="A")*8+($AJ33:$AM33="J")*5+($AJ33:$AM33="CEP")*4+($AJ33:$AM33="CP")*6+($AJ33:$AM33="CRO")*6+($AJ33:$AM33="M+")*6+($AJ33:$AM33="T+")*6+($AJ33:$AM33="D+")*12+($AJ33:$AM33="N+")*12+($AJ33:$AM33="Dm+")*12+($AJ33:$AM33="Dt+")*12+($AJ33:$AM33="Tm-")*6+($AJ33:$AM33="Mt-")*6)+SUMPRODUCT(($AN33:$AP33="M")*6+($AN33:$AP33="T")*6+($AN33:$AP33="D")*12+($AN33:$AP33="N")*12+($AN33:$AP33="NT")*6+($AN33:$AP33="C")*10+($AN33:$AP33="A")*8+($AN33:$AP33="J")*5+($AN33:$AP33="CEP")*4+($AN33:$AP33="CP")*6+($AN33:$AP33="CRO")*6+($AN33:$AP33="M+")*6+($AN33:$AP33="T+")*6+($AN33:$AP33="D+")*12+($AN33:$AP33="N+")*12+($AN33:$AP33="Dm+")*12+($AN33:$AP33="Dt+")*12+($AN33:$AP33="Tm-")*6+($AN33:$AP33="Mt-")*6)</f>
        <v/>
      </c>
      <c r="BC33" s="118">
        <f>BB33-MAX(0,IFERROR(INDEX(CADASTRO!$I$4:$I$80,MATCH($A33,CADASTRO!$A$4:$A$80,0)),$B33)-CONFIG!$B$50*(COUNTIF($AJ33:$AM33,"AB")+COUNTIF($AJ33:$AM33,"FE")+COUNTIF($AJ33:$AM33,"LM")+COUNTIF($AN33:$AP33,"AB")+COUNTIF($AN33:$AP33,"FE")+COUNTIF($AN33:$AP33,"LM")))</f>
        <v/>
      </c>
      <c r="BD33" s="117" t="n"/>
      <c r="BE33" s="118" t="n"/>
      <c r="BF33" s="117">
        <f>SUMPRODUCT(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G33" s="117">
        <f>SUMPRODUCT($I$4:$AM$4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H33" s="117">
        <f>SUMPRODUCT($I$5:$AM$5,(($I33:$AM33="N")+($I33:$AM33="N+")))</f>
        <v/>
      </c>
      <c r="BI33" s="117">
        <f>SUMPRODUCT($I$6:$AM$6,($I33:$AM33="M")*6+($I33:$AM33="T")*6+($I33:$AM33="D")*12+($I33:$AM33="N")*12+($I33:$AM33="NT")*6+($I33:$AM33="C")*10+($I33:$AM33="A")*8+($I33:$AM33="J")*5+($I33:$AM33="CEP")*4+($I33:$AM33="CP")*6+($I33:$AM33="CRO")*6+($I33:$AM33="M+")*6+($I33:$AM33="T+")*6+($I33:$AM33="D+")*12+($I33:$AM33="N+")*12+($I33:$AM33="Dm+")*12+($I33:$AM33="Dt+")*12+($I33:$AM33="Tm-")*6+($I33:$AM33="Mt-")*6)</f>
        <v/>
      </c>
      <c r="BJ33" s="117">
        <f>ROUND(B33*4.43,0)</f>
        <v/>
      </c>
      <c r="BK33" s="119">
        <f>BF33-BJ33</f>
        <v/>
      </c>
      <c r="BL33" s="120">
        <f>SUMPRODUCT((($C33:$AL33="N")+($C33:$AL33="N+"))*(($D33:$AM33="M")+($D33:$AM33="D")+($D33:$AM33="C")+($D33:$AM33="CEP")+($D33:$AM33="M+")+($D33:$AM33="D+")+($D33:$AM33="Dm+")+($D33:$AM33="Dt+")+($D33:$AM33="Mt-")))</f>
        <v/>
      </c>
      <c r="BM33" s="120">
        <f>SUMPRODUCT((($C33:$AL33="N")+($C33:$AL33="N+"))*(($D33:$AM33="T")+($D33:$AM33="T+")+($D33:$AM33="Tm-")))</f>
        <v/>
      </c>
      <c r="BN33" s="120">
        <f>IFERROR(INDEX(CONFIG!$B$44:$D$46,MATCH($B33,CONFIG!$A$44:$A$46,0),IF(COUNTIF($I33:$AM33,"FE")&gt;=10,1,IF(COUNTIF($I33:$AM33,"FE")&gt;=1,2,3))),"")</f>
        <v/>
      </c>
      <c r="BO33" s="120">
        <f>IF(BN33="","",MAX(0,BG33-BN33*CONFIG!$E$44))</f>
        <v/>
      </c>
      <c r="BP33" s="120">
        <f>MAX(AT33,AV33,AX33,AZ33,BB33,BD33)</f>
        <v/>
      </c>
      <c r="BQ33" s="121" t="inlineStr">
        <is>
          <t>3 · staff</t>
        </is>
      </c>
      <c r="BR33" s="122" t="n">
        <v>7</v>
      </c>
      <c r="BS33" s="39" t="n"/>
    </row>
    <row r="34">
      <c r="A34" s="89" t="inlineStr">
        <is>
          <t>Marilia</t>
        </is>
      </c>
      <c r="B34" s="107" t="n">
        <v>30</v>
      </c>
      <c r="C34" s="100" t="n"/>
      <c r="D34" s="100" t="n"/>
      <c r="E34" s="100" t="n"/>
      <c r="F34" s="100" t="n"/>
      <c r="G34" s="100" t="n"/>
      <c r="H34" s="136">
        <f>IFERROR(INDEX(NOV!AL$8:AL$73,MATCH($A34,NOV!$A$8:$A$73,0))&amp;"","")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  <c r="AI34" s="114" t="n"/>
      <c r="AJ34" s="114" t="n"/>
      <c r="AK34" s="114" t="n"/>
      <c r="AL34" s="114" t="n"/>
      <c r="AM34" s="114" t="n"/>
      <c r="AN34" s="100" t="n"/>
      <c r="AO34" s="100" t="n"/>
      <c r="AP34" s="100" t="n"/>
      <c r="AQ34" s="100" t="n"/>
      <c r="AR34" s="100" t="n"/>
      <c r="AS34" s="100" t="n"/>
      <c r="AT34" s="117">
        <f>SUMPRODUCT(($H34:$N34="M")*6+($H34:$N34="T")*6+($H34:$N34="D")*12+($H34:$N34="N")*12+($H34:$N34="NT")*6+($H34:$N34="C")*10+($H34:$N34="A")*8+($H34:$N34="J")*5+($H34:$N34="CEP")*4+($H34:$N34="CP")*6+($H34:$N34="CRO")*6+($H34:$N34="M+")*6+($H34:$N34="T+")*6+($H34:$N34="D+")*12+($H34:$N34="N+")*12+($H34:$N34="Dm+")*12+($H34:$N34="Dt+")*12+($H34:$N34="Tm-")*6+($H34:$N34="Mt-")*6)</f>
        <v/>
      </c>
      <c r="AU34" s="118">
        <f>AT34-MAX(0,IFERROR(INDEX(CADASTRO!$I$4:$I$80,MATCH($A34,CADASTRO!$A$4:$A$80,0)),$B34)-CONFIG!$B$50*(COUNTIF($H34:$N34,"AB")+COUNTIF($H34:$N34,"FE")+COUNTIF($H34:$N34,"LM")))</f>
        <v/>
      </c>
      <c r="AV34" s="117">
        <f>SUMPRODUCT(($O34:$U34="M")*6+($O34:$U34="T")*6+($O34:$U34="D")*12+($O34:$U34="N")*12+($O34:$U34="NT")*6+($O34:$U34="C")*10+($O34:$U34="A")*8+($O34:$U34="J")*5+($O34:$U34="CEP")*4+($O34:$U34="CP")*6+($O34:$U34="CRO")*6+($O34:$U34="M+")*6+($O34:$U34="T+")*6+($O34:$U34="D+")*12+($O34:$U34="N+")*12+($O34:$U34="Dm+")*12+($O34:$U34="Dt+")*12+($O34:$U34="Tm-")*6+($O34:$U34="Mt-")*6)</f>
        <v/>
      </c>
      <c r="AW34" s="118">
        <f>AV34-MAX(0,IFERROR(INDEX(CADASTRO!$I$4:$I$80,MATCH($A34,CADASTRO!$A$4:$A$80,0)),$B34)-CONFIG!$B$50*(COUNTIF($O34:$U34,"AB")+COUNTIF($O34:$U34,"FE")+COUNTIF($O34:$U34,"LM")))</f>
        <v/>
      </c>
      <c r="AX34" s="117">
        <f>SUMPRODUCT(($V34:$AB34="M")*6+($V34:$AB34="T")*6+($V34:$AB34="D")*12+($V34:$AB34="N")*12+($V34:$AB34="NT")*6+($V34:$AB34="C")*10+($V34:$AB34="A")*8+($V34:$AB34="J")*5+($V34:$AB34="CEP")*4+($V34:$AB34="CP")*6+($V34:$AB34="CRO")*6+($V34:$AB34="M+")*6+($V34:$AB34="T+")*6+($V34:$AB34="D+")*12+($V34:$AB34="N+")*12+($V34:$AB34="Dm+")*12+($V34:$AB34="Dt+")*12+($V34:$AB34="Tm-")*6+($V34:$AB34="Mt-")*6)</f>
        <v/>
      </c>
      <c r="AY34" s="118">
        <f>AX34-MAX(0,IFERROR(INDEX(CADASTRO!$I$4:$I$80,MATCH($A34,CADASTRO!$A$4:$A$80,0)),$B34)-CONFIG!$B$50*(COUNTIF($V34:$AB34,"AB")+COUNTIF($V34:$AB34,"FE")+COUNTIF($V34:$AB34,"LM")))</f>
        <v/>
      </c>
      <c r="AZ34" s="117">
        <f>SUMPRODUCT(($AC34:$AI34="M")*6+($AC34:$AI34="T")*6+($AC34:$AI34="D")*12+($AC34:$AI34="N")*12+($AC34:$AI34="NT")*6+($AC34:$AI34="C")*10+($AC34:$AI34="A")*8+($AC34:$AI34="J")*5+($AC34:$AI34="CEP")*4+($AC34:$AI34="CP")*6+($AC34:$AI34="CRO")*6+($AC34:$AI34="M+")*6+($AC34:$AI34="T+")*6+($AC34:$AI34="D+")*12+($AC34:$AI34="N+")*12+($AC34:$AI34="Dm+")*12+($AC34:$AI34="Dt+")*12+($AC34:$AI34="Tm-")*6+($AC34:$AI34="Mt-")*6)</f>
        <v/>
      </c>
      <c r="BA34" s="118">
        <f>AZ34-MAX(0,IFERROR(INDEX(CADASTRO!$I$4:$I$80,MATCH($A34,CADASTRO!$A$4:$A$80,0)),$B34)-CONFIG!$B$50*(COUNTIF($AC34:$AI34,"AB")+COUNTIF($AC34:$AI34,"FE")+COUNTIF($AC34:$AI34,"LM")))</f>
        <v/>
      </c>
      <c r="BB34" s="117">
        <f>SUMPRODUCT(($AJ34:$AM34="M")*6+($AJ34:$AM34="T")*6+($AJ34:$AM34="D")*12+($AJ34:$AM34="N")*12+($AJ34:$AM34="NT")*6+($AJ34:$AM34="C")*10+($AJ34:$AM34="A")*8+($AJ34:$AM34="J")*5+($AJ34:$AM34="CEP")*4+($AJ34:$AM34="CP")*6+($AJ34:$AM34="CRO")*6+($AJ34:$AM34="M+")*6+($AJ34:$AM34="T+")*6+($AJ34:$AM34="D+")*12+($AJ34:$AM34="N+")*12+($AJ34:$AM34="Dm+")*12+($AJ34:$AM34="Dt+")*12+($AJ34:$AM34="Tm-")*6+($AJ34:$AM34="Mt-")*6)+SUMPRODUCT(($AN34:$AP34="M")*6+($AN34:$AP34="T")*6+($AN34:$AP34="D")*12+($AN34:$AP34="N")*12+($AN34:$AP34="NT")*6+($AN34:$AP34="C")*10+($AN34:$AP34="A")*8+($AN34:$AP34="J")*5+($AN34:$AP34="CEP")*4+($AN34:$AP34="CP")*6+($AN34:$AP34="CRO")*6+($AN34:$AP34="M+")*6+($AN34:$AP34="T+")*6+($AN34:$AP34="D+")*12+($AN34:$AP34="N+")*12+($AN34:$AP34="Dm+")*12+($AN34:$AP34="Dt+")*12+($AN34:$AP34="Tm-")*6+($AN34:$AP34="Mt-")*6)</f>
        <v/>
      </c>
      <c r="BC34" s="118">
        <f>BB34-MAX(0,IFERROR(INDEX(CADASTRO!$I$4:$I$80,MATCH($A34,CADASTRO!$A$4:$A$80,0)),$B34)-CONFIG!$B$50*(COUNTIF($AJ34:$AM34,"AB")+COUNTIF($AJ34:$AM34,"FE")+COUNTIF($AJ34:$AM34,"LM")+COUNTIF($AN34:$AP34,"AB")+COUNTIF($AN34:$AP34,"FE")+COUNTIF($AN34:$AP34,"LM")))</f>
        <v/>
      </c>
      <c r="BD34" s="117" t="n"/>
      <c r="BE34" s="118" t="n"/>
      <c r="BF34" s="117">
        <f>SUMPRODUCT(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G34" s="117">
        <f>SUMPRODUCT($I$4:$AM$4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H34" s="117">
        <f>SUMPRODUCT($I$5:$AM$5,(($I34:$AM34="N")+($I34:$AM34="N+")))</f>
        <v/>
      </c>
      <c r="BI34" s="117">
        <f>SUMPRODUCT($I$6:$AM$6,($I34:$AM34="M")*6+($I34:$AM34="T")*6+($I34:$AM34="D")*12+($I34:$AM34="N")*12+($I34:$AM34="NT")*6+($I34:$AM34="C")*10+($I34:$AM34="A")*8+($I34:$AM34="J")*5+($I34:$AM34="CEP")*4+($I34:$AM34="CP")*6+($I34:$AM34="CRO")*6+($I34:$AM34="M+")*6+($I34:$AM34="T+")*6+($I34:$AM34="D+")*12+($I34:$AM34="N+")*12+($I34:$AM34="Dm+")*12+($I34:$AM34="Dt+")*12+($I34:$AM34="Tm-")*6+($I34:$AM34="Mt-")*6)</f>
        <v/>
      </c>
      <c r="BJ34" s="117">
        <f>ROUND(B34*4.43,0)</f>
        <v/>
      </c>
      <c r="BK34" s="119">
        <f>BF34-BJ34</f>
        <v/>
      </c>
      <c r="BL34" s="120">
        <f>SUMPRODUCT((($C34:$AL34="N")+($C34:$AL34="N+"))*(($D34:$AM34="M")+($D34:$AM34="D")+($D34:$AM34="C")+($D34:$AM34="CEP")+($D34:$AM34="M+")+($D34:$AM34="D+")+($D34:$AM34="Dm+")+($D34:$AM34="Dt+")+($D34:$AM34="Mt-")))</f>
        <v/>
      </c>
      <c r="BM34" s="120">
        <f>SUMPRODUCT((($C34:$AL34="N")+($C34:$AL34="N+"))*(($D34:$AM34="T")+($D34:$AM34="T+")+($D34:$AM34="Tm-")))</f>
        <v/>
      </c>
      <c r="BN34" s="120">
        <f>IFERROR(INDEX(CONFIG!$B$44:$D$46,MATCH($B34,CONFIG!$A$44:$A$46,0),IF(COUNTIF($I34:$AM34,"FE")&gt;=10,1,IF(COUNTIF($I34:$AM34,"FE")&gt;=1,2,3))),"")</f>
        <v/>
      </c>
      <c r="BO34" s="120">
        <f>IF(BN34="","",MAX(0,BG34-BN34*CONFIG!$E$44))</f>
        <v/>
      </c>
      <c r="BP34" s="120">
        <f>MAX(AT34,AV34,AX34,AZ34,BB34,BD34)</f>
        <v/>
      </c>
      <c r="BQ34" s="121" t="inlineStr">
        <is>
          <t>3 · staff</t>
        </is>
      </c>
      <c r="BR34" s="122" t="n">
        <v>7</v>
      </c>
      <c r="BS34" s="39" t="n"/>
    </row>
    <row r="35">
      <c r="A35" s="89" t="inlineStr">
        <is>
          <t>Raylander</t>
        </is>
      </c>
      <c r="B35" s="107" t="n">
        <v>30</v>
      </c>
      <c r="C35" s="100" t="n"/>
      <c r="D35" s="100" t="n"/>
      <c r="E35" s="100" t="n"/>
      <c r="F35" s="100" t="n"/>
      <c r="G35" s="100" t="n"/>
      <c r="H35" s="136">
        <f>IFERROR(INDEX(NOV!AL$8:AL$73,MATCH($A35,NOV!$A$8:$A$73,0))&amp;"","")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  <c r="AH35" s="114" t="n"/>
      <c r="AI35" s="114" t="n"/>
      <c r="AJ35" s="114" t="n"/>
      <c r="AK35" s="114" t="n"/>
      <c r="AL35" s="114" t="n"/>
      <c r="AM35" s="114" t="n"/>
      <c r="AN35" s="100" t="n"/>
      <c r="AO35" s="100" t="n"/>
      <c r="AP35" s="100" t="n"/>
      <c r="AQ35" s="100" t="n"/>
      <c r="AR35" s="100" t="n"/>
      <c r="AS35" s="100" t="n"/>
      <c r="AT35" s="117">
        <f>SUMPRODUCT(($H35:$N35="M")*6+($H35:$N35="T")*6+($H35:$N35="D")*12+($H35:$N35="N")*12+($H35:$N35="NT")*6+($H35:$N35="C")*10+($H35:$N35="A")*8+($H35:$N35="J")*5+($H35:$N35="CEP")*4+($H35:$N35="CP")*6+($H35:$N35="CRO")*6+($H35:$N35="M+")*6+($H35:$N35="T+")*6+($H35:$N35="D+")*12+($H35:$N35="N+")*12+($H35:$N35="Dm+")*12+($H35:$N35="Dt+")*12+($H35:$N35="Tm-")*6+($H35:$N35="Mt-")*6)</f>
        <v/>
      </c>
      <c r="AU35" s="118">
        <f>AT35-MAX(0,IFERROR(INDEX(CADASTRO!$I$4:$I$80,MATCH($A35,CADASTRO!$A$4:$A$80,0)),$B35)-CONFIG!$B$50*(COUNTIF($H35:$N35,"AB")+COUNTIF($H35:$N35,"FE")+COUNTIF($H35:$N35,"LM")))</f>
        <v/>
      </c>
      <c r="AV35" s="117">
        <f>SUMPRODUCT(($O35:$U35="M")*6+($O35:$U35="T")*6+($O35:$U35="D")*12+($O35:$U35="N")*12+($O35:$U35="NT")*6+($O35:$U35="C")*10+($O35:$U35="A")*8+($O35:$U35="J")*5+($O35:$U35="CEP")*4+($O35:$U35="CP")*6+($O35:$U35="CRO")*6+($O35:$U35="M+")*6+($O35:$U35="T+")*6+($O35:$U35="D+")*12+($O35:$U35="N+")*12+($O35:$U35="Dm+")*12+($O35:$U35="Dt+")*12+($O35:$U35="Tm-")*6+($O35:$U35="Mt-")*6)</f>
        <v/>
      </c>
      <c r="AW35" s="118">
        <f>AV35-MAX(0,IFERROR(INDEX(CADASTRO!$I$4:$I$80,MATCH($A35,CADASTRO!$A$4:$A$80,0)),$B35)-CONFIG!$B$50*(COUNTIF($O35:$U35,"AB")+COUNTIF($O35:$U35,"FE")+COUNTIF($O35:$U35,"LM")))</f>
        <v/>
      </c>
      <c r="AX35" s="117">
        <f>SUMPRODUCT(($V35:$AB35="M")*6+($V35:$AB35="T")*6+($V35:$AB35="D")*12+($V35:$AB35="N")*12+($V35:$AB35="NT")*6+($V35:$AB35="C")*10+($V35:$AB35="A")*8+($V35:$AB35="J")*5+($V35:$AB35="CEP")*4+($V35:$AB35="CP")*6+($V35:$AB35="CRO")*6+($V35:$AB35="M+")*6+($V35:$AB35="T+")*6+($V35:$AB35="D+")*12+($V35:$AB35="N+")*12+($V35:$AB35="Dm+")*12+($V35:$AB35="Dt+")*12+($V35:$AB35="Tm-")*6+($V35:$AB35="Mt-")*6)</f>
        <v/>
      </c>
      <c r="AY35" s="118">
        <f>AX35-MAX(0,IFERROR(INDEX(CADASTRO!$I$4:$I$80,MATCH($A35,CADASTRO!$A$4:$A$80,0)),$B35)-CONFIG!$B$50*(COUNTIF($V35:$AB35,"AB")+COUNTIF($V35:$AB35,"FE")+COUNTIF($V35:$AB35,"LM")))</f>
        <v/>
      </c>
      <c r="AZ35" s="117">
        <f>SUMPRODUCT(($AC35:$AI35="M")*6+($AC35:$AI35="T")*6+($AC35:$AI35="D")*12+($AC35:$AI35="N")*12+($AC35:$AI35="NT")*6+($AC35:$AI35="C")*10+($AC35:$AI35="A")*8+($AC35:$AI35="J")*5+($AC35:$AI35="CEP")*4+($AC35:$AI35="CP")*6+($AC35:$AI35="CRO")*6+($AC35:$AI35="M+")*6+($AC35:$AI35="T+")*6+($AC35:$AI35="D+")*12+($AC35:$AI35="N+")*12+($AC35:$AI35="Dm+")*12+($AC35:$AI35="Dt+")*12+($AC35:$AI35="Tm-")*6+($AC35:$AI35="Mt-")*6)</f>
        <v/>
      </c>
      <c r="BA35" s="118">
        <f>AZ35-MAX(0,IFERROR(INDEX(CADASTRO!$I$4:$I$80,MATCH($A35,CADASTRO!$A$4:$A$80,0)),$B35)-CONFIG!$B$50*(COUNTIF($AC35:$AI35,"AB")+COUNTIF($AC35:$AI35,"FE")+COUNTIF($AC35:$AI35,"LM")))</f>
        <v/>
      </c>
      <c r="BB35" s="117">
        <f>SUMPRODUCT(($AJ35:$AM35="M")*6+($AJ35:$AM35="T")*6+($AJ35:$AM35="D")*12+($AJ35:$AM35="N")*12+($AJ35:$AM35="NT")*6+($AJ35:$AM35="C")*10+($AJ35:$AM35="A")*8+($AJ35:$AM35="J")*5+($AJ35:$AM35="CEP")*4+($AJ35:$AM35="CP")*6+($AJ35:$AM35="CRO")*6+($AJ35:$AM35="M+")*6+($AJ35:$AM35="T+")*6+($AJ35:$AM35="D+")*12+($AJ35:$AM35="N+")*12+($AJ35:$AM35="Dm+")*12+($AJ35:$AM35="Dt+")*12+($AJ35:$AM35="Tm-")*6+($AJ35:$AM35="Mt-")*6)+SUMPRODUCT(($AN35:$AP35="M")*6+($AN35:$AP35="T")*6+($AN35:$AP35="D")*12+($AN35:$AP35="N")*12+($AN35:$AP35="NT")*6+($AN35:$AP35="C")*10+($AN35:$AP35="A")*8+($AN35:$AP35="J")*5+($AN35:$AP35="CEP")*4+($AN35:$AP35="CP")*6+($AN35:$AP35="CRO")*6+($AN35:$AP35="M+")*6+($AN35:$AP35="T+")*6+($AN35:$AP35="D+")*12+($AN35:$AP35="N+")*12+($AN35:$AP35="Dm+")*12+($AN35:$AP35="Dt+")*12+($AN35:$AP35="Tm-")*6+($AN35:$AP35="Mt-")*6)</f>
        <v/>
      </c>
      <c r="BC35" s="118">
        <f>BB35-MAX(0,IFERROR(INDEX(CADASTRO!$I$4:$I$80,MATCH($A35,CADASTRO!$A$4:$A$80,0)),$B35)-CONFIG!$B$50*(COUNTIF($AJ35:$AM35,"AB")+COUNTIF($AJ35:$AM35,"FE")+COUNTIF($AJ35:$AM35,"LM")+COUNTIF($AN35:$AP35,"AB")+COUNTIF($AN35:$AP35,"FE")+COUNTIF($AN35:$AP35,"LM")))</f>
        <v/>
      </c>
      <c r="BD35" s="117" t="n"/>
      <c r="BE35" s="118" t="n"/>
      <c r="BF35" s="117">
        <f>SUMPRODUCT(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G35" s="117">
        <f>SUMPRODUCT($I$4:$AM$4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H35" s="117">
        <f>SUMPRODUCT($I$5:$AM$5,(($I35:$AM35="N")+($I35:$AM35="N+")))</f>
        <v/>
      </c>
      <c r="BI35" s="117">
        <f>SUMPRODUCT($I$6:$AM$6,($I35:$AM35="M")*6+($I35:$AM35="T")*6+($I35:$AM35="D")*12+($I35:$AM35="N")*12+($I35:$AM35="NT")*6+($I35:$AM35="C")*10+($I35:$AM35="A")*8+($I35:$AM35="J")*5+($I35:$AM35="CEP")*4+($I35:$AM35="CP")*6+($I35:$AM35="CRO")*6+($I35:$AM35="M+")*6+($I35:$AM35="T+")*6+($I35:$AM35="D+")*12+($I35:$AM35="N+")*12+($I35:$AM35="Dm+")*12+($I35:$AM35="Dt+")*12+($I35:$AM35="Tm-")*6+($I35:$AM35="Mt-")*6)</f>
        <v/>
      </c>
      <c r="BJ35" s="117">
        <f>ROUND(B35*4.43,0)</f>
        <v/>
      </c>
      <c r="BK35" s="119">
        <f>BF35-BJ35</f>
        <v/>
      </c>
      <c r="BL35" s="120">
        <f>SUMPRODUCT((($C35:$AL35="N")+($C35:$AL35="N+"))*(($D35:$AM35="M")+($D35:$AM35="D")+($D35:$AM35="C")+($D35:$AM35="CEP")+($D35:$AM35="M+")+($D35:$AM35="D+")+($D35:$AM35="Dm+")+($D35:$AM35="Dt+")+($D35:$AM35="Mt-")))</f>
        <v/>
      </c>
      <c r="BM35" s="120">
        <f>SUMPRODUCT((($C35:$AL35="N")+($C35:$AL35="N+"))*(($D35:$AM35="T")+($D35:$AM35="T+")+($D35:$AM35="Tm-")))</f>
        <v/>
      </c>
      <c r="BN35" s="120">
        <f>IFERROR(INDEX(CONFIG!$B$44:$D$46,MATCH($B35,CONFIG!$A$44:$A$46,0),IF(COUNTIF($I35:$AM35,"FE")&gt;=10,1,IF(COUNTIF($I35:$AM35,"FE")&gt;=1,2,3))),"")</f>
        <v/>
      </c>
      <c r="BO35" s="120">
        <f>IF(BN35="","",MAX(0,BG35-BN35*CONFIG!$E$44))</f>
        <v/>
      </c>
      <c r="BP35" s="120">
        <f>MAX(AT35,AV35,AX35,AZ35,BB35,BD35)</f>
        <v/>
      </c>
      <c r="BQ35" s="121" t="inlineStr">
        <is>
          <t>3 · staff</t>
        </is>
      </c>
      <c r="BR35" s="122" t="n">
        <v>7</v>
      </c>
      <c r="BS35" s="39" t="n"/>
    </row>
    <row r="36">
      <c r="A36" s="89" t="inlineStr">
        <is>
          <t>Ricardo</t>
        </is>
      </c>
      <c r="B36" s="107" t="n">
        <v>30</v>
      </c>
      <c r="C36" s="100" t="n"/>
      <c r="D36" s="100" t="n"/>
      <c r="E36" s="100" t="n"/>
      <c r="F36" s="100" t="n"/>
      <c r="G36" s="100" t="n"/>
      <c r="H36" s="136">
        <f>IFERROR(INDEX(NOV!AL$8:AL$73,MATCH($A36,NOV!$A$8:$A$73,0))&amp;"","")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  <c r="AB36" s="114" t="n"/>
      <c r="AC36" s="114" t="n"/>
      <c r="AD36" s="114" t="n"/>
      <c r="AE36" s="114" t="n"/>
      <c r="AF36" s="114" t="n"/>
      <c r="AG36" s="114" t="n"/>
      <c r="AH36" s="114" t="n"/>
      <c r="AI36" s="114" t="n"/>
      <c r="AJ36" s="114" t="n"/>
      <c r="AK36" s="114" t="n"/>
      <c r="AL36" s="114" t="n"/>
      <c r="AM36" s="114" t="n"/>
      <c r="AN36" s="100" t="n"/>
      <c r="AO36" s="100" t="n"/>
      <c r="AP36" s="100" t="n"/>
      <c r="AQ36" s="100" t="n"/>
      <c r="AR36" s="100" t="n"/>
      <c r="AS36" s="100" t="n"/>
      <c r="AT36" s="117">
        <f>SUMPRODUCT(($H36:$N36="M")*6+($H36:$N36="T")*6+($H36:$N36="D")*12+($H36:$N36="N")*12+($H36:$N36="NT")*6+($H36:$N36="C")*10+($H36:$N36="A")*8+($H36:$N36="J")*5+($H36:$N36="CEP")*4+($H36:$N36="CP")*6+($H36:$N36="CRO")*6+($H36:$N36="M+")*6+($H36:$N36="T+")*6+($H36:$N36="D+")*12+($H36:$N36="N+")*12+($H36:$N36="Dm+")*12+($H36:$N36="Dt+")*12+($H36:$N36="Tm-")*6+($H36:$N36="Mt-")*6)</f>
        <v/>
      </c>
      <c r="AU36" s="118">
        <f>AT36-MAX(0,IFERROR(INDEX(CADASTRO!$I$4:$I$80,MATCH($A36,CADASTRO!$A$4:$A$80,0)),$B36)-CONFIG!$B$50*(COUNTIF($H36:$N36,"AB")+COUNTIF($H36:$N36,"FE")+COUNTIF($H36:$N36,"LM")))</f>
        <v/>
      </c>
      <c r="AV36" s="117">
        <f>SUMPRODUCT(($O36:$U36="M")*6+($O36:$U36="T")*6+($O36:$U36="D")*12+($O36:$U36="N")*12+($O36:$U36="NT")*6+($O36:$U36="C")*10+($O36:$U36="A")*8+($O36:$U36="J")*5+($O36:$U36="CEP")*4+($O36:$U36="CP")*6+($O36:$U36="CRO")*6+($O36:$U36="M+")*6+($O36:$U36="T+")*6+($O36:$U36="D+")*12+($O36:$U36="N+")*12+($O36:$U36="Dm+")*12+($O36:$U36="Dt+")*12+($O36:$U36="Tm-")*6+($O36:$U36="Mt-")*6)</f>
        <v/>
      </c>
      <c r="AW36" s="118">
        <f>AV36-MAX(0,IFERROR(INDEX(CADASTRO!$I$4:$I$80,MATCH($A36,CADASTRO!$A$4:$A$80,0)),$B36)-CONFIG!$B$50*(COUNTIF($O36:$U36,"AB")+COUNTIF($O36:$U36,"FE")+COUNTIF($O36:$U36,"LM")))</f>
        <v/>
      </c>
      <c r="AX36" s="117">
        <f>SUMPRODUCT(($V36:$AB36="M")*6+($V36:$AB36="T")*6+($V36:$AB36="D")*12+($V36:$AB36="N")*12+($V36:$AB36="NT")*6+($V36:$AB36="C")*10+($V36:$AB36="A")*8+($V36:$AB36="J")*5+($V36:$AB36="CEP")*4+($V36:$AB36="CP")*6+($V36:$AB36="CRO")*6+($V36:$AB36="M+")*6+($V36:$AB36="T+")*6+($V36:$AB36="D+")*12+($V36:$AB36="N+")*12+($V36:$AB36="Dm+")*12+($V36:$AB36="Dt+")*12+($V36:$AB36="Tm-")*6+($V36:$AB36="Mt-")*6)</f>
        <v/>
      </c>
      <c r="AY36" s="118">
        <f>AX36-MAX(0,IFERROR(INDEX(CADASTRO!$I$4:$I$80,MATCH($A36,CADASTRO!$A$4:$A$80,0)),$B36)-CONFIG!$B$50*(COUNTIF($V36:$AB36,"AB")+COUNTIF($V36:$AB36,"FE")+COUNTIF($V36:$AB36,"LM")))</f>
        <v/>
      </c>
      <c r="AZ36" s="117">
        <f>SUMPRODUCT(($AC36:$AI36="M")*6+($AC36:$AI36="T")*6+($AC36:$AI36="D")*12+($AC36:$AI36="N")*12+($AC36:$AI36="NT")*6+($AC36:$AI36="C")*10+($AC36:$AI36="A")*8+($AC36:$AI36="J")*5+($AC36:$AI36="CEP")*4+($AC36:$AI36="CP")*6+($AC36:$AI36="CRO")*6+($AC36:$AI36="M+")*6+($AC36:$AI36="T+")*6+($AC36:$AI36="D+")*12+($AC36:$AI36="N+")*12+($AC36:$AI36="Dm+")*12+($AC36:$AI36="Dt+")*12+($AC36:$AI36="Tm-")*6+($AC36:$AI36="Mt-")*6)</f>
        <v/>
      </c>
      <c r="BA36" s="118">
        <f>AZ36-MAX(0,IFERROR(INDEX(CADASTRO!$I$4:$I$80,MATCH($A36,CADASTRO!$A$4:$A$80,0)),$B36)-CONFIG!$B$50*(COUNTIF($AC36:$AI36,"AB")+COUNTIF($AC36:$AI36,"FE")+COUNTIF($AC36:$AI36,"LM")))</f>
        <v/>
      </c>
      <c r="BB36" s="117">
        <f>SUMPRODUCT(($AJ36:$AM36="M")*6+($AJ36:$AM36="T")*6+($AJ36:$AM36="D")*12+($AJ36:$AM36="N")*12+($AJ36:$AM36="NT")*6+($AJ36:$AM36="C")*10+($AJ36:$AM36="A")*8+($AJ36:$AM36="J")*5+($AJ36:$AM36="CEP")*4+($AJ36:$AM36="CP")*6+($AJ36:$AM36="CRO")*6+($AJ36:$AM36="M+")*6+($AJ36:$AM36="T+")*6+($AJ36:$AM36="D+")*12+($AJ36:$AM36="N+")*12+($AJ36:$AM36="Dm+")*12+($AJ36:$AM36="Dt+")*12+($AJ36:$AM36="Tm-")*6+($AJ36:$AM36="Mt-")*6)+SUMPRODUCT(($AN36:$AP36="M")*6+($AN36:$AP36="T")*6+($AN36:$AP36="D")*12+($AN36:$AP36="N")*12+($AN36:$AP36="NT")*6+($AN36:$AP36="C")*10+($AN36:$AP36="A")*8+($AN36:$AP36="J")*5+($AN36:$AP36="CEP")*4+($AN36:$AP36="CP")*6+($AN36:$AP36="CRO")*6+($AN36:$AP36="M+")*6+($AN36:$AP36="T+")*6+($AN36:$AP36="D+")*12+($AN36:$AP36="N+")*12+($AN36:$AP36="Dm+")*12+($AN36:$AP36="Dt+")*12+($AN36:$AP36="Tm-")*6+($AN36:$AP36="Mt-")*6)</f>
        <v/>
      </c>
      <c r="BC36" s="118">
        <f>BB36-MAX(0,IFERROR(INDEX(CADASTRO!$I$4:$I$80,MATCH($A36,CADASTRO!$A$4:$A$80,0)),$B36)-CONFIG!$B$50*(COUNTIF($AJ36:$AM36,"AB")+COUNTIF($AJ36:$AM36,"FE")+COUNTIF($AJ36:$AM36,"LM")+COUNTIF($AN36:$AP36,"AB")+COUNTIF($AN36:$AP36,"FE")+COUNTIF($AN36:$AP36,"LM")))</f>
        <v/>
      </c>
      <c r="BD36" s="117" t="n"/>
      <c r="BE36" s="118" t="n"/>
      <c r="BF36" s="117">
        <f>SUMPRODUCT(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G36" s="117">
        <f>SUMPRODUCT($I$4:$AM$4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H36" s="117">
        <f>SUMPRODUCT($I$5:$AM$5,(($I36:$AM36="N")+($I36:$AM36="N+")))</f>
        <v/>
      </c>
      <c r="BI36" s="117">
        <f>SUMPRODUCT($I$6:$AM$6,($I36:$AM36="M")*6+($I36:$AM36="T")*6+($I36:$AM36="D")*12+($I36:$AM36="N")*12+($I36:$AM36="NT")*6+($I36:$AM36="C")*10+($I36:$AM36="A")*8+($I36:$AM36="J")*5+($I36:$AM36="CEP")*4+($I36:$AM36="CP")*6+($I36:$AM36="CRO")*6+($I36:$AM36="M+")*6+($I36:$AM36="T+")*6+($I36:$AM36="D+")*12+($I36:$AM36="N+")*12+($I36:$AM36="Dm+")*12+($I36:$AM36="Dt+")*12+($I36:$AM36="Tm-")*6+($I36:$AM36="Mt-")*6)</f>
        <v/>
      </c>
      <c r="BJ36" s="117">
        <f>ROUND(B36*4.43,0)</f>
        <v/>
      </c>
      <c r="BK36" s="119">
        <f>BF36-BJ36</f>
        <v/>
      </c>
      <c r="BL36" s="120">
        <f>SUMPRODUCT((($C36:$AL36="N")+($C36:$AL36="N+"))*(($D36:$AM36="M")+($D36:$AM36="D")+($D36:$AM36="C")+($D36:$AM36="CEP")+($D36:$AM36="M+")+($D36:$AM36="D+")+($D36:$AM36="Dm+")+($D36:$AM36="Dt+")+($D36:$AM36="Mt-")))</f>
        <v/>
      </c>
      <c r="BM36" s="120">
        <f>SUMPRODUCT((($C36:$AL36="N")+($C36:$AL36="N+"))*(($D36:$AM36="T")+($D36:$AM36="T+")+($D36:$AM36="Tm-")))</f>
        <v/>
      </c>
      <c r="BN36" s="120">
        <f>IFERROR(INDEX(CONFIG!$B$44:$D$46,MATCH($B36,CONFIG!$A$44:$A$46,0),IF(COUNTIF($I36:$AM36,"FE")&gt;=10,1,IF(COUNTIF($I36:$AM36,"FE")&gt;=1,2,3))),"")</f>
        <v/>
      </c>
      <c r="BO36" s="120">
        <f>IF(BN36="","",MAX(0,BG36-BN36*CONFIG!$E$44))</f>
        <v/>
      </c>
      <c r="BP36" s="120">
        <f>MAX(AT36,AV36,AX36,AZ36,BB36,BD36)</f>
        <v/>
      </c>
      <c r="BQ36" s="121" t="inlineStr">
        <is>
          <t>3 · staff</t>
        </is>
      </c>
      <c r="BR36" s="122" t="n">
        <v>7</v>
      </c>
      <c r="BS36" s="39" t="n"/>
    </row>
    <row r="37">
      <c r="A37" s="89" t="inlineStr">
        <is>
          <t>Rosana</t>
        </is>
      </c>
      <c r="B37" s="107" t="n">
        <v>30</v>
      </c>
      <c r="C37" s="100" t="n"/>
      <c r="D37" s="100" t="n"/>
      <c r="E37" s="100" t="n"/>
      <c r="F37" s="100" t="n"/>
      <c r="G37" s="100" t="n"/>
      <c r="H37" s="136">
        <f>IFERROR(INDEX(NOV!AL$8:AL$73,MATCH($A37,NOV!$A$8:$A$73,0))&amp;"","")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14" t="n"/>
      <c r="AE37" s="114" t="n"/>
      <c r="AF37" s="114" t="n"/>
      <c r="AG37" s="114" t="n"/>
      <c r="AH37" s="114" t="n"/>
      <c r="AI37" s="114" t="n"/>
      <c r="AJ37" s="114" t="n"/>
      <c r="AK37" s="114" t="n"/>
      <c r="AL37" s="114" t="n"/>
      <c r="AM37" s="114" t="n"/>
      <c r="AN37" s="100" t="n"/>
      <c r="AO37" s="100" t="n"/>
      <c r="AP37" s="100" t="n"/>
      <c r="AQ37" s="100" t="n"/>
      <c r="AR37" s="100" t="n"/>
      <c r="AS37" s="100" t="n"/>
      <c r="AT37" s="117">
        <f>SUMPRODUCT(($H37:$N37="M")*6+($H37:$N37="T")*6+($H37:$N37="D")*12+($H37:$N37="N")*12+($H37:$N37="NT")*6+($H37:$N37="C")*10+($H37:$N37="A")*8+($H37:$N37="J")*5+($H37:$N37="CEP")*4+($H37:$N37="CP")*6+($H37:$N37="CRO")*6+($H37:$N37="M+")*6+($H37:$N37="T+")*6+($H37:$N37="D+")*12+($H37:$N37="N+")*12+($H37:$N37="Dm+")*12+($H37:$N37="Dt+")*12+($H37:$N37="Tm-")*6+($H37:$N37="Mt-")*6)</f>
        <v/>
      </c>
      <c r="AU37" s="118">
        <f>AT37-MAX(0,IFERROR(INDEX(CADASTRO!$I$4:$I$80,MATCH($A37,CADASTRO!$A$4:$A$80,0)),$B37)-CONFIG!$B$50*(COUNTIF($H37:$N37,"AB")+COUNTIF($H37:$N37,"FE")+COUNTIF($H37:$N37,"LM")))</f>
        <v/>
      </c>
      <c r="AV37" s="117">
        <f>SUMPRODUCT(($O37:$U37="M")*6+($O37:$U37="T")*6+($O37:$U37="D")*12+($O37:$U37="N")*12+($O37:$U37="NT")*6+($O37:$U37="C")*10+($O37:$U37="A")*8+($O37:$U37="J")*5+($O37:$U37="CEP")*4+($O37:$U37="CP")*6+($O37:$U37="CRO")*6+($O37:$U37="M+")*6+($O37:$U37="T+")*6+($O37:$U37="D+")*12+($O37:$U37="N+")*12+($O37:$U37="Dm+")*12+($O37:$U37="Dt+")*12+($O37:$U37="Tm-")*6+($O37:$U37="Mt-")*6)</f>
        <v/>
      </c>
      <c r="AW37" s="118">
        <f>AV37-MAX(0,IFERROR(INDEX(CADASTRO!$I$4:$I$80,MATCH($A37,CADASTRO!$A$4:$A$80,0)),$B37)-CONFIG!$B$50*(COUNTIF($O37:$U37,"AB")+COUNTIF($O37:$U37,"FE")+COUNTIF($O37:$U37,"LM")))</f>
        <v/>
      </c>
      <c r="AX37" s="117">
        <f>SUMPRODUCT(($V37:$AB37="M")*6+($V37:$AB37="T")*6+($V37:$AB37="D")*12+($V37:$AB37="N")*12+($V37:$AB37="NT")*6+($V37:$AB37="C")*10+($V37:$AB37="A")*8+($V37:$AB37="J")*5+($V37:$AB37="CEP")*4+($V37:$AB37="CP")*6+($V37:$AB37="CRO")*6+($V37:$AB37="M+")*6+($V37:$AB37="T+")*6+($V37:$AB37="D+")*12+($V37:$AB37="N+")*12+($V37:$AB37="Dm+")*12+($V37:$AB37="Dt+")*12+($V37:$AB37="Tm-")*6+($V37:$AB37="Mt-")*6)</f>
        <v/>
      </c>
      <c r="AY37" s="118">
        <f>AX37-MAX(0,IFERROR(INDEX(CADASTRO!$I$4:$I$80,MATCH($A37,CADASTRO!$A$4:$A$80,0)),$B37)-CONFIG!$B$50*(COUNTIF($V37:$AB37,"AB")+COUNTIF($V37:$AB37,"FE")+COUNTIF($V37:$AB37,"LM")))</f>
        <v/>
      </c>
      <c r="AZ37" s="117">
        <f>SUMPRODUCT(($AC37:$AI37="M")*6+($AC37:$AI37="T")*6+($AC37:$AI37="D")*12+($AC37:$AI37="N")*12+($AC37:$AI37="NT")*6+($AC37:$AI37="C")*10+($AC37:$AI37="A")*8+($AC37:$AI37="J")*5+($AC37:$AI37="CEP")*4+($AC37:$AI37="CP")*6+($AC37:$AI37="CRO")*6+($AC37:$AI37="M+")*6+($AC37:$AI37="T+")*6+($AC37:$AI37="D+")*12+($AC37:$AI37="N+")*12+($AC37:$AI37="Dm+")*12+($AC37:$AI37="Dt+")*12+($AC37:$AI37="Tm-")*6+($AC37:$AI37="Mt-")*6)</f>
        <v/>
      </c>
      <c r="BA37" s="118">
        <f>AZ37-MAX(0,IFERROR(INDEX(CADASTRO!$I$4:$I$80,MATCH($A37,CADASTRO!$A$4:$A$80,0)),$B37)-CONFIG!$B$50*(COUNTIF($AC37:$AI37,"AB")+COUNTIF($AC37:$AI37,"FE")+COUNTIF($AC37:$AI37,"LM")))</f>
        <v/>
      </c>
      <c r="BB37" s="117">
        <f>SUMPRODUCT(($AJ37:$AM37="M")*6+($AJ37:$AM37="T")*6+($AJ37:$AM37="D")*12+($AJ37:$AM37="N")*12+($AJ37:$AM37="NT")*6+($AJ37:$AM37="C")*10+($AJ37:$AM37="A")*8+($AJ37:$AM37="J")*5+($AJ37:$AM37="CEP")*4+($AJ37:$AM37="CP")*6+($AJ37:$AM37="CRO")*6+($AJ37:$AM37="M+")*6+($AJ37:$AM37="T+")*6+($AJ37:$AM37="D+")*12+($AJ37:$AM37="N+")*12+($AJ37:$AM37="Dm+")*12+($AJ37:$AM37="Dt+")*12+($AJ37:$AM37="Tm-")*6+($AJ37:$AM37="Mt-")*6)+SUMPRODUCT(($AN37:$AP37="M")*6+($AN37:$AP37="T")*6+($AN37:$AP37="D")*12+($AN37:$AP37="N")*12+($AN37:$AP37="NT")*6+($AN37:$AP37="C")*10+($AN37:$AP37="A")*8+($AN37:$AP37="J")*5+($AN37:$AP37="CEP")*4+($AN37:$AP37="CP")*6+($AN37:$AP37="CRO")*6+($AN37:$AP37="M+")*6+($AN37:$AP37="T+")*6+($AN37:$AP37="D+")*12+($AN37:$AP37="N+")*12+($AN37:$AP37="Dm+")*12+($AN37:$AP37="Dt+")*12+($AN37:$AP37="Tm-")*6+($AN37:$AP37="Mt-")*6)</f>
        <v/>
      </c>
      <c r="BC37" s="118">
        <f>BB37-MAX(0,IFERROR(INDEX(CADASTRO!$I$4:$I$80,MATCH($A37,CADASTRO!$A$4:$A$80,0)),$B37)-CONFIG!$B$50*(COUNTIF($AJ37:$AM37,"AB")+COUNTIF($AJ37:$AM37,"FE")+COUNTIF($AJ37:$AM37,"LM")+COUNTIF($AN37:$AP37,"AB")+COUNTIF($AN37:$AP37,"FE")+COUNTIF($AN37:$AP37,"LM")))</f>
        <v/>
      </c>
      <c r="BD37" s="117" t="n"/>
      <c r="BE37" s="118" t="n"/>
      <c r="BF37" s="117">
        <f>SUMPRODUCT(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G37" s="117">
        <f>SUMPRODUCT($I$4:$AM$4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H37" s="117">
        <f>SUMPRODUCT($I$5:$AM$5,(($I37:$AM37="N")+($I37:$AM37="N+")))</f>
        <v/>
      </c>
      <c r="BI37" s="117">
        <f>SUMPRODUCT($I$6:$AM$6,($I37:$AM37="M")*6+($I37:$AM37="T")*6+($I37:$AM37="D")*12+($I37:$AM37="N")*12+($I37:$AM37="NT")*6+($I37:$AM37="C")*10+($I37:$AM37="A")*8+($I37:$AM37="J")*5+($I37:$AM37="CEP")*4+($I37:$AM37="CP")*6+($I37:$AM37="CRO")*6+($I37:$AM37="M+")*6+($I37:$AM37="T+")*6+($I37:$AM37="D+")*12+($I37:$AM37="N+")*12+($I37:$AM37="Dm+")*12+($I37:$AM37="Dt+")*12+($I37:$AM37="Tm-")*6+($I37:$AM37="Mt-")*6)</f>
        <v/>
      </c>
      <c r="BJ37" s="117">
        <f>ROUND(B37*4.43,0)</f>
        <v/>
      </c>
      <c r="BK37" s="119">
        <f>BF37-BJ37</f>
        <v/>
      </c>
      <c r="BL37" s="120">
        <f>SUMPRODUCT((($C37:$AL37="N")+($C37:$AL37="N+"))*(($D37:$AM37="M")+($D37:$AM37="D")+($D37:$AM37="C")+($D37:$AM37="CEP")+($D37:$AM37="M+")+($D37:$AM37="D+")+($D37:$AM37="Dm+")+($D37:$AM37="Dt+")+($D37:$AM37="Mt-")))</f>
        <v/>
      </c>
      <c r="BM37" s="120">
        <f>SUMPRODUCT((($C37:$AL37="N")+($C37:$AL37="N+"))*(($D37:$AM37="T")+($D37:$AM37="T+")+($D37:$AM37="Tm-")))</f>
        <v/>
      </c>
      <c r="BN37" s="120">
        <f>IFERROR(INDEX(CONFIG!$B$44:$D$46,MATCH($B37,CONFIG!$A$44:$A$46,0),IF(COUNTIF($I37:$AM37,"FE")&gt;=10,1,IF(COUNTIF($I37:$AM37,"FE")&gt;=1,2,3))),"")</f>
        <v/>
      </c>
      <c r="BO37" s="120">
        <f>IF(BN37="","",MAX(0,BG37-BN37*CONFIG!$E$44))</f>
        <v/>
      </c>
      <c r="BP37" s="120">
        <f>MAX(AT37,AV37,AX37,AZ37,BB37,BD37)</f>
        <v/>
      </c>
      <c r="BQ37" s="121" t="inlineStr">
        <is>
          <t>3 · staff</t>
        </is>
      </c>
      <c r="BR37" s="122" t="n">
        <v>7</v>
      </c>
      <c r="BS37" s="39" t="n"/>
    </row>
    <row r="38">
      <c r="A38" s="89" t="inlineStr">
        <is>
          <t>AnaSeverino</t>
        </is>
      </c>
      <c r="B38" s="107" t="n">
        <v>24</v>
      </c>
      <c r="C38" s="100" t="n"/>
      <c r="D38" s="100" t="n"/>
      <c r="E38" s="100" t="n"/>
      <c r="F38" s="100" t="n"/>
      <c r="G38" s="100" t="n"/>
      <c r="H38" s="136">
        <f>IFERROR(INDEX(NOV!AL$8:AL$73,MATCH($A38,NOV!$A$8:$A$73,0))&amp;"","")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4" t="n"/>
      <c r="AJ38" s="114" t="n"/>
      <c r="AK38" s="114" t="n"/>
      <c r="AL38" s="114" t="n"/>
      <c r="AM38" s="114" t="n"/>
      <c r="AN38" s="100" t="n"/>
      <c r="AO38" s="100" t="n"/>
      <c r="AP38" s="100" t="n"/>
      <c r="AQ38" s="100" t="n"/>
      <c r="AR38" s="100" t="n"/>
      <c r="AS38" s="100" t="n"/>
      <c r="AT38" s="117">
        <f>SUMPRODUCT(($H38:$N38="M")*6+($H38:$N38="T")*6+($H38:$N38="D")*12+($H38:$N38="N")*12+($H38:$N38="NT")*6+($H38:$N38="C")*10+($H38:$N38="A")*8+($H38:$N38="J")*5+($H38:$N38="CEP")*4+($H38:$N38="CP")*6+($H38:$N38="CRO")*6+($H38:$N38="M+")*6+($H38:$N38="T+")*6+($H38:$N38="D+")*12+($H38:$N38="N+")*12+($H38:$N38="Dm+")*12+($H38:$N38="Dt+")*12+($H38:$N38="Tm-")*6+($H38:$N38="Mt-")*6)</f>
        <v/>
      </c>
      <c r="AU38" s="118">
        <f>AT38-MAX(0,IFERROR(INDEX(CADASTRO!$I$4:$I$80,MATCH($A38,CADASTRO!$A$4:$A$80,0)),$B38)-CONFIG!$B$50*(COUNTIF($H38:$N38,"AB")+COUNTIF($H38:$N38,"FE")+COUNTIF($H38:$N38,"LM")))</f>
        <v/>
      </c>
      <c r="AV38" s="117">
        <f>SUMPRODUCT(($O38:$U38="M")*6+($O38:$U38="T")*6+($O38:$U38="D")*12+($O38:$U38="N")*12+($O38:$U38="NT")*6+($O38:$U38="C")*10+($O38:$U38="A")*8+($O38:$U38="J")*5+($O38:$U38="CEP")*4+($O38:$U38="CP")*6+($O38:$U38="CRO")*6+($O38:$U38="M+")*6+($O38:$U38="T+")*6+($O38:$U38="D+")*12+($O38:$U38="N+")*12+($O38:$U38="Dm+")*12+($O38:$U38="Dt+")*12+($O38:$U38="Tm-")*6+($O38:$U38="Mt-")*6)</f>
        <v/>
      </c>
      <c r="AW38" s="118">
        <f>AV38-MAX(0,IFERROR(INDEX(CADASTRO!$I$4:$I$80,MATCH($A38,CADASTRO!$A$4:$A$80,0)),$B38)-CONFIG!$B$50*(COUNTIF($O38:$U38,"AB")+COUNTIF($O38:$U38,"FE")+COUNTIF($O38:$U38,"LM")))</f>
        <v/>
      </c>
      <c r="AX38" s="117">
        <f>SUMPRODUCT(($V38:$AB38="M")*6+($V38:$AB38="T")*6+($V38:$AB38="D")*12+($V38:$AB38="N")*12+($V38:$AB38="NT")*6+($V38:$AB38="C")*10+($V38:$AB38="A")*8+($V38:$AB38="J")*5+($V38:$AB38="CEP")*4+($V38:$AB38="CP")*6+($V38:$AB38="CRO")*6+($V38:$AB38="M+")*6+($V38:$AB38="T+")*6+($V38:$AB38="D+")*12+($V38:$AB38="N+")*12+($V38:$AB38="Dm+")*12+($V38:$AB38="Dt+")*12+($V38:$AB38="Tm-")*6+($V38:$AB38="Mt-")*6)</f>
        <v/>
      </c>
      <c r="AY38" s="118">
        <f>AX38-MAX(0,IFERROR(INDEX(CADASTRO!$I$4:$I$80,MATCH($A38,CADASTRO!$A$4:$A$80,0)),$B38)-CONFIG!$B$50*(COUNTIF($V38:$AB38,"AB")+COUNTIF($V38:$AB38,"FE")+COUNTIF($V38:$AB38,"LM")))</f>
        <v/>
      </c>
      <c r="AZ38" s="117">
        <f>SUMPRODUCT(($AC38:$AI38="M")*6+($AC38:$AI38="T")*6+($AC38:$AI38="D")*12+($AC38:$AI38="N")*12+($AC38:$AI38="NT")*6+($AC38:$AI38="C")*10+($AC38:$AI38="A")*8+($AC38:$AI38="J")*5+($AC38:$AI38="CEP")*4+($AC38:$AI38="CP")*6+($AC38:$AI38="CRO")*6+($AC38:$AI38="M+")*6+($AC38:$AI38="T+")*6+($AC38:$AI38="D+")*12+($AC38:$AI38="N+")*12+($AC38:$AI38="Dm+")*12+($AC38:$AI38="Dt+")*12+($AC38:$AI38="Tm-")*6+($AC38:$AI38="Mt-")*6)</f>
        <v/>
      </c>
      <c r="BA38" s="118">
        <f>AZ38-MAX(0,IFERROR(INDEX(CADASTRO!$I$4:$I$80,MATCH($A38,CADASTRO!$A$4:$A$80,0)),$B38)-CONFIG!$B$50*(COUNTIF($AC38:$AI38,"AB")+COUNTIF($AC38:$AI38,"FE")+COUNTIF($AC38:$AI38,"LM")))</f>
        <v/>
      </c>
      <c r="BB38" s="117">
        <f>SUMPRODUCT(($AJ38:$AM38="M")*6+($AJ38:$AM38="T")*6+($AJ38:$AM38="D")*12+($AJ38:$AM38="N")*12+($AJ38:$AM38="NT")*6+($AJ38:$AM38="C")*10+($AJ38:$AM38="A")*8+($AJ38:$AM38="J")*5+($AJ38:$AM38="CEP")*4+($AJ38:$AM38="CP")*6+($AJ38:$AM38="CRO")*6+($AJ38:$AM38="M+")*6+($AJ38:$AM38="T+")*6+($AJ38:$AM38="D+")*12+($AJ38:$AM38="N+")*12+($AJ38:$AM38="Dm+")*12+($AJ38:$AM38="Dt+")*12+($AJ38:$AM38="Tm-")*6+($AJ38:$AM38="Mt-")*6)+SUMPRODUCT(($AN38:$AP38="M")*6+($AN38:$AP38="T")*6+($AN38:$AP38="D")*12+($AN38:$AP38="N")*12+($AN38:$AP38="NT")*6+($AN38:$AP38="C")*10+($AN38:$AP38="A")*8+($AN38:$AP38="J")*5+($AN38:$AP38="CEP")*4+($AN38:$AP38="CP")*6+($AN38:$AP38="CRO")*6+($AN38:$AP38="M+")*6+($AN38:$AP38="T+")*6+($AN38:$AP38="D+")*12+($AN38:$AP38="N+")*12+($AN38:$AP38="Dm+")*12+($AN38:$AP38="Dt+")*12+($AN38:$AP38="Tm-")*6+($AN38:$AP38="Mt-")*6)</f>
        <v/>
      </c>
      <c r="BC38" s="118">
        <f>BB38-MAX(0,IFERROR(INDEX(CADASTRO!$I$4:$I$80,MATCH($A38,CADASTRO!$A$4:$A$80,0)),$B38)-CONFIG!$B$50*(COUNTIF($AJ38:$AM38,"AB")+COUNTIF($AJ38:$AM38,"FE")+COUNTIF($AJ38:$AM38,"LM")+COUNTIF($AN38:$AP38,"AB")+COUNTIF($AN38:$AP38,"FE")+COUNTIF($AN38:$AP38,"LM")))</f>
        <v/>
      </c>
      <c r="BD38" s="117" t="n"/>
      <c r="BE38" s="118" t="n"/>
      <c r="BF38" s="117">
        <f>SUMPRODUCT(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G38" s="117">
        <f>SUMPRODUCT($I$4:$AM$4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H38" s="117">
        <f>SUMPRODUCT($I$5:$AM$5,(($I38:$AM38="N")+($I38:$AM38="N+")))</f>
        <v/>
      </c>
      <c r="BI38" s="117">
        <f>SUMPRODUCT($I$6:$AM$6,($I38:$AM38="M")*6+($I38:$AM38="T")*6+($I38:$AM38="D")*12+($I38:$AM38="N")*12+($I38:$AM38="NT")*6+($I38:$AM38="C")*10+($I38:$AM38="A")*8+($I38:$AM38="J")*5+($I38:$AM38="CEP")*4+($I38:$AM38="CP")*6+($I38:$AM38="CRO")*6+($I38:$AM38="M+")*6+($I38:$AM38="T+")*6+($I38:$AM38="D+")*12+($I38:$AM38="N+")*12+($I38:$AM38="Dm+")*12+($I38:$AM38="Dt+")*12+($I38:$AM38="Tm-")*6+($I38:$AM38="Mt-")*6)</f>
        <v/>
      </c>
      <c r="BJ38" s="117">
        <f>ROUND(B38*4.43,0)</f>
        <v/>
      </c>
      <c r="BK38" s="119">
        <f>BF38-BJ38</f>
        <v/>
      </c>
      <c r="BL38" s="120">
        <f>SUMPRODUCT((($C38:$AL38="N")+($C38:$AL38="N+"))*(($D38:$AM38="M")+($D38:$AM38="D")+($D38:$AM38="C")+($D38:$AM38="CEP")+($D38:$AM38="M+")+($D38:$AM38="D+")+($D38:$AM38="Dm+")+($D38:$AM38="Dt+")+($D38:$AM38="Mt-")))</f>
        <v/>
      </c>
      <c r="BM38" s="120">
        <f>SUMPRODUCT((($C38:$AL38="N")+($C38:$AL38="N+"))*(($D38:$AM38="T")+($D38:$AM38="T+")+($D38:$AM38="Tm-")))</f>
        <v/>
      </c>
      <c r="BN38" s="120">
        <f>IFERROR(INDEX(CONFIG!$B$44:$D$46,MATCH($B38,CONFIG!$A$44:$A$46,0),IF(COUNTIF($I38:$AM38,"FE")&gt;=10,1,IF(COUNTIF($I38:$AM38,"FE")&gt;=1,2,3))),"")</f>
        <v/>
      </c>
      <c r="BO38" s="120">
        <f>IF(BN38="","",MAX(0,BG38-BN38*CONFIG!$E$44))</f>
        <v/>
      </c>
      <c r="BP38" s="120">
        <f>MAX(AT38,AV38,AX38,AZ38,BB38,BD38)</f>
        <v/>
      </c>
      <c r="BQ38" s="121" t="inlineStr">
        <is>
          <t>3 · staff</t>
        </is>
      </c>
      <c r="BR38" s="122" t="n">
        <v>7</v>
      </c>
      <c r="BS38" s="39" t="n"/>
    </row>
    <row r="39">
      <c r="A39" s="89" t="inlineStr">
        <is>
          <t>Anna</t>
        </is>
      </c>
      <c r="B39" s="107" t="n">
        <v>24</v>
      </c>
      <c r="C39" s="100" t="n"/>
      <c r="D39" s="100" t="n"/>
      <c r="E39" s="100" t="n"/>
      <c r="F39" s="100" t="n"/>
      <c r="G39" s="100" t="n"/>
      <c r="H39" s="136">
        <f>IFERROR(INDEX(NOV!AL$8:AL$73,MATCH($A39,NOV!$A$8:$A$73,0))&amp;"","")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00" t="n"/>
      <c r="AO39" s="100" t="n"/>
      <c r="AP39" s="100" t="n"/>
      <c r="AQ39" s="100" t="n"/>
      <c r="AR39" s="100" t="n"/>
      <c r="AS39" s="100" t="n"/>
      <c r="AT39" s="117">
        <f>SUMPRODUCT(($H39:$N39="M")*6+($H39:$N39="T")*6+($H39:$N39="D")*12+($H39:$N39="N")*12+($H39:$N39="NT")*6+($H39:$N39="C")*10+($H39:$N39="A")*8+($H39:$N39="J")*5+($H39:$N39="CEP")*4+($H39:$N39="CP")*6+($H39:$N39="CRO")*6+($H39:$N39="M+")*6+($H39:$N39="T+")*6+($H39:$N39="D+")*12+($H39:$N39="N+")*12+($H39:$N39="Dm+")*12+($H39:$N39="Dt+")*12+($H39:$N39="Tm-")*6+($H39:$N39="Mt-")*6)</f>
        <v/>
      </c>
      <c r="AU39" s="118">
        <f>AT39-MAX(0,IFERROR(INDEX(CADASTRO!$I$4:$I$80,MATCH($A39,CADASTRO!$A$4:$A$80,0)),$B39)-CONFIG!$B$50*(COUNTIF($H39:$N39,"AB")+COUNTIF($H39:$N39,"FE")+COUNTIF($H39:$N39,"LM")))</f>
        <v/>
      </c>
      <c r="AV39" s="117">
        <f>SUMPRODUCT(($O39:$U39="M")*6+($O39:$U39="T")*6+($O39:$U39="D")*12+($O39:$U39="N")*12+($O39:$U39="NT")*6+($O39:$U39="C")*10+($O39:$U39="A")*8+($O39:$U39="J")*5+($O39:$U39="CEP")*4+($O39:$U39="CP")*6+($O39:$U39="CRO")*6+($O39:$U39="M+")*6+($O39:$U39="T+")*6+($O39:$U39="D+")*12+($O39:$U39="N+")*12+($O39:$U39="Dm+")*12+($O39:$U39="Dt+")*12+($O39:$U39="Tm-")*6+($O39:$U39="Mt-")*6)</f>
        <v/>
      </c>
      <c r="AW39" s="118">
        <f>AV39-MAX(0,IFERROR(INDEX(CADASTRO!$I$4:$I$80,MATCH($A39,CADASTRO!$A$4:$A$80,0)),$B39)-CONFIG!$B$50*(COUNTIF($O39:$U39,"AB")+COUNTIF($O39:$U39,"FE")+COUNTIF($O39:$U39,"LM")))</f>
        <v/>
      </c>
      <c r="AX39" s="117">
        <f>SUMPRODUCT(($V39:$AB39="M")*6+($V39:$AB39="T")*6+($V39:$AB39="D")*12+($V39:$AB39="N")*12+($V39:$AB39="NT")*6+($V39:$AB39="C")*10+($V39:$AB39="A")*8+($V39:$AB39="J")*5+($V39:$AB39="CEP")*4+($V39:$AB39="CP")*6+($V39:$AB39="CRO")*6+($V39:$AB39="M+")*6+($V39:$AB39="T+")*6+($V39:$AB39="D+")*12+($V39:$AB39="N+")*12+($V39:$AB39="Dm+")*12+($V39:$AB39="Dt+")*12+($V39:$AB39="Tm-")*6+($V39:$AB39="Mt-")*6)</f>
        <v/>
      </c>
      <c r="AY39" s="118">
        <f>AX39-MAX(0,IFERROR(INDEX(CADASTRO!$I$4:$I$80,MATCH($A39,CADASTRO!$A$4:$A$80,0)),$B39)-CONFIG!$B$50*(COUNTIF($V39:$AB39,"AB")+COUNTIF($V39:$AB39,"FE")+COUNTIF($V39:$AB39,"LM")))</f>
        <v/>
      </c>
      <c r="AZ39" s="117">
        <f>SUMPRODUCT(($AC39:$AI39="M")*6+($AC39:$AI39="T")*6+($AC39:$AI39="D")*12+($AC39:$AI39="N")*12+($AC39:$AI39="NT")*6+($AC39:$AI39="C")*10+($AC39:$AI39="A")*8+($AC39:$AI39="J")*5+($AC39:$AI39="CEP")*4+($AC39:$AI39="CP")*6+($AC39:$AI39="CRO")*6+($AC39:$AI39="M+")*6+($AC39:$AI39="T+")*6+($AC39:$AI39="D+")*12+($AC39:$AI39="N+")*12+($AC39:$AI39="Dm+")*12+($AC39:$AI39="Dt+")*12+($AC39:$AI39="Tm-")*6+($AC39:$AI39="Mt-")*6)</f>
        <v/>
      </c>
      <c r="BA39" s="118">
        <f>AZ39-MAX(0,IFERROR(INDEX(CADASTRO!$I$4:$I$80,MATCH($A39,CADASTRO!$A$4:$A$80,0)),$B39)-CONFIG!$B$50*(COUNTIF($AC39:$AI39,"AB")+COUNTIF($AC39:$AI39,"FE")+COUNTIF($AC39:$AI39,"LM")))</f>
        <v/>
      </c>
      <c r="BB39" s="117">
        <f>SUMPRODUCT(($AJ39:$AM39="M")*6+($AJ39:$AM39="T")*6+($AJ39:$AM39="D")*12+($AJ39:$AM39="N")*12+($AJ39:$AM39="NT")*6+($AJ39:$AM39="C")*10+($AJ39:$AM39="A")*8+($AJ39:$AM39="J")*5+($AJ39:$AM39="CEP")*4+($AJ39:$AM39="CP")*6+($AJ39:$AM39="CRO")*6+($AJ39:$AM39="M+")*6+($AJ39:$AM39="T+")*6+($AJ39:$AM39="D+")*12+($AJ39:$AM39="N+")*12+($AJ39:$AM39="Dm+")*12+($AJ39:$AM39="Dt+")*12+($AJ39:$AM39="Tm-")*6+($AJ39:$AM39="Mt-")*6)+SUMPRODUCT(($AN39:$AP39="M")*6+($AN39:$AP39="T")*6+($AN39:$AP39="D")*12+($AN39:$AP39="N")*12+($AN39:$AP39="NT")*6+($AN39:$AP39="C")*10+($AN39:$AP39="A")*8+($AN39:$AP39="J")*5+($AN39:$AP39="CEP")*4+($AN39:$AP39="CP")*6+($AN39:$AP39="CRO")*6+($AN39:$AP39="M+")*6+($AN39:$AP39="T+")*6+($AN39:$AP39="D+")*12+($AN39:$AP39="N+")*12+($AN39:$AP39="Dm+")*12+($AN39:$AP39="Dt+")*12+($AN39:$AP39="Tm-")*6+($AN39:$AP39="Mt-")*6)</f>
        <v/>
      </c>
      <c r="BC39" s="118">
        <f>BB39-MAX(0,IFERROR(INDEX(CADASTRO!$I$4:$I$80,MATCH($A39,CADASTRO!$A$4:$A$80,0)),$B39)-CONFIG!$B$50*(COUNTIF($AJ39:$AM39,"AB")+COUNTIF($AJ39:$AM39,"FE")+COUNTIF($AJ39:$AM39,"LM")+COUNTIF($AN39:$AP39,"AB")+COUNTIF($AN39:$AP39,"FE")+COUNTIF($AN39:$AP39,"LM")))</f>
        <v/>
      </c>
      <c r="BD39" s="117" t="n"/>
      <c r="BE39" s="118" t="n"/>
      <c r="BF39" s="117">
        <f>SUMPRODUCT(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G39" s="117">
        <f>SUMPRODUCT($I$4:$AM$4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H39" s="117">
        <f>SUMPRODUCT($I$5:$AM$5,(($I39:$AM39="N")+($I39:$AM39="N+")))</f>
        <v/>
      </c>
      <c r="BI39" s="117">
        <f>SUMPRODUCT($I$6:$AM$6,($I39:$AM39="M")*6+($I39:$AM39="T")*6+($I39:$AM39="D")*12+($I39:$AM39="N")*12+($I39:$AM39="NT")*6+($I39:$AM39="C")*10+($I39:$AM39="A")*8+($I39:$AM39="J")*5+($I39:$AM39="CEP")*4+($I39:$AM39="CP")*6+($I39:$AM39="CRO")*6+($I39:$AM39="M+")*6+($I39:$AM39="T+")*6+($I39:$AM39="D+")*12+($I39:$AM39="N+")*12+($I39:$AM39="Dm+")*12+($I39:$AM39="Dt+")*12+($I39:$AM39="Tm-")*6+($I39:$AM39="Mt-")*6)</f>
        <v/>
      </c>
      <c r="BJ39" s="117">
        <f>ROUND(B39*4.43,0)</f>
        <v/>
      </c>
      <c r="BK39" s="119">
        <f>BF39-BJ39</f>
        <v/>
      </c>
      <c r="BL39" s="120">
        <f>SUMPRODUCT((($C39:$AL39="N")+($C39:$AL39="N+"))*(($D39:$AM39="M")+($D39:$AM39="D")+($D39:$AM39="C")+($D39:$AM39="CEP")+($D39:$AM39="M+")+($D39:$AM39="D+")+($D39:$AM39="Dm+")+($D39:$AM39="Dt+")+($D39:$AM39="Mt-")))</f>
        <v/>
      </c>
      <c r="BM39" s="120">
        <f>SUMPRODUCT((($C39:$AL39="N")+($C39:$AL39="N+"))*(($D39:$AM39="T")+($D39:$AM39="T+")+($D39:$AM39="Tm-")))</f>
        <v/>
      </c>
      <c r="BN39" s="120">
        <f>IFERROR(INDEX(CONFIG!$B$44:$D$46,MATCH($B39,CONFIG!$A$44:$A$46,0),IF(COUNTIF($I39:$AM39,"FE")&gt;=10,1,IF(COUNTIF($I39:$AM39,"FE")&gt;=1,2,3))),"")</f>
        <v/>
      </c>
      <c r="BO39" s="120">
        <f>IF(BN39="","",MAX(0,BG39-BN39*CONFIG!$E$44))</f>
        <v/>
      </c>
      <c r="BP39" s="120">
        <f>MAX(AT39,AV39,AX39,AZ39,BB39,BD39)</f>
        <v/>
      </c>
      <c r="BQ39" s="121" t="inlineStr">
        <is>
          <t>3 · staff</t>
        </is>
      </c>
      <c r="BR39" s="122" t="n">
        <v>7</v>
      </c>
      <c r="BS39" s="39" t="n"/>
    </row>
    <row r="40">
      <c r="A40" s="89" t="inlineStr">
        <is>
          <t>Ariadne</t>
        </is>
      </c>
      <c r="B40" s="107" t="n">
        <v>24</v>
      </c>
      <c r="C40" s="100" t="n"/>
      <c r="D40" s="100" t="n"/>
      <c r="E40" s="100" t="n"/>
      <c r="F40" s="100" t="n"/>
      <c r="G40" s="100" t="n"/>
      <c r="H40" s="136">
        <f>IFERROR(INDEX(NOV!AL$8:AL$73,MATCH($A40,NOV!$A$8:$A$73,0))&amp;"","")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114" t="n"/>
      <c r="AL40" s="114" t="n"/>
      <c r="AM40" s="114" t="n"/>
      <c r="AN40" s="100" t="n"/>
      <c r="AO40" s="100" t="n"/>
      <c r="AP40" s="100" t="n"/>
      <c r="AQ40" s="100" t="n"/>
      <c r="AR40" s="100" t="n"/>
      <c r="AS40" s="100" t="n"/>
      <c r="AT40" s="117">
        <f>SUMPRODUCT(($H40:$N40="M")*6+($H40:$N40="T")*6+($H40:$N40="D")*12+($H40:$N40="N")*12+($H40:$N40="NT")*6+($H40:$N40="C")*10+($H40:$N40="A")*8+($H40:$N40="J")*5+($H40:$N40="CEP")*4+($H40:$N40="CP")*6+($H40:$N40="CRO")*6+($H40:$N40="M+")*6+($H40:$N40="T+")*6+($H40:$N40="D+")*12+($H40:$N40="N+")*12+($H40:$N40="Dm+")*12+($H40:$N40="Dt+")*12+($H40:$N40="Tm-")*6+($H40:$N40="Mt-")*6)</f>
        <v/>
      </c>
      <c r="AU40" s="118">
        <f>AT40-MAX(0,IFERROR(INDEX(CADASTRO!$I$4:$I$80,MATCH($A40,CADASTRO!$A$4:$A$80,0)),$B40)-CONFIG!$B$50*(COUNTIF($H40:$N40,"AB")+COUNTIF($H40:$N40,"FE")+COUNTIF($H40:$N40,"LM")))</f>
        <v/>
      </c>
      <c r="AV40" s="117">
        <f>SUMPRODUCT(($O40:$U40="M")*6+($O40:$U40="T")*6+($O40:$U40="D")*12+($O40:$U40="N")*12+($O40:$U40="NT")*6+($O40:$U40="C")*10+($O40:$U40="A")*8+($O40:$U40="J")*5+($O40:$U40="CEP")*4+($O40:$U40="CP")*6+($O40:$U40="CRO")*6+($O40:$U40="M+")*6+($O40:$U40="T+")*6+($O40:$U40="D+")*12+($O40:$U40="N+")*12+($O40:$U40="Dm+")*12+($O40:$U40="Dt+")*12+($O40:$U40="Tm-")*6+($O40:$U40="Mt-")*6)</f>
        <v/>
      </c>
      <c r="AW40" s="118">
        <f>AV40-MAX(0,IFERROR(INDEX(CADASTRO!$I$4:$I$80,MATCH($A40,CADASTRO!$A$4:$A$80,0)),$B40)-CONFIG!$B$50*(COUNTIF($O40:$U40,"AB")+COUNTIF($O40:$U40,"FE")+COUNTIF($O40:$U40,"LM")))</f>
        <v/>
      </c>
      <c r="AX40" s="117">
        <f>SUMPRODUCT(($V40:$AB40="M")*6+($V40:$AB40="T")*6+($V40:$AB40="D")*12+($V40:$AB40="N")*12+($V40:$AB40="NT")*6+($V40:$AB40="C")*10+($V40:$AB40="A")*8+($V40:$AB40="J")*5+($V40:$AB40="CEP")*4+($V40:$AB40="CP")*6+($V40:$AB40="CRO")*6+($V40:$AB40="M+")*6+($V40:$AB40="T+")*6+($V40:$AB40="D+")*12+($V40:$AB40="N+")*12+($V40:$AB40="Dm+")*12+($V40:$AB40="Dt+")*12+($V40:$AB40="Tm-")*6+($V40:$AB40="Mt-")*6)</f>
        <v/>
      </c>
      <c r="AY40" s="118">
        <f>AX40-MAX(0,IFERROR(INDEX(CADASTRO!$I$4:$I$80,MATCH($A40,CADASTRO!$A$4:$A$80,0)),$B40)-CONFIG!$B$50*(COUNTIF($V40:$AB40,"AB")+COUNTIF($V40:$AB40,"FE")+COUNTIF($V40:$AB40,"LM")))</f>
        <v/>
      </c>
      <c r="AZ40" s="117">
        <f>SUMPRODUCT(($AC40:$AI40="M")*6+($AC40:$AI40="T")*6+($AC40:$AI40="D")*12+($AC40:$AI40="N")*12+($AC40:$AI40="NT")*6+($AC40:$AI40="C")*10+($AC40:$AI40="A")*8+($AC40:$AI40="J")*5+($AC40:$AI40="CEP")*4+($AC40:$AI40="CP")*6+($AC40:$AI40="CRO")*6+($AC40:$AI40="M+")*6+($AC40:$AI40="T+")*6+($AC40:$AI40="D+")*12+($AC40:$AI40="N+")*12+($AC40:$AI40="Dm+")*12+($AC40:$AI40="Dt+")*12+($AC40:$AI40="Tm-")*6+($AC40:$AI40="Mt-")*6)</f>
        <v/>
      </c>
      <c r="BA40" s="118">
        <f>AZ40-MAX(0,IFERROR(INDEX(CADASTRO!$I$4:$I$80,MATCH($A40,CADASTRO!$A$4:$A$80,0)),$B40)-CONFIG!$B$50*(COUNTIF($AC40:$AI40,"AB")+COUNTIF($AC40:$AI40,"FE")+COUNTIF($AC40:$AI40,"LM")))</f>
        <v/>
      </c>
      <c r="BB40" s="117">
        <f>SUMPRODUCT(($AJ40:$AM40="M")*6+($AJ40:$AM40="T")*6+($AJ40:$AM40="D")*12+($AJ40:$AM40="N")*12+($AJ40:$AM40="NT")*6+($AJ40:$AM40="C")*10+($AJ40:$AM40="A")*8+($AJ40:$AM40="J")*5+($AJ40:$AM40="CEP")*4+($AJ40:$AM40="CP")*6+($AJ40:$AM40="CRO")*6+($AJ40:$AM40="M+")*6+($AJ40:$AM40="T+")*6+($AJ40:$AM40="D+")*12+($AJ40:$AM40="N+")*12+($AJ40:$AM40="Dm+")*12+($AJ40:$AM40="Dt+")*12+($AJ40:$AM40="Tm-")*6+($AJ40:$AM40="Mt-")*6)+SUMPRODUCT(($AN40:$AP40="M")*6+($AN40:$AP40="T")*6+($AN40:$AP40="D")*12+($AN40:$AP40="N")*12+($AN40:$AP40="NT")*6+($AN40:$AP40="C")*10+($AN40:$AP40="A")*8+($AN40:$AP40="J")*5+($AN40:$AP40="CEP")*4+($AN40:$AP40="CP")*6+($AN40:$AP40="CRO")*6+($AN40:$AP40="M+")*6+($AN40:$AP40="T+")*6+($AN40:$AP40="D+")*12+($AN40:$AP40="N+")*12+($AN40:$AP40="Dm+")*12+($AN40:$AP40="Dt+")*12+($AN40:$AP40="Tm-")*6+($AN40:$AP40="Mt-")*6)</f>
        <v/>
      </c>
      <c r="BC40" s="118">
        <f>BB40-MAX(0,IFERROR(INDEX(CADASTRO!$I$4:$I$80,MATCH($A40,CADASTRO!$A$4:$A$80,0)),$B40)-CONFIG!$B$50*(COUNTIF($AJ40:$AM40,"AB")+COUNTIF($AJ40:$AM40,"FE")+COUNTIF($AJ40:$AM40,"LM")+COUNTIF($AN40:$AP40,"AB")+COUNTIF($AN40:$AP40,"FE")+COUNTIF($AN40:$AP40,"LM")))</f>
        <v/>
      </c>
      <c r="BD40" s="117" t="n"/>
      <c r="BE40" s="118" t="n"/>
      <c r="BF40" s="117">
        <f>SUMPRODUCT(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G40" s="117">
        <f>SUMPRODUCT($I$4:$AM$4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H40" s="117">
        <f>SUMPRODUCT($I$5:$AM$5,(($I40:$AM40="N")+($I40:$AM40="N+")))</f>
        <v/>
      </c>
      <c r="BI40" s="117">
        <f>SUMPRODUCT($I$6:$AM$6,($I40:$AM40="M")*6+($I40:$AM40="T")*6+($I40:$AM40="D")*12+($I40:$AM40="N")*12+($I40:$AM40="NT")*6+($I40:$AM40="C")*10+($I40:$AM40="A")*8+($I40:$AM40="J")*5+($I40:$AM40="CEP")*4+($I40:$AM40="CP")*6+($I40:$AM40="CRO")*6+($I40:$AM40="M+")*6+($I40:$AM40="T+")*6+($I40:$AM40="D+")*12+($I40:$AM40="N+")*12+($I40:$AM40="Dm+")*12+($I40:$AM40="Dt+")*12+($I40:$AM40="Tm-")*6+($I40:$AM40="Mt-")*6)</f>
        <v/>
      </c>
      <c r="BJ40" s="117">
        <f>ROUND(B40*4.43,0)</f>
        <v/>
      </c>
      <c r="BK40" s="119">
        <f>BF40-BJ40</f>
        <v/>
      </c>
      <c r="BL40" s="120">
        <f>SUMPRODUCT((($C40:$AL40="N")+($C40:$AL40="N+"))*(($D40:$AM40="M")+($D40:$AM40="D")+($D40:$AM40="C")+($D40:$AM40="CEP")+($D40:$AM40="M+")+($D40:$AM40="D+")+($D40:$AM40="Dm+")+($D40:$AM40="Dt+")+($D40:$AM40="Mt-")))</f>
        <v/>
      </c>
      <c r="BM40" s="120">
        <f>SUMPRODUCT((($C40:$AL40="N")+($C40:$AL40="N+"))*(($D40:$AM40="T")+($D40:$AM40="T+")+($D40:$AM40="Tm-")))</f>
        <v/>
      </c>
      <c r="BN40" s="120">
        <f>IFERROR(INDEX(CONFIG!$B$44:$D$46,MATCH($B40,CONFIG!$A$44:$A$46,0),IF(COUNTIF($I40:$AM40,"FE")&gt;=10,1,IF(COUNTIF($I40:$AM40,"FE")&gt;=1,2,3))),"")</f>
        <v/>
      </c>
      <c r="BO40" s="120">
        <f>IF(BN40="","",MAX(0,BG40-BN40*CONFIG!$E$44))</f>
        <v/>
      </c>
      <c r="BP40" s="120">
        <f>MAX(AT40,AV40,AX40,AZ40,BB40,BD40)</f>
        <v/>
      </c>
      <c r="BQ40" s="121" t="inlineStr">
        <is>
          <t>3 · staff</t>
        </is>
      </c>
      <c r="BR40" s="122" t="n">
        <v>7</v>
      </c>
      <c r="BS40" s="39" t="n"/>
    </row>
    <row r="41">
      <c r="A41" s="89" t="inlineStr">
        <is>
          <t>Beatriz</t>
        </is>
      </c>
      <c r="B41" s="107" t="n">
        <v>24</v>
      </c>
      <c r="C41" s="100" t="n"/>
      <c r="D41" s="100" t="n"/>
      <c r="E41" s="100" t="n"/>
      <c r="F41" s="100" t="n"/>
      <c r="G41" s="100" t="n"/>
      <c r="H41" s="136">
        <f>IFERROR(INDEX(NOV!AL$8:AL$73,MATCH($A41,NOV!$A$8:$A$73,0))&amp;"","")</f>
        <v/>
      </c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  <c r="AB41" s="114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114" t="n"/>
      <c r="AL41" s="114" t="n"/>
      <c r="AM41" s="114" t="n"/>
      <c r="AN41" s="100" t="n"/>
      <c r="AO41" s="100" t="n"/>
      <c r="AP41" s="100" t="n"/>
      <c r="AQ41" s="100" t="n"/>
      <c r="AR41" s="100" t="n"/>
      <c r="AS41" s="100" t="n"/>
      <c r="AT41" s="117">
        <f>SUMPRODUCT(($H41:$N41="M")*6+($H41:$N41="T")*6+($H41:$N41="D")*12+($H41:$N41="N")*12+($H41:$N41="NT")*6+($H41:$N41="C")*10+($H41:$N41="A")*8+($H41:$N41="J")*5+($H41:$N41="CEP")*4+($H41:$N41="CP")*6+($H41:$N41="CRO")*6+($H41:$N41="M+")*6+($H41:$N41="T+")*6+($H41:$N41="D+")*12+($H41:$N41="N+")*12+($H41:$N41="Dm+")*12+($H41:$N41="Dt+")*12+($H41:$N41="Tm-")*6+($H41:$N41="Mt-")*6)</f>
        <v/>
      </c>
      <c r="AU41" s="118">
        <f>AT41-MAX(0,IFERROR(INDEX(CADASTRO!$I$4:$I$80,MATCH($A41,CADASTRO!$A$4:$A$80,0)),$B41)-CONFIG!$B$50*(COUNTIF($H41:$N41,"AB")+COUNTIF($H41:$N41,"FE")+COUNTIF($H41:$N41,"LM")))</f>
        <v/>
      </c>
      <c r="AV41" s="117">
        <f>SUMPRODUCT(($O41:$U41="M")*6+($O41:$U41="T")*6+($O41:$U41="D")*12+($O41:$U41="N")*12+($O41:$U41="NT")*6+($O41:$U41="C")*10+($O41:$U41="A")*8+($O41:$U41="J")*5+($O41:$U41="CEP")*4+($O41:$U41="CP")*6+($O41:$U41="CRO")*6+($O41:$U41="M+")*6+($O41:$U41="T+")*6+($O41:$U41="D+")*12+($O41:$U41="N+")*12+($O41:$U41="Dm+")*12+($O41:$U41="Dt+")*12+($O41:$U41="Tm-")*6+($O41:$U41="Mt-")*6)</f>
        <v/>
      </c>
      <c r="AW41" s="118">
        <f>AV41-MAX(0,IFERROR(INDEX(CADASTRO!$I$4:$I$80,MATCH($A41,CADASTRO!$A$4:$A$80,0)),$B41)-CONFIG!$B$50*(COUNTIF($O41:$U41,"AB")+COUNTIF($O41:$U41,"FE")+COUNTIF($O41:$U41,"LM")))</f>
        <v/>
      </c>
      <c r="AX41" s="117">
        <f>SUMPRODUCT(($V41:$AB41="M")*6+($V41:$AB41="T")*6+($V41:$AB41="D")*12+($V41:$AB41="N")*12+($V41:$AB41="NT")*6+($V41:$AB41="C")*10+($V41:$AB41="A")*8+($V41:$AB41="J")*5+($V41:$AB41="CEP")*4+($V41:$AB41="CP")*6+($V41:$AB41="CRO")*6+($V41:$AB41="M+")*6+($V41:$AB41="T+")*6+($V41:$AB41="D+")*12+($V41:$AB41="N+")*12+($V41:$AB41="Dm+")*12+($V41:$AB41="Dt+")*12+($V41:$AB41="Tm-")*6+($V41:$AB41="Mt-")*6)</f>
        <v/>
      </c>
      <c r="AY41" s="118">
        <f>AX41-MAX(0,IFERROR(INDEX(CADASTRO!$I$4:$I$80,MATCH($A41,CADASTRO!$A$4:$A$80,0)),$B41)-CONFIG!$B$50*(COUNTIF($V41:$AB41,"AB")+COUNTIF($V41:$AB41,"FE")+COUNTIF($V41:$AB41,"LM")))</f>
        <v/>
      </c>
      <c r="AZ41" s="117">
        <f>SUMPRODUCT(($AC41:$AI41="M")*6+($AC41:$AI41="T")*6+($AC41:$AI41="D")*12+($AC41:$AI41="N")*12+($AC41:$AI41="NT")*6+($AC41:$AI41="C")*10+($AC41:$AI41="A")*8+($AC41:$AI41="J")*5+($AC41:$AI41="CEP")*4+($AC41:$AI41="CP")*6+($AC41:$AI41="CRO")*6+($AC41:$AI41="M+")*6+($AC41:$AI41="T+")*6+($AC41:$AI41="D+")*12+($AC41:$AI41="N+")*12+($AC41:$AI41="Dm+")*12+($AC41:$AI41="Dt+")*12+($AC41:$AI41="Tm-")*6+($AC41:$AI41="Mt-")*6)</f>
        <v/>
      </c>
      <c r="BA41" s="118">
        <f>AZ41-MAX(0,IFERROR(INDEX(CADASTRO!$I$4:$I$80,MATCH($A41,CADASTRO!$A$4:$A$80,0)),$B41)-CONFIG!$B$50*(COUNTIF($AC41:$AI41,"AB")+COUNTIF($AC41:$AI41,"FE")+COUNTIF($AC41:$AI41,"LM")))</f>
        <v/>
      </c>
      <c r="BB41" s="117">
        <f>SUMPRODUCT(($AJ41:$AM41="M")*6+($AJ41:$AM41="T")*6+($AJ41:$AM41="D")*12+($AJ41:$AM41="N")*12+($AJ41:$AM41="NT")*6+($AJ41:$AM41="C")*10+($AJ41:$AM41="A")*8+($AJ41:$AM41="J")*5+($AJ41:$AM41="CEP")*4+($AJ41:$AM41="CP")*6+($AJ41:$AM41="CRO")*6+($AJ41:$AM41="M+")*6+($AJ41:$AM41="T+")*6+($AJ41:$AM41="D+")*12+($AJ41:$AM41="N+")*12+($AJ41:$AM41="Dm+")*12+($AJ41:$AM41="Dt+")*12+($AJ41:$AM41="Tm-")*6+($AJ41:$AM41="Mt-")*6)+SUMPRODUCT(($AN41:$AP41="M")*6+($AN41:$AP41="T")*6+($AN41:$AP41="D")*12+($AN41:$AP41="N")*12+($AN41:$AP41="NT")*6+($AN41:$AP41="C")*10+($AN41:$AP41="A")*8+($AN41:$AP41="J")*5+($AN41:$AP41="CEP")*4+($AN41:$AP41="CP")*6+($AN41:$AP41="CRO")*6+($AN41:$AP41="M+")*6+($AN41:$AP41="T+")*6+($AN41:$AP41="D+")*12+($AN41:$AP41="N+")*12+($AN41:$AP41="Dm+")*12+($AN41:$AP41="Dt+")*12+($AN41:$AP41="Tm-")*6+($AN41:$AP41="Mt-")*6)</f>
        <v/>
      </c>
      <c r="BC41" s="118">
        <f>BB41-MAX(0,IFERROR(INDEX(CADASTRO!$I$4:$I$80,MATCH($A41,CADASTRO!$A$4:$A$80,0)),$B41)-CONFIG!$B$50*(COUNTIF($AJ41:$AM41,"AB")+COUNTIF($AJ41:$AM41,"FE")+COUNTIF($AJ41:$AM41,"LM")+COUNTIF($AN41:$AP41,"AB")+COUNTIF($AN41:$AP41,"FE")+COUNTIF($AN41:$AP41,"LM")))</f>
        <v/>
      </c>
      <c r="BD41" s="117" t="n"/>
      <c r="BE41" s="118" t="n"/>
      <c r="BF41" s="117">
        <f>SUMPRODUCT(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G41" s="117">
        <f>SUMPRODUCT($I$4:$AM$4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H41" s="117">
        <f>SUMPRODUCT($I$5:$AM$5,(($I41:$AM41="N")+($I41:$AM41="N+")))</f>
        <v/>
      </c>
      <c r="BI41" s="117">
        <f>SUMPRODUCT($I$6:$AM$6,($I41:$AM41="M")*6+($I41:$AM41="T")*6+($I41:$AM41="D")*12+($I41:$AM41="N")*12+($I41:$AM41="NT")*6+($I41:$AM41="C")*10+($I41:$AM41="A")*8+($I41:$AM41="J")*5+($I41:$AM41="CEP")*4+($I41:$AM41="CP")*6+($I41:$AM41="CRO")*6+($I41:$AM41="M+")*6+($I41:$AM41="T+")*6+($I41:$AM41="D+")*12+($I41:$AM41="N+")*12+($I41:$AM41="Dm+")*12+($I41:$AM41="Dt+")*12+($I41:$AM41="Tm-")*6+($I41:$AM41="Mt-")*6)</f>
        <v/>
      </c>
      <c r="BJ41" s="117">
        <f>ROUND(B41*4.43,0)</f>
        <v/>
      </c>
      <c r="BK41" s="119">
        <f>BF41-BJ41</f>
        <v/>
      </c>
      <c r="BL41" s="120">
        <f>SUMPRODUCT((($C41:$AL41="N")+($C41:$AL41="N+"))*(($D41:$AM41="M")+($D41:$AM41="D")+($D41:$AM41="C")+($D41:$AM41="CEP")+($D41:$AM41="M+")+($D41:$AM41="D+")+($D41:$AM41="Dm+")+($D41:$AM41="Dt+")+($D41:$AM41="Mt-")))</f>
        <v/>
      </c>
      <c r="BM41" s="120">
        <f>SUMPRODUCT((($C41:$AL41="N")+($C41:$AL41="N+"))*(($D41:$AM41="T")+($D41:$AM41="T+")+($D41:$AM41="Tm-")))</f>
        <v/>
      </c>
      <c r="BN41" s="120">
        <f>IFERROR(INDEX(CONFIG!$B$44:$D$46,MATCH($B41,CONFIG!$A$44:$A$46,0),IF(COUNTIF($I41:$AM41,"FE")&gt;=10,1,IF(COUNTIF($I41:$AM41,"FE")&gt;=1,2,3))),"")</f>
        <v/>
      </c>
      <c r="BO41" s="120">
        <f>IF(BN41="","",MAX(0,BG41-BN41*CONFIG!$E$44))</f>
        <v/>
      </c>
      <c r="BP41" s="120">
        <f>MAX(AT41,AV41,AX41,AZ41,BB41,BD41)</f>
        <v/>
      </c>
      <c r="BQ41" s="121" t="inlineStr">
        <is>
          <t>3 · staff</t>
        </is>
      </c>
      <c r="BR41" s="122" t="n">
        <v>7</v>
      </c>
      <c r="BS41" s="39" t="n"/>
    </row>
    <row r="42">
      <c r="A42" s="89" t="inlineStr">
        <is>
          <t>Bruna</t>
        </is>
      </c>
      <c r="B42" s="107" t="n">
        <v>24</v>
      </c>
      <c r="C42" s="100" t="n"/>
      <c r="D42" s="100" t="n"/>
      <c r="E42" s="100" t="n"/>
      <c r="F42" s="100" t="n"/>
      <c r="G42" s="100" t="n"/>
      <c r="H42" s="136">
        <f>IFERROR(INDEX(NOV!AL$8:AL$73,MATCH($A42,NOV!$A$8:$A$73,0))&amp;"","")</f>
        <v/>
      </c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  <c r="AB42" s="114" t="n"/>
      <c r="AC42" s="114" t="n"/>
      <c r="AD42" s="114" t="n"/>
      <c r="AE42" s="114" t="n"/>
      <c r="AF42" s="114" t="n"/>
      <c r="AG42" s="114" t="n"/>
      <c r="AH42" s="114" t="n"/>
      <c r="AI42" s="114" t="n"/>
      <c r="AJ42" s="114" t="n"/>
      <c r="AK42" s="114" t="n"/>
      <c r="AL42" s="114" t="n"/>
      <c r="AM42" s="114" t="n"/>
      <c r="AN42" s="100" t="n"/>
      <c r="AO42" s="100" t="n"/>
      <c r="AP42" s="100" t="n"/>
      <c r="AQ42" s="100" t="n"/>
      <c r="AR42" s="100" t="n"/>
      <c r="AS42" s="100" t="n"/>
      <c r="AT42" s="117">
        <f>SUMPRODUCT(($H42:$N42="M")*6+($H42:$N42="T")*6+($H42:$N42="D")*12+($H42:$N42="N")*12+($H42:$N42="NT")*6+($H42:$N42="C")*10+($H42:$N42="A")*8+($H42:$N42="J")*5+($H42:$N42="CEP")*4+($H42:$N42="CP")*6+($H42:$N42="CRO")*6+($H42:$N42="M+")*6+($H42:$N42="T+")*6+($H42:$N42="D+")*12+($H42:$N42="N+")*12+($H42:$N42="Dm+")*12+($H42:$N42="Dt+")*12+($H42:$N42="Tm-")*6+($H42:$N42="Mt-")*6)</f>
        <v/>
      </c>
      <c r="AU42" s="118">
        <f>AT42-MAX(0,IFERROR(INDEX(CADASTRO!$I$4:$I$80,MATCH($A42,CADASTRO!$A$4:$A$80,0)),$B42)-CONFIG!$B$50*(COUNTIF($H42:$N42,"AB")+COUNTIF($H42:$N42,"FE")+COUNTIF($H42:$N42,"LM")))</f>
        <v/>
      </c>
      <c r="AV42" s="117">
        <f>SUMPRODUCT(($O42:$U42="M")*6+($O42:$U42="T")*6+($O42:$U42="D")*12+($O42:$U42="N")*12+($O42:$U42="NT")*6+($O42:$U42="C")*10+($O42:$U42="A")*8+($O42:$U42="J")*5+($O42:$U42="CEP")*4+($O42:$U42="CP")*6+($O42:$U42="CRO")*6+($O42:$U42="M+")*6+($O42:$U42="T+")*6+($O42:$U42="D+")*12+($O42:$U42="N+")*12+($O42:$U42="Dm+")*12+($O42:$U42="Dt+")*12+($O42:$U42="Tm-")*6+($O42:$U42="Mt-")*6)</f>
        <v/>
      </c>
      <c r="AW42" s="118">
        <f>AV42-MAX(0,IFERROR(INDEX(CADASTRO!$I$4:$I$80,MATCH($A42,CADASTRO!$A$4:$A$80,0)),$B42)-CONFIG!$B$50*(COUNTIF($O42:$U42,"AB")+COUNTIF($O42:$U42,"FE")+COUNTIF($O42:$U42,"LM")))</f>
        <v/>
      </c>
      <c r="AX42" s="117">
        <f>SUMPRODUCT(($V42:$AB42="M")*6+($V42:$AB42="T")*6+($V42:$AB42="D")*12+($V42:$AB42="N")*12+($V42:$AB42="NT")*6+($V42:$AB42="C")*10+($V42:$AB42="A")*8+($V42:$AB42="J")*5+($V42:$AB42="CEP")*4+($V42:$AB42="CP")*6+($V42:$AB42="CRO")*6+($V42:$AB42="M+")*6+($V42:$AB42="T+")*6+($V42:$AB42="D+")*12+($V42:$AB42="N+")*12+($V42:$AB42="Dm+")*12+($V42:$AB42="Dt+")*12+($V42:$AB42="Tm-")*6+($V42:$AB42="Mt-")*6)</f>
        <v/>
      </c>
      <c r="AY42" s="118">
        <f>AX42-MAX(0,IFERROR(INDEX(CADASTRO!$I$4:$I$80,MATCH($A42,CADASTRO!$A$4:$A$80,0)),$B42)-CONFIG!$B$50*(COUNTIF($V42:$AB42,"AB")+COUNTIF($V42:$AB42,"FE")+COUNTIF($V42:$AB42,"LM")))</f>
        <v/>
      </c>
      <c r="AZ42" s="117">
        <f>SUMPRODUCT(($AC42:$AI42="M")*6+($AC42:$AI42="T")*6+($AC42:$AI42="D")*12+($AC42:$AI42="N")*12+($AC42:$AI42="NT")*6+($AC42:$AI42="C")*10+($AC42:$AI42="A")*8+($AC42:$AI42="J")*5+($AC42:$AI42="CEP")*4+($AC42:$AI42="CP")*6+($AC42:$AI42="CRO")*6+($AC42:$AI42="M+")*6+($AC42:$AI42="T+")*6+($AC42:$AI42="D+")*12+($AC42:$AI42="N+")*12+($AC42:$AI42="Dm+")*12+($AC42:$AI42="Dt+")*12+($AC42:$AI42="Tm-")*6+($AC42:$AI42="Mt-")*6)</f>
        <v/>
      </c>
      <c r="BA42" s="118">
        <f>AZ42-MAX(0,IFERROR(INDEX(CADASTRO!$I$4:$I$80,MATCH($A42,CADASTRO!$A$4:$A$80,0)),$B42)-CONFIG!$B$50*(COUNTIF($AC42:$AI42,"AB")+COUNTIF($AC42:$AI42,"FE")+COUNTIF($AC42:$AI42,"LM")))</f>
        <v/>
      </c>
      <c r="BB42" s="117">
        <f>SUMPRODUCT(($AJ42:$AM42="M")*6+($AJ42:$AM42="T")*6+($AJ42:$AM42="D")*12+($AJ42:$AM42="N")*12+($AJ42:$AM42="NT")*6+($AJ42:$AM42="C")*10+($AJ42:$AM42="A")*8+($AJ42:$AM42="J")*5+($AJ42:$AM42="CEP")*4+($AJ42:$AM42="CP")*6+($AJ42:$AM42="CRO")*6+($AJ42:$AM42="M+")*6+($AJ42:$AM42="T+")*6+($AJ42:$AM42="D+")*12+($AJ42:$AM42="N+")*12+($AJ42:$AM42="Dm+")*12+($AJ42:$AM42="Dt+")*12+($AJ42:$AM42="Tm-")*6+($AJ42:$AM42="Mt-")*6)+SUMPRODUCT(($AN42:$AP42="M")*6+($AN42:$AP42="T")*6+($AN42:$AP42="D")*12+($AN42:$AP42="N")*12+($AN42:$AP42="NT")*6+($AN42:$AP42="C")*10+($AN42:$AP42="A")*8+($AN42:$AP42="J")*5+($AN42:$AP42="CEP")*4+($AN42:$AP42="CP")*6+($AN42:$AP42="CRO")*6+($AN42:$AP42="M+")*6+($AN42:$AP42="T+")*6+($AN42:$AP42="D+")*12+($AN42:$AP42="N+")*12+($AN42:$AP42="Dm+")*12+($AN42:$AP42="Dt+")*12+($AN42:$AP42="Tm-")*6+($AN42:$AP42="Mt-")*6)</f>
        <v/>
      </c>
      <c r="BC42" s="118">
        <f>BB42-MAX(0,IFERROR(INDEX(CADASTRO!$I$4:$I$80,MATCH($A42,CADASTRO!$A$4:$A$80,0)),$B42)-CONFIG!$B$50*(COUNTIF($AJ42:$AM42,"AB")+COUNTIF($AJ42:$AM42,"FE")+COUNTIF($AJ42:$AM42,"LM")+COUNTIF($AN42:$AP42,"AB")+COUNTIF($AN42:$AP42,"FE")+COUNTIF($AN42:$AP42,"LM")))</f>
        <v/>
      </c>
      <c r="BD42" s="117" t="n"/>
      <c r="BE42" s="118" t="n"/>
      <c r="BF42" s="117">
        <f>SUMPRODUCT(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G42" s="117">
        <f>SUMPRODUCT($I$4:$AM$4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H42" s="117">
        <f>SUMPRODUCT($I$5:$AM$5,(($I42:$AM42="N")+($I42:$AM42="N+")))</f>
        <v/>
      </c>
      <c r="BI42" s="117">
        <f>SUMPRODUCT($I$6:$AM$6,($I42:$AM42="M")*6+($I42:$AM42="T")*6+($I42:$AM42="D")*12+($I42:$AM42="N")*12+($I42:$AM42="NT")*6+($I42:$AM42="C")*10+($I42:$AM42="A")*8+($I42:$AM42="J")*5+($I42:$AM42="CEP")*4+($I42:$AM42="CP")*6+($I42:$AM42="CRO")*6+($I42:$AM42="M+")*6+($I42:$AM42="T+")*6+($I42:$AM42="D+")*12+($I42:$AM42="N+")*12+($I42:$AM42="Dm+")*12+($I42:$AM42="Dt+")*12+($I42:$AM42="Tm-")*6+($I42:$AM42="Mt-")*6)</f>
        <v/>
      </c>
      <c r="BJ42" s="117">
        <f>ROUND(B42*4.43,0)</f>
        <v/>
      </c>
      <c r="BK42" s="119">
        <f>BF42-BJ42</f>
        <v/>
      </c>
      <c r="BL42" s="120">
        <f>SUMPRODUCT((($C42:$AL42="N")+($C42:$AL42="N+"))*(($D42:$AM42="M")+($D42:$AM42="D")+($D42:$AM42="C")+($D42:$AM42="CEP")+($D42:$AM42="M+")+($D42:$AM42="D+")+($D42:$AM42="Dm+")+($D42:$AM42="Dt+")+($D42:$AM42="Mt-")))</f>
        <v/>
      </c>
      <c r="BM42" s="120">
        <f>SUMPRODUCT((($C42:$AL42="N")+($C42:$AL42="N+"))*(($D42:$AM42="T")+($D42:$AM42="T+")+($D42:$AM42="Tm-")))</f>
        <v/>
      </c>
      <c r="BN42" s="120">
        <f>IFERROR(INDEX(CONFIG!$B$44:$D$46,MATCH($B42,CONFIG!$A$44:$A$46,0),IF(COUNTIF($I42:$AM42,"FE")&gt;=10,1,IF(COUNTIF($I42:$AM42,"FE")&gt;=1,2,3))),"")</f>
        <v/>
      </c>
      <c r="BO42" s="120">
        <f>IF(BN42="","",MAX(0,BG42-BN42*CONFIG!$E$44))</f>
        <v/>
      </c>
      <c r="BP42" s="120">
        <f>MAX(AT42,AV42,AX42,AZ42,BB42,BD42)</f>
        <v/>
      </c>
      <c r="BQ42" s="121" t="inlineStr">
        <is>
          <t>3 · staff</t>
        </is>
      </c>
      <c r="BR42" s="122" t="n">
        <v>7</v>
      </c>
      <c r="BS42" s="39" t="n"/>
    </row>
    <row r="43">
      <c r="A43" s="89" t="inlineStr">
        <is>
          <t>Constantino</t>
        </is>
      </c>
      <c r="B43" s="107" t="n">
        <v>24</v>
      </c>
      <c r="C43" s="100" t="n"/>
      <c r="D43" s="100" t="n"/>
      <c r="E43" s="100" t="n"/>
      <c r="F43" s="100" t="n"/>
      <c r="G43" s="100" t="n"/>
      <c r="H43" s="136">
        <f>IFERROR(INDEX(NOV!AL$8:AL$73,MATCH($A43,NOV!$A$8:$A$73,0))&amp;"","")</f>
        <v/>
      </c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  <c r="AB43" s="114" t="n"/>
      <c r="AC43" s="114" t="n"/>
      <c r="AD43" s="114" t="n"/>
      <c r="AE43" s="114" t="n"/>
      <c r="AF43" s="114" t="n"/>
      <c r="AG43" s="114" t="n"/>
      <c r="AH43" s="114" t="n"/>
      <c r="AI43" s="114" t="n"/>
      <c r="AJ43" s="114" t="n"/>
      <c r="AK43" s="114" t="n"/>
      <c r="AL43" s="114" t="n"/>
      <c r="AM43" s="114" t="n"/>
      <c r="AN43" s="100" t="n"/>
      <c r="AO43" s="100" t="n"/>
      <c r="AP43" s="100" t="n"/>
      <c r="AQ43" s="100" t="n"/>
      <c r="AR43" s="100" t="n"/>
      <c r="AS43" s="100" t="n"/>
      <c r="AT43" s="117">
        <f>SUMPRODUCT(($H43:$N43="M")*6+($H43:$N43="T")*6+($H43:$N43="D")*12+($H43:$N43="N")*12+($H43:$N43="NT")*6+($H43:$N43="C")*10+($H43:$N43="A")*8+($H43:$N43="J")*5+($H43:$N43="CEP")*4+($H43:$N43="CP")*6+($H43:$N43="CRO")*6+($H43:$N43="M+")*6+($H43:$N43="T+")*6+($H43:$N43="D+")*12+($H43:$N43="N+")*12+($H43:$N43="Dm+")*12+($H43:$N43="Dt+")*12+($H43:$N43="Tm-")*6+($H43:$N43="Mt-")*6)</f>
        <v/>
      </c>
      <c r="AU43" s="118">
        <f>AT43-MAX(0,IFERROR(INDEX(CADASTRO!$I$4:$I$80,MATCH($A43,CADASTRO!$A$4:$A$80,0)),$B43)-CONFIG!$B$50*(COUNTIF($H43:$N43,"AB")+COUNTIF($H43:$N43,"FE")+COUNTIF($H43:$N43,"LM")))</f>
        <v/>
      </c>
      <c r="AV43" s="117">
        <f>SUMPRODUCT(($O43:$U43="M")*6+($O43:$U43="T")*6+($O43:$U43="D")*12+($O43:$U43="N")*12+($O43:$U43="NT")*6+($O43:$U43="C")*10+($O43:$U43="A")*8+($O43:$U43="J")*5+($O43:$U43="CEP")*4+($O43:$U43="CP")*6+($O43:$U43="CRO")*6+($O43:$U43="M+")*6+($O43:$U43="T+")*6+($O43:$U43="D+")*12+($O43:$U43="N+")*12+($O43:$U43="Dm+")*12+($O43:$U43="Dt+")*12+($O43:$U43="Tm-")*6+($O43:$U43="Mt-")*6)</f>
        <v/>
      </c>
      <c r="AW43" s="118">
        <f>AV43-MAX(0,IFERROR(INDEX(CADASTRO!$I$4:$I$80,MATCH($A43,CADASTRO!$A$4:$A$80,0)),$B43)-CONFIG!$B$50*(COUNTIF($O43:$U43,"AB")+COUNTIF($O43:$U43,"FE")+COUNTIF($O43:$U43,"LM")))</f>
        <v/>
      </c>
      <c r="AX43" s="117">
        <f>SUMPRODUCT(($V43:$AB43="M")*6+($V43:$AB43="T")*6+($V43:$AB43="D")*12+($V43:$AB43="N")*12+($V43:$AB43="NT")*6+($V43:$AB43="C")*10+($V43:$AB43="A")*8+($V43:$AB43="J")*5+($V43:$AB43="CEP")*4+($V43:$AB43="CP")*6+($V43:$AB43="CRO")*6+($V43:$AB43="M+")*6+($V43:$AB43="T+")*6+($V43:$AB43="D+")*12+($V43:$AB43="N+")*12+($V43:$AB43="Dm+")*12+($V43:$AB43="Dt+")*12+($V43:$AB43="Tm-")*6+($V43:$AB43="Mt-")*6)</f>
        <v/>
      </c>
      <c r="AY43" s="118">
        <f>AX43-MAX(0,IFERROR(INDEX(CADASTRO!$I$4:$I$80,MATCH($A43,CADASTRO!$A$4:$A$80,0)),$B43)-CONFIG!$B$50*(COUNTIF($V43:$AB43,"AB")+COUNTIF($V43:$AB43,"FE")+COUNTIF($V43:$AB43,"LM")))</f>
        <v/>
      </c>
      <c r="AZ43" s="117">
        <f>SUMPRODUCT(($AC43:$AI43="M")*6+($AC43:$AI43="T")*6+($AC43:$AI43="D")*12+($AC43:$AI43="N")*12+($AC43:$AI43="NT")*6+($AC43:$AI43="C")*10+($AC43:$AI43="A")*8+($AC43:$AI43="J")*5+($AC43:$AI43="CEP")*4+($AC43:$AI43="CP")*6+($AC43:$AI43="CRO")*6+($AC43:$AI43="M+")*6+($AC43:$AI43="T+")*6+($AC43:$AI43="D+")*12+($AC43:$AI43="N+")*12+($AC43:$AI43="Dm+")*12+($AC43:$AI43="Dt+")*12+($AC43:$AI43="Tm-")*6+($AC43:$AI43="Mt-")*6)</f>
        <v/>
      </c>
      <c r="BA43" s="118">
        <f>AZ43-MAX(0,IFERROR(INDEX(CADASTRO!$I$4:$I$80,MATCH($A43,CADASTRO!$A$4:$A$80,0)),$B43)-CONFIG!$B$50*(COUNTIF($AC43:$AI43,"AB")+COUNTIF($AC43:$AI43,"FE")+COUNTIF($AC43:$AI43,"LM")))</f>
        <v/>
      </c>
      <c r="BB43" s="117">
        <f>SUMPRODUCT(($AJ43:$AM43="M")*6+($AJ43:$AM43="T")*6+($AJ43:$AM43="D")*12+($AJ43:$AM43="N")*12+($AJ43:$AM43="NT")*6+($AJ43:$AM43="C")*10+($AJ43:$AM43="A")*8+($AJ43:$AM43="J")*5+($AJ43:$AM43="CEP")*4+($AJ43:$AM43="CP")*6+($AJ43:$AM43="CRO")*6+($AJ43:$AM43="M+")*6+($AJ43:$AM43="T+")*6+($AJ43:$AM43="D+")*12+($AJ43:$AM43="N+")*12+($AJ43:$AM43="Dm+")*12+($AJ43:$AM43="Dt+")*12+($AJ43:$AM43="Tm-")*6+($AJ43:$AM43="Mt-")*6)+SUMPRODUCT(($AN43:$AP43="M")*6+($AN43:$AP43="T")*6+($AN43:$AP43="D")*12+($AN43:$AP43="N")*12+($AN43:$AP43="NT")*6+($AN43:$AP43="C")*10+($AN43:$AP43="A")*8+($AN43:$AP43="J")*5+($AN43:$AP43="CEP")*4+($AN43:$AP43="CP")*6+($AN43:$AP43="CRO")*6+($AN43:$AP43="M+")*6+($AN43:$AP43="T+")*6+($AN43:$AP43="D+")*12+($AN43:$AP43="N+")*12+($AN43:$AP43="Dm+")*12+($AN43:$AP43="Dt+")*12+($AN43:$AP43="Tm-")*6+($AN43:$AP43="Mt-")*6)</f>
        <v/>
      </c>
      <c r="BC43" s="118">
        <f>BB43-MAX(0,IFERROR(INDEX(CADASTRO!$I$4:$I$80,MATCH($A43,CADASTRO!$A$4:$A$80,0)),$B43)-CONFIG!$B$50*(COUNTIF($AJ43:$AM43,"AB")+COUNTIF($AJ43:$AM43,"FE")+COUNTIF($AJ43:$AM43,"LM")+COUNTIF($AN43:$AP43,"AB")+COUNTIF($AN43:$AP43,"FE")+COUNTIF($AN43:$AP43,"LM")))</f>
        <v/>
      </c>
      <c r="BD43" s="117" t="n"/>
      <c r="BE43" s="118" t="n"/>
      <c r="BF43" s="117">
        <f>SUMPRODUCT(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G43" s="117">
        <f>SUMPRODUCT($I$4:$AM$4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H43" s="117">
        <f>SUMPRODUCT($I$5:$AM$5,(($I43:$AM43="N")+($I43:$AM43="N+")))</f>
        <v/>
      </c>
      <c r="BI43" s="117">
        <f>SUMPRODUCT($I$6:$AM$6,($I43:$AM43="M")*6+($I43:$AM43="T")*6+($I43:$AM43="D")*12+($I43:$AM43="N")*12+($I43:$AM43="NT")*6+($I43:$AM43="C")*10+($I43:$AM43="A")*8+($I43:$AM43="J")*5+($I43:$AM43="CEP")*4+($I43:$AM43="CP")*6+($I43:$AM43="CRO")*6+($I43:$AM43="M+")*6+($I43:$AM43="T+")*6+($I43:$AM43="D+")*12+($I43:$AM43="N+")*12+($I43:$AM43="Dm+")*12+($I43:$AM43="Dt+")*12+($I43:$AM43="Tm-")*6+($I43:$AM43="Mt-")*6)</f>
        <v/>
      </c>
      <c r="BJ43" s="117">
        <f>ROUND(B43*4.43,0)</f>
        <v/>
      </c>
      <c r="BK43" s="119">
        <f>BF43-BJ43</f>
        <v/>
      </c>
      <c r="BL43" s="120">
        <f>SUMPRODUCT((($C43:$AL43="N")+($C43:$AL43="N+"))*(($D43:$AM43="M")+($D43:$AM43="D")+($D43:$AM43="C")+($D43:$AM43="CEP")+($D43:$AM43="M+")+($D43:$AM43="D+")+($D43:$AM43="Dm+")+($D43:$AM43="Dt+")+($D43:$AM43="Mt-")))</f>
        <v/>
      </c>
      <c r="BM43" s="120">
        <f>SUMPRODUCT((($C43:$AL43="N")+($C43:$AL43="N+"))*(($D43:$AM43="T")+($D43:$AM43="T+")+($D43:$AM43="Tm-")))</f>
        <v/>
      </c>
      <c r="BN43" s="120">
        <f>IFERROR(INDEX(CONFIG!$B$44:$D$46,MATCH($B43,CONFIG!$A$44:$A$46,0),IF(COUNTIF($I43:$AM43,"FE")&gt;=10,1,IF(COUNTIF($I43:$AM43,"FE")&gt;=1,2,3))),"")</f>
        <v/>
      </c>
      <c r="BO43" s="120">
        <f>IF(BN43="","",MAX(0,BG43-BN43*CONFIG!$E$44))</f>
        <v/>
      </c>
      <c r="BP43" s="120">
        <f>MAX(AT43,AV43,AX43,AZ43,BB43,BD43)</f>
        <v/>
      </c>
      <c r="BQ43" s="121" t="inlineStr">
        <is>
          <t>3 · staff</t>
        </is>
      </c>
      <c r="BR43" s="122" t="n">
        <v>7</v>
      </c>
      <c r="BS43" s="39" t="n"/>
    </row>
    <row r="44">
      <c r="A44" s="89" t="inlineStr">
        <is>
          <t>DebMatias</t>
        </is>
      </c>
      <c r="B44" s="107" t="n">
        <v>24</v>
      </c>
      <c r="C44" s="100" t="n"/>
      <c r="D44" s="100" t="n"/>
      <c r="E44" s="100" t="n"/>
      <c r="F44" s="100" t="n"/>
      <c r="G44" s="100" t="n"/>
      <c r="H44" s="136">
        <f>IFERROR(INDEX(NOV!AL$8:AL$73,MATCH($A44,NOV!$A$8:$A$73,0))&amp;"","")</f>
        <v/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4" t="n"/>
      <c r="AF44" s="114" t="n"/>
      <c r="AG44" s="114" t="n"/>
      <c r="AH44" s="114" t="n"/>
      <c r="AI44" s="114" t="n"/>
      <c r="AJ44" s="114" t="n"/>
      <c r="AK44" s="114" t="n"/>
      <c r="AL44" s="114" t="n"/>
      <c r="AM44" s="114" t="n"/>
      <c r="AN44" s="100" t="n"/>
      <c r="AO44" s="100" t="n"/>
      <c r="AP44" s="100" t="n"/>
      <c r="AQ44" s="100" t="n"/>
      <c r="AR44" s="100" t="n"/>
      <c r="AS44" s="100" t="n"/>
      <c r="AT44" s="117">
        <f>SUMPRODUCT(($H44:$N44="M")*6+($H44:$N44="T")*6+($H44:$N44="D")*12+($H44:$N44="N")*12+($H44:$N44="NT")*6+($H44:$N44="C")*10+($H44:$N44="A")*8+($H44:$N44="J")*5+($H44:$N44="CEP")*4+($H44:$N44="CP")*6+($H44:$N44="CRO")*6+($H44:$N44="M+")*6+($H44:$N44="T+")*6+($H44:$N44="D+")*12+($H44:$N44="N+")*12+($H44:$N44="Dm+")*12+($H44:$N44="Dt+")*12+($H44:$N44="Tm-")*6+($H44:$N44="Mt-")*6)</f>
        <v/>
      </c>
      <c r="AU44" s="118">
        <f>AT44-MAX(0,IFERROR(INDEX(CADASTRO!$I$4:$I$80,MATCH($A44,CADASTRO!$A$4:$A$80,0)),$B44)-CONFIG!$B$50*(COUNTIF($H44:$N44,"AB")+COUNTIF($H44:$N44,"FE")+COUNTIF($H44:$N44,"LM")))</f>
        <v/>
      </c>
      <c r="AV44" s="117">
        <f>SUMPRODUCT(($O44:$U44="M")*6+($O44:$U44="T")*6+($O44:$U44="D")*12+($O44:$U44="N")*12+($O44:$U44="NT")*6+($O44:$U44="C")*10+($O44:$U44="A")*8+($O44:$U44="J")*5+($O44:$U44="CEP")*4+($O44:$U44="CP")*6+($O44:$U44="CRO")*6+($O44:$U44="M+")*6+($O44:$U44="T+")*6+($O44:$U44="D+")*12+($O44:$U44="N+")*12+($O44:$U44="Dm+")*12+($O44:$U44="Dt+")*12+($O44:$U44="Tm-")*6+($O44:$U44="Mt-")*6)</f>
        <v/>
      </c>
      <c r="AW44" s="118">
        <f>AV44-MAX(0,IFERROR(INDEX(CADASTRO!$I$4:$I$80,MATCH($A44,CADASTRO!$A$4:$A$80,0)),$B44)-CONFIG!$B$50*(COUNTIF($O44:$U44,"AB")+COUNTIF($O44:$U44,"FE")+COUNTIF($O44:$U44,"LM")))</f>
        <v/>
      </c>
      <c r="AX44" s="117">
        <f>SUMPRODUCT(($V44:$AB44="M")*6+($V44:$AB44="T")*6+($V44:$AB44="D")*12+($V44:$AB44="N")*12+($V44:$AB44="NT")*6+($V44:$AB44="C")*10+($V44:$AB44="A")*8+($V44:$AB44="J")*5+($V44:$AB44="CEP")*4+($V44:$AB44="CP")*6+($V44:$AB44="CRO")*6+($V44:$AB44="M+")*6+($V44:$AB44="T+")*6+($V44:$AB44="D+")*12+($V44:$AB44="N+")*12+($V44:$AB44="Dm+")*12+($V44:$AB44="Dt+")*12+($V44:$AB44="Tm-")*6+($V44:$AB44="Mt-")*6)</f>
        <v/>
      </c>
      <c r="AY44" s="118">
        <f>AX44-MAX(0,IFERROR(INDEX(CADASTRO!$I$4:$I$80,MATCH($A44,CADASTRO!$A$4:$A$80,0)),$B44)-CONFIG!$B$50*(COUNTIF($V44:$AB44,"AB")+COUNTIF($V44:$AB44,"FE")+COUNTIF($V44:$AB44,"LM")))</f>
        <v/>
      </c>
      <c r="AZ44" s="117">
        <f>SUMPRODUCT(($AC44:$AI44="M")*6+($AC44:$AI44="T")*6+($AC44:$AI44="D")*12+($AC44:$AI44="N")*12+($AC44:$AI44="NT")*6+($AC44:$AI44="C")*10+($AC44:$AI44="A")*8+($AC44:$AI44="J")*5+($AC44:$AI44="CEP")*4+($AC44:$AI44="CP")*6+($AC44:$AI44="CRO")*6+($AC44:$AI44="M+")*6+($AC44:$AI44="T+")*6+($AC44:$AI44="D+")*12+($AC44:$AI44="N+")*12+($AC44:$AI44="Dm+")*12+($AC44:$AI44="Dt+")*12+($AC44:$AI44="Tm-")*6+($AC44:$AI44="Mt-")*6)</f>
        <v/>
      </c>
      <c r="BA44" s="118">
        <f>AZ44-MAX(0,IFERROR(INDEX(CADASTRO!$I$4:$I$80,MATCH($A44,CADASTRO!$A$4:$A$80,0)),$B44)-CONFIG!$B$50*(COUNTIF($AC44:$AI44,"AB")+COUNTIF($AC44:$AI44,"FE")+COUNTIF($AC44:$AI44,"LM")))</f>
        <v/>
      </c>
      <c r="BB44" s="117">
        <f>SUMPRODUCT(($AJ44:$AM44="M")*6+($AJ44:$AM44="T")*6+($AJ44:$AM44="D")*12+($AJ44:$AM44="N")*12+($AJ44:$AM44="NT")*6+($AJ44:$AM44="C")*10+($AJ44:$AM44="A")*8+($AJ44:$AM44="J")*5+($AJ44:$AM44="CEP")*4+($AJ44:$AM44="CP")*6+($AJ44:$AM44="CRO")*6+($AJ44:$AM44="M+")*6+($AJ44:$AM44="T+")*6+($AJ44:$AM44="D+")*12+($AJ44:$AM44="N+")*12+($AJ44:$AM44="Dm+")*12+($AJ44:$AM44="Dt+")*12+($AJ44:$AM44="Tm-")*6+($AJ44:$AM44="Mt-")*6)+SUMPRODUCT(($AN44:$AP44="M")*6+($AN44:$AP44="T")*6+($AN44:$AP44="D")*12+($AN44:$AP44="N")*12+($AN44:$AP44="NT")*6+($AN44:$AP44="C")*10+($AN44:$AP44="A")*8+($AN44:$AP44="J")*5+($AN44:$AP44="CEP")*4+($AN44:$AP44="CP")*6+($AN44:$AP44="CRO")*6+($AN44:$AP44="M+")*6+($AN44:$AP44="T+")*6+($AN44:$AP44="D+")*12+($AN44:$AP44="N+")*12+($AN44:$AP44="Dm+")*12+($AN44:$AP44="Dt+")*12+($AN44:$AP44="Tm-")*6+($AN44:$AP44="Mt-")*6)</f>
        <v/>
      </c>
      <c r="BC44" s="118">
        <f>BB44-MAX(0,IFERROR(INDEX(CADASTRO!$I$4:$I$80,MATCH($A44,CADASTRO!$A$4:$A$80,0)),$B44)-CONFIG!$B$50*(COUNTIF($AJ44:$AM44,"AB")+COUNTIF($AJ44:$AM44,"FE")+COUNTIF($AJ44:$AM44,"LM")+COUNTIF($AN44:$AP44,"AB")+COUNTIF($AN44:$AP44,"FE")+COUNTIF($AN44:$AP44,"LM")))</f>
        <v/>
      </c>
      <c r="BD44" s="117" t="n"/>
      <c r="BE44" s="118" t="n"/>
      <c r="BF44" s="117">
        <f>SUMPRODUCT(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G44" s="117">
        <f>SUMPRODUCT($I$4:$AM$4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H44" s="117">
        <f>SUMPRODUCT($I$5:$AM$5,(($I44:$AM44="N")+($I44:$AM44="N+")))</f>
        <v/>
      </c>
      <c r="BI44" s="117">
        <f>SUMPRODUCT($I$6:$AM$6,($I44:$AM44="M")*6+($I44:$AM44="T")*6+($I44:$AM44="D")*12+($I44:$AM44="N")*12+($I44:$AM44="NT")*6+($I44:$AM44="C")*10+($I44:$AM44="A")*8+($I44:$AM44="J")*5+($I44:$AM44="CEP")*4+($I44:$AM44="CP")*6+($I44:$AM44="CRO")*6+($I44:$AM44="M+")*6+($I44:$AM44="T+")*6+($I44:$AM44="D+")*12+($I44:$AM44="N+")*12+($I44:$AM44="Dm+")*12+($I44:$AM44="Dt+")*12+($I44:$AM44="Tm-")*6+($I44:$AM44="Mt-")*6)</f>
        <v/>
      </c>
      <c r="BJ44" s="117">
        <f>ROUND(B44*4.43,0)</f>
        <v/>
      </c>
      <c r="BK44" s="119">
        <f>BF44-BJ44</f>
        <v/>
      </c>
      <c r="BL44" s="120">
        <f>SUMPRODUCT((($C44:$AL44="N")+($C44:$AL44="N+"))*(($D44:$AM44="M")+($D44:$AM44="D")+($D44:$AM44="C")+($D44:$AM44="CEP")+($D44:$AM44="M+")+($D44:$AM44="D+")+($D44:$AM44="Dm+")+($D44:$AM44="Dt+")+($D44:$AM44="Mt-")))</f>
        <v/>
      </c>
      <c r="BM44" s="120">
        <f>SUMPRODUCT((($C44:$AL44="N")+($C44:$AL44="N+"))*(($D44:$AM44="T")+($D44:$AM44="T+")+($D44:$AM44="Tm-")))</f>
        <v/>
      </c>
      <c r="BN44" s="120">
        <f>IFERROR(INDEX(CONFIG!$B$44:$D$46,MATCH($B44,CONFIG!$A$44:$A$46,0),IF(COUNTIF($I44:$AM44,"FE")&gt;=10,1,IF(COUNTIF($I44:$AM44,"FE")&gt;=1,2,3))),"")</f>
        <v/>
      </c>
      <c r="BO44" s="120">
        <f>IF(BN44="","",MAX(0,BG44-BN44*CONFIG!$E$44))</f>
        <v/>
      </c>
      <c r="BP44" s="120">
        <f>MAX(AT44,AV44,AX44,AZ44,BB44,BD44)</f>
        <v/>
      </c>
      <c r="BQ44" s="121" t="inlineStr">
        <is>
          <t>3 · staff</t>
        </is>
      </c>
      <c r="BR44" s="122" t="n">
        <v>7</v>
      </c>
      <c r="BS44" s="39" t="n"/>
    </row>
    <row r="45">
      <c r="A45" s="89" t="inlineStr">
        <is>
          <t>Denise</t>
        </is>
      </c>
      <c r="B45" s="107" t="n">
        <v>24</v>
      </c>
      <c r="C45" s="100" t="n"/>
      <c r="D45" s="100" t="n"/>
      <c r="E45" s="100" t="n"/>
      <c r="F45" s="100" t="n"/>
      <c r="G45" s="100" t="n"/>
      <c r="H45" s="136">
        <f>IFERROR(INDEX(NOV!AL$8:AL$73,MATCH($A45,NOV!$A$8:$A$73,0))&amp;"","")</f>
        <v/>
      </c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  <c r="AB45" s="114" t="n"/>
      <c r="AC45" s="114" t="n"/>
      <c r="AD45" s="114" t="n"/>
      <c r="AE45" s="114" t="n"/>
      <c r="AF45" s="114" t="n"/>
      <c r="AG45" s="114" t="n"/>
      <c r="AH45" s="114" t="n"/>
      <c r="AI45" s="114" t="n"/>
      <c r="AJ45" s="114" t="n"/>
      <c r="AK45" s="114" t="n"/>
      <c r="AL45" s="114" t="n"/>
      <c r="AM45" s="114" t="n"/>
      <c r="AN45" s="100" t="n"/>
      <c r="AO45" s="100" t="n"/>
      <c r="AP45" s="100" t="n"/>
      <c r="AQ45" s="100" t="n"/>
      <c r="AR45" s="100" t="n"/>
      <c r="AS45" s="100" t="n"/>
      <c r="AT45" s="117">
        <f>SUMPRODUCT(($H45:$N45="M")*6+($H45:$N45="T")*6+($H45:$N45="D")*12+($H45:$N45="N")*12+($H45:$N45="NT")*6+($H45:$N45="C")*10+($H45:$N45="A")*8+($H45:$N45="J")*5+($H45:$N45="CEP")*4+($H45:$N45="CP")*6+($H45:$N45="CRO")*6+($H45:$N45="M+")*6+($H45:$N45="T+")*6+($H45:$N45="D+")*12+($H45:$N45="N+")*12+($H45:$N45="Dm+")*12+($H45:$N45="Dt+")*12+($H45:$N45="Tm-")*6+($H45:$N45="Mt-")*6)</f>
        <v/>
      </c>
      <c r="AU45" s="118">
        <f>AT45-MAX(0,IFERROR(INDEX(CADASTRO!$I$4:$I$80,MATCH($A45,CADASTRO!$A$4:$A$80,0)),$B45)-CONFIG!$B$50*(COUNTIF($H45:$N45,"AB")+COUNTIF($H45:$N45,"FE")+COUNTIF($H45:$N45,"LM")))</f>
        <v/>
      </c>
      <c r="AV45" s="117">
        <f>SUMPRODUCT(($O45:$U45="M")*6+($O45:$U45="T")*6+($O45:$U45="D")*12+($O45:$U45="N")*12+($O45:$U45="NT")*6+($O45:$U45="C")*10+($O45:$U45="A")*8+($O45:$U45="J")*5+($O45:$U45="CEP")*4+($O45:$U45="CP")*6+($O45:$U45="CRO")*6+($O45:$U45="M+")*6+($O45:$U45="T+")*6+($O45:$U45="D+")*12+($O45:$U45="N+")*12+($O45:$U45="Dm+")*12+($O45:$U45="Dt+")*12+($O45:$U45="Tm-")*6+($O45:$U45="Mt-")*6)</f>
        <v/>
      </c>
      <c r="AW45" s="118">
        <f>AV45-MAX(0,IFERROR(INDEX(CADASTRO!$I$4:$I$80,MATCH($A45,CADASTRO!$A$4:$A$80,0)),$B45)-CONFIG!$B$50*(COUNTIF($O45:$U45,"AB")+COUNTIF($O45:$U45,"FE")+COUNTIF($O45:$U45,"LM")))</f>
        <v/>
      </c>
      <c r="AX45" s="117">
        <f>SUMPRODUCT(($V45:$AB45="M")*6+($V45:$AB45="T")*6+($V45:$AB45="D")*12+($V45:$AB45="N")*12+($V45:$AB45="NT")*6+($V45:$AB45="C")*10+($V45:$AB45="A")*8+($V45:$AB45="J")*5+($V45:$AB45="CEP")*4+($V45:$AB45="CP")*6+($V45:$AB45="CRO")*6+($V45:$AB45="M+")*6+($V45:$AB45="T+")*6+($V45:$AB45="D+")*12+($V45:$AB45="N+")*12+($V45:$AB45="Dm+")*12+($V45:$AB45="Dt+")*12+($V45:$AB45="Tm-")*6+($V45:$AB45="Mt-")*6)</f>
        <v/>
      </c>
      <c r="AY45" s="118">
        <f>AX45-MAX(0,IFERROR(INDEX(CADASTRO!$I$4:$I$80,MATCH($A45,CADASTRO!$A$4:$A$80,0)),$B45)-CONFIG!$B$50*(COUNTIF($V45:$AB45,"AB")+COUNTIF($V45:$AB45,"FE")+COUNTIF($V45:$AB45,"LM")))</f>
        <v/>
      </c>
      <c r="AZ45" s="117">
        <f>SUMPRODUCT(($AC45:$AI45="M")*6+($AC45:$AI45="T")*6+($AC45:$AI45="D")*12+($AC45:$AI45="N")*12+($AC45:$AI45="NT")*6+($AC45:$AI45="C")*10+($AC45:$AI45="A")*8+($AC45:$AI45="J")*5+($AC45:$AI45="CEP")*4+($AC45:$AI45="CP")*6+($AC45:$AI45="CRO")*6+($AC45:$AI45="M+")*6+($AC45:$AI45="T+")*6+($AC45:$AI45="D+")*12+($AC45:$AI45="N+")*12+($AC45:$AI45="Dm+")*12+($AC45:$AI45="Dt+")*12+($AC45:$AI45="Tm-")*6+($AC45:$AI45="Mt-")*6)</f>
        <v/>
      </c>
      <c r="BA45" s="118">
        <f>AZ45-MAX(0,IFERROR(INDEX(CADASTRO!$I$4:$I$80,MATCH($A45,CADASTRO!$A$4:$A$80,0)),$B45)-CONFIG!$B$50*(COUNTIF($AC45:$AI45,"AB")+COUNTIF($AC45:$AI45,"FE")+COUNTIF($AC45:$AI45,"LM")))</f>
        <v/>
      </c>
      <c r="BB45" s="117">
        <f>SUMPRODUCT(($AJ45:$AM45="M")*6+($AJ45:$AM45="T")*6+($AJ45:$AM45="D")*12+($AJ45:$AM45="N")*12+($AJ45:$AM45="NT")*6+($AJ45:$AM45="C")*10+($AJ45:$AM45="A")*8+($AJ45:$AM45="J")*5+($AJ45:$AM45="CEP")*4+($AJ45:$AM45="CP")*6+($AJ45:$AM45="CRO")*6+($AJ45:$AM45="M+")*6+($AJ45:$AM45="T+")*6+($AJ45:$AM45="D+")*12+($AJ45:$AM45="N+")*12+($AJ45:$AM45="Dm+")*12+($AJ45:$AM45="Dt+")*12+($AJ45:$AM45="Tm-")*6+($AJ45:$AM45="Mt-")*6)+SUMPRODUCT(($AN45:$AP45="M")*6+($AN45:$AP45="T")*6+($AN45:$AP45="D")*12+($AN45:$AP45="N")*12+($AN45:$AP45="NT")*6+($AN45:$AP45="C")*10+($AN45:$AP45="A")*8+($AN45:$AP45="J")*5+($AN45:$AP45="CEP")*4+($AN45:$AP45="CP")*6+($AN45:$AP45="CRO")*6+($AN45:$AP45="M+")*6+($AN45:$AP45="T+")*6+($AN45:$AP45="D+")*12+($AN45:$AP45="N+")*12+($AN45:$AP45="Dm+")*12+($AN45:$AP45="Dt+")*12+($AN45:$AP45="Tm-")*6+($AN45:$AP45="Mt-")*6)</f>
        <v/>
      </c>
      <c r="BC45" s="118">
        <f>BB45-MAX(0,IFERROR(INDEX(CADASTRO!$I$4:$I$80,MATCH($A45,CADASTRO!$A$4:$A$80,0)),$B45)-CONFIG!$B$50*(COUNTIF($AJ45:$AM45,"AB")+COUNTIF($AJ45:$AM45,"FE")+COUNTIF($AJ45:$AM45,"LM")+COUNTIF($AN45:$AP45,"AB")+COUNTIF($AN45:$AP45,"FE")+COUNTIF($AN45:$AP45,"LM")))</f>
        <v/>
      </c>
      <c r="BD45" s="117" t="n"/>
      <c r="BE45" s="118" t="n"/>
      <c r="BF45" s="117">
        <f>SUMPRODUCT(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G45" s="117">
        <f>SUMPRODUCT($I$4:$AM$4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H45" s="117">
        <f>SUMPRODUCT($I$5:$AM$5,(($I45:$AM45="N")+($I45:$AM45="N+")))</f>
        <v/>
      </c>
      <c r="BI45" s="117">
        <f>SUMPRODUCT($I$6:$AM$6,($I45:$AM45="M")*6+($I45:$AM45="T")*6+($I45:$AM45="D")*12+($I45:$AM45="N")*12+($I45:$AM45="NT")*6+($I45:$AM45="C")*10+($I45:$AM45="A")*8+($I45:$AM45="J")*5+($I45:$AM45="CEP")*4+($I45:$AM45="CP")*6+($I45:$AM45="CRO")*6+($I45:$AM45="M+")*6+($I45:$AM45="T+")*6+($I45:$AM45="D+")*12+($I45:$AM45="N+")*12+($I45:$AM45="Dm+")*12+($I45:$AM45="Dt+")*12+($I45:$AM45="Tm-")*6+($I45:$AM45="Mt-")*6)</f>
        <v/>
      </c>
      <c r="BJ45" s="117">
        <f>ROUND(B45*4.43,0)</f>
        <v/>
      </c>
      <c r="BK45" s="119">
        <f>BF45-BJ45</f>
        <v/>
      </c>
      <c r="BL45" s="120">
        <f>SUMPRODUCT((($C45:$AL45="N")+($C45:$AL45="N+"))*(($D45:$AM45="M")+($D45:$AM45="D")+($D45:$AM45="C")+($D45:$AM45="CEP")+($D45:$AM45="M+")+($D45:$AM45="D+")+($D45:$AM45="Dm+")+($D45:$AM45="Dt+")+($D45:$AM45="Mt-")))</f>
        <v/>
      </c>
      <c r="BM45" s="120">
        <f>SUMPRODUCT((($C45:$AL45="N")+($C45:$AL45="N+"))*(($D45:$AM45="T")+($D45:$AM45="T+")+($D45:$AM45="Tm-")))</f>
        <v/>
      </c>
      <c r="BN45" s="120">
        <f>IFERROR(INDEX(CONFIG!$B$44:$D$46,MATCH($B45,CONFIG!$A$44:$A$46,0),IF(COUNTIF($I45:$AM45,"FE")&gt;=10,1,IF(COUNTIF($I45:$AM45,"FE")&gt;=1,2,3))),"")</f>
        <v/>
      </c>
      <c r="BO45" s="120">
        <f>IF(BN45="","",MAX(0,BG45-BN45*CONFIG!$E$44))</f>
        <v/>
      </c>
      <c r="BP45" s="120">
        <f>MAX(AT45,AV45,AX45,AZ45,BB45,BD45)</f>
        <v/>
      </c>
      <c r="BQ45" s="121" t="inlineStr">
        <is>
          <t>3 · staff</t>
        </is>
      </c>
      <c r="BR45" s="122" t="n">
        <v>7</v>
      </c>
      <c r="BS45" s="39" t="n"/>
    </row>
    <row r="46">
      <c r="A46" s="89" t="inlineStr">
        <is>
          <t>Ernesto</t>
        </is>
      </c>
      <c r="B46" s="107" t="n">
        <v>24</v>
      </c>
      <c r="C46" s="100" t="n"/>
      <c r="D46" s="100" t="n"/>
      <c r="E46" s="100" t="n"/>
      <c r="F46" s="100" t="n"/>
      <c r="G46" s="100" t="n"/>
      <c r="H46" s="136">
        <f>IFERROR(INDEX(NOV!AL$8:AL$73,MATCH($A46,NOV!$A$8:$A$73,0))&amp;"","")</f>
        <v/>
      </c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  <c r="AB46" s="114" t="n"/>
      <c r="AC46" s="114" t="n"/>
      <c r="AD46" s="114" t="n"/>
      <c r="AE46" s="114" t="n"/>
      <c r="AF46" s="114" t="n"/>
      <c r="AG46" s="114" t="n"/>
      <c r="AH46" s="114" t="n"/>
      <c r="AI46" s="114" t="n"/>
      <c r="AJ46" s="114" t="n"/>
      <c r="AK46" s="114" t="n"/>
      <c r="AL46" s="114" t="n"/>
      <c r="AM46" s="114" t="n"/>
      <c r="AN46" s="100" t="n"/>
      <c r="AO46" s="100" t="n"/>
      <c r="AP46" s="100" t="n"/>
      <c r="AQ46" s="100" t="n"/>
      <c r="AR46" s="100" t="n"/>
      <c r="AS46" s="100" t="n"/>
      <c r="AT46" s="117">
        <f>SUMPRODUCT(($H46:$N46="M")*6+($H46:$N46="T")*6+($H46:$N46="D")*12+($H46:$N46="N")*12+($H46:$N46="NT")*6+($H46:$N46="C")*10+($H46:$N46="A")*8+($H46:$N46="J")*5+($H46:$N46="CEP")*4+($H46:$N46="CP")*6+($H46:$N46="CRO")*6+($H46:$N46="M+")*6+($H46:$N46="T+")*6+($H46:$N46="D+")*12+($H46:$N46="N+")*12+($H46:$N46="Dm+")*12+($H46:$N46="Dt+")*12+($H46:$N46="Tm-")*6+($H46:$N46="Mt-")*6)</f>
        <v/>
      </c>
      <c r="AU46" s="118">
        <f>AT46-MAX(0,IFERROR(INDEX(CADASTRO!$I$4:$I$80,MATCH($A46,CADASTRO!$A$4:$A$80,0)),$B46)-CONFIG!$B$50*(COUNTIF($H46:$N46,"AB")+COUNTIF($H46:$N46,"FE")+COUNTIF($H46:$N46,"LM")))</f>
        <v/>
      </c>
      <c r="AV46" s="117">
        <f>SUMPRODUCT(($O46:$U46="M")*6+($O46:$U46="T")*6+($O46:$U46="D")*12+($O46:$U46="N")*12+($O46:$U46="NT")*6+($O46:$U46="C")*10+($O46:$U46="A")*8+($O46:$U46="J")*5+($O46:$U46="CEP")*4+($O46:$U46="CP")*6+($O46:$U46="CRO")*6+($O46:$U46="M+")*6+($O46:$U46="T+")*6+($O46:$U46="D+")*12+($O46:$U46="N+")*12+($O46:$U46="Dm+")*12+($O46:$U46="Dt+")*12+($O46:$U46="Tm-")*6+($O46:$U46="Mt-")*6)</f>
        <v/>
      </c>
      <c r="AW46" s="118">
        <f>AV46-MAX(0,IFERROR(INDEX(CADASTRO!$I$4:$I$80,MATCH($A46,CADASTRO!$A$4:$A$80,0)),$B46)-CONFIG!$B$50*(COUNTIF($O46:$U46,"AB")+COUNTIF($O46:$U46,"FE")+COUNTIF($O46:$U46,"LM")))</f>
        <v/>
      </c>
      <c r="AX46" s="117">
        <f>SUMPRODUCT(($V46:$AB46="M")*6+($V46:$AB46="T")*6+($V46:$AB46="D")*12+($V46:$AB46="N")*12+($V46:$AB46="NT")*6+($V46:$AB46="C")*10+($V46:$AB46="A")*8+($V46:$AB46="J")*5+($V46:$AB46="CEP")*4+($V46:$AB46="CP")*6+($V46:$AB46="CRO")*6+($V46:$AB46="M+")*6+($V46:$AB46="T+")*6+($V46:$AB46="D+")*12+($V46:$AB46="N+")*12+($V46:$AB46="Dm+")*12+($V46:$AB46="Dt+")*12+($V46:$AB46="Tm-")*6+($V46:$AB46="Mt-")*6)</f>
        <v/>
      </c>
      <c r="AY46" s="118">
        <f>AX46-MAX(0,IFERROR(INDEX(CADASTRO!$I$4:$I$80,MATCH($A46,CADASTRO!$A$4:$A$80,0)),$B46)-CONFIG!$B$50*(COUNTIF($V46:$AB46,"AB")+COUNTIF($V46:$AB46,"FE")+COUNTIF($V46:$AB46,"LM")))</f>
        <v/>
      </c>
      <c r="AZ46" s="117">
        <f>SUMPRODUCT(($AC46:$AI46="M")*6+($AC46:$AI46="T")*6+($AC46:$AI46="D")*12+($AC46:$AI46="N")*12+($AC46:$AI46="NT")*6+($AC46:$AI46="C")*10+($AC46:$AI46="A")*8+($AC46:$AI46="J")*5+($AC46:$AI46="CEP")*4+($AC46:$AI46="CP")*6+($AC46:$AI46="CRO")*6+($AC46:$AI46="M+")*6+($AC46:$AI46="T+")*6+($AC46:$AI46="D+")*12+($AC46:$AI46="N+")*12+($AC46:$AI46="Dm+")*12+($AC46:$AI46="Dt+")*12+($AC46:$AI46="Tm-")*6+($AC46:$AI46="Mt-")*6)</f>
        <v/>
      </c>
      <c r="BA46" s="118">
        <f>AZ46-MAX(0,IFERROR(INDEX(CADASTRO!$I$4:$I$80,MATCH($A46,CADASTRO!$A$4:$A$80,0)),$B46)-CONFIG!$B$50*(COUNTIF($AC46:$AI46,"AB")+COUNTIF($AC46:$AI46,"FE")+COUNTIF($AC46:$AI46,"LM")))</f>
        <v/>
      </c>
      <c r="BB46" s="117">
        <f>SUMPRODUCT(($AJ46:$AM46="M")*6+($AJ46:$AM46="T")*6+($AJ46:$AM46="D")*12+($AJ46:$AM46="N")*12+($AJ46:$AM46="NT")*6+($AJ46:$AM46="C")*10+($AJ46:$AM46="A")*8+($AJ46:$AM46="J")*5+($AJ46:$AM46="CEP")*4+($AJ46:$AM46="CP")*6+($AJ46:$AM46="CRO")*6+($AJ46:$AM46="M+")*6+($AJ46:$AM46="T+")*6+($AJ46:$AM46="D+")*12+($AJ46:$AM46="N+")*12+($AJ46:$AM46="Dm+")*12+($AJ46:$AM46="Dt+")*12+($AJ46:$AM46="Tm-")*6+($AJ46:$AM46="Mt-")*6)+SUMPRODUCT(($AN46:$AP46="M")*6+($AN46:$AP46="T")*6+($AN46:$AP46="D")*12+($AN46:$AP46="N")*12+($AN46:$AP46="NT")*6+($AN46:$AP46="C")*10+($AN46:$AP46="A")*8+($AN46:$AP46="J")*5+($AN46:$AP46="CEP")*4+($AN46:$AP46="CP")*6+($AN46:$AP46="CRO")*6+($AN46:$AP46="M+")*6+($AN46:$AP46="T+")*6+($AN46:$AP46="D+")*12+($AN46:$AP46="N+")*12+($AN46:$AP46="Dm+")*12+($AN46:$AP46="Dt+")*12+($AN46:$AP46="Tm-")*6+($AN46:$AP46="Mt-")*6)</f>
        <v/>
      </c>
      <c r="BC46" s="118">
        <f>BB46-MAX(0,IFERROR(INDEX(CADASTRO!$I$4:$I$80,MATCH($A46,CADASTRO!$A$4:$A$80,0)),$B46)-CONFIG!$B$50*(COUNTIF($AJ46:$AM46,"AB")+COUNTIF($AJ46:$AM46,"FE")+COUNTIF($AJ46:$AM46,"LM")+COUNTIF($AN46:$AP46,"AB")+COUNTIF($AN46:$AP46,"FE")+COUNTIF($AN46:$AP46,"LM")))</f>
        <v/>
      </c>
      <c r="BD46" s="117" t="n"/>
      <c r="BE46" s="118" t="n"/>
      <c r="BF46" s="117">
        <f>SUMPRODUCT(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G46" s="117">
        <f>SUMPRODUCT($I$4:$AM$4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H46" s="117">
        <f>SUMPRODUCT($I$5:$AM$5,(($I46:$AM46="N")+($I46:$AM46="N+")))</f>
        <v/>
      </c>
      <c r="BI46" s="117">
        <f>SUMPRODUCT($I$6:$AM$6,($I46:$AM46="M")*6+($I46:$AM46="T")*6+($I46:$AM46="D")*12+($I46:$AM46="N")*12+($I46:$AM46="NT")*6+($I46:$AM46="C")*10+($I46:$AM46="A")*8+($I46:$AM46="J")*5+($I46:$AM46="CEP")*4+($I46:$AM46="CP")*6+($I46:$AM46="CRO")*6+($I46:$AM46="M+")*6+($I46:$AM46="T+")*6+($I46:$AM46="D+")*12+($I46:$AM46="N+")*12+($I46:$AM46="Dm+")*12+($I46:$AM46="Dt+")*12+($I46:$AM46="Tm-")*6+($I46:$AM46="Mt-")*6)</f>
        <v/>
      </c>
      <c r="BJ46" s="117">
        <f>ROUND(B46*4.43,0)</f>
        <v/>
      </c>
      <c r="BK46" s="119">
        <f>BF46-BJ46</f>
        <v/>
      </c>
      <c r="BL46" s="120">
        <f>SUMPRODUCT((($C46:$AL46="N")+($C46:$AL46="N+"))*(($D46:$AM46="M")+($D46:$AM46="D")+($D46:$AM46="C")+($D46:$AM46="CEP")+($D46:$AM46="M+")+($D46:$AM46="D+")+($D46:$AM46="Dm+")+($D46:$AM46="Dt+")+($D46:$AM46="Mt-")))</f>
        <v/>
      </c>
      <c r="BM46" s="120">
        <f>SUMPRODUCT((($C46:$AL46="N")+($C46:$AL46="N+"))*(($D46:$AM46="T")+($D46:$AM46="T+")+($D46:$AM46="Tm-")))</f>
        <v/>
      </c>
      <c r="BN46" s="120">
        <f>IFERROR(INDEX(CONFIG!$B$44:$D$46,MATCH($B46,CONFIG!$A$44:$A$46,0),IF(COUNTIF($I46:$AM46,"FE")&gt;=10,1,IF(COUNTIF($I46:$AM46,"FE")&gt;=1,2,3))),"")</f>
        <v/>
      </c>
      <c r="BO46" s="120">
        <f>IF(BN46="","",MAX(0,BG46-BN46*CONFIG!$E$44))</f>
        <v/>
      </c>
      <c r="BP46" s="120">
        <f>MAX(AT46,AV46,AX46,AZ46,BB46,BD46)</f>
        <v/>
      </c>
      <c r="BQ46" s="121" t="inlineStr">
        <is>
          <t>3 · staff</t>
        </is>
      </c>
      <c r="BR46" s="122" t="n">
        <v>7</v>
      </c>
      <c r="BS46" s="39" t="n"/>
    </row>
    <row r="47">
      <c r="A47" s="89" t="inlineStr">
        <is>
          <t>Grayce</t>
        </is>
      </c>
      <c r="B47" s="107" t="n">
        <v>24</v>
      </c>
      <c r="C47" s="100" t="n"/>
      <c r="D47" s="100" t="n"/>
      <c r="E47" s="100" t="n"/>
      <c r="F47" s="100" t="n"/>
      <c r="G47" s="100" t="n"/>
      <c r="H47" s="136">
        <f>IFERROR(INDEX(NOV!AL$8:AL$73,MATCH($A47,NOV!$A$8:$A$73,0))&amp;"","")</f>
        <v/>
      </c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  <c r="AB47" s="114" t="n"/>
      <c r="AC47" s="114" t="n"/>
      <c r="AD47" s="114" t="n"/>
      <c r="AE47" s="114" t="n"/>
      <c r="AF47" s="114" t="n"/>
      <c r="AG47" s="114" t="n"/>
      <c r="AH47" s="114" t="n"/>
      <c r="AI47" s="114" t="n"/>
      <c r="AJ47" s="114" t="n"/>
      <c r="AK47" s="114" t="n"/>
      <c r="AL47" s="114" t="n"/>
      <c r="AM47" s="114" t="n"/>
      <c r="AN47" s="100" t="n"/>
      <c r="AO47" s="100" t="n"/>
      <c r="AP47" s="100" t="n"/>
      <c r="AQ47" s="100" t="n"/>
      <c r="AR47" s="100" t="n"/>
      <c r="AS47" s="100" t="n"/>
      <c r="AT47" s="117">
        <f>SUMPRODUCT(($H47:$N47="M")*6+($H47:$N47="T")*6+($H47:$N47="D")*12+($H47:$N47="N")*12+($H47:$N47="NT")*6+($H47:$N47="C")*10+($H47:$N47="A")*8+($H47:$N47="J")*5+($H47:$N47="CEP")*4+($H47:$N47="CP")*6+($H47:$N47="CRO")*6+($H47:$N47="M+")*6+($H47:$N47="T+")*6+($H47:$N47="D+")*12+($H47:$N47="N+")*12+($H47:$N47="Dm+")*12+($H47:$N47="Dt+")*12+($H47:$N47="Tm-")*6+($H47:$N47="Mt-")*6)</f>
        <v/>
      </c>
      <c r="AU47" s="118">
        <f>AT47-MAX(0,IFERROR(INDEX(CADASTRO!$I$4:$I$80,MATCH($A47,CADASTRO!$A$4:$A$80,0)),$B47)-CONFIG!$B$50*(COUNTIF($H47:$N47,"AB")+COUNTIF($H47:$N47,"FE")+COUNTIF($H47:$N47,"LM")))</f>
        <v/>
      </c>
      <c r="AV47" s="117">
        <f>SUMPRODUCT(($O47:$U47="M")*6+($O47:$U47="T")*6+($O47:$U47="D")*12+($O47:$U47="N")*12+($O47:$U47="NT")*6+($O47:$U47="C")*10+($O47:$U47="A")*8+($O47:$U47="J")*5+($O47:$U47="CEP")*4+($O47:$U47="CP")*6+($O47:$U47="CRO")*6+($O47:$U47="M+")*6+($O47:$U47="T+")*6+($O47:$U47="D+")*12+($O47:$U47="N+")*12+($O47:$U47="Dm+")*12+($O47:$U47="Dt+")*12+($O47:$U47="Tm-")*6+($O47:$U47="Mt-")*6)</f>
        <v/>
      </c>
      <c r="AW47" s="118">
        <f>AV47-MAX(0,IFERROR(INDEX(CADASTRO!$I$4:$I$80,MATCH($A47,CADASTRO!$A$4:$A$80,0)),$B47)-CONFIG!$B$50*(COUNTIF($O47:$U47,"AB")+COUNTIF($O47:$U47,"FE")+COUNTIF($O47:$U47,"LM")))</f>
        <v/>
      </c>
      <c r="AX47" s="117">
        <f>SUMPRODUCT(($V47:$AB47="M")*6+($V47:$AB47="T")*6+($V47:$AB47="D")*12+($V47:$AB47="N")*12+($V47:$AB47="NT")*6+($V47:$AB47="C")*10+($V47:$AB47="A")*8+($V47:$AB47="J")*5+($V47:$AB47="CEP")*4+($V47:$AB47="CP")*6+($V47:$AB47="CRO")*6+($V47:$AB47="M+")*6+($V47:$AB47="T+")*6+($V47:$AB47="D+")*12+($V47:$AB47="N+")*12+($V47:$AB47="Dm+")*12+($V47:$AB47="Dt+")*12+($V47:$AB47="Tm-")*6+($V47:$AB47="Mt-")*6)</f>
        <v/>
      </c>
      <c r="AY47" s="118">
        <f>AX47-MAX(0,IFERROR(INDEX(CADASTRO!$I$4:$I$80,MATCH($A47,CADASTRO!$A$4:$A$80,0)),$B47)-CONFIG!$B$50*(COUNTIF($V47:$AB47,"AB")+COUNTIF($V47:$AB47,"FE")+COUNTIF($V47:$AB47,"LM")))</f>
        <v/>
      </c>
      <c r="AZ47" s="117">
        <f>SUMPRODUCT(($AC47:$AI47="M")*6+($AC47:$AI47="T")*6+($AC47:$AI47="D")*12+($AC47:$AI47="N")*12+($AC47:$AI47="NT")*6+($AC47:$AI47="C")*10+($AC47:$AI47="A")*8+($AC47:$AI47="J")*5+($AC47:$AI47="CEP")*4+($AC47:$AI47="CP")*6+($AC47:$AI47="CRO")*6+($AC47:$AI47="M+")*6+($AC47:$AI47="T+")*6+($AC47:$AI47="D+")*12+($AC47:$AI47="N+")*12+($AC47:$AI47="Dm+")*12+($AC47:$AI47="Dt+")*12+($AC47:$AI47="Tm-")*6+($AC47:$AI47="Mt-")*6)</f>
        <v/>
      </c>
      <c r="BA47" s="118">
        <f>AZ47-MAX(0,IFERROR(INDEX(CADASTRO!$I$4:$I$80,MATCH($A47,CADASTRO!$A$4:$A$80,0)),$B47)-CONFIG!$B$50*(COUNTIF($AC47:$AI47,"AB")+COUNTIF($AC47:$AI47,"FE")+COUNTIF($AC47:$AI47,"LM")))</f>
        <v/>
      </c>
      <c r="BB47" s="117">
        <f>SUMPRODUCT(($AJ47:$AM47="M")*6+($AJ47:$AM47="T")*6+($AJ47:$AM47="D")*12+($AJ47:$AM47="N")*12+($AJ47:$AM47="NT")*6+($AJ47:$AM47="C")*10+($AJ47:$AM47="A")*8+($AJ47:$AM47="J")*5+($AJ47:$AM47="CEP")*4+($AJ47:$AM47="CP")*6+($AJ47:$AM47="CRO")*6+($AJ47:$AM47="M+")*6+($AJ47:$AM47="T+")*6+($AJ47:$AM47="D+")*12+($AJ47:$AM47="N+")*12+($AJ47:$AM47="Dm+")*12+($AJ47:$AM47="Dt+")*12+($AJ47:$AM47="Tm-")*6+($AJ47:$AM47="Mt-")*6)+SUMPRODUCT(($AN47:$AP47="M")*6+($AN47:$AP47="T")*6+($AN47:$AP47="D")*12+($AN47:$AP47="N")*12+($AN47:$AP47="NT")*6+($AN47:$AP47="C")*10+($AN47:$AP47="A")*8+($AN47:$AP47="J")*5+($AN47:$AP47="CEP")*4+($AN47:$AP47="CP")*6+($AN47:$AP47="CRO")*6+($AN47:$AP47="M+")*6+($AN47:$AP47="T+")*6+($AN47:$AP47="D+")*12+($AN47:$AP47="N+")*12+($AN47:$AP47="Dm+")*12+($AN47:$AP47="Dt+")*12+($AN47:$AP47="Tm-")*6+($AN47:$AP47="Mt-")*6)</f>
        <v/>
      </c>
      <c r="BC47" s="118">
        <f>BB47-MAX(0,IFERROR(INDEX(CADASTRO!$I$4:$I$80,MATCH($A47,CADASTRO!$A$4:$A$80,0)),$B47)-CONFIG!$B$50*(COUNTIF($AJ47:$AM47,"AB")+COUNTIF($AJ47:$AM47,"FE")+COUNTIF($AJ47:$AM47,"LM")+COUNTIF($AN47:$AP47,"AB")+COUNTIF($AN47:$AP47,"FE")+COUNTIF($AN47:$AP47,"LM")))</f>
        <v/>
      </c>
      <c r="BD47" s="117" t="n"/>
      <c r="BE47" s="118" t="n"/>
      <c r="BF47" s="117">
        <f>SUMPRODUCT(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G47" s="117">
        <f>SUMPRODUCT($I$4:$AM$4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H47" s="117">
        <f>SUMPRODUCT($I$5:$AM$5,(($I47:$AM47="N")+($I47:$AM47="N+")))</f>
        <v/>
      </c>
      <c r="BI47" s="117">
        <f>SUMPRODUCT($I$6:$AM$6,($I47:$AM47="M")*6+($I47:$AM47="T")*6+($I47:$AM47="D")*12+($I47:$AM47="N")*12+($I47:$AM47="NT")*6+($I47:$AM47="C")*10+($I47:$AM47="A")*8+($I47:$AM47="J")*5+($I47:$AM47="CEP")*4+($I47:$AM47="CP")*6+($I47:$AM47="CRO")*6+($I47:$AM47="M+")*6+($I47:$AM47="T+")*6+($I47:$AM47="D+")*12+($I47:$AM47="N+")*12+($I47:$AM47="Dm+")*12+($I47:$AM47="Dt+")*12+($I47:$AM47="Tm-")*6+($I47:$AM47="Mt-")*6)</f>
        <v/>
      </c>
      <c r="BJ47" s="117">
        <f>ROUND(B47*4.43,0)</f>
        <v/>
      </c>
      <c r="BK47" s="119">
        <f>BF47-BJ47</f>
        <v/>
      </c>
      <c r="BL47" s="120">
        <f>SUMPRODUCT((($C47:$AL47="N")+($C47:$AL47="N+"))*(($D47:$AM47="M")+($D47:$AM47="D")+($D47:$AM47="C")+($D47:$AM47="CEP")+($D47:$AM47="M+")+($D47:$AM47="D+")+($D47:$AM47="Dm+")+($D47:$AM47="Dt+")+($D47:$AM47="Mt-")))</f>
        <v/>
      </c>
      <c r="BM47" s="120">
        <f>SUMPRODUCT((($C47:$AL47="N")+($C47:$AL47="N+"))*(($D47:$AM47="T")+($D47:$AM47="T+")+($D47:$AM47="Tm-")))</f>
        <v/>
      </c>
      <c r="BN47" s="120">
        <f>IFERROR(INDEX(CONFIG!$B$44:$D$46,MATCH($B47,CONFIG!$A$44:$A$46,0),IF(COUNTIF($I47:$AM47,"FE")&gt;=10,1,IF(COUNTIF($I47:$AM47,"FE")&gt;=1,2,3))),"")</f>
        <v/>
      </c>
      <c r="BO47" s="120">
        <f>IF(BN47="","",MAX(0,BG47-BN47*CONFIG!$E$44))</f>
        <v/>
      </c>
      <c r="BP47" s="120">
        <f>MAX(AT47,AV47,AX47,AZ47,BB47,BD47)</f>
        <v/>
      </c>
      <c r="BQ47" s="121" t="inlineStr">
        <is>
          <t>3 · staff</t>
        </is>
      </c>
      <c r="BR47" s="122" t="n">
        <v>7</v>
      </c>
      <c r="BS47" s="39" t="n"/>
    </row>
    <row r="48">
      <c r="A48" s="89" t="inlineStr">
        <is>
          <t>Heloa</t>
        </is>
      </c>
      <c r="B48" s="107" t="n">
        <v>24</v>
      </c>
      <c r="C48" s="100" t="n"/>
      <c r="D48" s="100" t="n"/>
      <c r="E48" s="100" t="n"/>
      <c r="F48" s="100" t="n"/>
      <c r="G48" s="100" t="n"/>
      <c r="H48" s="136">
        <f>IFERROR(INDEX(NOV!AL$8:AL$73,MATCH($A48,NOV!$A$8:$A$73,0))&amp;"","")</f>
        <v/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  <c r="AJ48" s="114" t="n"/>
      <c r="AK48" s="114" t="n"/>
      <c r="AL48" s="114" t="n"/>
      <c r="AM48" s="114" t="n"/>
      <c r="AN48" s="100" t="n"/>
      <c r="AO48" s="100" t="n"/>
      <c r="AP48" s="100" t="n"/>
      <c r="AQ48" s="100" t="n"/>
      <c r="AR48" s="100" t="n"/>
      <c r="AS48" s="100" t="n"/>
      <c r="AT48" s="117">
        <f>SUMPRODUCT(($H48:$N48="M")*6+($H48:$N48="T")*6+($H48:$N48="D")*12+($H48:$N48="N")*12+($H48:$N48="NT")*6+($H48:$N48="C")*10+($H48:$N48="A")*8+($H48:$N48="J")*5+($H48:$N48="CEP")*4+($H48:$N48="CP")*6+($H48:$N48="CRO")*6+($H48:$N48="M+")*6+($H48:$N48="T+")*6+($H48:$N48="D+")*12+($H48:$N48="N+")*12+($H48:$N48="Dm+")*12+($H48:$N48="Dt+")*12+($H48:$N48="Tm-")*6+($H48:$N48="Mt-")*6)</f>
        <v/>
      </c>
      <c r="AU48" s="118">
        <f>AT48-MAX(0,IFERROR(INDEX(CADASTRO!$I$4:$I$80,MATCH($A48,CADASTRO!$A$4:$A$80,0)),$B48)-CONFIG!$B$50*(COUNTIF($H48:$N48,"AB")+COUNTIF($H48:$N48,"FE")+COUNTIF($H48:$N48,"LM")))</f>
        <v/>
      </c>
      <c r="AV48" s="117">
        <f>SUMPRODUCT(($O48:$U48="M")*6+($O48:$U48="T")*6+($O48:$U48="D")*12+($O48:$U48="N")*12+($O48:$U48="NT")*6+($O48:$U48="C")*10+($O48:$U48="A")*8+($O48:$U48="J")*5+($O48:$U48="CEP")*4+($O48:$U48="CP")*6+($O48:$U48="CRO")*6+($O48:$U48="M+")*6+($O48:$U48="T+")*6+($O48:$U48="D+")*12+($O48:$U48="N+")*12+($O48:$U48="Dm+")*12+($O48:$U48="Dt+")*12+($O48:$U48="Tm-")*6+($O48:$U48="Mt-")*6)</f>
        <v/>
      </c>
      <c r="AW48" s="118">
        <f>AV48-MAX(0,IFERROR(INDEX(CADASTRO!$I$4:$I$80,MATCH($A48,CADASTRO!$A$4:$A$80,0)),$B48)-CONFIG!$B$50*(COUNTIF($O48:$U48,"AB")+COUNTIF($O48:$U48,"FE")+COUNTIF($O48:$U48,"LM")))</f>
        <v/>
      </c>
      <c r="AX48" s="117">
        <f>SUMPRODUCT(($V48:$AB48="M")*6+($V48:$AB48="T")*6+($V48:$AB48="D")*12+($V48:$AB48="N")*12+($V48:$AB48="NT")*6+($V48:$AB48="C")*10+($V48:$AB48="A")*8+($V48:$AB48="J")*5+($V48:$AB48="CEP")*4+($V48:$AB48="CP")*6+($V48:$AB48="CRO")*6+($V48:$AB48="M+")*6+($V48:$AB48="T+")*6+($V48:$AB48="D+")*12+($V48:$AB48="N+")*12+($V48:$AB48="Dm+")*12+($V48:$AB48="Dt+")*12+($V48:$AB48="Tm-")*6+($V48:$AB48="Mt-")*6)</f>
        <v/>
      </c>
      <c r="AY48" s="118">
        <f>AX48-MAX(0,IFERROR(INDEX(CADASTRO!$I$4:$I$80,MATCH($A48,CADASTRO!$A$4:$A$80,0)),$B48)-CONFIG!$B$50*(COUNTIF($V48:$AB48,"AB")+COUNTIF($V48:$AB48,"FE")+COUNTIF($V48:$AB48,"LM")))</f>
        <v/>
      </c>
      <c r="AZ48" s="117">
        <f>SUMPRODUCT(($AC48:$AI48="M")*6+($AC48:$AI48="T")*6+($AC48:$AI48="D")*12+($AC48:$AI48="N")*12+($AC48:$AI48="NT")*6+($AC48:$AI48="C")*10+($AC48:$AI48="A")*8+($AC48:$AI48="J")*5+($AC48:$AI48="CEP")*4+($AC48:$AI48="CP")*6+($AC48:$AI48="CRO")*6+($AC48:$AI48="M+")*6+($AC48:$AI48="T+")*6+($AC48:$AI48="D+")*12+($AC48:$AI48="N+")*12+($AC48:$AI48="Dm+")*12+($AC48:$AI48="Dt+")*12+($AC48:$AI48="Tm-")*6+($AC48:$AI48="Mt-")*6)</f>
        <v/>
      </c>
      <c r="BA48" s="118">
        <f>AZ48-MAX(0,IFERROR(INDEX(CADASTRO!$I$4:$I$80,MATCH($A48,CADASTRO!$A$4:$A$80,0)),$B48)-CONFIG!$B$50*(COUNTIF($AC48:$AI48,"AB")+COUNTIF($AC48:$AI48,"FE")+COUNTIF($AC48:$AI48,"LM")))</f>
        <v/>
      </c>
      <c r="BB48" s="117">
        <f>SUMPRODUCT(($AJ48:$AM48="M")*6+($AJ48:$AM48="T")*6+($AJ48:$AM48="D")*12+($AJ48:$AM48="N")*12+($AJ48:$AM48="NT")*6+($AJ48:$AM48="C")*10+($AJ48:$AM48="A")*8+($AJ48:$AM48="J")*5+($AJ48:$AM48="CEP")*4+($AJ48:$AM48="CP")*6+($AJ48:$AM48="CRO")*6+($AJ48:$AM48="M+")*6+($AJ48:$AM48="T+")*6+($AJ48:$AM48="D+")*12+($AJ48:$AM48="N+")*12+($AJ48:$AM48="Dm+")*12+($AJ48:$AM48="Dt+")*12+($AJ48:$AM48="Tm-")*6+($AJ48:$AM48="Mt-")*6)+SUMPRODUCT(($AN48:$AP48="M")*6+($AN48:$AP48="T")*6+($AN48:$AP48="D")*12+($AN48:$AP48="N")*12+($AN48:$AP48="NT")*6+($AN48:$AP48="C")*10+($AN48:$AP48="A")*8+($AN48:$AP48="J")*5+($AN48:$AP48="CEP")*4+($AN48:$AP48="CP")*6+($AN48:$AP48="CRO")*6+($AN48:$AP48="M+")*6+($AN48:$AP48="T+")*6+($AN48:$AP48="D+")*12+($AN48:$AP48="N+")*12+($AN48:$AP48="Dm+")*12+($AN48:$AP48="Dt+")*12+($AN48:$AP48="Tm-")*6+($AN48:$AP48="Mt-")*6)</f>
        <v/>
      </c>
      <c r="BC48" s="118">
        <f>BB48-MAX(0,IFERROR(INDEX(CADASTRO!$I$4:$I$80,MATCH($A48,CADASTRO!$A$4:$A$80,0)),$B48)-CONFIG!$B$50*(COUNTIF($AJ48:$AM48,"AB")+COUNTIF($AJ48:$AM48,"FE")+COUNTIF($AJ48:$AM48,"LM")+COUNTIF($AN48:$AP48,"AB")+COUNTIF($AN48:$AP48,"FE")+COUNTIF($AN48:$AP48,"LM")))</f>
        <v/>
      </c>
      <c r="BD48" s="117" t="n"/>
      <c r="BE48" s="118" t="n"/>
      <c r="BF48" s="117">
        <f>SUMPRODUCT(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G48" s="117">
        <f>SUMPRODUCT($I$4:$AM$4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H48" s="117">
        <f>SUMPRODUCT($I$5:$AM$5,(($I48:$AM48="N")+($I48:$AM48="N+")))</f>
        <v/>
      </c>
      <c r="BI48" s="117">
        <f>SUMPRODUCT($I$6:$AM$6,($I48:$AM48="M")*6+($I48:$AM48="T")*6+($I48:$AM48="D")*12+($I48:$AM48="N")*12+($I48:$AM48="NT")*6+($I48:$AM48="C")*10+($I48:$AM48="A")*8+($I48:$AM48="J")*5+($I48:$AM48="CEP")*4+($I48:$AM48="CP")*6+($I48:$AM48="CRO")*6+($I48:$AM48="M+")*6+($I48:$AM48="T+")*6+($I48:$AM48="D+")*12+($I48:$AM48="N+")*12+($I48:$AM48="Dm+")*12+($I48:$AM48="Dt+")*12+($I48:$AM48="Tm-")*6+($I48:$AM48="Mt-")*6)</f>
        <v/>
      </c>
      <c r="BJ48" s="117">
        <f>ROUND(B48*4.43,0)</f>
        <v/>
      </c>
      <c r="BK48" s="119">
        <f>BF48-BJ48</f>
        <v/>
      </c>
      <c r="BL48" s="120">
        <f>SUMPRODUCT((($C48:$AL48="N")+($C48:$AL48="N+"))*(($D48:$AM48="M")+($D48:$AM48="D")+($D48:$AM48="C")+($D48:$AM48="CEP")+($D48:$AM48="M+")+($D48:$AM48="D+")+($D48:$AM48="Dm+")+($D48:$AM48="Dt+")+($D48:$AM48="Mt-")))</f>
        <v/>
      </c>
      <c r="BM48" s="120">
        <f>SUMPRODUCT((($C48:$AL48="N")+($C48:$AL48="N+"))*(($D48:$AM48="T")+($D48:$AM48="T+")+($D48:$AM48="Tm-")))</f>
        <v/>
      </c>
      <c r="BN48" s="120">
        <f>IFERROR(INDEX(CONFIG!$B$44:$D$46,MATCH($B48,CONFIG!$A$44:$A$46,0),IF(COUNTIF($I48:$AM48,"FE")&gt;=10,1,IF(COUNTIF($I48:$AM48,"FE")&gt;=1,2,3))),"")</f>
        <v/>
      </c>
      <c r="BO48" s="120">
        <f>IF(BN48="","",MAX(0,BG48-BN48*CONFIG!$E$44))</f>
        <v/>
      </c>
      <c r="BP48" s="120">
        <f>MAX(AT48,AV48,AX48,AZ48,BB48,BD48)</f>
        <v/>
      </c>
      <c r="BQ48" s="121" t="inlineStr">
        <is>
          <t>3 · staff</t>
        </is>
      </c>
      <c r="BR48" s="122" t="n">
        <v>7</v>
      </c>
      <c r="BS48" s="39" t="n"/>
    </row>
    <row r="49">
      <c r="A49" s="89" t="inlineStr">
        <is>
          <t>Iggor</t>
        </is>
      </c>
      <c r="B49" s="107" t="n">
        <v>24</v>
      </c>
      <c r="C49" s="100" t="n"/>
      <c r="D49" s="100" t="n"/>
      <c r="E49" s="100" t="n"/>
      <c r="F49" s="100" t="n"/>
      <c r="G49" s="100" t="n"/>
      <c r="H49" s="136">
        <f>IFERROR(INDEX(NOV!AL$8:AL$73,MATCH($A49,NOV!$A$8:$A$73,0))&amp;"","")</f>
        <v/>
      </c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  <c r="AB49" s="114" t="n"/>
      <c r="AC49" s="114" t="n"/>
      <c r="AD49" s="114" t="n"/>
      <c r="AE49" s="114" t="n"/>
      <c r="AF49" s="114" t="n"/>
      <c r="AG49" s="114" t="n"/>
      <c r="AH49" s="114" t="n"/>
      <c r="AI49" s="114" t="n"/>
      <c r="AJ49" s="114" t="n"/>
      <c r="AK49" s="114" t="n"/>
      <c r="AL49" s="114" t="n"/>
      <c r="AM49" s="114" t="n"/>
      <c r="AN49" s="100" t="n"/>
      <c r="AO49" s="100" t="n"/>
      <c r="AP49" s="100" t="n"/>
      <c r="AQ49" s="100" t="n"/>
      <c r="AR49" s="100" t="n"/>
      <c r="AS49" s="100" t="n"/>
      <c r="AT49" s="117">
        <f>SUMPRODUCT(($H49:$N49="M")*6+($H49:$N49="T")*6+($H49:$N49="D")*12+($H49:$N49="N")*12+($H49:$N49="NT")*6+($H49:$N49="C")*10+($H49:$N49="A")*8+($H49:$N49="J")*5+($H49:$N49="CEP")*4+($H49:$N49="CP")*6+($H49:$N49="CRO")*6+($H49:$N49="M+")*6+($H49:$N49="T+")*6+($H49:$N49="D+")*12+($H49:$N49="N+")*12+($H49:$N49="Dm+")*12+($H49:$N49="Dt+")*12+($H49:$N49="Tm-")*6+($H49:$N49="Mt-")*6)</f>
        <v/>
      </c>
      <c r="AU49" s="118">
        <f>AT49-MAX(0,IFERROR(INDEX(CADASTRO!$I$4:$I$80,MATCH($A49,CADASTRO!$A$4:$A$80,0)),$B49)-CONFIG!$B$50*(COUNTIF($H49:$N49,"AB")+COUNTIF($H49:$N49,"FE")+COUNTIF($H49:$N49,"LM")))</f>
        <v/>
      </c>
      <c r="AV49" s="117">
        <f>SUMPRODUCT(($O49:$U49="M")*6+($O49:$U49="T")*6+($O49:$U49="D")*12+($O49:$U49="N")*12+($O49:$U49="NT")*6+($O49:$U49="C")*10+($O49:$U49="A")*8+($O49:$U49="J")*5+($O49:$U49="CEP")*4+($O49:$U49="CP")*6+($O49:$U49="CRO")*6+($O49:$U49="M+")*6+($O49:$U49="T+")*6+($O49:$U49="D+")*12+($O49:$U49="N+")*12+($O49:$U49="Dm+")*12+($O49:$U49="Dt+")*12+($O49:$U49="Tm-")*6+($O49:$U49="Mt-")*6)</f>
        <v/>
      </c>
      <c r="AW49" s="118">
        <f>AV49-MAX(0,IFERROR(INDEX(CADASTRO!$I$4:$I$80,MATCH($A49,CADASTRO!$A$4:$A$80,0)),$B49)-CONFIG!$B$50*(COUNTIF($O49:$U49,"AB")+COUNTIF($O49:$U49,"FE")+COUNTIF($O49:$U49,"LM")))</f>
        <v/>
      </c>
      <c r="AX49" s="117">
        <f>SUMPRODUCT(($V49:$AB49="M")*6+($V49:$AB49="T")*6+($V49:$AB49="D")*12+($V49:$AB49="N")*12+($V49:$AB49="NT")*6+($V49:$AB49="C")*10+($V49:$AB49="A")*8+($V49:$AB49="J")*5+($V49:$AB49="CEP")*4+($V49:$AB49="CP")*6+($V49:$AB49="CRO")*6+($V49:$AB49="M+")*6+($V49:$AB49="T+")*6+($V49:$AB49="D+")*12+($V49:$AB49="N+")*12+($V49:$AB49="Dm+")*12+($V49:$AB49="Dt+")*12+($V49:$AB49="Tm-")*6+($V49:$AB49="Mt-")*6)</f>
        <v/>
      </c>
      <c r="AY49" s="118">
        <f>AX49-MAX(0,IFERROR(INDEX(CADASTRO!$I$4:$I$80,MATCH($A49,CADASTRO!$A$4:$A$80,0)),$B49)-CONFIG!$B$50*(COUNTIF($V49:$AB49,"AB")+COUNTIF($V49:$AB49,"FE")+COUNTIF($V49:$AB49,"LM")))</f>
        <v/>
      </c>
      <c r="AZ49" s="117">
        <f>SUMPRODUCT(($AC49:$AI49="M")*6+($AC49:$AI49="T")*6+($AC49:$AI49="D")*12+($AC49:$AI49="N")*12+($AC49:$AI49="NT")*6+($AC49:$AI49="C")*10+($AC49:$AI49="A")*8+($AC49:$AI49="J")*5+($AC49:$AI49="CEP")*4+($AC49:$AI49="CP")*6+($AC49:$AI49="CRO")*6+($AC49:$AI49="M+")*6+($AC49:$AI49="T+")*6+($AC49:$AI49="D+")*12+($AC49:$AI49="N+")*12+($AC49:$AI49="Dm+")*12+($AC49:$AI49="Dt+")*12+($AC49:$AI49="Tm-")*6+($AC49:$AI49="Mt-")*6)</f>
        <v/>
      </c>
      <c r="BA49" s="118">
        <f>AZ49-MAX(0,IFERROR(INDEX(CADASTRO!$I$4:$I$80,MATCH($A49,CADASTRO!$A$4:$A$80,0)),$B49)-CONFIG!$B$50*(COUNTIF($AC49:$AI49,"AB")+COUNTIF($AC49:$AI49,"FE")+COUNTIF($AC49:$AI49,"LM")))</f>
        <v/>
      </c>
      <c r="BB49" s="117">
        <f>SUMPRODUCT(($AJ49:$AM49="M")*6+($AJ49:$AM49="T")*6+($AJ49:$AM49="D")*12+($AJ49:$AM49="N")*12+($AJ49:$AM49="NT")*6+($AJ49:$AM49="C")*10+($AJ49:$AM49="A")*8+($AJ49:$AM49="J")*5+($AJ49:$AM49="CEP")*4+($AJ49:$AM49="CP")*6+($AJ49:$AM49="CRO")*6+($AJ49:$AM49="M+")*6+($AJ49:$AM49="T+")*6+($AJ49:$AM49="D+")*12+($AJ49:$AM49="N+")*12+($AJ49:$AM49="Dm+")*12+($AJ49:$AM49="Dt+")*12+($AJ49:$AM49="Tm-")*6+($AJ49:$AM49="Mt-")*6)+SUMPRODUCT(($AN49:$AP49="M")*6+($AN49:$AP49="T")*6+($AN49:$AP49="D")*12+($AN49:$AP49="N")*12+($AN49:$AP49="NT")*6+($AN49:$AP49="C")*10+($AN49:$AP49="A")*8+($AN49:$AP49="J")*5+($AN49:$AP49="CEP")*4+($AN49:$AP49="CP")*6+($AN49:$AP49="CRO")*6+($AN49:$AP49="M+")*6+($AN49:$AP49="T+")*6+($AN49:$AP49="D+")*12+($AN49:$AP49="N+")*12+($AN49:$AP49="Dm+")*12+($AN49:$AP49="Dt+")*12+($AN49:$AP49="Tm-")*6+($AN49:$AP49="Mt-")*6)</f>
        <v/>
      </c>
      <c r="BC49" s="118">
        <f>BB49-MAX(0,IFERROR(INDEX(CADASTRO!$I$4:$I$80,MATCH($A49,CADASTRO!$A$4:$A$80,0)),$B49)-CONFIG!$B$50*(COUNTIF($AJ49:$AM49,"AB")+COUNTIF($AJ49:$AM49,"FE")+COUNTIF($AJ49:$AM49,"LM")+COUNTIF($AN49:$AP49,"AB")+COUNTIF($AN49:$AP49,"FE")+COUNTIF($AN49:$AP49,"LM")))</f>
        <v/>
      </c>
      <c r="BD49" s="117" t="n"/>
      <c r="BE49" s="118" t="n"/>
      <c r="BF49" s="117">
        <f>SUMPRODUCT(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G49" s="117">
        <f>SUMPRODUCT($I$4:$AM$4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H49" s="117">
        <f>SUMPRODUCT($I$5:$AM$5,(($I49:$AM49="N")+($I49:$AM49="N+")))</f>
        <v/>
      </c>
      <c r="BI49" s="117">
        <f>SUMPRODUCT($I$6:$AM$6,($I49:$AM49="M")*6+($I49:$AM49="T")*6+($I49:$AM49="D")*12+($I49:$AM49="N")*12+($I49:$AM49="NT")*6+($I49:$AM49="C")*10+($I49:$AM49="A")*8+($I49:$AM49="J")*5+($I49:$AM49="CEP")*4+($I49:$AM49="CP")*6+($I49:$AM49="CRO")*6+($I49:$AM49="M+")*6+($I49:$AM49="T+")*6+($I49:$AM49="D+")*12+($I49:$AM49="N+")*12+($I49:$AM49="Dm+")*12+($I49:$AM49="Dt+")*12+($I49:$AM49="Tm-")*6+($I49:$AM49="Mt-")*6)</f>
        <v/>
      </c>
      <c r="BJ49" s="117">
        <f>ROUND(B49*4.43,0)</f>
        <v/>
      </c>
      <c r="BK49" s="119">
        <f>BF49-BJ49</f>
        <v/>
      </c>
      <c r="BL49" s="120">
        <f>SUMPRODUCT((($C49:$AL49="N")+($C49:$AL49="N+"))*(($D49:$AM49="M")+($D49:$AM49="D")+($D49:$AM49="C")+($D49:$AM49="CEP")+($D49:$AM49="M+")+($D49:$AM49="D+")+($D49:$AM49="Dm+")+($D49:$AM49="Dt+")+($D49:$AM49="Mt-")))</f>
        <v/>
      </c>
      <c r="BM49" s="120">
        <f>SUMPRODUCT((($C49:$AL49="N")+($C49:$AL49="N+"))*(($D49:$AM49="T")+($D49:$AM49="T+")+($D49:$AM49="Tm-")))</f>
        <v/>
      </c>
      <c r="BN49" s="120">
        <f>IFERROR(INDEX(CONFIG!$B$44:$D$46,MATCH($B49,CONFIG!$A$44:$A$46,0),IF(COUNTIF($I49:$AM49,"FE")&gt;=10,1,IF(COUNTIF($I49:$AM49,"FE")&gt;=1,2,3))),"")</f>
        <v/>
      </c>
      <c r="BO49" s="120">
        <f>IF(BN49="","",MAX(0,BG49-BN49*CONFIG!$E$44))</f>
        <v/>
      </c>
      <c r="BP49" s="120">
        <f>MAX(AT49,AV49,AX49,AZ49,BB49,BD49)</f>
        <v/>
      </c>
      <c r="BQ49" s="121" t="inlineStr">
        <is>
          <t>3 · staff</t>
        </is>
      </c>
      <c r="BR49" s="122" t="n">
        <v>7</v>
      </c>
      <c r="BS49" s="39" t="n"/>
    </row>
    <row r="50">
      <c r="A50" s="89" t="inlineStr">
        <is>
          <t>IsaRibeiro</t>
        </is>
      </c>
      <c r="B50" s="107" t="n">
        <v>24</v>
      </c>
      <c r="C50" s="100" t="n"/>
      <c r="D50" s="100" t="n"/>
      <c r="E50" s="100" t="n"/>
      <c r="F50" s="100" t="n"/>
      <c r="G50" s="100" t="n"/>
      <c r="H50" s="136">
        <f>IFERROR(INDEX(NOV!AL$8:AL$73,MATCH($A50,NOV!$A$8:$A$73,0))&amp;"","")</f>
        <v/>
      </c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14" t="n"/>
      <c r="AF50" s="114" t="n"/>
      <c r="AG50" s="114" t="n"/>
      <c r="AH50" s="114" t="n"/>
      <c r="AI50" s="114" t="n"/>
      <c r="AJ50" s="114" t="n"/>
      <c r="AK50" s="114" t="n"/>
      <c r="AL50" s="114" t="n"/>
      <c r="AM50" s="114" t="n"/>
      <c r="AN50" s="100" t="n"/>
      <c r="AO50" s="100" t="n"/>
      <c r="AP50" s="100" t="n"/>
      <c r="AQ50" s="100" t="n"/>
      <c r="AR50" s="100" t="n"/>
      <c r="AS50" s="100" t="n"/>
      <c r="AT50" s="117">
        <f>SUMPRODUCT(($H50:$N50="M")*6+($H50:$N50="T")*6+($H50:$N50="D")*12+($H50:$N50="N")*12+($H50:$N50="NT")*6+($H50:$N50="C")*10+($H50:$N50="A")*8+($H50:$N50="J")*5+($H50:$N50="CEP")*4+($H50:$N50="CP")*6+($H50:$N50="CRO")*6+($H50:$N50="M+")*6+($H50:$N50="T+")*6+($H50:$N50="D+")*12+($H50:$N50="N+")*12+($H50:$N50="Dm+")*12+($H50:$N50="Dt+")*12+($H50:$N50="Tm-")*6+($H50:$N50="Mt-")*6)</f>
        <v/>
      </c>
      <c r="AU50" s="118">
        <f>AT50-MAX(0,IFERROR(INDEX(CADASTRO!$I$4:$I$80,MATCH($A50,CADASTRO!$A$4:$A$80,0)),$B50)-CONFIG!$B$50*(COUNTIF($H50:$N50,"AB")+COUNTIF($H50:$N50,"FE")+COUNTIF($H50:$N50,"LM")))</f>
        <v/>
      </c>
      <c r="AV50" s="117">
        <f>SUMPRODUCT(($O50:$U50="M")*6+($O50:$U50="T")*6+($O50:$U50="D")*12+($O50:$U50="N")*12+($O50:$U50="NT")*6+($O50:$U50="C")*10+($O50:$U50="A")*8+($O50:$U50="J")*5+($O50:$U50="CEP")*4+($O50:$U50="CP")*6+($O50:$U50="CRO")*6+($O50:$U50="M+")*6+($O50:$U50="T+")*6+($O50:$U50="D+")*12+($O50:$U50="N+")*12+($O50:$U50="Dm+")*12+($O50:$U50="Dt+")*12+($O50:$U50="Tm-")*6+($O50:$U50="Mt-")*6)</f>
        <v/>
      </c>
      <c r="AW50" s="118">
        <f>AV50-MAX(0,IFERROR(INDEX(CADASTRO!$I$4:$I$80,MATCH($A50,CADASTRO!$A$4:$A$80,0)),$B50)-CONFIG!$B$50*(COUNTIF($O50:$U50,"AB")+COUNTIF($O50:$U50,"FE")+COUNTIF($O50:$U50,"LM")))</f>
        <v/>
      </c>
      <c r="AX50" s="117">
        <f>SUMPRODUCT(($V50:$AB50="M")*6+($V50:$AB50="T")*6+($V50:$AB50="D")*12+($V50:$AB50="N")*12+($V50:$AB50="NT")*6+($V50:$AB50="C")*10+($V50:$AB50="A")*8+($V50:$AB50="J")*5+($V50:$AB50="CEP")*4+($V50:$AB50="CP")*6+($V50:$AB50="CRO")*6+($V50:$AB50="M+")*6+($V50:$AB50="T+")*6+($V50:$AB50="D+")*12+($V50:$AB50="N+")*12+($V50:$AB50="Dm+")*12+($V50:$AB50="Dt+")*12+($V50:$AB50="Tm-")*6+($V50:$AB50="Mt-")*6)</f>
        <v/>
      </c>
      <c r="AY50" s="118">
        <f>AX50-MAX(0,IFERROR(INDEX(CADASTRO!$I$4:$I$80,MATCH($A50,CADASTRO!$A$4:$A$80,0)),$B50)-CONFIG!$B$50*(COUNTIF($V50:$AB50,"AB")+COUNTIF($V50:$AB50,"FE")+COUNTIF($V50:$AB50,"LM")))</f>
        <v/>
      </c>
      <c r="AZ50" s="117">
        <f>SUMPRODUCT(($AC50:$AI50="M")*6+($AC50:$AI50="T")*6+($AC50:$AI50="D")*12+($AC50:$AI50="N")*12+($AC50:$AI50="NT")*6+($AC50:$AI50="C")*10+($AC50:$AI50="A")*8+($AC50:$AI50="J")*5+($AC50:$AI50="CEP")*4+($AC50:$AI50="CP")*6+($AC50:$AI50="CRO")*6+($AC50:$AI50="M+")*6+($AC50:$AI50="T+")*6+($AC50:$AI50="D+")*12+($AC50:$AI50="N+")*12+($AC50:$AI50="Dm+")*12+($AC50:$AI50="Dt+")*12+($AC50:$AI50="Tm-")*6+($AC50:$AI50="Mt-")*6)</f>
        <v/>
      </c>
      <c r="BA50" s="118">
        <f>AZ50-MAX(0,IFERROR(INDEX(CADASTRO!$I$4:$I$80,MATCH($A50,CADASTRO!$A$4:$A$80,0)),$B50)-CONFIG!$B$50*(COUNTIF($AC50:$AI50,"AB")+COUNTIF($AC50:$AI50,"FE")+COUNTIF($AC50:$AI50,"LM")))</f>
        <v/>
      </c>
      <c r="BB50" s="117">
        <f>SUMPRODUCT(($AJ50:$AM50="M")*6+($AJ50:$AM50="T")*6+($AJ50:$AM50="D")*12+($AJ50:$AM50="N")*12+($AJ50:$AM50="NT")*6+($AJ50:$AM50="C")*10+($AJ50:$AM50="A")*8+($AJ50:$AM50="J")*5+($AJ50:$AM50="CEP")*4+($AJ50:$AM50="CP")*6+($AJ50:$AM50="CRO")*6+($AJ50:$AM50="M+")*6+($AJ50:$AM50="T+")*6+($AJ50:$AM50="D+")*12+($AJ50:$AM50="N+")*12+($AJ50:$AM50="Dm+")*12+($AJ50:$AM50="Dt+")*12+($AJ50:$AM50="Tm-")*6+($AJ50:$AM50="Mt-")*6)+SUMPRODUCT(($AN50:$AP50="M")*6+($AN50:$AP50="T")*6+($AN50:$AP50="D")*12+($AN50:$AP50="N")*12+($AN50:$AP50="NT")*6+($AN50:$AP50="C")*10+($AN50:$AP50="A")*8+($AN50:$AP50="J")*5+($AN50:$AP50="CEP")*4+($AN50:$AP50="CP")*6+($AN50:$AP50="CRO")*6+($AN50:$AP50="M+")*6+($AN50:$AP50="T+")*6+($AN50:$AP50="D+")*12+($AN50:$AP50="N+")*12+($AN50:$AP50="Dm+")*12+($AN50:$AP50="Dt+")*12+($AN50:$AP50="Tm-")*6+($AN50:$AP50="Mt-")*6)</f>
        <v/>
      </c>
      <c r="BC50" s="118">
        <f>BB50-MAX(0,IFERROR(INDEX(CADASTRO!$I$4:$I$80,MATCH($A50,CADASTRO!$A$4:$A$80,0)),$B50)-CONFIG!$B$50*(COUNTIF($AJ50:$AM50,"AB")+COUNTIF($AJ50:$AM50,"FE")+COUNTIF($AJ50:$AM50,"LM")+COUNTIF($AN50:$AP50,"AB")+COUNTIF($AN50:$AP50,"FE")+COUNTIF($AN50:$AP50,"LM")))</f>
        <v/>
      </c>
      <c r="BD50" s="117" t="n"/>
      <c r="BE50" s="118" t="n"/>
      <c r="BF50" s="117">
        <f>SUMPRODUCT(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G50" s="117">
        <f>SUMPRODUCT($I$4:$AM$4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H50" s="117">
        <f>SUMPRODUCT($I$5:$AM$5,(($I50:$AM50="N")+($I50:$AM50="N+")))</f>
        <v/>
      </c>
      <c r="BI50" s="117">
        <f>SUMPRODUCT($I$6:$AM$6,($I50:$AM50="M")*6+($I50:$AM50="T")*6+($I50:$AM50="D")*12+($I50:$AM50="N")*12+($I50:$AM50="NT")*6+($I50:$AM50="C")*10+($I50:$AM50="A")*8+($I50:$AM50="J")*5+($I50:$AM50="CEP")*4+($I50:$AM50="CP")*6+($I50:$AM50="CRO")*6+($I50:$AM50="M+")*6+($I50:$AM50="T+")*6+($I50:$AM50="D+")*12+($I50:$AM50="N+")*12+($I50:$AM50="Dm+")*12+($I50:$AM50="Dt+")*12+($I50:$AM50="Tm-")*6+($I50:$AM50="Mt-")*6)</f>
        <v/>
      </c>
      <c r="BJ50" s="117">
        <f>ROUND(B50*4.43,0)</f>
        <v/>
      </c>
      <c r="BK50" s="119">
        <f>BF50-BJ50</f>
        <v/>
      </c>
      <c r="BL50" s="120">
        <f>SUMPRODUCT((($C50:$AL50="N")+($C50:$AL50="N+"))*(($D50:$AM50="M")+($D50:$AM50="D")+($D50:$AM50="C")+($D50:$AM50="CEP")+($D50:$AM50="M+")+($D50:$AM50="D+")+($D50:$AM50="Dm+")+($D50:$AM50="Dt+")+($D50:$AM50="Mt-")))</f>
        <v/>
      </c>
      <c r="BM50" s="120">
        <f>SUMPRODUCT((($C50:$AL50="N")+($C50:$AL50="N+"))*(($D50:$AM50="T")+($D50:$AM50="T+")+($D50:$AM50="Tm-")))</f>
        <v/>
      </c>
      <c r="BN50" s="120">
        <f>IFERROR(INDEX(CONFIG!$B$44:$D$46,MATCH($B50,CONFIG!$A$44:$A$46,0),IF(COUNTIF($I50:$AM50,"FE")&gt;=10,1,IF(COUNTIF($I50:$AM50,"FE")&gt;=1,2,3))),"")</f>
        <v/>
      </c>
      <c r="BO50" s="120">
        <f>IF(BN50="","",MAX(0,BG50-BN50*CONFIG!$E$44))</f>
        <v/>
      </c>
      <c r="BP50" s="120">
        <f>MAX(AT50,AV50,AX50,AZ50,BB50,BD50)</f>
        <v/>
      </c>
      <c r="BQ50" s="121" t="inlineStr">
        <is>
          <t>3 · staff</t>
        </is>
      </c>
      <c r="BR50" s="122" t="n">
        <v>7</v>
      </c>
      <c r="BS50" s="39" t="n"/>
    </row>
    <row r="51">
      <c r="A51" s="89" t="inlineStr">
        <is>
          <t>Jaqueline</t>
        </is>
      </c>
      <c r="B51" s="107" t="n">
        <v>24</v>
      </c>
      <c r="C51" s="100" t="n"/>
      <c r="D51" s="100" t="n"/>
      <c r="E51" s="100" t="n"/>
      <c r="F51" s="100" t="n"/>
      <c r="G51" s="100" t="n"/>
      <c r="H51" s="136">
        <f>IFERROR(INDEX(NOV!AL$8:AL$73,MATCH($A51,NOV!$A$8:$A$73,0))&amp;"","")</f>
        <v/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  <c r="AJ51" s="114" t="n"/>
      <c r="AK51" s="114" t="n"/>
      <c r="AL51" s="114" t="n"/>
      <c r="AM51" s="114" t="n"/>
      <c r="AN51" s="100" t="n"/>
      <c r="AO51" s="100" t="n"/>
      <c r="AP51" s="100" t="n"/>
      <c r="AQ51" s="100" t="n"/>
      <c r="AR51" s="100" t="n"/>
      <c r="AS51" s="100" t="n"/>
      <c r="AT51" s="117">
        <f>SUMPRODUCT(($H51:$N51="M")*6+($H51:$N51="T")*6+($H51:$N51="D")*12+($H51:$N51="N")*12+($H51:$N51="NT")*6+($H51:$N51="C")*10+($H51:$N51="A")*8+($H51:$N51="J")*5+($H51:$N51="CEP")*4+($H51:$N51="CP")*6+($H51:$N51="CRO")*6+($H51:$N51="M+")*6+($H51:$N51="T+")*6+($H51:$N51="D+")*12+($H51:$N51="N+")*12+($H51:$N51="Dm+")*12+($H51:$N51="Dt+")*12+($H51:$N51="Tm-")*6+($H51:$N51="Mt-")*6)</f>
        <v/>
      </c>
      <c r="AU51" s="118">
        <f>AT51-MAX(0,IFERROR(INDEX(CADASTRO!$I$4:$I$80,MATCH($A51,CADASTRO!$A$4:$A$80,0)),$B51)-CONFIG!$B$50*(COUNTIF($H51:$N51,"AB")+COUNTIF($H51:$N51,"FE")+COUNTIF($H51:$N51,"LM")))</f>
        <v/>
      </c>
      <c r="AV51" s="117">
        <f>SUMPRODUCT(($O51:$U51="M")*6+($O51:$U51="T")*6+($O51:$U51="D")*12+($O51:$U51="N")*12+($O51:$U51="NT")*6+($O51:$U51="C")*10+($O51:$U51="A")*8+($O51:$U51="J")*5+($O51:$U51="CEP")*4+($O51:$U51="CP")*6+($O51:$U51="CRO")*6+($O51:$U51="M+")*6+($O51:$U51="T+")*6+($O51:$U51="D+")*12+($O51:$U51="N+")*12+($O51:$U51="Dm+")*12+($O51:$U51="Dt+")*12+($O51:$U51="Tm-")*6+($O51:$U51="Mt-")*6)</f>
        <v/>
      </c>
      <c r="AW51" s="118">
        <f>AV51-MAX(0,IFERROR(INDEX(CADASTRO!$I$4:$I$80,MATCH($A51,CADASTRO!$A$4:$A$80,0)),$B51)-CONFIG!$B$50*(COUNTIF($O51:$U51,"AB")+COUNTIF($O51:$U51,"FE")+COUNTIF($O51:$U51,"LM")))</f>
        <v/>
      </c>
      <c r="AX51" s="117">
        <f>SUMPRODUCT(($V51:$AB51="M")*6+($V51:$AB51="T")*6+($V51:$AB51="D")*12+($V51:$AB51="N")*12+($V51:$AB51="NT")*6+($V51:$AB51="C")*10+($V51:$AB51="A")*8+($V51:$AB51="J")*5+($V51:$AB51="CEP")*4+($V51:$AB51="CP")*6+($V51:$AB51="CRO")*6+($V51:$AB51="M+")*6+($V51:$AB51="T+")*6+($V51:$AB51="D+")*12+($V51:$AB51="N+")*12+($V51:$AB51="Dm+")*12+($V51:$AB51="Dt+")*12+($V51:$AB51="Tm-")*6+($V51:$AB51="Mt-")*6)</f>
        <v/>
      </c>
      <c r="AY51" s="118">
        <f>AX51-MAX(0,IFERROR(INDEX(CADASTRO!$I$4:$I$80,MATCH($A51,CADASTRO!$A$4:$A$80,0)),$B51)-CONFIG!$B$50*(COUNTIF($V51:$AB51,"AB")+COUNTIF($V51:$AB51,"FE")+COUNTIF($V51:$AB51,"LM")))</f>
        <v/>
      </c>
      <c r="AZ51" s="117">
        <f>SUMPRODUCT(($AC51:$AI51="M")*6+($AC51:$AI51="T")*6+($AC51:$AI51="D")*12+($AC51:$AI51="N")*12+($AC51:$AI51="NT")*6+($AC51:$AI51="C")*10+($AC51:$AI51="A")*8+($AC51:$AI51="J")*5+($AC51:$AI51="CEP")*4+($AC51:$AI51="CP")*6+($AC51:$AI51="CRO")*6+($AC51:$AI51="M+")*6+($AC51:$AI51="T+")*6+($AC51:$AI51="D+")*12+($AC51:$AI51="N+")*12+($AC51:$AI51="Dm+")*12+($AC51:$AI51="Dt+")*12+($AC51:$AI51="Tm-")*6+($AC51:$AI51="Mt-")*6)</f>
        <v/>
      </c>
      <c r="BA51" s="118">
        <f>AZ51-MAX(0,IFERROR(INDEX(CADASTRO!$I$4:$I$80,MATCH($A51,CADASTRO!$A$4:$A$80,0)),$B51)-CONFIG!$B$50*(COUNTIF($AC51:$AI51,"AB")+COUNTIF($AC51:$AI51,"FE")+COUNTIF($AC51:$AI51,"LM")))</f>
        <v/>
      </c>
      <c r="BB51" s="117">
        <f>SUMPRODUCT(($AJ51:$AM51="M")*6+($AJ51:$AM51="T")*6+($AJ51:$AM51="D")*12+($AJ51:$AM51="N")*12+($AJ51:$AM51="NT")*6+($AJ51:$AM51="C")*10+($AJ51:$AM51="A")*8+($AJ51:$AM51="J")*5+($AJ51:$AM51="CEP")*4+($AJ51:$AM51="CP")*6+($AJ51:$AM51="CRO")*6+($AJ51:$AM51="M+")*6+($AJ51:$AM51="T+")*6+($AJ51:$AM51="D+")*12+($AJ51:$AM51="N+")*12+($AJ51:$AM51="Dm+")*12+($AJ51:$AM51="Dt+")*12+($AJ51:$AM51="Tm-")*6+($AJ51:$AM51="Mt-")*6)+SUMPRODUCT(($AN51:$AP51="M")*6+($AN51:$AP51="T")*6+($AN51:$AP51="D")*12+($AN51:$AP51="N")*12+($AN51:$AP51="NT")*6+($AN51:$AP51="C")*10+($AN51:$AP51="A")*8+($AN51:$AP51="J")*5+($AN51:$AP51="CEP")*4+($AN51:$AP51="CP")*6+($AN51:$AP51="CRO")*6+($AN51:$AP51="M+")*6+($AN51:$AP51="T+")*6+($AN51:$AP51="D+")*12+($AN51:$AP51="N+")*12+($AN51:$AP51="Dm+")*12+($AN51:$AP51="Dt+")*12+($AN51:$AP51="Tm-")*6+($AN51:$AP51="Mt-")*6)</f>
        <v/>
      </c>
      <c r="BC51" s="118">
        <f>BB51-MAX(0,IFERROR(INDEX(CADASTRO!$I$4:$I$80,MATCH($A51,CADASTRO!$A$4:$A$80,0)),$B51)-CONFIG!$B$50*(COUNTIF($AJ51:$AM51,"AB")+COUNTIF($AJ51:$AM51,"FE")+COUNTIF($AJ51:$AM51,"LM")+COUNTIF($AN51:$AP51,"AB")+COUNTIF($AN51:$AP51,"FE")+COUNTIF($AN51:$AP51,"LM")))</f>
        <v/>
      </c>
      <c r="BD51" s="117" t="n"/>
      <c r="BE51" s="118" t="n"/>
      <c r="BF51" s="117">
        <f>SUMPRODUCT(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G51" s="117">
        <f>SUMPRODUCT($I$4:$AM$4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H51" s="117">
        <f>SUMPRODUCT($I$5:$AM$5,(($I51:$AM51="N")+($I51:$AM51="N+")))</f>
        <v/>
      </c>
      <c r="BI51" s="117">
        <f>SUMPRODUCT($I$6:$AM$6,($I51:$AM51="M")*6+($I51:$AM51="T")*6+($I51:$AM51="D")*12+($I51:$AM51="N")*12+($I51:$AM51="NT")*6+($I51:$AM51="C")*10+($I51:$AM51="A")*8+($I51:$AM51="J")*5+($I51:$AM51="CEP")*4+($I51:$AM51="CP")*6+($I51:$AM51="CRO")*6+($I51:$AM51="M+")*6+($I51:$AM51="T+")*6+($I51:$AM51="D+")*12+($I51:$AM51="N+")*12+($I51:$AM51="Dm+")*12+($I51:$AM51="Dt+")*12+($I51:$AM51="Tm-")*6+($I51:$AM51="Mt-")*6)</f>
        <v/>
      </c>
      <c r="BJ51" s="117">
        <f>ROUND(B51*4.43,0)</f>
        <v/>
      </c>
      <c r="BK51" s="119">
        <f>BF51-BJ51</f>
        <v/>
      </c>
      <c r="BL51" s="120">
        <f>SUMPRODUCT((($C51:$AL51="N")+($C51:$AL51="N+"))*(($D51:$AM51="M")+($D51:$AM51="D")+($D51:$AM51="C")+($D51:$AM51="CEP")+($D51:$AM51="M+")+($D51:$AM51="D+")+($D51:$AM51="Dm+")+($D51:$AM51="Dt+")+($D51:$AM51="Mt-")))</f>
        <v/>
      </c>
      <c r="BM51" s="120">
        <f>SUMPRODUCT((($C51:$AL51="N")+($C51:$AL51="N+"))*(($D51:$AM51="T")+($D51:$AM51="T+")+($D51:$AM51="Tm-")))</f>
        <v/>
      </c>
      <c r="BN51" s="120">
        <f>IFERROR(INDEX(CONFIG!$B$44:$D$46,MATCH($B51,CONFIG!$A$44:$A$46,0),IF(COUNTIF($I51:$AM51,"FE")&gt;=10,1,IF(COUNTIF($I51:$AM51,"FE")&gt;=1,2,3))),"")</f>
        <v/>
      </c>
      <c r="BO51" s="120">
        <f>IF(BN51="","",MAX(0,BG51-BN51*CONFIG!$E$44))</f>
        <v/>
      </c>
      <c r="BP51" s="120">
        <f>MAX(AT51,AV51,AX51,AZ51,BB51,BD51)</f>
        <v/>
      </c>
      <c r="BQ51" s="121" t="inlineStr">
        <is>
          <t>3 · staff</t>
        </is>
      </c>
      <c r="BR51" s="122" t="n">
        <v>7</v>
      </c>
      <c r="BS51" s="39" t="n"/>
    </row>
    <row r="52">
      <c r="A52" s="89" t="inlineStr">
        <is>
          <t>Joaquim</t>
        </is>
      </c>
      <c r="B52" s="107" t="n">
        <v>24</v>
      </c>
      <c r="C52" s="100" t="n"/>
      <c r="D52" s="100" t="n"/>
      <c r="E52" s="100" t="n"/>
      <c r="F52" s="100" t="n"/>
      <c r="G52" s="100" t="n"/>
      <c r="H52" s="136">
        <f>IFERROR(INDEX(NOV!AL$8:AL$73,MATCH($A52,NOV!$A$8:$A$73,0))&amp;"","")</f>
        <v/>
      </c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4" t="n"/>
      <c r="AF52" s="114" t="n"/>
      <c r="AG52" s="114" t="n"/>
      <c r="AH52" s="114" t="n"/>
      <c r="AI52" s="114" t="n"/>
      <c r="AJ52" s="114" t="n"/>
      <c r="AK52" s="114" t="n"/>
      <c r="AL52" s="114" t="n"/>
      <c r="AM52" s="114" t="n"/>
      <c r="AN52" s="100" t="n"/>
      <c r="AO52" s="100" t="n"/>
      <c r="AP52" s="100" t="n"/>
      <c r="AQ52" s="100" t="n"/>
      <c r="AR52" s="100" t="n"/>
      <c r="AS52" s="100" t="n"/>
      <c r="AT52" s="117">
        <f>SUMPRODUCT(($H52:$N52="M")*6+($H52:$N52="T")*6+($H52:$N52="D")*12+($H52:$N52="N")*12+($H52:$N52="NT")*6+($H52:$N52="C")*10+($H52:$N52="A")*8+($H52:$N52="J")*5+($H52:$N52="CEP")*4+($H52:$N52="CP")*6+($H52:$N52="CRO")*6+($H52:$N52="M+")*6+($H52:$N52="T+")*6+($H52:$N52="D+")*12+($H52:$N52="N+")*12+($H52:$N52="Dm+")*12+($H52:$N52="Dt+")*12+($H52:$N52="Tm-")*6+($H52:$N52="Mt-")*6)</f>
        <v/>
      </c>
      <c r="AU52" s="118">
        <f>AT52-MAX(0,IFERROR(INDEX(CADASTRO!$I$4:$I$80,MATCH($A52,CADASTRO!$A$4:$A$80,0)),$B52)-CONFIG!$B$50*(COUNTIF($H52:$N52,"AB")+COUNTIF($H52:$N52,"FE")+COUNTIF($H52:$N52,"LM")))</f>
        <v/>
      </c>
      <c r="AV52" s="117">
        <f>SUMPRODUCT(($O52:$U52="M")*6+($O52:$U52="T")*6+($O52:$U52="D")*12+($O52:$U52="N")*12+($O52:$U52="NT")*6+($O52:$U52="C")*10+($O52:$U52="A")*8+($O52:$U52="J")*5+($O52:$U52="CEP")*4+($O52:$U52="CP")*6+($O52:$U52="CRO")*6+($O52:$U52="M+")*6+($O52:$U52="T+")*6+($O52:$U52="D+")*12+($O52:$U52="N+")*12+($O52:$U52="Dm+")*12+($O52:$U52="Dt+")*12+($O52:$U52="Tm-")*6+($O52:$U52="Mt-")*6)</f>
        <v/>
      </c>
      <c r="AW52" s="118">
        <f>AV52-MAX(0,IFERROR(INDEX(CADASTRO!$I$4:$I$80,MATCH($A52,CADASTRO!$A$4:$A$80,0)),$B52)-CONFIG!$B$50*(COUNTIF($O52:$U52,"AB")+COUNTIF($O52:$U52,"FE")+COUNTIF($O52:$U52,"LM")))</f>
        <v/>
      </c>
      <c r="AX52" s="117">
        <f>SUMPRODUCT(($V52:$AB52="M")*6+($V52:$AB52="T")*6+($V52:$AB52="D")*12+($V52:$AB52="N")*12+($V52:$AB52="NT")*6+($V52:$AB52="C")*10+($V52:$AB52="A")*8+($V52:$AB52="J")*5+($V52:$AB52="CEP")*4+($V52:$AB52="CP")*6+($V52:$AB52="CRO")*6+($V52:$AB52="M+")*6+($V52:$AB52="T+")*6+($V52:$AB52="D+")*12+($V52:$AB52="N+")*12+($V52:$AB52="Dm+")*12+($V52:$AB52="Dt+")*12+($V52:$AB52="Tm-")*6+($V52:$AB52="Mt-")*6)</f>
        <v/>
      </c>
      <c r="AY52" s="118">
        <f>AX52-MAX(0,IFERROR(INDEX(CADASTRO!$I$4:$I$80,MATCH($A52,CADASTRO!$A$4:$A$80,0)),$B52)-CONFIG!$B$50*(COUNTIF($V52:$AB52,"AB")+COUNTIF($V52:$AB52,"FE")+COUNTIF($V52:$AB52,"LM")))</f>
        <v/>
      </c>
      <c r="AZ52" s="117">
        <f>SUMPRODUCT(($AC52:$AI52="M")*6+($AC52:$AI52="T")*6+($AC52:$AI52="D")*12+($AC52:$AI52="N")*12+($AC52:$AI52="NT")*6+($AC52:$AI52="C")*10+($AC52:$AI52="A")*8+($AC52:$AI52="J")*5+($AC52:$AI52="CEP")*4+($AC52:$AI52="CP")*6+($AC52:$AI52="CRO")*6+($AC52:$AI52="M+")*6+($AC52:$AI52="T+")*6+($AC52:$AI52="D+")*12+($AC52:$AI52="N+")*12+($AC52:$AI52="Dm+")*12+($AC52:$AI52="Dt+")*12+($AC52:$AI52="Tm-")*6+($AC52:$AI52="Mt-")*6)</f>
        <v/>
      </c>
      <c r="BA52" s="118">
        <f>AZ52-MAX(0,IFERROR(INDEX(CADASTRO!$I$4:$I$80,MATCH($A52,CADASTRO!$A$4:$A$80,0)),$B52)-CONFIG!$B$50*(COUNTIF($AC52:$AI52,"AB")+COUNTIF($AC52:$AI52,"FE")+COUNTIF($AC52:$AI52,"LM")))</f>
        <v/>
      </c>
      <c r="BB52" s="117">
        <f>SUMPRODUCT(($AJ52:$AM52="M")*6+($AJ52:$AM52="T")*6+($AJ52:$AM52="D")*12+($AJ52:$AM52="N")*12+($AJ52:$AM52="NT")*6+($AJ52:$AM52="C")*10+($AJ52:$AM52="A")*8+($AJ52:$AM52="J")*5+($AJ52:$AM52="CEP")*4+($AJ52:$AM52="CP")*6+($AJ52:$AM52="CRO")*6+($AJ52:$AM52="M+")*6+($AJ52:$AM52="T+")*6+($AJ52:$AM52="D+")*12+($AJ52:$AM52="N+")*12+($AJ52:$AM52="Dm+")*12+($AJ52:$AM52="Dt+")*12+($AJ52:$AM52="Tm-")*6+($AJ52:$AM52="Mt-")*6)+SUMPRODUCT(($AN52:$AP52="M")*6+($AN52:$AP52="T")*6+($AN52:$AP52="D")*12+($AN52:$AP52="N")*12+($AN52:$AP52="NT")*6+($AN52:$AP52="C")*10+($AN52:$AP52="A")*8+($AN52:$AP52="J")*5+($AN52:$AP52="CEP")*4+($AN52:$AP52="CP")*6+($AN52:$AP52="CRO")*6+($AN52:$AP52="M+")*6+($AN52:$AP52="T+")*6+($AN52:$AP52="D+")*12+($AN52:$AP52="N+")*12+($AN52:$AP52="Dm+")*12+($AN52:$AP52="Dt+")*12+($AN52:$AP52="Tm-")*6+($AN52:$AP52="Mt-")*6)</f>
        <v/>
      </c>
      <c r="BC52" s="118">
        <f>BB52-MAX(0,IFERROR(INDEX(CADASTRO!$I$4:$I$80,MATCH($A52,CADASTRO!$A$4:$A$80,0)),$B52)-CONFIG!$B$50*(COUNTIF($AJ52:$AM52,"AB")+COUNTIF($AJ52:$AM52,"FE")+COUNTIF($AJ52:$AM52,"LM")+COUNTIF($AN52:$AP52,"AB")+COUNTIF($AN52:$AP52,"FE")+COUNTIF($AN52:$AP52,"LM")))</f>
        <v/>
      </c>
      <c r="BD52" s="117" t="n"/>
      <c r="BE52" s="118" t="n"/>
      <c r="BF52" s="117">
        <f>SUMPRODUCT(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G52" s="117">
        <f>SUMPRODUCT($I$4:$AM$4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H52" s="117">
        <f>SUMPRODUCT($I$5:$AM$5,(($I52:$AM52="N")+($I52:$AM52="N+")))</f>
        <v/>
      </c>
      <c r="BI52" s="117">
        <f>SUMPRODUCT($I$6:$AM$6,($I52:$AM52="M")*6+($I52:$AM52="T")*6+($I52:$AM52="D")*12+($I52:$AM52="N")*12+($I52:$AM52="NT")*6+($I52:$AM52="C")*10+($I52:$AM52="A")*8+($I52:$AM52="J")*5+($I52:$AM52="CEP")*4+($I52:$AM52="CP")*6+($I52:$AM52="CRO")*6+($I52:$AM52="M+")*6+($I52:$AM52="T+")*6+($I52:$AM52="D+")*12+($I52:$AM52="N+")*12+($I52:$AM52="Dm+")*12+($I52:$AM52="Dt+")*12+($I52:$AM52="Tm-")*6+($I52:$AM52="Mt-")*6)</f>
        <v/>
      </c>
      <c r="BJ52" s="117">
        <f>ROUND(B52*4.43,0)</f>
        <v/>
      </c>
      <c r="BK52" s="119">
        <f>BF52-BJ52</f>
        <v/>
      </c>
      <c r="BL52" s="120">
        <f>SUMPRODUCT((($C52:$AL52="N")+($C52:$AL52="N+"))*(($D52:$AM52="M")+($D52:$AM52="D")+($D52:$AM52="C")+($D52:$AM52="CEP")+($D52:$AM52="M+")+($D52:$AM52="D+")+($D52:$AM52="Dm+")+($D52:$AM52="Dt+")+($D52:$AM52="Mt-")))</f>
        <v/>
      </c>
      <c r="BM52" s="120">
        <f>SUMPRODUCT((($C52:$AL52="N")+($C52:$AL52="N+"))*(($D52:$AM52="T")+($D52:$AM52="T+")+($D52:$AM52="Tm-")))</f>
        <v/>
      </c>
      <c r="BN52" s="120">
        <f>IFERROR(INDEX(CONFIG!$B$44:$D$46,MATCH($B52,CONFIG!$A$44:$A$46,0),IF(COUNTIF($I52:$AM52,"FE")&gt;=10,1,IF(COUNTIF($I52:$AM52,"FE")&gt;=1,2,3))),"")</f>
        <v/>
      </c>
      <c r="BO52" s="120">
        <f>IF(BN52="","",MAX(0,BG52-BN52*CONFIG!$E$44))</f>
        <v/>
      </c>
      <c r="BP52" s="120">
        <f>MAX(AT52,AV52,AX52,AZ52,BB52,BD52)</f>
        <v/>
      </c>
      <c r="BQ52" s="121" t="inlineStr">
        <is>
          <t>3 · staff</t>
        </is>
      </c>
      <c r="BR52" s="122" t="n">
        <v>7</v>
      </c>
      <c r="BS52" s="39" t="n"/>
    </row>
    <row r="53">
      <c r="A53" s="89" t="inlineStr">
        <is>
          <t>JuliaFig</t>
        </is>
      </c>
      <c r="B53" s="107" t="n">
        <v>24</v>
      </c>
      <c r="C53" s="100" t="n"/>
      <c r="D53" s="100" t="n"/>
      <c r="E53" s="100" t="n"/>
      <c r="F53" s="100" t="n"/>
      <c r="G53" s="100" t="n"/>
      <c r="H53" s="136">
        <f>IFERROR(INDEX(NOV!AL$8:AL$73,MATCH($A53,NOV!$A$8:$A$73,0))&amp;"","")</f>
        <v/>
      </c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14" t="n"/>
      <c r="AF53" s="114" t="n"/>
      <c r="AG53" s="114" t="n"/>
      <c r="AH53" s="114" t="n"/>
      <c r="AI53" s="114" t="n"/>
      <c r="AJ53" s="114" t="n"/>
      <c r="AK53" s="114" t="n"/>
      <c r="AL53" s="114" t="n"/>
      <c r="AM53" s="114" t="n"/>
      <c r="AN53" s="100" t="n"/>
      <c r="AO53" s="100" t="n"/>
      <c r="AP53" s="100" t="n"/>
      <c r="AQ53" s="100" t="n"/>
      <c r="AR53" s="100" t="n"/>
      <c r="AS53" s="100" t="n"/>
      <c r="AT53" s="117">
        <f>SUMPRODUCT(($H53:$N53="M")*6+($H53:$N53="T")*6+($H53:$N53="D")*12+($H53:$N53="N")*12+($H53:$N53="NT")*6+($H53:$N53="C")*10+($H53:$N53="A")*8+($H53:$N53="J")*5+($H53:$N53="CEP")*4+($H53:$N53="CP")*6+($H53:$N53="CRO")*6+($H53:$N53="M+")*6+($H53:$N53="T+")*6+($H53:$N53="D+")*12+($H53:$N53="N+")*12+($H53:$N53="Dm+")*12+($H53:$N53="Dt+")*12+($H53:$N53="Tm-")*6+($H53:$N53="Mt-")*6)</f>
        <v/>
      </c>
      <c r="AU53" s="118">
        <f>AT53-MAX(0,IFERROR(INDEX(CADASTRO!$I$4:$I$80,MATCH($A53,CADASTRO!$A$4:$A$80,0)),$B53)-CONFIG!$B$50*(COUNTIF($H53:$N53,"AB")+COUNTIF($H53:$N53,"FE")+COUNTIF($H53:$N53,"LM")))</f>
        <v/>
      </c>
      <c r="AV53" s="117">
        <f>SUMPRODUCT(($O53:$U53="M")*6+($O53:$U53="T")*6+($O53:$U53="D")*12+($O53:$U53="N")*12+($O53:$U53="NT")*6+($O53:$U53="C")*10+($O53:$U53="A")*8+($O53:$U53="J")*5+($O53:$U53="CEP")*4+($O53:$U53="CP")*6+($O53:$U53="CRO")*6+($O53:$U53="M+")*6+($O53:$U53="T+")*6+($O53:$U53="D+")*12+($O53:$U53="N+")*12+($O53:$U53="Dm+")*12+($O53:$U53="Dt+")*12+($O53:$U53="Tm-")*6+($O53:$U53="Mt-")*6)</f>
        <v/>
      </c>
      <c r="AW53" s="118">
        <f>AV53-MAX(0,IFERROR(INDEX(CADASTRO!$I$4:$I$80,MATCH($A53,CADASTRO!$A$4:$A$80,0)),$B53)-CONFIG!$B$50*(COUNTIF($O53:$U53,"AB")+COUNTIF($O53:$U53,"FE")+COUNTIF($O53:$U53,"LM")))</f>
        <v/>
      </c>
      <c r="AX53" s="117">
        <f>SUMPRODUCT(($V53:$AB53="M")*6+($V53:$AB53="T")*6+($V53:$AB53="D")*12+($V53:$AB53="N")*12+($V53:$AB53="NT")*6+($V53:$AB53="C")*10+($V53:$AB53="A")*8+($V53:$AB53="J")*5+($V53:$AB53="CEP")*4+($V53:$AB53="CP")*6+($V53:$AB53="CRO")*6+($V53:$AB53="M+")*6+($V53:$AB53="T+")*6+($V53:$AB53="D+")*12+($V53:$AB53="N+")*12+($V53:$AB53="Dm+")*12+($V53:$AB53="Dt+")*12+($V53:$AB53="Tm-")*6+($V53:$AB53="Mt-")*6)</f>
        <v/>
      </c>
      <c r="AY53" s="118">
        <f>AX53-MAX(0,IFERROR(INDEX(CADASTRO!$I$4:$I$80,MATCH($A53,CADASTRO!$A$4:$A$80,0)),$B53)-CONFIG!$B$50*(COUNTIF($V53:$AB53,"AB")+COUNTIF($V53:$AB53,"FE")+COUNTIF($V53:$AB53,"LM")))</f>
        <v/>
      </c>
      <c r="AZ53" s="117">
        <f>SUMPRODUCT(($AC53:$AI53="M")*6+($AC53:$AI53="T")*6+($AC53:$AI53="D")*12+($AC53:$AI53="N")*12+($AC53:$AI53="NT")*6+($AC53:$AI53="C")*10+($AC53:$AI53="A")*8+($AC53:$AI53="J")*5+($AC53:$AI53="CEP")*4+($AC53:$AI53="CP")*6+($AC53:$AI53="CRO")*6+($AC53:$AI53="M+")*6+($AC53:$AI53="T+")*6+($AC53:$AI53="D+")*12+($AC53:$AI53="N+")*12+($AC53:$AI53="Dm+")*12+($AC53:$AI53="Dt+")*12+($AC53:$AI53="Tm-")*6+($AC53:$AI53="Mt-")*6)</f>
        <v/>
      </c>
      <c r="BA53" s="118">
        <f>AZ53-MAX(0,IFERROR(INDEX(CADASTRO!$I$4:$I$80,MATCH($A53,CADASTRO!$A$4:$A$80,0)),$B53)-CONFIG!$B$50*(COUNTIF($AC53:$AI53,"AB")+COUNTIF($AC53:$AI53,"FE")+COUNTIF($AC53:$AI53,"LM")))</f>
        <v/>
      </c>
      <c r="BB53" s="117">
        <f>SUMPRODUCT(($AJ53:$AM53="M")*6+($AJ53:$AM53="T")*6+($AJ53:$AM53="D")*12+($AJ53:$AM53="N")*12+($AJ53:$AM53="NT")*6+($AJ53:$AM53="C")*10+($AJ53:$AM53="A")*8+($AJ53:$AM53="J")*5+($AJ53:$AM53="CEP")*4+($AJ53:$AM53="CP")*6+($AJ53:$AM53="CRO")*6+($AJ53:$AM53="M+")*6+($AJ53:$AM53="T+")*6+($AJ53:$AM53="D+")*12+($AJ53:$AM53="N+")*12+($AJ53:$AM53="Dm+")*12+($AJ53:$AM53="Dt+")*12+($AJ53:$AM53="Tm-")*6+($AJ53:$AM53="Mt-")*6)+SUMPRODUCT(($AN53:$AP53="M")*6+($AN53:$AP53="T")*6+($AN53:$AP53="D")*12+($AN53:$AP53="N")*12+($AN53:$AP53="NT")*6+($AN53:$AP53="C")*10+($AN53:$AP53="A")*8+($AN53:$AP53="J")*5+($AN53:$AP53="CEP")*4+($AN53:$AP53="CP")*6+($AN53:$AP53="CRO")*6+($AN53:$AP53="M+")*6+($AN53:$AP53="T+")*6+($AN53:$AP53="D+")*12+($AN53:$AP53="N+")*12+($AN53:$AP53="Dm+")*12+($AN53:$AP53="Dt+")*12+($AN53:$AP53="Tm-")*6+($AN53:$AP53="Mt-")*6)</f>
        <v/>
      </c>
      <c r="BC53" s="118">
        <f>BB53-MAX(0,IFERROR(INDEX(CADASTRO!$I$4:$I$80,MATCH($A53,CADASTRO!$A$4:$A$80,0)),$B53)-CONFIG!$B$50*(COUNTIF($AJ53:$AM53,"AB")+COUNTIF($AJ53:$AM53,"FE")+COUNTIF($AJ53:$AM53,"LM")+COUNTIF($AN53:$AP53,"AB")+COUNTIF($AN53:$AP53,"FE")+COUNTIF($AN53:$AP53,"LM")))</f>
        <v/>
      </c>
      <c r="BD53" s="117" t="n"/>
      <c r="BE53" s="118" t="n"/>
      <c r="BF53" s="117">
        <f>SUMPRODUCT(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G53" s="117">
        <f>SUMPRODUCT($I$4:$AM$4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H53" s="117">
        <f>SUMPRODUCT($I$5:$AM$5,(($I53:$AM53="N")+($I53:$AM53="N+")))</f>
        <v/>
      </c>
      <c r="BI53" s="117">
        <f>SUMPRODUCT($I$6:$AM$6,($I53:$AM53="M")*6+($I53:$AM53="T")*6+($I53:$AM53="D")*12+($I53:$AM53="N")*12+($I53:$AM53="NT")*6+($I53:$AM53="C")*10+($I53:$AM53="A")*8+($I53:$AM53="J")*5+($I53:$AM53="CEP")*4+($I53:$AM53="CP")*6+($I53:$AM53="CRO")*6+($I53:$AM53="M+")*6+($I53:$AM53="T+")*6+($I53:$AM53="D+")*12+($I53:$AM53="N+")*12+($I53:$AM53="Dm+")*12+($I53:$AM53="Dt+")*12+($I53:$AM53="Tm-")*6+($I53:$AM53="Mt-")*6)</f>
        <v/>
      </c>
      <c r="BJ53" s="117">
        <f>ROUND(B53*4.43,0)</f>
        <v/>
      </c>
      <c r="BK53" s="119">
        <f>BF53-BJ53</f>
        <v/>
      </c>
      <c r="BL53" s="120">
        <f>SUMPRODUCT((($C53:$AL53="N")+($C53:$AL53="N+"))*(($D53:$AM53="M")+($D53:$AM53="D")+($D53:$AM53="C")+($D53:$AM53="CEP")+($D53:$AM53="M+")+($D53:$AM53="D+")+($D53:$AM53="Dm+")+($D53:$AM53="Dt+")+($D53:$AM53="Mt-")))</f>
        <v/>
      </c>
      <c r="BM53" s="120">
        <f>SUMPRODUCT((($C53:$AL53="N")+($C53:$AL53="N+"))*(($D53:$AM53="T")+($D53:$AM53="T+")+($D53:$AM53="Tm-")))</f>
        <v/>
      </c>
      <c r="BN53" s="120">
        <f>IFERROR(INDEX(CONFIG!$B$44:$D$46,MATCH($B53,CONFIG!$A$44:$A$46,0),IF(COUNTIF($I53:$AM53,"FE")&gt;=10,1,IF(COUNTIF($I53:$AM53,"FE")&gt;=1,2,3))),"")</f>
        <v/>
      </c>
      <c r="BO53" s="120">
        <f>IF(BN53="","",MAX(0,BG53-BN53*CONFIG!$E$44))</f>
        <v/>
      </c>
      <c r="BP53" s="120">
        <f>MAX(AT53,AV53,AX53,AZ53,BB53,BD53)</f>
        <v/>
      </c>
      <c r="BQ53" s="121" t="inlineStr">
        <is>
          <t>3 · staff</t>
        </is>
      </c>
      <c r="BR53" s="122" t="n">
        <v>7</v>
      </c>
      <c r="BS53" s="39" t="n"/>
    </row>
    <row r="54">
      <c r="A54" s="89" t="inlineStr">
        <is>
          <t>Kozak</t>
        </is>
      </c>
      <c r="B54" s="107" t="n">
        <v>24</v>
      </c>
      <c r="C54" s="100" t="n"/>
      <c r="D54" s="100" t="n"/>
      <c r="E54" s="100" t="n"/>
      <c r="F54" s="100" t="n"/>
      <c r="G54" s="100" t="n"/>
      <c r="H54" s="136">
        <f>IFERROR(INDEX(NOV!AL$8:AL$73,MATCH($A54,NOV!$A$8:$A$73,0))&amp;"","")</f>
        <v/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14" t="n"/>
      <c r="AF54" s="114" t="n"/>
      <c r="AG54" s="114" t="n"/>
      <c r="AH54" s="114" t="n"/>
      <c r="AI54" s="114" t="n"/>
      <c r="AJ54" s="114" t="n"/>
      <c r="AK54" s="114" t="n"/>
      <c r="AL54" s="114" t="n"/>
      <c r="AM54" s="114" t="n"/>
      <c r="AN54" s="100" t="n"/>
      <c r="AO54" s="100" t="n"/>
      <c r="AP54" s="100" t="n"/>
      <c r="AQ54" s="100" t="n"/>
      <c r="AR54" s="100" t="n"/>
      <c r="AS54" s="100" t="n"/>
      <c r="AT54" s="117">
        <f>SUMPRODUCT(($H54:$N54="M")*6+($H54:$N54="T")*6+($H54:$N54="D")*12+($H54:$N54="N")*12+($H54:$N54="NT")*6+($H54:$N54="C")*10+($H54:$N54="A")*8+($H54:$N54="J")*5+($H54:$N54="CEP")*4+($H54:$N54="CP")*6+($H54:$N54="CRO")*6+($H54:$N54="M+")*6+($H54:$N54="T+")*6+($H54:$N54="D+")*12+($H54:$N54="N+")*12+($H54:$N54="Dm+")*12+($H54:$N54="Dt+")*12+($H54:$N54="Tm-")*6+($H54:$N54="Mt-")*6)</f>
        <v/>
      </c>
      <c r="AU54" s="118">
        <f>AT54-MAX(0,IFERROR(INDEX(CADASTRO!$I$4:$I$80,MATCH($A54,CADASTRO!$A$4:$A$80,0)),$B54)-CONFIG!$B$50*(COUNTIF($H54:$N54,"AB")+COUNTIF($H54:$N54,"FE")+COUNTIF($H54:$N54,"LM")))</f>
        <v/>
      </c>
      <c r="AV54" s="117">
        <f>SUMPRODUCT(($O54:$U54="M")*6+($O54:$U54="T")*6+($O54:$U54="D")*12+($O54:$U54="N")*12+($O54:$U54="NT")*6+($O54:$U54="C")*10+($O54:$U54="A")*8+($O54:$U54="J")*5+($O54:$U54="CEP")*4+($O54:$U54="CP")*6+($O54:$U54="CRO")*6+($O54:$U54="M+")*6+($O54:$U54="T+")*6+($O54:$U54="D+")*12+($O54:$U54="N+")*12+($O54:$U54="Dm+")*12+($O54:$U54="Dt+")*12+($O54:$U54="Tm-")*6+($O54:$U54="Mt-")*6)</f>
        <v/>
      </c>
      <c r="AW54" s="118">
        <f>AV54-MAX(0,IFERROR(INDEX(CADASTRO!$I$4:$I$80,MATCH($A54,CADASTRO!$A$4:$A$80,0)),$B54)-CONFIG!$B$50*(COUNTIF($O54:$U54,"AB")+COUNTIF($O54:$U54,"FE")+COUNTIF($O54:$U54,"LM")))</f>
        <v/>
      </c>
      <c r="AX54" s="117">
        <f>SUMPRODUCT(($V54:$AB54="M")*6+($V54:$AB54="T")*6+($V54:$AB54="D")*12+($V54:$AB54="N")*12+($V54:$AB54="NT")*6+($V54:$AB54="C")*10+($V54:$AB54="A")*8+($V54:$AB54="J")*5+($V54:$AB54="CEP")*4+($V54:$AB54="CP")*6+($V54:$AB54="CRO")*6+($V54:$AB54="M+")*6+($V54:$AB54="T+")*6+($V54:$AB54="D+")*12+($V54:$AB54="N+")*12+($V54:$AB54="Dm+")*12+($V54:$AB54="Dt+")*12+($V54:$AB54="Tm-")*6+($V54:$AB54="Mt-")*6)</f>
        <v/>
      </c>
      <c r="AY54" s="118">
        <f>AX54-MAX(0,IFERROR(INDEX(CADASTRO!$I$4:$I$80,MATCH($A54,CADASTRO!$A$4:$A$80,0)),$B54)-CONFIG!$B$50*(COUNTIF($V54:$AB54,"AB")+COUNTIF($V54:$AB54,"FE")+COUNTIF($V54:$AB54,"LM")))</f>
        <v/>
      </c>
      <c r="AZ54" s="117">
        <f>SUMPRODUCT(($AC54:$AI54="M")*6+($AC54:$AI54="T")*6+($AC54:$AI54="D")*12+($AC54:$AI54="N")*12+($AC54:$AI54="NT")*6+($AC54:$AI54="C")*10+($AC54:$AI54="A")*8+($AC54:$AI54="J")*5+($AC54:$AI54="CEP")*4+($AC54:$AI54="CP")*6+($AC54:$AI54="CRO")*6+($AC54:$AI54="M+")*6+($AC54:$AI54="T+")*6+($AC54:$AI54="D+")*12+($AC54:$AI54="N+")*12+($AC54:$AI54="Dm+")*12+($AC54:$AI54="Dt+")*12+($AC54:$AI54="Tm-")*6+($AC54:$AI54="Mt-")*6)</f>
        <v/>
      </c>
      <c r="BA54" s="118">
        <f>AZ54-MAX(0,IFERROR(INDEX(CADASTRO!$I$4:$I$80,MATCH($A54,CADASTRO!$A$4:$A$80,0)),$B54)-CONFIG!$B$50*(COUNTIF($AC54:$AI54,"AB")+COUNTIF($AC54:$AI54,"FE")+COUNTIF($AC54:$AI54,"LM")))</f>
        <v/>
      </c>
      <c r="BB54" s="117">
        <f>SUMPRODUCT(($AJ54:$AM54="M")*6+($AJ54:$AM54="T")*6+($AJ54:$AM54="D")*12+($AJ54:$AM54="N")*12+($AJ54:$AM54="NT")*6+($AJ54:$AM54="C")*10+($AJ54:$AM54="A")*8+($AJ54:$AM54="J")*5+($AJ54:$AM54="CEP")*4+($AJ54:$AM54="CP")*6+($AJ54:$AM54="CRO")*6+($AJ54:$AM54="M+")*6+($AJ54:$AM54="T+")*6+($AJ54:$AM54="D+")*12+($AJ54:$AM54="N+")*12+($AJ54:$AM54="Dm+")*12+($AJ54:$AM54="Dt+")*12+($AJ54:$AM54="Tm-")*6+($AJ54:$AM54="Mt-")*6)+SUMPRODUCT(($AN54:$AP54="M")*6+($AN54:$AP54="T")*6+($AN54:$AP54="D")*12+($AN54:$AP54="N")*12+($AN54:$AP54="NT")*6+($AN54:$AP54="C")*10+($AN54:$AP54="A")*8+($AN54:$AP54="J")*5+($AN54:$AP54="CEP")*4+($AN54:$AP54="CP")*6+($AN54:$AP54="CRO")*6+($AN54:$AP54="M+")*6+($AN54:$AP54="T+")*6+($AN54:$AP54="D+")*12+($AN54:$AP54="N+")*12+($AN54:$AP54="Dm+")*12+($AN54:$AP54="Dt+")*12+($AN54:$AP54="Tm-")*6+($AN54:$AP54="Mt-")*6)</f>
        <v/>
      </c>
      <c r="BC54" s="118">
        <f>BB54-MAX(0,IFERROR(INDEX(CADASTRO!$I$4:$I$80,MATCH($A54,CADASTRO!$A$4:$A$80,0)),$B54)-CONFIG!$B$50*(COUNTIF($AJ54:$AM54,"AB")+COUNTIF($AJ54:$AM54,"FE")+COUNTIF($AJ54:$AM54,"LM")+COUNTIF($AN54:$AP54,"AB")+COUNTIF($AN54:$AP54,"FE")+COUNTIF($AN54:$AP54,"LM")))</f>
        <v/>
      </c>
      <c r="BD54" s="117" t="n"/>
      <c r="BE54" s="118" t="n"/>
      <c r="BF54" s="117">
        <f>SUMPRODUCT(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G54" s="117">
        <f>SUMPRODUCT($I$4:$AM$4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H54" s="117">
        <f>SUMPRODUCT($I$5:$AM$5,(($I54:$AM54="N")+($I54:$AM54="N+")))</f>
        <v/>
      </c>
      <c r="BI54" s="117">
        <f>SUMPRODUCT($I$6:$AM$6,($I54:$AM54="M")*6+($I54:$AM54="T")*6+($I54:$AM54="D")*12+($I54:$AM54="N")*12+($I54:$AM54="NT")*6+($I54:$AM54="C")*10+($I54:$AM54="A")*8+($I54:$AM54="J")*5+($I54:$AM54="CEP")*4+($I54:$AM54="CP")*6+($I54:$AM54="CRO")*6+($I54:$AM54="M+")*6+($I54:$AM54="T+")*6+($I54:$AM54="D+")*12+($I54:$AM54="N+")*12+($I54:$AM54="Dm+")*12+($I54:$AM54="Dt+")*12+($I54:$AM54="Tm-")*6+($I54:$AM54="Mt-")*6)</f>
        <v/>
      </c>
      <c r="BJ54" s="117">
        <f>ROUND(B54*4.43,0)</f>
        <v/>
      </c>
      <c r="BK54" s="119">
        <f>BF54-BJ54</f>
        <v/>
      </c>
      <c r="BL54" s="120">
        <f>SUMPRODUCT((($C54:$AL54="N")+($C54:$AL54="N+"))*(($D54:$AM54="M")+($D54:$AM54="D")+($D54:$AM54="C")+($D54:$AM54="CEP")+($D54:$AM54="M+")+($D54:$AM54="D+")+($D54:$AM54="Dm+")+($D54:$AM54="Dt+")+($D54:$AM54="Mt-")))</f>
        <v/>
      </c>
      <c r="BM54" s="120">
        <f>SUMPRODUCT((($C54:$AL54="N")+($C54:$AL54="N+"))*(($D54:$AM54="T")+($D54:$AM54="T+")+($D54:$AM54="Tm-")))</f>
        <v/>
      </c>
      <c r="BN54" s="120">
        <f>IFERROR(INDEX(CONFIG!$B$44:$D$46,MATCH($B54,CONFIG!$A$44:$A$46,0),IF(COUNTIF($I54:$AM54,"FE")&gt;=10,1,IF(COUNTIF($I54:$AM54,"FE")&gt;=1,2,3))),"")</f>
        <v/>
      </c>
      <c r="BO54" s="120">
        <f>IF(BN54="","",MAX(0,BG54-BN54*CONFIG!$E$44))</f>
        <v/>
      </c>
      <c r="BP54" s="120">
        <f>MAX(AT54,AV54,AX54,AZ54,BB54,BD54)</f>
        <v/>
      </c>
      <c r="BQ54" s="121" t="inlineStr">
        <is>
          <t>3 · staff</t>
        </is>
      </c>
      <c r="BR54" s="122" t="n">
        <v>7</v>
      </c>
      <c r="BS54" s="39" t="n"/>
    </row>
    <row r="55">
      <c r="A55" s="89" t="inlineStr">
        <is>
          <t>Laura</t>
        </is>
      </c>
      <c r="B55" s="107" t="n">
        <v>24</v>
      </c>
      <c r="C55" s="100" t="n"/>
      <c r="D55" s="100" t="n"/>
      <c r="E55" s="100" t="n"/>
      <c r="F55" s="100" t="n"/>
      <c r="G55" s="100" t="n"/>
      <c r="H55" s="136">
        <f>IFERROR(INDEX(NOV!AL$8:AL$73,MATCH($A55,NOV!$A$8:$A$73,0))&amp;"","")</f>
        <v/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14" t="n"/>
      <c r="AF55" s="114" t="n"/>
      <c r="AG55" s="114" t="n"/>
      <c r="AH55" s="114" t="n"/>
      <c r="AI55" s="114" t="n"/>
      <c r="AJ55" s="114" t="n"/>
      <c r="AK55" s="114" t="n"/>
      <c r="AL55" s="114" t="n"/>
      <c r="AM55" s="114" t="n"/>
      <c r="AN55" s="100" t="n"/>
      <c r="AO55" s="100" t="n"/>
      <c r="AP55" s="100" t="n"/>
      <c r="AQ55" s="100" t="n"/>
      <c r="AR55" s="100" t="n"/>
      <c r="AS55" s="100" t="n"/>
      <c r="AT55" s="117">
        <f>SUMPRODUCT(($H55:$N55="M")*6+($H55:$N55="T")*6+($H55:$N55="D")*12+($H55:$N55="N")*12+($H55:$N55="NT")*6+($H55:$N55="C")*10+($H55:$N55="A")*8+($H55:$N55="J")*5+($H55:$N55="CEP")*4+($H55:$N55="CP")*6+($H55:$N55="CRO")*6+($H55:$N55="M+")*6+($H55:$N55="T+")*6+($H55:$N55="D+")*12+($H55:$N55="N+")*12+($H55:$N55="Dm+")*12+($H55:$N55="Dt+")*12+($H55:$N55="Tm-")*6+($H55:$N55="Mt-")*6)</f>
        <v/>
      </c>
      <c r="AU55" s="118">
        <f>AT55-MAX(0,IFERROR(INDEX(CADASTRO!$I$4:$I$80,MATCH($A55,CADASTRO!$A$4:$A$80,0)),$B55)-CONFIG!$B$50*(COUNTIF($H55:$N55,"AB")+COUNTIF($H55:$N55,"FE")+COUNTIF($H55:$N55,"LM")))</f>
        <v/>
      </c>
      <c r="AV55" s="117">
        <f>SUMPRODUCT(($O55:$U55="M")*6+($O55:$U55="T")*6+($O55:$U55="D")*12+($O55:$U55="N")*12+($O55:$U55="NT")*6+($O55:$U55="C")*10+($O55:$U55="A")*8+($O55:$U55="J")*5+($O55:$U55="CEP")*4+($O55:$U55="CP")*6+($O55:$U55="CRO")*6+($O55:$U55="M+")*6+($O55:$U55="T+")*6+($O55:$U55="D+")*12+($O55:$U55="N+")*12+($O55:$U55="Dm+")*12+($O55:$U55="Dt+")*12+($O55:$U55="Tm-")*6+($O55:$U55="Mt-")*6)</f>
        <v/>
      </c>
      <c r="AW55" s="118">
        <f>AV55-MAX(0,IFERROR(INDEX(CADASTRO!$I$4:$I$80,MATCH($A55,CADASTRO!$A$4:$A$80,0)),$B55)-CONFIG!$B$50*(COUNTIF($O55:$U55,"AB")+COUNTIF($O55:$U55,"FE")+COUNTIF($O55:$U55,"LM")))</f>
        <v/>
      </c>
      <c r="AX55" s="117">
        <f>SUMPRODUCT(($V55:$AB55="M")*6+($V55:$AB55="T")*6+($V55:$AB55="D")*12+($V55:$AB55="N")*12+($V55:$AB55="NT")*6+($V55:$AB55="C")*10+($V55:$AB55="A")*8+($V55:$AB55="J")*5+($V55:$AB55="CEP")*4+($V55:$AB55="CP")*6+($V55:$AB55="CRO")*6+($V55:$AB55="M+")*6+($V55:$AB55="T+")*6+($V55:$AB55="D+")*12+($V55:$AB55="N+")*12+($V55:$AB55="Dm+")*12+($V55:$AB55="Dt+")*12+($V55:$AB55="Tm-")*6+($V55:$AB55="Mt-")*6)</f>
        <v/>
      </c>
      <c r="AY55" s="118">
        <f>AX55-MAX(0,IFERROR(INDEX(CADASTRO!$I$4:$I$80,MATCH($A55,CADASTRO!$A$4:$A$80,0)),$B55)-CONFIG!$B$50*(COUNTIF($V55:$AB55,"AB")+COUNTIF($V55:$AB55,"FE")+COUNTIF($V55:$AB55,"LM")))</f>
        <v/>
      </c>
      <c r="AZ55" s="117">
        <f>SUMPRODUCT(($AC55:$AI55="M")*6+($AC55:$AI55="T")*6+($AC55:$AI55="D")*12+($AC55:$AI55="N")*12+($AC55:$AI55="NT")*6+($AC55:$AI55="C")*10+($AC55:$AI55="A")*8+($AC55:$AI55="J")*5+($AC55:$AI55="CEP")*4+($AC55:$AI55="CP")*6+($AC55:$AI55="CRO")*6+($AC55:$AI55="M+")*6+($AC55:$AI55="T+")*6+($AC55:$AI55="D+")*12+($AC55:$AI55="N+")*12+($AC55:$AI55="Dm+")*12+($AC55:$AI55="Dt+")*12+($AC55:$AI55="Tm-")*6+($AC55:$AI55="Mt-")*6)</f>
        <v/>
      </c>
      <c r="BA55" s="118">
        <f>AZ55-MAX(0,IFERROR(INDEX(CADASTRO!$I$4:$I$80,MATCH($A55,CADASTRO!$A$4:$A$80,0)),$B55)-CONFIG!$B$50*(COUNTIF($AC55:$AI55,"AB")+COUNTIF($AC55:$AI55,"FE")+COUNTIF($AC55:$AI55,"LM")))</f>
        <v/>
      </c>
      <c r="BB55" s="117">
        <f>SUMPRODUCT(($AJ55:$AM55="M")*6+($AJ55:$AM55="T")*6+($AJ55:$AM55="D")*12+($AJ55:$AM55="N")*12+($AJ55:$AM55="NT")*6+($AJ55:$AM55="C")*10+($AJ55:$AM55="A")*8+($AJ55:$AM55="J")*5+($AJ55:$AM55="CEP")*4+($AJ55:$AM55="CP")*6+($AJ55:$AM55="CRO")*6+($AJ55:$AM55="M+")*6+($AJ55:$AM55="T+")*6+($AJ55:$AM55="D+")*12+($AJ55:$AM55="N+")*12+($AJ55:$AM55="Dm+")*12+($AJ55:$AM55="Dt+")*12+($AJ55:$AM55="Tm-")*6+($AJ55:$AM55="Mt-")*6)+SUMPRODUCT(($AN55:$AP55="M")*6+($AN55:$AP55="T")*6+($AN55:$AP55="D")*12+($AN55:$AP55="N")*12+($AN55:$AP55="NT")*6+($AN55:$AP55="C")*10+($AN55:$AP55="A")*8+($AN55:$AP55="J")*5+($AN55:$AP55="CEP")*4+($AN55:$AP55="CP")*6+($AN55:$AP55="CRO")*6+($AN55:$AP55="M+")*6+($AN55:$AP55="T+")*6+($AN55:$AP55="D+")*12+($AN55:$AP55="N+")*12+($AN55:$AP55="Dm+")*12+($AN55:$AP55="Dt+")*12+($AN55:$AP55="Tm-")*6+($AN55:$AP55="Mt-")*6)</f>
        <v/>
      </c>
      <c r="BC55" s="118">
        <f>BB55-MAX(0,IFERROR(INDEX(CADASTRO!$I$4:$I$80,MATCH($A55,CADASTRO!$A$4:$A$80,0)),$B55)-CONFIG!$B$50*(COUNTIF($AJ55:$AM55,"AB")+COUNTIF($AJ55:$AM55,"FE")+COUNTIF($AJ55:$AM55,"LM")+COUNTIF($AN55:$AP55,"AB")+COUNTIF($AN55:$AP55,"FE")+COUNTIF($AN55:$AP55,"LM")))</f>
        <v/>
      </c>
      <c r="BD55" s="117" t="n"/>
      <c r="BE55" s="118" t="n"/>
      <c r="BF55" s="117">
        <f>SUMPRODUCT(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G55" s="117">
        <f>SUMPRODUCT($I$4:$AM$4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H55" s="117">
        <f>SUMPRODUCT($I$5:$AM$5,(($I55:$AM55="N")+($I55:$AM55="N+")))</f>
        <v/>
      </c>
      <c r="BI55" s="117">
        <f>SUMPRODUCT($I$6:$AM$6,($I55:$AM55="M")*6+($I55:$AM55="T")*6+($I55:$AM55="D")*12+($I55:$AM55="N")*12+($I55:$AM55="NT")*6+($I55:$AM55="C")*10+($I55:$AM55="A")*8+($I55:$AM55="J")*5+($I55:$AM55="CEP")*4+($I55:$AM55="CP")*6+($I55:$AM55="CRO")*6+($I55:$AM55="M+")*6+($I55:$AM55="T+")*6+($I55:$AM55="D+")*12+($I55:$AM55="N+")*12+($I55:$AM55="Dm+")*12+($I55:$AM55="Dt+")*12+($I55:$AM55="Tm-")*6+($I55:$AM55="Mt-")*6)</f>
        <v/>
      </c>
      <c r="BJ55" s="117">
        <f>ROUND(B55*4.43,0)</f>
        <v/>
      </c>
      <c r="BK55" s="119">
        <f>BF55-BJ55</f>
        <v/>
      </c>
      <c r="BL55" s="120">
        <f>SUMPRODUCT((($C55:$AL55="N")+($C55:$AL55="N+"))*(($D55:$AM55="M")+($D55:$AM55="D")+($D55:$AM55="C")+($D55:$AM55="CEP")+($D55:$AM55="M+")+($D55:$AM55="D+")+($D55:$AM55="Dm+")+($D55:$AM55="Dt+")+($D55:$AM55="Mt-")))</f>
        <v/>
      </c>
      <c r="BM55" s="120">
        <f>SUMPRODUCT((($C55:$AL55="N")+($C55:$AL55="N+"))*(($D55:$AM55="T")+($D55:$AM55="T+")+($D55:$AM55="Tm-")))</f>
        <v/>
      </c>
      <c r="BN55" s="120">
        <f>IFERROR(INDEX(CONFIG!$B$44:$D$46,MATCH($B55,CONFIG!$A$44:$A$46,0),IF(COUNTIF($I55:$AM55,"FE")&gt;=10,1,IF(COUNTIF($I55:$AM55,"FE")&gt;=1,2,3))),"")</f>
        <v/>
      </c>
      <c r="BO55" s="120">
        <f>IF(BN55="","",MAX(0,BG55-BN55*CONFIG!$E$44))</f>
        <v/>
      </c>
      <c r="BP55" s="120">
        <f>MAX(AT55,AV55,AX55,AZ55,BB55,BD55)</f>
        <v/>
      </c>
      <c r="BQ55" s="121" t="inlineStr">
        <is>
          <t>3 · staff</t>
        </is>
      </c>
      <c r="BR55" s="122" t="n">
        <v>7</v>
      </c>
      <c r="BS55" s="39" t="n"/>
    </row>
    <row r="56">
      <c r="A56" s="89" t="inlineStr">
        <is>
          <t>Leticia</t>
        </is>
      </c>
      <c r="B56" s="107" t="n">
        <v>24</v>
      </c>
      <c r="C56" s="100" t="n"/>
      <c r="D56" s="100" t="n"/>
      <c r="E56" s="100" t="n"/>
      <c r="F56" s="100" t="n"/>
      <c r="G56" s="100" t="n"/>
      <c r="H56" s="136">
        <f>IFERROR(INDEX(NOV!AL$8:AL$73,MATCH($A56,NOV!$A$8:$A$73,0))&amp;"","")</f>
        <v/>
      </c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  <c r="AJ56" s="114" t="n"/>
      <c r="AK56" s="114" t="n"/>
      <c r="AL56" s="114" t="n"/>
      <c r="AM56" s="114" t="n"/>
      <c r="AN56" s="100" t="n"/>
      <c r="AO56" s="100" t="n"/>
      <c r="AP56" s="100" t="n"/>
      <c r="AQ56" s="100" t="n"/>
      <c r="AR56" s="100" t="n"/>
      <c r="AS56" s="100" t="n"/>
      <c r="AT56" s="117">
        <f>SUMPRODUCT(($H56:$N56="M")*6+($H56:$N56="T")*6+($H56:$N56="D")*12+($H56:$N56="N")*12+($H56:$N56="NT")*6+($H56:$N56="C")*10+($H56:$N56="A")*8+($H56:$N56="J")*5+($H56:$N56="CEP")*4+($H56:$N56="CP")*6+($H56:$N56="CRO")*6+($H56:$N56="M+")*6+($H56:$N56="T+")*6+($H56:$N56="D+")*12+($H56:$N56="N+")*12+($H56:$N56="Dm+")*12+($H56:$N56="Dt+")*12+($H56:$N56="Tm-")*6+($H56:$N56="Mt-")*6)</f>
        <v/>
      </c>
      <c r="AU56" s="118">
        <f>AT56-MAX(0,IFERROR(INDEX(CADASTRO!$I$4:$I$80,MATCH($A56,CADASTRO!$A$4:$A$80,0)),$B56)-CONFIG!$B$50*(COUNTIF($H56:$N56,"AB")+COUNTIF($H56:$N56,"FE")+COUNTIF($H56:$N56,"LM")))</f>
        <v/>
      </c>
      <c r="AV56" s="117">
        <f>SUMPRODUCT(($O56:$U56="M")*6+($O56:$U56="T")*6+($O56:$U56="D")*12+($O56:$U56="N")*12+($O56:$U56="NT")*6+($O56:$U56="C")*10+($O56:$U56="A")*8+($O56:$U56="J")*5+($O56:$U56="CEP")*4+($O56:$U56="CP")*6+($O56:$U56="CRO")*6+($O56:$U56="M+")*6+($O56:$U56="T+")*6+($O56:$U56="D+")*12+($O56:$U56="N+")*12+($O56:$U56="Dm+")*12+($O56:$U56="Dt+")*12+($O56:$U56="Tm-")*6+($O56:$U56="Mt-")*6)</f>
        <v/>
      </c>
      <c r="AW56" s="118">
        <f>AV56-MAX(0,IFERROR(INDEX(CADASTRO!$I$4:$I$80,MATCH($A56,CADASTRO!$A$4:$A$80,0)),$B56)-CONFIG!$B$50*(COUNTIF($O56:$U56,"AB")+COUNTIF($O56:$U56,"FE")+COUNTIF($O56:$U56,"LM")))</f>
        <v/>
      </c>
      <c r="AX56" s="117">
        <f>SUMPRODUCT(($V56:$AB56="M")*6+($V56:$AB56="T")*6+($V56:$AB56="D")*12+($V56:$AB56="N")*12+($V56:$AB56="NT")*6+($V56:$AB56="C")*10+($V56:$AB56="A")*8+($V56:$AB56="J")*5+($V56:$AB56="CEP")*4+($V56:$AB56="CP")*6+($V56:$AB56="CRO")*6+($V56:$AB56="M+")*6+($V56:$AB56="T+")*6+($V56:$AB56="D+")*12+($V56:$AB56="N+")*12+($V56:$AB56="Dm+")*12+($V56:$AB56="Dt+")*12+($V56:$AB56="Tm-")*6+($V56:$AB56="Mt-")*6)</f>
        <v/>
      </c>
      <c r="AY56" s="118">
        <f>AX56-MAX(0,IFERROR(INDEX(CADASTRO!$I$4:$I$80,MATCH($A56,CADASTRO!$A$4:$A$80,0)),$B56)-CONFIG!$B$50*(COUNTIF($V56:$AB56,"AB")+COUNTIF($V56:$AB56,"FE")+COUNTIF($V56:$AB56,"LM")))</f>
        <v/>
      </c>
      <c r="AZ56" s="117">
        <f>SUMPRODUCT(($AC56:$AI56="M")*6+($AC56:$AI56="T")*6+($AC56:$AI56="D")*12+($AC56:$AI56="N")*12+($AC56:$AI56="NT")*6+($AC56:$AI56="C")*10+($AC56:$AI56="A")*8+($AC56:$AI56="J")*5+($AC56:$AI56="CEP")*4+($AC56:$AI56="CP")*6+($AC56:$AI56="CRO")*6+($AC56:$AI56="M+")*6+($AC56:$AI56="T+")*6+($AC56:$AI56="D+")*12+($AC56:$AI56="N+")*12+($AC56:$AI56="Dm+")*12+($AC56:$AI56="Dt+")*12+($AC56:$AI56="Tm-")*6+($AC56:$AI56="Mt-")*6)</f>
        <v/>
      </c>
      <c r="BA56" s="118">
        <f>AZ56-MAX(0,IFERROR(INDEX(CADASTRO!$I$4:$I$80,MATCH($A56,CADASTRO!$A$4:$A$80,0)),$B56)-CONFIG!$B$50*(COUNTIF($AC56:$AI56,"AB")+COUNTIF($AC56:$AI56,"FE")+COUNTIF($AC56:$AI56,"LM")))</f>
        <v/>
      </c>
      <c r="BB56" s="117">
        <f>SUMPRODUCT(($AJ56:$AM56="M")*6+($AJ56:$AM56="T")*6+($AJ56:$AM56="D")*12+($AJ56:$AM56="N")*12+($AJ56:$AM56="NT")*6+($AJ56:$AM56="C")*10+($AJ56:$AM56="A")*8+($AJ56:$AM56="J")*5+($AJ56:$AM56="CEP")*4+($AJ56:$AM56="CP")*6+($AJ56:$AM56="CRO")*6+($AJ56:$AM56="M+")*6+($AJ56:$AM56="T+")*6+($AJ56:$AM56="D+")*12+($AJ56:$AM56="N+")*12+($AJ56:$AM56="Dm+")*12+($AJ56:$AM56="Dt+")*12+($AJ56:$AM56="Tm-")*6+($AJ56:$AM56="Mt-")*6)+SUMPRODUCT(($AN56:$AP56="M")*6+($AN56:$AP56="T")*6+($AN56:$AP56="D")*12+($AN56:$AP56="N")*12+($AN56:$AP56="NT")*6+($AN56:$AP56="C")*10+($AN56:$AP56="A")*8+($AN56:$AP56="J")*5+($AN56:$AP56="CEP")*4+($AN56:$AP56="CP")*6+($AN56:$AP56="CRO")*6+($AN56:$AP56="M+")*6+($AN56:$AP56="T+")*6+($AN56:$AP56="D+")*12+($AN56:$AP56="N+")*12+($AN56:$AP56="Dm+")*12+($AN56:$AP56="Dt+")*12+($AN56:$AP56="Tm-")*6+($AN56:$AP56="Mt-")*6)</f>
        <v/>
      </c>
      <c r="BC56" s="118">
        <f>BB56-MAX(0,IFERROR(INDEX(CADASTRO!$I$4:$I$80,MATCH($A56,CADASTRO!$A$4:$A$80,0)),$B56)-CONFIG!$B$50*(COUNTIF($AJ56:$AM56,"AB")+COUNTIF($AJ56:$AM56,"FE")+COUNTIF($AJ56:$AM56,"LM")+COUNTIF($AN56:$AP56,"AB")+COUNTIF($AN56:$AP56,"FE")+COUNTIF($AN56:$AP56,"LM")))</f>
        <v/>
      </c>
      <c r="BD56" s="117" t="n"/>
      <c r="BE56" s="118" t="n"/>
      <c r="BF56" s="117">
        <f>SUMPRODUCT(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G56" s="117">
        <f>SUMPRODUCT($I$4:$AM$4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H56" s="117">
        <f>SUMPRODUCT($I$5:$AM$5,(($I56:$AM56="N")+($I56:$AM56="N+")))</f>
        <v/>
      </c>
      <c r="BI56" s="117">
        <f>SUMPRODUCT($I$6:$AM$6,($I56:$AM56="M")*6+($I56:$AM56="T")*6+($I56:$AM56="D")*12+($I56:$AM56="N")*12+($I56:$AM56="NT")*6+($I56:$AM56="C")*10+($I56:$AM56="A")*8+($I56:$AM56="J")*5+($I56:$AM56="CEP")*4+($I56:$AM56="CP")*6+($I56:$AM56="CRO")*6+($I56:$AM56="M+")*6+($I56:$AM56="T+")*6+($I56:$AM56="D+")*12+($I56:$AM56="N+")*12+($I56:$AM56="Dm+")*12+($I56:$AM56="Dt+")*12+($I56:$AM56="Tm-")*6+($I56:$AM56="Mt-")*6)</f>
        <v/>
      </c>
      <c r="BJ56" s="117">
        <f>ROUND(B56*4.43,0)</f>
        <v/>
      </c>
      <c r="BK56" s="119">
        <f>BF56-BJ56</f>
        <v/>
      </c>
      <c r="BL56" s="120">
        <f>SUMPRODUCT((($C56:$AL56="N")+($C56:$AL56="N+"))*(($D56:$AM56="M")+($D56:$AM56="D")+($D56:$AM56="C")+($D56:$AM56="CEP")+($D56:$AM56="M+")+($D56:$AM56="D+")+($D56:$AM56="Dm+")+($D56:$AM56="Dt+")+($D56:$AM56="Mt-")))</f>
        <v/>
      </c>
      <c r="BM56" s="120">
        <f>SUMPRODUCT((($C56:$AL56="N")+($C56:$AL56="N+"))*(($D56:$AM56="T")+($D56:$AM56="T+")+($D56:$AM56="Tm-")))</f>
        <v/>
      </c>
      <c r="BN56" s="120">
        <f>IFERROR(INDEX(CONFIG!$B$44:$D$46,MATCH($B56,CONFIG!$A$44:$A$46,0),IF(COUNTIF($I56:$AM56,"FE")&gt;=10,1,IF(COUNTIF($I56:$AM56,"FE")&gt;=1,2,3))),"")</f>
        <v/>
      </c>
      <c r="BO56" s="120">
        <f>IF(BN56="","",MAX(0,BG56-BN56*CONFIG!$E$44))</f>
        <v/>
      </c>
      <c r="BP56" s="120">
        <f>MAX(AT56,AV56,AX56,AZ56,BB56,BD56)</f>
        <v/>
      </c>
      <c r="BQ56" s="121" t="inlineStr">
        <is>
          <t>3 · staff</t>
        </is>
      </c>
      <c r="BR56" s="122" t="n">
        <v>7</v>
      </c>
      <c r="BS56" s="39" t="n"/>
    </row>
    <row r="57">
      <c r="A57" s="89" t="inlineStr">
        <is>
          <t>LuCosta</t>
        </is>
      </c>
      <c r="B57" s="107" t="n">
        <v>24</v>
      </c>
      <c r="C57" s="100" t="n"/>
      <c r="D57" s="100" t="n"/>
      <c r="E57" s="100" t="n"/>
      <c r="F57" s="100" t="n"/>
      <c r="G57" s="100" t="n"/>
      <c r="H57" s="136">
        <f>IFERROR(INDEX(NOV!AL$8:AL$73,MATCH($A57,NOV!$A$8:$A$73,0))&amp;"","")</f>
        <v/>
      </c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4" t="n"/>
      <c r="AF57" s="114" t="n"/>
      <c r="AG57" s="114" t="n"/>
      <c r="AH57" s="114" t="n"/>
      <c r="AI57" s="114" t="n"/>
      <c r="AJ57" s="114" t="n"/>
      <c r="AK57" s="114" t="n"/>
      <c r="AL57" s="114" t="n"/>
      <c r="AM57" s="114" t="n"/>
      <c r="AN57" s="100" t="n"/>
      <c r="AO57" s="100" t="n"/>
      <c r="AP57" s="100" t="n"/>
      <c r="AQ57" s="100" t="n"/>
      <c r="AR57" s="100" t="n"/>
      <c r="AS57" s="100" t="n"/>
      <c r="AT57" s="117">
        <f>SUMPRODUCT(($H57:$N57="M")*6+($H57:$N57="T")*6+($H57:$N57="D")*12+($H57:$N57="N")*12+($H57:$N57="NT")*6+($H57:$N57="C")*10+($H57:$N57="A")*8+($H57:$N57="J")*5+($H57:$N57="CEP")*4+($H57:$N57="CP")*6+($H57:$N57="CRO")*6+($H57:$N57="M+")*6+($H57:$N57="T+")*6+($H57:$N57="D+")*12+($H57:$N57="N+")*12+($H57:$N57="Dm+")*12+($H57:$N57="Dt+")*12+($H57:$N57="Tm-")*6+($H57:$N57="Mt-")*6)</f>
        <v/>
      </c>
      <c r="AU57" s="118">
        <f>AT57-MAX(0,IFERROR(INDEX(CADASTRO!$I$4:$I$80,MATCH($A57,CADASTRO!$A$4:$A$80,0)),$B57)-CONFIG!$B$50*(COUNTIF($H57:$N57,"AB")+COUNTIF($H57:$N57,"FE")+COUNTIF($H57:$N57,"LM")))</f>
        <v/>
      </c>
      <c r="AV57" s="117">
        <f>SUMPRODUCT(($O57:$U57="M")*6+($O57:$U57="T")*6+($O57:$U57="D")*12+($O57:$U57="N")*12+($O57:$U57="NT")*6+($O57:$U57="C")*10+($O57:$U57="A")*8+($O57:$U57="J")*5+($O57:$U57="CEP")*4+($O57:$U57="CP")*6+($O57:$U57="CRO")*6+($O57:$U57="M+")*6+($O57:$U57="T+")*6+($O57:$U57="D+")*12+($O57:$U57="N+")*12+($O57:$U57="Dm+")*12+($O57:$U57="Dt+")*12+($O57:$U57="Tm-")*6+($O57:$U57="Mt-")*6)</f>
        <v/>
      </c>
      <c r="AW57" s="118">
        <f>AV57-MAX(0,IFERROR(INDEX(CADASTRO!$I$4:$I$80,MATCH($A57,CADASTRO!$A$4:$A$80,0)),$B57)-CONFIG!$B$50*(COUNTIF($O57:$U57,"AB")+COUNTIF($O57:$U57,"FE")+COUNTIF($O57:$U57,"LM")))</f>
        <v/>
      </c>
      <c r="AX57" s="117">
        <f>SUMPRODUCT(($V57:$AB57="M")*6+($V57:$AB57="T")*6+($V57:$AB57="D")*12+($V57:$AB57="N")*12+($V57:$AB57="NT")*6+($V57:$AB57="C")*10+($V57:$AB57="A")*8+($V57:$AB57="J")*5+($V57:$AB57="CEP")*4+($V57:$AB57="CP")*6+($V57:$AB57="CRO")*6+($V57:$AB57="M+")*6+($V57:$AB57="T+")*6+($V57:$AB57="D+")*12+($V57:$AB57="N+")*12+($V57:$AB57="Dm+")*12+($V57:$AB57="Dt+")*12+($V57:$AB57="Tm-")*6+($V57:$AB57="Mt-")*6)</f>
        <v/>
      </c>
      <c r="AY57" s="118">
        <f>AX57-MAX(0,IFERROR(INDEX(CADASTRO!$I$4:$I$80,MATCH($A57,CADASTRO!$A$4:$A$80,0)),$B57)-CONFIG!$B$50*(COUNTIF($V57:$AB57,"AB")+COUNTIF($V57:$AB57,"FE")+COUNTIF($V57:$AB57,"LM")))</f>
        <v/>
      </c>
      <c r="AZ57" s="117">
        <f>SUMPRODUCT(($AC57:$AI57="M")*6+($AC57:$AI57="T")*6+($AC57:$AI57="D")*12+($AC57:$AI57="N")*12+($AC57:$AI57="NT")*6+($AC57:$AI57="C")*10+($AC57:$AI57="A")*8+($AC57:$AI57="J")*5+($AC57:$AI57="CEP")*4+($AC57:$AI57="CP")*6+($AC57:$AI57="CRO")*6+($AC57:$AI57="M+")*6+($AC57:$AI57="T+")*6+($AC57:$AI57="D+")*12+($AC57:$AI57="N+")*12+($AC57:$AI57="Dm+")*12+($AC57:$AI57="Dt+")*12+($AC57:$AI57="Tm-")*6+($AC57:$AI57="Mt-")*6)</f>
        <v/>
      </c>
      <c r="BA57" s="118">
        <f>AZ57-MAX(0,IFERROR(INDEX(CADASTRO!$I$4:$I$80,MATCH($A57,CADASTRO!$A$4:$A$80,0)),$B57)-CONFIG!$B$50*(COUNTIF($AC57:$AI57,"AB")+COUNTIF($AC57:$AI57,"FE")+COUNTIF($AC57:$AI57,"LM")))</f>
        <v/>
      </c>
      <c r="BB57" s="117">
        <f>SUMPRODUCT(($AJ57:$AM57="M")*6+($AJ57:$AM57="T")*6+($AJ57:$AM57="D")*12+($AJ57:$AM57="N")*12+($AJ57:$AM57="NT")*6+($AJ57:$AM57="C")*10+($AJ57:$AM57="A")*8+($AJ57:$AM57="J")*5+($AJ57:$AM57="CEP")*4+($AJ57:$AM57="CP")*6+($AJ57:$AM57="CRO")*6+($AJ57:$AM57="M+")*6+($AJ57:$AM57="T+")*6+($AJ57:$AM57="D+")*12+($AJ57:$AM57="N+")*12+($AJ57:$AM57="Dm+")*12+($AJ57:$AM57="Dt+")*12+($AJ57:$AM57="Tm-")*6+($AJ57:$AM57="Mt-")*6)+SUMPRODUCT(($AN57:$AP57="M")*6+($AN57:$AP57="T")*6+($AN57:$AP57="D")*12+($AN57:$AP57="N")*12+($AN57:$AP57="NT")*6+($AN57:$AP57="C")*10+($AN57:$AP57="A")*8+($AN57:$AP57="J")*5+($AN57:$AP57="CEP")*4+($AN57:$AP57="CP")*6+($AN57:$AP57="CRO")*6+($AN57:$AP57="M+")*6+($AN57:$AP57="T+")*6+($AN57:$AP57="D+")*12+($AN57:$AP57="N+")*12+($AN57:$AP57="Dm+")*12+($AN57:$AP57="Dt+")*12+($AN57:$AP57="Tm-")*6+($AN57:$AP57="Mt-")*6)</f>
        <v/>
      </c>
      <c r="BC57" s="118">
        <f>BB57-MAX(0,IFERROR(INDEX(CADASTRO!$I$4:$I$80,MATCH($A57,CADASTRO!$A$4:$A$80,0)),$B57)-CONFIG!$B$50*(COUNTIF($AJ57:$AM57,"AB")+COUNTIF($AJ57:$AM57,"FE")+COUNTIF($AJ57:$AM57,"LM")+COUNTIF($AN57:$AP57,"AB")+COUNTIF($AN57:$AP57,"FE")+COUNTIF($AN57:$AP57,"LM")))</f>
        <v/>
      </c>
      <c r="BD57" s="117" t="n"/>
      <c r="BE57" s="118" t="n"/>
      <c r="BF57" s="117">
        <f>SUMPRODUCT(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G57" s="117">
        <f>SUMPRODUCT($I$4:$AM$4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H57" s="117">
        <f>SUMPRODUCT($I$5:$AM$5,(($I57:$AM57="N")+($I57:$AM57="N+")))</f>
        <v/>
      </c>
      <c r="BI57" s="117">
        <f>SUMPRODUCT($I$6:$AM$6,($I57:$AM57="M")*6+($I57:$AM57="T")*6+($I57:$AM57="D")*12+($I57:$AM57="N")*12+($I57:$AM57="NT")*6+($I57:$AM57="C")*10+($I57:$AM57="A")*8+($I57:$AM57="J")*5+($I57:$AM57="CEP")*4+($I57:$AM57="CP")*6+($I57:$AM57="CRO")*6+($I57:$AM57="M+")*6+($I57:$AM57="T+")*6+($I57:$AM57="D+")*12+($I57:$AM57="N+")*12+($I57:$AM57="Dm+")*12+($I57:$AM57="Dt+")*12+($I57:$AM57="Tm-")*6+($I57:$AM57="Mt-")*6)</f>
        <v/>
      </c>
      <c r="BJ57" s="117">
        <f>ROUND(B57*4.43,0)</f>
        <v/>
      </c>
      <c r="BK57" s="119">
        <f>BF57-BJ57</f>
        <v/>
      </c>
      <c r="BL57" s="120">
        <f>SUMPRODUCT((($C57:$AL57="N")+($C57:$AL57="N+"))*(($D57:$AM57="M")+($D57:$AM57="D")+($D57:$AM57="C")+($D57:$AM57="CEP")+($D57:$AM57="M+")+($D57:$AM57="D+")+($D57:$AM57="Dm+")+($D57:$AM57="Dt+")+($D57:$AM57="Mt-")))</f>
        <v/>
      </c>
      <c r="BM57" s="120">
        <f>SUMPRODUCT((($C57:$AL57="N")+($C57:$AL57="N+"))*(($D57:$AM57="T")+($D57:$AM57="T+")+($D57:$AM57="Tm-")))</f>
        <v/>
      </c>
      <c r="BN57" s="120">
        <f>IFERROR(INDEX(CONFIG!$B$44:$D$46,MATCH($B57,CONFIG!$A$44:$A$46,0),IF(COUNTIF($I57:$AM57,"FE")&gt;=10,1,IF(COUNTIF($I57:$AM57,"FE")&gt;=1,2,3))),"")</f>
        <v/>
      </c>
      <c r="BO57" s="120">
        <f>IF(BN57="","",MAX(0,BG57-BN57*CONFIG!$E$44))</f>
        <v/>
      </c>
      <c r="BP57" s="120">
        <f>MAX(AT57,AV57,AX57,AZ57,BB57,BD57)</f>
        <v/>
      </c>
      <c r="BQ57" s="121" t="inlineStr">
        <is>
          <t>3 · staff</t>
        </is>
      </c>
      <c r="BR57" s="122" t="n">
        <v>7</v>
      </c>
      <c r="BS57" s="39" t="n"/>
    </row>
    <row r="58">
      <c r="A58" s="89" t="inlineStr">
        <is>
          <t>Marcia</t>
        </is>
      </c>
      <c r="B58" s="107" t="n">
        <v>24</v>
      </c>
      <c r="C58" s="100" t="n"/>
      <c r="D58" s="100" t="n"/>
      <c r="E58" s="100" t="n"/>
      <c r="F58" s="100" t="n"/>
      <c r="G58" s="100" t="n"/>
      <c r="H58" s="136">
        <f>IFERROR(INDEX(NOV!AL$8:AL$73,MATCH($A58,NOV!$A$8:$A$73,0))&amp;"","")</f>
        <v/>
      </c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4" t="n"/>
      <c r="AF58" s="114" t="n"/>
      <c r="AG58" s="114" t="n"/>
      <c r="AH58" s="114" t="n"/>
      <c r="AI58" s="114" t="n"/>
      <c r="AJ58" s="114" t="n"/>
      <c r="AK58" s="114" t="n"/>
      <c r="AL58" s="114" t="n"/>
      <c r="AM58" s="114" t="n"/>
      <c r="AN58" s="100" t="n"/>
      <c r="AO58" s="100" t="n"/>
      <c r="AP58" s="100" t="n"/>
      <c r="AQ58" s="100" t="n"/>
      <c r="AR58" s="100" t="n"/>
      <c r="AS58" s="100" t="n"/>
      <c r="AT58" s="117">
        <f>SUMPRODUCT(($H58:$N58="M")*6+($H58:$N58="T")*6+($H58:$N58="D")*12+($H58:$N58="N")*12+($H58:$N58="NT")*6+($H58:$N58="C")*10+($H58:$N58="A")*8+($H58:$N58="J")*5+($H58:$N58="CEP")*4+($H58:$N58="CP")*6+($H58:$N58="CRO")*6+($H58:$N58="M+")*6+($H58:$N58="T+")*6+($H58:$N58="D+")*12+($H58:$N58="N+")*12+($H58:$N58="Dm+")*12+($H58:$N58="Dt+")*12+($H58:$N58="Tm-")*6+($H58:$N58="Mt-")*6)</f>
        <v/>
      </c>
      <c r="AU58" s="118">
        <f>AT58-MAX(0,IFERROR(INDEX(CADASTRO!$I$4:$I$80,MATCH($A58,CADASTRO!$A$4:$A$80,0)),$B58)-CONFIG!$B$50*(COUNTIF($H58:$N58,"AB")+COUNTIF($H58:$N58,"FE")+COUNTIF($H58:$N58,"LM")))</f>
        <v/>
      </c>
      <c r="AV58" s="117">
        <f>SUMPRODUCT(($O58:$U58="M")*6+($O58:$U58="T")*6+($O58:$U58="D")*12+($O58:$U58="N")*12+($O58:$U58="NT")*6+($O58:$U58="C")*10+($O58:$U58="A")*8+($O58:$U58="J")*5+($O58:$U58="CEP")*4+($O58:$U58="CP")*6+($O58:$U58="CRO")*6+($O58:$U58="M+")*6+($O58:$U58="T+")*6+($O58:$U58="D+")*12+($O58:$U58="N+")*12+($O58:$U58="Dm+")*12+($O58:$U58="Dt+")*12+($O58:$U58="Tm-")*6+($O58:$U58="Mt-")*6)</f>
        <v/>
      </c>
      <c r="AW58" s="118">
        <f>AV58-MAX(0,IFERROR(INDEX(CADASTRO!$I$4:$I$80,MATCH($A58,CADASTRO!$A$4:$A$80,0)),$B58)-CONFIG!$B$50*(COUNTIF($O58:$U58,"AB")+COUNTIF($O58:$U58,"FE")+COUNTIF($O58:$U58,"LM")))</f>
        <v/>
      </c>
      <c r="AX58" s="117">
        <f>SUMPRODUCT(($V58:$AB58="M")*6+($V58:$AB58="T")*6+($V58:$AB58="D")*12+($V58:$AB58="N")*12+($V58:$AB58="NT")*6+($V58:$AB58="C")*10+($V58:$AB58="A")*8+($V58:$AB58="J")*5+($V58:$AB58="CEP")*4+($V58:$AB58="CP")*6+($V58:$AB58="CRO")*6+($V58:$AB58="M+")*6+($V58:$AB58="T+")*6+($V58:$AB58="D+")*12+($V58:$AB58="N+")*12+($V58:$AB58="Dm+")*12+($V58:$AB58="Dt+")*12+($V58:$AB58="Tm-")*6+($V58:$AB58="Mt-")*6)</f>
        <v/>
      </c>
      <c r="AY58" s="118">
        <f>AX58-MAX(0,IFERROR(INDEX(CADASTRO!$I$4:$I$80,MATCH($A58,CADASTRO!$A$4:$A$80,0)),$B58)-CONFIG!$B$50*(COUNTIF($V58:$AB58,"AB")+COUNTIF($V58:$AB58,"FE")+COUNTIF($V58:$AB58,"LM")))</f>
        <v/>
      </c>
      <c r="AZ58" s="117">
        <f>SUMPRODUCT(($AC58:$AI58="M")*6+($AC58:$AI58="T")*6+($AC58:$AI58="D")*12+($AC58:$AI58="N")*12+($AC58:$AI58="NT")*6+($AC58:$AI58="C")*10+($AC58:$AI58="A")*8+($AC58:$AI58="J")*5+($AC58:$AI58="CEP")*4+($AC58:$AI58="CP")*6+($AC58:$AI58="CRO")*6+($AC58:$AI58="M+")*6+($AC58:$AI58="T+")*6+($AC58:$AI58="D+")*12+($AC58:$AI58="N+")*12+($AC58:$AI58="Dm+")*12+($AC58:$AI58="Dt+")*12+($AC58:$AI58="Tm-")*6+($AC58:$AI58="Mt-")*6)</f>
        <v/>
      </c>
      <c r="BA58" s="118">
        <f>AZ58-MAX(0,IFERROR(INDEX(CADASTRO!$I$4:$I$80,MATCH($A58,CADASTRO!$A$4:$A$80,0)),$B58)-CONFIG!$B$50*(COUNTIF($AC58:$AI58,"AB")+COUNTIF($AC58:$AI58,"FE")+COUNTIF($AC58:$AI58,"LM")))</f>
        <v/>
      </c>
      <c r="BB58" s="117">
        <f>SUMPRODUCT(($AJ58:$AM58="M")*6+($AJ58:$AM58="T")*6+($AJ58:$AM58="D")*12+($AJ58:$AM58="N")*12+($AJ58:$AM58="NT")*6+($AJ58:$AM58="C")*10+($AJ58:$AM58="A")*8+($AJ58:$AM58="J")*5+($AJ58:$AM58="CEP")*4+($AJ58:$AM58="CP")*6+($AJ58:$AM58="CRO")*6+($AJ58:$AM58="M+")*6+($AJ58:$AM58="T+")*6+($AJ58:$AM58="D+")*12+($AJ58:$AM58="N+")*12+($AJ58:$AM58="Dm+")*12+($AJ58:$AM58="Dt+")*12+($AJ58:$AM58="Tm-")*6+($AJ58:$AM58="Mt-")*6)+SUMPRODUCT(($AN58:$AP58="M")*6+($AN58:$AP58="T")*6+($AN58:$AP58="D")*12+($AN58:$AP58="N")*12+($AN58:$AP58="NT")*6+($AN58:$AP58="C")*10+($AN58:$AP58="A")*8+($AN58:$AP58="J")*5+($AN58:$AP58="CEP")*4+($AN58:$AP58="CP")*6+($AN58:$AP58="CRO")*6+($AN58:$AP58="M+")*6+($AN58:$AP58="T+")*6+($AN58:$AP58="D+")*12+($AN58:$AP58="N+")*12+($AN58:$AP58="Dm+")*12+($AN58:$AP58="Dt+")*12+($AN58:$AP58="Tm-")*6+($AN58:$AP58="Mt-")*6)</f>
        <v/>
      </c>
      <c r="BC58" s="118">
        <f>BB58-MAX(0,IFERROR(INDEX(CADASTRO!$I$4:$I$80,MATCH($A58,CADASTRO!$A$4:$A$80,0)),$B58)-CONFIG!$B$50*(COUNTIF($AJ58:$AM58,"AB")+COUNTIF($AJ58:$AM58,"FE")+COUNTIF($AJ58:$AM58,"LM")+COUNTIF($AN58:$AP58,"AB")+COUNTIF($AN58:$AP58,"FE")+COUNTIF($AN58:$AP58,"LM")))</f>
        <v/>
      </c>
      <c r="BD58" s="117" t="n"/>
      <c r="BE58" s="118" t="n"/>
      <c r="BF58" s="117">
        <f>SUMPRODUCT(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G58" s="117">
        <f>SUMPRODUCT($I$4:$AM$4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H58" s="117">
        <f>SUMPRODUCT($I$5:$AM$5,(($I58:$AM58="N")+($I58:$AM58="N+")))</f>
        <v/>
      </c>
      <c r="BI58" s="117">
        <f>SUMPRODUCT($I$6:$AM$6,($I58:$AM58="M")*6+($I58:$AM58="T")*6+($I58:$AM58="D")*12+($I58:$AM58="N")*12+($I58:$AM58="NT")*6+($I58:$AM58="C")*10+($I58:$AM58="A")*8+($I58:$AM58="J")*5+($I58:$AM58="CEP")*4+($I58:$AM58="CP")*6+($I58:$AM58="CRO")*6+($I58:$AM58="M+")*6+($I58:$AM58="T+")*6+($I58:$AM58="D+")*12+($I58:$AM58="N+")*12+($I58:$AM58="Dm+")*12+($I58:$AM58="Dt+")*12+($I58:$AM58="Tm-")*6+($I58:$AM58="Mt-")*6)</f>
        <v/>
      </c>
      <c r="BJ58" s="117">
        <f>ROUND(B58*4.43,0)</f>
        <v/>
      </c>
      <c r="BK58" s="119">
        <f>BF58-BJ58</f>
        <v/>
      </c>
      <c r="BL58" s="120">
        <f>SUMPRODUCT((($C58:$AL58="N")+($C58:$AL58="N+"))*(($D58:$AM58="M")+($D58:$AM58="D")+($D58:$AM58="C")+($D58:$AM58="CEP")+($D58:$AM58="M+")+($D58:$AM58="D+")+($D58:$AM58="Dm+")+($D58:$AM58="Dt+")+($D58:$AM58="Mt-")))</f>
        <v/>
      </c>
      <c r="BM58" s="120">
        <f>SUMPRODUCT((($C58:$AL58="N")+($C58:$AL58="N+"))*(($D58:$AM58="T")+($D58:$AM58="T+")+($D58:$AM58="Tm-")))</f>
        <v/>
      </c>
      <c r="BN58" s="120">
        <f>IFERROR(INDEX(CONFIG!$B$44:$D$46,MATCH($B58,CONFIG!$A$44:$A$46,0),IF(COUNTIF($I58:$AM58,"FE")&gt;=10,1,IF(COUNTIF($I58:$AM58,"FE")&gt;=1,2,3))),"")</f>
        <v/>
      </c>
      <c r="BO58" s="120">
        <f>IF(BN58="","",MAX(0,BG58-BN58*CONFIG!$E$44))</f>
        <v/>
      </c>
      <c r="BP58" s="120">
        <f>MAX(AT58,AV58,AX58,AZ58,BB58,BD58)</f>
        <v/>
      </c>
      <c r="BQ58" s="121" t="inlineStr">
        <is>
          <t>3 · staff</t>
        </is>
      </c>
      <c r="BR58" s="122" t="n">
        <v>7</v>
      </c>
      <c r="BS58" s="39" t="n"/>
    </row>
    <row r="59">
      <c r="A59" s="89" t="inlineStr">
        <is>
          <t>MayWobido</t>
        </is>
      </c>
      <c r="B59" s="107" t="n">
        <v>24</v>
      </c>
      <c r="C59" s="100" t="n"/>
      <c r="D59" s="100" t="n"/>
      <c r="E59" s="100" t="n"/>
      <c r="F59" s="100" t="n"/>
      <c r="G59" s="100" t="n"/>
      <c r="H59" s="136">
        <f>IFERROR(INDEX(NOV!AL$8:AL$73,MATCH($A59,NOV!$A$8:$A$73,0))&amp;"","")</f>
        <v/>
      </c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14" t="n"/>
      <c r="AN59" s="100" t="n"/>
      <c r="AO59" s="100" t="n"/>
      <c r="AP59" s="100" t="n"/>
      <c r="AQ59" s="100" t="n"/>
      <c r="AR59" s="100" t="n"/>
      <c r="AS59" s="100" t="n"/>
      <c r="AT59" s="117">
        <f>SUMPRODUCT(($H59:$N59="M")*6+($H59:$N59="T")*6+($H59:$N59="D")*12+($H59:$N59="N")*12+($H59:$N59="NT")*6+($H59:$N59="C")*10+($H59:$N59="A")*8+($H59:$N59="J")*5+($H59:$N59="CEP")*4+($H59:$N59="CP")*6+($H59:$N59="CRO")*6+($H59:$N59="M+")*6+($H59:$N59="T+")*6+($H59:$N59="D+")*12+($H59:$N59="N+")*12+($H59:$N59="Dm+")*12+($H59:$N59="Dt+")*12+($H59:$N59="Tm-")*6+($H59:$N59="Mt-")*6)</f>
        <v/>
      </c>
      <c r="AU59" s="118">
        <f>AT59-MAX(0,IFERROR(INDEX(CADASTRO!$I$4:$I$80,MATCH($A59,CADASTRO!$A$4:$A$80,0)),$B59)-CONFIG!$B$50*(COUNTIF($H59:$N59,"AB")+COUNTIF($H59:$N59,"FE")+COUNTIF($H59:$N59,"LM")))</f>
        <v/>
      </c>
      <c r="AV59" s="117">
        <f>SUMPRODUCT(($O59:$U59="M")*6+($O59:$U59="T")*6+($O59:$U59="D")*12+($O59:$U59="N")*12+($O59:$U59="NT")*6+($O59:$U59="C")*10+($O59:$U59="A")*8+($O59:$U59="J")*5+($O59:$U59="CEP")*4+($O59:$U59="CP")*6+($O59:$U59="CRO")*6+($O59:$U59="M+")*6+($O59:$U59="T+")*6+($O59:$U59="D+")*12+($O59:$U59="N+")*12+($O59:$U59="Dm+")*12+($O59:$U59="Dt+")*12+($O59:$U59="Tm-")*6+($O59:$U59="Mt-")*6)</f>
        <v/>
      </c>
      <c r="AW59" s="118">
        <f>AV59-MAX(0,IFERROR(INDEX(CADASTRO!$I$4:$I$80,MATCH($A59,CADASTRO!$A$4:$A$80,0)),$B59)-CONFIG!$B$50*(COUNTIF($O59:$U59,"AB")+COUNTIF($O59:$U59,"FE")+COUNTIF($O59:$U59,"LM")))</f>
        <v/>
      </c>
      <c r="AX59" s="117">
        <f>SUMPRODUCT(($V59:$AB59="M")*6+($V59:$AB59="T")*6+($V59:$AB59="D")*12+($V59:$AB59="N")*12+($V59:$AB59="NT")*6+($V59:$AB59="C")*10+($V59:$AB59="A")*8+($V59:$AB59="J")*5+($V59:$AB59="CEP")*4+($V59:$AB59="CP")*6+($V59:$AB59="CRO")*6+($V59:$AB59="M+")*6+($V59:$AB59="T+")*6+($V59:$AB59="D+")*12+($V59:$AB59="N+")*12+($V59:$AB59="Dm+")*12+($V59:$AB59="Dt+")*12+($V59:$AB59="Tm-")*6+($V59:$AB59="Mt-")*6)</f>
        <v/>
      </c>
      <c r="AY59" s="118">
        <f>AX59-MAX(0,IFERROR(INDEX(CADASTRO!$I$4:$I$80,MATCH($A59,CADASTRO!$A$4:$A$80,0)),$B59)-CONFIG!$B$50*(COUNTIF($V59:$AB59,"AB")+COUNTIF($V59:$AB59,"FE")+COUNTIF($V59:$AB59,"LM")))</f>
        <v/>
      </c>
      <c r="AZ59" s="117">
        <f>SUMPRODUCT(($AC59:$AI59="M")*6+($AC59:$AI59="T")*6+($AC59:$AI59="D")*12+($AC59:$AI59="N")*12+($AC59:$AI59="NT")*6+($AC59:$AI59="C")*10+($AC59:$AI59="A")*8+($AC59:$AI59="J")*5+($AC59:$AI59="CEP")*4+($AC59:$AI59="CP")*6+($AC59:$AI59="CRO")*6+($AC59:$AI59="M+")*6+($AC59:$AI59="T+")*6+($AC59:$AI59="D+")*12+($AC59:$AI59="N+")*12+($AC59:$AI59="Dm+")*12+($AC59:$AI59="Dt+")*12+($AC59:$AI59="Tm-")*6+($AC59:$AI59="Mt-")*6)</f>
        <v/>
      </c>
      <c r="BA59" s="118">
        <f>AZ59-MAX(0,IFERROR(INDEX(CADASTRO!$I$4:$I$80,MATCH($A59,CADASTRO!$A$4:$A$80,0)),$B59)-CONFIG!$B$50*(COUNTIF($AC59:$AI59,"AB")+COUNTIF($AC59:$AI59,"FE")+COUNTIF($AC59:$AI59,"LM")))</f>
        <v/>
      </c>
      <c r="BB59" s="117">
        <f>SUMPRODUCT(($AJ59:$AM59="M")*6+($AJ59:$AM59="T")*6+($AJ59:$AM59="D")*12+($AJ59:$AM59="N")*12+($AJ59:$AM59="NT")*6+($AJ59:$AM59="C")*10+($AJ59:$AM59="A")*8+($AJ59:$AM59="J")*5+($AJ59:$AM59="CEP")*4+($AJ59:$AM59="CP")*6+($AJ59:$AM59="CRO")*6+($AJ59:$AM59="M+")*6+($AJ59:$AM59="T+")*6+($AJ59:$AM59="D+")*12+($AJ59:$AM59="N+")*12+($AJ59:$AM59="Dm+")*12+($AJ59:$AM59="Dt+")*12+($AJ59:$AM59="Tm-")*6+($AJ59:$AM59="Mt-")*6)+SUMPRODUCT(($AN59:$AP59="M")*6+($AN59:$AP59="T")*6+($AN59:$AP59="D")*12+($AN59:$AP59="N")*12+($AN59:$AP59="NT")*6+($AN59:$AP59="C")*10+($AN59:$AP59="A")*8+($AN59:$AP59="J")*5+($AN59:$AP59="CEP")*4+($AN59:$AP59="CP")*6+($AN59:$AP59="CRO")*6+($AN59:$AP59="M+")*6+($AN59:$AP59="T+")*6+($AN59:$AP59="D+")*12+($AN59:$AP59="N+")*12+($AN59:$AP59="Dm+")*12+($AN59:$AP59="Dt+")*12+($AN59:$AP59="Tm-")*6+($AN59:$AP59="Mt-")*6)</f>
        <v/>
      </c>
      <c r="BC59" s="118">
        <f>BB59-MAX(0,IFERROR(INDEX(CADASTRO!$I$4:$I$80,MATCH($A59,CADASTRO!$A$4:$A$80,0)),$B59)-CONFIG!$B$50*(COUNTIF($AJ59:$AM59,"AB")+COUNTIF($AJ59:$AM59,"FE")+COUNTIF($AJ59:$AM59,"LM")+COUNTIF($AN59:$AP59,"AB")+COUNTIF($AN59:$AP59,"FE")+COUNTIF($AN59:$AP59,"LM")))</f>
        <v/>
      </c>
      <c r="BD59" s="117" t="n"/>
      <c r="BE59" s="118" t="n"/>
      <c r="BF59" s="117">
        <f>SUMPRODUCT(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G59" s="117">
        <f>SUMPRODUCT($I$4:$AM$4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H59" s="117">
        <f>SUMPRODUCT($I$5:$AM$5,(($I59:$AM59="N")+($I59:$AM59="N+")))</f>
        <v/>
      </c>
      <c r="BI59" s="117">
        <f>SUMPRODUCT($I$6:$AM$6,($I59:$AM59="M")*6+($I59:$AM59="T")*6+($I59:$AM59="D")*12+($I59:$AM59="N")*12+($I59:$AM59="NT")*6+($I59:$AM59="C")*10+($I59:$AM59="A")*8+($I59:$AM59="J")*5+($I59:$AM59="CEP")*4+($I59:$AM59="CP")*6+($I59:$AM59="CRO")*6+($I59:$AM59="M+")*6+($I59:$AM59="T+")*6+($I59:$AM59="D+")*12+($I59:$AM59="N+")*12+($I59:$AM59="Dm+")*12+($I59:$AM59="Dt+")*12+($I59:$AM59="Tm-")*6+($I59:$AM59="Mt-")*6)</f>
        <v/>
      </c>
      <c r="BJ59" s="117">
        <f>ROUND(B59*4.43,0)</f>
        <v/>
      </c>
      <c r="BK59" s="119">
        <f>BF59-BJ59</f>
        <v/>
      </c>
      <c r="BL59" s="120">
        <f>SUMPRODUCT((($C59:$AL59="N")+($C59:$AL59="N+"))*(($D59:$AM59="M")+($D59:$AM59="D")+($D59:$AM59="C")+($D59:$AM59="CEP")+($D59:$AM59="M+")+($D59:$AM59="D+")+($D59:$AM59="Dm+")+($D59:$AM59="Dt+")+($D59:$AM59="Mt-")))</f>
        <v/>
      </c>
      <c r="BM59" s="120">
        <f>SUMPRODUCT((($C59:$AL59="N")+($C59:$AL59="N+"))*(($D59:$AM59="T")+($D59:$AM59="T+")+($D59:$AM59="Tm-")))</f>
        <v/>
      </c>
      <c r="BN59" s="120">
        <f>IFERROR(INDEX(CONFIG!$B$44:$D$46,MATCH($B59,CONFIG!$A$44:$A$46,0),IF(COUNTIF($I59:$AM59,"FE")&gt;=10,1,IF(COUNTIF($I59:$AM59,"FE")&gt;=1,2,3))),"")</f>
        <v/>
      </c>
      <c r="BO59" s="120">
        <f>IF(BN59="","",MAX(0,BG59-BN59*CONFIG!$E$44))</f>
        <v/>
      </c>
      <c r="BP59" s="120">
        <f>MAX(AT59,AV59,AX59,AZ59,BB59,BD59)</f>
        <v/>
      </c>
      <c r="BQ59" s="121" t="inlineStr">
        <is>
          <t>3 · staff</t>
        </is>
      </c>
      <c r="BR59" s="122" t="n">
        <v>7</v>
      </c>
      <c r="BS59" s="39" t="n"/>
    </row>
    <row r="60">
      <c r="A60" s="89" t="inlineStr">
        <is>
          <t>Melara</t>
        </is>
      </c>
      <c r="B60" s="107" t="n">
        <v>24</v>
      </c>
      <c r="C60" s="100" t="n"/>
      <c r="D60" s="100" t="n"/>
      <c r="E60" s="100" t="n"/>
      <c r="F60" s="100" t="n"/>
      <c r="G60" s="100" t="n"/>
      <c r="H60" s="136">
        <f>IFERROR(INDEX(NOV!AL$8:AL$73,MATCH($A60,NOV!$A$8:$A$73,0))&amp;"","")</f>
        <v/>
      </c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  <c r="AD60" s="114" t="n"/>
      <c r="AE60" s="114" t="n"/>
      <c r="AF60" s="114" t="n"/>
      <c r="AG60" s="114" t="n"/>
      <c r="AH60" s="114" t="n"/>
      <c r="AI60" s="114" t="n"/>
      <c r="AJ60" s="114" t="n"/>
      <c r="AK60" s="114" t="n"/>
      <c r="AL60" s="114" t="n"/>
      <c r="AM60" s="114" t="n"/>
      <c r="AN60" s="100" t="n"/>
      <c r="AO60" s="100" t="n"/>
      <c r="AP60" s="100" t="n"/>
      <c r="AQ60" s="100" t="n"/>
      <c r="AR60" s="100" t="n"/>
      <c r="AS60" s="100" t="n"/>
      <c r="AT60" s="117">
        <f>SUMPRODUCT(($H60:$N60="M")*6+($H60:$N60="T")*6+($H60:$N60="D")*12+($H60:$N60="N")*12+($H60:$N60="NT")*6+($H60:$N60="C")*10+($H60:$N60="A")*8+($H60:$N60="J")*5+($H60:$N60="CEP")*4+($H60:$N60="CP")*6+($H60:$N60="CRO")*6+($H60:$N60="M+")*6+($H60:$N60="T+")*6+($H60:$N60="D+")*12+($H60:$N60="N+")*12+($H60:$N60="Dm+")*12+($H60:$N60="Dt+")*12+($H60:$N60="Tm-")*6+($H60:$N60="Mt-")*6)</f>
        <v/>
      </c>
      <c r="AU60" s="118">
        <f>AT60-MAX(0,IFERROR(INDEX(CADASTRO!$I$4:$I$80,MATCH($A60,CADASTRO!$A$4:$A$80,0)),$B60)-CONFIG!$B$50*(COUNTIF($H60:$N60,"AB")+COUNTIF($H60:$N60,"FE")+COUNTIF($H60:$N60,"LM")))</f>
        <v/>
      </c>
      <c r="AV60" s="117">
        <f>SUMPRODUCT(($O60:$U60="M")*6+($O60:$U60="T")*6+($O60:$U60="D")*12+($O60:$U60="N")*12+($O60:$U60="NT")*6+($O60:$U60="C")*10+($O60:$U60="A")*8+($O60:$U60="J")*5+($O60:$U60="CEP")*4+($O60:$U60="CP")*6+($O60:$U60="CRO")*6+($O60:$U60="M+")*6+($O60:$U60="T+")*6+($O60:$U60="D+")*12+($O60:$U60="N+")*12+($O60:$U60="Dm+")*12+($O60:$U60="Dt+")*12+($O60:$U60="Tm-")*6+($O60:$U60="Mt-")*6)</f>
        <v/>
      </c>
      <c r="AW60" s="118">
        <f>AV60-MAX(0,IFERROR(INDEX(CADASTRO!$I$4:$I$80,MATCH($A60,CADASTRO!$A$4:$A$80,0)),$B60)-CONFIG!$B$50*(COUNTIF($O60:$U60,"AB")+COUNTIF($O60:$U60,"FE")+COUNTIF($O60:$U60,"LM")))</f>
        <v/>
      </c>
      <c r="AX60" s="117">
        <f>SUMPRODUCT(($V60:$AB60="M")*6+($V60:$AB60="T")*6+($V60:$AB60="D")*12+($V60:$AB60="N")*12+($V60:$AB60="NT")*6+($V60:$AB60="C")*10+($V60:$AB60="A")*8+($V60:$AB60="J")*5+($V60:$AB60="CEP")*4+($V60:$AB60="CP")*6+($V60:$AB60="CRO")*6+($V60:$AB60="M+")*6+($V60:$AB60="T+")*6+($V60:$AB60="D+")*12+($V60:$AB60="N+")*12+($V60:$AB60="Dm+")*12+($V60:$AB60="Dt+")*12+($V60:$AB60="Tm-")*6+($V60:$AB60="Mt-")*6)</f>
        <v/>
      </c>
      <c r="AY60" s="118">
        <f>AX60-MAX(0,IFERROR(INDEX(CADASTRO!$I$4:$I$80,MATCH($A60,CADASTRO!$A$4:$A$80,0)),$B60)-CONFIG!$B$50*(COUNTIF($V60:$AB60,"AB")+COUNTIF($V60:$AB60,"FE")+COUNTIF($V60:$AB60,"LM")))</f>
        <v/>
      </c>
      <c r="AZ60" s="117">
        <f>SUMPRODUCT(($AC60:$AI60="M")*6+($AC60:$AI60="T")*6+($AC60:$AI60="D")*12+($AC60:$AI60="N")*12+($AC60:$AI60="NT")*6+($AC60:$AI60="C")*10+($AC60:$AI60="A")*8+($AC60:$AI60="J")*5+($AC60:$AI60="CEP")*4+($AC60:$AI60="CP")*6+($AC60:$AI60="CRO")*6+($AC60:$AI60="M+")*6+($AC60:$AI60="T+")*6+($AC60:$AI60="D+")*12+($AC60:$AI60="N+")*12+($AC60:$AI60="Dm+")*12+($AC60:$AI60="Dt+")*12+($AC60:$AI60="Tm-")*6+($AC60:$AI60="Mt-")*6)</f>
        <v/>
      </c>
      <c r="BA60" s="118">
        <f>AZ60-MAX(0,IFERROR(INDEX(CADASTRO!$I$4:$I$80,MATCH($A60,CADASTRO!$A$4:$A$80,0)),$B60)-CONFIG!$B$50*(COUNTIF($AC60:$AI60,"AB")+COUNTIF($AC60:$AI60,"FE")+COUNTIF($AC60:$AI60,"LM")))</f>
        <v/>
      </c>
      <c r="BB60" s="117">
        <f>SUMPRODUCT(($AJ60:$AM60="M")*6+($AJ60:$AM60="T")*6+($AJ60:$AM60="D")*12+($AJ60:$AM60="N")*12+($AJ60:$AM60="NT")*6+($AJ60:$AM60="C")*10+($AJ60:$AM60="A")*8+($AJ60:$AM60="J")*5+($AJ60:$AM60="CEP")*4+($AJ60:$AM60="CP")*6+($AJ60:$AM60="CRO")*6+($AJ60:$AM60="M+")*6+($AJ60:$AM60="T+")*6+($AJ60:$AM60="D+")*12+($AJ60:$AM60="N+")*12+($AJ60:$AM60="Dm+")*12+($AJ60:$AM60="Dt+")*12+($AJ60:$AM60="Tm-")*6+($AJ60:$AM60="Mt-")*6)+SUMPRODUCT(($AN60:$AP60="M")*6+($AN60:$AP60="T")*6+($AN60:$AP60="D")*12+($AN60:$AP60="N")*12+($AN60:$AP60="NT")*6+($AN60:$AP60="C")*10+($AN60:$AP60="A")*8+($AN60:$AP60="J")*5+($AN60:$AP60="CEP")*4+($AN60:$AP60="CP")*6+($AN60:$AP60="CRO")*6+($AN60:$AP60="M+")*6+($AN60:$AP60="T+")*6+($AN60:$AP60="D+")*12+($AN60:$AP60="N+")*12+($AN60:$AP60="Dm+")*12+($AN60:$AP60="Dt+")*12+($AN60:$AP60="Tm-")*6+($AN60:$AP60="Mt-")*6)</f>
        <v/>
      </c>
      <c r="BC60" s="118">
        <f>BB60-MAX(0,IFERROR(INDEX(CADASTRO!$I$4:$I$80,MATCH($A60,CADASTRO!$A$4:$A$80,0)),$B60)-CONFIG!$B$50*(COUNTIF($AJ60:$AM60,"AB")+COUNTIF($AJ60:$AM60,"FE")+COUNTIF($AJ60:$AM60,"LM")+COUNTIF($AN60:$AP60,"AB")+COUNTIF($AN60:$AP60,"FE")+COUNTIF($AN60:$AP60,"LM")))</f>
        <v/>
      </c>
      <c r="BD60" s="117" t="n"/>
      <c r="BE60" s="118" t="n"/>
      <c r="BF60" s="117">
        <f>SUMPRODUCT(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G60" s="117">
        <f>SUMPRODUCT($I$4:$AM$4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H60" s="117">
        <f>SUMPRODUCT($I$5:$AM$5,(($I60:$AM60="N")+($I60:$AM60="N+")))</f>
        <v/>
      </c>
      <c r="BI60" s="117">
        <f>SUMPRODUCT($I$6:$AM$6,($I60:$AM60="M")*6+($I60:$AM60="T")*6+($I60:$AM60="D")*12+($I60:$AM60="N")*12+($I60:$AM60="NT")*6+($I60:$AM60="C")*10+($I60:$AM60="A")*8+($I60:$AM60="J")*5+($I60:$AM60="CEP")*4+($I60:$AM60="CP")*6+($I60:$AM60="CRO")*6+($I60:$AM60="M+")*6+($I60:$AM60="T+")*6+($I60:$AM60="D+")*12+($I60:$AM60="N+")*12+($I60:$AM60="Dm+")*12+($I60:$AM60="Dt+")*12+($I60:$AM60="Tm-")*6+($I60:$AM60="Mt-")*6)</f>
        <v/>
      </c>
      <c r="BJ60" s="117">
        <f>ROUND(B60*4.43,0)</f>
        <v/>
      </c>
      <c r="BK60" s="119">
        <f>BF60-BJ60</f>
        <v/>
      </c>
      <c r="BL60" s="120">
        <f>SUMPRODUCT((($C60:$AL60="N")+($C60:$AL60="N+"))*(($D60:$AM60="M")+($D60:$AM60="D")+($D60:$AM60="C")+($D60:$AM60="CEP")+($D60:$AM60="M+")+($D60:$AM60="D+")+($D60:$AM60="Dm+")+($D60:$AM60="Dt+")+($D60:$AM60="Mt-")))</f>
        <v/>
      </c>
      <c r="BM60" s="120">
        <f>SUMPRODUCT((($C60:$AL60="N")+($C60:$AL60="N+"))*(($D60:$AM60="T")+($D60:$AM60="T+")+($D60:$AM60="Tm-")))</f>
        <v/>
      </c>
      <c r="BN60" s="120">
        <f>IFERROR(INDEX(CONFIG!$B$44:$D$46,MATCH($B60,CONFIG!$A$44:$A$46,0),IF(COUNTIF($I60:$AM60,"FE")&gt;=10,1,IF(COUNTIF($I60:$AM60,"FE")&gt;=1,2,3))),"")</f>
        <v/>
      </c>
      <c r="BO60" s="120">
        <f>IF(BN60="","",MAX(0,BG60-BN60*CONFIG!$E$44))</f>
        <v/>
      </c>
      <c r="BP60" s="120">
        <f>MAX(AT60,AV60,AX60,AZ60,BB60,BD60)</f>
        <v/>
      </c>
      <c r="BQ60" s="121" t="inlineStr">
        <is>
          <t>3 · staff</t>
        </is>
      </c>
      <c r="BR60" s="122" t="n">
        <v>7</v>
      </c>
      <c r="BS60" s="39" t="n"/>
    </row>
    <row r="61">
      <c r="A61" s="89" t="inlineStr">
        <is>
          <t>Moabe</t>
        </is>
      </c>
      <c r="B61" s="107" t="n">
        <v>24</v>
      </c>
      <c r="C61" s="100" t="n"/>
      <c r="D61" s="100" t="n"/>
      <c r="E61" s="100" t="n"/>
      <c r="F61" s="100" t="n"/>
      <c r="G61" s="100" t="n"/>
      <c r="H61" s="136">
        <f>IFERROR(INDEX(NOV!AL$8:AL$73,MATCH($A61,NOV!$A$8:$A$73,0))&amp;"","")</f>
        <v/>
      </c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14" t="n"/>
      <c r="AM61" s="114" t="n"/>
      <c r="AN61" s="100" t="n"/>
      <c r="AO61" s="100" t="n"/>
      <c r="AP61" s="100" t="n"/>
      <c r="AQ61" s="100" t="n"/>
      <c r="AR61" s="100" t="n"/>
      <c r="AS61" s="100" t="n"/>
      <c r="AT61" s="117">
        <f>SUMPRODUCT(($H61:$N61="M")*6+($H61:$N61="T")*6+($H61:$N61="D")*12+($H61:$N61="N")*12+($H61:$N61="NT")*6+($H61:$N61="C")*10+($H61:$N61="A")*8+($H61:$N61="J")*5+($H61:$N61="CEP")*4+($H61:$N61="CP")*6+($H61:$N61="CRO")*6+($H61:$N61="M+")*6+($H61:$N61="T+")*6+($H61:$N61="D+")*12+($H61:$N61="N+")*12+($H61:$N61="Dm+")*12+($H61:$N61="Dt+")*12+($H61:$N61="Tm-")*6+($H61:$N61="Mt-")*6)</f>
        <v/>
      </c>
      <c r="AU61" s="118">
        <f>AT61-MAX(0,IFERROR(INDEX(CADASTRO!$I$4:$I$80,MATCH($A61,CADASTRO!$A$4:$A$80,0)),$B61)-CONFIG!$B$50*(COUNTIF($H61:$N61,"AB")+COUNTIF($H61:$N61,"FE")+COUNTIF($H61:$N61,"LM")))</f>
        <v/>
      </c>
      <c r="AV61" s="117">
        <f>SUMPRODUCT(($O61:$U61="M")*6+($O61:$U61="T")*6+($O61:$U61="D")*12+($O61:$U61="N")*12+($O61:$U61="NT")*6+($O61:$U61="C")*10+($O61:$U61="A")*8+($O61:$U61="J")*5+($O61:$U61="CEP")*4+($O61:$U61="CP")*6+($O61:$U61="CRO")*6+($O61:$U61="M+")*6+($O61:$U61="T+")*6+($O61:$U61="D+")*12+($O61:$U61="N+")*12+($O61:$U61="Dm+")*12+($O61:$U61="Dt+")*12+($O61:$U61="Tm-")*6+($O61:$U61="Mt-")*6)</f>
        <v/>
      </c>
      <c r="AW61" s="118">
        <f>AV61-MAX(0,IFERROR(INDEX(CADASTRO!$I$4:$I$80,MATCH($A61,CADASTRO!$A$4:$A$80,0)),$B61)-CONFIG!$B$50*(COUNTIF($O61:$U61,"AB")+COUNTIF($O61:$U61,"FE")+COUNTIF($O61:$U61,"LM")))</f>
        <v/>
      </c>
      <c r="AX61" s="117">
        <f>SUMPRODUCT(($V61:$AB61="M")*6+($V61:$AB61="T")*6+($V61:$AB61="D")*12+($V61:$AB61="N")*12+($V61:$AB61="NT")*6+($V61:$AB61="C")*10+($V61:$AB61="A")*8+($V61:$AB61="J")*5+($V61:$AB61="CEP")*4+($V61:$AB61="CP")*6+($V61:$AB61="CRO")*6+($V61:$AB61="M+")*6+($V61:$AB61="T+")*6+($V61:$AB61="D+")*12+($V61:$AB61="N+")*12+($V61:$AB61="Dm+")*12+($V61:$AB61="Dt+")*12+($V61:$AB61="Tm-")*6+($V61:$AB61="Mt-")*6)</f>
        <v/>
      </c>
      <c r="AY61" s="118">
        <f>AX61-MAX(0,IFERROR(INDEX(CADASTRO!$I$4:$I$80,MATCH($A61,CADASTRO!$A$4:$A$80,0)),$B61)-CONFIG!$B$50*(COUNTIF($V61:$AB61,"AB")+COUNTIF($V61:$AB61,"FE")+COUNTIF($V61:$AB61,"LM")))</f>
        <v/>
      </c>
      <c r="AZ61" s="117">
        <f>SUMPRODUCT(($AC61:$AI61="M")*6+($AC61:$AI61="T")*6+($AC61:$AI61="D")*12+($AC61:$AI61="N")*12+($AC61:$AI61="NT")*6+($AC61:$AI61="C")*10+($AC61:$AI61="A")*8+($AC61:$AI61="J")*5+($AC61:$AI61="CEP")*4+($AC61:$AI61="CP")*6+($AC61:$AI61="CRO")*6+($AC61:$AI61="M+")*6+($AC61:$AI61="T+")*6+($AC61:$AI61="D+")*12+($AC61:$AI61="N+")*12+($AC61:$AI61="Dm+")*12+($AC61:$AI61="Dt+")*12+($AC61:$AI61="Tm-")*6+($AC61:$AI61="Mt-")*6)</f>
        <v/>
      </c>
      <c r="BA61" s="118">
        <f>AZ61-MAX(0,IFERROR(INDEX(CADASTRO!$I$4:$I$80,MATCH($A61,CADASTRO!$A$4:$A$80,0)),$B61)-CONFIG!$B$50*(COUNTIF($AC61:$AI61,"AB")+COUNTIF($AC61:$AI61,"FE")+COUNTIF($AC61:$AI61,"LM")))</f>
        <v/>
      </c>
      <c r="BB61" s="117">
        <f>SUMPRODUCT(($AJ61:$AM61="M")*6+($AJ61:$AM61="T")*6+($AJ61:$AM61="D")*12+($AJ61:$AM61="N")*12+($AJ61:$AM61="NT")*6+($AJ61:$AM61="C")*10+($AJ61:$AM61="A")*8+($AJ61:$AM61="J")*5+($AJ61:$AM61="CEP")*4+($AJ61:$AM61="CP")*6+($AJ61:$AM61="CRO")*6+($AJ61:$AM61="M+")*6+($AJ61:$AM61="T+")*6+($AJ61:$AM61="D+")*12+($AJ61:$AM61="N+")*12+($AJ61:$AM61="Dm+")*12+($AJ61:$AM61="Dt+")*12+($AJ61:$AM61="Tm-")*6+($AJ61:$AM61="Mt-")*6)+SUMPRODUCT(($AN61:$AP61="M")*6+($AN61:$AP61="T")*6+($AN61:$AP61="D")*12+($AN61:$AP61="N")*12+($AN61:$AP61="NT")*6+($AN61:$AP61="C")*10+($AN61:$AP61="A")*8+($AN61:$AP61="J")*5+($AN61:$AP61="CEP")*4+($AN61:$AP61="CP")*6+($AN61:$AP61="CRO")*6+($AN61:$AP61="M+")*6+($AN61:$AP61="T+")*6+($AN61:$AP61="D+")*12+($AN61:$AP61="N+")*12+($AN61:$AP61="Dm+")*12+($AN61:$AP61="Dt+")*12+($AN61:$AP61="Tm-")*6+($AN61:$AP61="Mt-")*6)</f>
        <v/>
      </c>
      <c r="BC61" s="118">
        <f>BB61-MAX(0,IFERROR(INDEX(CADASTRO!$I$4:$I$80,MATCH($A61,CADASTRO!$A$4:$A$80,0)),$B61)-CONFIG!$B$50*(COUNTIF($AJ61:$AM61,"AB")+COUNTIF($AJ61:$AM61,"FE")+COUNTIF($AJ61:$AM61,"LM")+COUNTIF($AN61:$AP61,"AB")+COUNTIF($AN61:$AP61,"FE")+COUNTIF($AN61:$AP61,"LM")))</f>
        <v/>
      </c>
      <c r="BD61" s="117" t="n"/>
      <c r="BE61" s="118" t="n"/>
      <c r="BF61" s="117">
        <f>SUMPRODUCT(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G61" s="117">
        <f>SUMPRODUCT($I$4:$AM$4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H61" s="117">
        <f>SUMPRODUCT($I$5:$AM$5,(($I61:$AM61="N")+($I61:$AM61="N+")))</f>
        <v/>
      </c>
      <c r="BI61" s="117">
        <f>SUMPRODUCT($I$6:$AM$6,($I61:$AM61="M")*6+($I61:$AM61="T")*6+($I61:$AM61="D")*12+($I61:$AM61="N")*12+($I61:$AM61="NT")*6+($I61:$AM61="C")*10+($I61:$AM61="A")*8+($I61:$AM61="J")*5+($I61:$AM61="CEP")*4+($I61:$AM61="CP")*6+($I61:$AM61="CRO")*6+($I61:$AM61="M+")*6+($I61:$AM61="T+")*6+($I61:$AM61="D+")*12+($I61:$AM61="N+")*12+($I61:$AM61="Dm+")*12+($I61:$AM61="Dt+")*12+($I61:$AM61="Tm-")*6+($I61:$AM61="Mt-")*6)</f>
        <v/>
      </c>
      <c r="BJ61" s="117">
        <f>ROUND(B61*4.43,0)</f>
        <v/>
      </c>
      <c r="BK61" s="119">
        <f>BF61-BJ61</f>
        <v/>
      </c>
      <c r="BL61" s="120">
        <f>SUMPRODUCT((($C61:$AL61="N")+($C61:$AL61="N+"))*(($D61:$AM61="M")+($D61:$AM61="D")+($D61:$AM61="C")+($D61:$AM61="CEP")+($D61:$AM61="M+")+($D61:$AM61="D+")+($D61:$AM61="Dm+")+($D61:$AM61="Dt+")+($D61:$AM61="Mt-")))</f>
        <v/>
      </c>
      <c r="BM61" s="120">
        <f>SUMPRODUCT((($C61:$AL61="N")+($C61:$AL61="N+"))*(($D61:$AM61="T")+($D61:$AM61="T+")+($D61:$AM61="Tm-")))</f>
        <v/>
      </c>
      <c r="BN61" s="120">
        <f>IFERROR(INDEX(CONFIG!$B$44:$D$46,MATCH($B61,CONFIG!$A$44:$A$46,0),IF(COUNTIF($I61:$AM61,"FE")&gt;=10,1,IF(COUNTIF($I61:$AM61,"FE")&gt;=1,2,3))),"")</f>
        <v/>
      </c>
      <c r="BO61" s="120">
        <f>IF(BN61="","",MAX(0,BG61-BN61*CONFIG!$E$44))</f>
        <v/>
      </c>
      <c r="BP61" s="120">
        <f>MAX(AT61,AV61,AX61,AZ61,BB61,BD61)</f>
        <v/>
      </c>
      <c r="BQ61" s="121" t="inlineStr">
        <is>
          <t>3 · staff</t>
        </is>
      </c>
      <c r="BR61" s="122" t="n">
        <v>7</v>
      </c>
      <c r="BS61" s="39" t="n"/>
    </row>
    <row r="62">
      <c r="A62" s="89" t="inlineStr">
        <is>
          <t>Nishioka</t>
        </is>
      </c>
      <c r="B62" s="107" t="n">
        <v>24</v>
      </c>
      <c r="C62" s="100" t="n"/>
      <c r="D62" s="100" t="n"/>
      <c r="E62" s="100" t="n"/>
      <c r="F62" s="100" t="n"/>
      <c r="G62" s="100" t="n"/>
      <c r="H62" s="136">
        <f>IFERROR(INDEX(NOV!AL$8:AL$73,MATCH($A62,NOV!$A$8:$A$73,0))&amp;"","")</f>
        <v/>
      </c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4" t="n"/>
      <c r="AF62" s="114" t="n"/>
      <c r="AG62" s="114" t="n"/>
      <c r="AH62" s="114" t="n"/>
      <c r="AI62" s="114" t="n"/>
      <c r="AJ62" s="114" t="n"/>
      <c r="AK62" s="114" t="n"/>
      <c r="AL62" s="114" t="n"/>
      <c r="AM62" s="114" t="n"/>
      <c r="AN62" s="100" t="n"/>
      <c r="AO62" s="100" t="n"/>
      <c r="AP62" s="100" t="n"/>
      <c r="AQ62" s="100" t="n"/>
      <c r="AR62" s="100" t="n"/>
      <c r="AS62" s="100" t="n"/>
      <c r="AT62" s="117">
        <f>SUMPRODUCT(($H62:$N62="M")*6+($H62:$N62="T")*6+($H62:$N62="D")*12+($H62:$N62="N")*12+($H62:$N62="NT")*6+($H62:$N62="C")*10+($H62:$N62="A")*8+($H62:$N62="J")*5+($H62:$N62="CEP")*4+($H62:$N62="CP")*6+($H62:$N62="CRO")*6+($H62:$N62="M+")*6+($H62:$N62="T+")*6+($H62:$N62="D+")*12+($H62:$N62="N+")*12+($H62:$N62="Dm+")*12+($H62:$N62="Dt+")*12+($H62:$N62="Tm-")*6+($H62:$N62="Mt-")*6)</f>
        <v/>
      </c>
      <c r="AU62" s="118">
        <f>AT62-MAX(0,IFERROR(INDEX(CADASTRO!$I$4:$I$80,MATCH($A62,CADASTRO!$A$4:$A$80,0)),$B62)-CONFIG!$B$50*(COUNTIF($H62:$N62,"AB")+COUNTIF($H62:$N62,"FE")+COUNTIF($H62:$N62,"LM")))</f>
        <v/>
      </c>
      <c r="AV62" s="117">
        <f>SUMPRODUCT(($O62:$U62="M")*6+($O62:$U62="T")*6+($O62:$U62="D")*12+($O62:$U62="N")*12+($O62:$U62="NT")*6+($O62:$U62="C")*10+($O62:$U62="A")*8+($O62:$U62="J")*5+($O62:$U62="CEP")*4+($O62:$U62="CP")*6+($O62:$U62="CRO")*6+($O62:$U62="M+")*6+($O62:$U62="T+")*6+($O62:$U62="D+")*12+($O62:$U62="N+")*12+($O62:$U62="Dm+")*12+($O62:$U62="Dt+")*12+($O62:$U62="Tm-")*6+($O62:$U62="Mt-")*6)</f>
        <v/>
      </c>
      <c r="AW62" s="118">
        <f>AV62-MAX(0,IFERROR(INDEX(CADASTRO!$I$4:$I$80,MATCH($A62,CADASTRO!$A$4:$A$80,0)),$B62)-CONFIG!$B$50*(COUNTIF($O62:$U62,"AB")+COUNTIF($O62:$U62,"FE")+COUNTIF($O62:$U62,"LM")))</f>
        <v/>
      </c>
      <c r="AX62" s="117">
        <f>SUMPRODUCT(($V62:$AB62="M")*6+($V62:$AB62="T")*6+($V62:$AB62="D")*12+($V62:$AB62="N")*12+($V62:$AB62="NT")*6+($V62:$AB62="C")*10+($V62:$AB62="A")*8+($V62:$AB62="J")*5+($V62:$AB62="CEP")*4+($V62:$AB62="CP")*6+($V62:$AB62="CRO")*6+($V62:$AB62="M+")*6+($V62:$AB62="T+")*6+($V62:$AB62="D+")*12+($V62:$AB62="N+")*12+($V62:$AB62="Dm+")*12+($V62:$AB62="Dt+")*12+($V62:$AB62="Tm-")*6+($V62:$AB62="Mt-")*6)</f>
        <v/>
      </c>
      <c r="AY62" s="118">
        <f>AX62-MAX(0,IFERROR(INDEX(CADASTRO!$I$4:$I$80,MATCH($A62,CADASTRO!$A$4:$A$80,0)),$B62)-CONFIG!$B$50*(COUNTIF($V62:$AB62,"AB")+COUNTIF($V62:$AB62,"FE")+COUNTIF($V62:$AB62,"LM")))</f>
        <v/>
      </c>
      <c r="AZ62" s="117">
        <f>SUMPRODUCT(($AC62:$AI62="M")*6+($AC62:$AI62="T")*6+($AC62:$AI62="D")*12+($AC62:$AI62="N")*12+($AC62:$AI62="NT")*6+($AC62:$AI62="C")*10+($AC62:$AI62="A")*8+($AC62:$AI62="J")*5+($AC62:$AI62="CEP")*4+($AC62:$AI62="CP")*6+($AC62:$AI62="CRO")*6+($AC62:$AI62="M+")*6+($AC62:$AI62="T+")*6+($AC62:$AI62="D+")*12+($AC62:$AI62="N+")*12+($AC62:$AI62="Dm+")*12+($AC62:$AI62="Dt+")*12+($AC62:$AI62="Tm-")*6+($AC62:$AI62="Mt-")*6)</f>
        <v/>
      </c>
      <c r="BA62" s="118">
        <f>AZ62-MAX(0,IFERROR(INDEX(CADASTRO!$I$4:$I$80,MATCH($A62,CADASTRO!$A$4:$A$80,0)),$B62)-CONFIG!$B$50*(COUNTIF($AC62:$AI62,"AB")+COUNTIF($AC62:$AI62,"FE")+COUNTIF($AC62:$AI62,"LM")))</f>
        <v/>
      </c>
      <c r="BB62" s="117">
        <f>SUMPRODUCT(($AJ62:$AM62="M")*6+($AJ62:$AM62="T")*6+($AJ62:$AM62="D")*12+($AJ62:$AM62="N")*12+($AJ62:$AM62="NT")*6+($AJ62:$AM62="C")*10+($AJ62:$AM62="A")*8+($AJ62:$AM62="J")*5+($AJ62:$AM62="CEP")*4+($AJ62:$AM62="CP")*6+($AJ62:$AM62="CRO")*6+($AJ62:$AM62="M+")*6+($AJ62:$AM62="T+")*6+($AJ62:$AM62="D+")*12+($AJ62:$AM62="N+")*12+($AJ62:$AM62="Dm+")*12+($AJ62:$AM62="Dt+")*12+($AJ62:$AM62="Tm-")*6+($AJ62:$AM62="Mt-")*6)+SUMPRODUCT(($AN62:$AP62="M")*6+($AN62:$AP62="T")*6+($AN62:$AP62="D")*12+($AN62:$AP62="N")*12+($AN62:$AP62="NT")*6+($AN62:$AP62="C")*10+($AN62:$AP62="A")*8+($AN62:$AP62="J")*5+($AN62:$AP62="CEP")*4+($AN62:$AP62="CP")*6+($AN62:$AP62="CRO")*6+($AN62:$AP62="M+")*6+($AN62:$AP62="T+")*6+($AN62:$AP62="D+")*12+($AN62:$AP62="N+")*12+($AN62:$AP62="Dm+")*12+($AN62:$AP62="Dt+")*12+($AN62:$AP62="Tm-")*6+($AN62:$AP62="Mt-")*6)</f>
        <v/>
      </c>
      <c r="BC62" s="118">
        <f>BB62-MAX(0,IFERROR(INDEX(CADASTRO!$I$4:$I$80,MATCH($A62,CADASTRO!$A$4:$A$80,0)),$B62)-CONFIG!$B$50*(COUNTIF($AJ62:$AM62,"AB")+COUNTIF($AJ62:$AM62,"FE")+COUNTIF($AJ62:$AM62,"LM")+COUNTIF($AN62:$AP62,"AB")+COUNTIF($AN62:$AP62,"FE")+COUNTIF($AN62:$AP62,"LM")))</f>
        <v/>
      </c>
      <c r="BD62" s="117" t="n"/>
      <c r="BE62" s="118" t="n"/>
      <c r="BF62" s="117">
        <f>SUMPRODUCT(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G62" s="117">
        <f>SUMPRODUCT($I$4:$AM$4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H62" s="117">
        <f>SUMPRODUCT($I$5:$AM$5,(($I62:$AM62="N")+($I62:$AM62="N+")))</f>
        <v/>
      </c>
      <c r="BI62" s="117">
        <f>SUMPRODUCT($I$6:$AM$6,($I62:$AM62="M")*6+($I62:$AM62="T")*6+($I62:$AM62="D")*12+($I62:$AM62="N")*12+($I62:$AM62="NT")*6+($I62:$AM62="C")*10+($I62:$AM62="A")*8+($I62:$AM62="J")*5+($I62:$AM62="CEP")*4+($I62:$AM62="CP")*6+($I62:$AM62="CRO")*6+($I62:$AM62="M+")*6+($I62:$AM62="T+")*6+($I62:$AM62="D+")*12+($I62:$AM62="N+")*12+($I62:$AM62="Dm+")*12+($I62:$AM62="Dt+")*12+($I62:$AM62="Tm-")*6+($I62:$AM62="Mt-")*6)</f>
        <v/>
      </c>
      <c r="BJ62" s="117">
        <f>ROUND(B62*4.43,0)</f>
        <v/>
      </c>
      <c r="BK62" s="119">
        <f>BF62-BJ62</f>
        <v/>
      </c>
      <c r="BL62" s="120">
        <f>SUMPRODUCT((($C62:$AL62="N")+($C62:$AL62="N+"))*(($D62:$AM62="M")+($D62:$AM62="D")+($D62:$AM62="C")+($D62:$AM62="CEP")+($D62:$AM62="M+")+($D62:$AM62="D+")+($D62:$AM62="Dm+")+($D62:$AM62="Dt+")+($D62:$AM62="Mt-")))</f>
        <v/>
      </c>
      <c r="BM62" s="120">
        <f>SUMPRODUCT((($C62:$AL62="N")+($C62:$AL62="N+"))*(($D62:$AM62="T")+($D62:$AM62="T+")+($D62:$AM62="Tm-")))</f>
        <v/>
      </c>
      <c r="BN62" s="120">
        <f>IFERROR(INDEX(CONFIG!$B$44:$D$46,MATCH($B62,CONFIG!$A$44:$A$46,0),IF(COUNTIF($I62:$AM62,"FE")&gt;=10,1,IF(COUNTIF($I62:$AM62,"FE")&gt;=1,2,3))),"")</f>
        <v/>
      </c>
      <c r="BO62" s="120">
        <f>IF(BN62="","",MAX(0,BG62-BN62*CONFIG!$E$44))</f>
        <v/>
      </c>
      <c r="BP62" s="120">
        <f>MAX(AT62,AV62,AX62,AZ62,BB62,BD62)</f>
        <v/>
      </c>
      <c r="BQ62" s="121" t="inlineStr">
        <is>
          <t>3 · staff</t>
        </is>
      </c>
      <c r="BR62" s="122" t="n">
        <v>7</v>
      </c>
      <c r="BS62" s="39" t="n"/>
    </row>
    <row r="63">
      <c r="A63" s="89" t="inlineStr">
        <is>
          <t>Patricia</t>
        </is>
      </c>
      <c r="B63" s="107" t="n">
        <v>24</v>
      </c>
      <c r="C63" s="100" t="n"/>
      <c r="D63" s="100" t="n"/>
      <c r="E63" s="100" t="n"/>
      <c r="F63" s="100" t="n"/>
      <c r="G63" s="100" t="n"/>
      <c r="H63" s="136">
        <f>IFERROR(INDEX(NOV!AL$8:AL$73,MATCH($A63,NOV!$A$8:$A$73,0))&amp;"","")</f>
        <v/>
      </c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  <c r="AD63" s="114" t="n"/>
      <c r="AE63" s="114" t="n"/>
      <c r="AF63" s="114" t="n"/>
      <c r="AG63" s="114" t="n"/>
      <c r="AH63" s="114" t="n"/>
      <c r="AI63" s="114" t="n"/>
      <c r="AJ63" s="114" t="n"/>
      <c r="AK63" s="114" t="n"/>
      <c r="AL63" s="114" t="n"/>
      <c r="AM63" s="114" t="n"/>
      <c r="AN63" s="100" t="n"/>
      <c r="AO63" s="100" t="n"/>
      <c r="AP63" s="100" t="n"/>
      <c r="AQ63" s="100" t="n"/>
      <c r="AR63" s="100" t="n"/>
      <c r="AS63" s="100" t="n"/>
      <c r="AT63" s="117">
        <f>SUMPRODUCT(($H63:$N63="M")*6+($H63:$N63="T")*6+($H63:$N63="D")*12+($H63:$N63="N")*12+($H63:$N63="NT")*6+($H63:$N63="C")*10+($H63:$N63="A")*8+($H63:$N63="J")*5+($H63:$N63="CEP")*4+($H63:$N63="CP")*6+($H63:$N63="CRO")*6+($H63:$N63="M+")*6+($H63:$N63="T+")*6+($H63:$N63="D+")*12+($H63:$N63="N+")*12+($H63:$N63="Dm+")*12+($H63:$N63="Dt+")*12+($H63:$N63="Tm-")*6+($H63:$N63="Mt-")*6)</f>
        <v/>
      </c>
      <c r="AU63" s="118">
        <f>AT63-MAX(0,IFERROR(INDEX(CADASTRO!$I$4:$I$80,MATCH($A63,CADASTRO!$A$4:$A$80,0)),$B63)-CONFIG!$B$50*(COUNTIF($H63:$N63,"AB")+COUNTIF($H63:$N63,"FE")+COUNTIF($H63:$N63,"LM")))</f>
        <v/>
      </c>
      <c r="AV63" s="117">
        <f>SUMPRODUCT(($O63:$U63="M")*6+($O63:$U63="T")*6+($O63:$U63="D")*12+($O63:$U63="N")*12+($O63:$U63="NT")*6+($O63:$U63="C")*10+($O63:$U63="A")*8+($O63:$U63="J")*5+($O63:$U63="CEP")*4+($O63:$U63="CP")*6+($O63:$U63="CRO")*6+($O63:$U63="M+")*6+($O63:$U63="T+")*6+($O63:$U63="D+")*12+($O63:$U63="N+")*12+($O63:$U63="Dm+")*12+($O63:$U63="Dt+")*12+($O63:$U63="Tm-")*6+($O63:$U63="Mt-")*6)</f>
        <v/>
      </c>
      <c r="AW63" s="118">
        <f>AV63-MAX(0,IFERROR(INDEX(CADASTRO!$I$4:$I$80,MATCH($A63,CADASTRO!$A$4:$A$80,0)),$B63)-CONFIG!$B$50*(COUNTIF($O63:$U63,"AB")+COUNTIF($O63:$U63,"FE")+COUNTIF($O63:$U63,"LM")))</f>
        <v/>
      </c>
      <c r="AX63" s="117">
        <f>SUMPRODUCT(($V63:$AB63="M")*6+($V63:$AB63="T")*6+($V63:$AB63="D")*12+($V63:$AB63="N")*12+($V63:$AB63="NT")*6+($V63:$AB63="C")*10+($V63:$AB63="A")*8+($V63:$AB63="J")*5+($V63:$AB63="CEP")*4+($V63:$AB63="CP")*6+($V63:$AB63="CRO")*6+($V63:$AB63="M+")*6+($V63:$AB63="T+")*6+($V63:$AB63="D+")*12+($V63:$AB63="N+")*12+($V63:$AB63="Dm+")*12+($V63:$AB63="Dt+")*12+($V63:$AB63="Tm-")*6+($V63:$AB63="Mt-")*6)</f>
        <v/>
      </c>
      <c r="AY63" s="118">
        <f>AX63-MAX(0,IFERROR(INDEX(CADASTRO!$I$4:$I$80,MATCH($A63,CADASTRO!$A$4:$A$80,0)),$B63)-CONFIG!$B$50*(COUNTIF($V63:$AB63,"AB")+COUNTIF($V63:$AB63,"FE")+COUNTIF($V63:$AB63,"LM")))</f>
        <v/>
      </c>
      <c r="AZ63" s="117">
        <f>SUMPRODUCT(($AC63:$AI63="M")*6+($AC63:$AI63="T")*6+($AC63:$AI63="D")*12+($AC63:$AI63="N")*12+($AC63:$AI63="NT")*6+($AC63:$AI63="C")*10+($AC63:$AI63="A")*8+($AC63:$AI63="J")*5+($AC63:$AI63="CEP")*4+($AC63:$AI63="CP")*6+($AC63:$AI63="CRO")*6+($AC63:$AI63="M+")*6+($AC63:$AI63="T+")*6+($AC63:$AI63="D+")*12+($AC63:$AI63="N+")*12+($AC63:$AI63="Dm+")*12+($AC63:$AI63="Dt+")*12+($AC63:$AI63="Tm-")*6+($AC63:$AI63="Mt-")*6)</f>
        <v/>
      </c>
      <c r="BA63" s="118">
        <f>AZ63-MAX(0,IFERROR(INDEX(CADASTRO!$I$4:$I$80,MATCH($A63,CADASTRO!$A$4:$A$80,0)),$B63)-CONFIG!$B$50*(COUNTIF($AC63:$AI63,"AB")+COUNTIF($AC63:$AI63,"FE")+COUNTIF($AC63:$AI63,"LM")))</f>
        <v/>
      </c>
      <c r="BB63" s="117">
        <f>SUMPRODUCT(($AJ63:$AM63="M")*6+($AJ63:$AM63="T")*6+($AJ63:$AM63="D")*12+($AJ63:$AM63="N")*12+($AJ63:$AM63="NT")*6+($AJ63:$AM63="C")*10+($AJ63:$AM63="A")*8+($AJ63:$AM63="J")*5+($AJ63:$AM63="CEP")*4+($AJ63:$AM63="CP")*6+($AJ63:$AM63="CRO")*6+($AJ63:$AM63="M+")*6+($AJ63:$AM63="T+")*6+($AJ63:$AM63="D+")*12+($AJ63:$AM63="N+")*12+($AJ63:$AM63="Dm+")*12+($AJ63:$AM63="Dt+")*12+($AJ63:$AM63="Tm-")*6+($AJ63:$AM63="Mt-")*6)+SUMPRODUCT(($AN63:$AP63="M")*6+($AN63:$AP63="T")*6+($AN63:$AP63="D")*12+($AN63:$AP63="N")*12+($AN63:$AP63="NT")*6+($AN63:$AP63="C")*10+($AN63:$AP63="A")*8+($AN63:$AP63="J")*5+($AN63:$AP63="CEP")*4+($AN63:$AP63="CP")*6+($AN63:$AP63="CRO")*6+($AN63:$AP63="M+")*6+($AN63:$AP63="T+")*6+($AN63:$AP63="D+")*12+($AN63:$AP63="N+")*12+($AN63:$AP63="Dm+")*12+($AN63:$AP63="Dt+")*12+($AN63:$AP63="Tm-")*6+($AN63:$AP63="Mt-")*6)</f>
        <v/>
      </c>
      <c r="BC63" s="118">
        <f>BB63-MAX(0,IFERROR(INDEX(CADASTRO!$I$4:$I$80,MATCH($A63,CADASTRO!$A$4:$A$80,0)),$B63)-CONFIG!$B$50*(COUNTIF($AJ63:$AM63,"AB")+COUNTIF($AJ63:$AM63,"FE")+COUNTIF($AJ63:$AM63,"LM")+COUNTIF($AN63:$AP63,"AB")+COUNTIF($AN63:$AP63,"FE")+COUNTIF($AN63:$AP63,"LM")))</f>
        <v/>
      </c>
      <c r="BD63" s="117" t="n"/>
      <c r="BE63" s="118" t="n"/>
      <c r="BF63" s="117">
        <f>SUMPRODUCT(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G63" s="117">
        <f>SUMPRODUCT($I$4:$AM$4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H63" s="117">
        <f>SUMPRODUCT($I$5:$AM$5,(($I63:$AM63="N")+($I63:$AM63="N+")))</f>
        <v/>
      </c>
      <c r="BI63" s="117">
        <f>SUMPRODUCT($I$6:$AM$6,($I63:$AM63="M")*6+($I63:$AM63="T")*6+($I63:$AM63="D")*12+($I63:$AM63="N")*12+($I63:$AM63="NT")*6+($I63:$AM63="C")*10+($I63:$AM63="A")*8+($I63:$AM63="J")*5+($I63:$AM63="CEP")*4+($I63:$AM63="CP")*6+($I63:$AM63="CRO")*6+($I63:$AM63="M+")*6+($I63:$AM63="T+")*6+($I63:$AM63="D+")*12+($I63:$AM63="N+")*12+($I63:$AM63="Dm+")*12+($I63:$AM63="Dt+")*12+($I63:$AM63="Tm-")*6+($I63:$AM63="Mt-")*6)</f>
        <v/>
      </c>
      <c r="BJ63" s="117">
        <f>ROUND(B63*4.43,0)</f>
        <v/>
      </c>
      <c r="BK63" s="119">
        <f>BF63-BJ63</f>
        <v/>
      </c>
      <c r="BL63" s="120">
        <f>SUMPRODUCT((($C63:$AL63="N")+($C63:$AL63="N+"))*(($D63:$AM63="M")+($D63:$AM63="D")+($D63:$AM63="C")+($D63:$AM63="CEP")+($D63:$AM63="M+")+($D63:$AM63="D+")+($D63:$AM63="Dm+")+($D63:$AM63="Dt+")+($D63:$AM63="Mt-")))</f>
        <v/>
      </c>
      <c r="BM63" s="120">
        <f>SUMPRODUCT((($C63:$AL63="N")+($C63:$AL63="N+"))*(($D63:$AM63="T")+($D63:$AM63="T+")+($D63:$AM63="Tm-")))</f>
        <v/>
      </c>
      <c r="BN63" s="120">
        <f>IFERROR(INDEX(CONFIG!$B$44:$D$46,MATCH($B63,CONFIG!$A$44:$A$46,0),IF(COUNTIF($I63:$AM63,"FE")&gt;=10,1,IF(COUNTIF($I63:$AM63,"FE")&gt;=1,2,3))),"")</f>
        <v/>
      </c>
      <c r="BO63" s="120">
        <f>IF(BN63="","",MAX(0,BG63-BN63*CONFIG!$E$44))</f>
        <v/>
      </c>
      <c r="BP63" s="120">
        <f>MAX(AT63,AV63,AX63,AZ63,BB63,BD63)</f>
        <v/>
      </c>
      <c r="BQ63" s="121" t="inlineStr">
        <is>
          <t>3 · staff</t>
        </is>
      </c>
      <c r="BR63" s="122" t="n">
        <v>7</v>
      </c>
      <c r="BS63" s="39" t="n"/>
    </row>
    <row r="64">
      <c r="A64" s="89" t="inlineStr">
        <is>
          <t>Pedro</t>
        </is>
      </c>
      <c r="B64" s="107" t="n">
        <v>24</v>
      </c>
      <c r="C64" s="100" t="n"/>
      <c r="D64" s="100" t="n"/>
      <c r="E64" s="100" t="n"/>
      <c r="F64" s="100" t="n"/>
      <c r="G64" s="100" t="n"/>
      <c r="H64" s="136">
        <f>IFERROR(INDEX(NOV!AL$8:AL$73,MATCH($A64,NOV!$A$8:$A$73,0))&amp;"","")</f>
        <v/>
      </c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14" t="n"/>
      <c r="AE64" s="114" t="n"/>
      <c r="AF64" s="114" t="n"/>
      <c r="AG64" s="114" t="n"/>
      <c r="AH64" s="114" t="n"/>
      <c r="AI64" s="114" t="n"/>
      <c r="AJ64" s="114" t="n"/>
      <c r="AK64" s="114" t="n"/>
      <c r="AL64" s="114" t="n"/>
      <c r="AM64" s="114" t="n"/>
      <c r="AN64" s="100" t="n"/>
      <c r="AO64" s="100" t="n"/>
      <c r="AP64" s="100" t="n"/>
      <c r="AQ64" s="100" t="n"/>
      <c r="AR64" s="100" t="n"/>
      <c r="AS64" s="100" t="n"/>
      <c r="AT64" s="117">
        <f>SUMPRODUCT(($H64:$N64="M")*6+($H64:$N64="T")*6+($H64:$N64="D")*12+($H64:$N64="N")*12+($H64:$N64="NT")*6+($H64:$N64="C")*10+($H64:$N64="A")*8+($H64:$N64="J")*5+($H64:$N64="CEP")*4+($H64:$N64="CP")*6+($H64:$N64="CRO")*6+($H64:$N64="M+")*6+($H64:$N64="T+")*6+($H64:$N64="D+")*12+($H64:$N64="N+")*12+($H64:$N64="Dm+")*12+($H64:$N64="Dt+")*12+($H64:$N64="Tm-")*6+($H64:$N64="Mt-")*6)</f>
        <v/>
      </c>
      <c r="AU64" s="118">
        <f>AT64-MAX(0,IFERROR(INDEX(CADASTRO!$I$4:$I$80,MATCH($A64,CADASTRO!$A$4:$A$80,0)),$B64)-CONFIG!$B$50*(COUNTIF($H64:$N64,"AB")+COUNTIF($H64:$N64,"FE")+COUNTIF($H64:$N64,"LM")))</f>
        <v/>
      </c>
      <c r="AV64" s="117">
        <f>SUMPRODUCT(($O64:$U64="M")*6+($O64:$U64="T")*6+($O64:$U64="D")*12+($O64:$U64="N")*12+($O64:$U64="NT")*6+($O64:$U64="C")*10+($O64:$U64="A")*8+($O64:$U64="J")*5+($O64:$U64="CEP")*4+($O64:$U64="CP")*6+($O64:$U64="CRO")*6+($O64:$U64="M+")*6+($O64:$U64="T+")*6+($O64:$U64="D+")*12+($O64:$U64="N+")*12+($O64:$U64="Dm+")*12+($O64:$U64="Dt+")*12+($O64:$U64="Tm-")*6+($O64:$U64="Mt-")*6)</f>
        <v/>
      </c>
      <c r="AW64" s="118">
        <f>AV64-MAX(0,IFERROR(INDEX(CADASTRO!$I$4:$I$80,MATCH($A64,CADASTRO!$A$4:$A$80,0)),$B64)-CONFIG!$B$50*(COUNTIF($O64:$U64,"AB")+COUNTIF($O64:$U64,"FE")+COUNTIF($O64:$U64,"LM")))</f>
        <v/>
      </c>
      <c r="AX64" s="117">
        <f>SUMPRODUCT(($V64:$AB64="M")*6+($V64:$AB64="T")*6+($V64:$AB64="D")*12+($V64:$AB64="N")*12+($V64:$AB64="NT")*6+($V64:$AB64="C")*10+($V64:$AB64="A")*8+($V64:$AB64="J")*5+($V64:$AB64="CEP")*4+($V64:$AB64="CP")*6+($V64:$AB64="CRO")*6+($V64:$AB64="M+")*6+($V64:$AB64="T+")*6+($V64:$AB64="D+")*12+($V64:$AB64="N+")*12+($V64:$AB64="Dm+")*12+($V64:$AB64="Dt+")*12+($V64:$AB64="Tm-")*6+($V64:$AB64="Mt-")*6)</f>
        <v/>
      </c>
      <c r="AY64" s="118">
        <f>AX64-MAX(0,IFERROR(INDEX(CADASTRO!$I$4:$I$80,MATCH($A64,CADASTRO!$A$4:$A$80,0)),$B64)-CONFIG!$B$50*(COUNTIF($V64:$AB64,"AB")+COUNTIF($V64:$AB64,"FE")+COUNTIF($V64:$AB64,"LM")))</f>
        <v/>
      </c>
      <c r="AZ64" s="117">
        <f>SUMPRODUCT(($AC64:$AI64="M")*6+($AC64:$AI64="T")*6+($AC64:$AI64="D")*12+($AC64:$AI64="N")*12+($AC64:$AI64="NT")*6+($AC64:$AI64="C")*10+($AC64:$AI64="A")*8+($AC64:$AI64="J")*5+($AC64:$AI64="CEP")*4+($AC64:$AI64="CP")*6+($AC64:$AI64="CRO")*6+($AC64:$AI64="M+")*6+($AC64:$AI64="T+")*6+($AC64:$AI64="D+")*12+($AC64:$AI64="N+")*12+($AC64:$AI64="Dm+")*12+($AC64:$AI64="Dt+")*12+($AC64:$AI64="Tm-")*6+($AC64:$AI64="Mt-")*6)</f>
        <v/>
      </c>
      <c r="BA64" s="118">
        <f>AZ64-MAX(0,IFERROR(INDEX(CADASTRO!$I$4:$I$80,MATCH($A64,CADASTRO!$A$4:$A$80,0)),$B64)-CONFIG!$B$50*(COUNTIF($AC64:$AI64,"AB")+COUNTIF($AC64:$AI64,"FE")+COUNTIF($AC64:$AI64,"LM")))</f>
        <v/>
      </c>
      <c r="BB64" s="117">
        <f>SUMPRODUCT(($AJ64:$AM64="M")*6+($AJ64:$AM64="T")*6+($AJ64:$AM64="D")*12+($AJ64:$AM64="N")*12+($AJ64:$AM64="NT")*6+($AJ64:$AM64="C")*10+($AJ64:$AM64="A")*8+($AJ64:$AM64="J")*5+($AJ64:$AM64="CEP")*4+($AJ64:$AM64="CP")*6+($AJ64:$AM64="CRO")*6+($AJ64:$AM64="M+")*6+($AJ64:$AM64="T+")*6+($AJ64:$AM64="D+")*12+($AJ64:$AM64="N+")*12+($AJ64:$AM64="Dm+")*12+($AJ64:$AM64="Dt+")*12+($AJ64:$AM64="Tm-")*6+($AJ64:$AM64="Mt-")*6)+SUMPRODUCT(($AN64:$AP64="M")*6+($AN64:$AP64="T")*6+($AN64:$AP64="D")*12+($AN64:$AP64="N")*12+($AN64:$AP64="NT")*6+($AN64:$AP64="C")*10+($AN64:$AP64="A")*8+($AN64:$AP64="J")*5+($AN64:$AP64="CEP")*4+($AN64:$AP64="CP")*6+($AN64:$AP64="CRO")*6+($AN64:$AP64="M+")*6+($AN64:$AP64="T+")*6+($AN64:$AP64="D+")*12+($AN64:$AP64="N+")*12+($AN64:$AP64="Dm+")*12+($AN64:$AP64="Dt+")*12+($AN64:$AP64="Tm-")*6+($AN64:$AP64="Mt-")*6)</f>
        <v/>
      </c>
      <c r="BC64" s="118">
        <f>BB64-MAX(0,IFERROR(INDEX(CADASTRO!$I$4:$I$80,MATCH($A64,CADASTRO!$A$4:$A$80,0)),$B64)-CONFIG!$B$50*(COUNTIF($AJ64:$AM64,"AB")+COUNTIF($AJ64:$AM64,"FE")+COUNTIF($AJ64:$AM64,"LM")+COUNTIF($AN64:$AP64,"AB")+COUNTIF($AN64:$AP64,"FE")+COUNTIF($AN64:$AP64,"LM")))</f>
        <v/>
      </c>
      <c r="BD64" s="117" t="n"/>
      <c r="BE64" s="118" t="n"/>
      <c r="BF64" s="117">
        <f>SUMPRODUCT(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G64" s="117">
        <f>SUMPRODUCT($I$4:$AM$4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H64" s="117">
        <f>SUMPRODUCT($I$5:$AM$5,(($I64:$AM64="N")+($I64:$AM64="N+")))</f>
        <v/>
      </c>
      <c r="BI64" s="117">
        <f>SUMPRODUCT($I$6:$AM$6,($I64:$AM64="M")*6+($I64:$AM64="T")*6+($I64:$AM64="D")*12+($I64:$AM64="N")*12+($I64:$AM64="NT")*6+($I64:$AM64="C")*10+($I64:$AM64="A")*8+($I64:$AM64="J")*5+($I64:$AM64="CEP")*4+($I64:$AM64="CP")*6+($I64:$AM64="CRO")*6+($I64:$AM64="M+")*6+($I64:$AM64="T+")*6+($I64:$AM64="D+")*12+($I64:$AM64="N+")*12+($I64:$AM64="Dm+")*12+($I64:$AM64="Dt+")*12+($I64:$AM64="Tm-")*6+($I64:$AM64="Mt-")*6)</f>
        <v/>
      </c>
      <c r="BJ64" s="117">
        <f>ROUND(B64*4.43,0)</f>
        <v/>
      </c>
      <c r="BK64" s="119">
        <f>BF64-BJ64</f>
        <v/>
      </c>
      <c r="BL64" s="120">
        <f>SUMPRODUCT((($C64:$AL64="N")+($C64:$AL64="N+"))*(($D64:$AM64="M")+($D64:$AM64="D")+($D64:$AM64="C")+($D64:$AM64="CEP")+($D64:$AM64="M+")+($D64:$AM64="D+")+($D64:$AM64="Dm+")+($D64:$AM64="Dt+")+($D64:$AM64="Mt-")))</f>
        <v/>
      </c>
      <c r="BM64" s="120">
        <f>SUMPRODUCT((($C64:$AL64="N")+($C64:$AL64="N+"))*(($D64:$AM64="T")+($D64:$AM64="T+")+($D64:$AM64="Tm-")))</f>
        <v/>
      </c>
      <c r="BN64" s="120">
        <f>IFERROR(INDEX(CONFIG!$B$44:$D$46,MATCH($B64,CONFIG!$A$44:$A$46,0),IF(COUNTIF($I64:$AM64,"FE")&gt;=10,1,IF(COUNTIF($I64:$AM64,"FE")&gt;=1,2,3))),"")</f>
        <v/>
      </c>
      <c r="BO64" s="120">
        <f>IF(BN64="","",MAX(0,BG64-BN64*CONFIG!$E$44))</f>
        <v/>
      </c>
      <c r="BP64" s="120">
        <f>MAX(AT64,AV64,AX64,AZ64,BB64,BD64)</f>
        <v/>
      </c>
      <c r="BQ64" s="121" t="inlineStr">
        <is>
          <t>3 · staff</t>
        </is>
      </c>
      <c r="BR64" s="122" t="n">
        <v>7</v>
      </c>
      <c r="BS64" s="39" t="n"/>
    </row>
    <row r="65">
      <c r="A65" s="89" t="inlineStr">
        <is>
          <t>Pjamile</t>
        </is>
      </c>
      <c r="B65" s="107" t="n">
        <v>24</v>
      </c>
      <c r="C65" s="100" t="n"/>
      <c r="D65" s="100" t="n"/>
      <c r="E65" s="100" t="n"/>
      <c r="F65" s="100" t="n"/>
      <c r="G65" s="100" t="n"/>
      <c r="H65" s="136">
        <f>IFERROR(INDEX(NOV!AL$8:AL$73,MATCH($A65,NOV!$A$8:$A$73,0))&amp;"","")</f>
        <v/>
      </c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  <c r="AB65" s="114" t="n"/>
      <c r="AC65" s="114" t="n"/>
      <c r="AD65" s="114" t="n"/>
      <c r="AE65" s="114" t="n"/>
      <c r="AF65" s="114" t="n"/>
      <c r="AG65" s="114" t="n"/>
      <c r="AH65" s="114" t="n"/>
      <c r="AI65" s="114" t="n"/>
      <c r="AJ65" s="114" t="n"/>
      <c r="AK65" s="114" t="n"/>
      <c r="AL65" s="114" t="n"/>
      <c r="AM65" s="114" t="n"/>
      <c r="AN65" s="100" t="n"/>
      <c r="AO65" s="100" t="n"/>
      <c r="AP65" s="100" t="n"/>
      <c r="AQ65" s="100" t="n"/>
      <c r="AR65" s="100" t="n"/>
      <c r="AS65" s="100" t="n"/>
      <c r="AT65" s="117">
        <f>SUMPRODUCT(($H65:$N65="M")*6+($H65:$N65="T")*6+($H65:$N65="D")*12+($H65:$N65="N")*12+($H65:$N65="NT")*6+($H65:$N65="C")*10+($H65:$N65="A")*8+($H65:$N65="J")*5+($H65:$N65="CEP")*4+($H65:$N65="CP")*6+($H65:$N65="CRO")*6+($H65:$N65="M+")*6+($H65:$N65="T+")*6+($H65:$N65="D+")*12+($H65:$N65="N+")*12+($H65:$N65="Dm+")*12+($H65:$N65="Dt+")*12+($H65:$N65="Tm-")*6+($H65:$N65="Mt-")*6)</f>
        <v/>
      </c>
      <c r="AU65" s="118">
        <f>AT65-MAX(0,IFERROR(INDEX(CADASTRO!$I$4:$I$80,MATCH($A65,CADASTRO!$A$4:$A$80,0)),$B65)-CONFIG!$B$50*(COUNTIF($H65:$N65,"AB")+COUNTIF($H65:$N65,"FE")+COUNTIF($H65:$N65,"LM")))</f>
        <v/>
      </c>
      <c r="AV65" s="117">
        <f>SUMPRODUCT(($O65:$U65="M")*6+($O65:$U65="T")*6+($O65:$U65="D")*12+($O65:$U65="N")*12+($O65:$U65="NT")*6+($O65:$U65="C")*10+($O65:$U65="A")*8+($O65:$U65="J")*5+($O65:$U65="CEP")*4+($O65:$U65="CP")*6+($O65:$U65="CRO")*6+($O65:$U65="M+")*6+($O65:$U65="T+")*6+($O65:$U65="D+")*12+($O65:$U65="N+")*12+($O65:$U65="Dm+")*12+($O65:$U65="Dt+")*12+($O65:$U65="Tm-")*6+($O65:$U65="Mt-")*6)</f>
        <v/>
      </c>
      <c r="AW65" s="118">
        <f>AV65-MAX(0,IFERROR(INDEX(CADASTRO!$I$4:$I$80,MATCH($A65,CADASTRO!$A$4:$A$80,0)),$B65)-CONFIG!$B$50*(COUNTIF($O65:$U65,"AB")+COUNTIF($O65:$U65,"FE")+COUNTIF($O65:$U65,"LM")))</f>
        <v/>
      </c>
      <c r="AX65" s="117">
        <f>SUMPRODUCT(($V65:$AB65="M")*6+($V65:$AB65="T")*6+($V65:$AB65="D")*12+($V65:$AB65="N")*12+($V65:$AB65="NT")*6+($V65:$AB65="C")*10+($V65:$AB65="A")*8+($V65:$AB65="J")*5+($V65:$AB65="CEP")*4+($V65:$AB65="CP")*6+($V65:$AB65="CRO")*6+($V65:$AB65="M+")*6+($V65:$AB65="T+")*6+($V65:$AB65="D+")*12+($V65:$AB65="N+")*12+($V65:$AB65="Dm+")*12+($V65:$AB65="Dt+")*12+($V65:$AB65="Tm-")*6+($V65:$AB65="Mt-")*6)</f>
        <v/>
      </c>
      <c r="AY65" s="118">
        <f>AX65-MAX(0,IFERROR(INDEX(CADASTRO!$I$4:$I$80,MATCH($A65,CADASTRO!$A$4:$A$80,0)),$B65)-CONFIG!$B$50*(COUNTIF($V65:$AB65,"AB")+COUNTIF($V65:$AB65,"FE")+COUNTIF($V65:$AB65,"LM")))</f>
        <v/>
      </c>
      <c r="AZ65" s="117">
        <f>SUMPRODUCT(($AC65:$AI65="M")*6+($AC65:$AI65="T")*6+($AC65:$AI65="D")*12+($AC65:$AI65="N")*12+($AC65:$AI65="NT")*6+($AC65:$AI65="C")*10+($AC65:$AI65="A")*8+($AC65:$AI65="J")*5+($AC65:$AI65="CEP")*4+($AC65:$AI65="CP")*6+($AC65:$AI65="CRO")*6+($AC65:$AI65="M+")*6+($AC65:$AI65="T+")*6+($AC65:$AI65="D+")*12+($AC65:$AI65="N+")*12+($AC65:$AI65="Dm+")*12+($AC65:$AI65="Dt+")*12+($AC65:$AI65="Tm-")*6+($AC65:$AI65="Mt-")*6)</f>
        <v/>
      </c>
      <c r="BA65" s="118">
        <f>AZ65-MAX(0,IFERROR(INDEX(CADASTRO!$I$4:$I$80,MATCH($A65,CADASTRO!$A$4:$A$80,0)),$B65)-CONFIG!$B$50*(COUNTIF($AC65:$AI65,"AB")+COUNTIF($AC65:$AI65,"FE")+COUNTIF($AC65:$AI65,"LM")))</f>
        <v/>
      </c>
      <c r="BB65" s="117">
        <f>SUMPRODUCT(($AJ65:$AM65="M")*6+($AJ65:$AM65="T")*6+($AJ65:$AM65="D")*12+($AJ65:$AM65="N")*12+($AJ65:$AM65="NT")*6+($AJ65:$AM65="C")*10+($AJ65:$AM65="A")*8+($AJ65:$AM65="J")*5+($AJ65:$AM65="CEP")*4+($AJ65:$AM65="CP")*6+($AJ65:$AM65="CRO")*6+($AJ65:$AM65="M+")*6+($AJ65:$AM65="T+")*6+($AJ65:$AM65="D+")*12+($AJ65:$AM65="N+")*12+($AJ65:$AM65="Dm+")*12+($AJ65:$AM65="Dt+")*12+($AJ65:$AM65="Tm-")*6+($AJ65:$AM65="Mt-")*6)+SUMPRODUCT(($AN65:$AP65="M")*6+($AN65:$AP65="T")*6+($AN65:$AP65="D")*12+($AN65:$AP65="N")*12+($AN65:$AP65="NT")*6+($AN65:$AP65="C")*10+($AN65:$AP65="A")*8+($AN65:$AP65="J")*5+($AN65:$AP65="CEP")*4+($AN65:$AP65="CP")*6+($AN65:$AP65="CRO")*6+($AN65:$AP65="M+")*6+($AN65:$AP65="T+")*6+($AN65:$AP65="D+")*12+($AN65:$AP65="N+")*12+($AN65:$AP65="Dm+")*12+($AN65:$AP65="Dt+")*12+($AN65:$AP65="Tm-")*6+($AN65:$AP65="Mt-")*6)</f>
        <v/>
      </c>
      <c r="BC65" s="118">
        <f>BB65-MAX(0,IFERROR(INDEX(CADASTRO!$I$4:$I$80,MATCH($A65,CADASTRO!$A$4:$A$80,0)),$B65)-CONFIG!$B$50*(COUNTIF($AJ65:$AM65,"AB")+COUNTIF($AJ65:$AM65,"FE")+COUNTIF($AJ65:$AM65,"LM")+COUNTIF($AN65:$AP65,"AB")+COUNTIF($AN65:$AP65,"FE")+COUNTIF($AN65:$AP65,"LM")))</f>
        <v/>
      </c>
      <c r="BD65" s="117" t="n"/>
      <c r="BE65" s="118" t="n"/>
      <c r="BF65" s="117">
        <f>SUMPRODUCT(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G65" s="117">
        <f>SUMPRODUCT($I$4:$AM$4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H65" s="117">
        <f>SUMPRODUCT($I$5:$AM$5,(($I65:$AM65="N")+($I65:$AM65="N+")))</f>
        <v/>
      </c>
      <c r="BI65" s="117">
        <f>SUMPRODUCT($I$6:$AM$6,($I65:$AM65="M")*6+($I65:$AM65="T")*6+($I65:$AM65="D")*12+($I65:$AM65="N")*12+($I65:$AM65="NT")*6+($I65:$AM65="C")*10+($I65:$AM65="A")*8+($I65:$AM65="J")*5+($I65:$AM65="CEP")*4+($I65:$AM65="CP")*6+($I65:$AM65="CRO")*6+($I65:$AM65="M+")*6+($I65:$AM65="T+")*6+($I65:$AM65="D+")*12+($I65:$AM65="N+")*12+($I65:$AM65="Dm+")*12+($I65:$AM65="Dt+")*12+($I65:$AM65="Tm-")*6+($I65:$AM65="Mt-")*6)</f>
        <v/>
      </c>
      <c r="BJ65" s="117">
        <f>ROUND(B65*4.43,0)</f>
        <v/>
      </c>
      <c r="BK65" s="119">
        <f>BF65-BJ65</f>
        <v/>
      </c>
      <c r="BL65" s="120">
        <f>SUMPRODUCT((($C65:$AL65="N")+($C65:$AL65="N+"))*(($D65:$AM65="M")+($D65:$AM65="D")+($D65:$AM65="C")+($D65:$AM65="CEP")+($D65:$AM65="M+")+($D65:$AM65="D+")+($D65:$AM65="Dm+")+($D65:$AM65="Dt+")+($D65:$AM65="Mt-")))</f>
        <v/>
      </c>
      <c r="BM65" s="120">
        <f>SUMPRODUCT((($C65:$AL65="N")+($C65:$AL65="N+"))*(($D65:$AM65="T")+($D65:$AM65="T+")+($D65:$AM65="Tm-")))</f>
        <v/>
      </c>
      <c r="BN65" s="120">
        <f>IFERROR(INDEX(CONFIG!$B$44:$D$46,MATCH($B65,CONFIG!$A$44:$A$46,0),IF(COUNTIF($I65:$AM65,"FE")&gt;=10,1,IF(COUNTIF($I65:$AM65,"FE")&gt;=1,2,3))),"")</f>
        <v/>
      </c>
      <c r="BO65" s="120">
        <f>IF(BN65="","",MAX(0,BG65-BN65*CONFIG!$E$44))</f>
        <v/>
      </c>
      <c r="BP65" s="120">
        <f>MAX(AT65,AV65,AX65,AZ65,BB65,BD65)</f>
        <v/>
      </c>
      <c r="BQ65" s="121" t="inlineStr">
        <is>
          <t>3 · staff</t>
        </is>
      </c>
      <c r="BR65" s="122" t="n">
        <v>7</v>
      </c>
      <c r="BS65" s="39" t="n"/>
    </row>
    <row r="66">
      <c r="A66" s="89" t="inlineStr">
        <is>
          <t>Raphael</t>
        </is>
      </c>
      <c r="B66" s="107" t="n">
        <v>24</v>
      </c>
      <c r="C66" s="100" t="n"/>
      <c r="D66" s="100" t="n"/>
      <c r="E66" s="100" t="n"/>
      <c r="F66" s="100" t="n"/>
      <c r="G66" s="100" t="n"/>
      <c r="H66" s="136">
        <f>IFERROR(INDEX(NOV!AL$8:AL$73,MATCH($A66,NOV!$A$8:$A$73,0))&amp;"","")</f>
        <v/>
      </c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  <c r="AB66" s="114" t="n"/>
      <c r="AC66" s="114" t="n"/>
      <c r="AD66" s="114" t="n"/>
      <c r="AE66" s="114" t="n"/>
      <c r="AF66" s="114" t="n"/>
      <c r="AG66" s="114" t="n"/>
      <c r="AH66" s="114" t="n"/>
      <c r="AI66" s="114" t="n"/>
      <c r="AJ66" s="114" t="n"/>
      <c r="AK66" s="114" t="n"/>
      <c r="AL66" s="114" t="n"/>
      <c r="AM66" s="114" t="n"/>
      <c r="AN66" s="100" t="n"/>
      <c r="AO66" s="100" t="n"/>
      <c r="AP66" s="100" t="n"/>
      <c r="AQ66" s="100" t="n"/>
      <c r="AR66" s="100" t="n"/>
      <c r="AS66" s="100" t="n"/>
      <c r="AT66" s="117">
        <f>SUMPRODUCT(($H66:$N66="M")*6+($H66:$N66="T")*6+($H66:$N66="D")*12+($H66:$N66="N")*12+($H66:$N66="NT")*6+($H66:$N66="C")*10+($H66:$N66="A")*8+($H66:$N66="J")*5+($H66:$N66="CEP")*4+($H66:$N66="CP")*6+($H66:$N66="CRO")*6+($H66:$N66="M+")*6+($H66:$N66="T+")*6+($H66:$N66="D+")*12+($H66:$N66="N+")*12+($H66:$N66="Dm+")*12+($H66:$N66="Dt+")*12+($H66:$N66="Tm-")*6+($H66:$N66="Mt-")*6)</f>
        <v/>
      </c>
      <c r="AU66" s="118">
        <f>AT66-MAX(0,IFERROR(INDEX(CADASTRO!$I$4:$I$80,MATCH($A66,CADASTRO!$A$4:$A$80,0)),$B66)-CONFIG!$B$50*(COUNTIF($H66:$N66,"AB")+COUNTIF($H66:$N66,"FE")+COUNTIF($H66:$N66,"LM")))</f>
        <v/>
      </c>
      <c r="AV66" s="117">
        <f>SUMPRODUCT(($O66:$U66="M")*6+($O66:$U66="T")*6+($O66:$U66="D")*12+($O66:$U66="N")*12+($O66:$U66="NT")*6+($O66:$U66="C")*10+($O66:$U66="A")*8+($O66:$U66="J")*5+($O66:$U66="CEP")*4+($O66:$U66="CP")*6+($O66:$U66="CRO")*6+($O66:$U66="M+")*6+($O66:$U66="T+")*6+($O66:$U66="D+")*12+($O66:$U66="N+")*12+($O66:$U66="Dm+")*12+($O66:$U66="Dt+")*12+($O66:$U66="Tm-")*6+($O66:$U66="Mt-")*6)</f>
        <v/>
      </c>
      <c r="AW66" s="118">
        <f>AV66-MAX(0,IFERROR(INDEX(CADASTRO!$I$4:$I$80,MATCH($A66,CADASTRO!$A$4:$A$80,0)),$B66)-CONFIG!$B$50*(COUNTIF($O66:$U66,"AB")+COUNTIF($O66:$U66,"FE")+COUNTIF($O66:$U66,"LM")))</f>
        <v/>
      </c>
      <c r="AX66" s="117">
        <f>SUMPRODUCT(($V66:$AB66="M")*6+($V66:$AB66="T")*6+($V66:$AB66="D")*12+($V66:$AB66="N")*12+($V66:$AB66="NT")*6+($V66:$AB66="C")*10+($V66:$AB66="A")*8+($V66:$AB66="J")*5+($V66:$AB66="CEP")*4+($V66:$AB66="CP")*6+($V66:$AB66="CRO")*6+($V66:$AB66="M+")*6+($V66:$AB66="T+")*6+($V66:$AB66="D+")*12+($V66:$AB66="N+")*12+($V66:$AB66="Dm+")*12+($V66:$AB66="Dt+")*12+($V66:$AB66="Tm-")*6+($V66:$AB66="Mt-")*6)</f>
        <v/>
      </c>
      <c r="AY66" s="118">
        <f>AX66-MAX(0,IFERROR(INDEX(CADASTRO!$I$4:$I$80,MATCH($A66,CADASTRO!$A$4:$A$80,0)),$B66)-CONFIG!$B$50*(COUNTIF($V66:$AB66,"AB")+COUNTIF($V66:$AB66,"FE")+COUNTIF($V66:$AB66,"LM")))</f>
        <v/>
      </c>
      <c r="AZ66" s="117">
        <f>SUMPRODUCT(($AC66:$AI66="M")*6+($AC66:$AI66="T")*6+($AC66:$AI66="D")*12+($AC66:$AI66="N")*12+($AC66:$AI66="NT")*6+($AC66:$AI66="C")*10+($AC66:$AI66="A")*8+($AC66:$AI66="J")*5+($AC66:$AI66="CEP")*4+($AC66:$AI66="CP")*6+($AC66:$AI66="CRO")*6+($AC66:$AI66="M+")*6+($AC66:$AI66="T+")*6+($AC66:$AI66="D+")*12+($AC66:$AI66="N+")*12+($AC66:$AI66="Dm+")*12+($AC66:$AI66="Dt+")*12+($AC66:$AI66="Tm-")*6+($AC66:$AI66="Mt-")*6)</f>
        <v/>
      </c>
      <c r="BA66" s="118">
        <f>AZ66-MAX(0,IFERROR(INDEX(CADASTRO!$I$4:$I$80,MATCH($A66,CADASTRO!$A$4:$A$80,0)),$B66)-CONFIG!$B$50*(COUNTIF($AC66:$AI66,"AB")+COUNTIF($AC66:$AI66,"FE")+COUNTIF($AC66:$AI66,"LM")))</f>
        <v/>
      </c>
      <c r="BB66" s="117">
        <f>SUMPRODUCT(($AJ66:$AM66="M")*6+($AJ66:$AM66="T")*6+($AJ66:$AM66="D")*12+($AJ66:$AM66="N")*12+($AJ66:$AM66="NT")*6+($AJ66:$AM66="C")*10+($AJ66:$AM66="A")*8+($AJ66:$AM66="J")*5+($AJ66:$AM66="CEP")*4+($AJ66:$AM66="CP")*6+($AJ66:$AM66="CRO")*6+($AJ66:$AM66="M+")*6+($AJ66:$AM66="T+")*6+($AJ66:$AM66="D+")*12+($AJ66:$AM66="N+")*12+($AJ66:$AM66="Dm+")*12+($AJ66:$AM66="Dt+")*12+($AJ66:$AM66="Tm-")*6+($AJ66:$AM66="Mt-")*6)+SUMPRODUCT(($AN66:$AP66="M")*6+($AN66:$AP66="T")*6+($AN66:$AP66="D")*12+($AN66:$AP66="N")*12+($AN66:$AP66="NT")*6+($AN66:$AP66="C")*10+($AN66:$AP66="A")*8+($AN66:$AP66="J")*5+($AN66:$AP66="CEP")*4+($AN66:$AP66="CP")*6+($AN66:$AP66="CRO")*6+($AN66:$AP66="M+")*6+($AN66:$AP66="T+")*6+($AN66:$AP66="D+")*12+($AN66:$AP66="N+")*12+($AN66:$AP66="Dm+")*12+($AN66:$AP66="Dt+")*12+($AN66:$AP66="Tm-")*6+($AN66:$AP66="Mt-")*6)</f>
        <v/>
      </c>
      <c r="BC66" s="118">
        <f>BB66-MAX(0,IFERROR(INDEX(CADASTRO!$I$4:$I$80,MATCH($A66,CADASTRO!$A$4:$A$80,0)),$B66)-CONFIG!$B$50*(COUNTIF($AJ66:$AM66,"AB")+COUNTIF($AJ66:$AM66,"FE")+COUNTIF($AJ66:$AM66,"LM")+COUNTIF($AN66:$AP66,"AB")+COUNTIF($AN66:$AP66,"FE")+COUNTIF($AN66:$AP66,"LM")))</f>
        <v/>
      </c>
      <c r="BD66" s="117" t="n"/>
      <c r="BE66" s="118" t="n"/>
      <c r="BF66" s="117">
        <f>SUMPRODUCT(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G66" s="117">
        <f>SUMPRODUCT($I$4:$AM$4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H66" s="117">
        <f>SUMPRODUCT($I$5:$AM$5,(($I66:$AM66="N")+($I66:$AM66="N+")))</f>
        <v/>
      </c>
      <c r="BI66" s="117">
        <f>SUMPRODUCT($I$6:$AM$6,($I66:$AM66="M")*6+($I66:$AM66="T")*6+($I66:$AM66="D")*12+($I66:$AM66="N")*12+($I66:$AM66="NT")*6+($I66:$AM66="C")*10+($I66:$AM66="A")*8+($I66:$AM66="J")*5+($I66:$AM66="CEP")*4+($I66:$AM66="CP")*6+($I66:$AM66="CRO")*6+($I66:$AM66="M+")*6+($I66:$AM66="T+")*6+($I66:$AM66="D+")*12+($I66:$AM66="N+")*12+($I66:$AM66="Dm+")*12+($I66:$AM66="Dt+")*12+($I66:$AM66="Tm-")*6+($I66:$AM66="Mt-")*6)</f>
        <v/>
      </c>
      <c r="BJ66" s="117">
        <f>ROUND(B66*4.43,0)</f>
        <v/>
      </c>
      <c r="BK66" s="119">
        <f>BF66-BJ66</f>
        <v/>
      </c>
      <c r="BL66" s="120">
        <f>SUMPRODUCT((($C66:$AL66="N")+($C66:$AL66="N+"))*(($D66:$AM66="M")+($D66:$AM66="D")+($D66:$AM66="C")+($D66:$AM66="CEP")+($D66:$AM66="M+")+($D66:$AM66="D+")+($D66:$AM66="Dm+")+($D66:$AM66="Dt+")+($D66:$AM66="Mt-")))</f>
        <v/>
      </c>
      <c r="BM66" s="120">
        <f>SUMPRODUCT((($C66:$AL66="N")+($C66:$AL66="N+"))*(($D66:$AM66="T")+($D66:$AM66="T+")+($D66:$AM66="Tm-")))</f>
        <v/>
      </c>
      <c r="BN66" s="120">
        <f>IFERROR(INDEX(CONFIG!$B$44:$D$46,MATCH($B66,CONFIG!$A$44:$A$46,0),IF(COUNTIF($I66:$AM66,"FE")&gt;=10,1,IF(COUNTIF($I66:$AM66,"FE")&gt;=1,2,3))),"")</f>
        <v/>
      </c>
      <c r="BO66" s="120">
        <f>IF(BN66="","",MAX(0,BG66-BN66*CONFIG!$E$44))</f>
        <v/>
      </c>
      <c r="BP66" s="120">
        <f>MAX(AT66,AV66,AX66,AZ66,BB66,BD66)</f>
        <v/>
      </c>
      <c r="BQ66" s="121" t="inlineStr">
        <is>
          <t>3 · staff</t>
        </is>
      </c>
      <c r="BR66" s="122" t="n">
        <v>7</v>
      </c>
      <c r="BS66" s="39" t="n"/>
    </row>
    <row r="67">
      <c r="A67" s="89" t="inlineStr">
        <is>
          <t>Raquel</t>
        </is>
      </c>
      <c r="B67" s="107" t="n">
        <v>24</v>
      </c>
      <c r="C67" s="100" t="n"/>
      <c r="D67" s="100" t="n"/>
      <c r="E67" s="100" t="n"/>
      <c r="F67" s="100" t="n"/>
      <c r="G67" s="100" t="n"/>
      <c r="H67" s="136">
        <f>IFERROR(INDEX(NOV!AL$8:AL$73,MATCH($A67,NOV!$A$8:$A$73,0))&amp;"","")</f>
        <v/>
      </c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  <c r="AB67" s="114" t="n"/>
      <c r="AC67" s="114" t="n"/>
      <c r="AD67" s="114" t="n"/>
      <c r="AE67" s="114" t="n"/>
      <c r="AF67" s="114" t="n"/>
      <c r="AG67" s="114" t="n"/>
      <c r="AH67" s="114" t="n"/>
      <c r="AI67" s="114" t="n"/>
      <c r="AJ67" s="114" t="n"/>
      <c r="AK67" s="114" t="n"/>
      <c r="AL67" s="114" t="n"/>
      <c r="AM67" s="114" t="n"/>
      <c r="AN67" s="100" t="n"/>
      <c r="AO67" s="100" t="n"/>
      <c r="AP67" s="100" t="n"/>
      <c r="AQ67" s="100" t="n"/>
      <c r="AR67" s="100" t="n"/>
      <c r="AS67" s="100" t="n"/>
      <c r="AT67" s="117">
        <f>SUMPRODUCT(($H67:$N67="M")*6+($H67:$N67="T")*6+($H67:$N67="D")*12+($H67:$N67="N")*12+($H67:$N67="NT")*6+($H67:$N67="C")*10+($H67:$N67="A")*8+($H67:$N67="J")*5+($H67:$N67="CEP")*4+($H67:$N67="CP")*6+($H67:$N67="CRO")*6+($H67:$N67="M+")*6+($H67:$N67="T+")*6+($H67:$N67="D+")*12+($H67:$N67="N+")*12+($H67:$N67="Dm+")*12+($H67:$N67="Dt+")*12+($H67:$N67="Tm-")*6+($H67:$N67="Mt-")*6)</f>
        <v/>
      </c>
      <c r="AU67" s="118">
        <f>AT67-MAX(0,IFERROR(INDEX(CADASTRO!$I$4:$I$80,MATCH($A67,CADASTRO!$A$4:$A$80,0)),$B67)-CONFIG!$B$50*(COUNTIF($H67:$N67,"AB")+COUNTIF($H67:$N67,"FE")+COUNTIF($H67:$N67,"LM")))</f>
        <v/>
      </c>
      <c r="AV67" s="117">
        <f>SUMPRODUCT(($O67:$U67="M")*6+($O67:$U67="T")*6+($O67:$U67="D")*12+($O67:$U67="N")*12+($O67:$U67="NT")*6+($O67:$U67="C")*10+($O67:$U67="A")*8+($O67:$U67="J")*5+($O67:$U67="CEP")*4+($O67:$U67="CP")*6+($O67:$U67="CRO")*6+($O67:$U67="M+")*6+($O67:$U67="T+")*6+($O67:$U67="D+")*12+($O67:$U67="N+")*12+($O67:$U67="Dm+")*12+($O67:$U67="Dt+")*12+($O67:$U67="Tm-")*6+($O67:$U67="Mt-")*6)</f>
        <v/>
      </c>
      <c r="AW67" s="118">
        <f>AV67-MAX(0,IFERROR(INDEX(CADASTRO!$I$4:$I$80,MATCH($A67,CADASTRO!$A$4:$A$80,0)),$B67)-CONFIG!$B$50*(COUNTIF($O67:$U67,"AB")+COUNTIF($O67:$U67,"FE")+COUNTIF($O67:$U67,"LM")))</f>
        <v/>
      </c>
      <c r="AX67" s="117">
        <f>SUMPRODUCT(($V67:$AB67="M")*6+($V67:$AB67="T")*6+($V67:$AB67="D")*12+($V67:$AB67="N")*12+($V67:$AB67="NT")*6+($V67:$AB67="C")*10+($V67:$AB67="A")*8+($V67:$AB67="J")*5+($V67:$AB67="CEP")*4+($V67:$AB67="CP")*6+($V67:$AB67="CRO")*6+($V67:$AB67="M+")*6+($V67:$AB67="T+")*6+($V67:$AB67="D+")*12+($V67:$AB67="N+")*12+($V67:$AB67="Dm+")*12+($V67:$AB67="Dt+")*12+($V67:$AB67="Tm-")*6+($V67:$AB67="Mt-")*6)</f>
        <v/>
      </c>
      <c r="AY67" s="118">
        <f>AX67-MAX(0,IFERROR(INDEX(CADASTRO!$I$4:$I$80,MATCH($A67,CADASTRO!$A$4:$A$80,0)),$B67)-CONFIG!$B$50*(COUNTIF($V67:$AB67,"AB")+COUNTIF($V67:$AB67,"FE")+COUNTIF($V67:$AB67,"LM")))</f>
        <v/>
      </c>
      <c r="AZ67" s="117">
        <f>SUMPRODUCT(($AC67:$AI67="M")*6+($AC67:$AI67="T")*6+($AC67:$AI67="D")*12+($AC67:$AI67="N")*12+($AC67:$AI67="NT")*6+($AC67:$AI67="C")*10+($AC67:$AI67="A")*8+($AC67:$AI67="J")*5+($AC67:$AI67="CEP")*4+($AC67:$AI67="CP")*6+($AC67:$AI67="CRO")*6+($AC67:$AI67="M+")*6+($AC67:$AI67="T+")*6+($AC67:$AI67="D+")*12+($AC67:$AI67="N+")*12+($AC67:$AI67="Dm+")*12+($AC67:$AI67="Dt+")*12+($AC67:$AI67="Tm-")*6+($AC67:$AI67="Mt-")*6)</f>
        <v/>
      </c>
      <c r="BA67" s="118">
        <f>AZ67-MAX(0,IFERROR(INDEX(CADASTRO!$I$4:$I$80,MATCH($A67,CADASTRO!$A$4:$A$80,0)),$B67)-CONFIG!$B$50*(COUNTIF($AC67:$AI67,"AB")+COUNTIF($AC67:$AI67,"FE")+COUNTIF($AC67:$AI67,"LM")))</f>
        <v/>
      </c>
      <c r="BB67" s="117">
        <f>SUMPRODUCT(($AJ67:$AM67="M")*6+($AJ67:$AM67="T")*6+($AJ67:$AM67="D")*12+($AJ67:$AM67="N")*12+($AJ67:$AM67="NT")*6+($AJ67:$AM67="C")*10+($AJ67:$AM67="A")*8+($AJ67:$AM67="J")*5+($AJ67:$AM67="CEP")*4+($AJ67:$AM67="CP")*6+($AJ67:$AM67="CRO")*6+($AJ67:$AM67="M+")*6+($AJ67:$AM67="T+")*6+($AJ67:$AM67="D+")*12+($AJ67:$AM67="N+")*12+($AJ67:$AM67="Dm+")*12+($AJ67:$AM67="Dt+")*12+($AJ67:$AM67="Tm-")*6+($AJ67:$AM67="Mt-")*6)+SUMPRODUCT(($AN67:$AP67="M")*6+($AN67:$AP67="T")*6+($AN67:$AP67="D")*12+($AN67:$AP67="N")*12+($AN67:$AP67="NT")*6+($AN67:$AP67="C")*10+($AN67:$AP67="A")*8+($AN67:$AP67="J")*5+($AN67:$AP67="CEP")*4+($AN67:$AP67="CP")*6+($AN67:$AP67="CRO")*6+($AN67:$AP67="M+")*6+($AN67:$AP67="T+")*6+($AN67:$AP67="D+")*12+($AN67:$AP67="N+")*12+($AN67:$AP67="Dm+")*12+($AN67:$AP67="Dt+")*12+($AN67:$AP67="Tm-")*6+($AN67:$AP67="Mt-")*6)</f>
        <v/>
      </c>
      <c r="BC67" s="118">
        <f>BB67-MAX(0,IFERROR(INDEX(CADASTRO!$I$4:$I$80,MATCH($A67,CADASTRO!$A$4:$A$80,0)),$B67)-CONFIG!$B$50*(COUNTIF($AJ67:$AM67,"AB")+COUNTIF($AJ67:$AM67,"FE")+COUNTIF($AJ67:$AM67,"LM")+COUNTIF($AN67:$AP67,"AB")+COUNTIF($AN67:$AP67,"FE")+COUNTIF($AN67:$AP67,"LM")))</f>
        <v/>
      </c>
      <c r="BD67" s="117" t="n"/>
      <c r="BE67" s="118" t="n"/>
      <c r="BF67" s="117">
        <f>SUMPRODUCT(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G67" s="117">
        <f>SUMPRODUCT($I$4:$AM$4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H67" s="117">
        <f>SUMPRODUCT($I$5:$AM$5,(($I67:$AM67="N")+($I67:$AM67="N+")))</f>
        <v/>
      </c>
      <c r="BI67" s="117">
        <f>SUMPRODUCT($I$6:$AM$6,($I67:$AM67="M")*6+($I67:$AM67="T")*6+($I67:$AM67="D")*12+($I67:$AM67="N")*12+($I67:$AM67="NT")*6+($I67:$AM67="C")*10+($I67:$AM67="A")*8+($I67:$AM67="J")*5+($I67:$AM67="CEP")*4+($I67:$AM67="CP")*6+($I67:$AM67="CRO")*6+($I67:$AM67="M+")*6+($I67:$AM67="T+")*6+($I67:$AM67="D+")*12+($I67:$AM67="N+")*12+($I67:$AM67="Dm+")*12+($I67:$AM67="Dt+")*12+($I67:$AM67="Tm-")*6+($I67:$AM67="Mt-")*6)</f>
        <v/>
      </c>
      <c r="BJ67" s="117">
        <f>ROUND(B67*4.43,0)</f>
        <v/>
      </c>
      <c r="BK67" s="119">
        <f>BF67-BJ67</f>
        <v/>
      </c>
      <c r="BL67" s="120">
        <f>SUMPRODUCT((($C67:$AL67="N")+($C67:$AL67="N+"))*(($D67:$AM67="M")+($D67:$AM67="D")+($D67:$AM67="C")+($D67:$AM67="CEP")+($D67:$AM67="M+")+($D67:$AM67="D+")+($D67:$AM67="Dm+")+($D67:$AM67="Dt+")+($D67:$AM67="Mt-")))</f>
        <v/>
      </c>
      <c r="BM67" s="120">
        <f>SUMPRODUCT((($C67:$AL67="N")+($C67:$AL67="N+"))*(($D67:$AM67="T")+($D67:$AM67="T+")+($D67:$AM67="Tm-")))</f>
        <v/>
      </c>
      <c r="BN67" s="120">
        <f>IFERROR(INDEX(CONFIG!$B$44:$D$46,MATCH($B67,CONFIG!$A$44:$A$46,0),IF(COUNTIF($I67:$AM67,"FE")&gt;=10,1,IF(COUNTIF($I67:$AM67,"FE")&gt;=1,2,3))),"")</f>
        <v/>
      </c>
      <c r="BO67" s="120">
        <f>IF(BN67="","",MAX(0,BG67-BN67*CONFIG!$E$44))</f>
        <v/>
      </c>
      <c r="BP67" s="120">
        <f>MAX(AT67,AV67,AX67,AZ67,BB67,BD67)</f>
        <v/>
      </c>
      <c r="BQ67" s="121" t="inlineStr">
        <is>
          <t>3 · staff</t>
        </is>
      </c>
      <c r="BR67" s="122" t="n">
        <v>7</v>
      </c>
      <c r="BS67" s="39" t="n"/>
    </row>
    <row r="68">
      <c r="A68" s="89" t="inlineStr">
        <is>
          <t>Thamyres</t>
        </is>
      </c>
      <c r="B68" s="107" t="n">
        <v>24</v>
      </c>
      <c r="C68" s="100" t="n"/>
      <c r="D68" s="100" t="n"/>
      <c r="E68" s="100" t="n"/>
      <c r="F68" s="100" t="n"/>
      <c r="G68" s="100" t="n"/>
      <c r="H68" s="136">
        <f>IFERROR(INDEX(NOV!AL$8:AL$73,MATCH($A68,NOV!$A$8:$A$73,0))&amp;"","")</f>
        <v/>
      </c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  <c r="AB68" s="114" t="n"/>
      <c r="AC68" s="114" t="n"/>
      <c r="AD68" s="114" t="n"/>
      <c r="AE68" s="114" t="n"/>
      <c r="AF68" s="114" t="n"/>
      <c r="AG68" s="114" t="n"/>
      <c r="AH68" s="114" t="n"/>
      <c r="AI68" s="114" t="n"/>
      <c r="AJ68" s="114" t="n"/>
      <c r="AK68" s="114" t="n"/>
      <c r="AL68" s="114" t="n"/>
      <c r="AM68" s="114" t="n"/>
      <c r="AN68" s="100" t="n"/>
      <c r="AO68" s="100" t="n"/>
      <c r="AP68" s="100" t="n"/>
      <c r="AQ68" s="100" t="n"/>
      <c r="AR68" s="100" t="n"/>
      <c r="AS68" s="100" t="n"/>
      <c r="AT68" s="117">
        <f>SUMPRODUCT(($H68:$N68="M")*6+($H68:$N68="T")*6+($H68:$N68="D")*12+($H68:$N68="N")*12+($H68:$N68="NT")*6+($H68:$N68="C")*10+($H68:$N68="A")*8+($H68:$N68="J")*5+($H68:$N68="CEP")*4+($H68:$N68="CP")*6+($H68:$N68="CRO")*6+($H68:$N68="M+")*6+($H68:$N68="T+")*6+($H68:$N68="D+")*12+($H68:$N68="N+")*12+($H68:$N68="Dm+")*12+($H68:$N68="Dt+")*12+($H68:$N68="Tm-")*6+($H68:$N68="Mt-")*6)</f>
        <v/>
      </c>
      <c r="AU68" s="118">
        <f>AT68-MAX(0,IFERROR(INDEX(CADASTRO!$I$4:$I$80,MATCH($A68,CADASTRO!$A$4:$A$80,0)),$B68)-CONFIG!$B$50*(COUNTIF($H68:$N68,"AB")+COUNTIF($H68:$N68,"FE")+COUNTIF($H68:$N68,"LM")))</f>
        <v/>
      </c>
      <c r="AV68" s="117">
        <f>SUMPRODUCT(($O68:$U68="M")*6+($O68:$U68="T")*6+($O68:$U68="D")*12+($O68:$U68="N")*12+($O68:$U68="NT")*6+($O68:$U68="C")*10+($O68:$U68="A")*8+($O68:$U68="J")*5+($O68:$U68="CEP")*4+($O68:$U68="CP")*6+($O68:$U68="CRO")*6+($O68:$U68="M+")*6+($O68:$U68="T+")*6+($O68:$U68="D+")*12+($O68:$U68="N+")*12+($O68:$U68="Dm+")*12+($O68:$U68="Dt+")*12+($O68:$U68="Tm-")*6+($O68:$U68="Mt-")*6)</f>
        <v/>
      </c>
      <c r="AW68" s="118">
        <f>AV68-MAX(0,IFERROR(INDEX(CADASTRO!$I$4:$I$80,MATCH($A68,CADASTRO!$A$4:$A$80,0)),$B68)-CONFIG!$B$50*(COUNTIF($O68:$U68,"AB")+COUNTIF($O68:$U68,"FE")+COUNTIF($O68:$U68,"LM")))</f>
        <v/>
      </c>
      <c r="AX68" s="117">
        <f>SUMPRODUCT(($V68:$AB68="M")*6+($V68:$AB68="T")*6+($V68:$AB68="D")*12+($V68:$AB68="N")*12+($V68:$AB68="NT")*6+($V68:$AB68="C")*10+($V68:$AB68="A")*8+($V68:$AB68="J")*5+($V68:$AB68="CEP")*4+($V68:$AB68="CP")*6+($V68:$AB68="CRO")*6+($V68:$AB68="M+")*6+($V68:$AB68="T+")*6+($V68:$AB68="D+")*12+($V68:$AB68="N+")*12+($V68:$AB68="Dm+")*12+($V68:$AB68="Dt+")*12+($V68:$AB68="Tm-")*6+($V68:$AB68="Mt-")*6)</f>
        <v/>
      </c>
      <c r="AY68" s="118">
        <f>AX68-MAX(0,IFERROR(INDEX(CADASTRO!$I$4:$I$80,MATCH($A68,CADASTRO!$A$4:$A$80,0)),$B68)-CONFIG!$B$50*(COUNTIF($V68:$AB68,"AB")+COUNTIF($V68:$AB68,"FE")+COUNTIF($V68:$AB68,"LM")))</f>
        <v/>
      </c>
      <c r="AZ68" s="117">
        <f>SUMPRODUCT(($AC68:$AI68="M")*6+($AC68:$AI68="T")*6+($AC68:$AI68="D")*12+($AC68:$AI68="N")*12+($AC68:$AI68="NT")*6+($AC68:$AI68="C")*10+($AC68:$AI68="A")*8+($AC68:$AI68="J")*5+($AC68:$AI68="CEP")*4+($AC68:$AI68="CP")*6+($AC68:$AI68="CRO")*6+($AC68:$AI68="M+")*6+($AC68:$AI68="T+")*6+($AC68:$AI68="D+")*12+($AC68:$AI68="N+")*12+($AC68:$AI68="Dm+")*12+($AC68:$AI68="Dt+")*12+($AC68:$AI68="Tm-")*6+($AC68:$AI68="Mt-")*6)</f>
        <v/>
      </c>
      <c r="BA68" s="118">
        <f>AZ68-MAX(0,IFERROR(INDEX(CADASTRO!$I$4:$I$80,MATCH($A68,CADASTRO!$A$4:$A$80,0)),$B68)-CONFIG!$B$50*(COUNTIF($AC68:$AI68,"AB")+COUNTIF($AC68:$AI68,"FE")+COUNTIF($AC68:$AI68,"LM")))</f>
        <v/>
      </c>
      <c r="BB68" s="117">
        <f>SUMPRODUCT(($AJ68:$AM68="M")*6+($AJ68:$AM68="T")*6+($AJ68:$AM68="D")*12+($AJ68:$AM68="N")*12+($AJ68:$AM68="NT")*6+($AJ68:$AM68="C")*10+($AJ68:$AM68="A")*8+($AJ68:$AM68="J")*5+($AJ68:$AM68="CEP")*4+($AJ68:$AM68="CP")*6+($AJ68:$AM68="CRO")*6+($AJ68:$AM68="M+")*6+($AJ68:$AM68="T+")*6+($AJ68:$AM68="D+")*12+($AJ68:$AM68="N+")*12+($AJ68:$AM68="Dm+")*12+($AJ68:$AM68="Dt+")*12+($AJ68:$AM68="Tm-")*6+($AJ68:$AM68="Mt-")*6)+SUMPRODUCT(($AN68:$AP68="M")*6+($AN68:$AP68="T")*6+($AN68:$AP68="D")*12+($AN68:$AP68="N")*12+($AN68:$AP68="NT")*6+($AN68:$AP68="C")*10+($AN68:$AP68="A")*8+($AN68:$AP68="J")*5+($AN68:$AP68="CEP")*4+($AN68:$AP68="CP")*6+($AN68:$AP68="CRO")*6+($AN68:$AP68="M+")*6+($AN68:$AP68="T+")*6+($AN68:$AP68="D+")*12+($AN68:$AP68="N+")*12+($AN68:$AP68="Dm+")*12+($AN68:$AP68="Dt+")*12+($AN68:$AP68="Tm-")*6+($AN68:$AP68="Mt-")*6)</f>
        <v/>
      </c>
      <c r="BC68" s="118">
        <f>BB68-MAX(0,IFERROR(INDEX(CADASTRO!$I$4:$I$80,MATCH($A68,CADASTRO!$A$4:$A$80,0)),$B68)-CONFIG!$B$50*(COUNTIF($AJ68:$AM68,"AB")+COUNTIF($AJ68:$AM68,"FE")+COUNTIF($AJ68:$AM68,"LM")+COUNTIF($AN68:$AP68,"AB")+COUNTIF($AN68:$AP68,"FE")+COUNTIF($AN68:$AP68,"LM")))</f>
        <v/>
      </c>
      <c r="BD68" s="117" t="n"/>
      <c r="BE68" s="118" t="n"/>
      <c r="BF68" s="117">
        <f>SUMPRODUCT(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G68" s="117">
        <f>SUMPRODUCT($I$4:$AM$4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H68" s="117">
        <f>SUMPRODUCT($I$5:$AM$5,(($I68:$AM68="N")+($I68:$AM68="N+")))</f>
        <v/>
      </c>
      <c r="BI68" s="117">
        <f>SUMPRODUCT($I$6:$AM$6,($I68:$AM68="M")*6+($I68:$AM68="T")*6+($I68:$AM68="D")*12+($I68:$AM68="N")*12+($I68:$AM68="NT")*6+($I68:$AM68="C")*10+($I68:$AM68="A")*8+($I68:$AM68="J")*5+($I68:$AM68="CEP")*4+($I68:$AM68="CP")*6+($I68:$AM68="CRO")*6+($I68:$AM68="M+")*6+($I68:$AM68="T+")*6+($I68:$AM68="D+")*12+($I68:$AM68="N+")*12+($I68:$AM68="Dm+")*12+($I68:$AM68="Dt+")*12+($I68:$AM68="Tm-")*6+($I68:$AM68="Mt-")*6)</f>
        <v/>
      </c>
      <c r="BJ68" s="117">
        <f>ROUND(B68*4.43,0)</f>
        <v/>
      </c>
      <c r="BK68" s="119">
        <f>BF68-BJ68</f>
        <v/>
      </c>
      <c r="BL68" s="120">
        <f>SUMPRODUCT((($C68:$AL68="N")+($C68:$AL68="N+"))*(($D68:$AM68="M")+($D68:$AM68="D")+($D68:$AM68="C")+($D68:$AM68="CEP")+($D68:$AM68="M+")+($D68:$AM68="D+")+($D68:$AM68="Dm+")+($D68:$AM68="Dt+")+($D68:$AM68="Mt-")))</f>
        <v/>
      </c>
      <c r="BM68" s="120">
        <f>SUMPRODUCT((($C68:$AL68="N")+($C68:$AL68="N+"))*(($D68:$AM68="T")+($D68:$AM68="T+")+($D68:$AM68="Tm-")))</f>
        <v/>
      </c>
      <c r="BN68" s="120">
        <f>IFERROR(INDEX(CONFIG!$B$44:$D$46,MATCH($B68,CONFIG!$A$44:$A$46,0),IF(COUNTIF($I68:$AM68,"FE")&gt;=10,1,IF(COUNTIF($I68:$AM68,"FE")&gt;=1,2,3))),"")</f>
        <v/>
      </c>
      <c r="BO68" s="120">
        <f>IF(BN68="","",MAX(0,BG68-BN68*CONFIG!$E$44))</f>
        <v/>
      </c>
      <c r="BP68" s="120">
        <f>MAX(AT68,AV68,AX68,AZ68,BB68,BD68)</f>
        <v/>
      </c>
      <c r="BQ68" s="121" t="inlineStr">
        <is>
          <t>3 · staff</t>
        </is>
      </c>
      <c r="BR68" s="122" t="n">
        <v>7</v>
      </c>
      <c r="BS68" s="39" t="n"/>
    </row>
    <row r="69">
      <c r="A69" s="89" t="inlineStr">
        <is>
          <t>Vanessa</t>
        </is>
      </c>
      <c r="B69" s="107" t="n">
        <v>24</v>
      </c>
      <c r="C69" s="100" t="n"/>
      <c r="D69" s="100" t="n"/>
      <c r="E69" s="100" t="n"/>
      <c r="F69" s="100" t="n"/>
      <c r="G69" s="100" t="n"/>
      <c r="H69" s="136">
        <f>IFERROR(INDEX(NOV!AL$8:AL$73,MATCH($A69,NOV!$A$8:$A$73,0))&amp;"","")</f>
        <v/>
      </c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  <c r="AB69" s="114" t="n"/>
      <c r="AC69" s="114" t="n"/>
      <c r="AD69" s="114" t="n"/>
      <c r="AE69" s="114" t="n"/>
      <c r="AF69" s="114" t="n"/>
      <c r="AG69" s="114" t="n"/>
      <c r="AH69" s="114" t="n"/>
      <c r="AI69" s="114" t="n"/>
      <c r="AJ69" s="114" t="n"/>
      <c r="AK69" s="114" t="n"/>
      <c r="AL69" s="114" t="n"/>
      <c r="AM69" s="114" t="n"/>
      <c r="AN69" s="100" t="n"/>
      <c r="AO69" s="100" t="n"/>
      <c r="AP69" s="100" t="n"/>
      <c r="AQ69" s="100" t="n"/>
      <c r="AR69" s="100" t="n"/>
      <c r="AS69" s="100" t="n"/>
      <c r="AT69" s="117">
        <f>SUMPRODUCT(($H69:$N69="M")*6+($H69:$N69="T")*6+($H69:$N69="D")*12+($H69:$N69="N")*12+($H69:$N69="NT")*6+($H69:$N69="C")*10+($H69:$N69="A")*8+($H69:$N69="J")*5+($H69:$N69="CEP")*4+($H69:$N69="CP")*6+($H69:$N69="CRO")*6+($H69:$N69="M+")*6+($H69:$N69="T+")*6+($H69:$N69="D+")*12+($H69:$N69="N+")*12+($H69:$N69="Dm+")*12+($H69:$N69="Dt+")*12+($H69:$N69="Tm-")*6+($H69:$N69="Mt-")*6)</f>
        <v/>
      </c>
      <c r="AU69" s="118">
        <f>AT69-MAX(0,IFERROR(INDEX(CADASTRO!$I$4:$I$80,MATCH($A69,CADASTRO!$A$4:$A$80,0)),$B69)-CONFIG!$B$50*(COUNTIF($H69:$N69,"AB")+COUNTIF($H69:$N69,"FE")+COUNTIF($H69:$N69,"LM")))</f>
        <v/>
      </c>
      <c r="AV69" s="117">
        <f>SUMPRODUCT(($O69:$U69="M")*6+($O69:$U69="T")*6+($O69:$U69="D")*12+($O69:$U69="N")*12+($O69:$U69="NT")*6+($O69:$U69="C")*10+($O69:$U69="A")*8+($O69:$U69="J")*5+($O69:$U69="CEP")*4+($O69:$U69="CP")*6+($O69:$U69="CRO")*6+($O69:$U69="M+")*6+($O69:$U69="T+")*6+($O69:$U69="D+")*12+($O69:$U69="N+")*12+($O69:$U69="Dm+")*12+($O69:$U69="Dt+")*12+($O69:$U69="Tm-")*6+($O69:$U69="Mt-")*6)</f>
        <v/>
      </c>
      <c r="AW69" s="118">
        <f>AV69-MAX(0,IFERROR(INDEX(CADASTRO!$I$4:$I$80,MATCH($A69,CADASTRO!$A$4:$A$80,0)),$B69)-CONFIG!$B$50*(COUNTIF($O69:$U69,"AB")+COUNTIF($O69:$U69,"FE")+COUNTIF($O69:$U69,"LM")))</f>
        <v/>
      </c>
      <c r="AX69" s="117">
        <f>SUMPRODUCT(($V69:$AB69="M")*6+($V69:$AB69="T")*6+($V69:$AB69="D")*12+($V69:$AB69="N")*12+($V69:$AB69="NT")*6+($V69:$AB69="C")*10+($V69:$AB69="A")*8+($V69:$AB69="J")*5+($V69:$AB69="CEP")*4+($V69:$AB69="CP")*6+($V69:$AB69="CRO")*6+($V69:$AB69="M+")*6+($V69:$AB69="T+")*6+($V69:$AB69="D+")*12+($V69:$AB69="N+")*12+($V69:$AB69="Dm+")*12+($V69:$AB69="Dt+")*12+($V69:$AB69="Tm-")*6+($V69:$AB69="Mt-")*6)</f>
        <v/>
      </c>
      <c r="AY69" s="118">
        <f>AX69-MAX(0,IFERROR(INDEX(CADASTRO!$I$4:$I$80,MATCH($A69,CADASTRO!$A$4:$A$80,0)),$B69)-CONFIG!$B$50*(COUNTIF($V69:$AB69,"AB")+COUNTIF($V69:$AB69,"FE")+COUNTIF($V69:$AB69,"LM")))</f>
        <v/>
      </c>
      <c r="AZ69" s="117">
        <f>SUMPRODUCT(($AC69:$AI69="M")*6+($AC69:$AI69="T")*6+($AC69:$AI69="D")*12+($AC69:$AI69="N")*12+($AC69:$AI69="NT")*6+($AC69:$AI69="C")*10+($AC69:$AI69="A")*8+($AC69:$AI69="J")*5+($AC69:$AI69="CEP")*4+($AC69:$AI69="CP")*6+($AC69:$AI69="CRO")*6+($AC69:$AI69="M+")*6+($AC69:$AI69="T+")*6+($AC69:$AI69="D+")*12+($AC69:$AI69="N+")*12+($AC69:$AI69="Dm+")*12+($AC69:$AI69="Dt+")*12+($AC69:$AI69="Tm-")*6+($AC69:$AI69="Mt-")*6)</f>
        <v/>
      </c>
      <c r="BA69" s="118">
        <f>AZ69-MAX(0,IFERROR(INDEX(CADASTRO!$I$4:$I$80,MATCH($A69,CADASTRO!$A$4:$A$80,0)),$B69)-CONFIG!$B$50*(COUNTIF($AC69:$AI69,"AB")+COUNTIF($AC69:$AI69,"FE")+COUNTIF($AC69:$AI69,"LM")))</f>
        <v/>
      </c>
      <c r="BB69" s="117">
        <f>SUMPRODUCT(($AJ69:$AM69="M")*6+($AJ69:$AM69="T")*6+($AJ69:$AM69="D")*12+($AJ69:$AM69="N")*12+($AJ69:$AM69="NT")*6+($AJ69:$AM69="C")*10+($AJ69:$AM69="A")*8+($AJ69:$AM69="J")*5+($AJ69:$AM69="CEP")*4+($AJ69:$AM69="CP")*6+($AJ69:$AM69="CRO")*6+($AJ69:$AM69="M+")*6+($AJ69:$AM69="T+")*6+($AJ69:$AM69="D+")*12+($AJ69:$AM69="N+")*12+($AJ69:$AM69="Dm+")*12+($AJ69:$AM69="Dt+")*12+($AJ69:$AM69="Tm-")*6+($AJ69:$AM69="Mt-")*6)+SUMPRODUCT(($AN69:$AP69="M")*6+($AN69:$AP69="T")*6+($AN69:$AP69="D")*12+($AN69:$AP69="N")*12+($AN69:$AP69="NT")*6+($AN69:$AP69="C")*10+($AN69:$AP69="A")*8+($AN69:$AP69="J")*5+($AN69:$AP69="CEP")*4+($AN69:$AP69="CP")*6+($AN69:$AP69="CRO")*6+($AN69:$AP69="M+")*6+($AN69:$AP69="T+")*6+($AN69:$AP69="D+")*12+($AN69:$AP69="N+")*12+($AN69:$AP69="Dm+")*12+($AN69:$AP69="Dt+")*12+($AN69:$AP69="Tm-")*6+($AN69:$AP69="Mt-")*6)</f>
        <v/>
      </c>
      <c r="BC69" s="118">
        <f>BB69-MAX(0,IFERROR(INDEX(CADASTRO!$I$4:$I$80,MATCH($A69,CADASTRO!$A$4:$A$80,0)),$B69)-CONFIG!$B$50*(COUNTIF($AJ69:$AM69,"AB")+COUNTIF($AJ69:$AM69,"FE")+COUNTIF($AJ69:$AM69,"LM")+COUNTIF($AN69:$AP69,"AB")+COUNTIF($AN69:$AP69,"FE")+COUNTIF($AN69:$AP69,"LM")))</f>
        <v/>
      </c>
      <c r="BD69" s="117" t="n"/>
      <c r="BE69" s="118" t="n"/>
      <c r="BF69" s="117">
        <f>SUMPRODUCT(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G69" s="117">
        <f>SUMPRODUCT($I$4:$AM$4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H69" s="117">
        <f>SUMPRODUCT($I$5:$AM$5,(($I69:$AM69="N")+($I69:$AM69="N+")))</f>
        <v/>
      </c>
      <c r="BI69" s="117">
        <f>SUMPRODUCT($I$6:$AM$6,($I69:$AM69="M")*6+($I69:$AM69="T")*6+($I69:$AM69="D")*12+($I69:$AM69="N")*12+($I69:$AM69="NT")*6+($I69:$AM69="C")*10+($I69:$AM69="A")*8+($I69:$AM69="J")*5+($I69:$AM69="CEP")*4+($I69:$AM69="CP")*6+($I69:$AM69="CRO")*6+($I69:$AM69="M+")*6+($I69:$AM69="T+")*6+($I69:$AM69="D+")*12+($I69:$AM69="N+")*12+($I69:$AM69="Dm+")*12+($I69:$AM69="Dt+")*12+($I69:$AM69="Tm-")*6+($I69:$AM69="Mt-")*6)</f>
        <v/>
      </c>
      <c r="BJ69" s="117">
        <f>ROUND(B69*4.43,0)</f>
        <v/>
      </c>
      <c r="BK69" s="119">
        <f>BF69-BJ69</f>
        <v/>
      </c>
      <c r="BL69" s="120">
        <f>SUMPRODUCT((($C69:$AL69="N")+($C69:$AL69="N+"))*(($D69:$AM69="M")+($D69:$AM69="D")+($D69:$AM69="C")+($D69:$AM69="CEP")+($D69:$AM69="M+")+($D69:$AM69="D+")+($D69:$AM69="Dm+")+($D69:$AM69="Dt+")+($D69:$AM69="Mt-")))</f>
        <v/>
      </c>
      <c r="BM69" s="120">
        <f>SUMPRODUCT((($C69:$AL69="N")+($C69:$AL69="N+"))*(($D69:$AM69="T")+($D69:$AM69="T+")+($D69:$AM69="Tm-")))</f>
        <v/>
      </c>
      <c r="BN69" s="120">
        <f>IFERROR(INDEX(CONFIG!$B$44:$D$46,MATCH($B69,CONFIG!$A$44:$A$46,0),IF(COUNTIF($I69:$AM69,"FE")&gt;=10,1,IF(COUNTIF($I69:$AM69,"FE")&gt;=1,2,3))),"")</f>
        <v/>
      </c>
      <c r="BO69" s="120">
        <f>IF(BN69="","",MAX(0,BG69-BN69*CONFIG!$E$44))</f>
        <v/>
      </c>
      <c r="BP69" s="120">
        <f>MAX(AT69,AV69,AX69,AZ69,BB69,BD69)</f>
        <v/>
      </c>
      <c r="BQ69" s="121" t="inlineStr">
        <is>
          <t>3 · staff</t>
        </is>
      </c>
      <c r="BR69" s="122" t="n">
        <v>7</v>
      </c>
      <c r="BS69" s="39" t="n"/>
    </row>
    <row r="70">
      <c r="A70" s="89" t="inlineStr">
        <is>
          <t>Yuji</t>
        </is>
      </c>
      <c r="B70" s="107" t="n">
        <v>24</v>
      </c>
      <c r="C70" s="100" t="n"/>
      <c r="D70" s="100" t="n"/>
      <c r="E70" s="100" t="n"/>
      <c r="F70" s="100" t="n"/>
      <c r="G70" s="100" t="n"/>
      <c r="H70" s="136">
        <f>IFERROR(INDEX(NOV!AL$8:AL$73,MATCH($A70,NOV!$A$8:$A$73,0))&amp;"","")</f>
        <v/>
      </c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  <c r="AB70" s="114" t="n"/>
      <c r="AC70" s="114" t="n"/>
      <c r="AD70" s="114" t="n"/>
      <c r="AE70" s="114" t="n"/>
      <c r="AF70" s="114" t="n"/>
      <c r="AG70" s="114" t="n"/>
      <c r="AH70" s="114" t="n"/>
      <c r="AI70" s="114" t="n"/>
      <c r="AJ70" s="114" t="n"/>
      <c r="AK70" s="114" t="n"/>
      <c r="AL70" s="114" t="n"/>
      <c r="AM70" s="114" t="n"/>
      <c r="AN70" s="100" t="n"/>
      <c r="AO70" s="100" t="n"/>
      <c r="AP70" s="100" t="n"/>
      <c r="AQ70" s="100" t="n"/>
      <c r="AR70" s="100" t="n"/>
      <c r="AS70" s="100" t="n"/>
      <c r="AT70" s="117">
        <f>SUMPRODUCT(($H70:$N70="M")*6+($H70:$N70="T")*6+($H70:$N70="D")*12+($H70:$N70="N")*12+($H70:$N70="NT")*6+($H70:$N70="C")*10+($H70:$N70="A")*8+($H70:$N70="J")*5+($H70:$N70="CEP")*4+($H70:$N70="CP")*6+($H70:$N70="CRO")*6+($H70:$N70="M+")*6+($H70:$N70="T+")*6+($H70:$N70="D+")*12+($H70:$N70="N+")*12+($H70:$N70="Dm+")*12+($H70:$N70="Dt+")*12+($H70:$N70="Tm-")*6+($H70:$N70="Mt-")*6)</f>
        <v/>
      </c>
      <c r="AU70" s="118">
        <f>AT70-MAX(0,IFERROR(INDEX(CADASTRO!$I$4:$I$80,MATCH($A70,CADASTRO!$A$4:$A$80,0)),$B70)-CONFIG!$B$50*(COUNTIF($H70:$N70,"AB")+COUNTIF($H70:$N70,"FE")+COUNTIF($H70:$N70,"LM")))</f>
        <v/>
      </c>
      <c r="AV70" s="117">
        <f>SUMPRODUCT(($O70:$U70="M")*6+($O70:$U70="T")*6+($O70:$U70="D")*12+($O70:$U70="N")*12+($O70:$U70="NT")*6+($O70:$U70="C")*10+($O70:$U70="A")*8+($O70:$U70="J")*5+($O70:$U70="CEP")*4+($O70:$U70="CP")*6+($O70:$U70="CRO")*6+($O70:$U70="M+")*6+($O70:$U70="T+")*6+($O70:$U70="D+")*12+($O70:$U70="N+")*12+($O70:$U70="Dm+")*12+($O70:$U70="Dt+")*12+($O70:$U70="Tm-")*6+($O70:$U70="Mt-")*6)</f>
        <v/>
      </c>
      <c r="AW70" s="118">
        <f>AV70-MAX(0,IFERROR(INDEX(CADASTRO!$I$4:$I$80,MATCH($A70,CADASTRO!$A$4:$A$80,0)),$B70)-CONFIG!$B$50*(COUNTIF($O70:$U70,"AB")+COUNTIF($O70:$U70,"FE")+COUNTIF($O70:$U70,"LM")))</f>
        <v/>
      </c>
      <c r="AX70" s="117">
        <f>SUMPRODUCT(($V70:$AB70="M")*6+($V70:$AB70="T")*6+($V70:$AB70="D")*12+($V70:$AB70="N")*12+($V70:$AB70="NT")*6+($V70:$AB70="C")*10+($V70:$AB70="A")*8+($V70:$AB70="J")*5+($V70:$AB70="CEP")*4+($V70:$AB70="CP")*6+($V70:$AB70="CRO")*6+($V70:$AB70="M+")*6+($V70:$AB70="T+")*6+($V70:$AB70="D+")*12+($V70:$AB70="N+")*12+($V70:$AB70="Dm+")*12+($V70:$AB70="Dt+")*12+($V70:$AB70="Tm-")*6+($V70:$AB70="Mt-")*6)</f>
        <v/>
      </c>
      <c r="AY70" s="118">
        <f>AX70-MAX(0,IFERROR(INDEX(CADASTRO!$I$4:$I$80,MATCH($A70,CADASTRO!$A$4:$A$80,0)),$B70)-CONFIG!$B$50*(COUNTIF($V70:$AB70,"AB")+COUNTIF($V70:$AB70,"FE")+COUNTIF($V70:$AB70,"LM")))</f>
        <v/>
      </c>
      <c r="AZ70" s="117">
        <f>SUMPRODUCT(($AC70:$AI70="M")*6+($AC70:$AI70="T")*6+($AC70:$AI70="D")*12+($AC70:$AI70="N")*12+($AC70:$AI70="NT")*6+($AC70:$AI70="C")*10+($AC70:$AI70="A")*8+($AC70:$AI70="J")*5+($AC70:$AI70="CEP")*4+($AC70:$AI70="CP")*6+($AC70:$AI70="CRO")*6+($AC70:$AI70="M+")*6+($AC70:$AI70="T+")*6+($AC70:$AI70="D+")*12+($AC70:$AI70="N+")*12+($AC70:$AI70="Dm+")*12+($AC70:$AI70="Dt+")*12+($AC70:$AI70="Tm-")*6+($AC70:$AI70="Mt-")*6)</f>
        <v/>
      </c>
      <c r="BA70" s="118">
        <f>AZ70-MAX(0,IFERROR(INDEX(CADASTRO!$I$4:$I$80,MATCH($A70,CADASTRO!$A$4:$A$80,0)),$B70)-CONFIG!$B$50*(COUNTIF($AC70:$AI70,"AB")+COUNTIF($AC70:$AI70,"FE")+COUNTIF($AC70:$AI70,"LM")))</f>
        <v/>
      </c>
      <c r="BB70" s="117">
        <f>SUMPRODUCT(($AJ70:$AM70="M")*6+($AJ70:$AM70="T")*6+($AJ70:$AM70="D")*12+($AJ70:$AM70="N")*12+($AJ70:$AM70="NT")*6+($AJ70:$AM70="C")*10+($AJ70:$AM70="A")*8+($AJ70:$AM70="J")*5+($AJ70:$AM70="CEP")*4+($AJ70:$AM70="CP")*6+($AJ70:$AM70="CRO")*6+($AJ70:$AM70="M+")*6+($AJ70:$AM70="T+")*6+($AJ70:$AM70="D+")*12+($AJ70:$AM70="N+")*12+($AJ70:$AM70="Dm+")*12+($AJ70:$AM70="Dt+")*12+($AJ70:$AM70="Tm-")*6+($AJ70:$AM70="Mt-")*6)+SUMPRODUCT(($AN70:$AP70="M")*6+($AN70:$AP70="T")*6+($AN70:$AP70="D")*12+($AN70:$AP70="N")*12+($AN70:$AP70="NT")*6+($AN70:$AP70="C")*10+($AN70:$AP70="A")*8+($AN70:$AP70="J")*5+($AN70:$AP70="CEP")*4+($AN70:$AP70="CP")*6+($AN70:$AP70="CRO")*6+($AN70:$AP70="M+")*6+($AN70:$AP70="T+")*6+($AN70:$AP70="D+")*12+($AN70:$AP70="N+")*12+($AN70:$AP70="Dm+")*12+($AN70:$AP70="Dt+")*12+($AN70:$AP70="Tm-")*6+($AN70:$AP70="Mt-")*6)</f>
        <v/>
      </c>
      <c r="BC70" s="118">
        <f>BB70-MAX(0,IFERROR(INDEX(CADASTRO!$I$4:$I$80,MATCH($A70,CADASTRO!$A$4:$A$80,0)),$B70)-CONFIG!$B$50*(COUNTIF($AJ70:$AM70,"AB")+COUNTIF($AJ70:$AM70,"FE")+COUNTIF($AJ70:$AM70,"LM")+COUNTIF($AN70:$AP70,"AB")+COUNTIF($AN70:$AP70,"FE")+COUNTIF($AN70:$AP70,"LM")))</f>
        <v/>
      </c>
      <c r="BD70" s="117" t="n"/>
      <c r="BE70" s="118" t="n"/>
      <c r="BF70" s="117">
        <f>SUMPRODUCT(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G70" s="117">
        <f>SUMPRODUCT($I$4:$AM$4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H70" s="117">
        <f>SUMPRODUCT($I$5:$AM$5,(($I70:$AM70="N")+($I70:$AM70="N+")))</f>
        <v/>
      </c>
      <c r="BI70" s="117">
        <f>SUMPRODUCT($I$6:$AM$6,($I70:$AM70="M")*6+($I70:$AM70="T")*6+($I70:$AM70="D")*12+($I70:$AM70="N")*12+($I70:$AM70="NT")*6+($I70:$AM70="C")*10+($I70:$AM70="A")*8+($I70:$AM70="J")*5+($I70:$AM70="CEP")*4+($I70:$AM70="CP")*6+($I70:$AM70="CRO")*6+($I70:$AM70="M+")*6+($I70:$AM70="T+")*6+($I70:$AM70="D+")*12+($I70:$AM70="N+")*12+($I70:$AM70="Dm+")*12+($I70:$AM70="Dt+")*12+($I70:$AM70="Tm-")*6+($I70:$AM70="Mt-")*6)</f>
        <v/>
      </c>
      <c r="BJ70" s="117">
        <f>ROUND(B70*4.43,0)</f>
        <v/>
      </c>
      <c r="BK70" s="119">
        <f>BF70-BJ70</f>
        <v/>
      </c>
      <c r="BL70" s="120">
        <f>SUMPRODUCT((($C70:$AL70="N")+($C70:$AL70="N+"))*(($D70:$AM70="M")+($D70:$AM70="D")+($D70:$AM70="C")+($D70:$AM70="CEP")+($D70:$AM70="M+")+($D70:$AM70="D+")+($D70:$AM70="Dm+")+($D70:$AM70="Dt+")+($D70:$AM70="Mt-")))</f>
        <v/>
      </c>
      <c r="BM70" s="120">
        <f>SUMPRODUCT((($C70:$AL70="N")+($C70:$AL70="N+"))*(($D70:$AM70="T")+($D70:$AM70="T+")+($D70:$AM70="Tm-")))</f>
        <v/>
      </c>
      <c r="BN70" s="120">
        <f>IFERROR(INDEX(CONFIG!$B$44:$D$46,MATCH($B70,CONFIG!$A$44:$A$46,0),IF(COUNTIF($I70:$AM70,"FE")&gt;=10,1,IF(COUNTIF($I70:$AM70,"FE")&gt;=1,2,3))),"")</f>
        <v/>
      </c>
      <c r="BO70" s="120">
        <f>IF(BN70="","",MAX(0,BG70-BN70*CONFIG!$E$44))</f>
        <v/>
      </c>
      <c r="BP70" s="120">
        <f>MAX(AT70,AV70,AX70,AZ70,BB70,BD70)</f>
        <v/>
      </c>
      <c r="BQ70" s="121" t="inlineStr">
        <is>
          <t>3 · staff</t>
        </is>
      </c>
      <c r="BR70" s="122" t="n">
        <v>7</v>
      </c>
      <c r="BS70" s="39" t="n"/>
    </row>
    <row r="71">
      <c r="A71" s="89" t="inlineStr">
        <is>
          <t>JuIsaac</t>
        </is>
      </c>
      <c r="B71" s="107" t="n">
        <v>40</v>
      </c>
      <c r="C71" s="100" t="n"/>
      <c r="D71" s="100" t="n"/>
      <c r="E71" s="100" t="n"/>
      <c r="F71" s="100" t="n"/>
      <c r="G71" s="100" t="n"/>
      <c r="H71" s="136">
        <f>IFERROR(INDEX(NOV!AL$8:AL$73,MATCH($A71,NOV!$A$8:$A$73,0))&amp;"","")</f>
        <v/>
      </c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  <c r="AB71" s="114" t="n"/>
      <c r="AC71" s="114" t="n"/>
      <c r="AD71" s="114" t="n"/>
      <c r="AE71" s="114" t="n"/>
      <c r="AF71" s="114" t="n"/>
      <c r="AG71" s="114" t="n"/>
      <c r="AH71" s="114" t="n"/>
      <c r="AI71" s="114" t="n"/>
      <c r="AJ71" s="114" t="n"/>
      <c r="AK71" s="114" t="n"/>
      <c r="AL71" s="114" t="n"/>
      <c r="AM71" s="114" t="n"/>
      <c r="AN71" s="100" t="n"/>
      <c r="AO71" s="100" t="n"/>
      <c r="AP71" s="100" t="n"/>
      <c r="AQ71" s="100" t="n"/>
      <c r="AR71" s="100" t="n"/>
      <c r="AS71" s="100" t="n"/>
      <c r="AT71" s="117">
        <f>SUMPRODUCT(($H71:$N71="M")*6+($H71:$N71="T")*6+($H71:$N71="D")*12+($H71:$N71="N")*12+($H71:$N71="NT")*6+($H71:$N71="C")*10+($H71:$N71="A")*8+($H71:$N71="J")*5+($H71:$N71="CEP")*4+($H71:$N71="CP")*6+($H71:$N71="CRO")*6+($H71:$N71="M+")*6+($H71:$N71="T+")*6+($H71:$N71="D+")*12+($H71:$N71="N+")*12+($H71:$N71="Dm+")*12+($H71:$N71="Dt+")*12+($H71:$N71="Tm-")*6+($H71:$N71="Mt-")*6)</f>
        <v/>
      </c>
      <c r="AU71" s="118">
        <f>AT71-MAX(0,IFERROR(INDEX(CADASTRO!$I$4:$I$80,MATCH($A71,CADASTRO!$A$4:$A$80,0)),$B71)-CONFIG!$B$50*(COUNTIF($H71:$N71,"AB")+COUNTIF($H71:$N71,"FE")+COUNTIF($H71:$N71,"LM")))</f>
        <v/>
      </c>
      <c r="AV71" s="117">
        <f>SUMPRODUCT(($O71:$U71="M")*6+($O71:$U71="T")*6+($O71:$U71="D")*12+($O71:$U71="N")*12+($O71:$U71="NT")*6+($O71:$U71="C")*10+($O71:$U71="A")*8+($O71:$U71="J")*5+($O71:$U71="CEP")*4+($O71:$U71="CP")*6+($O71:$U71="CRO")*6+($O71:$U71="M+")*6+($O71:$U71="T+")*6+($O71:$U71="D+")*12+($O71:$U71="N+")*12+($O71:$U71="Dm+")*12+($O71:$U71="Dt+")*12+($O71:$U71="Tm-")*6+($O71:$U71="Mt-")*6)</f>
        <v/>
      </c>
      <c r="AW71" s="118">
        <f>AV71-MAX(0,IFERROR(INDEX(CADASTRO!$I$4:$I$80,MATCH($A71,CADASTRO!$A$4:$A$80,0)),$B71)-CONFIG!$B$50*(COUNTIF($O71:$U71,"AB")+COUNTIF($O71:$U71,"FE")+COUNTIF($O71:$U71,"LM")))</f>
        <v/>
      </c>
      <c r="AX71" s="117">
        <f>SUMPRODUCT(($V71:$AB71="M")*6+($V71:$AB71="T")*6+($V71:$AB71="D")*12+($V71:$AB71="N")*12+($V71:$AB71="NT")*6+($V71:$AB71="C")*10+($V71:$AB71="A")*8+($V71:$AB71="J")*5+($V71:$AB71="CEP")*4+($V71:$AB71="CP")*6+($V71:$AB71="CRO")*6+($V71:$AB71="M+")*6+($V71:$AB71="T+")*6+($V71:$AB71="D+")*12+($V71:$AB71="N+")*12+($V71:$AB71="Dm+")*12+($V71:$AB71="Dt+")*12+($V71:$AB71="Tm-")*6+($V71:$AB71="Mt-")*6)</f>
        <v/>
      </c>
      <c r="AY71" s="118">
        <f>AX71-MAX(0,IFERROR(INDEX(CADASTRO!$I$4:$I$80,MATCH($A71,CADASTRO!$A$4:$A$80,0)),$B71)-CONFIG!$B$50*(COUNTIF($V71:$AB71,"AB")+COUNTIF($V71:$AB71,"FE")+COUNTIF($V71:$AB71,"LM")))</f>
        <v/>
      </c>
      <c r="AZ71" s="117">
        <f>SUMPRODUCT(($AC71:$AI71="M")*6+($AC71:$AI71="T")*6+($AC71:$AI71="D")*12+($AC71:$AI71="N")*12+($AC71:$AI71="NT")*6+($AC71:$AI71="C")*10+($AC71:$AI71="A")*8+($AC71:$AI71="J")*5+($AC71:$AI71="CEP")*4+($AC71:$AI71="CP")*6+($AC71:$AI71="CRO")*6+($AC71:$AI71="M+")*6+($AC71:$AI71="T+")*6+($AC71:$AI71="D+")*12+($AC71:$AI71="N+")*12+($AC71:$AI71="Dm+")*12+($AC71:$AI71="Dt+")*12+($AC71:$AI71="Tm-")*6+($AC71:$AI71="Mt-")*6)</f>
        <v/>
      </c>
      <c r="BA71" s="118">
        <f>AZ71-MAX(0,IFERROR(INDEX(CADASTRO!$I$4:$I$80,MATCH($A71,CADASTRO!$A$4:$A$80,0)),$B71)-CONFIG!$B$50*(COUNTIF($AC71:$AI71,"AB")+COUNTIF($AC71:$AI71,"FE")+COUNTIF($AC71:$AI71,"LM")))</f>
        <v/>
      </c>
      <c r="BB71" s="117">
        <f>SUMPRODUCT(($AJ71:$AM71="M")*6+($AJ71:$AM71="T")*6+($AJ71:$AM71="D")*12+($AJ71:$AM71="N")*12+($AJ71:$AM71="NT")*6+($AJ71:$AM71="C")*10+($AJ71:$AM71="A")*8+($AJ71:$AM71="J")*5+($AJ71:$AM71="CEP")*4+($AJ71:$AM71="CP")*6+($AJ71:$AM71="CRO")*6+($AJ71:$AM71="M+")*6+($AJ71:$AM71="T+")*6+($AJ71:$AM71="D+")*12+($AJ71:$AM71="N+")*12+($AJ71:$AM71="Dm+")*12+($AJ71:$AM71="Dt+")*12+($AJ71:$AM71="Tm-")*6+($AJ71:$AM71="Mt-")*6)+SUMPRODUCT(($AN71:$AP71="M")*6+($AN71:$AP71="T")*6+($AN71:$AP71="D")*12+($AN71:$AP71="N")*12+($AN71:$AP71="NT")*6+($AN71:$AP71="C")*10+($AN71:$AP71="A")*8+($AN71:$AP71="J")*5+($AN71:$AP71="CEP")*4+($AN71:$AP71="CP")*6+($AN71:$AP71="CRO")*6+($AN71:$AP71="M+")*6+($AN71:$AP71="T+")*6+($AN71:$AP71="D+")*12+($AN71:$AP71="N+")*12+($AN71:$AP71="Dm+")*12+($AN71:$AP71="Dt+")*12+($AN71:$AP71="Tm-")*6+($AN71:$AP71="Mt-")*6)</f>
        <v/>
      </c>
      <c r="BC71" s="118">
        <f>BB71-MAX(0,IFERROR(INDEX(CADASTRO!$I$4:$I$80,MATCH($A71,CADASTRO!$A$4:$A$80,0)),$B71)-CONFIG!$B$50*(COUNTIF($AJ71:$AM71,"AB")+COUNTIF($AJ71:$AM71,"FE")+COUNTIF($AJ71:$AM71,"LM")+COUNTIF($AN71:$AP71,"AB")+COUNTIF($AN71:$AP71,"FE")+COUNTIF($AN71:$AP71,"LM")))</f>
        <v/>
      </c>
      <c r="BD71" s="117" t="n"/>
      <c r="BE71" s="118" t="n"/>
      <c r="BF71" s="117">
        <f>SUMPRODUCT(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G71" s="117">
        <f>SUMPRODUCT($I$4:$AM$4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H71" s="117">
        <f>SUMPRODUCT($I$5:$AM$5,(($I71:$AM71="N")+($I71:$AM71="N+")))</f>
        <v/>
      </c>
      <c r="BI71" s="117">
        <f>SUMPRODUCT($I$6:$AM$6,($I71:$AM71="M")*6+($I71:$AM71="T")*6+($I71:$AM71="D")*12+($I71:$AM71="N")*12+($I71:$AM71="NT")*6+($I71:$AM71="C")*10+($I71:$AM71="A")*8+($I71:$AM71="J")*5+($I71:$AM71="CEP")*4+($I71:$AM71="CP")*6+($I71:$AM71="CRO")*6+($I71:$AM71="M+")*6+($I71:$AM71="T+")*6+($I71:$AM71="D+")*12+($I71:$AM71="N+")*12+($I71:$AM71="Dm+")*12+($I71:$AM71="Dt+")*12+($I71:$AM71="Tm-")*6+($I71:$AM71="Mt-")*6)</f>
        <v/>
      </c>
      <c r="BJ71" s="117">
        <f>ROUND(B71*4.43,0)</f>
        <v/>
      </c>
      <c r="BK71" s="119">
        <f>BF71-BJ71</f>
        <v/>
      </c>
      <c r="BL71" s="120">
        <f>SUMPRODUCT((($C71:$AL71="N")+($C71:$AL71="N+"))*(($D71:$AM71="M")+($D71:$AM71="D")+($D71:$AM71="C")+($D71:$AM71="CEP")+($D71:$AM71="M+")+($D71:$AM71="D+")+($D71:$AM71="Dm+")+($D71:$AM71="Dt+")+($D71:$AM71="Mt-")))</f>
        <v/>
      </c>
      <c r="BM71" s="120">
        <f>SUMPRODUCT((($C71:$AL71="N")+($C71:$AL71="N+"))*(($D71:$AM71="T")+($D71:$AM71="T+")+($D71:$AM71="Tm-")))</f>
        <v/>
      </c>
      <c r="BN71" s="120">
        <f>IFERROR(INDEX(CONFIG!$B$44:$D$46,MATCH($B71,CONFIG!$A$44:$A$46,0),IF(COUNTIF($I71:$AM71,"FE")&gt;=10,1,IF(COUNTIF($I71:$AM71,"FE")&gt;=1,2,3))),"")</f>
        <v/>
      </c>
      <c r="BO71" s="120">
        <f>IF(BN71="","",MAX(0,BG71-BN71*CONFIG!$E$44))</f>
        <v/>
      </c>
      <c r="BP71" s="120">
        <f>MAX(AT71,AV71,AX71,AZ71,BB71,BD71)</f>
        <v/>
      </c>
      <c r="BQ71" s="121" t="inlineStr">
        <is>
          <t>4 · administrativo</t>
        </is>
      </c>
      <c r="BR71" s="122" t="n">
        <v>7</v>
      </c>
      <c r="BS71" s="39" t="n"/>
    </row>
    <row r="72">
      <c r="A72" s="89" t="inlineStr">
        <is>
          <t>Stephanie</t>
        </is>
      </c>
      <c r="B72" s="107" t="n">
        <v>40</v>
      </c>
      <c r="C72" s="100" t="n"/>
      <c r="D72" s="100" t="n"/>
      <c r="E72" s="100" t="n"/>
      <c r="F72" s="100" t="n"/>
      <c r="G72" s="100" t="n"/>
      <c r="H72" s="136">
        <f>IFERROR(INDEX(NOV!AL$8:AL$73,MATCH($A72,NOV!$A$8:$A$73,0))&amp;"","")</f>
        <v/>
      </c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  <c r="AD72" s="114" t="n"/>
      <c r="AE72" s="114" t="n"/>
      <c r="AF72" s="114" t="n"/>
      <c r="AG72" s="114" t="n"/>
      <c r="AH72" s="114" t="n"/>
      <c r="AI72" s="114" t="n"/>
      <c r="AJ72" s="114" t="n"/>
      <c r="AK72" s="114" t="n"/>
      <c r="AL72" s="114" t="n"/>
      <c r="AM72" s="114" t="n"/>
      <c r="AN72" s="100" t="n"/>
      <c r="AO72" s="100" t="n"/>
      <c r="AP72" s="100" t="n"/>
      <c r="AQ72" s="100" t="n"/>
      <c r="AR72" s="100" t="n"/>
      <c r="AS72" s="100" t="n"/>
      <c r="AT72" s="117">
        <f>SUMPRODUCT(($H72:$N72="M")*6+($H72:$N72="T")*6+($H72:$N72="D")*12+($H72:$N72="N")*12+($H72:$N72="NT")*6+($H72:$N72="C")*10+($H72:$N72="A")*8+($H72:$N72="J")*5+($H72:$N72="CEP")*4+($H72:$N72="CP")*6+($H72:$N72="CRO")*6+($H72:$N72="M+")*6+($H72:$N72="T+")*6+($H72:$N72="D+")*12+($H72:$N72="N+")*12+($H72:$N72="Dm+")*12+($H72:$N72="Dt+")*12+($H72:$N72="Tm-")*6+($H72:$N72="Mt-")*6)</f>
        <v/>
      </c>
      <c r="AU72" s="118">
        <f>AT72-MAX(0,IFERROR(INDEX(CADASTRO!$I$4:$I$80,MATCH($A72,CADASTRO!$A$4:$A$80,0)),$B72)-CONFIG!$B$50*(COUNTIF($H72:$N72,"AB")+COUNTIF($H72:$N72,"FE")+COUNTIF($H72:$N72,"LM")))</f>
        <v/>
      </c>
      <c r="AV72" s="117">
        <f>SUMPRODUCT(($O72:$U72="M")*6+($O72:$U72="T")*6+($O72:$U72="D")*12+($O72:$U72="N")*12+($O72:$U72="NT")*6+($O72:$U72="C")*10+($O72:$U72="A")*8+($O72:$U72="J")*5+($O72:$U72="CEP")*4+($O72:$U72="CP")*6+($O72:$U72="CRO")*6+($O72:$U72="M+")*6+($O72:$U72="T+")*6+($O72:$U72="D+")*12+($O72:$U72="N+")*12+($O72:$U72="Dm+")*12+($O72:$U72="Dt+")*12+($O72:$U72="Tm-")*6+($O72:$U72="Mt-")*6)</f>
        <v/>
      </c>
      <c r="AW72" s="118">
        <f>AV72-MAX(0,IFERROR(INDEX(CADASTRO!$I$4:$I$80,MATCH($A72,CADASTRO!$A$4:$A$80,0)),$B72)-CONFIG!$B$50*(COUNTIF($O72:$U72,"AB")+COUNTIF($O72:$U72,"FE")+COUNTIF($O72:$U72,"LM")))</f>
        <v/>
      </c>
      <c r="AX72" s="117">
        <f>SUMPRODUCT(($V72:$AB72="M")*6+($V72:$AB72="T")*6+($V72:$AB72="D")*12+($V72:$AB72="N")*12+($V72:$AB72="NT")*6+($V72:$AB72="C")*10+($V72:$AB72="A")*8+($V72:$AB72="J")*5+($V72:$AB72="CEP")*4+($V72:$AB72="CP")*6+($V72:$AB72="CRO")*6+($V72:$AB72="M+")*6+($V72:$AB72="T+")*6+($V72:$AB72="D+")*12+($V72:$AB72="N+")*12+($V72:$AB72="Dm+")*12+($V72:$AB72="Dt+")*12+($V72:$AB72="Tm-")*6+($V72:$AB72="Mt-")*6)</f>
        <v/>
      </c>
      <c r="AY72" s="118">
        <f>AX72-MAX(0,IFERROR(INDEX(CADASTRO!$I$4:$I$80,MATCH($A72,CADASTRO!$A$4:$A$80,0)),$B72)-CONFIG!$B$50*(COUNTIF($V72:$AB72,"AB")+COUNTIF($V72:$AB72,"FE")+COUNTIF($V72:$AB72,"LM")))</f>
        <v/>
      </c>
      <c r="AZ72" s="117">
        <f>SUMPRODUCT(($AC72:$AI72="M")*6+($AC72:$AI72="T")*6+($AC72:$AI72="D")*12+($AC72:$AI72="N")*12+($AC72:$AI72="NT")*6+($AC72:$AI72="C")*10+($AC72:$AI72="A")*8+($AC72:$AI72="J")*5+($AC72:$AI72="CEP")*4+($AC72:$AI72="CP")*6+($AC72:$AI72="CRO")*6+($AC72:$AI72="M+")*6+($AC72:$AI72="T+")*6+($AC72:$AI72="D+")*12+($AC72:$AI72="N+")*12+($AC72:$AI72="Dm+")*12+($AC72:$AI72="Dt+")*12+($AC72:$AI72="Tm-")*6+($AC72:$AI72="Mt-")*6)</f>
        <v/>
      </c>
      <c r="BA72" s="118">
        <f>AZ72-MAX(0,IFERROR(INDEX(CADASTRO!$I$4:$I$80,MATCH($A72,CADASTRO!$A$4:$A$80,0)),$B72)-CONFIG!$B$50*(COUNTIF($AC72:$AI72,"AB")+COUNTIF($AC72:$AI72,"FE")+COUNTIF($AC72:$AI72,"LM")))</f>
        <v/>
      </c>
      <c r="BB72" s="117">
        <f>SUMPRODUCT(($AJ72:$AM72="M")*6+($AJ72:$AM72="T")*6+($AJ72:$AM72="D")*12+($AJ72:$AM72="N")*12+($AJ72:$AM72="NT")*6+($AJ72:$AM72="C")*10+($AJ72:$AM72="A")*8+($AJ72:$AM72="J")*5+($AJ72:$AM72="CEP")*4+($AJ72:$AM72="CP")*6+($AJ72:$AM72="CRO")*6+($AJ72:$AM72="M+")*6+($AJ72:$AM72="T+")*6+($AJ72:$AM72="D+")*12+($AJ72:$AM72="N+")*12+($AJ72:$AM72="Dm+")*12+($AJ72:$AM72="Dt+")*12+($AJ72:$AM72="Tm-")*6+($AJ72:$AM72="Mt-")*6)+SUMPRODUCT(($AN72:$AP72="M")*6+($AN72:$AP72="T")*6+($AN72:$AP72="D")*12+($AN72:$AP72="N")*12+($AN72:$AP72="NT")*6+($AN72:$AP72="C")*10+($AN72:$AP72="A")*8+($AN72:$AP72="J")*5+($AN72:$AP72="CEP")*4+($AN72:$AP72="CP")*6+($AN72:$AP72="CRO")*6+($AN72:$AP72="M+")*6+($AN72:$AP72="T+")*6+($AN72:$AP72="D+")*12+($AN72:$AP72="N+")*12+($AN72:$AP72="Dm+")*12+($AN72:$AP72="Dt+")*12+($AN72:$AP72="Tm-")*6+($AN72:$AP72="Mt-")*6)</f>
        <v/>
      </c>
      <c r="BC72" s="118">
        <f>BB72-MAX(0,IFERROR(INDEX(CADASTRO!$I$4:$I$80,MATCH($A72,CADASTRO!$A$4:$A$80,0)),$B72)-CONFIG!$B$50*(COUNTIF($AJ72:$AM72,"AB")+COUNTIF($AJ72:$AM72,"FE")+COUNTIF($AJ72:$AM72,"LM")+COUNTIF($AN72:$AP72,"AB")+COUNTIF($AN72:$AP72,"FE")+COUNTIF($AN72:$AP72,"LM")))</f>
        <v/>
      </c>
      <c r="BD72" s="117" t="n"/>
      <c r="BE72" s="118" t="n"/>
      <c r="BF72" s="117">
        <f>SUMPRODUCT(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G72" s="117">
        <f>SUMPRODUCT($I$4:$AM$4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H72" s="117">
        <f>SUMPRODUCT($I$5:$AM$5,(($I72:$AM72="N")+($I72:$AM72="N+")))</f>
        <v/>
      </c>
      <c r="BI72" s="117">
        <f>SUMPRODUCT($I$6:$AM$6,($I72:$AM72="M")*6+($I72:$AM72="T")*6+($I72:$AM72="D")*12+($I72:$AM72="N")*12+($I72:$AM72="NT")*6+($I72:$AM72="C")*10+($I72:$AM72="A")*8+($I72:$AM72="J")*5+($I72:$AM72="CEP")*4+($I72:$AM72="CP")*6+($I72:$AM72="CRO")*6+($I72:$AM72="M+")*6+($I72:$AM72="T+")*6+($I72:$AM72="D+")*12+($I72:$AM72="N+")*12+($I72:$AM72="Dm+")*12+($I72:$AM72="Dt+")*12+($I72:$AM72="Tm-")*6+($I72:$AM72="Mt-")*6)</f>
        <v/>
      </c>
      <c r="BJ72" s="117">
        <f>ROUND(B72*4.43,0)</f>
        <v/>
      </c>
      <c r="BK72" s="119">
        <f>BF72-BJ72</f>
        <v/>
      </c>
      <c r="BL72" s="120">
        <f>SUMPRODUCT((($C72:$AL72="N")+($C72:$AL72="N+"))*(($D72:$AM72="M")+($D72:$AM72="D")+($D72:$AM72="C")+($D72:$AM72="CEP")+($D72:$AM72="M+")+($D72:$AM72="D+")+($D72:$AM72="Dm+")+($D72:$AM72="Dt+")+($D72:$AM72="Mt-")))</f>
        <v/>
      </c>
      <c r="BM72" s="120">
        <f>SUMPRODUCT((($C72:$AL72="N")+($C72:$AL72="N+"))*(($D72:$AM72="T")+($D72:$AM72="T+")+($D72:$AM72="Tm-")))</f>
        <v/>
      </c>
      <c r="BN72" s="120">
        <f>IFERROR(INDEX(CONFIG!$B$44:$D$46,MATCH($B72,CONFIG!$A$44:$A$46,0),IF(COUNTIF($I72:$AM72,"FE")&gt;=10,1,IF(COUNTIF($I72:$AM72,"FE")&gt;=1,2,3))),"")</f>
        <v/>
      </c>
      <c r="BO72" s="120">
        <f>IF(BN72="","",MAX(0,BG72-BN72*CONFIG!$E$44))</f>
        <v/>
      </c>
      <c r="BP72" s="120">
        <f>MAX(AT72,AV72,AX72,AZ72,BB72,BD72)</f>
        <v/>
      </c>
      <c r="BQ72" s="121" t="inlineStr">
        <is>
          <t>4 · administrativo</t>
        </is>
      </c>
      <c r="BR72" s="122" t="n">
        <v>7</v>
      </c>
      <c r="BS72" s="39" t="n"/>
    </row>
    <row r="73">
      <c r="A73" s="89" t="inlineStr">
        <is>
          <t>MPinheiro</t>
        </is>
      </c>
      <c r="B73" s="107" t="n">
        <v>40</v>
      </c>
      <c r="C73" s="100" t="n"/>
      <c r="D73" s="100" t="n"/>
      <c r="E73" s="100" t="n"/>
      <c r="F73" s="100" t="n"/>
      <c r="G73" s="100" t="n"/>
      <c r="H73" s="136">
        <f>IFERROR(INDEX(NOV!AL$8:AL$73,MATCH($A73,NOV!$A$8:$A$73,0))&amp;"","")</f>
        <v/>
      </c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  <c r="AB73" s="114" t="n"/>
      <c r="AC73" s="114" t="n"/>
      <c r="AD73" s="114" t="n"/>
      <c r="AE73" s="114" t="n"/>
      <c r="AF73" s="114" t="n"/>
      <c r="AG73" s="114" t="n"/>
      <c r="AH73" s="114" t="n"/>
      <c r="AI73" s="114" t="n"/>
      <c r="AJ73" s="114" t="n"/>
      <c r="AK73" s="114" t="n"/>
      <c r="AL73" s="114" t="n"/>
      <c r="AM73" s="114" t="n"/>
      <c r="AN73" s="100" t="n"/>
      <c r="AO73" s="100" t="n"/>
      <c r="AP73" s="100" t="n"/>
      <c r="AQ73" s="100" t="n"/>
      <c r="AR73" s="100" t="n"/>
      <c r="AS73" s="100" t="n"/>
      <c r="AT73" s="117">
        <f>SUMPRODUCT(($H73:$N73="M")*6+($H73:$N73="T")*6+($H73:$N73="D")*12+($H73:$N73="N")*12+($H73:$N73="NT")*6+($H73:$N73="C")*10+($H73:$N73="A")*8+($H73:$N73="J")*5+($H73:$N73="CEP")*4+($H73:$N73="CP")*6+($H73:$N73="CRO")*6+($H73:$N73="M+")*6+($H73:$N73="T+")*6+($H73:$N73="D+")*12+($H73:$N73="N+")*12+($H73:$N73="Dm+")*12+($H73:$N73="Dt+")*12+($H73:$N73="Tm-")*6+($H73:$N73="Mt-")*6)</f>
        <v/>
      </c>
      <c r="AU73" s="118">
        <f>AT73-MAX(0,IFERROR(INDEX(CADASTRO!$I$4:$I$80,MATCH($A73,CADASTRO!$A$4:$A$80,0)),$B73)-CONFIG!$B$50*(COUNTIF($H73:$N73,"AB")+COUNTIF($H73:$N73,"FE")+COUNTIF($H73:$N73,"LM")))</f>
        <v/>
      </c>
      <c r="AV73" s="117">
        <f>SUMPRODUCT(($O73:$U73="M")*6+($O73:$U73="T")*6+($O73:$U73="D")*12+($O73:$U73="N")*12+($O73:$U73="NT")*6+($O73:$U73="C")*10+($O73:$U73="A")*8+($O73:$U73="J")*5+($O73:$U73="CEP")*4+($O73:$U73="CP")*6+($O73:$U73="CRO")*6+($O73:$U73="M+")*6+($O73:$U73="T+")*6+($O73:$U73="D+")*12+($O73:$U73="N+")*12+($O73:$U73="Dm+")*12+($O73:$U73="Dt+")*12+($O73:$U73="Tm-")*6+($O73:$U73="Mt-")*6)</f>
        <v/>
      </c>
      <c r="AW73" s="118">
        <f>AV73-MAX(0,IFERROR(INDEX(CADASTRO!$I$4:$I$80,MATCH($A73,CADASTRO!$A$4:$A$80,0)),$B73)-CONFIG!$B$50*(COUNTIF($O73:$U73,"AB")+COUNTIF($O73:$U73,"FE")+COUNTIF($O73:$U73,"LM")))</f>
        <v/>
      </c>
      <c r="AX73" s="117">
        <f>SUMPRODUCT(($V73:$AB73="M")*6+($V73:$AB73="T")*6+($V73:$AB73="D")*12+($V73:$AB73="N")*12+($V73:$AB73="NT")*6+($V73:$AB73="C")*10+($V73:$AB73="A")*8+($V73:$AB73="J")*5+($V73:$AB73="CEP")*4+($V73:$AB73="CP")*6+($V73:$AB73="CRO")*6+($V73:$AB73="M+")*6+($V73:$AB73="T+")*6+($V73:$AB73="D+")*12+($V73:$AB73="N+")*12+($V73:$AB73="Dm+")*12+($V73:$AB73="Dt+")*12+($V73:$AB73="Tm-")*6+($V73:$AB73="Mt-")*6)</f>
        <v/>
      </c>
      <c r="AY73" s="118">
        <f>AX73-MAX(0,IFERROR(INDEX(CADASTRO!$I$4:$I$80,MATCH($A73,CADASTRO!$A$4:$A$80,0)),$B73)-CONFIG!$B$50*(COUNTIF($V73:$AB73,"AB")+COUNTIF($V73:$AB73,"FE")+COUNTIF($V73:$AB73,"LM")))</f>
        <v/>
      </c>
      <c r="AZ73" s="117">
        <f>SUMPRODUCT(($AC73:$AI73="M")*6+($AC73:$AI73="T")*6+($AC73:$AI73="D")*12+($AC73:$AI73="N")*12+($AC73:$AI73="NT")*6+($AC73:$AI73="C")*10+($AC73:$AI73="A")*8+($AC73:$AI73="J")*5+($AC73:$AI73="CEP")*4+($AC73:$AI73="CP")*6+($AC73:$AI73="CRO")*6+($AC73:$AI73="M+")*6+($AC73:$AI73="T+")*6+($AC73:$AI73="D+")*12+($AC73:$AI73="N+")*12+($AC73:$AI73="Dm+")*12+($AC73:$AI73="Dt+")*12+($AC73:$AI73="Tm-")*6+($AC73:$AI73="Mt-")*6)</f>
        <v/>
      </c>
      <c r="BA73" s="118">
        <f>AZ73-MAX(0,IFERROR(INDEX(CADASTRO!$I$4:$I$80,MATCH($A73,CADASTRO!$A$4:$A$80,0)),$B73)-CONFIG!$B$50*(COUNTIF($AC73:$AI73,"AB")+COUNTIF($AC73:$AI73,"FE")+COUNTIF($AC73:$AI73,"LM")))</f>
        <v/>
      </c>
      <c r="BB73" s="117">
        <f>SUMPRODUCT(($AJ73:$AM73="M")*6+($AJ73:$AM73="T")*6+($AJ73:$AM73="D")*12+($AJ73:$AM73="N")*12+($AJ73:$AM73="NT")*6+($AJ73:$AM73="C")*10+($AJ73:$AM73="A")*8+($AJ73:$AM73="J")*5+($AJ73:$AM73="CEP")*4+($AJ73:$AM73="CP")*6+($AJ73:$AM73="CRO")*6+($AJ73:$AM73="M+")*6+($AJ73:$AM73="T+")*6+($AJ73:$AM73="D+")*12+($AJ73:$AM73="N+")*12+($AJ73:$AM73="Dm+")*12+($AJ73:$AM73="Dt+")*12+($AJ73:$AM73="Tm-")*6+($AJ73:$AM73="Mt-")*6)+SUMPRODUCT(($AN73:$AP73="M")*6+($AN73:$AP73="T")*6+($AN73:$AP73="D")*12+($AN73:$AP73="N")*12+($AN73:$AP73="NT")*6+($AN73:$AP73="C")*10+($AN73:$AP73="A")*8+($AN73:$AP73="J")*5+($AN73:$AP73="CEP")*4+($AN73:$AP73="CP")*6+($AN73:$AP73="CRO")*6+($AN73:$AP73="M+")*6+($AN73:$AP73="T+")*6+($AN73:$AP73="D+")*12+($AN73:$AP73="N+")*12+($AN73:$AP73="Dm+")*12+($AN73:$AP73="Dt+")*12+($AN73:$AP73="Tm-")*6+($AN73:$AP73="Mt-")*6)</f>
        <v/>
      </c>
      <c r="BC73" s="118">
        <f>BB73-MAX(0,IFERROR(INDEX(CADASTRO!$I$4:$I$80,MATCH($A73,CADASTRO!$A$4:$A$80,0)),$B73)-CONFIG!$B$50*(COUNTIF($AJ73:$AM73,"AB")+COUNTIF($AJ73:$AM73,"FE")+COUNTIF($AJ73:$AM73,"LM")+COUNTIF($AN73:$AP73,"AB")+COUNTIF($AN73:$AP73,"FE")+COUNTIF($AN73:$AP73,"LM")))</f>
        <v/>
      </c>
      <c r="BD73" s="117" t="n"/>
      <c r="BE73" s="118" t="n"/>
      <c r="BF73" s="117">
        <f>SUMPRODUCT(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G73" s="117">
        <f>SUMPRODUCT($I$4:$AM$4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H73" s="117">
        <f>SUMPRODUCT($I$5:$AM$5,(($I73:$AM73="N")+($I73:$AM73="N+")))</f>
        <v/>
      </c>
      <c r="BI73" s="117">
        <f>SUMPRODUCT($I$6:$AM$6,($I73:$AM73="M")*6+($I73:$AM73="T")*6+($I73:$AM73="D")*12+($I73:$AM73="N")*12+($I73:$AM73="NT")*6+($I73:$AM73="C")*10+($I73:$AM73="A")*8+($I73:$AM73="J")*5+($I73:$AM73="CEP")*4+($I73:$AM73="CP")*6+($I73:$AM73="CRO")*6+($I73:$AM73="M+")*6+($I73:$AM73="T+")*6+($I73:$AM73="D+")*12+($I73:$AM73="N+")*12+($I73:$AM73="Dm+")*12+($I73:$AM73="Dt+")*12+($I73:$AM73="Tm-")*6+($I73:$AM73="Mt-")*6)</f>
        <v/>
      </c>
      <c r="BJ73" s="117">
        <f>ROUND(B73*4.43,0)</f>
        <v/>
      </c>
      <c r="BK73" s="119">
        <f>BF73-BJ73</f>
        <v/>
      </c>
      <c r="BL73" s="120">
        <f>SUMPRODUCT((($C73:$AL73="N")+($C73:$AL73="N+"))*(($D73:$AM73="M")+($D73:$AM73="D")+($D73:$AM73="C")+($D73:$AM73="CEP")+($D73:$AM73="M+")+($D73:$AM73="D+")+($D73:$AM73="Dm+")+($D73:$AM73="Dt+")+($D73:$AM73="Mt-")))</f>
        <v/>
      </c>
      <c r="BM73" s="120">
        <f>SUMPRODUCT((($C73:$AL73="N")+($C73:$AL73="N+"))*(($D73:$AM73="T")+($D73:$AM73="T+")+($D73:$AM73="Tm-")))</f>
        <v/>
      </c>
      <c r="BN73" s="120">
        <f>IFERROR(INDEX(CONFIG!$B$44:$D$46,MATCH($B73,CONFIG!$A$44:$A$46,0),IF(COUNTIF($I73:$AM73,"FE")&gt;=10,1,IF(COUNTIF($I73:$AM73,"FE")&gt;=1,2,3))),"")</f>
        <v/>
      </c>
      <c r="BO73" s="120">
        <f>IF(BN73="","",MAX(0,BG73-BN73*CONFIG!$E$44))</f>
        <v/>
      </c>
      <c r="BP73" s="120">
        <f>MAX(AT73,AV73,AX73,AZ73,BB73,BD73)</f>
        <v/>
      </c>
      <c r="BQ73" s="121" t="inlineStr">
        <is>
          <t>4 · administrativo</t>
        </is>
      </c>
      <c r="BR73" s="122" t="n">
        <v>7</v>
      </c>
      <c r="BS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</row>
    <row r="75">
      <c r="A75" s="132" t="inlineStr">
        <is>
          <t>Manhã</t>
        </is>
      </c>
      <c r="B75" s="39" t="n"/>
      <c r="C75" s="39" t="n"/>
      <c r="D75" s="39" t="n"/>
      <c r="E75" s="39" t="n"/>
      <c r="F75" s="39" t="n"/>
      <c r="G75" s="39" t="n"/>
      <c r="H75" s="133">
        <f>COUNTIF(H8:H73,"M")+COUNTIF(H8:H73,"D")+COUNTIF(H8:H73,"C")+COUNTIF(H8:H73,"J")+COUNTIF(H8:H73,"CEP")+COUNTIF(H8:H73,"M+")+COUNTIF(H8:H73,"D+")+COUNTIF(H8:H73,"Dm+")+COUNTIF(H8:H73,"Dt+")+COUNTIF(H8:H73,"Mt-")</f>
        <v/>
      </c>
      <c r="I75" s="133">
        <f>COUNTIF(I8:I73,"M")+COUNTIF(I8:I73,"D")+COUNTIF(I8:I73,"C")+COUNTIF(I8:I73,"J")+COUNTIF(I8:I73,"CEP")+COUNTIF(I8:I73,"M+")+COUNTIF(I8:I73,"D+")+COUNTIF(I8:I73,"Dm+")+COUNTIF(I8:I73,"Dt+")+COUNTIF(I8:I73,"Mt-")</f>
        <v/>
      </c>
      <c r="J75" s="133">
        <f>COUNTIF(J8:J73,"M")+COUNTIF(J8:J73,"D")+COUNTIF(J8:J73,"C")+COUNTIF(J8:J73,"J")+COUNTIF(J8:J73,"CEP")+COUNTIF(J8:J73,"M+")+COUNTIF(J8:J73,"D+")+COUNTIF(J8:J73,"Dm+")+COUNTIF(J8:J73,"Dt+")+COUNTIF(J8:J73,"Mt-")</f>
        <v/>
      </c>
      <c r="K75" s="133">
        <f>COUNTIF(K8:K73,"M")+COUNTIF(K8:K73,"D")+COUNTIF(K8:K73,"C")+COUNTIF(K8:K73,"J")+COUNTIF(K8:K73,"CEP")+COUNTIF(K8:K73,"M+")+COUNTIF(K8:K73,"D+")+COUNTIF(K8:K73,"Dm+")+COUNTIF(K8:K73,"Dt+")+COUNTIF(K8:K73,"Mt-")</f>
        <v/>
      </c>
      <c r="L75" s="133">
        <f>COUNTIF(L8:L73,"M")+COUNTIF(L8:L73,"D")+COUNTIF(L8:L73,"C")+COUNTIF(L8:L73,"J")+COUNTIF(L8:L73,"CEP")+COUNTIF(L8:L73,"M+")+COUNTIF(L8:L73,"D+")+COUNTIF(L8:L73,"Dm+")+COUNTIF(L8:L73,"Dt+")+COUNTIF(L8:L73,"Mt-")</f>
        <v/>
      </c>
      <c r="M75" s="133">
        <f>COUNTIF(M8:M73,"M")+COUNTIF(M8:M73,"D")+COUNTIF(M8:M73,"C")+COUNTIF(M8:M73,"J")+COUNTIF(M8:M73,"CEP")+COUNTIF(M8:M73,"M+")+COUNTIF(M8:M73,"D+")+COUNTIF(M8:M73,"Dm+")+COUNTIF(M8:M73,"Dt+")+COUNTIF(M8:M73,"Mt-")</f>
        <v/>
      </c>
      <c r="N75" s="133">
        <f>COUNTIF(N8:N73,"M")+COUNTIF(N8:N73,"D")+COUNTIF(N8:N73,"C")+COUNTIF(N8:N73,"J")+COUNTIF(N8:N73,"CEP")+COUNTIF(N8:N73,"M+")+COUNTIF(N8:N73,"D+")+COUNTIF(N8:N73,"Dm+")+COUNTIF(N8:N73,"Dt+")+COUNTIF(N8:N73,"Mt-")</f>
        <v/>
      </c>
      <c r="O75" s="133">
        <f>COUNTIF(O8:O73,"M")+COUNTIF(O8:O73,"D")+COUNTIF(O8:O73,"C")+COUNTIF(O8:O73,"J")+COUNTIF(O8:O73,"CEP")+COUNTIF(O8:O73,"M+")+COUNTIF(O8:O73,"D+")+COUNTIF(O8:O73,"Dm+")+COUNTIF(O8:O73,"Dt+")+COUNTIF(O8:O73,"Mt-")</f>
        <v/>
      </c>
      <c r="P75" s="133">
        <f>COUNTIF(P8:P73,"M")+COUNTIF(P8:P73,"D")+COUNTIF(P8:P73,"C")+COUNTIF(P8:P73,"J")+COUNTIF(P8:P73,"CEP")+COUNTIF(P8:P73,"M+")+COUNTIF(P8:P73,"D+")+COUNTIF(P8:P73,"Dm+")+COUNTIF(P8:P73,"Dt+")+COUNTIF(P8:P73,"Mt-")</f>
        <v/>
      </c>
      <c r="Q75" s="133">
        <f>COUNTIF(Q8:Q73,"M")+COUNTIF(Q8:Q73,"D")+COUNTIF(Q8:Q73,"C")+COUNTIF(Q8:Q73,"J")+COUNTIF(Q8:Q73,"CEP")+COUNTIF(Q8:Q73,"M+")+COUNTIF(Q8:Q73,"D+")+COUNTIF(Q8:Q73,"Dm+")+COUNTIF(Q8:Q73,"Dt+")+COUNTIF(Q8:Q73,"Mt-")</f>
        <v/>
      </c>
      <c r="R75" s="133">
        <f>COUNTIF(R8:R73,"M")+COUNTIF(R8:R73,"D")+COUNTIF(R8:R73,"C")+COUNTIF(R8:R73,"J")+COUNTIF(R8:R73,"CEP")+COUNTIF(R8:R73,"M+")+COUNTIF(R8:R73,"D+")+COUNTIF(R8:R73,"Dm+")+COUNTIF(R8:R73,"Dt+")+COUNTIF(R8:R73,"Mt-")</f>
        <v/>
      </c>
      <c r="S75" s="133">
        <f>COUNTIF(S8:S73,"M")+COUNTIF(S8:S73,"D")+COUNTIF(S8:S73,"C")+COUNTIF(S8:S73,"J")+COUNTIF(S8:S73,"CEP")+COUNTIF(S8:S73,"M+")+COUNTIF(S8:S73,"D+")+COUNTIF(S8:S73,"Dm+")+COUNTIF(S8:S73,"Dt+")+COUNTIF(S8:S73,"Mt-")</f>
        <v/>
      </c>
      <c r="T75" s="133">
        <f>COUNTIF(T8:T73,"M")+COUNTIF(T8:T73,"D")+COUNTIF(T8:T73,"C")+COUNTIF(T8:T73,"J")+COUNTIF(T8:T73,"CEP")+COUNTIF(T8:T73,"M+")+COUNTIF(T8:T73,"D+")+COUNTIF(T8:T73,"Dm+")+COUNTIF(T8:T73,"Dt+")+COUNTIF(T8:T73,"Mt-")</f>
        <v/>
      </c>
      <c r="U75" s="133">
        <f>COUNTIF(U8:U73,"M")+COUNTIF(U8:U73,"D")+COUNTIF(U8:U73,"C")+COUNTIF(U8:U73,"J")+COUNTIF(U8:U73,"CEP")+COUNTIF(U8:U73,"M+")+COUNTIF(U8:U73,"D+")+COUNTIF(U8:U73,"Dm+")+COUNTIF(U8:U73,"Dt+")+COUNTIF(U8:U73,"Mt-")</f>
        <v/>
      </c>
      <c r="V75" s="133">
        <f>COUNTIF(V8:V73,"M")+COUNTIF(V8:V73,"D")+COUNTIF(V8:V73,"C")+COUNTIF(V8:V73,"J")+COUNTIF(V8:V73,"CEP")+COUNTIF(V8:V73,"M+")+COUNTIF(V8:V73,"D+")+COUNTIF(V8:V73,"Dm+")+COUNTIF(V8:V73,"Dt+")+COUNTIF(V8:V73,"Mt-")</f>
        <v/>
      </c>
      <c r="W75" s="133">
        <f>COUNTIF(W8:W73,"M")+COUNTIF(W8:W73,"D")+COUNTIF(W8:W73,"C")+COUNTIF(W8:W73,"J")+COUNTIF(W8:W73,"CEP")+COUNTIF(W8:W73,"M+")+COUNTIF(W8:W73,"D+")+COUNTIF(W8:W73,"Dm+")+COUNTIF(W8:W73,"Dt+")+COUNTIF(W8:W73,"Mt-")</f>
        <v/>
      </c>
      <c r="X75" s="133">
        <f>COUNTIF(X8:X73,"M")+COUNTIF(X8:X73,"D")+COUNTIF(X8:X73,"C")+COUNTIF(X8:X73,"J")+COUNTIF(X8:X73,"CEP")+COUNTIF(X8:X73,"M+")+COUNTIF(X8:X73,"D+")+COUNTIF(X8:X73,"Dm+")+COUNTIF(X8:X73,"Dt+")+COUNTIF(X8:X73,"Mt-")</f>
        <v/>
      </c>
      <c r="Y75" s="133">
        <f>COUNTIF(Y8:Y73,"M")+COUNTIF(Y8:Y73,"D")+COUNTIF(Y8:Y73,"C")+COUNTIF(Y8:Y73,"J")+COUNTIF(Y8:Y73,"CEP")+COUNTIF(Y8:Y73,"M+")+COUNTIF(Y8:Y73,"D+")+COUNTIF(Y8:Y73,"Dm+")+COUNTIF(Y8:Y73,"Dt+")+COUNTIF(Y8:Y73,"Mt-")</f>
        <v/>
      </c>
      <c r="Z75" s="133">
        <f>COUNTIF(Z8:Z73,"M")+COUNTIF(Z8:Z73,"D")+COUNTIF(Z8:Z73,"C")+COUNTIF(Z8:Z73,"J")+COUNTIF(Z8:Z73,"CEP")+COUNTIF(Z8:Z73,"M+")+COUNTIF(Z8:Z73,"D+")+COUNTIF(Z8:Z73,"Dm+")+COUNTIF(Z8:Z73,"Dt+")+COUNTIF(Z8:Z73,"Mt-")</f>
        <v/>
      </c>
      <c r="AA75" s="133">
        <f>COUNTIF(AA8:AA73,"M")+COUNTIF(AA8:AA73,"D")+COUNTIF(AA8:AA73,"C")+COUNTIF(AA8:AA73,"J")+COUNTIF(AA8:AA73,"CEP")+COUNTIF(AA8:AA73,"M+")+COUNTIF(AA8:AA73,"D+")+COUNTIF(AA8:AA73,"Dm+")+COUNTIF(AA8:AA73,"Dt+")+COUNTIF(AA8:AA73,"Mt-")</f>
        <v/>
      </c>
      <c r="AB75" s="133">
        <f>COUNTIF(AB8:AB73,"M")+COUNTIF(AB8:AB73,"D")+COUNTIF(AB8:AB73,"C")+COUNTIF(AB8:AB73,"J")+COUNTIF(AB8:AB73,"CEP")+COUNTIF(AB8:AB73,"M+")+COUNTIF(AB8:AB73,"D+")+COUNTIF(AB8:AB73,"Dm+")+COUNTIF(AB8:AB73,"Dt+")+COUNTIF(AB8:AB73,"Mt-")</f>
        <v/>
      </c>
      <c r="AC75" s="133">
        <f>COUNTIF(AC8:AC73,"M")+COUNTIF(AC8:AC73,"D")+COUNTIF(AC8:AC73,"C")+COUNTIF(AC8:AC73,"J")+COUNTIF(AC8:AC73,"CEP")+COUNTIF(AC8:AC73,"M+")+COUNTIF(AC8:AC73,"D+")+COUNTIF(AC8:AC73,"Dm+")+COUNTIF(AC8:AC73,"Dt+")+COUNTIF(AC8:AC73,"Mt-")</f>
        <v/>
      </c>
      <c r="AD75" s="133">
        <f>COUNTIF(AD8:AD73,"M")+COUNTIF(AD8:AD73,"D")+COUNTIF(AD8:AD73,"C")+COUNTIF(AD8:AD73,"J")+COUNTIF(AD8:AD73,"CEP")+COUNTIF(AD8:AD73,"M+")+COUNTIF(AD8:AD73,"D+")+COUNTIF(AD8:AD73,"Dm+")+COUNTIF(AD8:AD73,"Dt+")+COUNTIF(AD8:AD73,"Mt-")</f>
        <v/>
      </c>
      <c r="AE75" s="133">
        <f>COUNTIF(AE8:AE73,"M")+COUNTIF(AE8:AE73,"D")+COUNTIF(AE8:AE73,"C")+COUNTIF(AE8:AE73,"J")+COUNTIF(AE8:AE73,"CEP")+COUNTIF(AE8:AE73,"M+")+COUNTIF(AE8:AE73,"D+")+COUNTIF(AE8:AE73,"Dm+")+COUNTIF(AE8:AE73,"Dt+")+COUNTIF(AE8:AE73,"Mt-")</f>
        <v/>
      </c>
      <c r="AF75" s="133">
        <f>COUNTIF(AF8:AF73,"M")+COUNTIF(AF8:AF73,"D")+COUNTIF(AF8:AF73,"C")+COUNTIF(AF8:AF73,"J")+COUNTIF(AF8:AF73,"CEP")+COUNTIF(AF8:AF73,"M+")+COUNTIF(AF8:AF73,"D+")+COUNTIF(AF8:AF73,"Dm+")+COUNTIF(AF8:AF73,"Dt+")+COUNTIF(AF8:AF73,"Mt-")</f>
        <v/>
      </c>
      <c r="AG75" s="133">
        <f>COUNTIF(AG8:AG73,"M")+COUNTIF(AG8:AG73,"D")+COUNTIF(AG8:AG73,"C")+COUNTIF(AG8:AG73,"J")+COUNTIF(AG8:AG73,"CEP")+COUNTIF(AG8:AG73,"M+")+COUNTIF(AG8:AG73,"D+")+COUNTIF(AG8:AG73,"Dm+")+COUNTIF(AG8:AG73,"Dt+")+COUNTIF(AG8:AG73,"Mt-")</f>
        <v/>
      </c>
      <c r="AH75" s="133">
        <f>COUNTIF(AH8:AH73,"M")+COUNTIF(AH8:AH73,"D")+COUNTIF(AH8:AH73,"C")+COUNTIF(AH8:AH73,"J")+COUNTIF(AH8:AH73,"CEP")+COUNTIF(AH8:AH73,"M+")+COUNTIF(AH8:AH73,"D+")+COUNTIF(AH8:AH73,"Dm+")+COUNTIF(AH8:AH73,"Dt+")+COUNTIF(AH8:AH73,"Mt-")</f>
        <v/>
      </c>
      <c r="AI75" s="133">
        <f>COUNTIF(AI8:AI73,"M")+COUNTIF(AI8:AI73,"D")+COUNTIF(AI8:AI73,"C")+COUNTIF(AI8:AI73,"J")+COUNTIF(AI8:AI73,"CEP")+COUNTIF(AI8:AI73,"M+")+COUNTIF(AI8:AI73,"D+")+COUNTIF(AI8:AI73,"Dm+")+COUNTIF(AI8:AI73,"Dt+")+COUNTIF(AI8:AI73,"Mt-")</f>
        <v/>
      </c>
      <c r="AJ75" s="133">
        <f>COUNTIF(AJ8:AJ73,"M")+COUNTIF(AJ8:AJ73,"D")+COUNTIF(AJ8:AJ73,"C")+COUNTIF(AJ8:AJ73,"J")+COUNTIF(AJ8:AJ73,"CEP")+COUNTIF(AJ8:AJ73,"M+")+COUNTIF(AJ8:AJ73,"D+")+COUNTIF(AJ8:AJ73,"Dm+")+COUNTIF(AJ8:AJ73,"Dt+")+COUNTIF(AJ8:AJ73,"Mt-")</f>
        <v/>
      </c>
      <c r="AK75" s="133">
        <f>COUNTIF(AK8:AK73,"M")+COUNTIF(AK8:AK73,"D")+COUNTIF(AK8:AK73,"C")+COUNTIF(AK8:AK73,"J")+COUNTIF(AK8:AK73,"CEP")+COUNTIF(AK8:AK73,"M+")+COUNTIF(AK8:AK73,"D+")+COUNTIF(AK8:AK73,"Dm+")+COUNTIF(AK8:AK73,"Dt+")+COUNTIF(AK8:AK73,"Mt-")</f>
        <v/>
      </c>
      <c r="AL75" s="133">
        <f>COUNTIF(AL8:AL73,"M")+COUNTIF(AL8:AL73,"D")+COUNTIF(AL8:AL73,"C")+COUNTIF(AL8:AL73,"J")+COUNTIF(AL8:AL73,"CEP")+COUNTIF(AL8:AL73,"M+")+COUNTIF(AL8:AL73,"D+")+COUNTIF(AL8:AL73,"Dm+")+COUNTIF(AL8:AL73,"Dt+")+COUNTIF(AL8:AL73,"Mt-")</f>
        <v/>
      </c>
      <c r="AM75" s="133">
        <f>COUNTIF(AM8:AM73,"M")+COUNTIF(AM8:AM73,"D")+COUNTIF(AM8:AM73,"C")+COUNTIF(AM8:AM73,"J")+COUNTIF(AM8:AM73,"CEP")+COUNTIF(AM8:AM73,"M+")+COUNTIF(AM8:AM73,"D+")+COUNTIF(AM8:AM73,"Dm+")+COUNTIF(AM8:AM73,"Dt+")+COUNTIF(AM8:AM73,"Mt-")</f>
        <v/>
      </c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</row>
    <row r="76">
      <c r="A76" s="132" t="inlineStr">
        <is>
          <t>Tarde</t>
        </is>
      </c>
      <c r="B76" s="39" t="n"/>
      <c r="C76" s="39" t="n"/>
      <c r="D76" s="39" t="n"/>
      <c r="E76" s="39" t="n"/>
      <c r="F76" s="39" t="n"/>
      <c r="G76" s="39" t="n"/>
      <c r="H76" s="133">
        <f>COUNTIF(H8:H73,"T")+COUNTIF(H8:H73,"D")+COUNTIF(H8:H73,"C")+COUNTIF(H8:H73,"T+")+COUNTIF(H8:H73,"D+")+COUNTIF(H8:H73,"Dm+")+COUNTIF(H8:H73,"Dt+")+COUNTIF(H8:H73,"Tm-")</f>
        <v/>
      </c>
      <c r="I76" s="133">
        <f>COUNTIF(I8:I73,"T")+COUNTIF(I8:I73,"D")+COUNTIF(I8:I73,"C")+COUNTIF(I8:I73,"T+")+COUNTIF(I8:I73,"D+")+COUNTIF(I8:I73,"Dm+")+COUNTIF(I8:I73,"Dt+")+COUNTIF(I8:I73,"Tm-")</f>
        <v/>
      </c>
      <c r="J76" s="133">
        <f>COUNTIF(J8:J73,"T")+COUNTIF(J8:J73,"D")+COUNTIF(J8:J73,"C")+COUNTIF(J8:J73,"T+")+COUNTIF(J8:J73,"D+")+COUNTIF(J8:J73,"Dm+")+COUNTIF(J8:J73,"Dt+")+COUNTIF(J8:J73,"Tm-")</f>
        <v/>
      </c>
      <c r="K76" s="133">
        <f>COUNTIF(K8:K73,"T")+COUNTIF(K8:K73,"D")+COUNTIF(K8:K73,"C")+COUNTIF(K8:K73,"T+")+COUNTIF(K8:K73,"D+")+COUNTIF(K8:K73,"Dm+")+COUNTIF(K8:K73,"Dt+")+COUNTIF(K8:K73,"Tm-")</f>
        <v/>
      </c>
      <c r="L76" s="133">
        <f>COUNTIF(L8:L73,"T")+COUNTIF(L8:L73,"D")+COUNTIF(L8:L73,"C")+COUNTIF(L8:L73,"T+")+COUNTIF(L8:L73,"D+")+COUNTIF(L8:L73,"Dm+")+COUNTIF(L8:L73,"Dt+")+COUNTIF(L8:L73,"Tm-")</f>
        <v/>
      </c>
      <c r="M76" s="133">
        <f>COUNTIF(M8:M73,"T")+COUNTIF(M8:M73,"D")+COUNTIF(M8:M73,"C")+COUNTIF(M8:M73,"T+")+COUNTIF(M8:M73,"D+")+COUNTIF(M8:M73,"Dm+")+COUNTIF(M8:M73,"Dt+")+COUNTIF(M8:M73,"Tm-")</f>
        <v/>
      </c>
      <c r="N76" s="133">
        <f>COUNTIF(N8:N73,"T")+COUNTIF(N8:N73,"D")+COUNTIF(N8:N73,"C")+COUNTIF(N8:N73,"T+")+COUNTIF(N8:N73,"D+")+COUNTIF(N8:N73,"Dm+")+COUNTIF(N8:N73,"Dt+")+COUNTIF(N8:N73,"Tm-")</f>
        <v/>
      </c>
      <c r="O76" s="133">
        <f>COUNTIF(O8:O73,"T")+COUNTIF(O8:O73,"D")+COUNTIF(O8:O73,"C")+COUNTIF(O8:O73,"T+")+COUNTIF(O8:O73,"D+")+COUNTIF(O8:O73,"Dm+")+COUNTIF(O8:O73,"Dt+")+COUNTIF(O8:O73,"Tm-")</f>
        <v/>
      </c>
      <c r="P76" s="133">
        <f>COUNTIF(P8:P73,"T")+COUNTIF(P8:P73,"D")+COUNTIF(P8:P73,"C")+COUNTIF(P8:P73,"T+")+COUNTIF(P8:P73,"D+")+COUNTIF(P8:P73,"Dm+")+COUNTIF(P8:P73,"Dt+")+COUNTIF(P8:P73,"Tm-")</f>
        <v/>
      </c>
      <c r="Q76" s="133">
        <f>COUNTIF(Q8:Q73,"T")+COUNTIF(Q8:Q73,"D")+COUNTIF(Q8:Q73,"C")+COUNTIF(Q8:Q73,"T+")+COUNTIF(Q8:Q73,"D+")+COUNTIF(Q8:Q73,"Dm+")+COUNTIF(Q8:Q73,"Dt+")+COUNTIF(Q8:Q73,"Tm-")</f>
        <v/>
      </c>
      <c r="R76" s="133">
        <f>COUNTIF(R8:R73,"T")+COUNTIF(R8:R73,"D")+COUNTIF(R8:R73,"C")+COUNTIF(R8:R73,"T+")+COUNTIF(R8:R73,"D+")+COUNTIF(R8:R73,"Dm+")+COUNTIF(R8:R73,"Dt+")+COUNTIF(R8:R73,"Tm-")</f>
        <v/>
      </c>
      <c r="S76" s="133">
        <f>COUNTIF(S8:S73,"T")+COUNTIF(S8:S73,"D")+COUNTIF(S8:S73,"C")+COUNTIF(S8:S73,"T+")+COUNTIF(S8:S73,"D+")+COUNTIF(S8:S73,"Dm+")+COUNTIF(S8:S73,"Dt+")+COUNTIF(S8:S73,"Tm-")</f>
        <v/>
      </c>
      <c r="T76" s="133">
        <f>COUNTIF(T8:T73,"T")+COUNTIF(T8:T73,"D")+COUNTIF(T8:T73,"C")+COUNTIF(T8:T73,"T+")+COUNTIF(T8:T73,"D+")+COUNTIF(T8:T73,"Dm+")+COUNTIF(T8:T73,"Dt+")+COUNTIF(T8:T73,"Tm-")</f>
        <v/>
      </c>
      <c r="U76" s="133">
        <f>COUNTIF(U8:U73,"T")+COUNTIF(U8:U73,"D")+COUNTIF(U8:U73,"C")+COUNTIF(U8:U73,"T+")+COUNTIF(U8:U73,"D+")+COUNTIF(U8:U73,"Dm+")+COUNTIF(U8:U73,"Dt+")+COUNTIF(U8:U73,"Tm-")</f>
        <v/>
      </c>
      <c r="V76" s="133">
        <f>COUNTIF(V8:V73,"T")+COUNTIF(V8:V73,"D")+COUNTIF(V8:V73,"C")+COUNTIF(V8:V73,"T+")+COUNTIF(V8:V73,"D+")+COUNTIF(V8:V73,"Dm+")+COUNTIF(V8:V73,"Dt+")+COUNTIF(V8:V73,"Tm-")</f>
        <v/>
      </c>
      <c r="W76" s="133">
        <f>COUNTIF(W8:W73,"T")+COUNTIF(W8:W73,"D")+COUNTIF(W8:W73,"C")+COUNTIF(W8:W73,"T+")+COUNTIF(W8:W73,"D+")+COUNTIF(W8:W73,"Dm+")+COUNTIF(W8:W73,"Dt+")+COUNTIF(W8:W73,"Tm-")</f>
        <v/>
      </c>
      <c r="X76" s="133">
        <f>COUNTIF(X8:X73,"T")+COUNTIF(X8:X73,"D")+COUNTIF(X8:X73,"C")+COUNTIF(X8:X73,"T+")+COUNTIF(X8:X73,"D+")+COUNTIF(X8:X73,"Dm+")+COUNTIF(X8:X73,"Dt+")+COUNTIF(X8:X73,"Tm-")</f>
        <v/>
      </c>
      <c r="Y76" s="133">
        <f>COUNTIF(Y8:Y73,"T")+COUNTIF(Y8:Y73,"D")+COUNTIF(Y8:Y73,"C")+COUNTIF(Y8:Y73,"T+")+COUNTIF(Y8:Y73,"D+")+COUNTIF(Y8:Y73,"Dm+")+COUNTIF(Y8:Y73,"Dt+")+COUNTIF(Y8:Y73,"Tm-")</f>
        <v/>
      </c>
      <c r="Z76" s="133">
        <f>COUNTIF(Z8:Z73,"T")+COUNTIF(Z8:Z73,"D")+COUNTIF(Z8:Z73,"C")+COUNTIF(Z8:Z73,"T+")+COUNTIF(Z8:Z73,"D+")+COUNTIF(Z8:Z73,"Dm+")+COUNTIF(Z8:Z73,"Dt+")+COUNTIF(Z8:Z73,"Tm-")</f>
        <v/>
      </c>
      <c r="AA76" s="133">
        <f>COUNTIF(AA8:AA73,"T")+COUNTIF(AA8:AA73,"D")+COUNTIF(AA8:AA73,"C")+COUNTIF(AA8:AA73,"T+")+COUNTIF(AA8:AA73,"D+")+COUNTIF(AA8:AA73,"Dm+")+COUNTIF(AA8:AA73,"Dt+")+COUNTIF(AA8:AA73,"Tm-")</f>
        <v/>
      </c>
      <c r="AB76" s="133">
        <f>COUNTIF(AB8:AB73,"T")+COUNTIF(AB8:AB73,"D")+COUNTIF(AB8:AB73,"C")+COUNTIF(AB8:AB73,"T+")+COUNTIF(AB8:AB73,"D+")+COUNTIF(AB8:AB73,"Dm+")+COUNTIF(AB8:AB73,"Dt+")+COUNTIF(AB8:AB73,"Tm-")</f>
        <v/>
      </c>
      <c r="AC76" s="133">
        <f>COUNTIF(AC8:AC73,"T")+COUNTIF(AC8:AC73,"D")+COUNTIF(AC8:AC73,"C")+COUNTIF(AC8:AC73,"T+")+COUNTIF(AC8:AC73,"D+")+COUNTIF(AC8:AC73,"Dm+")+COUNTIF(AC8:AC73,"Dt+")+COUNTIF(AC8:AC73,"Tm-")</f>
        <v/>
      </c>
      <c r="AD76" s="133">
        <f>COUNTIF(AD8:AD73,"T")+COUNTIF(AD8:AD73,"D")+COUNTIF(AD8:AD73,"C")+COUNTIF(AD8:AD73,"T+")+COUNTIF(AD8:AD73,"D+")+COUNTIF(AD8:AD73,"Dm+")+COUNTIF(AD8:AD73,"Dt+")+COUNTIF(AD8:AD73,"Tm-")</f>
        <v/>
      </c>
      <c r="AE76" s="133">
        <f>COUNTIF(AE8:AE73,"T")+COUNTIF(AE8:AE73,"D")+COUNTIF(AE8:AE73,"C")+COUNTIF(AE8:AE73,"T+")+COUNTIF(AE8:AE73,"D+")+COUNTIF(AE8:AE73,"Dm+")+COUNTIF(AE8:AE73,"Dt+")+COUNTIF(AE8:AE73,"Tm-")</f>
        <v/>
      </c>
      <c r="AF76" s="133">
        <f>COUNTIF(AF8:AF73,"T")+COUNTIF(AF8:AF73,"D")+COUNTIF(AF8:AF73,"C")+COUNTIF(AF8:AF73,"T+")+COUNTIF(AF8:AF73,"D+")+COUNTIF(AF8:AF73,"Dm+")+COUNTIF(AF8:AF73,"Dt+")+COUNTIF(AF8:AF73,"Tm-")</f>
        <v/>
      </c>
      <c r="AG76" s="133">
        <f>COUNTIF(AG8:AG73,"T")+COUNTIF(AG8:AG73,"D")+COUNTIF(AG8:AG73,"C")+COUNTIF(AG8:AG73,"T+")+COUNTIF(AG8:AG73,"D+")+COUNTIF(AG8:AG73,"Dm+")+COUNTIF(AG8:AG73,"Dt+")+COUNTIF(AG8:AG73,"Tm-")</f>
        <v/>
      </c>
      <c r="AH76" s="133">
        <f>COUNTIF(AH8:AH73,"T")+COUNTIF(AH8:AH73,"D")+COUNTIF(AH8:AH73,"C")+COUNTIF(AH8:AH73,"T+")+COUNTIF(AH8:AH73,"D+")+COUNTIF(AH8:AH73,"Dm+")+COUNTIF(AH8:AH73,"Dt+")+COUNTIF(AH8:AH73,"Tm-")</f>
        <v/>
      </c>
      <c r="AI76" s="133">
        <f>COUNTIF(AI8:AI73,"T")+COUNTIF(AI8:AI73,"D")+COUNTIF(AI8:AI73,"C")+COUNTIF(AI8:AI73,"T+")+COUNTIF(AI8:AI73,"D+")+COUNTIF(AI8:AI73,"Dm+")+COUNTIF(AI8:AI73,"Dt+")+COUNTIF(AI8:AI73,"Tm-")</f>
        <v/>
      </c>
      <c r="AJ76" s="133">
        <f>COUNTIF(AJ8:AJ73,"T")+COUNTIF(AJ8:AJ73,"D")+COUNTIF(AJ8:AJ73,"C")+COUNTIF(AJ8:AJ73,"T+")+COUNTIF(AJ8:AJ73,"D+")+COUNTIF(AJ8:AJ73,"Dm+")+COUNTIF(AJ8:AJ73,"Dt+")+COUNTIF(AJ8:AJ73,"Tm-")</f>
        <v/>
      </c>
      <c r="AK76" s="133">
        <f>COUNTIF(AK8:AK73,"T")+COUNTIF(AK8:AK73,"D")+COUNTIF(AK8:AK73,"C")+COUNTIF(AK8:AK73,"T+")+COUNTIF(AK8:AK73,"D+")+COUNTIF(AK8:AK73,"Dm+")+COUNTIF(AK8:AK73,"Dt+")+COUNTIF(AK8:AK73,"Tm-")</f>
        <v/>
      </c>
      <c r="AL76" s="133">
        <f>COUNTIF(AL8:AL73,"T")+COUNTIF(AL8:AL73,"D")+COUNTIF(AL8:AL73,"C")+COUNTIF(AL8:AL73,"T+")+COUNTIF(AL8:AL73,"D+")+COUNTIF(AL8:AL73,"Dm+")+COUNTIF(AL8:AL73,"Dt+")+COUNTIF(AL8:AL73,"Tm-")</f>
        <v/>
      </c>
      <c r="AM76" s="133">
        <f>COUNTIF(AM8:AM73,"T")+COUNTIF(AM8:AM73,"D")+COUNTIF(AM8:AM73,"C")+COUNTIF(AM8:AM73,"T+")+COUNTIF(AM8:AM73,"D+")+COUNTIF(AM8:AM73,"Dm+")+COUNTIF(AM8:AM73,"Dt+")+COUNTIF(AM8:AM73,"Tm-")</f>
        <v/>
      </c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</row>
    <row r="77">
      <c r="A77" s="132" t="inlineStr">
        <is>
          <t>Noite</t>
        </is>
      </c>
      <c r="B77" s="39" t="n"/>
      <c r="C77" s="39" t="n"/>
      <c r="D77" s="39" t="n"/>
      <c r="E77" s="39" t="n"/>
      <c r="F77" s="39" t="n"/>
      <c r="G77" s="39" t="n"/>
      <c r="H77" s="133">
        <f>COUNTIF(H8:H73,"N")+COUNTIF(H8:H73,"NT")+COUNTIF(H8:H73,"N+")</f>
        <v/>
      </c>
      <c r="I77" s="133">
        <f>COUNTIF(I8:I73,"N")+COUNTIF(I8:I73,"NT")+COUNTIF(I8:I73,"N+")</f>
        <v/>
      </c>
      <c r="J77" s="133">
        <f>COUNTIF(J8:J73,"N")+COUNTIF(J8:J73,"NT")+COUNTIF(J8:J73,"N+")</f>
        <v/>
      </c>
      <c r="K77" s="133">
        <f>COUNTIF(K8:K73,"N")+COUNTIF(K8:K73,"NT")+COUNTIF(K8:K73,"N+")</f>
        <v/>
      </c>
      <c r="L77" s="133">
        <f>COUNTIF(L8:L73,"N")+COUNTIF(L8:L73,"NT")+COUNTIF(L8:L73,"N+")</f>
        <v/>
      </c>
      <c r="M77" s="133">
        <f>COUNTIF(M8:M73,"N")+COUNTIF(M8:M73,"NT")+COUNTIF(M8:M73,"N+")</f>
        <v/>
      </c>
      <c r="N77" s="133">
        <f>COUNTIF(N8:N73,"N")+COUNTIF(N8:N73,"NT")+COUNTIF(N8:N73,"N+")</f>
        <v/>
      </c>
      <c r="O77" s="133">
        <f>COUNTIF(O8:O73,"N")+COUNTIF(O8:O73,"NT")+COUNTIF(O8:O73,"N+")</f>
        <v/>
      </c>
      <c r="P77" s="133">
        <f>COUNTIF(P8:P73,"N")+COUNTIF(P8:P73,"NT")+COUNTIF(P8:P73,"N+")</f>
        <v/>
      </c>
      <c r="Q77" s="133">
        <f>COUNTIF(Q8:Q73,"N")+COUNTIF(Q8:Q73,"NT")+COUNTIF(Q8:Q73,"N+")</f>
        <v/>
      </c>
      <c r="R77" s="133">
        <f>COUNTIF(R8:R73,"N")+COUNTIF(R8:R73,"NT")+COUNTIF(R8:R73,"N+")</f>
        <v/>
      </c>
      <c r="S77" s="133">
        <f>COUNTIF(S8:S73,"N")+COUNTIF(S8:S73,"NT")+COUNTIF(S8:S73,"N+")</f>
        <v/>
      </c>
      <c r="T77" s="133">
        <f>COUNTIF(T8:T73,"N")+COUNTIF(T8:T73,"NT")+COUNTIF(T8:T73,"N+")</f>
        <v/>
      </c>
      <c r="U77" s="133">
        <f>COUNTIF(U8:U73,"N")+COUNTIF(U8:U73,"NT")+COUNTIF(U8:U73,"N+")</f>
        <v/>
      </c>
      <c r="V77" s="133">
        <f>COUNTIF(V8:V73,"N")+COUNTIF(V8:V73,"NT")+COUNTIF(V8:V73,"N+")</f>
        <v/>
      </c>
      <c r="W77" s="133">
        <f>COUNTIF(W8:W73,"N")+COUNTIF(W8:W73,"NT")+COUNTIF(W8:W73,"N+")</f>
        <v/>
      </c>
      <c r="X77" s="133">
        <f>COUNTIF(X8:X73,"N")+COUNTIF(X8:X73,"NT")+COUNTIF(X8:X73,"N+")</f>
        <v/>
      </c>
      <c r="Y77" s="133">
        <f>COUNTIF(Y8:Y73,"N")+COUNTIF(Y8:Y73,"NT")+COUNTIF(Y8:Y73,"N+")</f>
        <v/>
      </c>
      <c r="Z77" s="133">
        <f>COUNTIF(Z8:Z73,"N")+COUNTIF(Z8:Z73,"NT")+COUNTIF(Z8:Z73,"N+")</f>
        <v/>
      </c>
      <c r="AA77" s="133">
        <f>COUNTIF(AA8:AA73,"N")+COUNTIF(AA8:AA73,"NT")+COUNTIF(AA8:AA73,"N+")</f>
        <v/>
      </c>
      <c r="AB77" s="133">
        <f>COUNTIF(AB8:AB73,"N")+COUNTIF(AB8:AB73,"NT")+COUNTIF(AB8:AB73,"N+")</f>
        <v/>
      </c>
      <c r="AC77" s="133">
        <f>COUNTIF(AC8:AC73,"N")+COUNTIF(AC8:AC73,"NT")+COUNTIF(AC8:AC73,"N+")</f>
        <v/>
      </c>
      <c r="AD77" s="133">
        <f>COUNTIF(AD8:AD73,"N")+COUNTIF(AD8:AD73,"NT")+COUNTIF(AD8:AD73,"N+")</f>
        <v/>
      </c>
      <c r="AE77" s="133">
        <f>COUNTIF(AE8:AE73,"N")+COUNTIF(AE8:AE73,"NT")+COUNTIF(AE8:AE73,"N+")</f>
        <v/>
      </c>
      <c r="AF77" s="133">
        <f>COUNTIF(AF8:AF73,"N")+COUNTIF(AF8:AF73,"NT")+COUNTIF(AF8:AF73,"N+")</f>
        <v/>
      </c>
      <c r="AG77" s="133">
        <f>COUNTIF(AG8:AG73,"N")+COUNTIF(AG8:AG73,"NT")+COUNTIF(AG8:AG73,"N+")</f>
        <v/>
      </c>
      <c r="AH77" s="133">
        <f>COUNTIF(AH8:AH73,"N")+COUNTIF(AH8:AH73,"NT")+COUNTIF(AH8:AH73,"N+")</f>
        <v/>
      </c>
      <c r="AI77" s="133">
        <f>COUNTIF(AI8:AI73,"N")+COUNTIF(AI8:AI73,"NT")+COUNTIF(AI8:AI73,"N+")</f>
        <v/>
      </c>
      <c r="AJ77" s="133">
        <f>COUNTIF(AJ8:AJ73,"N")+COUNTIF(AJ8:AJ73,"NT")+COUNTIF(AJ8:AJ73,"N+")</f>
        <v/>
      </c>
      <c r="AK77" s="133">
        <f>COUNTIF(AK8:AK73,"N")+COUNTIF(AK8:AK73,"NT")+COUNTIF(AK8:AK73,"N+")</f>
        <v/>
      </c>
      <c r="AL77" s="133">
        <f>COUNTIF(AL8:AL73,"N")+COUNTIF(AL8:AL73,"NT")+COUNTIF(AL8:AL73,"N+")</f>
        <v/>
      </c>
      <c r="AM77" s="133">
        <f>COUNTIF(AM8:AM73,"N")+COUNTIF(AM8:AM73,"NT")+COUNTIF(AM8:AM73,"N+")</f>
        <v/>
      </c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</row>
    <row r="78">
      <c r="A78" s="134" t="inlineStr">
        <is>
          <t>Falta manhã</t>
        </is>
      </c>
      <c r="B78" s="39" t="n"/>
      <c r="C78" s="39" t="n"/>
      <c r="D78" s="39" t="n"/>
      <c r="E78" s="39" t="n"/>
      <c r="F78" s="39" t="n"/>
      <c r="G78" s="39" t="n"/>
      <c r="H78" s="135">
        <f>MAX(0,CONFIG!$B$4-H75)</f>
        <v/>
      </c>
      <c r="I78" s="135">
        <f>MAX(0,CONFIG!$B$4-I75)</f>
        <v/>
      </c>
      <c r="J78" s="135">
        <f>MAX(0,CONFIG!$B$4-J75)</f>
        <v/>
      </c>
      <c r="K78" s="135">
        <f>MAX(0,CONFIG!$B$4-K75)</f>
        <v/>
      </c>
      <c r="L78" s="135">
        <f>MAX(0,CONFIG!$B$4-L75)</f>
        <v/>
      </c>
      <c r="M78" s="135">
        <f>MAX(0,CONFIG!$B$5-M75)</f>
        <v/>
      </c>
      <c r="N78" s="135">
        <f>MAX(0,CONFIG!$B$6-N75)</f>
        <v/>
      </c>
      <c r="O78" s="135">
        <f>MAX(0,CONFIG!$B$4-O75)</f>
        <v/>
      </c>
      <c r="P78" s="135">
        <f>MAX(0,CONFIG!$B$4-P75)</f>
        <v/>
      </c>
      <c r="Q78" s="135">
        <f>MAX(0,CONFIG!$B$4-Q75)</f>
        <v/>
      </c>
      <c r="R78" s="135">
        <f>MAX(0,CONFIG!$B$4-R75)</f>
        <v/>
      </c>
      <c r="S78" s="135">
        <f>MAX(0,CONFIG!$B$4-S75)</f>
        <v/>
      </c>
      <c r="T78" s="135">
        <f>MAX(0,CONFIG!$B$5-T75)</f>
        <v/>
      </c>
      <c r="U78" s="135">
        <f>MAX(0,CONFIG!$B$6-U75)</f>
        <v/>
      </c>
      <c r="V78" s="135">
        <f>MAX(0,CONFIG!$B$4-V75)</f>
        <v/>
      </c>
      <c r="W78" s="135">
        <f>MAX(0,CONFIG!$B$4-W75)</f>
        <v/>
      </c>
      <c r="X78" s="135">
        <f>MAX(0,CONFIG!$B$4-X75)</f>
        <v/>
      </c>
      <c r="Y78" s="135">
        <f>MAX(0,CONFIG!$B$4-Y75)</f>
        <v/>
      </c>
      <c r="Z78" s="135">
        <f>MAX(0,CONFIG!$B$4-Z75)</f>
        <v/>
      </c>
      <c r="AA78" s="135">
        <f>MAX(0,CONFIG!$B$5-AA75)</f>
        <v/>
      </c>
      <c r="AB78" s="135">
        <f>MAX(0,CONFIG!$B$6-AB75)</f>
        <v/>
      </c>
      <c r="AC78" s="135">
        <f>MAX(0,CONFIG!$B$4-AC75)</f>
        <v/>
      </c>
      <c r="AD78" s="135">
        <f>MAX(0,CONFIG!$B$4-AD75)</f>
        <v/>
      </c>
      <c r="AE78" s="135">
        <f>MAX(0,CONFIG!$B$4-AE75)</f>
        <v/>
      </c>
      <c r="AF78" s="135">
        <f>MAX(0,CONFIG!$B$4-AF75)</f>
        <v/>
      </c>
      <c r="AG78" s="135">
        <f>MAX(0,CONFIG!$B$4-AG75)</f>
        <v/>
      </c>
      <c r="AH78" s="135">
        <f>MAX(0,CONFIG!$B$5-AH75)</f>
        <v/>
      </c>
      <c r="AI78" s="135">
        <f>MAX(0,CONFIG!$B$6-AI75)</f>
        <v/>
      </c>
      <c r="AJ78" s="135">
        <f>MAX(0,CONFIG!$B$4-AJ75)</f>
        <v/>
      </c>
      <c r="AK78" s="135">
        <f>MAX(0,CONFIG!$B$4-AK75)</f>
        <v/>
      </c>
      <c r="AL78" s="135">
        <f>MAX(0,CONFIG!$B$4-AL75)</f>
        <v/>
      </c>
      <c r="AM78" s="135">
        <f>MAX(0,CONFIG!$B$4-AM75)</f>
        <v/>
      </c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</row>
    <row r="79">
      <c r="A79" s="134" t="inlineStr">
        <is>
          <t>Falta tarde</t>
        </is>
      </c>
      <c r="B79" s="39" t="n"/>
      <c r="C79" s="39" t="n"/>
      <c r="D79" s="39" t="n"/>
      <c r="E79" s="39" t="n"/>
      <c r="F79" s="39" t="n"/>
      <c r="G79" s="39" t="n"/>
      <c r="H79" s="135">
        <f>MAX(0,CONFIG!$C$4-H76)</f>
        <v/>
      </c>
      <c r="I79" s="135">
        <f>MAX(0,CONFIG!$C$4-I76)</f>
        <v/>
      </c>
      <c r="J79" s="135">
        <f>MAX(0,CONFIG!$C$4-J76)</f>
        <v/>
      </c>
      <c r="K79" s="135">
        <f>MAX(0,CONFIG!$C$4-K76)</f>
        <v/>
      </c>
      <c r="L79" s="135">
        <f>MAX(0,CONFIG!$C$4-L76)</f>
        <v/>
      </c>
      <c r="M79" s="135">
        <f>MAX(0,CONFIG!$C$5-M76)</f>
        <v/>
      </c>
      <c r="N79" s="135">
        <f>MAX(0,CONFIG!$C$6-N76)</f>
        <v/>
      </c>
      <c r="O79" s="135">
        <f>MAX(0,CONFIG!$C$4-O76)</f>
        <v/>
      </c>
      <c r="P79" s="135">
        <f>MAX(0,CONFIG!$C$4-P76)</f>
        <v/>
      </c>
      <c r="Q79" s="135">
        <f>MAX(0,CONFIG!$C$4-Q76)</f>
        <v/>
      </c>
      <c r="R79" s="135">
        <f>MAX(0,CONFIG!$C$4-R76)</f>
        <v/>
      </c>
      <c r="S79" s="135">
        <f>MAX(0,CONFIG!$C$4-S76)</f>
        <v/>
      </c>
      <c r="T79" s="135">
        <f>MAX(0,CONFIG!$C$5-T76)</f>
        <v/>
      </c>
      <c r="U79" s="135">
        <f>MAX(0,CONFIG!$C$6-U76)</f>
        <v/>
      </c>
      <c r="V79" s="135">
        <f>MAX(0,CONFIG!$C$4-V76)</f>
        <v/>
      </c>
      <c r="W79" s="135">
        <f>MAX(0,CONFIG!$C$4-W76)</f>
        <v/>
      </c>
      <c r="X79" s="135">
        <f>MAX(0,CONFIG!$C$4-X76)</f>
        <v/>
      </c>
      <c r="Y79" s="135">
        <f>MAX(0,CONFIG!$C$4-Y76)</f>
        <v/>
      </c>
      <c r="Z79" s="135">
        <f>MAX(0,CONFIG!$C$4-Z76)</f>
        <v/>
      </c>
      <c r="AA79" s="135">
        <f>MAX(0,CONFIG!$C$5-AA76)</f>
        <v/>
      </c>
      <c r="AB79" s="135">
        <f>MAX(0,CONFIG!$C$6-AB76)</f>
        <v/>
      </c>
      <c r="AC79" s="135">
        <f>MAX(0,CONFIG!$C$4-AC76)</f>
        <v/>
      </c>
      <c r="AD79" s="135">
        <f>MAX(0,CONFIG!$C$4-AD76)</f>
        <v/>
      </c>
      <c r="AE79" s="135">
        <f>MAX(0,CONFIG!$C$4-AE76)</f>
        <v/>
      </c>
      <c r="AF79" s="135">
        <f>MAX(0,CONFIG!$C$4-AF76)</f>
        <v/>
      </c>
      <c r="AG79" s="135">
        <f>MAX(0,CONFIG!$C$4-AG76)</f>
        <v/>
      </c>
      <c r="AH79" s="135">
        <f>MAX(0,CONFIG!$C$5-AH76)</f>
        <v/>
      </c>
      <c r="AI79" s="135">
        <f>MAX(0,CONFIG!$C$6-AI76)</f>
        <v/>
      </c>
      <c r="AJ79" s="135">
        <f>MAX(0,CONFIG!$C$4-AJ76)</f>
        <v/>
      </c>
      <c r="AK79" s="135">
        <f>MAX(0,CONFIG!$C$4-AK76)</f>
        <v/>
      </c>
      <c r="AL79" s="135">
        <f>MAX(0,CONFIG!$C$4-AL76)</f>
        <v/>
      </c>
      <c r="AM79" s="135">
        <f>MAX(0,CONFIG!$C$4-AM76)</f>
        <v/>
      </c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</row>
    <row r="80">
      <c r="A80" s="134" t="inlineStr">
        <is>
          <t>Falta noite</t>
        </is>
      </c>
      <c r="B80" s="39" t="n"/>
      <c r="C80" s="39" t="n"/>
      <c r="D80" s="39" t="n"/>
      <c r="E80" s="39" t="n"/>
      <c r="F80" s="39" t="n"/>
      <c r="G80" s="39" t="n"/>
      <c r="H80" s="135">
        <f>MAX(0,CONFIG!$D$4-H77)</f>
        <v/>
      </c>
      <c r="I80" s="135">
        <f>MAX(0,CONFIG!$D$4-I77)</f>
        <v/>
      </c>
      <c r="J80" s="135">
        <f>MAX(0,CONFIG!$D$4-J77)</f>
        <v/>
      </c>
      <c r="K80" s="135">
        <f>MAX(0,CONFIG!$D$4-K77)</f>
        <v/>
      </c>
      <c r="L80" s="135">
        <f>MAX(0,CONFIG!$D$4-L77)</f>
        <v/>
      </c>
      <c r="M80" s="135">
        <f>MAX(0,CONFIG!$D$5-M77)</f>
        <v/>
      </c>
      <c r="N80" s="135">
        <f>MAX(0,CONFIG!$D$6-N77)</f>
        <v/>
      </c>
      <c r="O80" s="135">
        <f>MAX(0,CONFIG!$D$4-O77)</f>
        <v/>
      </c>
      <c r="P80" s="135">
        <f>MAX(0,CONFIG!$D$4-P77)</f>
        <v/>
      </c>
      <c r="Q80" s="135">
        <f>MAX(0,CONFIG!$D$4-Q77)</f>
        <v/>
      </c>
      <c r="R80" s="135">
        <f>MAX(0,CONFIG!$D$4-R77)</f>
        <v/>
      </c>
      <c r="S80" s="135">
        <f>MAX(0,CONFIG!$D$4-S77)</f>
        <v/>
      </c>
      <c r="T80" s="135">
        <f>MAX(0,CONFIG!$D$5-T77)</f>
        <v/>
      </c>
      <c r="U80" s="135">
        <f>MAX(0,CONFIG!$D$6-U77)</f>
        <v/>
      </c>
      <c r="V80" s="135">
        <f>MAX(0,CONFIG!$D$4-V77)</f>
        <v/>
      </c>
      <c r="W80" s="135">
        <f>MAX(0,CONFIG!$D$4-W77)</f>
        <v/>
      </c>
      <c r="X80" s="135">
        <f>MAX(0,CONFIG!$D$4-X77)</f>
        <v/>
      </c>
      <c r="Y80" s="135">
        <f>MAX(0,CONFIG!$D$4-Y77)</f>
        <v/>
      </c>
      <c r="Z80" s="135">
        <f>MAX(0,CONFIG!$D$4-Z77)</f>
        <v/>
      </c>
      <c r="AA80" s="135">
        <f>MAX(0,CONFIG!$D$5-AA77)</f>
        <v/>
      </c>
      <c r="AB80" s="135">
        <f>MAX(0,CONFIG!$D$6-AB77)</f>
        <v/>
      </c>
      <c r="AC80" s="135">
        <f>MAX(0,CONFIG!$D$4-AC77)</f>
        <v/>
      </c>
      <c r="AD80" s="135">
        <f>MAX(0,CONFIG!$D$4-AD77)</f>
        <v/>
      </c>
      <c r="AE80" s="135">
        <f>MAX(0,CONFIG!$D$4-AE77)</f>
        <v/>
      </c>
      <c r="AF80" s="135">
        <f>MAX(0,CONFIG!$D$4-AF77)</f>
        <v/>
      </c>
      <c r="AG80" s="135">
        <f>MAX(0,CONFIG!$D$4-AG77)</f>
        <v/>
      </c>
      <c r="AH80" s="135">
        <f>MAX(0,CONFIG!$D$5-AH77)</f>
        <v/>
      </c>
      <c r="AI80" s="135">
        <f>MAX(0,CONFIG!$D$6-AI77)</f>
        <v/>
      </c>
      <c r="AJ80" s="135">
        <f>MAX(0,CONFIG!$D$4-AJ77)</f>
        <v/>
      </c>
      <c r="AK80" s="135">
        <f>MAX(0,CONFIG!$D$4-AK77)</f>
        <v/>
      </c>
      <c r="AL80" s="135">
        <f>MAX(0,CONFIG!$D$4-AL77)</f>
        <v/>
      </c>
      <c r="AM80" s="135">
        <f>MAX(0,CONFIG!$D$4-AM77)</f>
        <v/>
      </c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</row>
  </sheetData>
  <mergeCells count="10">
    <mergeCell ref="AT3:AU3"/>
    <mergeCell ref="AX3:AY3"/>
    <mergeCell ref="AV3:AW3"/>
    <mergeCell ref="AZ3:BA3"/>
    <mergeCell ref="BB3:BC3"/>
    <mergeCell ref="AV2:AW2"/>
    <mergeCell ref="AT2:AU2"/>
    <mergeCell ref="AZ2:BA2"/>
    <mergeCell ref="AX2:AY2"/>
    <mergeCell ref="BB2:BC2"/>
  </mergeCells>
  <conditionalFormatting sqref="AT8:AT73">
    <cfRule type="cellIs" priority="1" operator="greaterThan" dxfId="0">
      <formula>44</formula>
    </cfRule>
  </conditionalFormatting>
  <conditionalFormatting sqref="AV8:AV73">
    <cfRule type="cellIs" priority="2" operator="greaterThan" dxfId="0">
      <formula>44</formula>
    </cfRule>
  </conditionalFormatting>
  <conditionalFormatting sqref="AX8:AX73">
    <cfRule type="cellIs" priority="3" operator="greaterThan" dxfId="0">
      <formula>44</formula>
    </cfRule>
  </conditionalFormatting>
  <conditionalFormatting sqref="AZ8:AZ73">
    <cfRule type="cellIs" priority="4" operator="greaterThan" dxfId="0">
      <formula>44</formula>
    </cfRule>
  </conditionalFormatting>
  <conditionalFormatting sqref="BB8:BB73">
    <cfRule type="cellIs" priority="5" operator="greaterThan" dxfId="0">
      <formula>44</formula>
    </cfRule>
  </conditionalFormatting>
  <conditionalFormatting sqref="BD8:BD73">
    <cfRule type="cellIs" priority="6" operator="greaterThan" dxfId="0">
      <formula>44</formula>
    </cfRule>
  </conditionalFormatting>
  <conditionalFormatting sqref="BP8:BP73">
    <cfRule type="cellIs" priority="7" operator="greaterThan" dxfId="0">
      <formula>44</formula>
    </cfRule>
  </conditionalFormatting>
  <conditionalFormatting sqref="AU8:AU73">
    <cfRule type="cellIs" priority="8" operator="greaterThan" dxfId="1">
      <formula>0</formula>
    </cfRule>
    <cfRule type="cellIs" priority="9" operator="lessThan" dxfId="2">
      <formula>0</formula>
    </cfRule>
  </conditionalFormatting>
  <conditionalFormatting sqref="AW8:AW73">
    <cfRule type="cellIs" priority="10" operator="greaterThan" dxfId="1">
      <formula>0</formula>
    </cfRule>
    <cfRule type="cellIs" priority="11" operator="lessThan" dxfId="2">
      <formula>0</formula>
    </cfRule>
  </conditionalFormatting>
  <conditionalFormatting sqref="AY8:AY73">
    <cfRule type="cellIs" priority="12" operator="greaterThan" dxfId="1">
      <formula>0</formula>
    </cfRule>
    <cfRule type="cellIs" priority="13" operator="lessThan" dxfId="2">
      <formula>0</formula>
    </cfRule>
  </conditionalFormatting>
  <conditionalFormatting sqref="BA8:BA73">
    <cfRule type="cellIs" priority="14" operator="greaterThan" dxfId="1">
      <formula>0</formula>
    </cfRule>
    <cfRule type="cellIs" priority="15" operator="lessThan" dxfId="2">
      <formula>0</formula>
    </cfRule>
  </conditionalFormatting>
  <conditionalFormatting sqref="BC8:BC73">
    <cfRule type="cellIs" priority="16" operator="greaterThan" dxfId="1">
      <formula>0</formula>
    </cfRule>
    <cfRule type="cellIs" priority="17" operator="lessThan" dxfId="2">
      <formula>0</formula>
    </cfRule>
  </conditionalFormatting>
  <conditionalFormatting sqref="BE8:BE73">
    <cfRule type="cellIs" priority="18" operator="greaterThan" dxfId="1">
      <formula>0</formula>
    </cfRule>
    <cfRule type="cellIs" priority="19" operator="lessThan" dxfId="2">
      <formula>0</formula>
    </cfRule>
  </conditionalFormatting>
  <conditionalFormatting sqref="BO8:BO73">
    <cfRule type="cellIs" priority="20" operator="greaterThan" dxfId="0">
      <formula>0</formula>
    </cfRule>
  </conditionalFormatting>
  <conditionalFormatting sqref="C78:AS78">
    <cfRule type="cellIs" priority="21" operator="greaterThan" dxfId="0">
      <formula>0</formula>
    </cfRule>
  </conditionalFormatting>
  <conditionalFormatting sqref="C79:AS79">
    <cfRule type="cellIs" priority="22" operator="greaterThan" dxfId="0">
      <formula>0</formula>
    </cfRule>
  </conditionalFormatting>
  <conditionalFormatting sqref="C80:AS80">
    <cfRule type="cellIs" priority="23" operator="greater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5A4E8C"/>
    <outlinePr summaryBelow="1" summaryRight="1"/>
    <pageSetUpPr/>
  </sheetPr>
  <dimension ref="A1:BK7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6.5" customWidth="1" min="15" max="15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  <col width="5.4" customWidth="1" min="27" max="27"/>
    <col width="5.4" customWidth="1" min="28" max="28"/>
    <col width="6.5" customWidth="1" min="29" max="29"/>
    <col width="5.4" customWidth="1" min="31" max="31"/>
    <col width="5.4" customWidth="1" min="32" max="32"/>
    <col width="5.4" customWidth="1" min="33" max="33"/>
    <col width="5.4" customWidth="1" min="34" max="34"/>
    <col width="5.4" customWidth="1" min="35" max="35"/>
    <col width="5.4" customWidth="1" min="36" max="36"/>
    <col width="5.4" customWidth="1" min="37" max="37"/>
    <col width="5.4" customWidth="1" min="38" max="38"/>
    <col width="5.4" customWidth="1" min="39" max="39"/>
    <col width="5.4" customWidth="1" min="40" max="40"/>
    <col width="5.4" customWidth="1" min="41" max="41"/>
    <col width="5.4" customWidth="1" min="42" max="42"/>
    <col width="6.5" customWidth="1" min="43" max="43"/>
    <col width="5.4" customWidth="1" min="45" max="45"/>
    <col width="5.4" customWidth="1" min="46" max="46"/>
    <col width="5.4" customWidth="1" min="47" max="47"/>
    <col width="5.4" customWidth="1" min="48" max="48"/>
    <col width="5.4" customWidth="1" min="49" max="49"/>
    <col width="5.4" customWidth="1" min="50" max="50"/>
    <col width="5.4" customWidth="1" min="51" max="51"/>
    <col width="5.4" customWidth="1" min="52" max="52"/>
    <col width="5.4" customWidth="1" min="53" max="53"/>
    <col width="5.4" customWidth="1" min="54" max="54"/>
    <col width="5.4" customWidth="1" min="55" max="55"/>
    <col width="5.4" customWidth="1" min="56" max="56"/>
    <col width="6.5" customWidth="1" min="57" max="57"/>
    <col width="5.4" customWidth="1" min="59" max="59"/>
    <col width="5.4" customWidth="1" min="60" max="60"/>
    <col width="5.4" customWidth="1" min="61" max="61"/>
  </cols>
  <sheetData>
    <row r="1">
      <c r="A1" s="38" t="inlineStr">
        <is>
          <t>Painel do ano · O comparativo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</row>
    <row r="2">
      <c r="A2" s="67" t="inlineStr">
        <is>
          <t>Cada número vem da aba do mês — não se digita nada aqui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</row>
    <row r="3">
      <c r="A3" s="39" t="n"/>
      <c r="B3" s="39" t="n"/>
      <c r="C3" s="167" t="inlineStr">
        <is>
          <t>Saldo do mês (h)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167" t="inlineStr">
        <is>
          <t>FDS (h)</t>
        </is>
      </c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  <c r="AD3" s="39" t="n"/>
      <c r="AE3" s="167" t="inlineStr">
        <is>
          <t>Sexta-noite</t>
        </is>
      </c>
      <c r="AF3" s="39" t="n"/>
      <c r="AG3" s="39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167" t="inlineStr">
        <is>
          <t>Feriado (h)</t>
        </is>
      </c>
      <c r="AT3" s="39" t="n"/>
      <c r="AU3" s="39" t="n"/>
      <c r="AV3" s="39" t="n"/>
      <c r="AW3" s="39" t="n"/>
      <c r="AX3" s="39" t="n"/>
      <c r="AY3" s="39" t="n"/>
      <c r="AZ3" s="39" t="n"/>
      <c r="BA3" s="39" t="n"/>
      <c r="BB3" s="39" t="n"/>
      <c r="BC3" s="39" t="n"/>
      <c r="BD3" s="39" t="n"/>
      <c r="BE3" s="39" t="n"/>
      <c r="BF3" s="39" t="n"/>
      <c r="BG3" s="79" t="inlineStr">
        <is>
          <t>Conferência · contagem manual antiga</t>
        </is>
      </c>
      <c r="BH3" s="39" t="n"/>
      <c r="BI3" s="39" t="n"/>
      <c r="BJ3" s="39" t="n"/>
      <c r="B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  <c r="AJ5" s="39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</row>
    <row r="7" ht="58" customHeight="1">
      <c r="A7" s="43" t="inlineStr">
        <is>
          <t>Médico</t>
        </is>
      </c>
      <c r="B7" s="43" t="inlineStr">
        <is>
          <t>CH</t>
        </is>
      </c>
      <c r="C7" s="168" t="inlineStr">
        <is>
          <t>JAN</t>
        </is>
      </c>
      <c r="D7" s="168" t="inlineStr">
        <is>
          <t>FEV</t>
        </is>
      </c>
      <c r="E7" s="168" t="inlineStr">
        <is>
          <t>MAR</t>
        </is>
      </c>
      <c r="F7" s="168" t="inlineStr">
        <is>
          <t>ABR</t>
        </is>
      </c>
      <c r="G7" s="168" t="inlineStr">
        <is>
          <t>MAI</t>
        </is>
      </c>
      <c r="H7" s="168" t="inlineStr">
        <is>
          <t>JUN</t>
        </is>
      </c>
      <c r="I7" s="168" t="inlineStr">
        <is>
          <t>JUL</t>
        </is>
      </c>
      <c r="J7" s="168" t="inlineStr">
        <is>
          <t>AGO</t>
        </is>
      </c>
      <c r="K7" s="168" t="inlineStr">
        <is>
          <t>SET</t>
        </is>
      </c>
      <c r="L7" s="168" t="inlineStr">
        <is>
          <t>OUT</t>
        </is>
      </c>
      <c r="M7" s="168" t="inlineStr">
        <is>
          <t>NOV</t>
        </is>
      </c>
      <c r="N7" s="168" t="inlineStr">
        <is>
          <t>DEZ</t>
        </is>
      </c>
      <c r="O7" s="169" t="inlineStr">
        <is>
          <t>Ano</t>
        </is>
      </c>
      <c r="P7" s="39" t="n"/>
      <c r="Q7" s="170" t="inlineStr">
        <is>
          <t>JAN</t>
        </is>
      </c>
      <c r="R7" s="170" t="inlineStr">
        <is>
          <t>FEV</t>
        </is>
      </c>
      <c r="S7" s="170" t="inlineStr">
        <is>
          <t>MAR</t>
        </is>
      </c>
      <c r="T7" s="170" t="inlineStr">
        <is>
          <t>ABR</t>
        </is>
      </c>
      <c r="U7" s="170" t="inlineStr">
        <is>
          <t>MAI</t>
        </is>
      </c>
      <c r="V7" s="170" t="inlineStr">
        <is>
          <t>JUN</t>
        </is>
      </c>
      <c r="W7" s="170" t="inlineStr">
        <is>
          <t>JUL</t>
        </is>
      </c>
      <c r="X7" s="170" t="inlineStr">
        <is>
          <t>AGO</t>
        </is>
      </c>
      <c r="Y7" s="170" t="inlineStr">
        <is>
          <t>SET</t>
        </is>
      </c>
      <c r="Z7" s="170" t="inlineStr">
        <is>
          <t>OUT</t>
        </is>
      </c>
      <c r="AA7" s="170" t="inlineStr">
        <is>
          <t>NOV</t>
        </is>
      </c>
      <c r="AB7" s="170" t="inlineStr">
        <is>
          <t>DEZ</t>
        </is>
      </c>
      <c r="AC7" s="169" t="inlineStr">
        <is>
          <t>Ano</t>
        </is>
      </c>
      <c r="AD7" s="39" t="n"/>
      <c r="AE7" s="171" t="inlineStr">
        <is>
          <t>JAN</t>
        </is>
      </c>
      <c r="AF7" s="171" t="inlineStr">
        <is>
          <t>FEV</t>
        </is>
      </c>
      <c r="AG7" s="171" t="inlineStr">
        <is>
          <t>MAR</t>
        </is>
      </c>
      <c r="AH7" s="171" t="inlineStr">
        <is>
          <t>ABR</t>
        </is>
      </c>
      <c r="AI7" s="171" t="inlineStr">
        <is>
          <t>MAI</t>
        </is>
      </c>
      <c r="AJ7" s="171" t="inlineStr">
        <is>
          <t>JUN</t>
        </is>
      </c>
      <c r="AK7" s="171" t="inlineStr">
        <is>
          <t>JUL</t>
        </is>
      </c>
      <c r="AL7" s="171" t="inlineStr">
        <is>
          <t>AGO</t>
        </is>
      </c>
      <c r="AM7" s="171" t="inlineStr">
        <is>
          <t>SET</t>
        </is>
      </c>
      <c r="AN7" s="171" t="inlineStr">
        <is>
          <t>OUT</t>
        </is>
      </c>
      <c r="AO7" s="171" t="inlineStr">
        <is>
          <t>NOV</t>
        </is>
      </c>
      <c r="AP7" s="171" t="inlineStr">
        <is>
          <t>DEZ</t>
        </is>
      </c>
      <c r="AQ7" s="169" t="inlineStr">
        <is>
          <t>Ano</t>
        </is>
      </c>
      <c r="AR7" s="39" t="n"/>
      <c r="AS7" s="172" t="inlineStr">
        <is>
          <t>JAN</t>
        </is>
      </c>
      <c r="AT7" s="172" t="inlineStr">
        <is>
          <t>FEV</t>
        </is>
      </c>
      <c r="AU7" s="172" t="inlineStr">
        <is>
          <t>MAR</t>
        </is>
      </c>
      <c r="AV7" s="172" t="inlineStr">
        <is>
          <t>ABR</t>
        </is>
      </c>
      <c r="AW7" s="172" t="inlineStr">
        <is>
          <t>MAI</t>
        </is>
      </c>
      <c r="AX7" s="172" t="inlineStr">
        <is>
          <t>JUN</t>
        </is>
      </c>
      <c r="AY7" s="172" t="inlineStr">
        <is>
          <t>JUL</t>
        </is>
      </c>
      <c r="AZ7" s="172" t="inlineStr">
        <is>
          <t>AGO</t>
        </is>
      </c>
      <c r="BA7" s="172" t="inlineStr">
        <is>
          <t>SET</t>
        </is>
      </c>
      <c r="BB7" s="172" t="inlineStr">
        <is>
          <t>OUT</t>
        </is>
      </c>
      <c r="BC7" s="172" t="inlineStr">
        <is>
          <t>NOV</t>
        </is>
      </c>
      <c r="BD7" s="172" t="inlineStr">
        <is>
          <t>DEZ</t>
        </is>
      </c>
      <c r="BE7" s="169" t="inlineStr">
        <is>
          <t>Ano</t>
        </is>
      </c>
      <c r="BF7" s="39" t="n"/>
      <c r="BG7" s="113" t="inlineStr">
        <is>
          <t>SxN oficial</t>
        </is>
      </c>
      <c r="BH7" s="113" t="inlineStr">
        <is>
          <t>SxN calc</t>
        </is>
      </c>
      <c r="BI7" s="113" t="inlineStr">
        <is>
          <t>difere?</t>
        </is>
      </c>
      <c r="BJ7" s="39" t="n"/>
      <c r="BK7" s="39" t="n"/>
    </row>
    <row r="8">
      <c r="A8" s="89" t="inlineStr">
        <is>
          <t>Fred</t>
        </is>
      </c>
      <c r="B8" s="173">
        <f>CADASTRO!$C4</f>
        <v/>
      </c>
      <c r="C8" s="174">
        <f>IFERROR(INDEX(JAN!$BK$8:$BK$73,MATCH($A8,JAN!$A$8:$A$73,0)),"")</f>
        <v/>
      </c>
      <c r="D8" s="174">
        <f>IFERROR(INDEX(FEV!$BK$8:$BK$73,MATCH($A8,FEV!$A$8:$A$73,0)),"")</f>
        <v/>
      </c>
      <c r="E8" s="174">
        <f>IFERROR(INDEX(MAR!$BK$8:$BK$73,MATCH($A8,MAR!$A$8:$A$73,0)),"")</f>
        <v/>
      </c>
      <c r="F8" s="174">
        <f>IFERROR(INDEX(ABR!$BK$8:$BK$73,MATCH($A8,ABR!$A$8:$A$73,0)),"")</f>
        <v/>
      </c>
      <c r="G8" s="174">
        <f>IFERROR(INDEX(MAI!$BK$8:$BK$73,MATCH($A8,MAI!$A$8:$A$73,0)),"")</f>
        <v/>
      </c>
      <c r="H8" s="174">
        <f>IFERROR(INDEX(JUN!$BK$8:$BK$73,MATCH($A8,JUN!$A$8:$A$73,0)),"")</f>
        <v/>
      </c>
      <c r="I8" s="174">
        <f>IFERROR(INDEX(JUL!$BK$8:$BK$73,MATCH($A8,JUL!$A$8:$A$73,0)),"")</f>
        <v/>
      </c>
      <c r="J8" s="174">
        <f>IFERROR(INDEX(AGO!$BK$8:$BK$73,MATCH($A8,AGO!$A$8:$A$73,0)),"")</f>
        <v/>
      </c>
      <c r="K8" s="174">
        <f>IFERROR(INDEX(SET!$BK$8:$BK$73,MATCH($A8,SET!$A$8:$A$73,0)),"")</f>
        <v/>
      </c>
      <c r="L8" s="174">
        <f>IFERROR(INDEX(OUT!$BK$8:$BK$73,MATCH($A8,OUT!$A$8:$A$73,0)),"")</f>
        <v/>
      </c>
      <c r="M8" s="174">
        <f>IFERROR(INDEX(NOV!$BK$8:$BK$73,MATCH($A8,NOV!$A$8:$A$73,0)),"")</f>
        <v/>
      </c>
      <c r="N8" s="174">
        <f>IFERROR(INDEX(DEZ!$BK$8:$BK$73,MATCH($A8,DEZ!$A$8:$A$73,0)),"")</f>
        <v/>
      </c>
      <c r="O8" s="175">
        <f>SUM(C8:N8)</f>
        <v/>
      </c>
      <c r="P8" s="39" t="n"/>
      <c r="Q8" s="174">
        <f>IFERROR(INDEX(JAN!$BG$8:$BG$73,MATCH($A8,JAN!$A$8:$A$73,0)),"")</f>
        <v/>
      </c>
      <c r="R8" s="174">
        <f>IFERROR(INDEX(FEV!$BG$8:$BG$73,MATCH($A8,FEV!$A$8:$A$73,0)),"")</f>
        <v/>
      </c>
      <c r="S8" s="174">
        <f>IFERROR(INDEX(MAR!$BG$8:$BG$73,MATCH($A8,MAR!$A$8:$A$73,0)),"")</f>
        <v/>
      </c>
      <c r="T8" s="174">
        <f>IFERROR(INDEX(ABR!$BG$8:$BG$73,MATCH($A8,ABR!$A$8:$A$73,0)),"")</f>
        <v/>
      </c>
      <c r="U8" s="174">
        <f>IFERROR(INDEX(MAI!$BG$8:$BG$73,MATCH($A8,MAI!$A$8:$A$73,0)),"")</f>
        <v/>
      </c>
      <c r="V8" s="174">
        <f>IFERROR(INDEX(JUN!$BG$8:$BG$73,MATCH($A8,JUN!$A$8:$A$73,0)),"")</f>
        <v/>
      </c>
      <c r="W8" s="174">
        <f>IFERROR(INDEX(JUL!$BG$8:$BG$73,MATCH($A8,JUL!$A$8:$A$73,0)),"")</f>
        <v/>
      </c>
      <c r="X8" s="174">
        <f>IFERROR(INDEX(AGO!$BG$8:$BG$73,MATCH($A8,AGO!$A$8:$A$73,0)),"")</f>
        <v/>
      </c>
      <c r="Y8" s="174">
        <f>IFERROR(INDEX(SET!$BG$8:$BG$73,MATCH($A8,SET!$A$8:$A$73,0)),"")</f>
        <v/>
      </c>
      <c r="Z8" s="174">
        <f>IFERROR(INDEX(OUT!$BG$8:$BG$73,MATCH($A8,OUT!$A$8:$A$73,0)),"")</f>
        <v/>
      </c>
      <c r="AA8" s="174">
        <f>IFERROR(INDEX(NOV!$BG$8:$BG$73,MATCH($A8,NOV!$A$8:$A$73,0)),"")</f>
        <v/>
      </c>
      <c r="AB8" s="174">
        <f>IFERROR(INDEX(DEZ!$BG$8:$BG$73,MATCH($A8,DEZ!$A$8:$A$73,0)),"")</f>
        <v/>
      </c>
      <c r="AC8" s="175">
        <f>SUM(Q8:AB8)</f>
        <v/>
      </c>
      <c r="AD8" s="39" t="n"/>
      <c r="AE8" s="174">
        <f>IFERROR(INDEX(JAN!$BH$8:$BH$73,MATCH($A8,JAN!$A$8:$A$73,0)),"")</f>
        <v/>
      </c>
      <c r="AF8" s="174">
        <f>IFERROR(INDEX(FEV!$BH$8:$BH$73,MATCH($A8,FEV!$A$8:$A$73,0)),"")</f>
        <v/>
      </c>
      <c r="AG8" s="174">
        <f>IFERROR(INDEX(MAR!$BH$8:$BH$73,MATCH($A8,MAR!$A$8:$A$73,0)),"")</f>
        <v/>
      </c>
      <c r="AH8" s="174">
        <f>IFERROR(INDEX(ABR!$BH$8:$BH$73,MATCH($A8,ABR!$A$8:$A$73,0)),"")</f>
        <v/>
      </c>
      <c r="AI8" s="174">
        <f>IFERROR(INDEX(MAI!$BH$8:$BH$73,MATCH($A8,MAI!$A$8:$A$73,0)),"")</f>
        <v/>
      </c>
      <c r="AJ8" s="174">
        <f>IFERROR(INDEX(JUN!$BH$8:$BH$73,MATCH($A8,JUN!$A$8:$A$73,0)),"")</f>
        <v/>
      </c>
      <c r="AK8" s="174">
        <f>IFERROR(INDEX(JUL!$BH$8:$BH$73,MATCH($A8,JUL!$A$8:$A$73,0)),"")</f>
        <v/>
      </c>
      <c r="AL8" s="174">
        <f>IFERROR(INDEX(AGO!$BH$8:$BH$73,MATCH($A8,AGO!$A$8:$A$73,0)),"")</f>
        <v/>
      </c>
      <c r="AM8" s="174">
        <f>IFERROR(INDEX(SET!$BH$8:$BH$73,MATCH($A8,SET!$A$8:$A$73,0)),"")</f>
        <v/>
      </c>
      <c r="AN8" s="174">
        <f>IFERROR(INDEX(OUT!$BH$8:$BH$73,MATCH($A8,OUT!$A$8:$A$73,0)),"")</f>
        <v/>
      </c>
      <c r="AO8" s="174">
        <f>IFERROR(INDEX(NOV!$BH$8:$BH$73,MATCH($A8,NOV!$A$8:$A$73,0)),"")</f>
        <v/>
      </c>
      <c r="AP8" s="174">
        <f>IFERROR(INDEX(DEZ!$BH$8:$BH$73,MATCH($A8,DEZ!$A$8:$A$73,0)),"")</f>
        <v/>
      </c>
      <c r="AQ8" s="175">
        <f>SUM(AE8:AP8)</f>
        <v/>
      </c>
      <c r="AR8" s="39" t="n"/>
      <c r="AS8" s="174">
        <f>IFERROR(INDEX(JAN!$BI$8:$BI$73,MATCH($A8,JAN!$A$8:$A$73,0)),"")</f>
        <v/>
      </c>
      <c r="AT8" s="174">
        <f>IFERROR(INDEX(FEV!$BI$8:$BI$73,MATCH($A8,FEV!$A$8:$A$73,0)),"")</f>
        <v/>
      </c>
      <c r="AU8" s="174">
        <f>IFERROR(INDEX(MAR!$BI$8:$BI$73,MATCH($A8,MAR!$A$8:$A$73,0)),"")</f>
        <v/>
      </c>
      <c r="AV8" s="174">
        <f>IFERROR(INDEX(ABR!$BI$8:$BI$73,MATCH($A8,ABR!$A$8:$A$73,0)),"")</f>
        <v/>
      </c>
      <c r="AW8" s="174">
        <f>IFERROR(INDEX(MAI!$BI$8:$BI$73,MATCH($A8,MAI!$A$8:$A$73,0)),"")</f>
        <v/>
      </c>
      <c r="AX8" s="174">
        <f>IFERROR(INDEX(JUN!$BI$8:$BI$73,MATCH($A8,JUN!$A$8:$A$73,0)),"")</f>
        <v/>
      </c>
      <c r="AY8" s="174">
        <f>IFERROR(INDEX(JUL!$BI$8:$BI$73,MATCH($A8,JUL!$A$8:$A$73,0)),"")</f>
        <v/>
      </c>
      <c r="AZ8" s="174">
        <f>IFERROR(INDEX(AGO!$BI$8:$BI$73,MATCH($A8,AGO!$A$8:$A$73,0)),"")</f>
        <v/>
      </c>
      <c r="BA8" s="174">
        <f>IFERROR(INDEX(SET!$BI$8:$BI$73,MATCH($A8,SET!$A$8:$A$73,0)),"")</f>
        <v/>
      </c>
      <c r="BB8" s="174">
        <f>IFERROR(INDEX(OUT!$BI$8:$BI$73,MATCH($A8,OUT!$A$8:$A$73,0)),"")</f>
        <v/>
      </c>
      <c r="BC8" s="174">
        <f>IFERROR(INDEX(NOV!$BI$8:$BI$73,MATCH($A8,NOV!$A$8:$A$73,0)),"")</f>
        <v/>
      </c>
      <c r="BD8" s="174">
        <f>IFERROR(INDEX(DEZ!$BI$8:$BI$73,MATCH($A8,DEZ!$A$8:$A$73,0)),"")</f>
        <v/>
      </c>
      <c r="BE8" s="175">
        <f>SUM(AS8:BD8)</f>
        <v/>
      </c>
      <c r="BF8" s="39" t="n"/>
      <c r="BG8" s="107" t="n">
        <v>0</v>
      </c>
      <c r="BH8" s="133">
        <f>SUM(AE8:AP8)</f>
        <v/>
      </c>
      <c r="BI8" s="176">
        <f>IF(BG8="","",IF(BG8=BH8,"","⚠"))</f>
        <v/>
      </c>
      <c r="BJ8" s="39" t="n"/>
      <c r="BK8" s="39" t="n"/>
    </row>
    <row r="9">
      <c r="A9" s="89" t="inlineStr">
        <is>
          <t>Milena</t>
        </is>
      </c>
      <c r="B9" s="173">
        <f>CADASTRO!$C5</f>
        <v/>
      </c>
      <c r="C9" s="174">
        <f>IFERROR(INDEX(JAN!$BK$8:$BK$73,MATCH($A9,JAN!$A$8:$A$73,0)),"")</f>
        <v/>
      </c>
      <c r="D9" s="174">
        <f>IFERROR(INDEX(FEV!$BK$8:$BK$73,MATCH($A9,FEV!$A$8:$A$73,0)),"")</f>
        <v/>
      </c>
      <c r="E9" s="174">
        <f>IFERROR(INDEX(MAR!$BK$8:$BK$73,MATCH($A9,MAR!$A$8:$A$73,0)),"")</f>
        <v/>
      </c>
      <c r="F9" s="174">
        <f>IFERROR(INDEX(ABR!$BK$8:$BK$73,MATCH($A9,ABR!$A$8:$A$73,0)),"")</f>
        <v/>
      </c>
      <c r="G9" s="174">
        <f>IFERROR(INDEX(MAI!$BK$8:$BK$73,MATCH($A9,MAI!$A$8:$A$73,0)),"")</f>
        <v/>
      </c>
      <c r="H9" s="174">
        <f>IFERROR(INDEX(JUN!$BK$8:$BK$73,MATCH($A9,JUN!$A$8:$A$73,0)),"")</f>
        <v/>
      </c>
      <c r="I9" s="174">
        <f>IFERROR(INDEX(JUL!$BK$8:$BK$73,MATCH($A9,JUL!$A$8:$A$73,0)),"")</f>
        <v/>
      </c>
      <c r="J9" s="174">
        <f>IFERROR(INDEX(AGO!$BK$8:$BK$73,MATCH($A9,AGO!$A$8:$A$73,0)),"")</f>
        <v/>
      </c>
      <c r="K9" s="174">
        <f>IFERROR(INDEX(SET!$BK$8:$BK$73,MATCH($A9,SET!$A$8:$A$73,0)),"")</f>
        <v/>
      </c>
      <c r="L9" s="174">
        <f>IFERROR(INDEX(OUT!$BK$8:$BK$73,MATCH($A9,OUT!$A$8:$A$73,0)),"")</f>
        <v/>
      </c>
      <c r="M9" s="174">
        <f>IFERROR(INDEX(NOV!$BK$8:$BK$73,MATCH($A9,NOV!$A$8:$A$73,0)),"")</f>
        <v/>
      </c>
      <c r="N9" s="174">
        <f>IFERROR(INDEX(DEZ!$BK$8:$BK$73,MATCH($A9,DEZ!$A$8:$A$73,0)),"")</f>
        <v/>
      </c>
      <c r="O9" s="175">
        <f>SUM(C9:N9)</f>
        <v/>
      </c>
      <c r="P9" s="39" t="n"/>
      <c r="Q9" s="174">
        <f>IFERROR(INDEX(JAN!$BG$8:$BG$73,MATCH($A9,JAN!$A$8:$A$73,0)),"")</f>
        <v/>
      </c>
      <c r="R9" s="174">
        <f>IFERROR(INDEX(FEV!$BG$8:$BG$73,MATCH($A9,FEV!$A$8:$A$73,0)),"")</f>
        <v/>
      </c>
      <c r="S9" s="174">
        <f>IFERROR(INDEX(MAR!$BG$8:$BG$73,MATCH($A9,MAR!$A$8:$A$73,0)),"")</f>
        <v/>
      </c>
      <c r="T9" s="174">
        <f>IFERROR(INDEX(ABR!$BG$8:$BG$73,MATCH($A9,ABR!$A$8:$A$73,0)),"")</f>
        <v/>
      </c>
      <c r="U9" s="174">
        <f>IFERROR(INDEX(MAI!$BG$8:$BG$73,MATCH($A9,MAI!$A$8:$A$73,0)),"")</f>
        <v/>
      </c>
      <c r="V9" s="174">
        <f>IFERROR(INDEX(JUN!$BG$8:$BG$73,MATCH($A9,JUN!$A$8:$A$73,0)),"")</f>
        <v/>
      </c>
      <c r="W9" s="174">
        <f>IFERROR(INDEX(JUL!$BG$8:$BG$73,MATCH($A9,JUL!$A$8:$A$73,0)),"")</f>
        <v/>
      </c>
      <c r="X9" s="174">
        <f>IFERROR(INDEX(AGO!$BG$8:$BG$73,MATCH($A9,AGO!$A$8:$A$73,0)),"")</f>
        <v/>
      </c>
      <c r="Y9" s="174">
        <f>IFERROR(INDEX(SET!$BG$8:$BG$73,MATCH($A9,SET!$A$8:$A$73,0)),"")</f>
        <v/>
      </c>
      <c r="Z9" s="174">
        <f>IFERROR(INDEX(OUT!$BG$8:$BG$73,MATCH($A9,OUT!$A$8:$A$73,0)),"")</f>
        <v/>
      </c>
      <c r="AA9" s="174">
        <f>IFERROR(INDEX(NOV!$BG$8:$BG$73,MATCH($A9,NOV!$A$8:$A$73,0)),"")</f>
        <v/>
      </c>
      <c r="AB9" s="174">
        <f>IFERROR(INDEX(DEZ!$BG$8:$BG$73,MATCH($A9,DEZ!$A$8:$A$73,0)),"")</f>
        <v/>
      </c>
      <c r="AC9" s="175">
        <f>SUM(Q9:AB9)</f>
        <v/>
      </c>
      <c r="AD9" s="39" t="n"/>
      <c r="AE9" s="174">
        <f>IFERROR(INDEX(JAN!$BH$8:$BH$73,MATCH($A9,JAN!$A$8:$A$73,0)),"")</f>
        <v/>
      </c>
      <c r="AF9" s="174">
        <f>IFERROR(INDEX(FEV!$BH$8:$BH$73,MATCH($A9,FEV!$A$8:$A$73,0)),"")</f>
        <v/>
      </c>
      <c r="AG9" s="174">
        <f>IFERROR(INDEX(MAR!$BH$8:$BH$73,MATCH($A9,MAR!$A$8:$A$73,0)),"")</f>
        <v/>
      </c>
      <c r="AH9" s="174">
        <f>IFERROR(INDEX(ABR!$BH$8:$BH$73,MATCH($A9,ABR!$A$8:$A$73,0)),"")</f>
        <v/>
      </c>
      <c r="AI9" s="174">
        <f>IFERROR(INDEX(MAI!$BH$8:$BH$73,MATCH($A9,MAI!$A$8:$A$73,0)),"")</f>
        <v/>
      </c>
      <c r="AJ9" s="174">
        <f>IFERROR(INDEX(JUN!$BH$8:$BH$73,MATCH($A9,JUN!$A$8:$A$73,0)),"")</f>
        <v/>
      </c>
      <c r="AK9" s="174">
        <f>IFERROR(INDEX(JUL!$BH$8:$BH$73,MATCH($A9,JUL!$A$8:$A$73,0)),"")</f>
        <v/>
      </c>
      <c r="AL9" s="174">
        <f>IFERROR(INDEX(AGO!$BH$8:$BH$73,MATCH($A9,AGO!$A$8:$A$73,0)),"")</f>
        <v/>
      </c>
      <c r="AM9" s="174">
        <f>IFERROR(INDEX(SET!$BH$8:$BH$73,MATCH($A9,SET!$A$8:$A$73,0)),"")</f>
        <v/>
      </c>
      <c r="AN9" s="174">
        <f>IFERROR(INDEX(OUT!$BH$8:$BH$73,MATCH($A9,OUT!$A$8:$A$73,0)),"")</f>
        <v/>
      </c>
      <c r="AO9" s="174">
        <f>IFERROR(INDEX(NOV!$BH$8:$BH$73,MATCH($A9,NOV!$A$8:$A$73,0)),"")</f>
        <v/>
      </c>
      <c r="AP9" s="174">
        <f>IFERROR(INDEX(DEZ!$BH$8:$BH$73,MATCH($A9,DEZ!$A$8:$A$73,0)),"")</f>
        <v/>
      </c>
      <c r="AQ9" s="175">
        <f>SUM(AE9:AP9)</f>
        <v/>
      </c>
      <c r="AR9" s="39" t="n"/>
      <c r="AS9" s="174">
        <f>IFERROR(INDEX(JAN!$BI$8:$BI$73,MATCH($A9,JAN!$A$8:$A$73,0)),"")</f>
        <v/>
      </c>
      <c r="AT9" s="174">
        <f>IFERROR(INDEX(FEV!$BI$8:$BI$73,MATCH($A9,FEV!$A$8:$A$73,0)),"")</f>
        <v/>
      </c>
      <c r="AU9" s="174">
        <f>IFERROR(INDEX(MAR!$BI$8:$BI$73,MATCH($A9,MAR!$A$8:$A$73,0)),"")</f>
        <v/>
      </c>
      <c r="AV9" s="174">
        <f>IFERROR(INDEX(ABR!$BI$8:$BI$73,MATCH($A9,ABR!$A$8:$A$73,0)),"")</f>
        <v/>
      </c>
      <c r="AW9" s="174">
        <f>IFERROR(INDEX(MAI!$BI$8:$BI$73,MATCH($A9,MAI!$A$8:$A$73,0)),"")</f>
        <v/>
      </c>
      <c r="AX9" s="174">
        <f>IFERROR(INDEX(JUN!$BI$8:$BI$73,MATCH($A9,JUN!$A$8:$A$73,0)),"")</f>
        <v/>
      </c>
      <c r="AY9" s="174">
        <f>IFERROR(INDEX(JUL!$BI$8:$BI$73,MATCH($A9,JUL!$A$8:$A$73,0)),"")</f>
        <v/>
      </c>
      <c r="AZ9" s="174">
        <f>IFERROR(INDEX(AGO!$BI$8:$BI$73,MATCH($A9,AGO!$A$8:$A$73,0)),"")</f>
        <v/>
      </c>
      <c r="BA9" s="174">
        <f>IFERROR(INDEX(SET!$BI$8:$BI$73,MATCH($A9,SET!$A$8:$A$73,0)),"")</f>
        <v/>
      </c>
      <c r="BB9" s="174">
        <f>IFERROR(INDEX(OUT!$BI$8:$BI$73,MATCH($A9,OUT!$A$8:$A$73,0)),"")</f>
        <v/>
      </c>
      <c r="BC9" s="174">
        <f>IFERROR(INDEX(NOV!$BI$8:$BI$73,MATCH($A9,NOV!$A$8:$A$73,0)),"")</f>
        <v/>
      </c>
      <c r="BD9" s="174">
        <f>IFERROR(INDEX(DEZ!$BI$8:$BI$73,MATCH($A9,DEZ!$A$8:$A$73,0)),"")</f>
        <v/>
      </c>
      <c r="BE9" s="175">
        <f>SUM(AS9:BD9)</f>
        <v/>
      </c>
      <c r="BF9" s="39" t="n"/>
      <c r="BG9" s="107" t="n">
        <v>0</v>
      </c>
      <c r="BH9" s="133">
        <f>SUM(AE9:AP9)</f>
        <v/>
      </c>
      <c r="BI9" s="176">
        <f>IF(BG9="","",IF(BG9=BH9,"","⚠"))</f>
        <v/>
      </c>
      <c r="BJ9" s="39" t="n"/>
      <c r="BK9" s="39" t="n"/>
    </row>
    <row r="10">
      <c r="A10" s="89" t="inlineStr">
        <is>
          <t>Pabdo</t>
        </is>
      </c>
      <c r="B10" s="173">
        <f>CADASTRO!$C6</f>
        <v/>
      </c>
      <c r="C10" s="174">
        <f>IFERROR(INDEX(JAN!$BK$8:$BK$73,MATCH($A10,JAN!$A$8:$A$73,0)),"")</f>
        <v/>
      </c>
      <c r="D10" s="174">
        <f>IFERROR(INDEX(FEV!$BK$8:$BK$73,MATCH($A10,FEV!$A$8:$A$73,0)),"")</f>
        <v/>
      </c>
      <c r="E10" s="174">
        <f>IFERROR(INDEX(MAR!$BK$8:$BK$73,MATCH($A10,MAR!$A$8:$A$73,0)),"")</f>
        <v/>
      </c>
      <c r="F10" s="174">
        <f>IFERROR(INDEX(ABR!$BK$8:$BK$73,MATCH($A10,ABR!$A$8:$A$73,0)),"")</f>
        <v/>
      </c>
      <c r="G10" s="174">
        <f>IFERROR(INDEX(MAI!$BK$8:$BK$73,MATCH($A10,MAI!$A$8:$A$73,0)),"")</f>
        <v/>
      </c>
      <c r="H10" s="174">
        <f>IFERROR(INDEX(JUN!$BK$8:$BK$73,MATCH($A10,JUN!$A$8:$A$73,0)),"")</f>
        <v/>
      </c>
      <c r="I10" s="174">
        <f>IFERROR(INDEX(JUL!$BK$8:$BK$73,MATCH($A10,JUL!$A$8:$A$73,0)),"")</f>
        <v/>
      </c>
      <c r="J10" s="174">
        <f>IFERROR(INDEX(AGO!$BK$8:$BK$73,MATCH($A10,AGO!$A$8:$A$73,0)),"")</f>
        <v/>
      </c>
      <c r="K10" s="174">
        <f>IFERROR(INDEX(SET!$BK$8:$BK$73,MATCH($A10,SET!$A$8:$A$73,0)),"")</f>
        <v/>
      </c>
      <c r="L10" s="174">
        <f>IFERROR(INDEX(OUT!$BK$8:$BK$73,MATCH($A10,OUT!$A$8:$A$73,0)),"")</f>
        <v/>
      </c>
      <c r="M10" s="174">
        <f>IFERROR(INDEX(NOV!$BK$8:$BK$73,MATCH($A10,NOV!$A$8:$A$73,0)),"")</f>
        <v/>
      </c>
      <c r="N10" s="174">
        <f>IFERROR(INDEX(DEZ!$BK$8:$BK$73,MATCH($A10,DEZ!$A$8:$A$73,0)),"")</f>
        <v/>
      </c>
      <c r="O10" s="175">
        <f>SUM(C10:N10)</f>
        <v/>
      </c>
      <c r="P10" s="39" t="n"/>
      <c r="Q10" s="174">
        <f>IFERROR(INDEX(JAN!$BG$8:$BG$73,MATCH($A10,JAN!$A$8:$A$73,0)),"")</f>
        <v/>
      </c>
      <c r="R10" s="174">
        <f>IFERROR(INDEX(FEV!$BG$8:$BG$73,MATCH($A10,FEV!$A$8:$A$73,0)),"")</f>
        <v/>
      </c>
      <c r="S10" s="174">
        <f>IFERROR(INDEX(MAR!$BG$8:$BG$73,MATCH($A10,MAR!$A$8:$A$73,0)),"")</f>
        <v/>
      </c>
      <c r="T10" s="174">
        <f>IFERROR(INDEX(ABR!$BG$8:$BG$73,MATCH($A10,ABR!$A$8:$A$73,0)),"")</f>
        <v/>
      </c>
      <c r="U10" s="174">
        <f>IFERROR(INDEX(MAI!$BG$8:$BG$73,MATCH($A10,MAI!$A$8:$A$73,0)),"")</f>
        <v/>
      </c>
      <c r="V10" s="174">
        <f>IFERROR(INDEX(JUN!$BG$8:$BG$73,MATCH($A10,JUN!$A$8:$A$73,0)),"")</f>
        <v/>
      </c>
      <c r="W10" s="174">
        <f>IFERROR(INDEX(JUL!$BG$8:$BG$73,MATCH($A10,JUL!$A$8:$A$73,0)),"")</f>
        <v/>
      </c>
      <c r="X10" s="174">
        <f>IFERROR(INDEX(AGO!$BG$8:$BG$73,MATCH($A10,AGO!$A$8:$A$73,0)),"")</f>
        <v/>
      </c>
      <c r="Y10" s="174">
        <f>IFERROR(INDEX(SET!$BG$8:$BG$73,MATCH($A10,SET!$A$8:$A$73,0)),"")</f>
        <v/>
      </c>
      <c r="Z10" s="174">
        <f>IFERROR(INDEX(OUT!$BG$8:$BG$73,MATCH($A10,OUT!$A$8:$A$73,0)),"")</f>
        <v/>
      </c>
      <c r="AA10" s="174">
        <f>IFERROR(INDEX(NOV!$BG$8:$BG$73,MATCH($A10,NOV!$A$8:$A$73,0)),"")</f>
        <v/>
      </c>
      <c r="AB10" s="174">
        <f>IFERROR(INDEX(DEZ!$BG$8:$BG$73,MATCH($A10,DEZ!$A$8:$A$73,0)),"")</f>
        <v/>
      </c>
      <c r="AC10" s="175">
        <f>SUM(Q10:AB10)</f>
        <v/>
      </c>
      <c r="AD10" s="39" t="n"/>
      <c r="AE10" s="174">
        <f>IFERROR(INDEX(JAN!$BH$8:$BH$73,MATCH($A10,JAN!$A$8:$A$73,0)),"")</f>
        <v/>
      </c>
      <c r="AF10" s="174">
        <f>IFERROR(INDEX(FEV!$BH$8:$BH$73,MATCH($A10,FEV!$A$8:$A$73,0)),"")</f>
        <v/>
      </c>
      <c r="AG10" s="174">
        <f>IFERROR(INDEX(MAR!$BH$8:$BH$73,MATCH($A10,MAR!$A$8:$A$73,0)),"")</f>
        <v/>
      </c>
      <c r="AH10" s="174">
        <f>IFERROR(INDEX(ABR!$BH$8:$BH$73,MATCH($A10,ABR!$A$8:$A$73,0)),"")</f>
        <v/>
      </c>
      <c r="AI10" s="174">
        <f>IFERROR(INDEX(MAI!$BH$8:$BH$73,MATCH($A10,MAI!$A$8:$A$73,0)),"")</f>
        <v/>
      </c>
      <c r="AJ10" s="174">
        <f>IFERROR(INDEX(JUN!$BH$8:$BH$73,MATCH($A10,JUN!$A$8:$A$73,0)),"")</f>
        <v/>
      </c>
      <c r="AK10" s="174">
        <f>IFERROR(INDEX(JUL!$BH$8:$BH$73,MATCH($A10,JUL!$A$8:$A$73,0)),"")</f>
        <v/>
      </c>
      <c r="AL10" s="174">
        <f>IFERROR(INDEX(AGO!$BH$8:$BH$73,MATCH($A10,AGO!$A$8:$A$73,0)),"")</f>
        <v/>
      </c>
      <c r="AM10" s="174">
        <f>IFERROR(INDEX(SET!$BH$8:$BH$73,MATCH($A10,SET!$A$8:$A$73,0)),"")</f>
        <v/>
      </c>
      <c r="AN10" s="174">
        <f>IFERROR(INDEX(OUT!$BH$8:$BH$73,MATCH($A10,OUT!$A$8:$A$73,0)),"")</f>
        <v/>
      </c>
      <c r="AO10" s="174">
        <f>IFERROR(INDEX(NOV!$BH$8:$BH$73,MATCH($A10,NOV!$A$8:$A$73,0)),"")</f>
        <v/>
      </c>
      <c r="AP10" s="174">
        <f>IFERROR(INDEX(DEZ!$BH$8:$BH$73,MATCH($A10,DEZ!$A$8:$A$73,0)),"")</f>
        <v/>
      </c>
      <c r="AQ10" s="175">
        <f>SUM(AE10:AP10)</f>
        <v/>
      </c>
      <c r="AR10" s="39" t="n"/>
      <c r="AS10" s="174">
        <f>IFERROR(INDEX(JAN!$BI$8:$BI$73,MATCH($A10,JAN!$A$8:$A$73,0)),"")</f>
        <v/>
      </c>
      <c r="AT10" s="174">
        <f>IFERROR(INDEX(FEV!$BI$8:$BI$73,MATCH($A10,FEV!$A$8:$A$73,0)),"")</f>
        <v/>
      </c>
      <c r="AU10" s="174">
        <f>IFERROR(INDEX(MAR!$BI$8:$BI$73,MATCH($A10,MAR!$A$8:$A$73,0)),"")</f>
        <v/>
      </c>
      <c r="AV10" s="174">
        <f>IFERROR(INDEX(ABR!$BI$8:$BI$73,MATCH($A10,ABR!$A$8:$A$73,0)),"")</f>
        <v/>
      </c>
      <c r="AW10" s="174">
        <f>IFERROR(INDEX(MAI!$BI$8:$BI$73,MATCH($A10,MAI!$A$8:$A$73,0)),"")</f>
        <v/>
      </c>
      <c r="AX10" s="174">
        <f>IFERROR(INDEX(JUN!$BI$8:$BI$73,MATCH($A10,JUN!$A$8:$A$73,0)),"")</f>
        <v/>
      </c>
      <c r="AY10" s="174">
        <f>IFERROR(INDEX(JUL!$BI$8:$BI$73,MATCH($A10,JUL!$A$8:$A$73,0)),"")</f>
        <v/>
      </c>
      <c r="AZ10" s="174">
        <f>IFERROR(INDEX(AGO!$BI$8:$BI$73,MATCH($A10,AGO!$A$8:$A$73,0)),"")</f>
        <v/>
      </c>
      <c r="BA10" s="174">
        <f>IFERROR(INDEX(SET!$BI$8:$BI$73,MATCH($A10,SET!$A$8:$A$73,0)),"")</f>
        <v/>
      </c>
      <c r="BB10" s="174">
        <f>IFERROR(INDEX(OUT!$BI$8:$BI$73,MATCH($A10,OUT!$A$8:$A$73,0)),"")</f>
        <v/>
      </c>
      <c r="BC10" s="174">
        <f>IFERROR(INDEX(NOV!$BI$8:$BI$73,MATCH($A10,NOV!$A$8:$A$73,0)),"")</f>
        <v/>
      </c>
      <c r="BD10" s="174">
        <f>IFERROR(INDEX(DEZ!$BI$8:$BI$73,MATCH($A10,DEZ!$A$8:$A$73,0)),"")</f>
        <v/>
      </c>
      <c r="BE10" s="175">
        <f>SUM(AS10:BD10)</f>
        <v/>
      </c>
      <c r="BF10" s="39" t="n"/>
      <c r="BG10" s="107" t="n">
        <v>0</v>
      </c>
      <c r="BH10" s="133">
        <f>SUM(AE10:AP10)</f>
        <v/>
      </c>
      <c r="BI10" s="176">
        <f>IF(BG10="","",IF(BG10=BH10,"","⚠"))</f>
        <v/>
      </c>
      <c r="BJ10" s="39" t="n"/>
      <c r="BK10" s="39" t="n"/>
    </row>
    <row r="11">
      <c r="A11" s="89" t="inlineStr">
        <is>
          <t>MSalomão</t>
        </is>
      </c>
      <c r="B11" s="173">
        <f>CADASTRO!$C7</f>
        <v/>
      </c>
      <c r="C11" s="174">
        <f>IFERROR(INDEX(JAN!$BK$8:$BK$73,MATCH($A11,JAN!$A$8:$A$73,0)),"")</f>
        <v/>
      </c>
      <c r="D11" s="174">
        <f>IFERROR(INDEX(FEV!$BK$8:$BK$73,MATCH($A11,FEV!$A$8:$A$73,0)),"")</f>
        <v/>
      </c>
      <c r="E11" s="174">
        <f>IFERROR(INDEX(MAR!$BK$8:$BK$73,MATCH($A11,MAR!$A$8:$A$73,0)),"")</f>
        <v/>
      </c>
      <c r="F11" s="174">
        <f>IFERROR(INDEX(ABR!$BK$8:$BK$73,MATCH($A11,ABR!$A$8:$A$73,0)),"")</f>
        <v/>
      </c>
      <c r="G11" s="174">
        <f>IFERROR(INDEX(MAI!$BK$8:$BK$73,MATCH($A11,MAI!$A$8:$A$73,0)),"")</f>
        <v/>
      </c>
      <c r="H11" s="174">
        <f>IFERROR(INDEX(JUN!$BK$8:$BK$73,MATCH($A11,JUN!$A$8:$A$73,0)),"")</f>
        <v/>
      </c>
      <c r="I11" s="174">
        <f>IFERROR(INDEX(JUL!$BK$8:$BK$73,MATCH($A11,JUL!$A$8:$A$73,0)),"")</f>
        <v/>
      </c>
      <c r="J11" s="174">
        <f>IFERROR(INDEX(AGO!$BK$8:$BK$73,MATCH($A11,AGO!$A$8:$A$73,0)),"")</f>
        <v/>
      </c>
      <c r="K11" s="174">
        <f>IFERROR(INDEX(SET!$BK$8:$BK$73,MATCH($A11,SET!$A$8:$A$73,0)),"")</f>
        <v/>
      </c>
      <c r="L11" s="174">
        <f>IFERROR(INDEX(OUT!$BK$8:$BK$73,MATCH($A11,OUT!$A$8:$A$73,0)),"")</f>
        <v/>
      </c>
      <c r="M11" s="174">
        <f>IFERROR(INDEX(NOV!$BK$8:$BK$73,MATCH($A11,NOV!$A$8:$A$73,0)),"")</f>
        <v/>
      </c>
      <c r="N11" s="174">
        <f>IFERROR(INDEX(DEZ!$BK$8:$BK$73,MATCH($A11,DEZ!$A$8:$A$73,0)),"")</f>
        <v/>
      </c>
      <c r="O11" s="175">
        <f>SUM(C11:N11)</f>
        <v/>
      </c>
      <c r="P11" s="39" t="n"/>
      <c r="Q11" s="174">
        <f>IFERROR(INDEX(JAN!$BG$8:$BG$73,MATCH($A11,JAN!$A$8:$A$73,0)),"")</f>
        <v/>
      </c>
      <c r="R11" s="174">
        <f>IFERROR(INDEX(FEV!$BG$8:$BG$73,MATCH($A11,FEV!$A$8:$A$73,0)),"")</f>
        <v/>
      </c>
      <c r="S11" s="174">
        <f>IFERROR(INDEX(MAR!$BG$8:$BG$73,MATCH($A11,MAR!$A$8:$A$73,0)),"")</f>
        <v/>
      </c>
      <c r="T11" s="174">
        <f>IFERROR(INDEX(ABR!$BG$8:$BG$73,MATCH($A11,ABR!$A$8:$A$73,0)),"")</f>
        <v/>
      </c>
      <c r="U11" s="174">
        <f>IFERROR(INDEX(MAI!$BG$8:$BG$73,MATCH($A11,MAI!$A$8:$A$73,0)),"")</f>
        <v/>
      </c>
      <c r="V11" s="174">
        <f>IFERROR(INDEX(JUN!$BG$8:$BG$73,MATCH($A11,JUN!$A$8:$A$73,0)),"")</f>
        <v/>
      </c>
      <c r="W11" s="174">
        <f>IFERROR(INDEX(JUL!$BG$8:$BG$73,MATCH($A11,JUL!$A$8:$A$73,0)),"")</f>
        <v/>
      </c>
      <c r="X11" s="174">
        <f>IFERROR(INDEX(AGO!$BG$8:$BG$73,MATCH($A11,AGO!$A$8:$A$73,0)),"")</f>
        <v/>
      </c>
      <c r="Y11" s="174">
        <f>IFERROR(INDEX(SET!$BG$8:$BG$73,MATCH($A11,SET!$A$8:$A$73,0)),"")</f>
        <v/>
      </c>
      <c r="Z11" s="174">
        <f>IFERROR(INDEX(OUT!$BG$8:$BG$73,MATCH($A11,OUT!$A$8:$A$73,0)),"")</f>
        <v/>
      </c>
      <c r="AA11" s="174">
        <f>IFERROR(INDEX(NOV!$BG$8:$BG$73,MATCH($A11,NOV!$A$8:$A$73,0)),"")</f>
        <v/>
      </c>
      <c r="AB11" s="174">
        <f>IFERROR(INDEX(DEZ!$BG$8:$BG$73,MATCH($A11,DEZ!$A$8:$A$73,0)),"")</f>
        <v/>
      </c>
      <c r="AC11" s="175">
        <f>SUM(Q11:AB11)</f>
        <v/>
      </c>
      <c r="AD11" s="39" t="n"/>
      <c r="AE11" s="174">
        <f>IFERROR(INDEX(JAN!$BH$8:$BH$73,MATCH($A11,JAN!$A$8:$A$73,0)),"")</f>
        <v/>
      </c>
      <c r="AF11" s="174">
        <f>IFERROR(INDEX(FEV!$BH$8:$BH$73,MATCH($A11,FEV!$A$8:$A$73,0)),"")</f>
        <v/>
      </c>
      <c r="AG11" s="174">
        <f>IFERROR(INDEX(MAR!$BH$8:$BH$73,MATCH($A11,MAR!$A$8:$A$73,0)),"")</f>
        <v/>
      </c>
      <c r="AH11" s="174">
        <f>IFERROR(INDEX(ABR!$BH$8:$BH$73,MATCH($A11,ABR!$A$8:$A$73,0)),"")</f>
        <v/>
      </c>
      <c r="AI11" s="174">
        <f>IFERROR(INDEX(MAI!$BH$8:$BH$73,MATCH($A11,MAI!$A$8:$A$73,0)),"")</f>
        <v/>
      </c>
      <c r="AJ11" s="174">
        <f>IFERROR(INDEX(JUN!$BH$8:$BH$73,MATCH($A11,JUN!$A$8:$A$73,0)),"")</f>
        <v/>
      </c>
      <c r="AK11" s="174">
        <f>IFERROR(INDEX(JUL!$BH$8:$BH$73,MATCH($A11,JUL!$A$8:$A$73,0)),"")</f>
        <v/>
      </c>
      <c r="AL11" s="174">
        <f>IFERROR(INDEX(AGO!$BH$8:$BH$73,MATCH($A11,AGO!$A$8:$A$73,0)),"")</f>
        <v/>
      </c>
      <c r="AM11" s="174">
        <f>IFERROR(INDEX(SET!$BH$8:$BH$73,MATCH($A11,SET!$A$8:$A$73,0)),"")</f>
        <v/>
      </c>
      <c r="AN11" s="174">
        <f>IFERROR(INDEX(OUT!$BH$8:$BH$73,MATCH($A11,OUT!$A$8:$A$73,0)),"")</f>
        <v/>
      </c>
      <c r="AO11" s="174">
        <f>IFERROR(INDEX(NOV!$BH$8:$BH$73,MATCH($A11,NOV!$A$8:$A$73,0)),"")</f>
        <v/>
      </c>
      <c r="AP11" s="174">
        <f>IFERROR(INDEX(DEZ!$BH$8:$BH$73,MATCH($A11,DEZ!$A$8:$A$73,0)),"")</f>
        <v/>
      </c>
      <c r="AQ11" s="175">
        <f>SUM(AE11:AP11)</f>
        <v/>
      </c>
      <c r="AR11" s="39" t="n"/>
      <c r="AS11" s="174">
        <f>IFERROR(INDEX(JAN!$BI$8:$BI$73,MATCH($A11,JAN!$A$8:$A$73,0)),"")</f>
        <v/>
      </c>
      <c r="AT11" s="174">
        <f>IFERROR(INDEX(FEV!$BI$8:$BI$73,MATCH($A11,FEV!$A$8:$A$73,0)),"")</f>
        <v/>
      </c>
      <c r="AU11" s="174">
        <f>IFERROR(INDEX(MAR!$BI$8:$BI$73,MATCH($A11,MAR!$A$8:$A$73,0)),"")</f>
        <v/>
      </c>
      <c r="AV11" s="174">
        <f>IFERROR(INDEX(ABR!$BI$8:$BI$73,MATCH($A11,ABR!$A$8:$A$73,0)),"")</f>
        <v/>
      </c>
      <c r="AW11" s="174">
        <f>IFERROR(INDEX(MAI!$BI$8:$BI$73,MATCH($A11,MAI!$A$8:$A$73,0)),"")</f>
        <v/>
      </c>
      <c r="AX11" s="174">
        <f>IFERROR(INDEX(JUN!$BI$8:$BI$73,MATCH($A11,JUN!$A$8:$A$73,0)),"")</f>
        <v/>
      </c>
      <c r="AY11" s="174">
        <f>IFERROR(INDEX(JUL!$BI$8:$BI$73,MATCH($A11,JUL!$A$8:$A$73,0)),"")</f>
        <v/>
      </c>
      <c r="AZ11" s="174">
        <f>IFERROR(INDEX(AGO!$BI$8:$BI$73,MATCH($A11,AGO!$A$8:$A$73,0)),"")</f>
        <v/>
      </c>
      <c r="BA11" s="174">
        <f>IFERROR(INDEX(SET!$BI$8:$BI$73,MATCH($A11,SET!$A$8:$A$73,0)),"")</f>
        <v/>
      </c>
      <c r="BB11" s="174">
        <f>IFERROR(INDEX(OUT!$BI$8:$BI$73,MATCH($A11,OUT!$A$8:$A$73,0)),"")</f>
        <v/>
      </c>
      <c r="BC11" s="174">
        <f>IFERROR(INDEX(NOV!$BI$8:$BI$73,MATCH($A11,NOV!$A$8:$A$73,0)),"")</f>
        <v/>
      </c>
      <c r="BD11" s="174">
        <f>IFERROR(INDEX(DEZ!$BI$8:$BI$73,MATCH($A11,DEZ!$A$8:$A$73,0)),"")</f>
        <v/>
      </c>
      <c r="BE11" s="175">
        <f>SUM(AS11:BD11)</f>
        <v/>
      </c>
      <c r="BF11" s="39" t="n"/>
      <c r="BG11" s="107" t="n">
        <v>0</v>
      </c>
      <c r="BH11" s="133">
        <f>SUM(AE11:AP11)</f>
        <v/>
      </c>
      <c r="BI11" s="176">
        <f>IF(BG11="","",IF(BG11=BH11,"","⚠"))</f>
        <v/>
      </c>
      <c r="BJ11" s="39" t="n"/>
      <c r="BK11" s="39" t="n"/>
    </row>
    <row r="12">
      <c r="A12" s="89" t="inlineStr">
        <is>
          <t>DebAlves</t>
        </is>
      </c>
      <c r="B12" s="173">
        <f>CADASTRO!$C8</f>
        <v/>
      </c>
      <c r="C12" s="174">
        <f>IFERROR(INDEX(JAN!$BK$8:$BK$73,MATCH($A12,JAN!$A$8:$A$73,0)),"")</f>
        <v/>
      </c>
      <c r="D12" s="174">
        <f>IFERROR(INDEX(FEV!$BK$8:$BK$73,MATCH($A12,FEV!$A$8:$A$73,0)),"")</f>
        <v/>
      </c>
      <c r="E12" s="174">
        <f>IFERROR(INDEX(MAR!$BK$8:$BK$73,MATCH($A12,MAR!$A$8:$A$73,0)),"")</f>
        <v/>
      </c>
      <c r="F12" s="174">
        <f>IFERROR(INDEX(ABR!$BK$8:$BK$73,MATCH($A12,ABR!$A$8:$A$73,0)),"")</f>
        <v/>
      </c>
      <c r="G12" s="174">
        <f>IFERROR(INDEX(MAI!$BK$8:$BK$73,MATCH($A12,MAI!$A$8:$A$73,0)),"")</f>
        <v/>
      </c>
      <c r="H12" s="174">
        <f>IFERROR(INDEX(JUN!$BK$8:$BK$73,MATCH($A12,JUN!$A$8:$A$73,0)),"")</f>
        <v/>
      </c>
      <c r="I12" s="174">
        <f>IFERROR(INDEX(JUL!$BK$8:$BK$73,MATCH($A12,JUL!$A$8:$A$73,0)),"")</f>
        <v/>
      </c>
      <c r="J12" s="174">
        <f>IFERROR(INDEX(AGO!$BK$8:$BK$73,MATCH($A12,AGO!$A$8:$A$73,0)),"")</f>
        <v/>
      </c>
      <c r="K12" s="174">
        <f>IFERROR(INDEX(SET!$BK$8:$BK$73,MATCH($A12,SET!$A$8:$A$73,0)),"")</f>
        <v/>
      </c>
      <c r="L12" s="174">
        <f>IFERROR(INDEX(OUT!$BK$8:$BK$73,MATCH($A12,OUT!$A$8:$A$73,0)),"")</f>
        <v/>
      </c>
      <c r="M12" s="174">
        <f>IFERROR(INDEX(NOV!$BK$8:$BK$73,MATCH($A12,NOV!$A$8:$A$73,0)),"")</f>
        <v/>
      </c>
      <c r="N12" s="174">
        <f>IFERROR(INDEX(DEZ!$BK$8:$BK$73,MATCH($A12,DEZ!$A$8:$A$73,0)),"")</f>
        <v/>
      </c>
      <c r="O12" s="175">
        <f>SUM(C12:N12)</f>
        <v/>
      </c>
      <c r="P12" s="39" t="n"/>
      <c r="Q12" s="174">
        <f>IFERROR(INDEX(JAN!$BG$8:$BG$73,MATCH($A12,JAN!$A$8:$A$73,0)),"")</f>
        <v/>
      </c>
      <c r="R12" s="174">
        <f>IFERROR(INDEX(FEV!$BG$8:$BG$73,MATCH($A12,FEV!$A$8:$A$73,0)),"")</f>
        <v/>
      </c>
      <c r="S12" s="174">
        <f>IFERROR(INDEX(MAR!$BG$8:$BG$73,MATCH($A12,MAR!$A$8:$A$73,0)),"")</f>
        <v/>
      </c>
      <c r="T12" s="174">
        <f>IFERROR(INDEX(ABR!$BG$8:$BG$73,MATCH($A12,ABR!$A$8:$A$73,0)),"")</f>
        <v/>
      </c>
      <c r="U12" s="174">
        <f>IFERROR(INDEX(MAI!$BG$8:$BG$73,MATCH($A12,MAI!$A$8:$A$73,0)),"")</f>
        <v/>
      </c>
      <c r="V12" s="174">
        <f>IFERROR(INDEX(JUN!$BG$8:$BG$73,MATCH($A12,JUN!$A$8:$A$73,0)),"")</f>
        <v/>
      </c>
      <c r="W12" s="174">
        <f>IFERROR(INDEX(JUL!$BG$8:$BG$73,MATCH($A12,JUL!$A$8:$A$73,0)),"")</f>
        <v/>
      </c>
      <c r="X12" s="174">
        <f>IFERROR(INDEX(AGO!$BG$8:$BG$73,MATCH($A12,AGO!$A$8:$A$73,0)),"")</f>
        <v/>
      </c>
      <c r="Y12" s="174">
        <f>IFERROR(INDEX(SET!$BG$8:$BG$73,MATCH($A12,SET!$A$8:$A$73,0)),"")</f>
        <v/>
      </c>
      <c r="Z12" s="174">
        <f>IFERROR(INDEX(OUT!$BG$8:$BG$73,MATCH($A12,OUT!$A$8:$A$73,0)),"")</f>
        <v/>
      </c>
      <c r="AA12" s="174">
        <f>IFERROR(INDEX(NOV!$BG$8:$BG$73,MATCH($A12,NOV!$A$8:$A$73,0)),"")</f>
        <v/>
      </c>
      <c r="AB12" s="174">
        <f>IFERROR(INDEX(DEZ!$BG$8:$BG$73,MATCH($A12,DEZ!$A$8:$A$73,0)),"")</f>
        <v/>
      </c>
      <c r="AC12" s="175">
        <f>SUM(Q12:AB12)</f>
        <v/>
      </c>
      <c r="AD12" s="39" t="n"/>
      <c r="AE12" s="174">
        <f>IFERROR(INDEX(JAN!$BH$8:$BH$73,MATCH($A12,JAN!$A$8:$A$73,0)),"")</f>
        <v/>
      </c>
      <c r="AF12" s="174">
        <f>IFERROR(INDEX(FEV!$BH$8:$BH$73,MATCH($A12,FEV!$A$8:$A$73,0)),"")</f>
        <v/>
      </c>
      <c r="AG12" s="174">
        <f>IFERROR(INDEX(MAR!$BH$8:$BH$73,MATCH($A12,MAR!$A$8:$A$73,0)),"")</f>
        <v/>
      </c>
      <c r="AH12" s="174">
        <f>IFERROR(INDEX(ABR!$BH$8:$BH$73,MATCH($A12,ABR!$A$8:$A$73,0)),"")</f>
        <v/>
      </c>
      <c r="AI12" s="174">
        <f>IFERROR(INDEX(MAI!$BH$8:$BH$73,MATCH($A12,MAI!$A$8:$A$73,0)),"")</f>
        <v/>
      </c>
      <c r="AJ12" s="174">
        <f>IFERROR(INDEX(JUN!$BH$8:$BH$73,MATCH($A12,JUN!$A$8:$A$73,0)),"")</f>
        <v/>
      </c>
      <c r="AK12" s="174">
        <f>IFERROR(INDEX(JUL!$BH$8:$BH$73,MATCH($A12,JUL!$A$8:$A$73,0)),"")</f>
        <v/>
      </c>
      <c r="AL12" s="174">
        <f>IFERROR(INDEX(AGO!$BH$8:$BH$73,MATCH($A12,AGO!$A$8:$A$73,0)),"")</f>
        <v/>
      </c>
      <c r="AM12" s="174">
        <f>IFERROR(INDEX(SET!$BH$8:$BH$73,MATCH($A12,SET!$A$8:$A$73,0)),"")</f>
        <v/>
      </c>
      <c r="AN12" s="174">
        <f>IFERROR(INDEX(OUT!$BH$8:$BH$73,MATCH($A12,OUT!$A$8:$A$73,0)),"")</f>
        <v/>
      </c>
      <c r="AO12" s="174">
        <f>IFERROR(INDEX(NOV!$BH$8:$BH$73,MATCH($A12,NOV!$A$8:$A$73,0)),"")</f>
        <v/>
      </c>
      <c r="AP12" s="174">
        <f>IFERROR(INDEX(DEZ!$BH$8:$BH$73,MATCH($A12,DEZ!$A$8:$A$73,0)),"")</f>
        <v/>
      </c>
      <c r="AQ12" s="175">
        <f>SUM(AE12:AP12)</f>
        <v/>
      </c>
      <c r="AR12" s="39" t="n"/>
      <c r="AS12" s="174">
        <f>IFERROR(INDEX(JAN!$BI$8:$BI$73,MATCH($A12,JAN!$A$8:$A$73,0)),"")</f>
        <v/>
      </c>
      <c r="AT12" s="174">
        <f>IFERROR(INDEX(FEV!$BI$8:$BI$73,MATCH($A12,FEV!$A$8:$A$73,0)),"")</f>
        <v/>
      </c>
      <c r="AU12" s="174">
        <f>IFERROR(INDEX(MAR!$BI$8:$BI$73,MATCH($A12,MAR!$A$8:$A$73,0)),"")</f>
        <v/>
      </c>
      <c r="AV12" s="174">
        <f>IFERROR(INDEX(ABR!$BI$8:$BI$73,MATCH($A12,ABR!$A$8:$A$73,0)),"")</f>
        <v/>
      </c>
      <c r="AW12" s="174">
        <f>IFERROR(INDEX(MAI!$BI$8:$BI$73,MATCH($A12,MAI!$A$8:$A$73,0)),"")</f>
        <v/>
      </c>
      <c r="AX12" s="174">
        <f>IFERROR(INDEX(JUN!$BI$8:$BI$73,MATCH($A12,JUN!$A$8:$A$73,0)),"")</f>
        <v/>
      </c>
      <c r="AY12" s="174">
        <f>IFERROR(INDEX(JUL!$BI$8:$BI$73,MATCH($A12,JUL!$A$8:$A$73,0)),"")</f>
        <v/>
      </c>
      <c r="AZ12" s="174">
        <f>IFERROR(INDEX(AGO!$BI$8:$BI$73,MATCH($A12,AGO!$A$8:$A$73,0)),"")</f>
        <v/>
      </c>
      <c r="BA12" s="174">
        <f>IFERROR(INDEX(SET!$BI$8:$BI$73,MATCH($A12,SET!$A$8:$A$73,0)),"")</f>
        <v/>
      </c>
      <c r="BB12" s="174">
        <f>IFERROR(INDEX(OUT!$BI$8:$BI$73,MATCH($A12,OUT!$A$8:$A$73,0)),"")</f>
        <v/>
      </c>
      <c r="BC12" s="174">
        <f>IFERROR(INDEX(NOV!$BI$8:$BI$73,MATCH($A12,NOV!$A$8:$A$73,0)),"")</f>
        <v/>
      </c>
      <c r="BD12" s="174">
        <f>IFERROR(INDEX(DEZ!$BI$8:$BI$73,MATCH($A12,DEZ!$A$8:$A$73,0)),"")</f>
        <v/>
      </c>
      <c r="BE12" s="175">
        <f>SUM(AS12:BD12)</f>
        <v/>
      </c>
      <c r="BF12" s="39" t="n"/>
      <c r="BG12" s="107" t="n">
        <v>0</v>
      </c>
      <c r="BH12" s="133">
        <f>SUM(AE12:AP12)</f>
        <v/>
      </c>
      <c r="BI12" s="176">
        <f>IF(BG12="","",IF(BG12=BH12,"","⚠"))</f>
        <v/>
      </c>
      <c r="BJ12" s="39" t="n"/>
      <c r="BK12" s="39" t="n"/>
    </row>
    <row r="13">
      <c r="A13" s="89" t="inlineStr">
        <is>
          <t>Vinicius</t>
        </is>
      </c>
      <c r="B13" s="173">
        <f>CADASTRO!$C9</f>
        <v/>
      </c>
      <c r="C13" s="174">
        <f>IFERROR(INDEX(JAN!$BK$8:$BK$73,MATCH($A13,JAN!$A$8:$A$73,0)),"")</f>
        <v/>
      </c>
      <c r="D13" s="174">
        <f>IFERROR(INDEX(FEV!$BK$8:$BK$73,MATCH($A13,FEV!$A$8:$A$73,0)),"")</f>
        <v/>
      </c>
      <c r="E13" s="174">
        <f>IFERROR(INDEX(MAR!$BK$8:$BK$73,MATCH($A13,MAR!$A$8:$A$73,0)),"")</f>
        <v/>
      </c>
      <c r="F13" s="174">
        <f>IFERROR(INDEX(ABR!$BK$8:$BK$73,MATCH($A13,ABR!$A$8:$A$73,0)),"")</f>
        <v/>
      </c>
      <c r="G13" s="174">
        <f>IFERROR(INDEX(MAI!$BK$8:$BK$73,MATCH($A13,MAI!$A$8:$A$73,0)),"")</f>
        <v/>
      </c>
      <c r="H13" s="174">
        <f>IFERROR(INDEX(JUN!$BK$8:$BK$73,MATCH($A13,JUN!$A$8:$A$73,0)),"")</f>
        <v/>
      </c>
      <c r="I13" s="174">
        <f>IFERROR(INDEX(JUL!$BK$8:$BK$73,MATCH($A13,JUL!$A$8:$A$73,0)),"")</f>
        <v/>
      </c>
      <c r="J13" s="174">
        <f>IFERROR(INDEX(AGO!$BK$8:$BK$73,MATCH($A13,AGO!$A$8:$A$73,0)),"")</f>
        <v/>
      </c>
      <c r="K13" s="174">
        <f>IFERROR(INDEX(SET!$BK$8:$BK$73,MATCH($A13,SET!$A$8:$A$73,0)),"")</f>
        <v/>
      </c>
      <c r="L13" s="174">
        <f>IFERROR(INDEX(OUT!$BK$8:$BK$73,MATCH($A13,OUT!$A$8:$A$73,0)),"")</f>
        <v/>
      </c>
      <c r="M13" s="174">
        <f>IFERROR(INDEX(NOV!$BK$8:$BK$73,MATCH($A13,NOV!$A$8:$A$73,0)),"")</f>
        <v/>
      </c>
      <c r="N13" s="174">
        <f>IFERROR(INDEX(DEZ!$BK$8:$BK$73,MATCH($A13,DEZ!$A$8:$A$73,0)),"")</f>
        <v/>
      </c>
      <c r="O13" s="175">
        <f>SUM(C13:N13)</f>
        <v/>
      </c>
      <c r="P13" s="39" t="n"/>
      <c r="Q13" s="174">
        <f>IFERROR(INDEX(JAN!$BG$8:$BG$73,MATCH($A13,JAN!$A$8:$A$73,0)),"")</f>
        <v/>
      </c>
      <c r="R13" s="174">
        <f>IFERROR(INDEX(FEV!$BG$8:$BG$73,MATCH($A13,FEV!$A$8:$A$73,0)),"")</f>
        <v/>
      </c>
      <c r="S13" s="174">
        <f>IFERROR(INDEX(MAR!$BG$8:$BG$73,MATCH($A13,MAR!$A$8:$A$73,0)),"")</f>
        <v/>
      </c>
      <c r="T13" s="174">
        <f>IFERROR(INDEX(ABR!$BG$8:$BG$73,MATCH($A13,ABR!$A$8:$A$73,0)),"")</f>
        <v/>
      </c>
      <c r="U13" s="174">
        <f>IFERROR(INDEX(MAI!$BG$8:$BG$73,MATCH($A13,MAI!$A$8:$A$73,0)),"")</f>
        <v/>
      </c>
      <c r="V13" s="174">
        <f>IFERROR(INDEX(JUN!$BG$8:$BG$73,MATCH($A13,JUN!$A$8:$A$73,0)),"")</f>
        <v/>
      </c>
      <c r="W13" s="174">
        <f>IFERROR(INDEX(JUL!$BG$8:$BG$73,MATCH($A13,JUL!$A$8:$A$73,0)),"")</f>
        <v/>
      </c>
      <c r="X13" s="174">
        <f>IFERROR(INDEX(AGO!$BG$8:$BG$73,MATCH($A13,AGO!$A$8:$A$73,0)),"")</f>
        <v/>
      </c>
      <c r="Y13" s="174">
        <f>IFERROR(INDEX(SET!$BG$8:$BG$73,MATCH($A13,SET!$A$8:$A$73,0)),"")</f>
        <v/>
      </c>
      <c r="Z13" s="174">
        <f>IFERROR(INDEX(OUT!$BG$8:$BG$73,MATCH($A13,OUT!$A$8:$A$73,0)),"")</f>
        <v/>
      </c>
      <c r="AA13" s="174">
        <f>IFERROR(INDEX(NOV!$BG$8:$BG$73,MATCH($A13,NOV!$A$8:$A$73,0)),"")</f>
        <v/>
      </c>
      <c r="AB13" s="174">
        <f>IFERROR(INDEX(DEZ!$BG$8:$BG$73,MATCH($A13,DEZ!$A$8:$A$73,0)),"")</f>
        <v/>
      </c>
      <c r="AC13" s="175">
        <f>SUM(Q13:AB13)</f>
        <v/>
      </c>
      <c r="AD13" s="39" t="n"/>
      <c r="AE13" s="174">
        <f>IFERROR(INDEX(JAN!$BH$8:$BH$73,MATCH($A13,JAN!$A$8:$A$73,0)),"")</f>
        <v/>
      </c>
      <c r="AF13" s="174">
        <f>IFERROR(INDEX(FEV!$BH$8:$BH$73,MATCH($A13,FEV!$A$8:$A$73,0)),"")</f>
        <v/>
      </c>
      <c r="AG13" s="174">
        <f>IFERROR(INDEX(MAR!$BH$8:$BH$73,MATCH($A13,MAR!$A$8:$A$73,0)),"")</f>
        <v/>
      </c>
      <c r="AH13" s="174">
        <f>IFERROR(INDEX(ABR!$BH$8:$BH$73,MATCH($A13,ABR!$A$8:$A$73,0)),"")</f>
        <v/>
      </c>
      <c r="AI13" s="174">
        <f>IFERROR(INDEX(MAI!$BH$8:$BH$73,MATCH($A13,MAI!$A$8:$A$73,0)),"")</f>
        <v/>
      </c>
      <c r="AJ13" s="174">
        <f>IFERROR(INDEX(JUN!$BH$8:$BH$73,MATCH($A13,JUN!$A$8:$A$73,0)),"")</f>
        <v/>
      </c>
      <c r="AK13" s="174">
        <f>IFERROR(INDEX(JUL!$BH$8:$BH$73,MATCH($A13,JUL!$A$8:$A$73,0)),"")</f>
        <v/>
      </c>
      <c r="AL13" s="174">
        <f>IFERROR(INDEX(AGO!$BH$8:$BH$73,MATCH($A13,AGO!$A$8:$A$73,0)),"")</f>
        <v/>
      </c>
      <c r="AM13" s="174">
        <f>IFERROR(INDEX(SET!$BH$8:$BH$73,MATCH($A13,SET!$A$8:$A$73,0)),"")</f>
        <v/>
      </c>
      <c r="AN13" s="174">
        <f>IFERROR(INDEX(OUT!$BH$8:$BH$73,MATCH($A13,OUT!$A$8:$A$73,0)),"")</f>
        <v/>
      </c>
      <c r="AO13" s="174">
        <f>IFERROR(INDEX(NOV!$BH$8:$BH$73,MATCH($A13,NOV!$A$8:$A$73,0)),"")</f>
        <v/>
      </c>
      <c r="AP13" s="174">
        <f>IFERROR(INDEX(DEZ!$BH$8:$BH$73,MATCH($A13,DEZ!$A$8:$A$73,0)),"")</f>
        <v/>
      </c>
      <c r="AQ13" s="175">
        <f>SUM(AE13:AP13)</f>
        <v/>
      </c>
      <c r="AR13" s="39" t="n"/>
      <c r="AS13" s="174">
        <f>IFERROR(INDEX(JAN!$BI$8:$BI$73,MATCH($A13,JAN!$A$8:$A$73,0)),"")</f>
        <v/>
      </c>
      <c r="AT13" s="174">
        <f>IFERROR(INDEX(FEV!$BI$8:$BI$73,MATCH($A13,FEV!$A$8:$A$73,0)),"")</f>
        <v/>
      </c>
      <c r="AU13" s="174">
        <f>IFERROR(INDEX(MAR!$BI$8:$BI$73,MATCH($A13,MAR!$A$8:$A$73,0)),"")</f>
        <v/>
      </c>
      <c r="AV13" s="174">
        <f>IFERROR(INDEX(ABR!$BI$8:$BI$73,MATCH($A13,ABR!$A$8:$A$73,0)),"")</f>
        <v/>
      </c>
      <c r="AW13" s="174">
        <f>IFERROR(INDEX(MAI!$BI$8:$BI$73,MATCH($A13,MAI!$A$8:$A$73,0)),"")</f>
        <v/>
      </c>
      <c r="AX13" s="174">
        <f>IFERROR(INDEX(JUN!$BI$8:$BI$73,MATCH($A13,JUN!$A$8:$A$73,0)),"")</f>
        <v/>
      </c>
      <c r="AY13" s="174">
        <f>IFERROR(INDEX(JUL!$BI$8:$BI$73,MATCH($A13,JUL!$A$8:$A$73,0)),"")</f>
        <v/>
      </c>
      <c r="AZ13" s="174">
        <f>IFERROR(INDEX(AGO!$BI$8:$BI$73,MATCH($A13,AGO!$A$8:$A$73,0)),"")</f>
        <v/>
      </c>
      <c r="BA13" s="174">
        <f>IFERROR(INDEX(SET!$BI$8:$BI$73,MATCH($A13,SET!$A$8:$A$73,0)),"")</f>
        <v/>
      </c>
      <c r="BB13" s="174">
        <f>IFERROR(INDEX(OUT!$BI$8:$BI$73,MATCH($A13,OUT!$A$8:$A$73,0)),"")</f>
        <v/>
      </c>
      <c r="BC13" s="174">
        <f>IFERROR(INDEX(NOV!$BI$8:$BI$73,MATCH($A13,NOV!$A$8:$A$73,0)),"")</f>
        <v/>
      </c>
      <c r="BD13" s="174">
        <f>IFERROR(INDEX(DEZ!$BI$8:$BI$73,MATCH($A13,DEZ!$A$8:$A$73,0)),"")</f>
        <v/>
      </c>
      <c r="BE13" s="175">
        <f>SUM(AS13:BD13)</f>
        <v/>
      </c>
      <c r="BF13" s="39" t="n"/>
      <c r="BG13" s="107" t="n">
        <v>0</v>
      </c>
      <c r="BH13" s="133">
        <f>SUM(AE13:AP13)</f>
        <v/>
      </c>
      <c r="BI13" s="176">
        <f>IF(BG13="","",IF(BG13=BH13,"","⚠"))</f>
        <v/>
      </c>
      <c r="BJ13" s="39" t="n"/>
      <c r="BK13" s="39" t="n"/>
    </row>
    <row r="14">
      <c r="A14" s="89" t="inlineStr">
        <is>
          <t>Amelio</t>
        </is>
      </c>
      <c r="B14" s="173">
        <f>CADASTRO!$C10</f>
        <v/>
      </c>
      <c r="C14" s="174">
        <f>IFERROR(INDEX(JAN!$BK$8:$BK$73,MATCH($A14,JAN!$A$8:$A$73,0)),"")</f>
        <v/>
      </c>
      <c r="D14" s="174">
        <f>IFERROR(INDEX(FEV!$BK$8:$BK$73,MATCH($A14,FEV!$A$8:$A$73,0)),"")</f>
        <v/>
      </c>
      <c r="E14" s="174">
        <f>IFERROR(INDEX(MAR!$BK$8:$BK$73,MATCH($A14,MAR!$A$8:$A$73,0)),"")</f>
        <v/>
      </c>
      <c r="F14" s="174">
        <f>IFERROR(INDEX(ABR!$BK$8:$BK$73,MATCH($A14,ABR!$A$8:$A$73,0)),"")</f>
        <v/>
      </c>
      <c r="G14" s="174">
        <f>IFERROR(INDEX(MAI!$BK$8:$BK$73,MATCH($A14,MAI!$A$8:$A$73,0)),"")</f>
        <v/>
      </c>
      <c r="H14" s="174">
        <f>IFERROR(INDEX(JUN!$BK$8:$BK$73,MATCH($A14,JUN!$A$8:$A$73,0)),"")</f>
        <v/>
      </c>
      <c r="I14" s="174">
        <f>IFERROR(INDEX(JUL!$BK$8:$BK$73,MATCH($A14,JUL!$A$8:$A$73,0)),"")</f>
        <v/>
      </c>
      <c r="J14" s="174">
        <f>IFERROR(INDEX(AGO!$BK$8:$BK$73,MATCH($A14,AGO!$A$8:$A$73,0)),"")</f>
        <v/>
      </c>
      <c r="K14" s="174">
        <f>IFERROR(INDEX(SET!$BK$8:$BK$73,MATCH($A14,SET!$A$8:$A$73,0)),"")</f>
        <v/>
      </c>
      <c r="L14" s="174">
        <f>IFERROR(INDEX(OUT!$BK$8:$BK$73,MATCH($A14,OUT!$A$8:$A$73,0)),"")</f>
        <v/>
      </c>
      <c r="M14" s="174">
        <f>IFERROR(INDEX(NOV!$BK$8:$BK$73,MATCH($A14,NOV!$A$8:$A$73,0)),"")</f>
        <v/>
      </c>
      <c r="N14" s="174">
        <f>IFERROR(INDEX(DEZ!$BK$8:$BK$73,MATCH($A14,DEZ!$A$8:$A$73,0)),"")</f>
        <v/>
      </c>
      <c r="O14" s="175">
        <f>SUM(C14:N14)</f>
        <v/>
      </c>
      <c r="P14" s="39" t="n"/>
      <c r="Q14" s="174">
        <f>IFERROR(INDEX(JAN!$BG$8:$BG$73,MATCH($A14,JAN!$A$8:$A$73,0)),"")</f>
        <v/>
      </c>
      <c r="R14" s="174">
        <f>IFERROR(INDEX(FEV!$BG$8:$BG$73,MATCH($A14,FEV!$A$8:$A$73,0)),"")</f>
        <v/>
      </c>
      <c r="S14" s="174">
        <f>IFERROR(INDEX(MAR!$BG$8:$BG$73,MATCH($A14,MAR!$A$8:$A$73,0)),"")</f>
        <v/>
      </c>
      <c r="T14" s="174">
        <f>IFERROR(INDEX(ABR!$BG$8:$BG$73,MATCH($A14,ABR!$A$8:$A$73,0)),"")</f>
        <v/>
      </c>
      <c r="U14" s="174">
        <f>IFERROR(INDEX(MAI!$BG$8:$BG$73,MATCH($A14,MAI!$A$8:$A$73,0)),"")</f>
        <v/>
      </c>
      <c r="V14" s="174">
        <f>IFERROR(INDEX(JUN!$BG$8:$BG$73,MATCH($A14,JUN!$A$8:$A$73,0)),"")</f>
        <v/>
      </c>
      <c r="W14" s="174">
        <f>IFERROR(INDEX(JUL!$BG$8:$BG$73,MATCH($A14,JUL!$A$8:$A$73,0)),"")</f>
        <v/>
      </c>
      <c r="X14" s="174">
        <f>IFERROR(INDEX(AGO!$BG$8:$BG$73,MATCH($A14,AGO!$A$8:$A$73,0)),"")</f>
        <v/>
      </c>
      <c r="Y14" s="174">
        <f>IFERROR(INDEX(SET!$BG$8:$BG$73,MATCH($A14,SET!$A$8:$A$73,0)),"")</f>
        <v/>
      </c>
      <c r="Z14" s="174">
        <f>IFERROR(INDEX(OUT!$BG$8:$BG$73,MATCH($A14,OUT!$A$8:$A$73,0)),"")</f>
        <v/>
      </c>
      <c r="AA14" s="174">
        <f>IFERROR(INDEX(NOV!$BG$8:$BG$73,MATCH($A14,NOV!$A$8:$A$73,0)),"")</f>
        <v/>
      </c>
      <c r="AB14" s="174">
        <f>IFERROR(INDEX(DEZ!$BG$8:$BG$73,MATCH($A14,DEZ!$A$8:$A$73,0)),"")</f>
        <v/>
      </c>
      <c r="AC14" s="175">
        <f>SUM(Q14:AB14)</f>
        <v/>
      </c>
      <c r="AD14" s="39" t="n"/>
      <c r="AE14" s="174">
        <f>IFERROR(INDEX(JAN!$BH$8:$BH$73,MATCH($A14,JAN!$A$8:$A$73,0)),"")</f>
        <v/>
      </c>
      <c r="AF14" s="174">
        <f>IFERROR(INDEX(FEV!$BH$8:$BH$73,MATCH($A14,FEV!$A$8:$A$73,0)),"")</f>
        <v/>
      </c>
      <c r="AG14" s="174">
        <f>IFERROR(INDEX(MAR!$BH$8:$BH$73,MATCH($A14,MAR!$A$8:$A$73,0)),"")</f>
        <v/>
      </c>
      <c r="AH14" s="174">
        <f>IFERROR(INDEX(ABR!$BH$8:$BH$73,MATCH($A14,ABR!$A$8:$A$73,0)),"")</f>
        <v/>
      </c>
      <c r="AI14" s="174">
        <f>IFERROR(INDEX(MAI!$BH$8:$BH$73,MATCH($A14,MAI!$A$8:$A$73,0)),"")</f>
        <v/>
      </c>
      <c r="AJ14" s="174">
        <f>IFERROR(INDEX(JUN!$BH$8:$BH$73,MATCH($A14,JUN!$A$8:$A$73,0)),"")</f>
        <v/>
      </c>
      <c r="AK14" s="174">
        <f>IFERROR(INDEX(JUL!$BH$8:$BH$73,MATCH($A14,JUL!$A$8:$A$73,0)),"")</f>
        <v/>
      </c>
      <c r="AL14" s="174">
        <f>IFERROR(INDEX(AGO!$BH$8:$BH$73,MATCH($A14,AGO!$A$8:$A$73,0)),"")</f>
        <v/>
      </c>
      <c r="AM14" s="174">
        <f>IFERROR(INDEX(SET!$BH$8:$BH$73,MATCH($A14,SET!$A$8:$A$73,0)),"")</f>
        <v/>
      </c>
      <c r="AN14" s="174">
        <f>IFERROR(INDEX(OUT!$BH$8:$BH$73,MATCH($A14,OUT!$A$8:$A$73,0)),"")</f>
        <v/>
      </c>
      <c r="AO14" s="174">
        <f>IFERROR(INDEX(NOV!$BH$8:$BH$73,MATCH($A14,NOV!$A$8:$A$73,0)),"")</f>
        <v/>
      </c>
      <c r="AP14" s="174">
        <f>IFERROR(INDEX(DEZ!$BH$8:$BH$73,MATCH($A14,DEZ!$A$8:$A$73,0)),"")</f>
        <v/>
      </c>
      <c r="AQ14" s="175">
        <f>SUM(AE14:AP14)</f>
        <v/>
      </c>
      <c r="AR14" s="39" t="n"/>
      <c r="AS14" s="174">
        <f>IFERROR(INDEX(JAN!$BI$8:$BI$73,MATCH($A14,JAN!$A$8:$A$73,0)),"")</f>
        <v/>
      </c>
      <c r="AT14" s="174">
        <f>IFERROR(INDEX(FEV!$BI$8:$BI$73,MATCH($A14,FEV!$A$8:$A$73,0)),"")</f>
        <v/>
      </c>
      <c r="AU14" s="174">
        <f>IFERROR(INDEX(MAR!$BI$8:$BI$73,MATCH($A14,MAR!$A$8:$A$73,0)),"")</f>
        <v/>
      </c>
      <c r="AV14" s="174">
        <f>IFERROR(INDEX(ABR!$BI$8:$BI$73,MATCH($A14,ABR!$A$8:$A$73,0)),"")</f>
        <v/>
      </c>
      <c r="AW14" s="174">
        <f>IFERROR(INDEX(MAI!$BI$8:$BI$73,MATCH($A14,MAI!$A$8:$A$73,0)),"")</f>
        <v/>
      </c>
      <c r="AX14" s="174">
        <f>IFERROR(INDEX(JUN!$BI$8:$BI$73,MATCH($A14,JUN!$A$8:$A$73,0)),"")</f>
        <v/>
      </c>
      <c r="AY14" s="174">
        <f>IFERROR(INDEX(JUL!$BI$8:$BI$73,MATCH($A14,JUL!$A$8:$A$73,0)),"")</f>
        <v/>
      </c>
      <c r="AZ14" s="174">
        <f>IFERROR(INDEX(AGO!$BI$8:$BI$73,MATCH($A14,AGO!$A$8:$A$73,0)),"")</f>
        <v/>
      </c>
      <c r="BA14" s="174">
        <f>IFERROR(INDEX(SET!$BI$8:$BI$73,MATCH($A14,SET!$A$8:$A$73,0)),"")</f>
        <v/>
      </c>
      <c r="BB14" s="174">
        <f>IFERROR(INDEX(OUT!$BI$8:$BI$73,MATCH($A14,OUT!$A$8:$A$73,0)),"")</f>
        <v/>
      </c>
      <c r="BC14" s="174">
        <f>IFERROR(INDEX(NOV!$BI$8:$BI$73,MATCH($A14,NOV!$A$8:$A$73,0)),"")</f>
        <v/>
      </c>
      <c r="BD14" s="174">
        <f>IFERROR(INDEX(DEZ!$BI$8:$BI$73,MATCH($A14,DEZ!$A$8:$A$73,0)),"")</f>
        <v/>
      </c>
      <c r="BE14" s="175">
        <f>SUM(AS14:BD14)</f>
        <v/>
      </c>
      <c r="BF14" s="39" t="n"/>
      <c r="BG14" s="107" t="n">
        <v>3</v>
      </c>
      <c r="BH14" s="133">
        <f>SUM(AE14:AP14)</f>
        <v/>
      </c>
      <c r="BI14" s="176">
        <f>IF(BG14="","",IF(BG14=BH14,"","⚠"))</f>
        <v/>
      </c>
      <c r="BJ14" s="39" t="n"/>
      <c r="BK14" s="39" t="n"/>
    </row>
    <row r="15">
      <c r="A15" s="89" t="inlineStr">
        <is>
          <t>Murilo</t>
        </is>
      </c>
      <c r="B15" s="173">
        <f>CADASTRO!$C11</f>
        <v/>
      </c>
      <c r="C15" s="174">
        <f>IFERROR(INDEX(JAN!$BK$8:$BK$73,MATCH($A15,JAN!$A$8:$A$73,0)),"")</f>
        <v/>
      </c>
      <c r="D15" s="174">
        <f>IFERROR(INDEX(FEV!$BK$8:$BK$73,MATCH($A15,FEV!$A$8:$A$73,0)),"")</f>
        <v/>
      </c>
      <c r="E15" s="174">
        <f>IFERROR(INDEX(MAR!$BK$8:$BK$73,MATCH($A15,MAR!$A$8:$A$73,0)),"")</f>
        <v/>
      </c>
      <c r="F15" s="174">
        <f>IFERROR(INDEX(ABR!$BK$8:$BK$73,MATCH($A15,ABR!$A$8:$A$73,0)),"")</f>
        <v/>
      </c>
      <c r="G15" s="174">
        <f>IFERROR(INDEX(MAI!$BK$8:$BK$73,MATCH($A15,MAI!$A$8:$A$73,0)),"")</f>
        <v/>
      </c>
      <c r="H15" s="174">
        <f>IFERROR(INDEX(JUN!$BK$8:$BK$73,MATCH($A15,JUN!$A$8:$A$73,0)),"")</f>
        <v/>
      </c>
      <c r="I15" s="174">
        <f>IFERROR(INDEX(JUL!$BK$8:$BK$73,MATCH($A15,JUL!$A$8:$A$73,0)),"")</f>
        <v/>
      </c>
      <c r="J15" s="174">
        <f>IFERROR(INDEX(AGO!$BK$8:$BK$73,MATCH($A15,AGO!$A$8:$A$73,0)),"")</f>
        <v/>
      </c>
      <c r="K15" s="174">
        <f>IFERROR(INDEX(SET!$BK$8:$BK$73,MATCH($A15,SET!$A$8:$A$73,0)),"")</f>
        <v/>
      </c>
      <c r="L15" s="174">
        <f>IFERROR(INDEX(OUT!$BK$8:$BK$73,MATCH($A15,OUT!$A$8:$A$73,0)),"")</f>
        <v/>
      </c>
      <c r="M15" s="174">
        <f>IFERROR(INDEX(NOV!$BK$8:$BK$73,MATCH($A15,NOV!$A$8:$A$73,0)),"")</f>
        <v/>
      </c>
      <c r="N15" s="174">
        <f>IFERROR(INDEX(DEZ!$BK$8:$BK$73,MATCH($A15,DEZ!$A$8:$A$73,0)),"")</f>
        <v/>
      </c>
      <c r="O15" s="175">
        <f>SUM(C15:N15)</f>
        <v/>
      </c>
      <c r="P15" s="39" t="n"/>
      <c r="Q15" s="174">
        <f>IFERROR(INDEX(JAN!$BG$8:$BG$73,MATCH($A15,JAN!$A$8:$A$73,0)),"")</f>
        <v/>
      </c>
      <c r="R15" s="174">
        <f>IFERROR(INDEX(FEV!$BG$8:$BG$73,MATCH($A15,FEV!$A$8:$A$73,0)),"")</f>
        <v/>
      </c>
      <c r="S15" s="174">
        <f>IFERROR(INDEX(MAR!$BG$8:$BG$73,MATCH($A15,MAR!$A$8:$A$73,0)),"")</f>
        <v/>
      </c>
      <c r="T15" s="174">
        <f>IFERROR(INDEX(ABR!$BG$8:$BG$73,MATCH($A15,ABR!$A$8:$A$73,0)),"")</f>
        <v/>
      </c>
      <c r="U15" s="174">
        <f>IFERROR(INDEX(MAI!$BG$8:$BG$73,MATCH($A15,MAI!$A$8:$A$73,0)),"")</f>
        <v/>
      </c>
      <c r="V15" s="174">
        <f>IFERROR(INDEX(JUN!$BG$8:$BG$73,MATCH($A15,JUN!$A$8:$A$73,0)),"")</f>
        <v/>
      </c>
      <c r="W15" s="174">
        <f>IFERROR(INDEX(JUL!$BG$8:$BG$73,MATCH($A15,JUL!$A$8:$A$73,0)),"")</f>
        <v/>
      </c>
      <c r="X15" s="174">
        <f>IFERROR(INDEX(AGO!$BG$8:$BG$73,MATCH($A15,AGO!$A$8:$A$73,0)),"")</f>
        <v/>
      </c>
      <c r="Y15" s="174">
        <f>IFERROR(INDEX(SET!$BG$8:$BG$73,MATCH($A15,SET!$A$8:$A$73,0)),"")</f>
        <v/>
      </c>
      <c r="Z15" s="174">
        <f>IFERROR(INDEX(OUT!$BG$8:$BG$73,MATCH($A15,OUT!$A$8:$A$73,0)),"")</f>
        <v/>
      </c>
      <c r="AA15" s="174">
        <f>IFERROR(INDEX(NOV!$BG$8:$BG$73,MATCH($A15,NOV!$A$8:$A$73,0)),"")</f>
        <v/>
      </c>
      <c r="AB15" s="174">
        <f>IFERROR(INDEX(DEZ!$BG$8:$BG$73,MATCH($A15,DEZ!$A$8:$A$73,0)),"")</f>
        <v/>
      </c>
      <c r="AC15" s="175">
        <f>SUM(Q15:AB15)</f>
        <v/>
      </c>
      <c r="AD15" s="39" t="n"/>
      <c r="AE15" s="174">
        <f>IFERROR(INDEX(JAN!$BH$8:$BH$73,MATCH($A15,JAN!$A$8:$A$73,0)),"")</f>
        <v/>
      </c>
      <c r="AF15" s="174">
        <f>IFERROR(INDEX(FEV!$BH$8:$BH$73,MATCH($A15,FEV!$A$8:$A$73,0)),"")</f>
        <v/>
      </c>
      <c r="AG15" s="174">
        <f>IFERROR(INDEX(MAR!$BH$8:$BH$73,MATCH($A15,MAR!$A$8:$A$73,0)),"")</f>
        <v/>
      </c>
      <c r="AH15" s="174">
        <f>IFERROR(INDEX(ABR!$BH$8:$BH$73,MATCH($A15,ABR!$A$8:$A$73,0)),"")</f>
        <v/>
      </c>
      <c r="AI15" s="174">
        <f>IFERROR(INDEX(MAI!$BH$8:$BH$73,MATCH($A15,MAI!$A$8:$A$73,0)),"")</f>
        <v/>
      </c>
      <c r="AJ15" s="174">
        <f>IFERROR(INDEX(JUN!$BH$8:$BH$73,MATCH($A15,JUN!$A$8:$A$73,0)),"")</f>
        <v/>
      </c>
      <c r="AK15" s="174">
        <f>IFERROR(INDEX(JUL!$BH$8:$BH$73,MATCH($A15,JUL!$A$8:$A$73,0)),"")</f>
        <v/>
      </c>
      <c r="AL15" s="174">
        <f>IFERROR(INDEX(AGO!$BH$8:$BH$73,MATCH($A15,AGO!$A$8:$A$73,0)),"")</f>
        <v/>
      </c>
      <c r="AM15" s="174">
        <f>IFERROR(INDEX(SET!$BH$8:$BH$73,MATCH($A15,SET!$A$8:$A$73,0)),"")</f>
        <v/>
      </c>
      <c r="AN15" s="174">
        <f>IFERROR(INDEX(OUT!$BH$8:$BH$73,MATCH($A15,OUT!$A$8:$A$73,0)),"")</f>
        <v/>
      </c>
      <c r="AO15" s="174">
        <f>IFERROR(INDEX(NOV!$BH$8:$BH$73,MATCH($A15,NOV!$A$8:$A$73,0)),"")</f>
        <v/>
      </c>
      <c r="AP15" s="174">
        <f>IFERROR(INDEX(DEZ!$BH$8:$BH$73,MATCH($A15,DEZ!$A$8:$A$73,0)),"")</f>
        <v/>
      </c>
      <c r="AQ15" s="175">
        <f>SUM(AE15:AP15)</f>
        <v/>
      </c>
      <c r="AR15" s="39" t="n"/>
      <c r="AS15" s="174">
        <f>IFERROR(INDEX(JAN!$BI$8:$BI$73,MATCH($A15,JAN!$A$8:$A$73,0)),"")</f>
        <v/>
      </c>
      <c r="AT15" s="174">
        <f>IFERROR(INDEX(FEV!$BI$8:$BI$73,MATCH($A15,FEV!$A$8:$A$73,0)),"")</f>
        <v/>
      </c>
      <c r="AU15" s="174">
        <f>IFERROR(INDEX(MAR!$BI$8:$BI$73,MATCH($A15,MAR!$A$8:$A$73,0)),"")</f>
        <v/>
      </c>
      <c r="AV15" s="174">
        <f>IFERROR(INDEX(ABR!$BI$8:$BI$73,MATCH($A15,ABR!$A$8:$A$73,0)),"")</f>
        <v/>
      </c>
      <c r="AW15" s="174">
        <f>IFERROR(INDEX(MAI!$BI$8:$BI$73,MATCH($A15,MAI!$A$8:$A$73,0)),"")</f>
        <v/>
      </c>
      <c r="AX15" s="174">
        <f>IFERROR(INDEX(JUN!$BI$8:$BI$73,MATCH($A15,JUN!$A$8:$A$73,0)),"")</f>
        <v/>
      </c>
      <c r="AY15" s="174">
        <f>IFERROR(INDEX(JUL!$BI$8:$BI$73,MATCH($A15,JUL!$A$8:$A$73,0)),"")</f>
        <v/>
      </c>
      <c r="AZ15" s="174">
        <f>IFERROR(INDEX(AGO!$BI$8:$BI$73,MATCH($A15,AGO!$A$8:$A$73,0)),"")</f>
        <v/>
      </c>
      <c r="BA15" s="174">
        <f>IFERROR(INDEX(SET!$BI$8:$BI$73,MATCH($A15,SET!$A$8:$A$73,0)),"")</f>
        <v/>
      </c>
      <c r="BB15" s="174">
        <f>IFERROR(INDEX(OUT!$BI$8:$BI$73,MATCH($A15,OUT!$A$8:$A$73,0)),"")</f>
        <v/>
      </c>
      <c r="BC15" s="174">
        <f>IFERROR(INDEX(NOV!$BI$8:$BI$73,MATCH($A15,NOV!$A$8:$A$73,0)),"")</f>
        <v/>
      </c>
      <c r="BD15" s="174">
        <f>IFERROR(INDEX(DEZ!$BI$8:$BI$73,MATCH($A15,DEZ!$A$8:$A$73,0)),"")</f>
        <v/>
      </c>
      <c r="BE15" s="175">
        <f>SUM(AS15:BD15)</f>
        <v/>
      </c>
      <c r="BF15" s="39" t="n"/>
      <c r="BG15" s="107" t="n">
        <v>0</v>
      </c>
      <c r="BH15" s="133">
        <f>SUM(AE15:AP15)</f>
        <v/>
      </c>
      <c r="BI15" s="176">
        <f>IF(BG15="","",IF(BG15=BH15,"","⚠"))</f>
        <v/>
      </c>
      <c r="BJ15" s="39" t="n"/>
      <c r="BK15" s="39" t="n"/>
    </row>
    <row r="16">
      <c r="A16" s="89" t="inlineStr">
        <is>
          <t>Janaina</t>
        </is>
      </c>
      <c r="B16" s="173">
        <f>CADASTRO!$C12</f>
        <v/>
      </c>
      <c r="C16" s="174">
        <f>IFERROR(INDEX(JAN!$BK$8:$BK$73,MATCH($A16,JAN!$A$8:$A$73,0)),"")</f>
        <v/>
      </c>
      <c r="D16" s="174">
        <f>IFERROR(INDEX(FEV!$BK$8:$BK$73,MATCH($A16,FEV!$A$8:$A$73,0)),"")</f>
        <v/>
      </c>
      <c r="E16" s="174">
        <f>IFERROR(INDEX(MAR!$BK$8:$BK$73,MATCH($A16,MAR!$A$8:$A$73,0)),"")</f>
        <v/>
      </c>
      <c r="F16" s="174">
        <f>IFERROR(INDEX(ABR!$BK$8:$BK$73,MATCH($A16,ABR!$A$8:$A$73,0)),"")</f>
        <v/>
      </c>
      <c r="G16" s="174">
        <f>IFERROR(INDEX(MAI!$BK$8:$BK$73,MATCH($A16,MAI!$A$8:$A$73,0)),"")</f>
        <v/>
      </c>
      <c r="H16" s="174">
        <f>IFERROR(INDEX(JUN!$BK$8:$BK$73,MATCH($A16,JUN!$A$8:$A$73,0)),"")</f>
        <v/>
      </c>
      <c r="I16" s="174">
        <f>IFERROR(INDEX(JUL!$BK$8:$BK$73,MATCH($A16,JUL!$A$8:$A$73,0)),"")</f>
        <v/>
      </c>
      <c r="J16" s="174">
        <f>IFERROR(INDEX(AGO!$BK$8:$BK$73,MATCH($A16,AGO!$A$8:$A$73,0)),"")</f>
        <v/>
      </c>
      <c r="K16" s="174">
        <f>IFERROR(INDEX(SET!$BK$8:$BK$73,MATCH($A16,SET!$A$8:$A$73,0)),"")</f>
        <v/>
      </c>
      <c r="L16" s="174">
        <f>IFERROR(INDEX(OUT!$BK$8:$BK$73,MATCH($A16,OUT!$A$8:$A$73,0)),"")</f>
        <v/>
      </c>
      <c r="M16" s="174">
        <f>IFERROR(INDEX(NOV!$BK$8:$BK$73,MATCH($A16,NOV!$A$8:$A$73,0)),"")</f>
        <v/>
      </c>
      <c r="N16" s="174">
        <f>IFERROR(INDEX(DEZ!$BK$8:$BK$73,MATCH($A16,DEZ!$A$8:$A$73,0)),"")</f>
        <v/>
      </c>
      <c r="O16" s="175">
        <f>SUM(C16:N16)</f>
        <v/>
      </c>
      <c r="P16" s="39" t="n"/>
      <c r="Q16" s="174">
        <f>IFERROR(INDEX(JAN!$BG$8:$BG$73,MATCH($A16,JAN!$A$8:$A$73,0)),"")</f>
        <v/>
      </c>
      <c r="R16" s="174">
        <f>IFERROR(INDEX(FEV!$BG$8:$BG$73,MATCH($A16,FEV!$A$8:$A$73,0)),"")</f>
        <v/>
      </c>
      <c r="S16" s="174">
        <f>IFERROR(INDEX(MAR!$BG$8:$BG$73,MATCH($A16,MAR!$A$8:$A$73,0)),"")</f>
        <v/>
      </c>
      <c r="T16" s="174">
        <f>IFERROR(INDEX(ABR!$BG$8:$BG$73,MATCH($A16,ABR!$A$8:$A$73,0)),"")</f>
        <v/>
      </c>
      <c r="U16" s="174">
        <f>IFERROR(INDEX(MAI!$BG$8:$BG$73,MATCH($A16,MAI!$A$8:$A$73,0)),"")</f>
        <v/>
      </c>
      <c r="V16" s="174">
        <f>IFERROR(INDEX(JUN!$BG$8:$BG$73,MATCH($A16,JUN!$A$8:$A$73,0)),"")</f>
        <v/>
      </c>
      <c r="W16" s="174">
        <f>IFERROR(INDEX(JUL!$BG$8:$BG$73,MATCH($A16,JUL!$A$8:$A$73,0)),"")</f>
        <v/>
      </c>
      <c r="X16" s="174">
        <f>IFERROR(INDEX(AGO!$BG$8:$BG$73,MATCH($A16,AGO!$A$8:$A$73,0)),"")</f>
        <v/>
      </c>
      <c r="Y16" s="174">
        <f>IFERROR(INDEX(SET!$BG$8:$BG$73,MATCH($A16,SET!$A$8:$A$73,0)),"")</f>
        <v/>
      </c>
      <c r="Z16" s="174">
        <f>IFERROR(INDEX(OUT!$BG$8:$BG$73,MATCH($A16,OUT!$A$8:$A$73,0)),"")</f>
        <v/>
      </c>
      <c r="AA16" s="174">
        <f>IFERROR(INDEX(NOV!$BG$8:$BG$73,MATCH($A16,NOV!$A$8:$A$73,0)),"")</f>
        <v/>
      </c>
      <c r="AB16" s="174">
        <f>IFERROR(INDEX(DEZ!$BG$8:$BG$73,MATCH($A16,DEZ!$A$8:$A$73,0)),"")</f>
        <v/>
      </c>
      <c r="AC16" s="175">
        <f>SUM(Q16:AB16)</f>
        <v/>
      </c>
      <c r="AD16" s="39" t="n"/>
      <c r="AE16" s="174">
        <f>IFERROR(INDEX(JAN!$BH$8:$BH$73,MATCH($A16,JAN!$A$8:$A$73,0)),"")</f>
        <v/>
      </c>
      <c r="AF16" s="174">
        <f>IFERROR(INDEX(FEV!$BH$8:$BH$73,MATCH($A16,FEV!$A$8:$A$73,0)),"")</f>
        <v/>
      </c>
      <c r="AG16" s="174">
        <f>IFERROR(INDEX(MAR!$BH$8:$BH$73,MATCH($A16,MAR!$A$8:$A$73,0)),"")</f>
        <v/>
      </c>
      <c r="AH16" s="174">
        <f>IFERROR(INDEX(ABR!$BH$8:$BH$73,MATCH($A16,ABR!$A$8:$A$73,0)),"")</f>
        <v/>
      </c>
      <c r="AI16" s="174">
        <f>IFERROR(INDEX(MAI!$BH$8:$BH$73,MATCH($A16,MAI!$A$8:$A$73,0)),"")</f>
        <v/>
      </c>
      <c r="AJ16" s="174">
        <f>IFERROR(INDEX(JUN!$BH$8:$BH$73,MATCH($A16,JUN!$A$8:$A$73,0)),"")</f>
        <v/>
      </c>
      <c r="AK16" s="174">
        <f>IFERROR(INDEX(JUL!$BH$8:$BH$73,MATCH($A16,JUL!$A$8:$A$73,0)),"")</f>
        <v/>
      </c>
      <c r="AL16" s="174">
        <f>IFERROR(INDEX(AGO!$BH$8:$BH$73,MATCH($A16,AGO!$A$8:$A$73,0)),"")</f>
        <v/>
      </c>
      <c r="AM16" s="174">
        <f>IFERROR(INDEX(SET!$BH$8:$BH$73,MATCH($A16,SET!$A$8:$A$73,0)),"")</f>
        <v/>
      </c>
      <c r="AN16" s="174">
        <f>IFERROR(INDEX(OUT!$BH$8:$BH$73,MATCH($A16,OUT!$A$8:$A$73,0)),"")</f>
        <v/>
      </c>
      <c r="AO16" s="174">
        <f>IFERROR(INDEX(NOV!$BH$8:$BH$73,MATCH($A16,NOV!$A$8:$A$73,0)),"")</f>
        <v/>
      </c>
      <c r="AP16" s="174">
        <f>IFERROR(INDEX(DEZ!$BH$8:$BH$73,MATCH($A16,DEZ!$A$8:$A$73,0)),"")</f>
        <v/>
      </c>
      <c r="AQ16" s="175">
        <f>SUM(AE16:AP16)</f>
        <v/>
      </c>
      <c r="AR16" s="39" t="n"/>
      <c r="AS16" s="174">
        <f>IFERROR(INDEX(JAN!$BI$8:$BI$73,MATCH($A16,JAN!$A$8:$A$73,0)),"")</f>
        <v/>
      </c>
      <c r="AT16" s="174">
        <f>IFERROR(INDEX(FEV!$BI$8:$BI$73,MATCH($A16,FEV!$A$8:$A$73,0)),"")</f>
        <v/>
      </c>
      <c r="AU16" s="174">
        <f>IFERROR(INDEX(MAR!$BI$8:$BI$73,MATCH($A16,MAR!$A$8:$A$73,0)),"")</f>
        <v/>
      </c>
      <c r="AV16" s="174">
        <f>IFERROR(INDEX(ABR!$BI$8:$BI$73,MATCH($A16,ABR!$A$8:$A$73,0)),"")</f>
        <v/>
      </c>
      <c r="AW16" s="174">
        <f>IFERROR(INDEX(MAI!$BI$8:$BI$73,MATCH($A16,MAI!$A$8:$A$73,0)),"")</f>
        <v/>
      </c>
      <c r="AX16" s="174">
        <f>IFERROR(INDEX(JUN!$BI$8:$BI$73,MATCH($A16,JUN!$A$8:$A$73,0)),"")</f>
        <v/>
      </c>
      <c r="AY16" s="174">
        <f>IFERROR(INDEX(JUL!$BI$8:$BI$73,MATCH($A16,JUL!$A$8:$A$73,0)),"")</f>
        <v/>
      </c>
      <c r="AZ16" s="174">
        <f>IFERROR(INDEX(AGO!$BI$8:$BI$73,MATCH($A16,AGO!$A$8:$A$73,0)),"")</f>
        <v/>
      </c>
      <c r="BA16" s="174">
        <f>IFERROR(INDEX(SET!$BI$8:$BI$73,MATCH($A16,SET!$A$8:$A$73,0)),"")</f>
        <v/>
      </c>
      <c r="BB16" s="174">
        <f>IFERROR(INDEX(OUT!$BI$8:$BI$73,MATCH($A16,OUT!$A$8:$A$73,0)),"")</f>
        <v/>
      </c>
      <c r="BC16" s="174">
        <f>IFERROR(INDEX(NOV!$BI$8:$BI$73,MATCH($A16,NOV!$A$8:$A$73,0)),"")</f>
        <v/>
      </c>
      <c r="BD16" s="174">
        <f>IFERROR(INDEX(DEZ!$BI$8:$BI$73,MATCH($A16,DEZ!$A$8:$A$73,0)),"")</f>
        <v/>
      </c>
      <c r="BE16" s="175">
        <f>SUM(AS16:BD16)</f>
        <v/>
      </c>
      <c r="BF16" s="39" t="n"/>
      <c r="BG16" s="107" t="n">
        <v>0</v>
      </c>
      <c r="BH16" s="133">
        <f>SUM(AE16:AP16)</f>
        <v/>
      </c>
      <c r="BI16" s="176">
        <f>IF(BG16="","",IF(BG16=BH16,"","⚠"))</f>
        <v/>
      </c>
      <c r="BJ16" s="39" t="n"/>
      <c r="BK16" s="39" t="n"/>
    </row>
    <row r="17">
      <c r="A17" s="89" t="inlineStr">
        <is>
          <t>Aline</t>
        </is>
      </c>
      <c r="B17" s="173">
        <f>CADASTRO!$C13</f>
        <v/>
      </c>
      <c r="C17" s="174">
        <f>IFERROR(INDEX(JAN!$BK$8:$BK$73,MATCH($A17,JAN!$A$8:$A$73,0)),"")</f>
        <v/>
      </c>
      <c r="D17" s="174">
        <f>IFERROR(INDEX(FEV!$BK$8:$BK$73,MATCH($A17,FEV!$A$8:$A$73,0)),"")</f>
        <v/>
      </c>
      <c r="E17" s="174">
        <f>IFERROR(INDEX(MAR!$BK$8:$BK$73,MATCH($A17,MAR!$A$8:$A$73,0)),"")</f>
        <v/>
      </c>
      <c r="F17" s="174">
        <f>IFERROR(INDEX(ABR!$BK$8:$BK$73,MATCH($A17,ABR!$A$8:$A$73,0)),"")</f>
        <v/>
      </c>
      <c r="G17" s="174">
        <f>IFERROR(INDEX(MAI!$BK$8:$BK$73,MATCH($A17,MAI!$A$8:$A$73,0)),"")</f>
        <v/>
      </c>
      <c r="H17" s="174">
        <f>IFERROR(INDEX(JUN!$BK$8:$BK$73,MATCH($A17,JUN!$A$8:$A$73,0)),"")</f>
        <v/>
      </c>
      <c r="I17" s="174">
        <f>IFERROR(INDEX(JUL!$BK$8:$BK$73,MATCH($A17,JUL!$A$8:$A$73,0)),"")</f>
        <v/>
      </c>
      <c r="J17" s="174">
        <f>IFERROR(INDEX(AGO!$BK$8:$BK$73,MATCH($A17,AGO!$A$8:$A$73,0)),"")</f>
        <v/>
      </c>
      <c r="K17" s="174">
        <f>IFERROR(INDEX(SET!$BK$8:$BK$73,MATCH($A17,SET!$A$8:$A$73,0)),"")</f>
        <v/>
      </c>
      <c r="L17" s="174">
        <f>IFERROR(INDEX(OUT!$BK$8:$BK$73,MATCH($A17,OUT!$A$8:$A$73,0)),"")</f>
        <v/>
      </c>
      <c r="M17" s="174">
        <f>IFERROR(INDEX(NOV!$BK$8:$BK$73,MATCH($A17,NOV!$A$8:$A$73,0)),"")</f>
        <v/>
      </c>
      <c r="N17" s="174">
        <f>IFERROR(INDEX(DEZ!$BK$8:$BK$73,MATCH($A17,DEZ!$A$8:$A$73,0)),"")</f>
        <v/>
      </c>
      <c r="O17" s="175">
        <f>SUM(C17:N17)</f>
        <v/>
      </c>
      <c r="P17" s="39" t="n"/>
      <c r="Q17" s="174">
        <f>IFERROR(INDEX(JAN!$BG$8:$BG$73,MATCH($A17,JAN!$A$8:$A$73,0)),"")</f>
        <v/>
      </c>
      <c r="R17" s="174">
        <f>IFERROR(INDEX(FEV!$BG$8:$BG$73,MATCH($A17,FEV!$A$8:$A$73,0)),"")</f>
        <v/>
      </c>
      <c r="S17" s="174">
        <f>IFERROR(INDEX(MAR!$BG$8:$BG$73,MATCH($A17,MAR!$A$8:$A$73,0)),"")</f>
        <v/>
      </c>
      <c r="T17" s="174">
        <f>IFERROR(INDEX(ABR!$BG$8:$BG$73,MATCH($A17,ABR!$A$8:$A$73,0)),"")</f>
        <v/>
      </c>
      <c r="U17" s="174">
        <f>IFERROR(INDEX(MAI!$BG$8:$BG$73,MATCH($A17,MAI!$A$8:$A$73,0)),"")</f>
        <v/>
      </c>
      <c r="V17" s="174">
        <f>IFERROR(INDEX(JUN!$BG$8:$BG$73,MATCH($A17,JUN!$A$8:$A$73,0)),"")</f>
        <v/>
      </c>
      <c r="W17" s="174">
        <f>IFERROR(INDEX(JUL!$BG$8:$BG$73,MATCH($A17,JUL!$A$8:$A$73,0)),"")</f>
        <v/>
      </c>
      <c r="X17" s="174">
        <f>IFERROR(INDEX(AGO!$BG$8:$BG$73,MATCH($A17,AGO!$A$8:$A$73,0)),"")</f>
        <v/>
      </c>
      <c r="Y17" s="174">
        <f>IFERROR(INDEX(SET!$BG$8:$BG$73,MATCH($A17,SET!$A$8:$A$73,0)),"")</f>
        <v/>
      </c>
      <c r="Z17" s="174">
        <f>IFERROR(INDEX(OUT!$BG$8:$BG$73,MATCH($A17,OUT!$A$8:$A$73,0)),"")</f>
        <v/>
      </c>
      <c r="AA17" s="174">
        <f>IFERROR(INDEX(NOV!$BG$8:$BG$73,MATCH($A17,NOV!$A$8:$A$73,0)),"")</f>
        <v/>
      </c>
      <c r="AB17" s="174">
        <f>IFERROR(INDEX(DEZ!$BG$8:$BG$73,MATCH($A17,DEZ!$A$8:$A$73,0)),"")</f>
        <v/>
      </c>
      <c r="AC17" s="175">
        <f>SUM(Q17:AB17)</f>
        <v/>
      </c>
      <c r="AD17" s="39" t="n"/>
      <c r="AE17" s="174">
        <f>IFERROR(INDEX(JAN!$BH$8:$BH$73,MATCH($A17,JAN!$A$8:$A$73,0)),"")</f>
        <v/>
      </c>
      <c r="AF17" s="174">
        <f>IFERROR(INDEX(FEV!$BH$8:$BH$73,MATCH($A17,FEV!$A$8:$A$73,0)),"")</f>
        <v/>
      </c>
      <c r="AG17" s="174">
        <f>IFERROR(INDEX(MAR!$BH$8:$BH$73,MATCH($A17,MAR!$A$8:$A$73,0)),"")</f>
        <v/>
      </c>
      <c r="AH17" s="174">
        <f>IFERROR(INDEX(ABR!$BH$8:$BH$73,MATCH($A17,ABR!$A$8:$A$73,0)),"")</f>
        <v/>
      </c>
      <c r="AI17" s="174">
        <f>IFERROR(INDEX(MAI!$BH$8:$BH$73,MATCH($A17,MAI!$A$8:$A$73,0)),"")</f>
        <v/>
      </c>
      <c r="AJ17" s="174">
        <f>IFERROR(INDEX(JUN!$BH$8:$BH$73,MATCH($A17,JUN!$A$8:$A$73,0)),"")</f>
        <v/>
      </c>
      <c r="AK17" s="174">
        <f>IFERROR(INDEX(JUL!$BH$8:$BH$73,MATCH($A17,JUL!$A$8:$A$73,0)),"")</f>
        <v/>
      </c>
      <c r="AL17" s="174">
        <f>IFERROR(INDEX(AGO!$BH$8:$BH$73,MATCH($A17,AGO!$A$8:$A$73,0)),"")</f>
        <v/>
      </c>
      <c r="AM17" s="174">
        <f>IFERROR(INDEX(SET!$BH$8:$BH$73,MATCH($A17,SET!$A$8:$A$73,0)),"")</f>
        <v/>
      </c>
      <c r="AN17" s="174">
        <f>IFERROR(INDEX(OUT!$BH$8:$BH$73,MATCH($A17,OUT!$A$8:$A$73,0)),"")</f>
        <v/>
      </c>
      <c r="AO17" s="174">
        <f>IFERROR(INDEX(NOV!$BH$8:$BH$73,MATCH($A17,NOV!$A$8:$A$73,0)),"")</f>
        <v/>
      </c>
      <c r="AP17" s="174">
        <f>IFERROR(INDEX(DEZ!$BH$8:$BH$73,MATCH($A17,DEZ!$A$8:$A$73,0)),"")</f>
        <v/>
      </c>
      <c r="AQ17" s="175">
        <f>SUM(AE17:AP17)</f>
        <v/>
      </c>
      <c r="AR17" s="39" t="n"/>
      <c r="AS17" s="174">
        <f>IFERROR(INDEX(JAN!$BI$8:$BI$73,MATCH($A17,JAN!$A$8:$A$73,0)),"")</f>
        <v/>
      </c>
      <c r="AT17" s="174">
        <f>IFERROR(INDEX(FEV!$BI$8:$BI$73,MATCH($A17,FEV!$A$8:$A$73,0)),"")</f>
        <v/>
      </c>
      <c r="AU17" s="174">
        <f>IFERROR(INDEX(MAR!$BI$8:$BI$73,MATCH($A17,MAR!$A$8:$A$73,0)),"")</f>
        <v/>
      </c>
      <c r="AV17" s="174">
        <f>IFERROR(INDEX(ABR!$BI$8:$BI$73,MATCH($A17,ABR!$A$8:$A$73,0)),"")</f>
        <v/>
      </c>
      <c r="AW17" s="174">
        <f>IFERROR(INDEX(MAI!$BI$8:$BI$73,MATCH($A17,MAI!$A$8:$A$73,0)),"")</f>
        <v/>
      </c>
      <c r="AX17" s="174">
        <f>IFERROR(INDEX(JUN!$BI$8:$BI$73,MATCH($A17,JUN!$A$8:$A$73,0)),"")</f>
        <v/>
      </c>
      <c r="AY17" s="174">
        <f>IFERROR(INDEX(JUL!$BI$8:$BI$73,MATCH($A17,JUL!$A$8:$A$73,0)),"")</f>
        <v/>
      </c>
      <c r="AZ17" s="174">
        <f>IFERROR(INDEX(AGO!$BI$8:$BI$73,MATCH($A17,AGO!$A$8:$A$73,0)),"")</f>
        <v/>
      </c>
      <c r="BA17" s="174">
        <f>IFERROR(INDEX(SET!$BI$8:$BI$73,MATCH($A17,SET!$A$8:$A$73,0)),"")</f>
        <v/>
      </c>
      <c r="BB17" s="174">
        <f>IFERROR(INDEX(OUT!$BI$8:$BI$73,MATCH($A17,OUT!$A$8:$A$73,0)),"")</f>
        <v/>
      </c>
      <c r="BC17" s="174">
        <f>IFERROR(INDEX(NOV!$BI$8:$BI$73,MATCH($A17,NOV!$A$8:$A$73,0)),"")</f>
        <v/>
      </c>
      <c r="BD17" s="174">
        <f>IFERROR(INDEX(DEZ!$BI$8:$BI$73,MATCH($A17,DEZ!$A$8:$A$73,0)),"")</f>
        <v/>
      </c>
      <c r="BE17" s="175">
        <f>SUM(AS17:BD17)</f>
        <v/>
      </c>
      <c r="BF17" s="39" t="n"/>
      <c r="BG17" s="107" t="n">
        <v>5</v>
      </c>
      <c r="BH17" s="133">
        <f>SUM(AE17:AP17)</f>
        <v/>
      </c>
      <c r="BI17" s="176">
        <f>IF(BG17="","",IF(BG17=BH17,"","⚠"))</f>
        <v/>
      </c>
      <c r="BJ17" s="39" t="n"/>
      <c r="BK17" s="39" t="n"/>
    </row>
    <row r="18">
      <c r="A18" s="89" t="inlineStr">
        <is>
          <t>CaAbreu</t>
        </is>
      </c>
      <c r="B18" s="173">
        <f>CADASTRO!$C14</f>
        <v/>
      </c>
      <c r="C18" s="174">
        <f>IFERROR(INDEX(JAN!$BK$8:$BK$73,MATCH($A18,JAN!$A$8:$A$73,0)),"")</f>
        <v/>
      </c>
      <c r="D18" s="174">
        <f>IFERROR(INDEX(FEV!$BK$8:$BK$73,MATCH($A18,FEV!$A$8:$A$73,0)),"")</f>
        <v/>
      </c>
      <c r="E18" s="174">
        <f>IFERROR(INDEX(MAR!$BK$8:$BK$73,MATCH($A18,MAR!$A$8:$A$73,0)),"")</f>
        <v/>
      </c>
      <c r="F18" s="174">
        <f>IFERROR(INDEX(ABR!$BK$8:$BK$73,MATCH($A18,ABR!$A$8:$A$73,0)),"")</f>
        <v/>
      </c>
      <c r="G18" s="174">
        <f>IFERROR(INDEX(MAI!$BK$8:$BK$73,MATCH($A18,MAI!$A$8:$A$73,0)),"")</f>
        <v/>
      </c>
      <c r="H18" s="174">
        <f>IFERROR(INDEX(JUN!$BK$8:$BK$73,MATCH($A18,JUN!$A$8:$A$73,0)),"")</f>
        <v/>
      </c>
      <c r="I18" s="174">
        <f>IFERROR(INDEX(JUL!$BK$8:$BK$73,MATCH($A18,JUL!$A$8:$A$73,0)),"")</f>
        <v/>
      </c>
      <c r="J18" s="174">
        <f>IFERROR(INDEX(AGO!$BK$8:$BK$73,MATCH($A18,AGO!$A$8:$A$73,0)),"")</f>
        <v/>
      </c>
      <c r="K18" s="174">
        <f>IFERROR(INDEX(SET!$BK$8:$BK$73,MATCH($A18,SET!$A$8:$A$73,0)),"")</f>
        <v/>
      </c>
      <c r="L18" s="174">
        <f>IFERROR(INDEX(OUT!$BK$8:$BK$73,MATCH($A18,OUT!$A$8:$A$73,0)),"")</f>
        <v/>
      </c>
      <c r="M18" s="174">
        <f>IFERROR(INDEX(NOV!$BK$8:$BK$73,MATCH($A18,NOV!$A$8:$A$73,0)),"")</f>
        <v/>
      </c>
      <c r="N18" s="174">
        <f>IFERROR(INDEX(DEZ!$BK$8:$BK$73,MATCH($A18,DEZ!$A$8:$A$73,0)),"")</f>
        <v/>
      </c>
      <c r="O18" s="175">
        <f>SUM(C18:N18)</f>
        <v/>
      </c>
      <c r="P18" s="39" t="n"/>
      <c r="Q18" s="174">
        <f>IFERROR(INDEX(JAN!$BG$8:$BG$73,MATCH($A18,JAN!$A$8:$A$73,0)),"")</f>
        <v/>
      </c>
      <c r="R18" s="174">
        <f>IFERROR(INDEX(FEV!$BG$8:$BG$73,MATCH($A18,FEV!$A$8:$A$73,0)),"")</f>
        <v/>
      </c>
      <c r="S18" s="174">
        <f>IFERROR(INDEX(MAR!$BG$8:$BG$73,MATCH($A18,MAR!$A$8:$A$73,0)),"")</f>
        <v/>
      </c>
      <c r="T18" s="174">
        <f>IFERROR(INDEX(ABR!$BG$8:$BG$73,MATCH($A18,ABR!$A$8:$A$73,0)),"")</f>
        <v/>
      </c>
      <c r="U18" s="174">
        <f>IFERROR(INDEX(MAI!$BG$8:$BG$73,MATCH($A18,MAI!$A$8:$A$73,0)),"")</f>
        <v/>
      </c>
      <c r="V18" s="174">
        <f>IFERROR(INDEX(JUN!$BG$8:$BG$73,MATCH($A18,JUN!$A$8:$A$73,0)),"")</f>
        <v/>
      </c>
      <c r="W18" s="174">
        <f>IFERROR(INDEX(JUL!$BG$8:$BG$73,MATCH($A18,JUL!$A$8:$A$73,0)),"")</f>
        <v/>
      </c>
      <c r="X18" s="174">
        <f>IFERROR(INDEX(AGO!$BG$8:$BG$73,MATCH($A18,AGO!$A$8:$A$73,0)),"")</f>
        <v/>
      </c>
      <c r="Y18" s="174">
        <f>IFERROR(INDEX(SET!$BG$8:$BG$73,MATCH($A18,SET!$A$8:$A$73,0)),"")</f>
        <v/>
      </c>
      <c r="Z18" s="174">
        <f>IFERROR(INDEX(OUT!$BG$8:$BG$73,MATCH($A18,OUT!$A$8:$A$73,0)),"")</f>
        <v/>
      </c>
      <c r="AA18" s="174">
        <f>IFERROR(INDEX(NOV!$BG$8:$BG$73,MATCH($A18,NOV!$A$8:$A$73,0)),"")</f>
        <v/>
      </c>
      <c r="AB18" s="174">
        <f>IFERROR(INDEX(DEZ!$BG$8:$BG$73,MATCH($A18,DEZ!$A$8:$A$73,0)),"")</f>
        <v/>
      </c>
      <c r="AC18" s="175">
        <f>SUM(Q18:AB18)</f>
        <v/>
      </c>
      <c r="AD18" s="39" t="n"/>
      <c r="AE18" s="174">
        <f>IFERROR(INDEX(JAN!$BH$8:$BH$73,MATCH($A18,JAN!$A$8:$A$73,0)),"")</f>
        <v/>
      </c>
      <c r="AF18" s="174">
        <f>IFERROR(INDEX(FEV!$BH$8:$BH$73,MATCH($A18,FEV!$A$8:$A$73,0)),"")</f>
        <v/>
      </c>
      <c r="AG18" s="174">
        <f>IFERROR(INDEX(MAR!$BH$8:$BH$73,MATCH($A18,MAR!$A$8:$A$73,0)),"")</f>
        <v/>
      </c>
      <c r="AH18" s="174">
        <f>IFERROR(INDEX(ABR!$BH$8:$BH$73,MATCH($A18,ABR!$A$8:$A$73,0)),"")</f>
        <v/>
      </c>
      <c r="AI18" s="174">
        <f>IFERROR(INDEX(MAI!$BH$8:$BH$73,MATCH($A18,MAI!$A$8:$A$73,0)),"")</f>
        <v/>
      </c>
      <c r="AJ18" s="174">
        <f>IFERROR(INDEX(JUN!$BH$8:$BH$73,MATCH($A18,JUN!$A$8:$A$73,0)),"")</f>
        <v/>
      </c>
      <c r="AK18" s="174">
        <f>IFERROR(INDEX(JUL!$BH$8:$BH$73,MATCH($A18,JUL!$A$8:$A$73,0)),"")</f>
        <v/>
      </c>
      <c r="AL18" s="174">
        <f>IFERROR(INDEX(AGO!$BH$8:$BH$73,MATCH($A18,AGO!$A$8:$A$73,0)),"")</f>
        <v/>
      </c>
      <c r="AM18" s="174">
        <f>IFERROR(INDEX(SET!$BH$8:$BH$73,MATCH($A18,SET!$A$8:$A$73,0)),"")</f>
        <v/>
      </c>
      <c r="AN18" s="174">
        <f>IFERROR(INDEX(OUT!$BH$8:$BH$73,MATCH($A18,OUT!$A$8:$A$73,0)),"")</f>
        <v/>
      </c>
      <c r="AO18" s="174">
        <f>IFERROR(INDEX(NOV!$BH$8:$BH$73,MATCH($A18,NOV!$A$8:$A$73,0)),"")</f>
        <v/>
      </c>
      <c r="AP18" s="174">
        <f>IFERROR(INDEX(DEZ!$BH$8:$BH$73,MATCH($A18,DEZ!$A$8:$A$73,0)),"")</f>
        <v/>
      </c>
      <c r="AQ18" s="175">
        <f>SUM(AE18:AP18)</f>
        <v/>
      </c>
      <c r="AR18" s="39" t="n"/>
      <c r="AS18" s="174">
        <f>IFERROR(INDEX(JAN!$BI$8:$BI$73,MATCH($A18,JAN!$A$8:$A$73,0)),"")</f>
        <v/>
      </c>
      <c r="AT18" s="174">
        <f>IFERROR(INDEX(FEV!$BI$8:$BI$73,MATCH($A18,FEV!$A$8:$A$73,0)),"")</f>
        <v/>
      </c>
      <c r="AU18" s="174">
        <f>IFERROR(INDEX(MAR!$BI$8:$BI$73,MATCH($A18,MAR!$A$8:$A$73,0)),"")</f>
        <v/>
      </c>
      <c r="AV18" s="174">
        <f>IFERROR(INDEX(ABR!$BI$8:$BI$73,MATCH($A18,ABR!$A$8:$A$73,0)),"")</f>
        <v/>
      </c>
      <c r="AW18" s="174">
        <f>IFERROR(INDEX(MAI!$BI$8:$BI$73,MATCH($A18,MAI!$A$8:$A$73,0)),"")</f>
        <v/>
      </c>
      <c r="AX18" s="174">
        <f>IFERROR(INDEX(JUN!$BI$8:$BI$73,MATCH($A18,JUN!$A$8:$A$73,0)),"")</f>
        <v/>
      </c>
      <c r="AY18" s="174">
        <f>IFERROR(INDEX(JUL!$BI$8:$BI$73,MATCH($A18,JUL!$A$8:$A$73,0)),"")</f>
        <v/>
      </c>
      <c r="AZ18" s="174">
        <f>IFERROR(INDEX(AGO!$BI$8:$BI$73,MATCH($A18,AGO!$A$8:$A$73,0)),"")</f>
        <v/>
      </c>
      <c r="BA18" s="174">
        <f>IFERROR(INDEX(SET!$BI$8:$BI$73,MATCH($A18,SET!$A$8:$A$73,0)),"")</f>
        <v/>
      </c>
      <c r="BB18" s="174">
        <f>IFERROR(INDEX(OUT!$BI$8:$BI$73,MATCH($A18,OUT!$A$8:$A$73,0)),"")</f>
        <v/>
      </c>
      <c r="BC18" s="174">
        <f>IFERROR(INDEX(NOV!$BI$8:$BI$73,MATCH($A18,NOV!$A$8:$A$73,0)),"")</f>
        <v/>
      </c>
      <c r="BD18" s="174">
        <f>IFERROR(INDEX(DEZ!$BI$8:$BI$73,MATCH($A18,DEZ!$A$8:$A$73,0)),"")</f>
        <v/>
      </c>
      <c r="BE18" s="175">
        <f>SUM(AS18:BD18)</f>
        <v/>
      </c>
      <c r="BF18" s="39" t="n"/>
      <c r="BG18" s="107" t="n">
        <v>5</v>
      </c>
      <c r="BH18" s="133">
        <f>SUM(AE18:AP18)</f>
        <v/>
      </c>
      <c r="BI18" s="176">
        <f>IF(BG18="","",IF(BG18=BH18,"","⚠"))</f>
        <v/>
      </c>
      <c r="BJ18" s="39" t="n"/>
      <c r="BK18" s="39" t="n"/>
    </row>
    <row r="19">
      <c r="A19" s="89" t="inlineStr">
        <is>
          <t>Danielle</t>
        </is>
      </c>
      <c r="B19" s="173">
        <f>CADASTRO!$C15</f>
        <v/>
      </c>
      <c r="C19" s="174">
        <f>IFERROR(INDEX(JAN!$BK$8:$BK$73,MATCH($A19,JAN!$A$8:$A$73,0)),"")</f>
        <v/>
      </c>
      <c r="D19" s="174">
        <f>IFERROR(INDEX(FEV!$BK$8:$BK$73,MATCH($A19,FEV!$A$8:$A$73,0)),"")</f>
        <v/>
      </c>
      <c r="E19" s="174">
        <f>IFERROR(INDEX(MAR!$BK$8:$BK$73,MATCH($A19,MAR!$A$8:$A$73,0)),"")</f>
        <v/>
      </c>
      <c r="F19" s="174">
        <f>IFERROR(INDEX(ABR!$BK$8:$BK$73,MATCH($A19,ABR!$A$8:$A$73,0)),"")</f>
        <v/>
      </c>
      <c r="G19" s="174">
        <f>IFERROR(INDEX(MAI!$BK$8:$BK$73,MATCH($A19,MAI!$A$8:$A$73,0)),"")</f>
        <v/>
      </c>
      <c r="H19" s="174">
        <f>IFERROR(INDEX(JUN!$BK$8:$BK$73,MATCH($A19,JUN!$A$8:$A$73,0)),"")</f>
        <v/>
      </c>
      <c r="I19" s="174">
        <f>IFERROR(INDEX(JUL!$BK$8:$BK$73,MATCH($A19,JUL!$A$8:$A$73,0)),"")</f>
        <v/>
      </c>
      <c r="J19" s="174">
        <f>IFERROR(INDEX(AGO!$BK$8:$BK$73,MATCH($A19,AGO!$A$8:$A$73,0)),"")</f>
        <v/>
      </c>
      <c r="K19" s="174">
        <f>IFERROR(INDEX(SET!$BK$8:$BK$73,MATCH($A19,SET!$A$8:$A$73,0)),"")</f>
        <v/>
      </c>
      <c r="L19" s="174">
        <f>IFERROR(INDEX(OUT!$BK$8:$BK$73,MATCH($A19,OUT!$A$8:$A$73,0)),"")</f>
        <v/>
      </c>
      <c r="M19" s="174">
        <f>IFERROR(INDEX(NOV!$BK$8:$BK$73,MATCH($A19,NOV!$A$8:$A$73,0)),"")</f>
        <v/>
      </c>
      <c r="N19" s="174">
        <f>IFERROR(INDEX(DEZ!$BK$8:$BK$73,MATCH($A19,DEZ!$A$8:$A$73,0)),"")</f>
        <v/>
      </c>
      <c r="O19" s="175">
        <f>SUM(C19:N19)</f>
        <v/>
      </c>
      <c r="P19" s="39" t="n"/>
      <c r="Q19" s="174">
        <f>IFERROR(INDEX(JAN!$BG$8:$BG$73,MATCH($A19,JAN!$A$8:$A$73,0)),"")</f>
        <v/>
      </c>
      <c r="R19" s="174">
        <f>IFERROR(INDEX(FEV!$BG$8:$BG$73,MATCH($A19,FEV!$A$8:$A$73,0)),"")</f>
        <v/>
      </c>
      <c r="S19" s="174">
        <f>IFERROR(INDEX(MAR!$BG$8:$BG$73,MATCH($A19,MAR!$A$8:$A$73,0)),"")</f>
        <v/>
      </c>
      <c r="T19" s="174">
        <f>IFERROR(INDEX(ABR!$BG$8:$BG$73,MATCH($A19,ABR!$A$8:$A$73,0)),"")</f>
        <v/>
      </c>
      <c r="U19" s="174">
        <f>IFERROR(INDEX(MAI!$BG$8:$BG$73,MATCH($A19,MAI!$A$8:$A$73,0)),"")</f>
        <v/>
      </c>
      <c r="V19" s="174">
        <f>IFERROR(INDEX(JUN!$BG$8:$BG$73,MATCH($A19,JUN!$A$8:$A$73,0)),"")</f>
        <v/>
      </c>
      <c r="W19" s="174">
        <f>IFERROR(INDEX(JUL!$BG$8:$BG$73,MATCH($A19,JUL!$A$8:$A$73,0)),"")</f>
        <v/>
      </c>
      <c r="X19" s="174">
        <f>IFERROR(INDEX(AGO!$BG$8:$BG$73,MATCH($A19,AGO!$A$8:$A$73,0)),"")</f>
        <v/>
      </c>
      <c r="Y19" s="174">
        <f>IFERROR(INDEX(SET!$BG$8:$BG$73,MATCH($A19,SET!$A$8:$A$73,0)),"")</f>
        <v/>
      </c>
      <c r="Z19" s="174">
        <f>IFERROR(INDEX(OUT!$BG$8:$BG$73,MATCH($A19,OUT!$A$8:$A$73,0)),"")</f>
        <v/>
      </c>
      <c r="AA19" s="174">
        <f>IFERROR(INDEX(NOV!$BG$8:$BG$73,MATCH($A19,NOV!$A$8:$A$73,0)),"")</f>
        <v/>
      </c>
      <c r="AB19" s="174">
        <f>IFERROR(INDEX(DEZ!$BG$8:$BG$73,MATCH($A19,DEZ!$A$8:$A$73,0)),"")</f>
        <v/>
      </c>
      <c r="AC19" s="175">
        <f>SUM(Q19:AB19)</f>
        <v/>
      </c>
      <c r="AD19" s="39" t="n"/>
      <c r="AE19" s="174">
        <f>IFERROR(INDEX(JAN!$BH$8:$BH$73,MATCH($A19,JAN!$A$8:$A$73,0)),"")</f>
        <v/>
      </c>
      <c r="AF19" s="174">
        <f>IFERROR(INDEX(FEV!$BH$8:$BH$73,MATCH($A19,FEV!$A$8:$A$73,0)),"")</f>
        <v/>
      </c>
      <c r="AG19" s="174">
        <f>IFERROR(INDEX(MAR!$BH$8:$BH$73,MATCH($A19,MAR!$A$8:$A$73,0)),"")</f>
        <v/>
      </c>
      <c r="AH19" s="174">
        <f>IFERROR(INDEX(ABR!$BH$8:$BH$73,MATCH($A19,ABR!$A$8:$A$73,0)),"")</f>
        <v/>
      </c>
      <c r="AI19" s="174">
        <f>IFERROR(INDEX(MAI!$BH$8:$BH$73,MATCH($A19,MAI!$A$8:$A$73,0)),"")</f>
        <v/>
      </c>
      <c r="AJ19" s="174">
        <f>IFERROR(INDEX(JUN!$BH$8:$BH$73,MATCH($A19,JUN!$A$8:$A$73,0)),"")</f>
        <v/>
      </c>
      <c r="AK19" s="174">
        <f>IFERROR(INDEX(JUL!$BH$8:$BH$73,MATCH($A19,JUL!$A$8:$A$73,0)),"")</f>
        <v/>
      </c>
      <c r="AL19" s="174">
        <f>IFERROR(INDEX(AGO!$BH$8:$BH$73,MATCH($A19,AGO!$A$8:$A$73,0)),"")</f>
        <v/>
      </c>
      <c r="AM19" s="174">
        <f>IFERROR(INDEX(SET!$BH$8:$BH$73,MATCH($A19,SET!$A$8:$A$73,0)),"")</f>
        <v/>
      </c>
      <c r="AN19" s="174">
        <f>IFERROR(INDEX(OUT!$BH$8:$BH$73,MATCH($A19,OUT!$A$8:$A$73,0)),"")</f>
        <v/>
      </c>
      <c r="AO19" s="174">
        <f>IFERROR(INDEX(NOV!$BH$8:$BH$73,MATCH($A19,NOV!$A$8:$A$73,0)),"")</f>
        <v/>
      </c>
      <c r="AP19" s="174">
        <f>IFERROR(INDEX(DEZ!$BH$8:$BH$73,MATCH($A19,DEZ!$A$8:$A$73,0)),"")</f>
        <v/>
      </c>
      <c r="AQ19" s="175">
        <f>SUM(AE19:AP19)</f>
        <v/>
      </c>
      <c r="AR19" s="39" t="n"/>
      <c r="AS19" s="174">
        <f>IFERROR(INDEX(JAN!$BI$8:$BI$73,MATCH($A19,JAN!$A$8:$A$73,0)),"")</f>
        <v/>
      </c>
      <c r="AT19" s="174">
        <f>IFERROR(INDEX(FEV!$BI$8:$BI$73,MATCH($A19,FEV!$A$8:$A$73,0)),"")</f>
        <v/>
      </c>
      <c r="AU19" s="174">
        <f>IFERROR(INDEX(MAR!$BI$8:$BI$73,MATCH($A19,MAR!$A$8:$A$73,0)),"")</f>
        <v/>
      </c>
      <c r="AV19" s="174">
        <f>IFERROR(INDEX(ABR!$BI$8:$BI$73,MATCH($A19,ABR!$A$8:$A$73,0)),"")</f>
        <v/>
      </c>
      <c r="AW19" s="174">
        <f>IFERROR(INDEX(MAI!$BI$8:$BI$73,MATCH($A19,MAI!$A$8:$A$73,0)),"")</f>
        <v/>
      </c>
      <c r="AX19" s="174">
        <f>IFERROR(INDEX(JUN!$BI$8:$BI$73,MATCH($A19,JUN!$A$8:$A$73,0)),"")</f>
        <v/>
      </c>
      <c r="AY19" s="174">
        <f>IFERROR(INDEX(JUL!$BI$8:$BI$73,MATCH($A19,JUL!$A$8:$A$73,0)),"")</f>
        <v/>
      </c>
      <c r="AZ19" s="174">
        <f>IFERROR(INDEX(AGO!$BI$8:$BI$73,MATCH($A19,AGO!$A$8:$A$73,0)),"")</f>
        <v/>
      </c>
      <c r="BA19" s="174">
        <f>IFERROR(INDEX(SET!$BI$8:$BI$73,MATCH($A19,SET!$A$8:$A$73,0)),"")</f>
        <v/>
      </c>
      <c r="BB19" s="174">
        <f>IFERROR(INDEX(OUT!$BI$8:$BI$73,MATCH($A19,OUT!$A$8:$A$73,0)),"")</f>
        <v/>
      </c>
      <c r="BC19" s="174">
        <f>IFERROR(INDEX(NOV!$BI$8:$BI$73,MATCH($A19,NOV!$A$8:$A$73,0)),"")</f>
        <v/>
      </c>
      <c r="BD19" s="174">
        <f>IFERROR(INDEX(DEZ!$BI$8:$BI$73,MATCH($A19,DEZ!$A$8:$A$73,0)),"")</f>
        <v/>
      </c>
      <c r="BE19" s="175">
        <f>SUM(AS19:BD19)</f>
        <v/>
      </c>
      <c r="BF19" s="39" t="n"/>
      <c r="BG19" s="107" t="n">
        <v>5</v>
      </c>
      <c r="BH19" s="133">
        <f>SUM(AE19:AP19)</f>
        <v/>
      </c>
      <c r="BI19" s="176">
        <f>IF(BG19="","",IF(BG19=BH19,"","⚠"))</f>
        <v/>
      </c>
      <c r="BJ19" s="39" t="n"/>
      <c r="BK19" s="39" t="n"/>
    </row>
    <row r="20">
      <c r="A20" s="89" t="inlineStr">
        <is>
          <t>Fabiula</t>
        </is>
      </c>
      <c r="B20" s="173">
        <f>CADASTRO!$C16</f>
        <v/>
      </c>
      <c r="C20" s="174">
        <f>IFERROR(INDEX(JAN!$BK$8:$BK$73,MATCH($A20,JAN!$A$8:$A$73,0)),"")</f>
        <v/>
      </c>
      <c r="D20" s="174">
        <f>IFERROR(INDEX(FEV!$BK$8:$BK$73,MATCH($A20,FEV!$A$8:$A$73,0)),"")</f>
        <v/>
      </c>
      <c r="E20" s="174">
        <f>IFERROR(INDEX(MAR!$BK$8:$BK$73,MATCH($A20,MAR!$A$8:$A$73,0)),"")</f>
        <v/>
      </c>
      <c r="F20" s="174">
        <f>IFERROR(INDEX(ABR!$BK$8:$BK$73,MATCH($A20,ABR!$A$8:$A$73,0)),"")</f>
        <v/>
      </c>
      <c r="G20" s="174">
        <f>IFERROR(INDEX(MAI!$BK$8:$BK$73,MATCH($A20,MAI!$A$8:$A$73,0)),"")</f>
        <v/>
      </c>
      <c r="H20" s="174">
        <f>IFERROR(INDEX(JUN!$BK$8:$BK$73,MATCH($A20,JUN!$A$8:$A$73,0)),"")</f>
        <v/>
      </c>
      <c r="I20" s="174">
        <f>IFERROR(INDEX(JUL!$BK$8:$BK$73,MATCH($A20,JUL!$A$8:$A$73,0)),"")</f>
        <v/>
      </c>
      <c r="J20" s="174">
        <f>IFERROR(INDEX(AGO!$BK$8:$BK$73,MATCH($A20,AGO!$A$8:$A$73,0)),"")</f>
        <v/>
      </c>
      <c r="K20" s="174">
        <f>IFERROR(INDEX(SET!$BK$8:$BK$73,MATCH($A20,SET!$A$8:$A$73,0)),"")</f>
        <v/>
      </c>
      <c r="L20" s="174">
        <f>IFERROR(INDEX(OUT!$BK$8:$BK$73,MATCH($A20,OUT!$A$8:$A$73,0)),"")</f>
        <v/>
      </c>
      <c r="M20" s="174">
        <f>IFERROR(INDEX(NOV!$BK$8:$BK$73,MATCH($A20,NOV!$A$8:$A$73,0)),"")</f>
        <v/>
      </c>
      <c r="N20" s="174">
        <f>IFERROR(INDEX(DEZ!$BK$8:$BK$73,MATCH($A20,DEZ!$A$8:$A$73,0)),"")</f>
        <v/>
      </c>
      <c r="O20" s="175">
        <f>SUM(C20:N20)</f>
        <v/>
      </c>
      <c r="P20" s="39" t="n"/>
      <c r="Q20" s="174">
        <f>IFERROR(INDEX(JAN!$BG$8:$BG$73,MATCH($A20,JAN!$A$8:$A$73,0)),"")</f>
        <v/>
      </c>
      <c r="R20" s="174">
        <f>IFERROR(INDEX(FEV!$BG$8:$BG$73,MATCH($A20,FEV!$A$8:$A$73,0)),"")</f>
        <v/>
      </c>
      <c r="S20" s="174">
        <f>IFERROR(INDEX(MAR!$BG$8:$BG$73,MATCH($A20,MAR!$A$8:$A$73,0)),"")</f>
        <v/>
      </c>
      <c r="T20" s="174">
        <f>IFERROR(INDEX(ABR!$BG$8:$BG$73,MATCH($A20,ABR!$A$8:$A$73,0)),"")</f>
        <v/>
      </c>
      <c r="U20" s="174">
        <f>IFERROR(INDEX(MAI!$BG$8:$BG$73,MATCH($A20,MAI!$A$8:$A$73,0)),"")</f>
        <v/>
      </c>
      <c r="V20" s="174">
        <f>IFERROR(INDEX(JUN!$BG$8:$BG$73,MATCH($A20,JUN!$A$8:$A$73,0)),"")</f>
        <v/>
      </c>
      <c r="W20" s="174">
        <f>IFERROR(INDEX(JUL!$BG$8:$BG$73,MATCH($A20,JUL!$A$8:$A$73,0)),"")</f>
        <v/>
      </c>
      <c r="X20" s="174">
        <f>IFERROR(INDEX(AGO!$BG$8:$BG$73,MATCH($A20,AGO!$A$8:$A$73,0)),"")</f>
        <v/>
      </c>
      <c r="Y20" s="174">
        <f>IFERROR(INDEX(SET!$BG$8:$BG$73,MATCH($A20,SET!$A$8:$A$73,0)),"")</f>
        <v/>
      </c>
      <c r="Z20" s="174">
        <f>IFERROR(INDEX(OUT!$BG$8:$BG$73,MATCH($A20,OUT!$A$8:$A$73,0)),"")</f>
        <v/>
      </c>
      <c r="AA20" s="174">
        <f>IFERROR(INDEX(NOV!$BG$8:$BG$73,MATCH($A20,NOV!$A$8:$A$73,0)),"")</f>
        <v/>
      </c>
      <c r="AB20" s="174">
        <f>IFERROR(INDEX(DEZ!$BG$8:$BG$73,MATCH($A20,DEZ!$A$8:$A$73,0)),"")</f>
        <v/>
      </c>
      <c r="AC20" s="175">
        <f>SUM(Q20:AB20)</f>
        <v/>
      </c>
      <c r="AD20" s="39" t="n"/>
      <c r="AE20" s="174">
        <f>IFERROR(INDEX(JAN!$BH$8:$BH$73,MATCH($A20,JAN!$A$8:$A$73,0)),"")</f>
        <v/>
      </c>
      <c r="AF20" s="174">
        <f>IFERROR(INDEX(FEV!$BH$8:$BH$73,MATCH($A20,FEV!$A$8:$A$73,0)),"")</f>
        <v/>
      </c>
      <c r="AG20" s="174">
        <f>IFERROR(INDEX(MAR!$BH$8:$BH$73,MATCH($A20,MAR!$A$8:$A$73,0)),"")</f>
        <v/>
      </c>
      <c r="AH20" s="174">
        <f>IFERROR(INDEX(ABR!$BH$8:$BH$73,MATCH($A20,ABR!$A$8:$A$73,0)),"")</f>
        <v/>
      </c>
      <c r="AI20" s="174">
        <f>IFERROR(INDEX(MAI!$BH$8:$BH$73,MATCH($A20,MAI!$A$8:$A$73,0)),"")</f>
        <v/>
      </c>
      <c r="AJ20" s="174">
        <f>IFERROR(INDEX(JUN!$BH$8:$BH$73,MATCH($A20,JUN!$A$8:$A$73,0)),"")</f>
        <v/>
      </c>
      <c r="AK20" s="174">
        <f>IFERROR(INDEX(JUL!$BH$8:$BH$73,MATCH($A20,JUL!$A$8:$A$73,0)),"")</f>
        <v/>
      </c>
      <c r="AL20" s="174">
        <f>IFERROR(INDEX(AGO!$BH$8:$BH$73,MATCH($A20,AGO!$A$8:$A$73,0)),"")</f>
        <v/>
      </c>
      <c r="AM20" s="174">
        <f>IFERROR(INDEX(SET!$BH$8:$BH$73,MATCH($A20,SET!$A$8:$A$73,0)),"")</f>
        <v/>
      </c>
      <c r="AN20" s="174">
        <f>IFERROR(INDEX(OUT!$BH$8:$BH$73,MATCH($A20,OUT!$A$8:$A$73,0)),"")</f>
        <v/>
      </c>
      <c r="AO20" s="174">
        <f>IFERROR(INDEX(NOV!$BH$8:$BH$73,MATCH($A20,NOV!$A$8:$A$73,0)),"")</f>
        <v/>
      </c>
      <c r="AP20" s="174">
        <f>IFERROR(INDEX(DEZ!$BH$8:$BH$73,MATCH($A20,DEZ!$A$8:$A$73,0)),"")</f>
        <v/>
      </c>
      <c r="AQ20" s="175">
        <f>SUM(AE20:AP20)</f>
        <v/>
      </c>
      <c r="AR20" s="39" t="n"/>
      <c r="AS20" s="174">
        <f>IFERROR(INDEX(JAN!$BI$8:$BI$73,MATCH($A20,JAN!$A$8:$A$73,0)),"")</f>
        <v/>
      </c>
      <c r="AT20" s="174">
        <f>IFERROR(INDEX(FEV!$BI$8:$BI$73,MATCH($A20,FEV!$A$8:$A$73,0)),"")</f>
        <v/>
      </c>
      <c r="AU20" s="174">
        <f>IFERROR(INDEX(MAR!$BI$8:$BI$73,MATCH($A20,MAR!$A$8:$A$73,0)),"")</f>
        <v/>
      </c>
      <c r="AV20" s="174">
        <f>IFERROR(INDEX(ABR!$BI$8:$BI$73,MATCH($A20,ABR!$A$8:$A$73,0)),"")</f>
        <v/>
      </c>
      <c r="AW20" s="174">
        <f>IFERROR(INDEX(MAI!$BI$8:$BI$73,MATCH($A20,MAI!$A$8:$A$73,0)),"")</f>
        <v/>
      </c>
      <c r="AX20" s="174">
        <f>IFERROR(INDEX(JUN!$BI$8:$BI$73,MATCH($A20,JUN!$A$8:$A$73,0)),"")</f>
        <v/>
      </c>
      <c r="AY20" s="174">
        <f>IFERROR(INDEX(JUL!$BI$8:$BI$73,MATCH($A20,JUL!$A$8:$A$73,0)),"")</f>
        <v/>
      </c>
      <c r="AZ20" s="174">
        <f>IFERROR(INDEX(AGO!$BI$8:$BI$73,MATCH($A20,AGO!$A$8:$A$73,0)),"")</f>
        <v/>
      </c>
      <c r="BA20" s="174">
        <f>IFERROR(INDEX(SET!$BI$8:$BI$73,MATCH($A20,SET!$A$8:$A$73,0)),"")</f>
        <v/>
      </c>
      <c r="BB20" s="174">
        <f>IFERROR(INDEX(OUT!$BI$8:$BI$73,MATCH($A20,OUT!$A$8:$A$73,0)),"")</f>
        <v/>
      </c>
      <c r="BC20" s="174">
        <f>IFERROR(INDEX(NOV!$BI$8:$BI$73,MATCH($A20,NOV!$A$8:$A$73,0)),"")</f>
        <v/>
      </c>
      <c r="BD20" s="174">
        <f>IFERROR(INDEX(DEZ!$BI$8:$BI$73,MATCH($A20,DEZ!$A$8:$A$73,0)),"")</f>
        <v/>
      </c>
      <c r="BE20" s="175">
        <f>SUM(AS20:BD20)</f>
        <v/>
      </c>
      <c r="BF20" s="39" t="n"/>
      <c r="BG20" s="107" t="n">
        <v>4</v>
      </c>
      <c r="BH20" s="133">
        <f>SUM(AE20:AP20)</f>
        <v/>
      </c>
      <c r="BI20" s="176">
        <f>IF(BG20="","",IF(BG20=BH20,"","⚠"))</f>
        <v/>
      </c>
      <c r="BJ20" s="39" t="n"/>
      <c r="BK20" s="39" t="n"/>
    </row>
    <row r="21">
      <c r="A21" s="89" t="inlineStr">
        <is>
          <t>Isabella</t>
        </is>
      </c>
      <c r="B21" s="173">
        <f>CADASTRO!$C17</f>
        <v/>
      </c>
      <c r="C21" s="174">
        <f>IFERROR(INDEX(JAN!$BK$8:$BK$73,MATCH($A21,JAN!$A$8:$A$73,0)),"")</f>
        <v/>
      </c>
      <c r="D21" s="174">
        <f>IFERROR(INDEX(FEV!$BK$8:$BK$73,MATCH($A21,FEV!$A$8:$A$73,0)),"")</f>
        <v/>
      </c>
      <c r="E21" s="174">
        <f>IFERROR(INDEX(MAR!$BK$8:$BK$73,MATCH($A21,MAR!$A$8:$A$73,0)),"")</f>
        <v/>
      </c>
      <c r="F21" s="174">
        <f>IFERROR(INDEX(ABR!$BK$8:$BK$73,MATCH($A21,ABR!$A$8:$A$73,0)),"")</f>
        <v/>
      </c>
      <c r="G21" s="174">
        <f>IFERROR(INDEX(MAI!$BK$8:$BK$73,MATCH($A21,MAI!$A$8:$A$73,0)),"")</f>
        <v/>
      </c>
      <c r="H21" s="174">
        <f>IFERROR(INDEX(JUN!$BK$8:$BK$73,MATCH($A21,JUN!$A$8:$A$73,0)),"")</f>
        <v/>
      </c>
      <c r="I21" s="174">
        <f>IFERROR(INDEX(JUL!$BK$8:$BK$73,MATCH($A21,JUL!$A$8:$A$73,0)),"")</f>
        <v/>
      </c>
      <c r="J21" s="174">
        <f>IFERROR(INDEX(AGO!$BK$8:$BK$73,MATCH($A21,AGO!$A$8:$A$73,0)),"")</f>
        <v/>
      </c>
      <c r="K21" s="174">
        <f>IFERROR(INDEX(SET!$BK$8:$BK$73,MATCH($A21,SET!$A$8:$A$73,0)),"")</f>
        <v/>
      </c>
      <c r="L21" s="174">
        <f>IFERROR(INDEX(OUT!$BK$8:$BK$73,MATCH($A21,OUT!$A$8:$A$73,0)),"")</f>
        <v/>
      </c>
      <c r="M21" s="174">
        <f>IFERROR(INDEX(NOV!$BK$8:$BK$73,MATCH($A21,NOV!$A$8:$A$73,0)),"")</f>
        <v/>
      </c>
      <c r="N21" s="174">
        <f>IFERROR(INDEX(DEZ!$BK$8:$BK$73,MATCH($A21,DEZ!$A$8:$A$73,0)),"")</f>
        <v/>
      </c>
      <c r="O21" s="175">
        <f>SUM(C21:N21)</f>
        <v/>
      </c>
      <c r="P21" s="39" t="n"/>
      <c r="Q21" s="174">
        <f>IFERROR(INDEX(JAN!$BG$8:$BG$73,MATCH($A21,JAN!$A$8:$A$73,0)),"")</f>
        <v/>
      </c>
      <c r="R21" s="174">
        <f>IFERROR(INDEX(FEV!$BG$8:$BG$73,MATCH($A21,FEV!$A$8:$A$73,0)),"")</f>
        <v/>
      </c>
      <c r="S21" s="174">
        <f>IFERROR(INDEX(MAR!$BG$8:$BG$73,MATCH($A21,MAR!$A$8:$A$73,0)),"")</f>
        <v/>
      </c>
      <c r="T21" s="174">
        <f>IFERROR(INDEX(ABR!$BG$8:$BG$73,MATCH($A21,ABR!$A$8:$A$73,0)),"")</f>
        <v/>
      </c>
      <c r="U21" s="174">
        <f>IFERROR(INDEX(MAI!$BG$8:$BG$73,MATCH($A21,MAI!$A$8:$A$73,0)),"")</f>
        <v/>
      </c>
      <c r="V21" s="174">
        <f>IFERROR(INDEX(JUN!$BG$8:$BG$73,MATCH($A21,JUN!$A$8:$A$73,0)),"")</f>
        <v/>
      </c>
      <c r="W21" s="174">
        <f>IFERROR(INDEX(JUL!$BG$8:$BG$73,MATCH($A21,JUL!$A$8:$A$73,0)),"")</f>
        <v/>
      </c>
      <c r="X21" s="174">
        <f>IFERROR(INDEX(AGO!$BG$8:$BG$73,MATCH($A21,AGO!$A$8:$A$73,0)),"")</f>
        <v/>
      </c>
      <c r="Y21" s="174">
        <f>IFERROR(INDEX(SET!$BG$8:$BG$73,MATCH($A21,SET!$A$8:$A$73,0)),"")</f>
        <v/>
      </c>
      <c r="Z21" s="174">
        <f>IFERROR(INDEX(OUT!$BG$8:$BG$73,MATCH($A21,OUT!$A$8:$A$73,0)),"")</f>
        <v/>
      </c>
      <c r="AA21" s="174">
        <f>IFERROR(INDEX(NOV!$BG$8:$BG$73,MATCH($A21,NOV!$A$8:$A$73,0)),"")</f>
        <v/>
      </c>
      <c r="AB21" s="174">
        <f>IFERROR(INDEX(DEZ!$BG$8:$BG$73,MATCH($A21,DEZ!$A$8:$A$73,0)),"")</f>
        <v/>
      </c>
      <c r="AC21" s="175">
        <f>SUM(Q21:AB21)</f>
        <v/>
      </c>
      <c r="AD21" s="39" t="n"/>
      <c r="AE21" s="174">
        <f>IFERROR(INDEX(JAN!$BH$8:$BH$73,MATCH($A21,JAN!$A$8:$A$73,0)),"")</f>
        <v/>
      </c>
      <c r="AF21" s="174">
        <f>IFERROR(INDEX(FEV!$BH$8:$BH$73,MATCH($A21,FEV!$A$8:$A$73,0)),"")</f>
        <v/>
      </c>
      <c r="AG21" s="174">
        <f>IFERROR(INDEX(MAR!$BH$8:$BH$73,MATCH($A21,MAR!$A$8:$A$73,0)),"")</f>
        <v/>
      </c>
      <c r="AH21" s="174">
        <f>IFERROR(INDEX(ABR!$BH$8:$BH$73,MATCH($A21,ABR!$A$8:$A$73,0)),"")</f>
        <v/>
      </c>
      <c r="AI21" s="174">
        <f>IFERROR(INDEX(MAI!$BH$8:$BH$73,MATCH($A21,MAI!$A$8:$A$73,0)),"")</f>
        <v/>
      </c>
      <c r="AJ21" s="174">
        <f>IFERROR(INDEX(JUN!$BH$8:$BH$73,MATCH($A21,JUN!$A$8:$A$73,0)),"")</f>
        <v/>
      </c>
      <c r="AK21" s="174">
        <f>IFERROR(INDEX(JUL!$BH$8:$BH$73,MATCH($A21,JUL!$A$8:$A$73,0)),"")</f>
        <v/>
      </c>
      <c r="AL21" s="174">
        <f>IFERROR(INDEX(AGO!$BH$8:$BH$73,MATCH($A21,AGO!$A$8:$A$73,0)),"")</f>
        <v/>
      </c>
      <c r="AM21" s="174">
        <f>IFERROR(INDEX(SET!$BH$8:$BH$73,MATCH($A21,SET!$A$8:$A$73,0)),"")</f>
        <v/>
      </c>
      <c r="AN21" s="174">
        <f>IFERROR(INDEX(OUT!$BH$8:$BH$73,MATCH($A21,OUT!$A$8:$A$73,0)),"")</f>
        <v/>
      </c>
      <c r="AO21" s="174">
        <f>IFERROR(INDEX(NOV!$BH$8:$BH$73,MATCH($A21,NOV!$A$8:$A$73,0)),"")</f>
        <v/>
      </c>
      <c r="AP21" s="174">
        <f>IFERROR(INDEX(DEZ!$BH$8:$BH$73,MATCH($A21,DEZ!$A$8:$A$73,0)),"")</f>
        <v/>
      </c>
      <c r="AQ21" s="175">
        <f>SUM(AE21:AP21)</f>
        <v/>
      </c>
      <c r="AR21" s="39" t="n"/>
      <c r="AS21" s="174">
        <f>IFERROR(INDEX(JAN!$BI$8:$BI$73,MATCH($A21,JAN!$A$8:$A$73,0)),"")</f>
        <v/>
      </c>
      <c r="AT21" s="174">
        <f>IFERROR(INDEX(FEV!$BI$8:$BI$73,MATCH($A21,FEV!$A$8:$A$73,0)),"")</f>
        <v/>
      </c>
      <c r="AU21" s="174">
        <f>IFERROR(INDEX(MAR!$BI$8:$BI$73,MATCH($A21,MAR!$A$8:$A$73,0)),"")</f>
        <v/>
      </c>
      <c r="AV21" s="174">
        <f>IFERROR(INDEX(ABR!$BI$8:$BI$73,MATCH($A21,ABR!$A$8:$A$73,0)),"")</f>
        <v/>
      </c>
      <c r="AW21" s="174">
        <f>IFERROR(INDEX(MAI!$BI$8:$BI$73,MATCH($A21,MAI!$A$8:$A$73,0)),"")</f>
        <v/>
      </c>
      <c r="AX21" s="174">
        <f>IFERROR(INDEX(JUN!$BI$8:$BI$73,MATCH($A21,JUN!$A$8:$A$73,0)),"")</f>
        <v/>
      </c>
      <c r="AY21" s="174">
        <f>IFERROR(INDEX(JUL!$BI$8:$BI$73,MATCH($A21,JUL!$A$8:$A$73,0)),"")</f>
        <v/>
      </c>
      <c r="AZ21" s="174">
        <f>IFERROR(INDEX(AGO!$BI$8:$BI$73,MATCH($A21,AGO!$A$8:$A$73,0)),"")</f>
        <v/>
      </c>
      <c r="BA21" s="174">
        <f>IFERROR(INDEX(SET!$BI$8:$BI$73,MATCH($A21,SET!$A$8:$A$73,0)),"")</f>
        <v/>
      </c>
      <c r="BB21" s="174">
        <f>IFERROR(INDEX(OUT!$BI$8:$BI$73,MATCH($A21,OUT!$A$8:$A$73,0)),"")</f>
        <v/>
      </c>
      <c r="BC21" s="174">
        <f>IFERROR(INDEX(NOV!$BI$8:$BI$73,MATCH($A21,NOV!$A$8:$A$73,0)),"")</f>
        <v/>
      </c>
      <c r="BD21" s="174">
        <f>IFERROR(INDEX(DEZ!$BI$8:$BI$73,MATCH($A21,DEZ!$A$8:$A$73,0)),"")</f>
        <v/>
      </c>
      <c r="BE21" s="175">
        <f>SUM(AS21:BD21)</f>
        <v/>
      </c>
      <c r="BF21" s="39" t="n"/>
      <c r="BG21" s="107" t="n">
        <v>5</v>
      </c>
      <c r="BH21" s="133">
        <f>SUM(AE21:AP21)</f>
        <v/>
      </c>
      <c r="BI21" s="176">
        <f>IF(BG21="","",IF(BG21=BH21,"","⚠"))</f>
        <v/>
      </c>
      <c r="BJ21" s="39" t="n"/>
      <c r="BK21" s="39" t="n"/>
    </row>
    <row r="22">
      <c r="A22" s="89" t="inlineStr">
        <is>
          <t>JuBrito</t>
        </is>
      </c>
      <c r="B22" s="173">
        <f>CADASTRO!$C18</f>
        <v/>
      </c>
      <c r="C22" s="174">
        <f>IFERROR(INDEX(JAN!$BK$8:$BK$73,MATCH($A22,JAN!$A$8:$A$73,0)),"")</f>
        <v/>
      </c>
      <c r="D22" s="174">
        <f>IFERROR(INDEX(FEV!$BK$8:$BK$73,MATCH($A22,FEV!$A$8:$A$73,0)),"")</f>
        <v/>
      </c>
      <c r="E22" s="174">
        <f>IFERROR(INDEX(MAR!$BK$8:$BK$73,MATCH($A22,MAR!$A$8:$A$73,0)),"")</f>
        <v/>
      </c>
      <c r="F22" s="174">
        <f>IFERROR(INDEX(ABR!$BK$8:$BK$73,MATCH($A22,ABR!$A$8:$A$73,0)),"")</f>
        <v/>
      </c>
      <c r="G22" s="174">
        <f>IFERROR(INDEX(MAI!$BK$8:$BK$73,MATCH($A22,MAI!$A$8:$A$73,0)),"")</f>
        <v/>
      </c>
      <c r="H22" s="174">
        <f>IFERROR(INDEX(JUN!$BK$8:$BK$73,MATCH($A22,JUN!$A$8:$A$73,0)),"")</f>
        <v/>
      </c>
      <c r="I22" s="174">
        <f>IFERROR(INDEX(JUL!$BK$8:$BK$73,MATCH($A22,JUL!$A$8:$A$73,0)),"")</f>
        <v/>
      </c>
      <c r="J22" s="174">
        <f>IFERROR(INDEX(AGO!$BK$8:$BK$73,MATCH($A22,AGO!$A$8:$A$73,0)),"")</f>
        <v/>
      </c>
      <c r="K22" s="174">
        <f>IFERROR(INDEX(SET!$BK$8:$BK$73,MATCH($A22,SET!$A$8:$A$73,0)),"")</f>
        <v/>
      </c>
      <c r="L22" s="174">
        <f>IFERROR(INDEX(OUT!$BK$8:$BK$73,MATCH($A22,OUT!$A$8:$A$73,0)),"")</f>
        <v/>
      </c>
      <c r="M22" s="174">
        <f>IFERROR(INDEX(NOV!$BK$8:$BK$73,MATCH($A22,NOV!$A$8:$A$73,0)),"")</f>
        <v/>
      </c>
      <c r="N22" s="174">
        <f>IFERROR(INDEX(DEZ!$BK$8:$BK$73,MATCH($A22,DEZ!$A$8:$A$73,0)),"")</f>
        <v/>
      </c>
      <c r="O22" s="175">
        <f>SUM(C22:N22)</f>
        <v/>
      </c>
      <c r="P22" s="39" t="n"/>
      <c r="Q22" s="174">
        <f>IFERROR(INDEX(JAN!$BG$8:$BG$73,MATCH($A22,JAN!$A$8:$A$73,0)),"")</f>
        <v/>
      </c>
      <c r="R22" s="174">
        <f>IFERROR(INDEX(FEV!$BG$8:$BG$73,MATCH($A22,FEV!$A$8:$A$73,0)),"")</f>
        <v/>
      </c>
      <c r="S22" s="174">
        <f>IFERROR(INDEX(MAR!$BG$8:$BG$73,MATCH($A22,MAR!$A$8:$A$73,0)),"")</f>
        <v/>
      </c>
      <c r="T22" s="174">
        <f>IFERROR(INDEX(ABR!$BG$8:$BG$73,MATCH($A22,ABR!$A$8:$A$73,0)),"")</f>
        <v/>
      </c>
      <c r="U22" s="174">
        <f>IFERROR(INDEX(MAI!$BG$8:$BG$73,MATCH($A22,MAI!$A$8:$A$73,0)),"")</f>
        <v/>
      </c>
      <c r="V22" s="174">
        <f>IFERROR(INDEX(JUN!$BG$8:$BG$73,MATCH($A22,JUN!$A$8:$A$73,0)),"")</f>
        <v/>
      </c>
      <c r="W22" s="174">
        <f>IFERROR(INDEX(JUL!$BG$8:$BG$73,MATCH($A22,JUL!$A$8:$A$73,0)),"")</f>
        <v/>
      </c>
      <c r="X22" s="174">
        <f>IFERROR(INDEX(AGO!$BG$8:$BG$73,MATCH($A22,AGO!$A$8:$A$73,0)),"")</f>
        <v/>
      </c>
      <c r="Y22" s="174">
        <f>IFERROR(INDEX(SET!$BG$8:$BG$73,MATCH($A22,SET!$A$8:$A$73,0)),"")</f>
        <v/>
      </c>
      <c r="Z22" s="174">
        <f>IFERROR(INDEX(OUT!$BG$8:$BG$73,MATCH($A22,OUT!$A$8:$A$73,0)),"")</f>
        <v/>
      </c>
      <c r="AA22" s="174">
        <f>IFERROR(INDEX(NOV!$BG$8:$BG$73,MATCH($A22,NOV!$A$8:$A$73,0)),"")</f>
        <v/>
      </c>
      <c r="AB22" s="174">
        <f>IFERROR(INDEX(DEZ!$BG$8:$BG$73,MATCH($A22,DEZ!$A$8:$A$73,0)),"")</f>
        <v/>
      </c>
      <c r="AC22" s="175">
        <f>SUM(Q22:AB22)</f>
        <v/>
      </c>
      <c r="AD22" s="39" t="n"/>
      <c r="AE22" s="174">
        <f>IFERROR(INDEX(JAN!$BH$8:$BH$73,MATCH($A22,JAN!$A$8:$A$73,0)),"")</f>
        <v/>
      </c>
      <c r="AF22" s="174">
        <f>IFERROR(INDEX(FEV!$BH$8:$BH$73,MATCH($A22,FEV!$A$8:$A$73,0)),"")</f>
        <v/>
      </c>
      <c r="AG22" s="174">
        <f>IFERROR(INDEX(MAR!$BH$8:$BH$73,MATCH($A22,MAR!$A$8:$A$73,0)),"")</f>
        <v/>
      </c>
      <c r="AH22" s="174">
        <f>IFERROR(INDEX(ABR!$BH$8:$BH$73,MATCH($A22,ABR!$A$8:$A$73,0)),"")</f>
        <v/>
      </c>
      <c r="AI22" s="174">
        <f>IFERROR(INDEX(MAI!$BH$8:$BH$73,MATCH($A22,MAI!$A$8:$A$73,0)),"")</f>
        <v/>
      </c>
      <c r="AJ22" s="174">
        <f>IFERROR(INDEX(JUN!$BH$8:$BH$73,MATCH($A22,JUN!$A$8:$A$73,0)),"")</f>
        <v/>
      </c>
      <c r="AK22" s="174">
        <f>IFERROR(INDEX(JUL!$BH$8:$BH$73,MATCH($A22,JUL!$A$8:$A$73,0)),"")</f>
        <v/>
      </c>
      <c r="AL22" s="174">
        <f>IFERROR(INDEX(AGO!$BH$8:$BH$73,MATCH($A22,AGO!$A$8:$A$73,0)),"")</f>
        <v/>
      </c>
      <c r="AM22" s="174">
        <f>IFERROR(INDEX(SET!$BH$8:$BH$73,MATCH($A22,SET!$A$8:$A$73,0)),"")</f>
        <v/>
      </c>
      <c r="AN22" s="174">
        <f>IFERROR(INDEX(OUT!$BH$8:$BH$73,MATCH($A22,OUT!$A$8:$A$73,0)),"")</f>
        <v/>
      </c>
      <c r="AO22" s="174">
        <f>IFERROR(INDEX(NOV!$BH$8:$BH$73,MATCH($A22,NOV!$A$8:$A$73,0)),"")</f>
        <v/>
      </c>
      <c r="AP22" s="174">
        <f>IFERROR(INDEX(DEZ!$BH$8:$BH$73,MATCH($A22,DEZ!$A$8:$A$73,0)),"")</f>
        <v/>
      </c>
      <c r="AQ22" s="175">
        <f>SUM(AE22:AP22)</f>
        <v/>
      </c>
      <c r="AR22" s="39" t="n"/>
      <c r="AS22" s="174">
        <f>IFERROR(INDEX(JAN!$BI$8:$BI$73,MATCH($A22,JAN!$A$8:$A$73,0)),"")</f>
        <v/>
      </c>
      <c r="AT22" s="174">
        <f>IFERROR(INDEX(FEV!$BI$8:$BI$73,MATCH($A22,FEV!$A$8:$A$73,0)),"")</f>
        <v/>
      </c>
      <c r="AU22" s="174">
        <f>IFERROR(INDEX(MAR!$BI$8:$BI$73,MATCH($A22,MAR!$A$8:$A$73,0)),"")</f>
        <v/>
      </c>
      <c r="AV22" s="174">
        <f>IFERROR(INDEX(ABR!$BI$8:$BI$73,MATCH($A22,ABR!$A$8:$A$73,0)),"")</f>
        <v/>
      </c>
      <c r="AW22" s="174">
        <f>IFERROR(INDEX(MAI!$BI$8:$BI$73,MATCH($A22,MAI!$A$8:$A$73,0)),"")</f>
        <v/>
      </c>
      <c r="AX22" s="174">
        <f>IFERROR(INDEX(JUN!$BI$8:$BI$73,MATCH($A22,JUN!$A$8:$A$73,0)),"")</f>
        <v/>
      </c>
      <c r="AY22" s="174">
        <f>IFERROR(INDEX(JUL!$BI$8:$BI$73,MATCH($A22,JUL!$A$8:$A$73,0)),"")</f>
        <v/>
      </c>
      <c r="AZ22" s="174">
        <f>IFERROR(INDEX(AGO!$BI$8:$BI$73,MATCH($A22,AGO!$A$8:$A$73,0)),"")</f>
        <v/>
      </c>
      <c r="BA22" s="174">
        <f>IFERROR(INDEX(SET!$BI$8:$BI$73,MATCH($A22,SET!$A$8:$A$73,0)),"")</f>
        <v/>
      </c>
      <c r="BB22" s="174">
        <f>IFERROR(INDEX(OUT!$BI$8:$BI$73,MATCH($A22,OUT!$A$8:$A$73,0)),"")</f>
        <v/>
      </c>
      <c r="BC22" s="174">
        <f>IFERROR(INDEX(NOV!$BI$8:$BI$73,MATCH($A22,NOV!$A$8:$A$73,0)),"")</f>
        <v/>
      </c>
      <c r="BD22" s="174">
        <f>IFERROR(INDEX(DEZ!$BI$8:$BI$73,MATCH($A22,DEZ!$A$8:$A$73,0)),"")</f>
        <v/>
      </c>
      <c r="BE22" s="175">
        <f>SUM(AS22:BD22)</f>
        <v/>
      </c>
      <c r="BF22" s="39" t="n"/>
      <c r="BG22" s="107" t="n">
        <v>5</v>
      </c>
      <c r="BH22" s="133">
        <f>SUM(AE22:AP22)</f>
        <v/>
      </c>
      <c r="BI22" s="176">
        <f>IF(BG22="","",IF(BG22=BH22,"","⚠"))</f>
        <v/>
      </c>
      <c r="BJ22" s="39" t="n"/>
      <c r="BK22" s="39" t="n"/>
    </row>
    <row r="23">
      <c r="A23" s="89" t="inlineStr">
        <is>
          <t>Kariny</t>
        </is>
      </c>
      <c r="B23" s="173">
        <f>CADASTRO!$C19</f>
        <v/>
      </c>
      <c r="C23" s="174">
        <f>IFERROR(INDEX(JAN!$BK$8:$BK$73,MATCH($A23,JAN!$A$8:$A$73,0)),"")</f>
        <v/>
      </c>
      <c r="D23" s="174">
        <f>IFERROR(INDEX(FEV!$BK$8:$BK$73,MATCH($A23,FEV!$A$8:$A$73,0)),"")</f>
        <v/>
      </c>
      <c r="E23" s="174">
        <f>IFERROR(INDEX(MAR!$BK$8:$BK$73,MATCH($A23,MAR!$A$8:$A$73,0)),"")</f>
        <v/>
      </c>
      <c r="F23" s="174">
        <f>IFERROR(INDEX(ABR!$BK$8:$BK$73,MATCH($A23,ABR!$A$8:$A$73,0)),"")</f>
        <v/>
      </c>
      <c r="G23" s="174">
        <f>IFERROR(INDEX(MAI!$BK$8:$BK$73,MATCH($A23,MAI!$A$8:$A$73,0)),"")</f>
        <v/>
      </c>
      <c r="H23" s="174">
        <f>IFERROR(INDEX(JUN!$BK$8:$BK$73,MATCH($A23,JUN!$A$8:$A$73,0)),"")</f>
        <v/>
      </c>
      <c r="I23" s="174">
        <f>IFERROR(INDEX(JUL!$BK$8:$BK$73,MATCH($A23,JUL!$A$8:$A$73,0)),"")</f>
        <v/>
      </c>
      <c r="J23" s="174">
        <f>IFERROR(INDEX(AGO!$BK$8:$BK$73,MATCH($A23,AGO!$A$8:$A$73,0)),"")</f>
        <v/>
      </c>
      <c r="K23" s="174">
        <f>IFERROR(INDEX(SET!$BK$8:$BK$73,MATCH($A23,SET!$A$8:$A$73,0)),"")</f>
        <v/>
      </c>
      <c r="L23" s="174">
        <f>IFERROR(INDEX(OUT!$BK$8:$BK$73,MATCH($A23,OUT!$A$8:$A$73,0)),"")</f>
        <v/>
      </c>
      <c r="M23" s="174">
        <f>IFERROR(INDEX(NOV!$BK$8:$BK$73,MATCH($A23,NOV!$A$8:$A$73,0)),"")</f>
        <v/>
      </c>
      <c r="N23" s="174">
        <f>IFERROR(INDEX(DEZ!$BK$8:$BK$73,MATCH($A23,DEZ!$A$8:$A$73,0)),"")</f>
        <v/>
      </c>
      <c r="O23" s="175">
        <f>SUM(C23:N23)</f>
        <v/>
      </c>
      <c r="P23" s="39" t="n"/>
      <c r="Q23" s="174">
        <f>IFERROR(INDEX(JAN!$BG$8:$BG$73,MATCH($A23,JAN!$A$8:$A$73,0)),"")</f>
        <v/>
      </c>
      <c r="R23" s="174">
        <f>IFERROR(INDEX(FEV!$BG$8:$BG$73,MATCH($A23,FEV!$A$8:$A$73,0)),"")</f>
        <v/>
      </c>
      <c r="S23" s="174">
        <f>IFERROR(INDEX(MAR!$BG$8:$BG$73,MATCH($A23,MAR!$A$8:$A$73,0)),"")</f>
        <v/>
      </c>
      <c r="T23" s="174">
        <f>IFERROR(INDEX(ABR!$BG$8:$BG$73,MATCH($A23,ABR!$A$8:$A$73,0)),"")</f>
        <v/>
      </c>
      <c r="U23" s="174">
        <f>IFERROR(INDEX(MAI!$BG$8:$BG$73,MATCH($A23,MAI!$A$8:$A$73,0)),"")</f>
        <v/>
      </c>
      <c r="V23" s="174">
        <f>IFERROR(INDEX(JUN!$BG$8:$BG$73,MATCH($A23,JUN!$A$8:$A$73,0)),"")</f>
        <v/>
      </c>
      <c r="W23" s="174">
        <f>IFERROR(INDEX(JUL!$BG$8:$BG$73,MATCH($A23,JUL!$A$8:$A$73,0)),"")</f>
        <v/>
      </c>
      <c r="X23" s="174">
        <f>IFERROR(INDEX(AGO!$BG$8:$BG$73,MATCH($A23,AGO!$A$8:$A$73,0)),"")</f>
        <v/>
      </c>
      <c r="Y23" s="174">
        <f>IFERROR(INDEX(SET!$BG$8:$BG$73,MATCH($A23,SET!$A$8:$A$73,0)),"")</f>
        <v/>
      </c>
      <c r="Z23" s="174">
        <f>IFERROR(INDEX(OUT!$BG$8:$BG$73,MATCH($A23,OUT!$A$8:$A$73,0)),"")</f>
        <v/>
      </c>
      <c r="AA23" s="174">
        <f>IFERROR(INDEX(NOV!$BG$8:$BG$73,MATCH($A23,NOV!$A$8:$A$73,0)),"")</f>
        <v/>
      </c>
      <c r="AB23" s="174">
        <f>IFERROR(INDEX(DEZ!$BG$8:$BG$73,MATCH($A23,DEZ!$A$8:$A$73,0)),"")</f>
        <v/>
      </c>
      <c r="AC23" s="175">
        <f>SUM(Q23:AB23)</f>
        <v/>
      </c>
      <c r="AD23" s="39" t="n"/>
      <c r="AE23" s="174">
        <f>IFERROR(INDEX(JAN!$BH$8:$BH$73,MATCH($A23,JAN!$A$8:$A$73,0)),"")</f>
        <v/>
      </c>
      <c r="AF23" s="174">
        <f>IFERROR(INDEX(FEV!$BH$8:$BH$73,MATCH($A23,FEV!$A$8:$A$73,0)),"")</f>
        <v/>
      </c>
      <c r="AG23" s="174">
        <f>IFERROR(INDEX(MAR!$BH$8:$BH$73,MATCH($A23,MAR!$A$8:$A$73,0)),"")</f>
        <v/>
      </c>
      <c r="AH23" s="174">
        <f>IFERROR(INDEX(ABR!$BH$8:$BH$73,MATCH($A23,ABR!$A$8:$A$73,0)),"")</f>
        <v/>
      </c>
      <c r="AI23" s="174">
        <f>IFERROR(INDEX(MAI!$BH$8:$BH$73,MATCH($A23,MAI!$A$8:$A$73,0)),"")</f>
        <v/>
      </c>
      <c r="AJ23" s="174">
        <f>IFERROR(INDEX(JUN!$BH$8:$BH$73,MATCH($A23,JUN!$A$8:$A$73,0)),"")</f>
        <v/>
      </c>
      <c r="AK23" s="174">
        <f>IFERROR(INDEX(JUL!$BH$8:$BH$73,MATCH($A23,JUL!$A$8:$A$73,0)),"")</f>
        <v/>
      </c>
      <c r="AL23" s="174">
        <f>IFERROR(INDEX(AGO!$BH$8:$BH$73,MATCH($A23,AGO!$A$8:$A$73,0)),"")</f>
        <v/>
      </c>
      <c r="AM23" s="174">
        <f>IFERROR(INDEX(SET!$BH$8:$BH$73,MATCH($A23,SET!$A$8:$A$73,0)),"")</f>
        <v/>
      </c>
      <c r="AN23" s="174">
        <f>IFERROR(INDEX(OUT!$BH$8:$BH$73,MATCH($A23,OUT!$A$8:$A$73,0)),"")</f>
        <v/>
      </c>
      <c r="AO23" s="174">
        <f>IFERROR(INDEX(NOV!$BH$8:$BH$73,MATCH($A23,NOV!$A$8:$A$73,0)),"")</f>
        <v/>
      </c>
      <c r="AP23" s="174">
        <f>IFERROR(INDEX(DEZ!$BH$8:$BH$73,MATCH($A23,DEZ!$A$8:$A$73,0)),"")</f>
        <v/>
      </c>
      <c r="AQ23" s="175">
        <f>SUM(AE23:AP23)</f>
        <v/>
      </c>
      <c r="AR23" s="39" t="n"/>
      <c r="AS23" s="174">
        <f>IFERROR(INDEX(JAN!$BI$8:$BI$73,MATCH($A23,JAN!$A$8:$A$73,0)),"")</f>
        <v/>
      </c>
      <c r="AT23" s="174">
        <f>IFERROR(INDEX(FEV!$BI$8:$BI$73,MATCH($A23,FEV!$A$8:$A$73,0)),"")</f>
        <v/>
      </c>
      <c r="AU23" s="174">
        <f>IFERROR(INDEX(MAR!$BI$8:$BI$73,MATCH($A23,MAR!$A$8:$A$73,0)),"")</f>
        <v/>
      </c>
      <c r="AV23" s="174">
        <f>IFERROR(INDEX(ABR!$BI$8:$BI$73,MATCH($A23,ABR!$A$8:$A$73,0)),"")</f>
        <v/>
      </c>
      <c r="AW23" s="174">
        <f>IFERROR(INDEX(MAI!$BI$8:$BI$73,MATCH($A23,MAI!$A$8:$A$73,0)),"")</f>
        <v/>
      </c>
      <c r="AX23" s="174">
        <f>IFERROR(INDEX(JUN!$BI$8:$BI$73,MATCH($A23,JUN!$A$8:$A$73,0)),"")</f>
        <v/>
      </c>
      <c r="AY23" s="174">
        <f>IFERROR(INDEX(JUL!$BI$8:$BI$73,MATCH($A23,JUL!$A$8:$A$73,0)),"")</f>
        <v/>
      </c>
      <c r="AZ23" s="174">
        <f>IFERROR(INDEX(AGO!$BI$8:$BI$73,MATCH($A23,AGO!$A$8:$A$73,0)),"")</f>
        <v/>
      </c>
      <c r="BA23" s="174">
        <f>IFERROR(INDEX(SET!$BI$8:$BI$73,MATCH($A23,SET!$A$8:$A$73,0)),"")</f>
        <v/>
      </c>
      <c r="BB23" s="174">
        <f>IFERROR(INDEX(OUT!$BI$8:$BI$73,MATCH($A23,OUT!$A$8:$A$73,0)),"")</f>
        <v/>
      </c>
      <c r="BC23" s="174">
        <f>IFERROR(INDEX(NOV!$BI$8:$BI$73,MATCH($A23,NOV!$A$8:$A$73,0)),"")</f>
        <v/>
      </c>
      <c r="BD23" s="174">
        <f>IFERROR(INDEX(DEZ!$BI$8:$BI$73,MATCH($A23,DEZ!$A$8:$A$73,0)),"")</f>
        <v/>
      </c>
      <c r="BE23" s="175">
        <f>SUM(AS23:BD23)</f>
        <v/>
      </c>
      <c r="BF23" s="39" t="n"/>
      <c r="BG23" s="107" t="n">
        <v>0</v>
      </c>
      <c r="BH23" s="133">
        <f>SUM(AE23:AP23)</f>
        <v/>
      </c>
      <c r="BI23" s="176">
        <f>IF(BG23="","",IF(BG23=BH23,"","⚠"))</f>
        <v/>
      </c>
      <c r="BJ23" s="39" t="n"/>
      <c r="BK23" s="39" t="n"/>
    </row>
    <row r="24">
      <c r="A24" s="89" t="inlineStr">
        <is>
          <t>Mayana</t>
        </is>
      </c>
      <c r="B24" s="173">
        <f>CADASTRO!$C20</f>
        <v/>
      </c>
      <c r="C24" s="174">
        <f>IFERROR(INDEX(JAN!$BK$8:$BK$73,MATCH($A24,JAN!$A$8:$A$73,0)),"")</f>
        <v/>
      </c>
      <c r="D24" s="174">
        <f>IFERROR(INDEX(FEV!$BK$8:$BK$73,MATCH($A24,FEV!$A$8:$A$73,0)),"")</f>
        <v/>
      </c>
      <c r="E24" s="174">
        <f>IFERROR(INDEX(MAR!$BK$8:$BK$73,MATCH($A24,MAR!$A$8:$A$73,0)),"")</f>
        <v/>
      </c>
      <c r="F24" s="174">
        <f>IFERROR(INDEX(ABR!$BK$8:$BK$73,MATCH($A24,ABR!$A$8:$A$73,0)),"")</f>
        <v/>
      </c>
      <c r="G24" s="174">
        <f>IFERROR(INDEX(MAI!$BK$8:$BK$73,MATCH($A24,MAI!$A$8:$A$73,0)),"")</f>
        <v/>
      </c>
      <c r="H24" s="174">
        <f>IFERROR(INDEX(JUN!$BK$8:$BK$73,MATCH($A24,JUN!$A$8:$A$73,0)),"")</f>
        <v/>
      </c>
      <c r="I24" s="174">
        <f>IFERROR(INDEX(JUL!$BK$8:$BK$73,MATCH($A24,JUL!$A$8:$A$73,0)),"")</f>
        <v/>
      </c>
      <c r="J24" s="174">
        <f>IFERROR(INDEX(AGO!$BK$8:$BK$73,MATCH($A24,AGO!$A$8:$A$73,0)),"")</f>
        <v/>
      </c>
      <c r="K24" s="174">
        <f>IFERROR(INDEX(SET!$BK$8:$BK$73,MATCH($A24,SET!$A$8:$A$73,0)),"")</f>
        <v/>
      </c>
      <c r="L24" s="174">
        <f>IFERROR(INDEX(OUT!$BK$8:$BK$73,MATCH($A24,OUT!$A$8:$A$73,0)),"")</f>
        <v/>
      </c>
      <c r="M24" s="174">
        <f>IFERROR(INDEX(NOV!$BK$8:$BK$73,MATCH($A24,NOV!$A$8:$A$73,0)),"")</f>
        <v/>
      </c>
      <c r="N24" s="174">
        <f>IFERROR(INDEX(DEZ!$BK$8:$BK$73,MATCH($A24,DEZ!$A$8:$A$73,0)),"")</f>
        <v/>
      </c>
      <c r="O24" s="175">
        <f>SUM(C24:N24)</f>
        <v/>
      </c>
      <c r="P24" s="39" t="n"/>
      <c r="Q24" s="174">
        <f>IFERROR(INDEX(JAN!$BG$8:$BG$73,MATCH($A24,JAN!$A$8:$A$73,0)),"")</f>
        <v/>
      </c>
      <c r="R24" s="174">
        <f>IFERROR(INDEX(FEV!$BG$8:$BG$73,MATCH($A24,FEV!$A$8:$A$73,0)),"")</f>
        <v/>
      </c>
      <c r="S24" s="174">
        <f>IFERROR(INDEX(MAR!$BG$8:$BG$73,MATCH($A24,MAR!$A$8:$A$73,0)),"")</f>
        <v/>
      </c>
      <c r="T24" s="174">
        <f>IFERROR(INDEX(ABR!$BG$8:$BG$73,MATCH($A24,ABR!$A$8:$A$73,0)),"")</f>
        <v/>
      </c>
      <c r="U24" s="174">
        <f>IFERROR(INDEX(MAI!$BG$8:$BG$73,MATCH($A24,MAI!$A$8:$A$73,0)),"")</f>
        <v/>
      </c>
      <c r="V24" s="174">
        <f>IFERROR(INDEX(JUN!$BG$8:$BG$73,MATCH($A24,JUN!$A$8:$A$73,0)),"")</f>
        <v/>
      </c>
      <c r="W24" s="174">
        <f>IFERROR(INDEX(JUL!$BG$8:$BG$73,MATCH($A24,JUL!$A$8:$A$73,0)),"")</f>
        <v/>
      </c>
      <c r="X24" s="174">
        <f>IFERROR(INDEX(AGO!$BG$8:$BG$73,MATCH($A24,AGO!$A$8:$A$73,0)),"")</f>
        <v/>
      </c>
      <c r="Y24" s="174">
        <f>IFERROR(INDEX(SET!$BG$8:$BG$73,MATCH($A24,SET!$A$8:$A$73,0)),"")</f>
        <v/>
      </c>
      <c r="Z24" s="174">
        <f>IFERROR(INDEX(OUT!$BG$8:$BG$73,MATCH($A24,OUT!$A$8:$A$73,0)),"")</f>
        <v/>
      </c>
      <c r="AA24" s="174">
        <f>IFERROR(INDEX(NOV!$BG$8:$BG$73,MATCH($A24,NOV!$A$8:$A$73,0)),"")</f>
        <v/>
      </c>
      <c r="AB24" s="174">
        <f>IFERROR(INDEX(DEZ!$BG$8:$BG$73,MATCH($A24,DEZ!$A$8:$A$73,0)),"")</f>
        <v/>
      </c>
      <c r="AC24" s="175">
        <f>SUM(Q24:AB24)</f>
        <v/>
      </c>
      <c r="AD24" s="39" t="n"/>
      <c r="AE24" s="174">
        <f>IFERROR(INDEX(JAN!$BH$8:$BH$73,MATCH($A24,JAN!$A$8:$A$73,0)),"")</f>
        <v/>
      </c>
      <c r="AF24" s="174">
        <f>IFERROR(INDEX(FEV!$BH$8:$BH$73,MATCH($A24,FEV!$A$8:$A$73,0)),"")</f>
        <v/>
      </c>
      <c r="AG24" s="174">
        <f>IFERROR(INDEX(MAR!$BH$8:$BH$73,MATCH($A24,MAR!$A$8:$A$73,0)),"")</f>
        <v/>
      </c>
      <c r="AH24" s="174">
        <f>IFERROR(INDEX(ABR!$BH$8:$BH$73,MATCH($A24,ABR!$A$8:$A$73,0)),"")</f>
        <v/>
      </c>
      <c r="AI24" s="174">
        <f>IFERROR(INDEX(MAI!$BH$8:$BH$73,MATCH($A24,MAI!$A$8:$A$73,0)),"")</f>
        <v/>
      </c>
      <c r="AJ24" s="174">
        <f>IFERROR(INDEX(JUN!$BH$8:$BH$73,MATCH($A24,JUN!$A$8:$A$73,0)),"")</f>
        <v/>
      </c>
      <c r="AK24" s="174">
        <f>IFERROR(INDEX(JUL!$BH$8:$BH$73,MATCH($A24,JUL!$A$8:$A$73,0)),"")</f>
        <v/>
      </c>
      <c r="AL24" s="174">
        <f>IFERROR(INDEX(AGO!$BH$8:$BH$73,MATCH($A24,AGO!$A$8:$A$73,0)),"")</f>
        <v/>
      </c>
      <c r="AM24" s="174">
        <f>IFERROR(INDEX(SET!$BH$8:$BH$73,MATCH($A24,SET!$A$8:$A$73,0)),"")</f>
        <v/>
      </c>
      <c r="AN24" s="174">
        <f>IFERROR(INDEX(OUT!$BH$8:$BH$73,MATCH($A24,OUT!$A$8:$A$73,0)),"")</f>
        <v/>
      </c>
      <c r="AO24" s="174">
        <f>IFERROR(INDEX(NOV!$BH$8:$BH$73,MATCH($A24,NOV!$A$8:$A$73,0)),"")</f>
        <v/>
      </c>
      <c r="AP24" s="174">
        <f>IFERROR(INDEX(DEZ!$BH$8:$BH$73,MATCH($A24,DEZ!$A$8:$A$73,0)),"")</f>
        <v/>
      </c>
      <c r="AQ24" s="175">
        <f>SUM(AE24:AP24)</f>
        <v/>
      </c>
      <c r="AR24" s="39" t="n"/>
      <c r="AS24" s="174">
        <f>IFERROR(INDEX(JAN!$BI$8:$BI$73,MATCH($A24,JAN!$A$8:$A$73,0)),"")</f>
        <v/>
      </c>
      <c r="AT24" s="174">
        <f>IFERROR(INDEX(FEV!$BI$8:$BI$73,MATCH($A24,FEV!$A$8:$A$73,0)),"")</f>
        <v/>
      </c>
      <c r="AU24" s="174">
        <f>IFERROR(INDEX(MAR!$BI$8:$BI$73,MATCH($A24,MAR!$A$8:$A$73,0)),"")</f>
        <v/>
      </c>
      <c r="AV24" s="174">
        <f>IFERROR(INDEX(ABR!$BI$8:$BI$73,MATCH($A24,ABR!$A$8:$A$73,0)),"")</f>
        <v/>
      </c>
      <c r="AW24" s="174">
        <f>IFERROR(INDEX(MAI!$BI$8:$BI$73,MATCH($A24,MAI!$A$8:$A$73,0)),"")</f>
        <v/>
      </c>
      <c r="AX24" s="174">
        <f>IFERROR(INDEX(JUN!$BI$8:$BI$73,MATCH($A24,JUN!$A$8:$A$73,0)),"")</f>
        <v/>
      </c>
      <c r="AY24" s="174">
        <f>IFERROR(INDEX(JUL!$BI$8:$BI$73,MATCH($A24,JUL!$A$8:$A$73,0)),"")</f>
        <v/>
      </c>
      <c r="AZ24" s="174">
        <f>IFERROR(INDEX(AGO!$BI$8:$BI$73,MATCH($A24,AGO!$A$8:$A$73,0)),"")</f>
        <v/>
      </c>
      <c r="BA24" s="174">
        <f>IFERROR(INDEX(SET!$BI$8:$BI$73,MATCH($A24,SET!$A$8:$A$73,0)),"")</f>
        <v/>
      </c>
      <c r="BB24" s="174">
        <f>IFERROR(INDEX(OUT!$BI$8:$BI$73,MATCH($A24,OUT!$A$8:$A$73,0)),"")</f>
        <v/>
      </c>
      <c r="BC24" s="174">
        <f>IFERROR(INDEX(NOV!$BI$8:$BI$73,MATCH($A24,NOV!$A$8:$A$73,0)),"")</f>
        <v/>
      </c>
      <c r="BD24" s="174">
        <f>IFERROR(INDEX(DEZ!$BI$8:$BI$73,MATCH($A24,DEZ!$A$8:$A$73,0)),"")</f>
        <v/>
      </c>
      <c r="BE24" s="175">
        <f>SUM(AS24:BD24)</f>
        <v/>
      </c>
      <c r="BF24" s="39" t="n"/>
      <c r="BG24" s="107" t="n">
        <v>4</v>
      </c>
      <c r="BH24" s="133">
        <f>SUM(AE24:AP24)</f>
        <v/>
      </c>
      <c r="BI24" s="176">
        <f>IF(BG24="","",IF(BG24=BH24,"","⚠"))</f>
        <v/>
      </c>
      <c r="BJ24" s="39" t="n"/>
      <c r="BK24" s="39" t="n"/>
    </row>
    <row r="25">
      <c r="A25" s="89" t="inlineStr">
        <is>
          <t>Neyde</t>
        </is>
      </c>
      <c r="B25" s="173">
        <f>CADASTRO!$C21</f>
        <v/>
      </c>
      <c r="C25" s="174">
        <f>IFERROR(INDEX(JAN!$BK$8:$BK$73,MATCH($A25,JAN!$A$8:$A$73,0)),"")</f>
        <v/>
      </c>
      <c r="D25" s="174">
        <f>IFERROR(INDEX(FEV!$BK$8:$BK$73,MATCH($A25,FEV!$A$8:$A$73,0)),"")</f>
        <v/>
      </c>
      <c r="E25" s="174">
        <f>IFERROR(INDEX(MAR!$BK$8:$BK$73,MATCH($A25,MAR!$A$8:$A$73,0)),"")</f>
        <v/>
      </c>
      <c r="F25" s="174">
        <f>IFERROR(INDEX(ABR!$BK$8:$BK$73,MATCH($A25,ABR!$A$8:$A$73,0)),"")</f>
        <v/>
      </c>
      <c r="G25" s="174">
        <f>IFERROR(INDEX(MAI!$BK$8:$BK$73,MATCH($A25,MAI!$A$8:$A$73,0)),"")</f>
        <v/>
      </c>
      <c r="H25" s="174">
        <f>IFERROR(INDEX(JUN!$BK$8:$BK$73,MATCH($A25,JUN!$A$8:$A$73,0)),"")</f>
        <v/>
      </c>
      <c r="I25" s="174">
        <f>IFERROR(INDEX(JUL!$BK$8:$BK$73,MATCH($A25,JUL!$A$8:$A$73,0)),"")</f>
        <v/>
      </c>
      <c r="J25" s="174">
        <f>IFERROR(INDEX(AGO!$BK$8:$BK$73,MATCH($A25,AGO!$A$8:$A$73,0)),"")</f>
        <v/>
      </c>
      <c r="K25" s="174">
        <f>IFERROR(INDEX(SET!$BK$8:$BK$73,MATCH($A25,SET!$A$8:$A$73,0)),"")</f>
        <v/>
      </c>
      <c r="L25" s="174">
        <f>IFERROR(INDEX(OUT!$BK$8:$BK$73,MATCH($A25,OUT!$A$8:$A$73,0)),"")</f>
        <v/>
      </c>
      <c r="M25" s="174">
        <f>IFERROR(INDEX(NOV!$BK$8:$BK$73,MATCH($A25,NOV!$A$8:$A$73,0)),"")</f>
        <v/>
      </c>
      <c r="N25" s="174">
        <f>IFERROR(INDEX(DEZ!$BK$8:$BK$73,MATCH($A25,DEZ!$A$8:$A$73,0)),"")</f>
        <v/>
      </c>
      <c r="O25" s="175">
        <f>SUM(C25:N25)</f>
        <v/>
      </c>
      <c r="P25" s="39" t="n"/>
      <c r="Q25" s="174">
        <f>IFERROR(INDEX(JAN!$BG$8:$BG$73,MATCH($A25,JAN!$A$8:$A$73,0)),"")</f>
        <v/>
      </c>
      <c r="R25" s="174">
        <f>IFERROR(INDEX(FEV!$BG$8:$BG$73,MATCH($A25,FEV!$A$8:$A$73,0)),"")</f>
        <v/>
      </c>
      <c r="S25" s="174">
        <f>IFERROR(INDEX(MAR!$BG$8:$BG$73,MATCH($A25,MAR!$A$8:$A$73,0)),"")</f>
        <v/>
      </c>
      <c r="T25" s="174">
        <f>IFERROR(INDEX(ABR!$BG$8:$BG$73,MATCH($A25,ABR!$A$8:$A$73,0)),"")</f>
        <v/>
      </c>
      <c r="U25" s="174">
        <f>IFERROR(INDEX(MAI!$BG$8:$BG$73,MATCH($A25,MAI!$A$8:$A$73,0)),"")</f>
        <v/>
      </c>
      <c r="V25" s="174">
        <f>IFERROR(INDEX(JUN!$BG$8:$BG$73,MATCH($A25,JUN!$A$8:$A$73,0)),"")</f>
        <v/>
      </c>
      <c r="W25" s="174">
        <f>IFERROR(INDEX(JUL!$BG$8:$BG$73,MATCH($A25,JUL!$A$8:$A$73,0)),"")</f>
        <v/>
      </c>
      <c r="X25" s="174">
        <f>IFERROR(INDEX(AGO!$BG$8:$BG$73,MATCH($A25,AGO!$A$8:$A$73,0)),"")</f>
        <v/>
      </c>
      <c r="Y25" s="174">
        <f>IFERROR(INDEX(SET!$BG$8:$BG$73,MATCH($A25,SET!$A$8:$A$73,0)),"")</f>
        <v/>
      </c>
      <c r="Z25" s="174">
        <f>IFERROR(INDEX(OUT!$BG$8:$BG$73,MATCH($A25,OUT!$A$8:$A$73,0)),"")</f>
        <v/>
      </c>
      <c r="AA25" s="174">
        <f>IFERROR(INDEX(NOV!$BG$8:$BG$73,MATCH($A25,NOV!$A$8:$A$73,0)),"")</f>
        <v/>
      </c>
      <c r="AB25" s="174">
        <f>IFERROR(INDEX(DEZ!$BG$8:$BG$73,MATCH($A25,DEZ!$A$8:$A$73,0)),"")</f>
        <v/>
      </c>
      <c r="AC25" s="175">
        <f>SUM(Q25:AB25)</f>
        <v/>
      </c>
      <c r="AD25" s="39" t="n"/>
      <c r="AE25" s="174">
        <f>IFERROR(INDEX(JAN!$BH$8:$BH$73,MATCH($A25,JAN!$A$8:$A$73,0)),"")</f>
        <v/>
      </c>
      <c r="AF25" s="174">
        <f>IFERROR(INDEX(FEV!$BH$8:$BH$73,MATCH($A25,FEV!$A$8:$A$73,0)),"")</f>
        <v/>
      </c>
      <c r="AG25" s="174">
        <f>IFERROR(INDEX(MAR!$BH$8:$BH$73,MATCH($A25,MAR!$A$8:$A$73,0)),"")</f>
        <v/>
      </c>
      <c r="AH25" s="174">
        <f>IFERROR(INDEX(ABR!$BH$8:$BH$73,MATCH($A25,ABR!$A$8:$A$73,0)),"")</f>
        <v/>
      </c>
      <c r="AI25" s="174">
        <f>IFERROR(INDEX(MAI!$BH$8:$BH$73,MATCH($A25,MAI!$A$8:$A$73,0)),"")</f>
        <v/>
      </c>
      <c r="AJ25" s="174">
        <f>IFERROR(INDEX(JUN!$BH$8:$BH$73,MATCH($A25,JUN!$A$8:$A$73,0)),"")</f>
        <v/>
      </c>
      <c r="AK25" s="174">
        <f>IFERROR(INDEX(JUL!$BH$8:$BH$73,MATCH($A25,JUL!$A$8:$A$73,0)),"")</f>
        <v/>
      </c>
      <c r="AL25" s="174">
        <f>IFERROR(INDEX(AGO!$BH$8:$BH$73,MATCH($A25,AGO!$A$8:$A$73,0)),"")</f>
        <v/>
      </c>
      <c r="AM25" s="174">
        <f>IFERROR(INDEX(SET!$BH$8:$BH$73,MATCH($A25,SET!$A$8:$A$73,0)),"")</f>
        <v/>
      </c>
      <c r="AN25" s="174">
        <f>IFERROR(INDEX(OUT!$BH$8:$BH$73,MATCH($A25,OUT!$A$8:$A$73,0)),"")</f>
        <v/>
      </c>
      <c r="AO25" s="174">
        <f>IFERROR(INDEX(NOV!$BH$8:$BH$73,MATCH($A25,NOV!$A$8:$A$73,0)),"")</f>
        <v/>
      </c>
      <c r="AP25" s="174">
        <f>IFERROR(INDEX(DEZ!$BH$8:$BH$73,MATCH($A25,DEZ!$A$8:$A$73,0)),"")</f>
        <v/>
      </c>
      <c r="AQ25" s="175">
        <f>SUM(AE25:AP25)</f>
        <v/>
      </c>
      <c r="AR25" s="39" t="n"/>
      <c r="AS25" s="174">
        <f>IFERROR(INDEX(JAN!$BI$8:$BI$73,MATCH($A25,JAN!$A$8:$A$73,0)),"")</f>
        <v/>
      </c>
      <c r="AT25" s="174">
        <f>IFERROR(INDEX(FEV!$BI$8:$BI$73,MATCH($A25,FEV!$A$8:$A$73,0)),"")</f>
        <v/>
      </c>
      <c r="AU25" s="174">
        <f>IFERROR(INDEX(MAR!$BI$8:$BI$73,MATCH($A25,MAR!$A$8:$A$73,0)),"")</f>
        <v/>
      </c>
      <c r="AV25" s="174">
        <f>IFERROR(INDEX(ABR!$BI$8:$BI$73,MATCH($A25,ABR!$A$8:$A$73,0)),"")</f>
        <v/>
      </c>
      <c r="AW25" s="174">
        <f>IFERROR(INDEX(MAI!$BI$8:$BI$73,MATCH($A25,MAI!$A$8:$A$73,0)),"")</f>
        <v/>
      </c>
      <c r="AX25" s="174">
        <f>IFERROR(INDEX(JUN!$BI$8:$BI$73,MATCH($A25,JUN!$A$8:$A$73,0)),"")</f>
        <v/>
      </c>
      <c r="AY25" s="174">
        <f>IFERROR(INDEX(JUL!$BI$8:$BI$73,MATCH($A25,JUL!$A$8:$A$73,0)),"")</f>
        <v/>
      </c>
      <c r="AZ25" s="174">
        <f>IFERROR(INDEX(AGO!$BI$8:$BI$73,MATCH($A25,AGO!$A$8:$A$73,0)),"")</f>
        <v/>
      </c>
      <c r="BA25" s="174">
        <f>IFERROR(INDEX(SET!$BI$8:$BI$73,MATCH($A25,SET!$A$8:$A$73,0)),"")</f>
        <v/>
      </c>
      <c r="BB25" s="174">
        <f>IFERROR(INDEX(OUT!$BI$8:$BI$73,MATCH($A25,OUT!$A$8:$A$73,0)),"")</f>
        <v/>
      </c>
      <c r="BC25" s="174">
        <f>IFERROR(INDEX(NOV!$BI$8:$BI$73,MATCH($A25,NOV!$A$8:$A$73,0)),"")</f>
        <v/>
      </c>
      <c r="BD25" s="174">
        <f>IFERROR(INDEX(DEZ!$BI$8:$BI$73,MATCH($A25,DEZ!$A$8:$A$73,0)),"")</f>
        <v/>
      </c>
      <c r="BE25" s="175">
        <f>SUM(AS25:BD25)</f>
        <v/>
      </c>
      <c r="BF25" s="39" t="n"/>
      <c r="BG25" s="107" t="n">
        <v>0</v>
      </c>
      <c r="BH25" s="133">
        <f>SUM(AE25:AP25)</f>
        <v/>
      </c>
      <c r="BI25" s="176">
        <f>IF(BG25="","",IF(BG25=BH25,"","⚠"))</f>
        <v/>
      </c>
      <c r="BJ25" s="39" t="n"/>
      <c r="BK25" s="39" t="n"/>
    </row>
    <row r="26">
      <c r="A26" s="89" t="inlineStr">
        <is>
          <t>Roberta</t>
        </is>
      </c>
      <c r="B26" s="173">
        <f>CADASTRO!$C22</f>
        <v/>
      </c>
      <c r="C26" s="174">
        <f>IFERROR(INDEX(JAN!$BK$8:$BK$73,MATCH($A26,JAN!$A$8:$A$73,0)),"")</f>
        <v/>
      </c>
      <c r="D26" s="174">
        <f>IFERROR(INDEX(FEV!$BK$8:$BK$73,MATCH($A26,FEV!$A$8:$A$73,0)),"")</f>
        <v/>
      </c>
      <c r="E26" s="174">
        <f>IFERROR(INDEX(MAR!$BK$8:$BK$73,MATCH($A26,MAR!$A$8:$A$73,0)),"")</f>
        <v/>
      </c>
      <c r="F26" s="174">
        <f>IFERROR(INDEX(ABR!$BK$8:$BK$73,MATCH($A26,ABR!$A$8:$A$73,0)),"")</f>
        <v/>
      </c>
      <c r="G26" s="174">
        <f>IFERROR(INDEX(MAI!$BK$8:$BK$73,MATCH($A26,MAI!$A$8:$A$73,0)),"")</f>
        <v/>
      </c>
      <c r="H26" s="174">
        <f>IFERROR(INDEX(JUN!$BK$8:$BK$73,MATCH($A26,JUN!$A$8:$A$73,0)),"")</f>
        <v/>
      </c>
      <c r="I26" s="174">
        <f>IFERROR(INDEX(JUL!$BK$8:$BK$73,MATCH($A26,JUL!$A$8:$A$73,0)),"")</f>
        <v/>
      </c>
      <c r="J26" s="174">
        <f>IFERROR(INDEX(AGO!$BK$8:$BK$73,MATCH($A26,AGO!$A$8:$A$73,0)),"")</f>
        <v/>
      </c>
      <c r="K26" s="174">
        <f>IFERROR(INDEX(SET!$BK$8:$BK$73,MATCH($A26,SET!$A$8:$A$73,0)),"")</f>
        <v/>
      </c>
      <c r="L26" s="174">
        <f>IFERROR(INDEX(OUT!$BK$8:$BK$73,MATCH($A26,OUT!$A$8:$A$73,0)),"")</f>
        <v/>
      </c>
      <c r="M26" s="174">
        <f>IFERROR(INDEX(NOV!$BK$8:$BK$73,MATCH($A26,NOV!$A$8:$A$73,0)),"")</f>
        <v/>
      </c>
      <c r="N26" s="174">
        <f>IFERROR(INDEX(DEZ!$BK$8:$BK$73,MATCH($A26,DEZ!$A$8:$A$73,0)),"")</f>
        <v/>
      </c>
      <c r="O26" s="175">
        <f>SUM(C26:N26)</f>
        <v/>
      </c>
      <c r="P26" s="39" t="n"/>
      <c r="Q26" s="174">
        <f>IFERROR(INDEX(JAN!$BG$8:$BG$73,MATCH($A26,JAN!$A$8:$A$73,0)),"")</f>
        <v/>
      </c>
      <c r="R26" s="174">
        <f>IFERROR(INDEX(FEV!$BG$8:$BG$73,MATCH($A26,FEV!$A$8:$A$73,0)),"")</f>
        <v/>
      </c>
      <c r="S26" s="174">
        <f>IFERROR(INDEX(MAR!$BG$8:$BG$73,MATCH($A26,MAR!$A$8:$A$73,0)),"")</f>
        <v/>
      </c>
      <c r="T26" s="174">
        <f>IFERROR(INDEX(ABR!$BG$8:$BG$73,MATCH($A26,ABR!$A$8:$A$73,0)),"")</f>
        <v/>
      </c>
      <c r="U26" s="174">
        <f>IFERROR(INDEX(MAI!$BG$8:$BG$73,MATCH($A26,MAI!$A$8:$A$73,0)),"")</f>
        <v/>
      </c>
      <c r="V26" s="174">
        <f>IFERROR(INDEX(JUN!$BG$8:$BG$73,MATCH($A26,JUN!$A$8:$A$73,0)),"")</f>
        <v/>
      </c>
      <c r="W26" s="174">
        <f>IFERROR(INDEX(JUL!$BG$8:$BG$73,MATCH($A26,JUL!$A$8:$A$73,0)),"")</f>
        <v/>
      </c>
      <c r="X26" s="174">
        <f>IFERROR(INDEX(AGO!$BG$8:$BG$73,MATCH($A26,AGO!$A$8:$A$73,0)),"")</f>
        <v/>
      </c>
      <c r="Y26" s="174">
        <f>IFERROR(INDEX(SET!$BG$8:$BG$73,MATCH($A26,SET!$A$8:$A$73,0)),"")</f>
        <v/>
      </c>
      <c r="Z26" s="174">
        <f>IFERROR(INDEX(OUT!$BG$8:$BG$73,MATCH($A26,OUT!$A$8:$A$73,0)),"")</f>
        <v/>
      </c>
      <c r="AA26" s="174">
        <f>IFERROR(INDEX(NOV!$BG$8:$BG$73,MATCH($A26,NOV!$A$8:$A$73,0)),"")</f>
        <v/>
      </c>
      <c r="AB26" s="174">
        <f>IFERROR(INDEX(DEZ!$BG$8:$BG$73,MATCH($A26,DEZ!$A$8:$A$73,0)),"")</f>
        <v/>
      </c>
      <c r="AC26" s="175">
        <f>SUM(Q26:AB26)</f>
        <v/>
      </c>
      <c r="AD26" s="39" t="n"/>
      <c r="AE26" s="174">
        <f>IFERROR(INDEX(JAN!$BH$8:$BH$73,MATCH($A26,JAN!$A$8:$A$73,0)),"")</f>
        <v/>
      </c>
      <c r="AF26" s="174">
        <f>IFERROR(INDEX(FEV!$BH$8:$BH$73,MATCH($A26,FEV!$A$8:$A$73,0)),"")</f>
        <v/>
      </c>
      <c r="AG26" s="174">
        <f>IFERROR(INDEX(MAR!$BH$8:$BH$73,MATCH($A26,MAR!$A$8:$A$73,0)),"")</f>
        <v/>
      </c>
      <c r="AH26" s="174">
        <f>IFERROR(INDEX(ABR!$BH$8:$BH$73,MATCH($A26,ABR!$A$8:$A$73,0)),"")</f>
        <v/>
      </c>
      <c r="AI26" s="174">
        <f>IFERROR(INDEX(MAI!$BH$8:$BH$73,MATCH($A26,MAI!$A$8:$A$73,0)),"")</f>
        <v/>
      </c>
      <c r="AJ26" s="174">
        <f>IFERROR(INDEX(JUN!$BH$8:$BH$73,MATCH($A26,JUN!$A$8:$A$73,0)),"")</f>
        <v/>
      </c>
      <c r="AK26" s="174">
        <f>IFERROR(INDEX(JUL!$BH$8:$BH$73,MATCH($A26,JUL!$A$8:$A$73,0)),"")</f>
        <v/>
      </c>
      <c r="AL26" s="174">
        <f>IFERROR(INDEX(AGO!$BH$8:$BH$73,MATCH($A26,AGO!$A$8:$A$73,0)),"")</f>
        <v/>
      </c>
      <c r="AM26" s="174">
        <f>IFERROR(INDEX(SET!$BH$8:$BH$73,MATCH($A26,SET!$A$8:$A$73,0)),"")</f>
        <v/>
      </c>
      <c r="AN26" s="174">
        <f>IFERROR(INDEX(OUT!$BH$8:$BH$73,MATCH($A26,OUT!$A$8:$A$73,0)),"")</f>
        <v/>
      </c>
      <c r="AO26" s="174">
        <f>IFERROR(INDEX(NOV!$BH$8:$BH$73,MATCH($A26,NOV!$A$8:$A$73,0)),"")</f>
        <v/>
      </c>
      <c r="AP26" s="174">
        <f>IFERROR(INDEX(DEZ!$BH$8:$BH$73,MATCH($A26,DEZ!$A$8:$A$73,0)),"")</f>
        <v/>
      </c>
      <c r="AQ26" s="175">
        <f>SUM(AE26:AP26)</f>
        <v/>
      </c>
      <c r="AR26" s="39" t="n"/>
      <c r="AS26" s="174">
        <f>IFERROR(INDEX(JAN!$BI$8:$BI$73,MATCH($A26,JAN!$A$8:$A$73,0)),"")</f>
        <v/>
      </c>
      <c r="AT26" s="174">
        <f>IFERROR(INDEX(FEV!$BI$8:$BI$73,MATCH($A26,FEV!$A$8:$A$73,0)),"")</f>
        <v/>
      </c>
      <c r="AU26" s="174">
        <f>IFERROR(INDEX(MAR!$BI$8:$BI$73,MATCH($A26,MAR!$A$8:$A$73,0)),"")</f>
        <v/>
      </c>
      <c r="AV26" s="174">
        <f>IFERROR(INDEX(ABR!$BI$8:$BI$73,MATCH($A26,ABR!$A$8:$A$73,0)),"")</f>
        <v/>
      </c>
      <c r="AW26" s="174">
        <f>IFERROR(INDEX(MAI!$BI$8:$BI$73,MATCH($A26,MAI!$A$8:$A$73,0)),"")</f>
        <v/>
      </c>
      <c r="AX26" s="174">
        <f>IFERROR(INDEX(JUN!$BI$8:$BI$73,MATCH($A26,JUN!$A$8:$A$73,0)),"")</f>
        <v/>
      </c>
      <c r="AY26" s="174">
        <f>IFERROR(INDEX(JUL!$BI$8:$BI$73,MATCH($A26,JUL!$A$8:$A$73,0)),"")</f>
        <v/>
      </c>
      <c r="AZ26" s="174">
        <f>IFERROR(INDEX(AGO!$BI$8:$BI$73,MATCH($A26,AGO!$A$8:$A$73,0)),"")</f>
        <v/>
      </c>
      <c r="BA26" s="174">
        <f>IFERROR(INDEX(SET!$BI$8:$BI$73,MATCH($A26,SET!$A$8:$A$73,0)),"")</f>
        <v/>
      </c>
      <c r="BB26" s="174">
        <f>IFERROR(INDEX(OUT!$BI$8:$BI$73,MATCH($A26,OUT!$A$8:$A$73,0)),"")</f>
        <v/>
      </c>
      <c r="BC26" s="174">
        <f>IFERROR(INDEX(NOV!$BI$8:$BI$73,MATCH($A26,NOV!$A$8:$A$73,0)),"")</f>
        <v/>
      </c>
      <c r="BD26" s="174">
        <f>IFERROR(INDEX(DEZ!$BI$8:$BI$73,MATCH($A26,DEZ!$A$8:$A$73,0)),"")</f>
        <v/>
      </c>
      <c r="BE26" s="175">
        <f>SUM(AS26:BD26)</f>
        <v/>
      </c>
      <c r="BF26" s="39" t="n"/>
      <c r="BG26" s="107" t="n">
        <v>3</v>
      </c>
      <c r="BH26" s="133">
        <f>SUM(AE26:AP26)</f>
        <v/>
      </c>
      <c r="BI26" s="176">
        <f>IF(BG26="","",IF(BG26=BH26,"","⚠"))</f>
        <v/>
      </c>
      <c r="BJ26" s="39" t="n"/>
      <c r="BK26" s="39" t="n"/>
    </row>
    <row r="27">
      <c r="A27" s="89" t="inlineStr">
        <is>
          <t>LuAlice</t>
        </is>
      </c>
      <c r="B27" s="173">
        <f>CADASTRO!$C23</f>
        <v/>
      </c>
      <c r="C27" s="174">
        <f>IFERROR(INDEX(JAN!$BK$8:$BK$73,MATCH($A27,JAN!$A$8:$A$73,0)),"")</f>
        <v/>
      </c>
      <c r="D27" s="174">
        <f>IFERROR(INDEX(FEV!$BK$8:$BK$73,MATCH($A27,FEV!$A$8:$A$73,0)),"")</f>
        <v/>
      </c>
      <c r="E27" s="174">
        <f>IFERROR(INDEX(MAR!$BK$8:$BK$73,MATCH($A27,MAR!$A$8:$A$73,0)),"")</f>
        <v/>
      </c>
      <c r="F27" s="174">
        <f>IFERROR(INDEX(ABR!$BK$8:$BK$73,MATCH($A27,ABR!$A$8:$A$73,0)),"")</f>
        <v/>
      </c>
      <c r="G27" s="174">
        <f>IFERROR(INDEX(MAI!$BK$8:$BK$73,MATCH($A27,MAI!$A$8:$A$73,0)),"")</f>
        <v/>
      </c>
      <c r="H27" s="174">
        <f>IFERROR(INDEX(JUN!$BK$8:$BK$73,MATCH($A27,JUN!$A$8:$A$73,0)),"")</f>
        <v/>
      </c>
      <c r="I27" s="174">
        <f>IFERROR(INDEX(JUL!$BK$8:$BK$73,MATCH($A27,JUL!$A$8:$A$73,0)),"")</f>
        <v/>
      </c>
      <c r="J27" s="174">
        <f>IFERROR(INDEX(AGO!$BK$8:$BK$73,MATCH($A27,AGO!$A$8:$A$73,0)),"")</f>
        <v/>
      </c>
      <c r="K27" s="174">
        <f>IFERROR(INDEX(SET!$BK$8:$BK$73,MATCH($A27,SET!$A$8:$A$73,0)),"")</f>
        <v/>
      </c>
      <c r="L27" s="174">
        <f>IFERROR(INDEX(OUT!$BK$8:$BK$73,MATCH($A27,OUT!$A$8:$A$73,0)),"")</f>
        <v/>
      </c>
      <c r="M27" s="174">
        <f>IFERROR(INDEX(NOV!$BK$8:$BK$73,MATCH($A27,NOV!$A$8:$A$73,0)),"")</f>
        <v/>
      </c>
      <c r="N27" s="174">
        <f>IFERROR(INDEX(DEZ!$BK$8:$BK$73,MATCH($A27,DEZ!$A$8:$A$73,0)),"")</f>
        <v/>
      </c>
      <c r="O27" s="175">
        <f>SUM(C27:N27)</f>
        <v/>
      </c>
      <c r="P27" s="39" t="n"/>
      <c r="Q27" s="174">
        <f>IFERROR(INDEX(JAN!$BG$8:$BG$73,MATCH($A27,JAN!$A$8:$A$73,0)),"")</f>
        <v/>
      </c>
      <c r="R27" s="174">
        <f>IFERROR(INDEX(FEV!$BG$8:$BG$73,MATCH($A27,FEV!$A$8:$A$73,0)),"")</f>
        <v/>
      </c>
      <c r="S27" s="174">
        <f>IFERROR(INDEX(MAR!$BG$8:$BG$73,MATCH($A27,MAR!$A$8:$A$73,0)),"")</f>
        <v/>
      </c>
      <c r="T27" s="174">
        <f>IFERROR(INDEX(ABR!$BG$8:$BG$73,MATCH($A27,ABR!$A$8:$A$73,0)),"")</f>
        <v/>
      </c>
      <c r="U27" s="174">
        <f>IFERROR(INDEX(MAI!$BG$8:$BG$73,MATCH($A27,MAI!$A$8:$A$73,0)),"")</f>
        <v/>
      </c>
      <c r="V27" s="174">
        <f>IFERROR(INDEX(JUN!$BG$8:$BG$73,MATCH($A27,JUN!$A$8:$A$73,0)),"")</f>
        <v/>
      </c>
      <c r="W27" s="174">
        <f>IFERROR(INDEX(JUL!$BG$8:$BG$73,MATCH($A27,JUL!$A$8:$A$73,0)),"")</f>
        <v/>
      </c>
      <c r="X27" s="174">
        <f>IFERROR(INDEX(AGO!$BG$8:$BG$73,MATCH($A27,AGO!$A$8:$A$73,0)),"")</f>
        <v/>
      </c>
      <c r="Y27" s="174">
        <f>IFERROR(INDEX(SET!$BG$8:$BG$73,MATCH($A27,SET!$A$8:$A$73,0)),"")</f>
        <v/>
      </c>
      <c r="Z27" s="174">
        <f>IFERROR(INDEX(OUT!$BG$8:$BG$73,MATCH($A27,OUT!$A$8:$A$73,0)),"")</f>
        <v/>
      </c>
      <c r="AA27" s="174">
        <f>IFERROR(INDEX(NOV!$BG$8:$BG$73,MATCH($A27,NOV!$A$8:$A$73,0)),"")</f>
        <v/>
      </c>
      <c r="AB27" s="174">
        <f>IFERROR(INDEX(DEZ!$BG$8:$BG$73,MATCH($A27,DEZ!$A$8:$A$73,0)),"")</f>
        <v/>
      </c>
      <c r="AC27" s="175">
        <f>SUM(Q27:AB27)</f>
        <v/>
      </c>
      <c r="AD27" s="39" t="n"/>
      <c r="AE27" s="174">
        <f>IFERROR(INDEX(JAN!$BH$8:$BH$73,MATCH($A27,JAN!$A$8:$A$73,0)),"")</f>
        <v/>
      </c>
      <c r="AF27" s="174">
        <f>IFERROR(INDEX(FEV!$BH$8:$BH$73,MATCH($A27,FEV!$A$8:$A$73,0)),"")</f>
        <v/>
      </c>
      <c r="AG27" s="174">
        <f>IFERROR(INDEX(MAR!$BH$8:$BH$73,MATCH($A27,MAR!$A$8:$A$73,0)),"")</f>
        <v/>
      </c>
      <c r="AH27" s="174">
        <f>IFERROR(INDEX(ABR!$BH$8:$BH$73,MATCH($A27,ABR!$A$8:$A$73,0)),"")</f>
        <v/>
      </c>
      <c r="AI27" s="174">
        <f>IFERROR(INDEX(MAI!$BH$8:$BH$73,MATCH($A27,MAI!$A$8:$A$73,0)),"")</f>
        <v/>
      </c>
      <c r="AJ27" s="174">
        <f>IFERROR(INDEX(JUN!$BH$8:$BH$73,MATCH($A27,JUN!$A$8:$A$73,0)),"")</f>
        <v/>
      </c>
      <c r="AK27" s="174">
        <f>IFERROR(INDEX(JUL!$BH$8:$BH$73,MATCH($A27,JUL!$A$8:$A$73,0)),"")</f>
        <v/>
      </c>
      <c r="AL27" s="174">
        <f>IFERROR(INDEX(AGO!$BH$8:$BH$73,MATCH($A27,AGO!$A$8:$A$73,0)),"")</f>
        <v/>
      </c>
      <c r="AM27" s="174">
        <f>IFERROR(INDEX(SET!$BH$8:$BH$73,MATCH($A27,SET!$A$8:$A$73,0)),"")</f>
        <v/>
      </c>
      <c r="AN27" s="174">
        <f>IFERROR(INDEX(OUT!$BH$8:$BH$73,MATCH($A27,OUT!$A$8:$A$73,0)),"")</f>
        <v/>
      </c>
      <c r="AO27" s="174">
        <f>IFERROR(INDEX(NOV!$BH$8:$BH$73,MATCH($A27,NOV!$A$8:$A$73,0)),"")</f>
        <v/>
      </c>
      <c r="AP27" s="174">
        <f>IFERROR(INDEX(DEZ!$BH$8:$BH$73,MATCH($A27,DEZ!$A$8:$A$73,0)),"")</f>
        <v/>
      </c>
      <c r="AQ27" s="175">
        <f>SUM(AE27:AP27)</f>
        <v/>
      </c>
      <c r="AR27" s="39" t="n"/>
      <c r="AS27" s="174">
        <f>IFERROR(INDEX(JAN!$BI$8:$BI$73,MATCH($A27,JAN!$A$8:$A$73,0)),"")</f>
        <v/>
      </c>
      <c r="AT27" s="174">
        <f>IFERROR(INDEX(FEV!$BI$8:$BI$73,MATCH($A27,FEV!$A$8:$A$73,0)),"")</f>
        <v/>
      </c>
      <c r="AU27" s="174">
        <f>IFERROR(INDEX(MAR!$BI$8:$BI$73,MATCH($A27,MAR!$A$8:$A$73,0)),"")</f>
        <v/>
      </c>
      <c r="AV27" s="174">
        <f>IFERROR(INDEX(ABR!$BI$8:$BI$73,MATCH($A27,ABR!$A$8:$A$73,0)),"")</f>
        <v/>
      </c>
      <c r="AW27" s="174">
        <f>IFERROR(INDEX(MAI!$BI$8:$BI$73,MATCH($A27,MAI!$A$8:$A$73,0)),"")</f>
        <v/>
      </c>
      <c r="AX27" s="174">
        <f>IFERROR(INDEX(JUN!$BI$8:$BI$73,MATCH($A27,JUN!$A$8:$A$73,0)),"")</f>
        <v/>
      </c>
      <c r="AY27" s="174">
        <f>IFERROR(INDEX(JUL!$BI$8:$BI$73,MATCH($A27,JUL!$A$8:$A$73,0)),"")</f>
        <v/>
      </c>
      <c r="AZ27" s="174">
        <f>IFERROR(INDEX(AGO!$BI$8:$BI$73,MATCH($A27,AGO!$A$8:$A$73,0)),"")</f>
        <v/>
      </c>
      <c r="BA27" s="174">
        <f>IFERROR(INDEX(SET!$BI$8:$BI$73,MATCH($A27,SET!$A$8:$A$73,0)),"")</f>
        <v/>
      </c>
      <c r="BB27" s="174">
        <f>IFERROR(INDEX(OUT!$BI$8:$BI$73,MATCH($A27,OUT!$A$8:$A$73,0)),"")</f>
        <v/>
      </c>
      <c r="BC27" s="174">
        <f>IFERROR(INDEX(NOV!$BI$8:$BI$73,MATCH($A27,NOV!$A$8:$A$73,0)),"")</f>
        <v/>
      </c>
      <c r="BD27" s="174">
        <f>IFERROR(INDEX(DEZ!$BI$8:$BI$73,MATCH($A27,DEZ!$A$8:$A$73,0)),"")</f>
        <v/>
      </c>
      <c r="BE27" s="175">
        <f>SUM(AS27:BD27)</f>
        <v/>
      </c>
      <c r="BF27" s="39" t="n"/>
      <c r="BG27" s="107" t="n">
        <v>2</v>
      </c>
      <c r="BH27" s="133">
        <f>SUM(AE27:AP27)</f>
        <v/>
      </c>
      <c r="BI27" s="176">
        <f>IF(BG27="","",IF(BG27=BH27,"","⚠"))</f>
        <v/>
      </c>
      <c r="BJ27" s="39" t="n"/>
      <c r="BK27" s="39" t="n"/>
    </row>
    <row r="28">
      <c r="A28" s="89" t="inlineStr">
        <is>
          <t>Amanda</t>
        </is>
      </c>
      <c r="B28" s="173">
        <f>CADASTRO!$C24</f>
        <v/>
      </c>
      <c r="C28" s="174">
        <f>IFERROR(INDEX(JAN!$BK$8:$BK$73,MATCH($A28,JAN!$A$8:$A$73,0)),"")</f>
        <v/>
      </c>
      <c r="D28" s="174">
        <f>IFERROR(INDEX(FEV!$BK$8:$BK$73,MATCH($A28,FEV!$A$8:$A$73,0)),"")</f>
        <v/>
      </c>
      <c r="E28" s="174">
        <f>IFERROR(INDEX(MAR!$BK$8:$BK$73,MATCH($A28,MAR!$A$8:$A$73,0)),"")</f>
        <v/>
      </c>
      <c r="F28" s="174">
        <f>IFERROR(INDEX(ABR!$BK$8:$BK$73,MATCH($A28,ABR!$A$8:$A$73,0)),"")</f>
        <v/>
      </c>
      <c r="G28" s="174">
        <f>IFERROR(INDEX(MAI!$BK$8:$BK$73,MATCH($A28,MAI!$A$8:$A$73,0)),"")</f>
        <v/>
      </c>
      <c r="H28" s="174">
        <f>IFERROR(INDEX(JUN!$BK$8:$BK$73,MATCH($A28,JUN!$A$8:$A$73,0)),"")</f>
        <v/>
      </c>
      <c r="I28" s="174">
        <f>IFERROR(INDEX(JUL!$BK$8:$BK$73,MATCH($A28,JUL!$A$8:$A$73,0)),"")</f>
        <v/>
      </c>
      <c r="J28" s="174">
        <f>IFERROR(INDEX(AGO!$BK$8:$BK$73,MATCH($A28,AGO!$A$8:$A$73,0)),"")</f>
        <v/>
      </c>
      <c r="K28" s="174">
        <f>IFERROR(INDEX(SET!$BK$8:$BK$73,MATCH($A28,SET!$A$8:$A$73,0)),"")</f>
        <v/>
      </c>
      <c r="L28" s="174">
        <f>IFERROR(INDEX(OUT!$BK$8:$BK$73,MATCH($A28,OUT!$A$8:$A$73,0)),"")</f>
        <v/>
      </c>
      <c r="M28" s="174">
        <f>IFERROR(INDEX(NOV!$BK$8:$BK$73,MATCH($A28,NOV!$A$8:$A$73,0)),"")</f>
        <v/>
      </c>
      <c r="N28" s="174">
        <f>IFERROR(INDEX(DEZ!$BK$8:$BK$73,MATCH($A28,DEZ!$A$8:$A$73,0)),"")</f>
        <v/>
      </c>
      <c r="O28" s="175">
        <f>SUM(C28:N28)</f>
        <v/>
      </c>
      <c r="P28" s="39" t="n"/>
      <c r="Q28" s="174">
        <f>IFERROR(INDEX(JAN!$BG$8:$BG$73,MATCH($A28,JAN!$A$8:$A$73,0)),"")</f>
        <v/>
      </c>
      <c r="R28" s="174">
        <f>IFERROR(INDEX(FEV!$BG$8:$BG$73,MATCH($A28,FEV!$A$8:$A$73,0)),"")</f>
        <v/>
      </c>
      <c r="S28" s="174">
        <f>IFERROR(INDEX(MAR!$BG$8:$BG$73,MATCH($A28,MAR!$A$8:$A$73,0)),"")</f>
        <v/>
      </c>
      <c r="T28" s="174">
        <f>IFERROR(INDEX(ABR!$BG$8:$BG$73,MATCH($A28,ABR!$A$8:$A$73,0)),"")</f>
        <v/>
      </c>
      <c r="U28" s="174">
        <f>IFERROR(INDEX(MAI!$BG$8:$BG$73,MATCH($A28,MAI!$A$8:$A$73,0)),"")</f>
        <v/>
      </c>
      <c r="V28" s="174">
        <f>IFERROR(INDEX(JUN!$BG$8:$BG$73,MATCH($A28,JUN!$A$8:$A$73,0)),"")</f>
        <v/>
      </c>
      <c r="W28" s="174">
        <f>IFERROR(INDEX(JUL!$BG$8:$BG$73,MATCH($A28,JUL!$A$8:$A$73,0)),"")</f>
        <v/>
      </c>
      <c r="X28" s="174">
        <f>IFERROR(INDEX(AGO!$BG$8:$BG$73,MATCH($A28,AGO!$A$8:$A$73,0)),"")</f>
        <v/>
      </c>
      <c r="Y28" s="174">
        <f>IFERROR(INDEX(SET!$BG$8:$BG$73,MATCH($A28,SET!$A$8:$A$73,0)),"")</f>
        <v/>
      </c>
      <c r="Z28" s="174">
        <f>IFERROR(INDEX(OUT!$BG$8:$BG$73,MATCH($A28,OUT!$A$8:$A$73,0)),"")</f>
        <v/>
      </c>
      <c r="AA28" s="174">
        <f>IFERROR(INDEX(NOV!$BG$8:$BG$73,MATCH($A28,NOV!$A$8:$A$73,0)),"")</f>
        <v/>
      </c>
      <c r="AB28" s="174">
        <f>IFERROR(INDEX(DEZ!$BG$8:$BG$73,MATCH($A28,DEZ!$A$8:$A$73,0)),"")</f>
        <v/>
      </c>
      <c r="AC28" s="175">
        <f>SUM(Q28:AB28)</f>
        <v/>
      </c>
      <c r="AD28" s="39" t="n"/>
      <c r="AE28" s="174">
        <f>IFERROR(INDEX(JAN!$BH$8:$BH$73,MATCH($A28,JAN!$A$8:$A$73,0)),"")</f>
        <v/>
      </c>
      <c r="AF28" s="174">
        <f>IFERROR(INDEX(FEV!$BH$8:$BH$73,MATCH($A28,FEV!$A$8:$A$73,0)),"")</f>
        <v/>
      </c>
      <c r="AG28" s="174">
        <f>IFERROR(INDEX(MAR!$BH$8:$BH$73,MATCH($A28,MAR!$A$8:$A$73,0)),"")</f>
        <v/>
      </c>
      <c r="AH28" s="174">
        <f>IFERROR(INDEX(ABR!$BH$8:$BH$73,MATCH($A28,ABR!$A$8:$A$73,0)),"")</f>
        <v/>
      </c>
      <c r="AI28" s="174">
        <f>IFERROR(INDEX(MAI!$BH$8:$BH$73,MATCH($A28,MAI!$A$8:$A$73,0)),"")</f>
        <v/>
      </c>
      <c r="AJ28" s="174">
        <f>IFERROR(INDEX(JUN!$BH$8:$BH$73,MATCH($A28,JUN!$A$8:$A$73,0)),"")</f>
        <v/>
      </c>
      <c r="AK28" s="174">
        <f>IFERROR(INDEX(JUL!$BH$8:$BH$73,MATCH($A28,JUL!$A$8:$A$73,0)),"")</f>
        <v/>
      </c>
      <c r="AL28" s="174">
        <f>IFERROR(INDEX(AGO!$BH$8:$BH$73,MATCH($A28,AGO!$A$8:$A$73,0)),"")</f>
        <v/>
      </c>
      <c r="AM28" s="174">
        <f>IFERROR(INDEX(SET!$BH$8:$BH$73,MATCH($A28,SET!$A$8:$A$73,0)),"")</f>
        <v/>
      </c>
      <c r="AN28" s="174">
        <f>IFERROR(INDEX(OUT!$BH$8:$BH$73,MATCH($A28,OUT!$A$8:$A$73,0)),"")</f>
        <v/>
      </c>
      <c r="AO28" s="174">
        <f>IFERROR(INDEX(NOV!$BH$8:$BH$73,MATCH($A28,NOV!$A$8:$A$73,0)),"")</f>
        <v/>
      </c>
      <c r="AP28" s="174">
        <f>IFERROR(INDEX(DEZ!$BH$8:$BH$73,MATCH($A28,DEZ!$A$8:$A$73,0)),"")</f>
        <v/>
      </c>
      <c r="AQ28" s="175">
        <f>SUM(AE28:AP28)</f>
        <v/>
      </c>
      <c r="AR28" s="39" t="n"/>
      <c r="AS28" s="174">
        <f>IFERROR(INDEX(JAN!$BI$8:$BI$73,MATCH($A28,JAN!$A$8:$A$73,0)),"")</f>
        <v/>
      </c>
      <c r="AT28" s="174">
        <f>IFERROR(INDEX(FEV!$BI$8:$BI$73,MATCH($A28,FEV!$A$8:$A$73,0)),"")</f>
        <v/>
      </c>
      <c r="AU28" s="174">
        <f>IFERROR(INDEX(MAR!$BI$8:$BI$73,MATCH($A28,MAR!$A$8:$A$73,0)),"")</f>
        <v/>
      </c>
      <c r="AV28" s="174">
        <f>IFERROR(INDEX(ABR!$BI$8:$BI$73,MATCH($A28,ABR!$A$8:$A$73,0)),"")</f>
        <v/>
      </c>
      <c r="AW28" s="174">
        <f>IFERROR(INDEX(MAI!$BI$8:$BI$73,MATCH($A28,MAI!$A$8:$A$73,0)),"")</f>
        <v/>
      </c>
      <c r="AX28" s="174">
        <f>IFERROR(INDEX(JUN!$BI$8:$BI$73,MATCH($A28,JUN!$A$8:$A$73,0)),"")</f>
        <v/>
      </c>
      <c r="AY28" s="174">
        <f>IFERROR(INDEX(JUL!$BI$8:$BI$73,MATCH($A28,JUL!$A$8:$A$73,0)),"")</f>
        <v/>
      </c>
      <c r="AZ28" s="174">
        <f>IFERROR(INDEX(AGO!$BI$8:$BI$73,MATCH($A28,AGO!$A$8:$A$73,0)),"")</f>
        <v/>
      </c>
      <c r="BA28" s="174">
        <f>IFERROR(INDEX(SET!$BI$8:$BI$73,MATCH($A28,SET!$A$8:$A$73,0)),"")</f>
        <v/>
      </c>
      <c r="BB28" s="174">
        <f>IFERROR(INDEX(OUT!$BI$8:$BI$73,MATCH($A28,OUT!$A$8:$A$73,0)),"")</f>
        <v/>
      </c>
      <c r="BC28" s="174">
        <f>IFERROR(INDEX(NOV!$BI$8:$BI$73,MATCH($A28,NOV!$A$8:$A$73,0)),"")</f>
        <v/>
      </c>
      <c r="BD28" s="174">
        <f>IFERROR(INDEX(DEZ!$BI$8:$BI$73,MATCH($A28,DEZ!$A$8:$A$73,0)),"")</f>
        <v/>
      </c>
      <c r="BE28" s="175">
        <f>SUM(AS28:BD28)</f>
        <v/>
      </c>
      <c r="BF28" s="39" t="n"/>
      <c r="BG28" s="107" t="n">
        <v>4</v>
      </c>
      <c r="BH28" s="133">
        <f>SUM(AE28:AP28)</f>
        <v/>
      </c>
      <c r="BI28" s="176">
        <f>IF(BG28="","",IF(BG28=BH28,"","⚠"))</f>
        <v/>
      </c>
      <c r="BJ28" s="39" t="n"/>
      <c r="BK28" s="39" t="n"/>
    </row>
    <row r="29">
      <c r="A29" s="89" t="inlineStr">
        <is>
          <t>Fernando</t>
        </is>
      </c>
      <c r="B29" s="173">
        <f>CADASTRO!$C25</f>
        <v/>
      </c>
      <c r="C29" s="174">
        <f>IFERROR(INDEX(JAN!$BK$8:$BK$73,MATCH($A29,JAN!$A$8:$A$73,0)),"")</f>
        <v/>
      </c>
      <c r="D29" s="174">
        <f>IFERROR(INDEX(FEV!$BK$8:$BK$73,MATCH($A29,FEV!$A$8:$A$73,0)),"")</f>
        <v/>
      </c>
      <c r="E29" s="174">
        <f>IFERROR(INDEX(MAR!$BK$8:$BK$73,MATCH($A29,MAR!$A$8:$A$73,0)),"")</f>
        <v/>
      </c>
      <c r="F29" s="174">
        <f>IFERROR(INDEX(ABR!$BK$8:$BK$73,MATCH($A29,ABR!$A$8:$A$73,0)),"")</f>
        <v/>
      </c>
      <c r="G29" s="174">
        <f>IFERROR(INDEX(MAI!$BK$8:$BK$73,MATCH($A29,MAI!$A$8:$A$73,0)),"")</f>
        <v/>
      </c>
      <c r="H29" s="174">
        <f>IFERROR(INDEX(JUN!$BK$8:$BK$73,MATCH($A29,JUN!$A$8:$A$73,0)),"")</f>
        <v/>
      </c>
      <c r="I29" s="174">
        <f>IFERROR(INDEX(JUL!$BK$8:$BK$73,MATCH($A29,JUL!$A$8:$A$73,0)),"")</f>
        <v/>
      </c>
      <c r="J29" s="174">
        <f>IFERROR(INDEX(AGO!$BK$8:$BK$73,MATCH($A29,AGO!$A$8:$A$73,0)),"")</f>
        <v/>
      </c>
      <c r="K29" s="174">
        <f>IFERROR(INDEX(SET!$BK$8:$BK$73,MATCH($A29,SET!$A$8:$A$73,0)),"")</f>
        <v/>
      </c>
      <c r="L29" s="174">
        <f>IFERROR(INDEX(OUT!$BK$8:$BK$73,MATCH($A29,OUT!$A$8:$A$73,0)),"")</f>
        <v/>
      </c>
      <c r="M29" s="174">
        <f>IFERROR(INDEX(NOV!$BK$8:$BK$73,MATCH($A29,NOV!$A$8:$A$73,0)),"")</f>
        <v/>
      </c>
      <c r="N29" s="174">
        <f>IFERROR(INDEX(DEZ!$BK$8:$BK$73,MATCH($A29,DEZ!$A$8:$A$73,0)),"")</f>
        <v/>
      </c>
      <c r="O29" s="175">
        <f>SUM(C29:N29)</f>
        <v/>
      </c>
      <c r="P29" s="39" t="n"/>
      <c r="Q29" s="174">
        <f>IFERROR(INDEX(JAN!$BG$8:$BG$73,MATCH($A29,JAN!$A$8:$A$73,0)),"")</f>
        <v/>
      </c>
      <c r="R29" s="174">
        <f>IFERROR(INDEX(FEV!$BG$8:$BG$73,MATCH($A29,FEV!$A$8:$A$73,0)),"")</f>
        <v/>
      </c>
      <c r="S29" s="174">
        <f>IFERROR(INDEX(MAR!$BG$8:$BG$73,MATCH($A29,MAR!$A$8:$A$73,0)),"")</f>
        <v/>
      </c>
      <c r="T29" s="174">
        <f>IFERROR(INDEX(ABR!$BG$8:$BG$73,MATCH($A29,ABR!$A$8:$A$73,0)),"")</f>
        <v/>
      </c>
      <c r="U29" s="174">
        <f>IFERROR(INDEX(MAI!$BG$8:$BG$73,MATCH($A29,MAI!$A$8:$A$73,0)),"")</f>
        <v/>
      </c>
      <c r="V29" s="174">
        <f>IFERROR(INDEX(JUN!$BG$8:$BG$73,MATCH($A29,JUN!$A$8:$A$73,0)),"")</f>
        <v/>
      </c>
      <c r="W29" s="174">
        <f>IFERROR(INDEX(JUL!$BG$8:$BG$73,MATCH($A29,JUL!$A$8:$A$73,0)),"")</f>
        <v/>
      </c>
      <c r="X29" s="174">
        <f>IFERROR(INDEX(AGO!$BG$8:$BG$73,MATCH($A29,AGO!$A$8:$A$73,0)),"")</f>
        <v/>
      </c>
      <c r="Y29" s="174">
        <f>IFERROR(INDEX(SET!$BG$8:$BG$73,MATCH($A29,SET!$A$8:$A$73,0)),"")</f>
        <v/>
      </c>
      <c r="Z29" s="174">
        <f>IFERROR(INDEX(OUT!$BG$8:$BG$73,MATCH($A29,OUT!$A$8:$A$73,0)),"")</f>
        <v/>
      </c>
      <c r="AA29" s="174">
        <f>IFERROR(INDEX(NOV!$BG$8:$BG$73,MATCH($A29,NOV!$A$8:$A$73,0)),"")</f>
        <v/>
      </c>
      <c r="AB29" s="174">
        <f>IFERROR(INDEX(DEZ!$BG$8:$BG$73,MATCH($A29,DEZ!$A$8:$A$73,0)),"")</f>
        <v/>
      </c>
      <c r="AC29" s="175">
        <f>SUM(Q29:AB29)</f>
        <v/>
      </c>
      <c r="AD29" s="39" t="n"/>
      <c r="AE29" s="174">
        <f>IFERROR(INDEX(JAN!$BH$8:$BH$73,MATCH($A29,JAN!$A$8:$A$73,0)),"")</f>
        <v/>
      </c>
      <c r="AF29" s="174">
        <f>IFERROR(INDEX(FEV!$BH$8:$BH$73,MATCH($A29,FEV!$A$8:$A$73,0)),"")</f>
        <v/>
      </c>
      <c r="AG29" s="174">
        <f>IFERROR(INDEX(MAR!$BH$8:$BH$73,MATCH($A29,MAR!$A$8:$A$73,0)),"")</f>
        <v/>
      </c>
      <c r="AH29" s="174">
        <f>IFERROR(INDEX(ABR!$BH$8:$BH$73,MATCH($A29,ABR!$A$8:$A$73,0)),"")</f>
        <v/>
      </c>
      <c r="AI29" s="174">
        <f>IFERROR(INDEX(MAI!$BH$8:$BH$73,MATCH($A29,MAI!$A$8:$A$73,0)),"")</f>
        <v/>
      </c>
      <c r="AJ29" s="174">
        <f>IFERROR(INDEX(JUN!$BH$8:$BH$73,MATCH($A29,JUN!$A$8:$A$73,0)),"")</f>
        <v/>
      </c>
      <c r="AK29" s="174">
        <f>IFERROR(INDEX(JUL!$BH$8:$BH$73,MATCH($A29,JUL!$A$8:$A$73,0)),"")</f>
        <v/>
      </c>
      <c r="AL29" s="174">
        <f>IFERROR(INDEX(AGO!$BH$8:$BH$73,MATCH($A29,AGO!$A$8:$A$73,0)),"")</f>
        <v/>
      </c>
      <c r="AM29" s="174">
        <f>IFERROR(INDEX(SET!$BH$8:$BH$73,MATCH($A29,SET!$A$8:$A$73,0)),"")</f>
        <v/>
      </c>
      <c r="AN29" s="174">
        <f>IFERROR(INDEX(OUT!$BH$8:$BH$73,MATCH($A29,OUT!$A$8:$A$73,0)),"")</f>
        <v/>
      </c>
      <c r="AO29" s="174">
        <f>IFERROR(INDEX(NOV!$BH$8:$BH$73,MATCH($A29,NOV!$A$8:$A$73,0)),"")</f>
        <v/>
      </c>
      <c r="AP29" s="174">
        <f>IFERROR(INDEX(DEZ!$BH$8:$BH$73,MATCH($A29,DEZ!$A$8:$A$73,0)),"")</f>
        <v/>
      </c>
      <c r="AQ29" s="175">
        <f>SUM(AE29:AP29)</f>
        <v/>
      </c>
      <c r="AR29" s="39" t="n"/>
      <c r="AS29" s="174">
        <f>IFERROR(INDEX(JAN!$BI$8:$BI$73,MATCH($A29,JAN!$A$8:$A$73,0)),"")</f>
        <v/>
      </c>
      <c r="AT29" s="174">
        <f>IFERROR(INDEX(FEV!$BI$8:$BI$73,MATCH($A29,FEV!$A$8:$A$73,0)),"")</f>
        <v/>
      </c>
      <c r="AU29" s="174">
        <f>IFERROR(INDEX(MAR!$BI$8:$BI$73,MATCH($A29,MAR!$A$8:$A$73,0)),"")</f>
        <v/>
      </c>
      <c r="AV29" s="174">
        <f>IFERROR(INDEX(ABR!$BI$8:$BI$73,MATCH($A29,ABR!$A$8:$A$73,0)),"")</f>
        <v/>
      </c>
      <c r="AW29" s="174">
        <f>IFERROR(INDEX(MAI!$BI$8:$BI$73,MATCH($A29,MAI!$A$8:$A$73,0)),"")</f>
        <v/>
      </c>
      <c r="AX29" s="174">
        <f>IFERROR(INDEX(JUN!$BI$8:$BI$73,MATCH($A29,JUN!$A$8:$A$73,0)),"")</f>
        <v/>
      </c>
      <c r="AY29" s="174">
        <f>IFERROR(INDEX(JUL!$BI$8:$BI$73,MATCH($A29,JUL!$A$8:$A$73,0)),"")</f>
        <v/>
      </c>
      <c r="AZ29" s="174">
        <f>IFERROR(INDEX(AGO!$BI$8:$BI$73,MATCH($A29,AGO!$A$8:$A$73,0)),"")</f>
        <v/>
      </c>
      <c r="BA29" s="174">
        <f>IFERROR(INDEX(SET!$BI$8:$BI$73,MATCH($A29,SET!$A$8:$A$73,0)),"")</f>
        <v/>
      </c>
      <c r="BB29" s="174">
        <f>IFERROR(INDEX(OUT!$BI$8:$BI$73,MATCH($A29,OUT!$A$8:$A$73,0)),"")</f>
        <v/>
      </c>
      <c r="BC29" s="174">
        <f>IFERROR(INDEX(NOV!$BI$8:$BI$73,MATCH($A29,NOV!$A$8:$A$73,0)),"")</f>
        <v/>
      </c>
      <c r="BD29" s="174">
        <f>IFERROR(INDEX(DEZ!$BI$8:$BI$73,MATCH($A29,DEZ!$A$8:$A$73,0)),"")</f>
        <v/>
      </c>
      <c r="BE29" s="175">
        <f>SUM(AS29:BD29)</f>
        <v/>
      </c>
      <c r="BF29" s="39" t="n"/>
      <c r="BG29" s="107" t="n">
        <v>3</v>
      </c>
      <c r="BH29" s="133">
        <f>SUM(AE29:AP29)</f>
        <v/>
      </c>
      <c r="BI29" s="176">
        <f>IF(BG29="","",IF(BG29=BH29,"","⚠"))</f>
        <v/>
      </c>
      <c r="BJ29" s="39" t="n"/>
      <c r="BK29" s="39" t="n"/>
    </row>
    <row r="30">
      <c r="A30" s="89" t="inlineStr">
        <is>
          <t>João</t>
        </is>
      </c>
      <c r="B30" s="173">
        <f>CADASTRO!$C26</f>
        <v/>
      </c>
      <c r="C30" s="174">
        <f>IFERROR(INDEX(JAN!$BK$8:$BK$73,MATCH($A30,JAN!$A$8:$A$73,0)),"")</f>
        <v/>
      </c>
      <c r="D30" s="174">
        <f>IFERROR(INDEX(FEV!$BK$8:$BK$73,MATCH($A30,FEV!$A$8:$A$73,0)),"")</f>
        <v/>
      </c>
      <c r="E30" s="174">
        <f>IFERROR(INDEX(MAR!$BK$8:$BK$73,MATCH($A30,MAR!$A$8:$A$73,0)),"")</f>
        <v/>
      </c>
      <c r="F30" s="174">
        <f>IFERROR(INDEX(ABR!$BK$8:$BK$73,MATCH($A30,ABR!$A$8:$A$73,0)),"")</f>
        <v/>
      </c>
      <c r="G30" s="174">
        <f>IFERROR(INDEX(MAI!$BK$8:$BK$73,MATCH($A30,MAI!$A$8:$A$73,0)),"")</f>
        <v/>
      </c>
      <c r="H30" s="174">
        <f>IFERROR(INDEX(JUN!$BK$8:$BK$73,MATCH($A30,JUN!$A$8:$A$73,0)),"")</f>
        <v/>
      </c>
      <c r="I30" s="174">
        <f>IFERROR(INDEX(JUL!$BK$8:$BK$73,MATCH($A30,JUL!$A$8:$A$73,0)),"")</f>
        <v/>
      </c>
      <c r="J30" s="174">
        <f>IFERROR(INDEX(AGO!$BK$8:$BK$73,MATCH($A30,AGO!$A$8:$A$73,0)),"")</f>
        <v/>
      </c>
      <c r="K30" s="174">
        <f>IFERROR(INDEX(SET!$BK$8:$BK$73,MATCH($A30,SET!$A$8:$A$73,0)),"")</f>
        <v/>
      </c>
      <c r="L30" s="174">
        <f>IFERROR(INDEX(OUT!$BK$8:$BK$73,MATCH($A30,OUT!$A$8:$A$73,0)),"")</f>
        <v/>
      </c>
      <c r="M30" s="174">
        <f>IFERROR(INDEX(NOV!$BK$8:$BK$73,MATCH($A30,NOV!$A$8:$A$73,0)),"")</f>
        <v/>
      </c>
      <c r="N30" s="174">
        <f>IFERROR(INDEX(DEZ!$BK$8:$BK$73,MATCH($A30,DEZ!$A$8:$A$73,0)),"")</f>
        <v/>
      </c>
      <c r="O30" s="175">
        <f>SUM(C30:N30)</f>
        <v/>
      </c>
      <c r="P30" s="39" t="n"/>
      <c r="Q30" s="174">
        <f>IFERROR(INDEX(JAN!$BG$8:$BG$73,MATCH($A30,JAN!$A$8:$A$73,0)),"")</f>
        <v/>
      </c>
      <c r="R30" s="174">
        <f>IFERROR(INDEX(FEV!$BG$8:$BG$73,MATCH($A30,FEV!$A$8:$A$73,0)),"")</f>
        <v/>
      </c>
      <c r="S30" s="174">
        <f>IFERROR(INDEX(MAR!$BG$8:$BG$73,MATCH($A30,MAR!$A$8:$A$73,0)),"")</f>
        <v/>
      </c>
      <c r="T30" s="174">
        <f>IFERROR(INDEX(ABR!$BG$8:$BG$73,MATCH($A30,ABR!$A$8:$A$73,0)),"")</f>
        <v/>
      </c>
      <c r="U30" s="174">
        <f>IFERROR(INDEX(MAI!$BG$8:$BG$73,MATCH($A30,MAI!$A$8:$A$73,0)),"")</f>
        <v/>
      </c>
      <c r="V30" s="174">
        <f>IFERROR(INDEX(JUN!$BG$8:$BG$73,MATCH($A30,JUN!$A$8:$A$73,0)),"")</f>
        <v/>
      </c>
      <c r="W30" s="174">
        <f>IFERROR(INDEX(JUL!$BG$8:$BG$73,MATCH($A30,JUL!$A$8:$A$73,0)),"")</f>
        <v/>
      </c>
      <c r="X30" s="174">
        <f>IFERROR(INDEX(AGO!$BG$8:$BG$73,MATCH($A30,AGO!$A$8:$A$73,0)),"")</f>
        <v/>
      </c>
      <c r="Y30" s="174">
        <f>IFERROR(INDEX(SET!$BG$8:$BG$73,MATCH($A30,SET!$A$8:$A$73,0)),"")</f>
        <v/>
      </c>
      <c r="Z30" s="174">
        <f>IFERROR(INDEX(OUT!$BG$8:$BG$73,MATCH($A30,OUT!$A$8:$A$73,0)),"")</f>
        <v/>
      </c>
      <c r="AA30" s="174">
        <f>IFERROR(INDEX(NOV!$BG$8:$BG$73,MATCH($A30,NOV!$A$8:$A$73,0)),"")</f>
        <v/>
      </c>
      <c r="AB30" s="174">
        <f>IFERROR(INDEX(DEZ!$BG$8:$BG$73,MATCH($A30,DEZ!$A$8:$A$73,0)),"")</f>
        <v/>
      </c>
      <c r="AC30" s="175">
        <f>SUM(Q30:AB30)</f>
        <v/>
      </c>
      <c r="AD30" s="39" t="n"/>
      <c r="AE30" s="174">
        <f>IFERROR(INDEX(JAN!$BH$8:$BH$73,MATCH($A30,JAN!$A$8:$A$73,0)),"")</f>
        <v/>
      </c>
      <c r="AF30" s="174">
        <f>IFERROR(INDEX(FEV!$BH$8:$BH$73,MATCH($A30,FEV!$A$8:$A$73,0)),"")</f>
        <v/>
      </c>
      <c r="AG30" s="174">
        <f>IFERROR(INDEX(MAR!$BH$8:$BH$73,MATCH($A30,MAR!$A$8:$A$73,0)),"")</f>
        <v/>
      </c>
      <c r="AH30" s="174">
        <f>IFERROR(INDEX(ABR!$BH$8:$BH$73,MATCH($A30,ABR!$A$8:$A$73,0)),"")</f>
        <v/>
      </c>
      <c r="AI30" s="174">
        <f>IFERROR(INDEX(MAI!$BH$8:$BH$73,MATCH($A30,MAI!$A$8:$A$73,0)),"")</f>
        <v/>
      </c>
      <c r="AJ30" s="174">
        <f>IFERROR(INDEX(JUN!$BH$8:$BH$73,MATCH($A30,JUN!$A$8:$A$73,0)),"")</f>
        <v/>
      </c>
      <c r="AK30" s="174">
        <f>IFERROR(INDEX(JUL!$BH$8:$BH$73,MATCH($A30,JUL!$A$8:$A$73,0)),"")</f>
        <v/>
      </c>
      <c r="AL30" s="174">
        <f>IFERROR(INDEX(AGO!$BH$8:$BH$73,MATCH($A30,AGO!$A$8:$A$73,0)),"")</f>
        <v/>
      </c>
      <c r="AM30" s="174">
        <f>IFERROR(INDEX(SET!$BH$8:$BH$73,MATCH($A30,SET!$A$8:$A$73,0)),"")</f>
        <v/>
      </c>
      <c r="AN30" s="174">
        <f>IFERROR(INDEX(OUT!$BH$8:$BH$73,MATCH($A30,OUT!$A$8:$A$73,0)),"")</f>
        <v/>
      </c>
      <c r="AO30" s="174">
        <f>IFERROR(INDEX(NOV!$BH$8:$BH$73,MATCH($A30,NOV!$A$8:$A$73,0)),"")</f>
        <v/>
      </c>
      <c r="AP30" s="174">
        <f>IFERROR(INDEX(DEZ!$BH$8:$BH$73,MATCH($A30,DEZ!$A$8:$A$73,0)),"")</f>
        <v/>
      </c>
      <c r="AQ30" s="175">
        <f>SUM(AE30:AP30)</f>
        <v/>
      </c>
      <c r="AR30" s="39" t="n"/>
      <c r="AS30" s="174">
        <f>IFERROR(INDEX(JAN!$BI$8:$BI$73,MATCH($A30,JAN!$A$8:$A$73,0)),"")</f>
        <v/>
      </c>
      <c r="AT30" s="174">
        <f>IFERROR(INDEX(FEV!$BI$8:$BI$73,MATCH($A30,FEV!$A$8:$A$73,0)),"")</f>
        <v/>
      </c>
      <c r="AU30" s="174">
        <f>IFERROR(INDEX(MAR!$BI$8:$BI$73,MATCH($A30,MAR!$A$8:$A$73,0)),"")</f>
        <v/>
      </c>
      <c r="AV30" s="174">
        <f>IFERROR(INDEX(ABR!$BI$8:$BI$73,MATCH($A30,ABR!$A$8:$A$73,0)),"")</f>
        <v/>
      </c>
      <c r="AW30" s="174">
        <f>IFERROR(INDEX(MAI!$BI$8:$BI$73,MATCH($A30,MAI!$A$8:$A$73,0)),"")</f>
        <v/>
      </c>
      <c r="AX30" s="174">
        <f>IFERROR(INDEX(JUN!$BI$8:$BI$73,MATCH($A30,JUN!$A$8:$A$73,0)),"")</f>
        <v/>
      </c>
      <c r="AY30" s="174">
        <f>IFERROR(INDEX(JUL!$BI$8:$BI$73,MATCH($A30,JUL!$A$8:$A$73,0)),"")</f>
        <v/>
      </c>
      <c r="AZ30" s="174">
        <f>IFERROR(INDEX(AGO!$BI$8:$BI$73,MATCH($A30,AGO!$A$8:$A$73,0)),"")</f>
        <v/>
      </c>
      <c r="BA30" s="174">
        <f>IFERROR(INDEX(SET!$BI$8:$BI$73,MATCH($A30,SET!$A$8:$A$73,0)),"")</f>
        <v/>
      </c>
      <c r="BB30" s="174">
        <f>IFERROR(INDEX(OUT!$BI$8:$BI$73,MATCH($A30,OUT!$A$8:$A$73,0)),"")</f>
        <v/>
      </c>
      <c r="BC30" s="174">
        <f>IFERROR(INDEX(NOV!$BI$8:$BI$73,MATCH($A30,NOV!$A$8:$A$73,0)),"")</f>
        <v/>
      </c>
      <c r="BD30" s="174">
        <f>IFERROR(INDEX(DEZ!$BI$8:$BI$73,MATCH($A30,DEZ!$A$8:$A$73,0)),"")</f>
        <v/>
      </c>
      <c r="BE30" s="175">
        <f>SUM(AS30:BD30)</f>
        <v/>
      </c>
      <c r="BF30" s="39" t="n"/>
      <c r="BG30" s="107" t="n">
        <v>4</v>
      </c>
      <c r="BH30" s="133">
        <f>SUM(AE30:AP30)</f>
        <v/>
      </c>
      <c r="BI30" s="176">
        <f>IF(BG30="","",IF(BG30=BH30,"","⚠"))</f>
        <v/>
      </c>
      <c r="BJ30" s="39" t="n"/>
      <c r="BK30" s="39" t="n"/>
    </row>
    <row r="31">
      <c r="A31" s="89" t="inlineStr">
        <is>
          <t>JuCoutinho</t>
        </is>
      </c>
      <c r="B31" s="173">
        <f>CADASTRO!$C27</f>
        <v/>
      </c>
      <c r="C31" s="174">
        <f>IFERROR(INDEX(JAN!$BK$8:$BK$73,MATCH($A31,JAN!$A$8:$A$73,0)),"")</f>
        <v/>
      </c>
      <c r="D31" s="174">
        <f>IFERROR(INDEX(FEV!$BK$8:$BK$73,MATCH($A31,FEV!$A$8:$A$73,0)),"")</f>
        <v/>
      </c>
      <c r="E31" s="174">
        <f>IFERROR(INDEX(MAR!$BK$8:$BK$73,MATCH($A31,MAR!$A$8:$A$73,0)),"")</f>
        <v/>
      </c>
      <c r="F31" s="174">
        <f>IFERROR(INDEX(ABR!$BK$8:$BK$73,MATCH($A31,ABR!$A$8:$A$73,0)),"")</f>
        <v/>
      </c>
      <c r="G31" s="174">
        <f>IFERROR(INDEX(MAI!$BK$8:$BK$73,MATCH($A31,MAI!$A$8:$A$73,0)),"")</f>
        <v/>
      </c>
      <c r="H31" s="174">
        <f>IFERROR(INDEX(JUN!$BK$8:$BK$73,MATCH($A31,JUN!$A$8:$A$73,0)),"")</f>
        <v/>
      </c>
      <c r="I31" s="174">
        <f>IFERROR(INDEX(JUL!$BK$8:$BK$73,MATCH($A31,JUL!$A$8:$A$73,0)),"")</f>
        <v/>
      </c>
      <c r="J31" s="174">
        <f>IFERROR(INDEX(AGO!$BK$8:$BK$73,MATCH($A31,AGO!$A$8:$A$73,0)),"")</f>
        <v/>
      </c>
      <c r="K31" s="174">
        <f>IFERROR(INDEX(SET!$BK$8:$BK$73,MATCH($A31,SET!$A$8:$A$73,0)),"")</f>
        <v/>
      </c>
      <c r="L31" s="174">
        <f>IFERROR(INDEX(OUT!$BK$8:$BK$73,MATCH($A31,OUT!$A$8:$A$73,0)),"")</f>
        <v/>
      </c>
      <c r="M31" s="174">
        <f>IFERROR(INDEX(NOV!$BK$8:$BK$73,MATCH($A31,NOV!$A$8:$A$73,0)),"")</f>
        <v/>
      </c>
      <c r="N31" s="174">
        <f>IFERROR(INDEX(DEZ!$BK$8:$BK$73,MATCH($A31,DEZ!$A$8:$A$73,0)),"")</f>
        <v/>
      </c>
      <c r="O31" s="175">
        <f>SUM(C31:N31)</f>
        <v/>
      </c>
      <c r="P31" s="39" t="n"/>
      <c r="Q31" s="174">
        <f>IFERROR(INDEX(JAN!$BG$8:$BG$73,MATCH($A31,JAN!$A$8:$A$73,0)),"")</f>
        <v/>
      </c>
      <c r="R31" s="174">
        <f>IFERROR(INDEX(FEV!$BG$8:$BG$73,MATCH($A31,FEV!$A$8:$A$73,0)),"")</f>
        <v/>
      </c>
      <c r="S31" s="174">
        <f>IFERROR(INDEX(MAR!$BG$8:$BG$73,MATCH($A31,MAR!$A$8:$A$73,0)),"")</f>
        <v/>
      </c>
      <c r="T31" s="174">
        <f>IFERROR(INDEX(ABR!$BG$8:$BG$73,MATCH($A31,ABR!$A$8:$A$73,0)),"")</f>
        <v/>
      </c>
      <c r="U31" s="174">
        <f>IFERROR(INDEX(MAI!$BG$8:$BG$73,MATCH($A31,MAI!$A$8:$A$73,0)),"")</f>
        <v/>
      </c>
      <c r="V31" s="174">
        <f>IFERROR(INDEX(JUN!$BG$8:$BG$73,MATCH($A31,JUN!$A$8:$A$73,0)),"")</f>
        <v/>
      </c>
      <c r="W31" s="174">
        <f>IFERROR(INDEX(JUL!$BG$8:$BG$73,MATCH($A31,JUL!$A$8:$A$73,0)),"")</f>
        <v/>
      </c>
      <c r="X31" s="174">
        <f>IFERROR(INDEX(AGO!$BG$8:$BG$73,MATCH($A31,AGO!$A$8:$A$73,0)),"")</f>
        <v/>
      </c>
      <c r="Y31" s="174">
        <f>IFERROR(INDEX(SET!$BG$8:$BG$73,MATCH($A31,SET!$A$8:$A$73,0)),"")</f>
        <v/>
      </c>
      <c r="Z31" s="174">
        <f>IFERROR(INDEX(OUT!$BG$8:$BG$73,MATCH($A31,OUT!$A$8:$A$73,0)),"")</f>
        <v/>
      </c>
      <c r="AA31" s="174">
        <f>IFERROR(INDEX(NOV!$BG$8:$BG$73,MATCH($A31,NOV!$A$8:$A$73,0)),"")</f>
        <v/>
      </c>
      <c r="AB31" s="174">
        <f>IFERROR(INDEX(DEZ!$BG$8:$BG$73,MATCH($A31,DEZ!$A$8:$A$73,0)),"")</f>
        <v/>
      </c>
      <c r="AC31" s="175">
        <f>SUM(Q31:AB31)</f>
        <v/>
      </c>
      <c r="AD31" s="39" t="n"/>
      <c r="AE31" s="174">
        <f>IFERROR(INDEX(JAN!$BH$8:$BH$73,MATCH($A31,JAN!$A$8:$A$73,0)),"")</f>
        <v/>
      </c>
      <c r="AF31" s="174">
        <f>IFERROR(INDEX(FEV!$BH$8:$BH$73,MATCH($A31,FEV!$A$8:$A$73,0)),"")</f>
        <v/>
      </c>
      <c r="AG31" s="174">
        <f>IFERROR(INDEX(MAR!$BH$8:$BH$73,MATCH($A31,MAR!$A$8:$A$73,0)),"")</f>
        <v/>
      </c>
      <c r="AH31" s="174">
        <f>IFERROR(INDEX(ABR!$BH$8:$BH$73,MATCH($A31,ABR!$A$8:$A$73,0)),"")</f>
        <v/>
      </c>
      <c r="AI31" s="174">
        <f>IFERROR(INDEX(MAI!$BH$8:$BH$73,MATCH($A31,MAI!$A$8:$A$73,0)),"")</f>
        <v/>
      </c>
      <c r="AJ31" s="174">
        <f>IFERROR(INDEX(JUN!$BH$8:$BH$73,MATCH($A31,JUN!$A$8:$A$73,0)),"")</f>
        <v/>
      </c>
      <c r="AK31" s="174">
        <f>IFERROR(INDEX(JUL!$BH$8:$BH$73,MATCH($A31,JUL!$A$8:$A$73,0)),"")</f>
        <v/>
      </c>
      <c r="AL31" s="174">
        <f>IFERROR(INDEX(AGO!$BH$8:$BH$73,MATCH($A31,AGO!$A$8:$A$73,0)),"")</f>
        <v/>
      </c>
      <c r="AM31" s="174">
        <f>IFERROR(INDEX(SET!$BH$8:$BH$73,MATCH($A31,SET!$A$8:$A$73,0)),"")</f>
        <v/>
      </c>
      <c r="AN31" s="174">
        <f>IFERROR(INDEX(OUT!$BH$8:$BH$73,MATCH($A31,OUT!$A$8:$A$73,0)),"")</f>
        <v/>
      </c>
      <c r="AO31" s="174">
        <f>IFERROR(INDEX(NOV!$BH$8:$BH$73,MATCH($A31,NOV!$A$8:$A$73,0)),"")</f>
        <v/>
      </c>
      <c r="AP31" s="174">
        <f>IFERROR(INDEX(DEZ!$BH$8:$BH$73,MATCH($A31,DEZ!$A$8:$A$73,0)),"")</f>
        <v/>
      </c>
      <c r="AQ31" s="175">
        <f>SUM(AE31:AP31)</f>
        <v/>
      </c>
      <c r="AR31" s="39" t="n"/>
      <c r="AS31" s="174">
        <f>IFERROR(INDEX(JAN!$BI$8:$BI$73,MATCH($A31,JAN!$A$8:$A$73,0)),"")</f>
        <v/>
      </c>
      <c r="AT31" s="174">
        <f>IFERROR(INDEX(FEV!$BI$8:$BI$73,MATCH($A31,FEV!$A$8:$A$73,0)),"")</f>
        <v/>
      </c>
      <c r="AU31" s="174">
        <f>IFERROR(INDEX(MAR!$BI$8:$BI$73,MATCH($A31,MAR!$A$8:$A$73,0)),"")</f>
        <v/>
      </c>
      <c r="AV31" s="174">
        <f>IFERROR(INDEX(ABR!$BI$8:$BI$73,MATCH($A31,ABR!$A$8:$A$73,0)),"")</f>
        <v/>
      </c>
      <c r="AW31" s="174">
        <f>IFERROR(INDEX(MAI!$BI$8:$BI$73,MATCH($A31,MAI!$A$8:$A$73,0)),"")</f>
        <v/>
      </c>
      <c r="AX31" s="174">
        <f>IFERROR(INDEX(JUN!$BI$8:$BI$73,MATCH($A31,JUN!$A$8:$A$73,0)),"")</f>
        <v/>
      </c>
      <c r="AY31" s="174">
        <f>IFERROR(INDEX(JUL!$BI$8:$BI$73,MATCH($A31,JUL!$A$8:$A$73,0)),"")</f>
        <v/>
      </c>
      <c r="AZ31" s="174">
        <f>IFERROR(INDEX(AGO!$BI$8:$BI$73,MATCH($A31,AGO!$A$8:$A$73,0)),"")</f>
        <v/>
      </c>
      <c r="BA31" s="174">
        <f>IFERROR(INDEX(SET!$BI$8:$BI$73,MATCH($A31,SET!$A$8:$A$73,0)),"")</f>
        <v/>
      </c>
      <c r="BB31" s="174">
        <f>IFERROR(INDEX(OUT!$BI$8:$BI$73,MATCH($A31,OUT!$A$8:$A$73,0)),"")</f>
        <v/>
      </c>
      <c r="BC31" s="174">
        <f>IFERROR(INDEX(NOV!$BI$8:$BI$73,MATCH($A31,NOV!$A$8:$A$73,0)),"")</f>
        <v/>
      </c>
      <c r="BD31" s="174">
        <f>IFERROR(INDEX(DEZ!$BI$8:$BI$73,MATCH($A31,DEZ!$A$8:$A$73,0)),"")</f>
        <v/>
      </c>
      <c r="BE31" s="175">
        <f>SUM(AS31:BD31)</f>
        <v/>
      </c>
      <c r="BF31" s="39" t="n"/>
      <c r="BG31" s="107" t="n">
        <v>3</v>
      </c>
      <c r="BH31" s="133">
        <f>SUM(AE31:AP31)</f>
        <v/>
      </c>
      <c r="BI31" s="176">
        <f>IF(BG31="","",IF(BG31=BH31,"","⚠"))</f>
        <v/>
      </c>
      <c r="BJ31" s="39" t="n"/>
      <c r="BK31" s="39" t="n"/>
    </row>
    <row r="32">
      <c r="A32" s="89" t="inlineStr">
        <is>
          <t>LeLemos</t>
        </is>
      </c>
      <c r="B32" s="173">
        <f>CADASTRO!$C28</f>
        <v/>
      </c>
      <c r="C32" s="174">
        <f>IFERROR(INDEX(JAN!$BK$8:$BK$73,MATCH($A32,JAN!$A$8:$A$73,0)),"")</f>
        <v/>
      </c>
      <c r="D32" s="174">
        <f>IFERROR(INDEX(FEV!$BK$8:$BK$73,MATCH($A32,FEV!$A$8:$A$73,0)),"")</f>
        <v/>
      </c>
      <c r="E32" s="174">
        <f>IFERROR(INDEX(MAR!$BK$8:$BK$73,MATCH($A32,MAR!$A$8:$A$73,0)),"")</f>
        <v/>
      </c>
      <c r="F32" s="174">
        <f>IFERROR(INDEX(ABR!$BK$8:$BK$73,MATCH($A32,ABR!$A$8:$A$73,0)),"")</f>
        <v/>
      </c>
      <c r="G32" s="174">
        <f>IFERROR(INDEX(MAI!$BK$8:$BK$73,MATCH($A32,MAI!$A$8:$A$73,0)),"")</f>
        <v/>
      </c>
      <c r="H32" s="174">
        <f>IFERROR(INDEX(JUN!$BK$8:$BK$73,MATCH($A32,JUN!$A$8:$A$73,0)),"")</f>
        <v/>
      </c>
      <c r="I32" s="174">
        <f>IFERROR(INDEX(JUL!$BK$8:$BK$73,MATCH($A32,JUL!$A$8:$A$73,0)),"")</f>
        <v/>
      </c>
      <c r="J32" s="174">
        <f>IFERROR(INDEX(AGO!$BK$8:$BK$73,MATCH($A32,AGO!$A$8:$A$73,0)),"")</f>
        <v/>
      </c>
      <c r="K32" s="174">
        <f>IFERROR(INDEX(SET!$BK$8:$BK$73,MATCH($A32,SET!$A$8:$A$73,0)),"")</f>
        <v/>
      </c>
      <c r="L32" s="174">
        <f>IFERROR(INDEX(OUT!$BK$8:$BK$73,MATCH($A32,OUT!$A$8:$A$73,0)),"")</f>
        <v/>
      </c>
      <c r="M32" s="174">
        <f>IFERROR(INDEX(NOV!$BK$8:$BK$73,MATCH($A32,NOV!$A$8:$A$73,0)),"")</f>
        <v/>
      </c>
      <c r="N32" s="174">
        <f>IFERROR(INDEX(DEZ!$BK$8:$BK$73,MATCH($A32,DEZ!$A$8:$A$73,0)),"")</f>
        <v/>
      </c>
      <c r="O32" s="175">
        <f>SUM(C32:N32)</f>
        <v/>
      </c>
      <c r="P32" s="39" t="n"/>
      <c r="Q32" s="174">
        <f>IFERROR(INDEX(JAN!$BG$8:$BG$73,MATCH($A32,JAN!$A$8:$A$73,0)),"")</f>
        <v/>
      </c>
      <c r="R32" s="174">
        <f>IFERROR(INDEX(FEV!$BG$8:$BG$73,MATCH($A32,FEV!$A$8:$A$73,0)),"")</f>
        <v/>
      </c>
      <c r="S32" s="174">
        <f>IFERROR(INDEX(MAR!$BG$8:$BG$73,MATCH($A32,MAR!$A$8:$A$73,0)),"")</f>
        <v/>
      </c>
      <c r="T32" s="174">
        <f>IFERROR(INDEX(ABR!$BG$8:$BG$73,MATCH($A32,ABR!$A$8:$A$73,0)),"")</f>
        <v/>
      </c>
      <c r="U32" s="174">
        <f>IFERROR(INDEX(MAI!$BG$8:$BG$73,MATCH($A32,MAI!$A$8:$A$73,0)),"")</f>
        <v/>
      </c>
      <c r="V32" s="174">
        <f>IFERROR(INDEX(JUN!$BG$8:$BG$73,MATCH($A32,JUN!$A$8:$A$73,0)),"")</f>
        <v/>
      </c>
      <c r="W32" s="174">
        <f>IFERROR(INDEX(JUL!$BG$8:$BG$73,MATCH($A32,JUL!$A$8:$A$73,0)),"")</f>
        <v/>
      </c>
      <c r="X32" s="174">
        <f>IFERROR(INDEX(AGO!$BG$8:$BG$73,MATCH($A32,AGO!$A$8:$A$73,0)),"")</f>
        <v/>
      </c>
      <c r="Y32" s="174">
        <f>IFERROR(INDEX(SET!$BG$8:$BG$73,MATCH($A32,SET!$A$8:$A$73,0)),"")</f>
        <v/>
      </c>
      <c r="Z32" s="174">
        <f>IFERROR(INDEX(OUT!$BG$8:$BG$73,MATCH($A32,OUT!$A$8:$A$73,0)),"")</f>
        <v/>
      </c>
      <c r="AA32" s="174">
        <f>IFERROR(INDEX(NOV!$BG$8:$BG$73,MATCH($A32,NOV!$A$8:$A$73,0)),"")</f>
        <v/>
      </c>
      <c r="AB32" s="174">
        <f>IFERROR(INDEX(DEZ!$BG$8:$BG$73,MATCH($A32,DEZ!$A$8:$A$73,0)),"")</f>
        <v/>
      </c>
      <c r="AC32" s="175">
        <f>SUM(Q32:AB32)</f>
        <v/>
      </c>
      <c r="AD32" s="39" t="n"/>
      <c r="AE32" s="174">
        <f>IFERROR(INDEX(JAN!$BH$8:$BH$73,MATCH($A32,JAN!$A$8:$A$73,0)),"")</f>
        <v/>
      </c>
      <c r="AF32" s="174">
        <f>IFERROR(INDEX(FEV!$BH$8:$BH$73,MATCH($A32,FEV!$A$8:$A$73,0)),"")</f>
        <v/>
      </c>
      <c r="AG32" s="174">
        <f>IFERROR(INDEX(MAR!$BH$8:$BH$73,MATCH($A32,MAR!$A$8:$A$73,0)),"")</f>
        <v/>
      </c>
      <c r="AH32" s="174">
        <f>IFERROR(INDEX(ABR!$BH$8:$BH$73,MATCH($A32,ABR!$A$8:$A$73,0)),"")</f>
        <v/>
      </c>
      <c r="AI32" s="174">
        <f>IFERROR(INDEX(MAI!$BH$8:$BH$73,MATCH($A32,MAI!$A$8:$A$73,0)),"")</f>
        <v/>
      </c>
      <c r="AJ32" s="174">
        <f>IFERROR(INDEX(JUN!$BH$8:$BH$73,MATCH($A32,JUN!$A$8:$A$73,0)),"")</f>
        <v/>
      </c>
      <c r="AK32" s="174">
        <f>IFERROR(INDEX(JUL!$BH$8:$BH$73,MATCH($A32,JUL!$A$8:$A$73,0)),"")</f>
        <v/>
      </c>
      <c r="AL32" s="174">
        <f>IFERROR(INDEX(AGO!$BH$8:$BH$73,MATCH($A32,AGO!$A$8:$A$73,0)),"")</f>
        <v/>
      </c>
      <c r="AM32" s="174">
        <f>IFERROR(INDEX(SET!$BH$8:$BH$73,MATCH($A32,SET!$A$8:$A$73,0)),"")</f>
        <v/>
      </c>
      <c r="AN32" s="174">
        <f>IFERROR(INDEX(OUT!$BH$8:$BH$73,MATCH($A32,OUT!$A$8:$A$73,0)),"")</f>
        <v/>
      </c>
      <c r="AO32" s="174">
        <f>IFERROR(INDEX(NOV!$BH$8:$BH$73,MATCH($A32,NOV!$A$8:$A$73,0)),"")</f>
        <v/>
      </c>
      <c r="AP32" s="174">
        <f>IFERROR(INDEX(DEZ!$BH$8:$BH$73,MATCH($A32,DEZ!$A$8:$A$73,0)),"")</f>
        <v/>
      </c>
      <c r="AQ32" s="175">
        <f>SUM(AE32:AP32)</f>
        <v/>
      </c>
      <c r="AR32" s="39" t="n"/>
      <c r="AS32" s="174">
        <f>IFERROR(INDEX(JAN!$BI$8:$BI$73,MATCH($A32,JAN!$A$8:$A$73,0)),"")</f>
        <v/>
      </c>
      <c r="AT32" s="174">
        <f>IFERROR(INDEX(FEV!$BI$8:$BI$73,MATCH($A32,FEV!$A$8:$A$73,0)),"")</f>
        <v/>
      </c>
      <c r="AU32" s="174">
        <f>IFERROR(INDEX(MAR!$BI$8:$BI$73,MATCH($A32,MAR!$A$8:$A$73,0)),"")</f>
        <v/>
      </c>
      <c r="AV32" s="174">
        <f>IFERROR(INDEX(ABR!$BI$8:$BI$73,MATCH($A32,ABR!$A$8:$A$73,0)),"")</f>
        <v/>
      </c>
      <c r="AW32" s="174">
        <f>IFERROR(INDEX(MAI!$BI$8:$BI$73,MATCH($A32,MAI!$A$8:$A$73,0)),"")</f>
        <v/>
      </c>
      <c r="AX32" s="174">
        <f>IFERROR(INDEX(JUN!$BI$8:$BI$73,MATCH($A32,JUN!$A$8:$A$73,0)),"")</f>
        <v/>
      </c>
      <c r="AY32" s="174">
        <f>IFERROR(INDEX(JUL!$BI$8:$BI$73,MATCH($A32,JUL!$A$8:$A$73,0)),"")</f>
        <v/>
      </c>
      <c r="AZ32" s="174">
        <f>IFERROR(INDEX(AGO!$BI$8:$BI$73,MATCH($A32,AGO!$A$8:$A$73,0)),"")</f>
        <v/>
      </c>
      <c r="BA32" s="174">
        <f>IFERROR(INDEX(SET!$BI$8:$BI$73,MATCH($A32,SET!$A$8:$A$73,0)),"")</f>
        <v/>
      </c>
      <c r="BB32" s="174">
        <f>IFERROR(INDEX(OUT!$BI$8:$BI$73,MATCH($A32,OUT!$A$8:$A$73,0)),"")</f>
        <v/>
      </c>
      <c r="BC32" s="174">
        <f>IFERROR(INDEX(NOV!$BI$8:$BI$73,MATCH($A32,NOV!$A$8:$A$73,0)),"")</f>
        <v/>
      </c>
      <c r="BD32" s="174">
        <f>IFERROR(INDEX(DEZ!$BI$8:$BI$73,MATCH($A32,DEZ!$A$8:$A$73,0)),"")</f>
        <v/>
      </c>
      <c r="BE32" s="175">
        <f>SUM(AS32:BD32)</f>
        <v/>
      </c>
      <c r="BF32" s="39" t="n"/>
      <c r="BG32" s="107" t="n">
        <v>4</v>
      </c>
      <c r="BH32" s="133">
        <f>SUM(AE32:AP32)</f>
        <v/>
      </c>
      <c r="BI32" s="176">
        <f>IF(BG32="","",IF(BG32=BH32,"","⚠"))</f>
        <v/>
      </c>
      <c r="BJ32" s="39" t="n"/>
      <c r="BK32" s="39" t="n"/>
    </row>
    <row r="33">
      <c r="A33" s="89" t="inlineStr">
        <is>
          <t>Leomara</t>
        </is>
      </c>
      <c r="B33" s="173">
        <f>CADASTRO!$C29</f>
        <v/>
      </c>
      <c r="C33" s="174">
        <f>IFERROR(INDEX(JAN!$BK$8:$BK$73,MATCH($A33,JAN!$A$8:$A$73,0)),"")</f>
        <v/>
      </c>
      <c r="D33" s="174">
        <f>IFERROR(INDEX(FEV!$BK$8:$BK$73,MATCH($A33,FEV!$A$8:$A$73,0)),"")</f>
        <v/>
      </c>
      <c r="E33" s="174">
        <f>IFERROR(INDEX(MAR!$BK$8:$BK$73,MATCH($A33,MAR!$A$8:$A$73,0)),"")</f>
        <v/>
      </c>
      <c r="F33" s="174">
        <f>IFERROR(INDEX(ABR!$BK$8:$BK$73,MATCH($A33,ABR!$A$8:$A$73,0)),"")</f>
        <v/>
      </c>
      <c r="G33" s="174">
        <f>IFERROR(INDEX(MAI!$BK$8:$BK$73,MATCH($A33,MAI!$A$8:$A$73,0)),"")</f>
        <v/>
      </c>
      <c r="H33" s="174">
        <f>IFERROR(INDEX(JUN!$BK$8:$BK$73,MATCH($A33,JUN!$A$8:$A$73,0)),"")</f>
        <v/>
      </c>
      <c r="I33" s="174">
        <f>IFERROR(INDEX(JUL!$BK$8:$BK$73,MATCH($A33,JUL!$A$8:$A$73,0)),"")</f>
        <v/>
      </c>
      <c r="J33" s="174">
        <f>IFERROR(INDEX(AGO!$BK$8:$BK$73,MATCH($A33,AGO!$A$8:$A$73,0)),"")</f>
        <v/>
      </c>
      <c r="K33" s="174">
        <f>IFERROR(INDEX(SET!$BK$8:$BK$73,MATCH($A33,SET!$A$8:$A$73,0)),"")</f>
        <v/>
      </c>
      <c r="L33" s="174">
        <f>IFERROR(INDEX(OUT!$BK$8:$BK$73,MATCH($A33,OUT!$A$8:$A$73,0)),"")</f>
        <v/>
      </c>
      <c r="M33" s="174">
        <f>IFERROR(INDEX(NOV!$BK$8:$BK$73,MATCH($A33,NOV!$A$8:$A$73,0)),"")</f>
        <v/>
      </c>
      <c r="N33" s="174">
        <f>IFERROR(INDEX(DEZ!$BK$8:$BK$73,MATCH($A33,DEZ!$A$8:$A$73,0)),"")</f>
        <v/>
      </c>
      <c r="O33" s="175">
        <f>SUM(C33:N33)</f>
        <v/>
      </c>
      <c r="P33" s="39" t="n"/>
      <c r="Q33" s="174">
        <f>IFERROR(INDEX(JAN!$BG$8:$BG$73,MATCH($A33,JAN!$A$8:$A$73,0)),"")</f>
        <v/>
      </c>
      <c r="R33" s="174">
        <f>IFERROR(INDEX(FEV!$BG$8:$BG$73,MATCH($A33,FEV!$A$8:$A$73,0)),"")</f>
        <v/>
      </c>
      <c r="S33" s="174">
        <f>IFERROR(INDEX(MAR!$BG$8:$BG$73,MATCH($A33,MAR!$A$8:$A$73,0)),"")</f>
        <v/>
      </c>
      <c r="T33" s="174">
        <f>IFERROR(INDEX(ABR!$BG$8:$BG$73,MATCH($A33,ABR!$A$8:$A$73,0)),"")</f>
        <v/>
      </c>
      <c r="U33" s="174">
        <f>IFERROR(INDEX(MAI!$BG$8:$BG$73,MATCH($A33,MAI!$A$8:$A$73,0)),"")</f>
        <v/>
      </c>
      <c r="V33" s="174">
        <f>IFERROR(INDEX(JUN!$BG$8:$BG$73,MATCH($A33,JUN!$A$8:$A$73,0)),"")</f>
        <v/>
      </c>
      <c r="W33" s="174">
        <f>IFERROR(INDEX(JUL!$BG$8:$BG$73,MATCH($A33,JUL!$A$8:$A$73,0)),"")</f>
        <v/>
      </c>
      <c r="X33" s="174">
        <f>IFERROR(INDEX(AGO!$BG$8:$BG$73,MATCH($A33,AGO!$A$8:$A$73,0)),"")</f>
        <v/>
      </c>
      <c r="Y33" s="174">
        <f>IFERROR(INDEX(SET!$BG$8:$BG$73,MATCH($A33,SET!$A$8:$A$73,0)),"")</f>
        <v/>
      </c>
      <c r="Z33" s="174">
        <f>IFERROR(INDEX(OUT!$BG$8:$BG$73,MATCH($A33,OUT!$A$8:$A$73,0)),"")</f>
        <v/>
      </c>
      <c r="AA33" s="174">
        <f>IFERROR(INDEX(NOV!$BG$8:$BG$73,MATCH($A33,NOV!$A$8:$A$73,0)),"")</f>
        <v/>
      </c>
      <c r="AB33" s="174">
        <f>IFERROR(INDEX(DEZ!$BG$8:$BG$73,MATCH($A33,DEZ!$A$8:$A$73,0)),"")</f>
        <v/>
      </c>
      <c r="AC33" s="175">
        <f>SUM(Q33:AB33)</f>
        <v/>
      </c>
      <c r="AD33" s="39" t="n"/>
      <c r="AE33" s="174">
        <f>IFERROR(INDEX(JAN!$BH$8:$BH$73,MATCH($A33,JAN!$A$8:$A$73,0)),"")</f>
        <v/>
      </c>
      <c r="AF33" s="174">
        <f>IFERROR(INDEX(FEV!$BH$8:$BH$73,MATCH($A33,FEV!$A$8:$A$73,0)),"")</f>
        <v/>
      </c>
      <c r="AG33" s="174">
        <f>IFERROR(INDEX(MAR!$BH$8:$BH$73,MATCH($A33,MAR!$A$8:$A$73,0)),"")</f>
        <v/>
      </c>
      <c r="AH33" s="174">
        <f>IFERROR(INDEX(ABR!$BH$8:$BH$73,MATCH($A33,ABR!$A$8:$A$73,0)),"")</f>
        <v/>
      </c>
      <c r="AI33" s="174">
        <f>IFERROR(INDEX(MAI!$BH$8:$BH$73,MATCH($A33,MAI!$A$8:$A$73,0)),"")</f>
        <v/>
      </c>
      <c r="AJ33" s="174">
        <f>IFERROR(INDEX(JUN!$BH$8:$BH$73,MATCH($A33,JUN!$A$8:$A$73,0)),"")</f>
        <v/>
      </c>
      <c r="AK33" s="174">
        <f>IFERROR(INDEX(JUL!$BH$8:$BH$73,MATCH($A33,JUL!$A$8:$A$73,0)),"")</f>
        <v/>
      </c>
      <c r="AL33" s="174">
        <f>IFERROR(INDEX(AGO!$BH$8:$BH$73,MATCH($A33,AGO!$A$8:$A$73,0)),"")</f>
        <v/>
      </c>
      <c r="AM33" s="174">
        <f>IFERROR(INDEX(SET!$BH$8:$BH$73,MATCH($A33,SET!$A$8:$A$73,0)),"")</f>
        <v/>
      </c>
      <c r="AN33" s="174">
        <f>IFERROR(INDEX(OUT!$BH$8:$BH$73,MATCH($A33,OUT!$A$8:$A$73,0)),"")</f>
        <v/>
      </c>
      <c r="AO33" s="174">
        <f>IFERROR(INDEX(NOV!$BH$8:$BH$73,MATCH($A33,NOV!$A$8:$A$73,0)),"")</f>
        <v/>
      </c>
      <c r="AP33" s="174">
        <f>IFERROR(INDEX(DEZ!$BH$8:$BH$73,MATCH($A33,DEZ!$A$8:$A$73,0)),"")</f>
        <v/>
      </c>
      <c r="AQ33" s="175">
        <f>SUM(AE33:AP33)</f>
        <v/>
      </c>
      <c r="AR33" s="39" t="n"/>
      <c r="AS33" s="174">
        <f>IFERROR(INDEX(JAN!$BI$8:$BI$73,MATCH($A33,JAN!$A$8:$A$73,0)),"")</f>
        <v/>
      </c>
      <c r="AT33" s="174">
        <f>IFERROR(INDEX(FEV!$BI$8:$BI$73,MATCH($A33,FEV!$A$8:$A$73,0)),"")</f>
        <v/>
      </c>
      <c r="AU33" s="174">
        <f>IFERROR(INDEX(MAR!$BI$8:$BI$73,MATCH($A33,MAR!$A$8:$A$73,0)),"")</f>
        <v/>
      </c>
      <c r="AV33" s="174">
        <f>IFERROR(INDEX(ABR!$BI$8:$BI$73,MATCH($A33,ABR!$A$8:$A$73,0)),"")</f>
        <v/>
      </c>
      <c r="AW33" s="174">
        <f>IFERROR(INDEX(MAI!$BI$8:$BI$73,MATCH($A33,MAI!$A$8:$A$73,0)),"")</f>
        <v/>
      </c>
      <c r="AX33" s="174">
        <f>IFERROR(INDEX(JUN!$BI$8:$BI$73,MATCH($A33,JUN!$A$8:$A$73,0)),"")</f>
        <v/>
      </c>
      <c r="AY33" s="174">
        <f>IFERROR(INDEX(JUL!$BI$8:$BI$73,MATCH($A33,JUL!$A$8:$A$73,0)),"")</f>
        <v/>
      </c>
      <c r="AZ33" s="174">
        <f>IFERROR(INDEX(AGO!$BI$8:$BI$73,MATCH($A33,AGO!$A$8:$A$73,0)),"")</f>
        <v/>
      </c>
      <c r="BA33" s="174">
        <f>IFERROR(INDEX(SET!$BI$8:$BI$73,MATCH($A33,SET!$A$8:$A$73,0)),"")</f>
        <v/>
      </c>
      <c r="BB33" s="174">
        <f>IFERROR(INDEX(OUT!$BI$8:$BI$73,MATCH($A33,OUT!$A$8:$A$73,0)),"")</f>
        <v/>
      </c>
      <c r="BC33" s="174">
        <f>IFERROR(INDEX(NOV!$BI$8:$BI$73,MATCH($A33,NOV!$A$8:$A$73,0)),"")</f>
        <v/>
      </c>
      <c r="BD33" s="174">
        <f>IFERROR(INDEX(DEZ!$BI$8:$BI$73,MATCH($A33,DEZ!$A$8:$A$73,0)),"")</f>
        <v/>
      </c>
      <c r="BE33" s="175">
        <f>SUM(AS33:BD33)</f>
        <v/>
      </c>
      <c r="BF33" s="39" t="n"/>
      <c r="BG33" s="107" t="n">
        <v>3</v>
      </c>
      <c r="BH33" s="133">
        <f>SUM(AE33:AP33)</f>
        <v/>
      </c>
      <c r="BI33" s="176">
        <f>IF(BG33="","",IF(BG33=BH33,"","⚠"))</f>
        <v/>
      </c>
      <c r="BJ33" s="39" t="n"/>
      <c r="BK33" s="39" t="n"/>
    </row>
    <row r="34">
      <c r="A34" s="89" t="inlineStr">
        <is>
          <t>Marilia</t>
        </is>
      </c>
      <c r="B34" s="173">
        <f>CADASTRO!$C30</f>
        <v/>
      </c>
      <c r="C34" s="174">
        <f>IFERROR(INDEX(JAN!$BK$8:$BK$73,MATCH($A34,JAN!$A$8:$A$73,0)),"")</f>
        <v/>
      </c>
      <c r="D34" s="174">
        <f>IFERROR(INDEX(FEV!$BK$8:$BK$73,MATCH($A34,FEV!$A$8:$A$73,0)),"")</f>
        <v/>
      </c>
      <c r="E34" s="174">
        <f>IFERROR(INDEX(MAR!$BK$8:$BK$73,MATCH($A34,MAR!$A$8:$A$73,0)),"")</f>
        <v/>
      </c>
      <c r="F34" s="174">
        <f>IFERROR(INDEX(ABR!$BK$8:$BK$73,MATCH($A34,ABR!$A$8:$A$73,0)),"")</f>
        <v/>
      </c>
      <c r="G34" s="174">
        <f>IFERROR(INDEX(MAI!$BK$8:$BK$73,MATCH($A34,MAI!$A$8:$A$73,0)),"")</f>
        <v/>
      </c>
      <c r="H34" s="174">
        <f>IFERROR(INDEX(JUN!$BK$8:$BK$73,MATCH($A34,JUN!$A$8:$A$73,0)),"")</f>
        <v/>
      </c>
      <c r="I34" s="174">
        <f>IFERROR(INDEX(JUL!$BK$8:$BK$73,MATCH($A34,JUL!$A$8:$A$73,0)),"")</f>
        <v/>
      </c>
      <c r="J34" s="174">
        <f>IFERROR(INDEX(AGO!$BK$8:$BK$73,MATCH($A34,AGO!$A$8:$A$73,0)),"")</f>
        <v/>
      </c>
      <c r="K34" s="174">
        <f>IFERROR(INDEX(SET!$BK$8:$BK$73,MATCH($A34,SET!$A$8:$A$73,0)),"")</f>
        <v/>
      </c>
      <c r="L34" s="174">
        <f>IFERROR(INDEX(OUT!$BK$8:$BK$73,MATCH($A34,OUT!$A$8:$A$73,0)),"")</f>
        <v/>
      </c>
      <c r="M34" s="174">
        <f>IFERROR(INDEX(NOV!$BK$8:$BK$73,MATCH($A34,NOV!$A$8:$A$73,0)),"")</f>
        <v/>
      </c>
      <c r="N34" s="174">
        <f>IFERROR(INDEX(DEZ!$BK$8:$BK$73,MATCH($A34,DEZ!$A$8:$A$73,0)),"")</f>
        <v/>
      </c>
      <c r="O34" s="175">
        <f>SUM(C34:N34)</f>
        <v/>
      </c>
      <c r="P34" s="39" t="n"/>
      <c r="Q34" s="174">
        <f>IFERROR(INDEX(JAN!$BG$8:$BG$73,MATCH($A34,JAN!$A$8:$A$73,0)),"")</f>
        <v/>
      </c>
      <c r="R34" s="174">
        <f>IFERROR(INDEX(FEV!$BG$8:$BG$73,MATCH($A34,FEV!$A$8:$A$73,0)),"")</f>
        <v/>
      </c>
      <c r="S34" s="174">
        <f>IFERROR(INDEX(MAR!$BG$8:$BG$73,MATCH($A34,MAR!$A$8:$A$73,0)),"")</f>
        <v/>
      </c>
      <c r="T34" s="174">
        <f>IFERROR(INDEX(ABR!$BG$8:$BG$73,MATCH($A34,ABR!$A$8:$A$73,0)),"")</f>
        <v/>
      </c>
      <c r="U34" s="174">
        <f>IFERROR(INDEX(MAI!$BG$8:$BG$73,MATCH($A34,MAI!$A$8:$A$73,0)),"")</f>
        <v/>
      </c>
      <c r="V34" s="174">
        <f>IFERROR(INDEX(JUN!$BG$8:$BG$73,MATCH($A34,JUN!$A$8:$A$73,0)),"")</f>
        <v/>
      </c>
      <c r="W34" s="174">
        <f>IFERROR(INDEX(JUL!$BG$8:$BG$73,MATCH($A34,JUL!$A$8:$A$73,0)),"")</f>
        <v/>
      </c>
      <c r="X34" s="174">
        <f>IFERROR(INDEX(AGO!$BG$8:$BG$73,MATCH($A34,AGO!$A$8:$A$73,0)),"")</f>
        <v/>
      </c>
      <c r="Y34" s="174">
        <f>IFERROR(INDEX(SET!$BG$8:$BG$73,MATCH($A34,SET!$A$8:$A$73,0)),"")</f>
        <v/>
      </c>
      <c r="Z34" s="174">
        <f>IFERROR(INDEX(OUT!$BG$8:$BG$73,MATCH($A34,OUT!$A$8:$A$73,0)),"")</f>
        <v/>
      </c>
      <c r="AA34" s="174">
        <f>IFERROR(INDEX(NOV!$BG$8:$BG$73,MATCH($A34,NOV!$A$8:$A$73,0)),"")</f>
        <v/>
      </c>
      <c r="AB34" s="174">
        <f>IFERROR(INDEX(DEZ!$BG$8:$BG$73,MATCH($A34,DEZ!$A$8:$A$73,0)),"")</f>
        <v/>
      </c>
      <c r="AC34" s="175">
        <f>SUM(Q34:AB34)</f>
        <v/>
      </c>
      <c r="AD34" s="39" t="n"/>
      <c r="AE34" s="174">
        <f>IFERROR(INDEX(JAN!$BH$8:$BH$73,MATCH($A34,JAN!$A$8:$A$73,0)),"")</f>
        <v/>
      </c>
      <c r="AF34" s="174">
        <f>IFERROR(INDEX(FEV!$BH$8:$BH$73,MATCH($A34,FEV!$A$8:$A$73,0)),"")</f>
        <v/>
      </c>
      <c r="AG34" s="174">
        <f>IFERROR(INDEX(MAR!$BH$8:$BH$73,MATCH($A34,MAR!$A$8:$A$73,0)),"")</f>
        <v/>
      </c>
      <c r="AH34" s="174">
        <f>IFERROR(INDEX(ABR!$BH$8:$BH$73,MATCH($A34,ABR!$A$8:$A$73,0)),"")</f>
        <v/>
      </c>
      <c r="AI34" s="174">
        <f>IFERROR(INDEX(MAI!$BH$8:$BH$73,MATCH($A34,MAI!$A$8:$A$73,0)),"")</f>
        <v/>
      </c>
      <c r="AJ34" s="174">
        <f>IFERROR(INDEX(JUN!$BH$8:$BH$73,MATCH($A34,JUN!$A$8:$A$73,0)),"")</f>
        <v/>
      </c>
      <c r="AK34" s="174">
        <f>IFERROR(INDEX(JUL!$BH$8:$BH$73,MATCH($A34,JUL!$A$8:$A$73,0)),"")</f>
        <v/>
      </c>
      <c r="AL34" s="174">
        <f>IFERROR(INDEX(AGO!$BH$8:$BH$73,MATCH($A34,AGO!$A$8:$A$73,0)),"")</f>
        <v/>
      </c>
      <c r="AM34" s="174">
        <f>IFERROR(INDEX(SET!$BH$8:$BH$73,MATCH($A34,SET!$A$8:$A$73,0)),"")</f>
        <v/>
      </c>
      <c r="AN34" s="174">
        <f>IFERROR(INDEX(OUT!$BH$8:$BH$73,MATCH($A34,OUT!$A$8:$A$73,0)),"")</f>
        <v/>
      </c>
      <c r="AO34" s="174">
        <f>IFERROR(INDEX(NOV!$BH$8:$BH$73,MATCH($A34,NOV!$A$8:$A$73,0)),"")</f>
        <v/>
      </c>
      <c r="AP34" s="174">
        <f>IFERROR(INDEX(DEZ!$BH$8:$BH$73,MATCH($A34,DEZ!$A$8:$A$73,0)),"")</f>
        <v/>
      </c>
      <c r="AQ34" s="175">
        <f>SUM(AE34:AP34)</f>
        <v/>
      </c>
      <c r="AR34" s="39" t="n"/>
      <c r="AS34" s="174">
        <f>IFERROR(INDEX(JAN!$BI$8:$BI$73,MATCH($A34,JAN!$A$8:$A$73,0)),"")</f>
        <v/>
      </c>
      <c r="AT34" s="174">
        <f>IFERROR(INDEX(FEV!$BI$8:$BI$73,MATCH($A34,FEV!$A$8:$A$73,0)),"")</f>
        <v/>
      </c>
      <c r="AU34" s="174">
        <f>IFERROR(INDEX(MAR!$BI$8:$BI$73,MATCH($A34,MAR!$A$8:$A$73,0)),"")</f>
        <v/>
      </c>
      <c r="AV34" s="174">
        <f>IFERROR(INDEX(ABR!$BI$8:$BI$73,MATCH($A34,ABR!$A$8:$A$73,0)),"")</f>
        <v/>
      </c>
      <c r="AW34" s="174">
        <f>IFERROR(INDEX(MAI!$BI$8:$BI$73,MATCH($A34,MAI!$A$8:$A$73,0)),"")</f>
        <v/>
      </c>
      <c r="AX34" s="174">
        <f>IFERROR(INDEX(JUN!$BI$8:$BI$73,MATCH($A34,JUN!$A$8:$A$73,0)),"")</f>
        <v/>
      </c>
      <c r="AY34" s="174">
        <f>IFERROR(INDEX(JUL!$BI$8:$BI$73,MATCH($A34,JUL!$A$8:$A$73,0)),"")</f>
        <v/>
      </c>
      <c r="AZ34" s="174">
        <f>IFERROR(INDEX(AGO!$BI$8:$BI$73,MATCH($A34,AGO!$A$8:$A$73,0)),"")</f>
        <v/>
      </c>
      <c r="BA34" s="174">
        <f>IFERROR(INDEX(SET!$BI$8:$BI$73,MATCH($A34,SET!$A$8:$A$73,0)),"")</f>
        <v/>
      </c>
      <c r="BB34" s="174">
        <f>IFERROR(INDEX(OUT!$BI$8:$BI$73,MATCH($A34,OUT!$A$8:$A$73,0)),"")</f>
        <v/>
      </c>
      <c r="BC34" s="174">
        <f>IFERROR(INDEX(NOV!$BI$8:$BI$73,MATCH($A34,NOV!$A$8:$A$73,0)),"")</f>
        <v/>
      </c>
      <c r="BD34" s="174">
        <f>IFERROR(INDEX(DEZ!$BI$8:$BI$73,MATCH($A34,DEZ!$A$8:$A$73,0)),"")</f>
        <v/>
      </c>
      <c r="BE34" s="175">
        <f>SUM(AS34:BD34)</f>
        <v/>
      </c>
      <c r="BF34" s="39" t="n"/>
      <c r="BG34" s="107" t="n">
        <v>3</v>
      </c>
      <c r="BH34" s="133">
        <f>SUM(AE34:AP34)</f>
        <v/>
      </c>
      <c r="BI34" s="176">
        <f>IF(BG34="","",IF(BG34=BH34,"","⚠"))</f>
        <v/>
      </c>
      <c r="BJ34" s="39" t="n"/>
      <c r="BK34" s="39" t="n"/>
    </row>
    <row r="35">
      <c r="A35" s="89" t="inlineStr">
        <is>
          <t>Raylander</t>
        </is>
      </c>
      <c r="B35" s="173">
        <f>CADASTRO!$C31</f>
        <v/>
      </c>
      <c r="C35" s="174">
        <f>IFERROR(INDEX(JAN!$BK$8:$BK$73,MATCH($A35,JAN!$A$8:$A$73,0)),"")</f>
        <v/>
      </c>
      <c r="D35" s="174">
        <f>IFERROR(INDEX(FEV!$BK$8:$BK$73,MATCH($A35,FEV!$A$8:$A$73,0)),"")</f>
        <v/>
      </c>
      <c r="E35" s="174">
        <f>IFERROR(INDEX(MAR!$BK$8:$BK$73,MATCH($A35,MAR!$A$8:$A$73,0)),"")</f>
        <v/>
      </c>
      <c r="F35" s="174">
        <f>IFERROR(INDEX(ABR!$BK$8:$BK$73,MATCH($A35,ABR!$A$8:$A$73,0)),"")</f>
        <v/>
      </c>
      <c r="G35" s="174">
        <f>IFERROR(INDEX(MAI!$BK$8:$BK$73,MATCH($A35,MAI!$A$8:$A$73,0)),"")</f>
        <v/>
      </c>
      <c r="H35" s="174">
        <f>IFERROR(INDEX(JUN!$BK$8:$BK$73,MATCH($A35,JUN!$A$8:$A$73,0)),"")</f>
        <v/>
      </c>
      <c r="I35" s="174">
        <f>IFERROR(INDEX(JUL!$BK$8:$BK$73,MATCH($A35,JUL!$A$8:$A$73,0)),"")</f>
        <v/>
      </c>
      <c r="J35" s="174">
        <f>IFERROR(INDEX(AGO!$BK$8:$BK$73,MATCH($A35,AGO!$A$8:$A$73,0)),"")</f>
        <v/>
      </c>
      <c r="K35" s="174">
        <f>IFERROR(INDEX(SET!$BK$8:$BK$73,MATCH($A35,SET!$A$8:$A$73,0)),"")</f>
        <v/>
      </c>
      <c r="L35" s="174">
        <f>IFERROR(INDEX(OUT!$BK$8:$BK$73,MATCH($A35,OUT!$A$8:$A$73,0)),"")</f>
        <v/>
      </c>
      <c r="M35" s="174">
        <f>IFERROR(INDEX(NOV!$BK$8:$BK$73,MATCH($A35,NOV!$A$8:$A$73,0)),"")</f>
        <v/>
      </c>
      <c r="N35" s="174">
        <f>IFERROR(INDEX(DEZ!$BK$8:$BK$73,MATCH($A35,DEZ!$A$8:$A$73,0)),"")</f>
        <v/>
      </c>
      <c r="O35" s="175">
        <f>SUM(C35:N35)</f>
        <v/>
      </c>
      <c r="P35" s="39" t="n"/>
      <c r="Q35" s="174">
        <f>IFERROR(INDEX(JAN!$BG$8:$BG$73,MATCH($A35,JAN!$A$8:$A$73,0)),"")</f>
        <v/>
      </c>
      <c r="R35" s="174">
        <f>IFERROR(INDEX(FEV!$BG$8:$BG$73,MATCH($A35,FEV!$A$8:$A$73,0)),"")</f>
        <v/>
      </c>
      <c r="S35" s="174">
        <f>IFERROR(INDEX(MAR!$BG$8:$BG$73,MATCH($A35,MAR!$A$8:$A$73,0)),"")</f>
        <v/>
      </c>
      <c r="T35" s="174">
        <f>IFERROR(INDEX(ABR!$BG$8:$BG$73,MATCH($A35,ABR!$A$8:$A$73,0)),"")</f>
        <v/>
      </c>
      <c r="U35" s="174">
        <f>IFERROR(INDEX(MAI!$BG$8:$BG$73,MATCH($A35,MAI!$A$8:$A$73,0)),"")</f>
        <v/>
      </c>
      <c r="V35" s="174">
        <f>IFERROR(INDEX(JUN!$BG$8:$BG$73,MATCH($A35,JUN!$A$8:$A$73,0)),"")</f>
        <v/>
      </c>
      <c r="W35" s="174">
        <f>IFERROR(INDEX(JUL!$BG$8:$BG$73,MATCH($A35,JUL!$A$8:$A$73,0)),"")</f>
        <v/>
      </c>
      <c r="X35" s="174">
        <f>IFERROR(INDEX(AGO!$BG$8:$BG$73,MATCH($A35,AGO!$A$8:$A$73,0)),"")</f>
        <v/>
      </c>
      <c r="Y35" s="174">
        <f>IFERROR(INDEX(SET!$BG$8:$BG$73,MATCH($A35,SET!$A$8:$A$73,0)),"")</f>
        <v/>
      </c>
      <c r="Z35" s="174">
        <f>IFERROR(INDEX(OUT!$BG$8:$BG$73,MATCH($A35,OUT!$A$8:$A$73,0)),"")</f>
        <v/>
      </c>
      <c r="AA35" s="174">
        <f>IFERROR(INDEX(NOV!$BG$8:$BG$73,MATCH($A35,NOV!$A$8:$A$73,0)),"")</f>
        <v/>
      </c>
      <c r="AB35" s="174">
        <f>IFERROR(INDEX(DEZ!$BG$8:$BG$73,MATCH($A35,DEZ!$A$8:$A$73,0)),"")</f>
        <v/>
      </c>
      <c r="AC35" s="175">
        <f>SUM(Q35:AB35)</f>
        <v/>
      </c>
      <c r="AD35" s="39" t="n"/>
      <c r="AE35" s="174">
        <f>IFERROR(INDEX(JAN!$BH$8:$BH$73,MATCH($A35,JAN!$A$8:$A$73,0)),"")</f>
        <v/>
      </c>
      <c r="AF35" s="174">
        <f>IFERROR(INDEX(FEV!$BH$8:$BH$73,MATCH($A35,FEV!$A$8:$A$73,0)),"")</f>
        <v/>
      </c>
      <c r="AG35" s="174">
        <f>IFERROR(INDEX(MAR!$BH$8:$BH$73,MATCH($A35,MAR!$A$8:$A$73,0)),"")</f>
        <v/>
      </c>
      <c r="AH35" s="174">
        <f>IFERROR(INDEX(ABR!$BH$8:$BH$73,MATCH($A35,ABR!$A$8:$A$73,0)),"")</f>
        <v/>
      </c>
      <c r="AI35" s="174">
        <f>IFERROR(INDEX(MAI!$BH$8:$BH$73,MATCH($A35,MAI!$A$8:$A$73,0)),"")</f>
        <v/>
      </c>
      <c r="AJ35" s="174">
        <f>IFERROR(INDEX(JUN!$BH$8:$BH$73,MATCH($A35,JUN!$A$8:$A$73,0)),"")</f>
        <v/>
      </c>
      <c r="AK35" s="174">
        <f>IFERROR(INDEX(JUL!$BH$8:$BH$73,MATCH($A35,JUL!$A$8:$A$73,0)),"")</f>
        <v/>
      </c>
      <c r="AL35" s="174">
        <f>IFERROR(INDEX(AGO!$BH$8:$BH$73,MATCH($A35,AGO!$A$8:$A$73,0)),"")</f>
        <v/>
      </c>
      <c r="AM35" s="174">
        <f>IFERROR(INDEX(SET!$BH$8:$BH$73,MATCH($A35,SET!$A$8:$A$73,0)),"")</f>
        <v/>
      </c>
      <c r="AN35" s="174">
        <f>IFERROR(INDEX(OUT!$BH$8:$BH$73,MATCH($A35,OUT!$A$8:$A$73,0)),"")</f>
        <v/>
      </c>
      <c r="AO35" s="174">
        <f>IFERROR(INDEX(NOV!$BH$8:$BH$73,MATCH($A35,NOV!$A$8:$A$73,0)),"")</f>
        <v/>
      </c>
      <c r="AP35" s="174">
        <f>IFERROR(INDEX(DEZ!$BH$8:$BH$73,MATCH($A35,DEZ!$A$8:$A$73,0)),"")</f>
        <v/>
      </c>
      <c r="AQ35" s="175">
        <f>SUM(AE35:AP35)</f>
        <v/>
      </c>
      <c r="AR35" s="39" t="n"/>
      <c r="AS35" s="174">
        <f>IFERROR(INDEX(JAN!$BI$8:$BI$73,MATCH($A35,JAN!$A$8:$A$73,0)),"")</f>
        <v/>
      </c>
      <c r="AT35" s="174">
        <f>IFERROR(INDEX(FEV!$BI$8:$BI$73,MATCH($A35,FEV!$A$8:$A$73,0)),"")</f>
        <v/>
      </c>
      <c r="AU35" s="174">
        <f>IFERROR(INDEX(MAR!$BI$8:$BI$73,MATCH($A35,MAR!$A$8:$A$73,0)),"")</f>
        <v/>
      </c>
      <c r="AV35" s="174">
        <f>IFERROR(INDEX(ABR!$BI$8:$BI$73,MATCH($A35,ABR!$A$8:$A$73,0)),"")</f>
        <v/>
      </c>
      <c r="AW35" s="174">
        <f>IFERROR(INDEX(MAI!$BI$8:$BI$73,MATCH($A35,MAI!$A$8:$A$73,0)),"")</f>
        <v/>
      </c>
      <c r="AX35" s="174">
        <f>IFERROR(INDEX(JUN!$BI$8:$BI$73,MATCH($A35,JUN!$A$8:$A$73,0)),"")</f>
        <v/>
      </c>
      <c r="AY35" s="174">
        <f>IFERROR(INDEX(JUL!$BI$8:$BI$73,MATCH($A35,JUL!$A$8:$A$73,0)),"")</f>
        <v/>
      </c>
      <c r="AZ35" s="174">
        <f>IFERROR(INDEX(AGO!$BI$8:$BI$73,MATCH($A35,AGO!$A$8:$A$73,0)),"")</f>
        <v/>
      </c>
      <c r="BA35" s="174">
        <f>IFERROR(INDEX(SET!$BI$8:$BI$73,MATCH($A35,SET!$A$8:$A$73,0)),"")</f>
        <v/>
      </c>
      <c r="BB35" s="174">
        <f>IFERROR(INDEX(OUT!$BI$8:$BI$73,MATCH($A35,OUT!$A$8:$A$73,0)),"")</f>
        <v/>
      </c>
      <c r="BC35" s="174">
        <f>IFERROR(INDEX(NOV!$BI$8:$BI$73,MATCH($A35,NOV!$A$8:$A$73,0)),"")</f>
        <v/>
      </c>
      <c r="BD35" s="174">
        <f>IFERROR(INDEX(DEZ!$BI$8:$BI$73,MATCH($A35,DEZ!$A$8:$A$73,0)),"")</f>
        <v/>
      </c>
      <c r="BE35" s="175">
        <f>SUM(AS35:BD35)</f>
        <v/>
      </c>
      <c r="BF35" s="39" t="n"/>
      <c r="BG35" s="107" t="n">
        <v>6</v>
      </c>
      <c r="BH35" s="133">
        <f>SUM(AE35:AP35)</f>
        <v/>
      </c>
      <c r="BI35" s="176">
        <f>IF(BG35="","",IF(BG35=BH35,"","⚠"))</f>
        <v/>
      </c>
      <c r="BJ35" s="39" t="n"/>
      <c r="BK35" s="39" t="n"/>
    </row>
    <row r="36">
      <c r="A36" s="89" t="inlineStr">
        <is>
          <t>Ricardo</t>
        </is>
      </c>
      <c r="B36" s="173">
        <f>CADASTRO!$C32</f>
        <v/>
      </c>
      <c r="C36" s="174">
        <f>IFERROR(INDEX(JAN!$BK$8:$BK$73,MATCH($A36,JAN!$A$8:$A$73,0)),"")</f>
        <v/>
      </c>
      <c r="D36" s="174">
        <f>IFERROR(INDEX(FEV!$BK$8:$BK$73,MATCH($A36,FEV!$A$8:$A$73,0)),"")</f>
        <v/>
      </c>
      <c r="E36" s="174">
        <f>IFERROR(INDEX(MAR!$BK$8:$BK$73,MATCH($A36,MAR!$A$8:$A$73,0)),"")</f>
        <v/>
      </c>
      <c r="F36" s="174">
        <f>IFERROR(INDEX(ABR!$BK$8:$BK$73,MATCH($A36,ABR!$A$8:$A$73,0)),"")</f>
        <v/>
      </c>
      <c r="G36" s="174">
        <f>IFERROR(INDEX(MAI!$BK$8:$BK$73,MATCH($A36,MAI!$A$8:$A$73,0)),"")</f>
        <v/>
      </c>
      <c r="H36" s="174">
        <f>IFERROR(INDEX(JUN!$BK$8:$BK$73,MATCH($A36,JUN!$A$8:$A$73,0)),"")</f>
        <v/>
      </c>
      <c r="I36" s="174">
        <f>IFERROR(INDEX(JUL!$BK$8:$BK$73,MATCH($A36,JUL!$A$8:$A$73,0)),"")</f>
        <v/>
      </c>
      <c r="J36" s="174">
        <f>IFERROR(INDEX(AGO!$BK$8:$BK$73,MATCH($A36,AGO!$A$8:$A$73,0)),"")</f>
        <v/>
      </c>
      <c r="K36" s="174">
        <f>IFERROR(INDEX(SET!$BK$8:$BK$73,MATCH($A36,SET!$A$8:$A$73,0)),"")</f>
        <v/>
      </c>
      <c r="L36" s="174">
        <f>IFERROR(INDEX(OUT!$BK$8:$BK$73,MATCH($A36,OUT!$A$8:$A$73,0)),"")</f>
        <v/>
      </c>
      <c r="M36" s="174">
        <f>IFERROR(INDEX(NOV!$BK$8:$BK$73,MATCH($A36,NOV!$A$8:$A$73,0)),"")</f>
        <v/>
      </c>
      <c r="N36" s="174">
        <f>IFERROR(INDEX(DEZ!$BK$8:$BK$73,MATCH($A36,DEZ!$A$8:$A$73,0)),"")</f>
        <v/>
      </c>
      <c r="O36" s="175">
        <f>SUM(C36:N36)</f>
        <v/>
      </c>
      <c r="P36" s="39" t="n"/>
      <c r="Q36" s="174">
        <f>IFERROR(INDEX(JAN!$BG$8:$BG$73,MATCH($A36,JAN!$A$8:$A$73,0)),"")</f>
        <v/>
      </c>
      <c r="R36" s="174">
        <f>IFERROR(INDEX(FEV!$BG$8:$BG$73,MATCH($A36,FEV!$A$8:$A$73,0)),"")</f>
        <v/>
      </c>
      <c r="S36" s="174">
        <f>IFERROR(INDEX(MAR!$BG$8:$BG$73,MATCH($A36,MAR!$A$8:$A$73,0)),"")</f>
        <v/>
      </c>
      <c r="T36" s="174">
        <f>IFERROR(INDEX(ABR!$BG$8:$BG$73,MATCH($A36,ABR!$A$8:$A$73,0)),"")</f>
        <v/>
      </c>
      <c r="U36" s="174">
        <f>IFERROR(INDEX(MAI!$BG$8:$BG$73,MATCH($A36,MAI!$A$8:$A$73,0)),"")</f>
        <v/>
      </c>
      <c r="V36" s="174">
        <f>IFERROR(INDEX(JUN!$BG$8:$BG$73,MATCH($A36,JUN!$A$8:$A$73,0)),"")</f>
        <v/>
      </c>
      <c r="W36" s="174">
        <f>IFERROR(INDEX(JUL!$BG$8:$BG$73,MATCH($A36,JUL!$A$8:$A$73,0)),"")</f>
        <v/>
      </c>
      <c r="X36" s="174">
        <f>IFERROR(INDEX(AGO!$BG$8:$BG$73,MATCH($A36,AGO!$A$8:$A$73,0)),"")</f>
        <v/>
      </c>
      <c r="Y36" s="174">
        <f>IFERROR(INDEX(SET!$BG$8:$BG$73,MATCH($A36,SET!$A$8:$A$73,0)),"")</f>
        <v/>
      </c>
      <c r="Z36" s="174">
        <f>IFERROR(INDEX(OUT!$BG$8:$BG$73,MATCH($A36,OUT!$A$8:$A$73,0)),"")</f>
        <v/>
      </c>
      <c r="AA36" s="174">
        <f>IFERROR(INDEX(NOV!$BG$8:$BG$73,MATCH($A36,NOV!$A$8:$A$73,0)),"")</f>
        <v/>
      </c>
      <c r="AB36" s="174">
        <f>IFERROR(INDEX(DEZ!$BG$8:$BG$73,MATCH($A36,DEZ!$A$8:$A$73,0)),"")</f>
        <v/>
      </c>
      <c r="AC36" s="175">
        <f>SUM(Q36:AB36)</f>
        <v/>
      </c>
      <c r="AD36" s="39" t="n"/>
      <c r="AE36" s="174">
        <f>IFERROR(INDEX(JAN!$BH$8:$BH$73,MATCH($A36,JAN!$A$8:$A$73,0)),"")</f>
        <v/>
      </c>
      <c r="AF36" s="174">
        <f>IFERROR(INDEX(FEV!$BH$8:$BH$73,MATCH($A36,FEV!$A$8:$A$73,0)),"")</f>
        <v/>
      </c>
      <c r="AG36" s="174">
        <f>IFERROR(INDEX(MAR!$BH$8:$BH$73,MATCH($A36,MAR!$A$8:$A$73,0)),"")</f>
        <v/>
      </c>
      <c r="AH36" s="174">
        <f>IFERROR(INDEX(ABR!$BH$8:$BH$73,MATCH($A36,ABR!$A$8:$A$73,0)),"")</f>
        <v/>
      </c>
      <c r="AI36" s="174">
        <f>IFERROR(INDEX(MAI!$BH$8:$BH$73,MATCH($A36,MAI!$A$8:$A$73,0)),"")</f>
        <v/>
      </c>
      <c r="AJ36" s="174">
        <f>IFERROR(INDEX(JUN!$BH$8:$BH$73,MATCH($A36,JUN!$A$8:$A$73,0)),"")</f>
        <v/>
      </c>
      <c r="AK36" s="174">
        <f>IFERROR(INDEX(JUL!$BH$8:$BH$73,MATCH($A36,JUL!$A$8:$A$73,0)),"")</f>
        <v/>
      </c>
      <c r="AL36" s="174">
        <f>IFERROR(INDEX(AGO!$BH$8:$BH$73,MATCH($A36,AGO!$A$8:$A$73,0)),"")</f>
        <v/>
      </c>
      <c r="AM36" s="174">
        <f>IFERROR(INDEX(SET!$BH$8:$BH$73,MATCH($A36,SET!$A$8:$A$73,0)),"")</f>
        <v/>
      </c>
      <c r="AN36" s="174">
        <f>IFERROR(INDEX(OUT!$BH$8:$BH$73,MATCH($A36,OUT!$A$8:$A$73,0)),"")</f>
        <v/>
      </c>
      <c r="AO36" s="174">
        <f>IFERROR(INDEX(NOV!$BH$8:$BH$73,MATCH($A36,NOV!$A$8:$A$73,0)),"")</f>
        <v/>
      </c>
      <c r="AP36" s="174">
        <f>IFERROR(INDEX(DEZ!$BH$8:$BH$73,MATCH($A36,DEZ!$A$8:$A$73,0)),"")</f>
        <v/>
      </c>
      <c r="AQ36" s="175">
        <f>SUM(AE36:AP36)</f>
        <v/>
      </c>
      <c r="AR36" s="39" t="n"/>
      <c r="AS36" s="174">
        <f>IFERROR(INDEX(JAN!$BI$8:$BI$73,MATCH($A36,JAN!$A$8:$A$73,0)),"")</f>
        <v/>
      </c>
      <c r="AT36" s="174">
        <f>IFERROR(INDEX(FEV!$BI$8:$BI$73,MATCH($A36,FEV!$A$8:$A$73,0)),"")</f>
        <v/>
      </c>
      <c r="AU36" s="174">
        <f>IFERROR(INDEX(MAR!$BI$8:$BI$73,MATCH($A36,MAR!$A$8:$A$73,0)),"")</f>
        <v/>
      </c>
      <c r="AV36" s="174">
        <f>IFERROR(INDEX(ABR!$BI$8:$BI$73,MATCH($A36,ABR!$A$8:$A$73,0)),"")</f>
        <v/>
      </c>
      <c r="AW36" s="174">
        <f>IFERROR(INDEX(MAI!$BI$8:$BI$73,MATCH($A36,MAI!$A$8:$A$73,0)),"")</f>
        <v/>
      </c>
      <c r="AX36" s="174">
        <f>IFERROR(INDEX(JUN!$BI$8:$BI$73,MATCH($A36,JUN!$A$8:$A$73,0)),"")</f>
        <v/>
      </c>
      <c r="AY36" s="174">
        <f>IFERROR(INDEX(JUL!$BI$8:$BI$73,MATCH($A36,JUL!$A$8:$A$73,0)),"")</f>
        <v/>
      </c>
      <c r="AZ36" s="174">
        <f>IFERROR(INDEX(AGO!$BI$8:$BI$73,MATCH($A36,AGO!$A$8:$A$73,0)),"")</f>
        <v/>
      </c>
      <c r="BA36" s="174">
        <f>IFERROR(INDEX(SET!$BI$8:$BI$73,MATCH($A36,SET!$A$8:$A$73,0)),"")</f>
        <v/>
      </c>
      <c r="BB36" s="174">
        <f>IFERROR(INDEX(OUT!$BI$8:$BI$73,MATCH($A36,OUT!$A$8:$A$73,0)),"")</f>
        <v/>
      </c>
      <c r="BC36" s="174">
        <f>IFERROR(INDEX(NOV!$BI$8:$BI$73,MATCH($A36,NOV!$A$8:$A$73,0)),"")</f>
        <v/>
      </c>
      <c r="BD36" s="174">
        <f>IFERROR(INDEX(DEZ!$BI$8:$BI$73,MATCH($A36,DEZ!$A$8:$A$73,0)),"")</f>
        <v/>
      </c>
      <c r="BE36" s="175">
        <f>SUM(AS36:BD36)</f>
        <v/>
      </c>
      <c r="BF36" s="39" t="n"/>
      <c r="BG36" s="107" t="n">
        <v>5</v>
      </c>
      <c r="BH36" s="133">
        <f>SUM(AE36:AP36)</f>
        <v/>
      </c>
      <c r="BI36" s="176">
        <f>IF(BG36="","",IF(BG36=BH36,"","⚠"))</f>
        <v/>
      </c>
      <c r="BJ36" s="39" t="n"/>
      <c r="BK36" s="39" t="n"/>
    </row>
    <row r="37">
      <c r="A37" s="89" t="inlineStr">
        <is>
          <t>Rosana</t>
        </is>
      </c>
      <c r="B37" s="173">
        <f>CADASTRO!$C33</f>
        <v/>
      </c>
      <c r="C37" s="174">
        <f>IFERROR(INDEX(JAN!$BK$8:$BK$73,MATCH($A37,JAN!$A$8:$A$73,0)),"")</f>
        <v/>
      </c>
      <c r="D37" s="174">
        <f>IFERROR(INDEX(FEV!$BK$8:$BK$73,MATCH($A37,FEV!$A$8:$A$73,0)),"")</f>
        <v/>
      </c>
      <c r="E37" s="174">
        <f>IFERROR(INDEX(MAR!$BK$8:$BK$73,MATCH($A37,MAR!$A$8:$A$73,0)),"")</f>
        <v/>
      </c>
      <c r="F37" s="174">
        <f>IFERROR(INDEX(ABR!$BK$8:$BK$73,MATCH($A37,ABR!$A$8:$A$73,0)),"")</f>
        <v/>
      </c>
      <c r="G37" s="174">
        <f>IFERROR(INDEX(MAI!$BK$8:$BK$73,MATCH($A37,MAI!$A$8:$A$73,0)),"")</f>
        <v/>
      </c>
      <c r="H37" s="174">
        <f>IFERROR(INDEX(JUN!$BK$8:$BK$73,MATCH($A37,JUN!$A$8:$A$73,0)),"")</f>
        <v/>
      </c>
      <c r="I37" s="174">
        <f>IFERROR(INDEX(JUL!$BK$8:$BK$73,MATCH($A37,JUL!$A$8:$A$73,0)),"")</f>
        <v/>
      </c>
      <c r="J37" s="174">
        <f>IFERROR(INDEX(AGO!$BK$8:$BK$73,MATCH($A37,AGO!$A$8:$A$73,0)),"")</f>
        <v/>
      </c>
      <c r="K37" s="174">
        <f>IFERROR(INDEX(SET!$BK$8:$BK$73,MATCH($A37,SET!$A$8:$A$73,0)),"")</f>
        <v/>
      </c>
      <c r="L37" s="174">
        <f>IFERROR(INDEX(OUT!$BK$8:$BK$73,MATCH($A37,OUT!$A$8:$A$73,0)),"")</f>
        <v/>
      </c>
      <c r="M37" s="174">
        <f>IFERROR(INDEX(NOV!$BK$8:$BK$73,MATCH($A37,NOV!$A$8:$A$73,0)),"")</f>
        <v/>
      </c>
      <c r="N37" s="174">
        <f>IFERROR(INDEX(DEZ!$BK$8:$BK$73,MATCH($A37,DEZ!$A$8:$A$73,0)),"")</f>
        <v/>
      </c>
      <c r="O37" s="175">
        <f>SUM(C37:N37)</f>
        <v/>
      </c>
      <c r="P37" s="39" t="n"/>
      <c r="Q37" s="174">
        <f>IFERROR(INDEX(JAN!$BG$8:$BG$73,MATCH($A37,JAN!$A$8:$A$73,0)),"")</f>
        <v/>
      </c>
      <c r="R37" s="174">
        <f>IFERROR(INDEX(FEV!$BG$8:$BG$73,MATCH($A37,FEV!$A$8:$A$73,0)),"")</f>
        <v/>
      </c>
      <c r="S37" s="174">
        <f>IFERROR(INDEX(MAR!$BG$8:$BG$73,MATCH($A37,MAR!$A$8:$A$73,0)),"")</f>
        <v/>
      </c>
      <c r="T37" s="174">
        <f>IFERROR(INDEX(ABR!$BG$8:$BG$73,MATCH($A37,ABR!$A$8:$A$73,0)),"")</f>
        <v/>
      </c>
      <c r="U37" s="174">
        <f>IFERROR(INDEX(MAI!$BG$8:$BG$73,MATCH($A37,MAI!$A$8:$A$73,0)),"")</f>
        <v/>
      </c>
      <c r="V37" s="174">
        <f>IFERROR(INDEX(JUN!$BG$8:$BG$73,MATCH($A37,JUN!$A$8:$A$73,0)),"")</f>
        <v/>
      </c>
      <c r="W37" s="174">
        <f>IFERROR(INDEX(JUL!$BG$8:$BG$73,MATCH($A37,JUL!$A$8:$A$73,0)),"")</f>
        <v/>
      </c>
      <c r="X37" s="174">
        <f>IFERROR(INDEX(AGO!$BG$8:$BG$73,MATCH($A37,AGO!$A$8:$A$73,0)),"")</f>
        <v/>
      </c>
      <c r="Y37" s="174">
        <f>IFERROR(INDEX(SET!$BG$8:$BG$73,MATCH($A37,SET!$A$8:$A$73,0)),"")</f>
        <v/>
      </c>
      <c r="Z37" s="174">
        <f>IFERROR(INDEX(OUT!$BG$8:$BG$73,MATCH($A37,OUT!$A$8:$A$73,0)),"")</f>
        <v/>
      </c>
      <c r="AA37" s="174">
        <f>IFERROR(INDEX(NOV!$BG$8:$BG$73,MATCH($A37,NOV!$A$8:$A$73,0)),"")</f>
        <v/>
      </c>
      <c r="AB37" s="174">
        <f>IFERROR(INDEX(DEZ!$BG$8:$BG$73,MATCH($A37,DEZ!$A$8:$A$73,0)),"")</f>
        <v/>
      </c>
      <c r="AC37" s="175">
        <f>SUM(Q37:AB37)</f>
        <v/>
      </c>
      <c r="AD37" s="39" t="n"/>
      <c r="AE37" s="174">
        <f>IFERROR(INDEX(JAN!$BH$8:$BH$73,MATCH($A37,JAN!$A$8:$A$73,0)),"")</f>
        <v/>
      </c>
      <c r="AF37" s="174">
        <f>IFERROR(INDEX(FEV!$BH$8:$BH$73,MATCH($A37,FEV!$A$8:$A$73,0)),"")</f>
        <v/>
      </c>
      <c r="AG37" s="174">
        <f>IFERROR(INDEX(MAR!$BH$8:$BH$73,MATCH($A37,MAR!$A$8:$A$73,0)),"")</f>
        <v/>
      </c>
      <c r="AH37" s="174">
        <f>IFERROR(INDEX(ABR!$BH$8:$BH$73,MATCH($A37,ABR!$A$8:$A$73,0)),"")</f>
        <v/>
      </c>
      <c r="AI37" s="174">
        <f>IFERROR(INDEX(MAI!$BH$8:$BH$73,MATCH($A37,MAI!$A$8:$A$73,0)),"")</f>
        <v/>
      </c>
      <c r="AJ37" s="174">
        <f>IFERROR(INDEX(JUN!$BH$8:$BH$73,MATCH($A37,JUN!$A$8:$A$73,0)),"")</f>
        <v/>
      </c>
      <c r="AK37" s="174">
        <f>IFERROR(INDEX(JUL!$BH$8:$BH$73,MATCH($A37,JUL!$A$8:$A$73,0)),"")</f>
        <v/>
      </c>
      <c r="AL37" s="174">
        <f>IFERROR(INDEX(AGO!$BH$8:$BH$73,MATCH($A37,AGO!$A$8:$A$73,0)),"")</f>
        <v/>
      </c>
      <c r="AM37" s="174">
        <f>IFERROR(INDEX(SET!$BH$8:$BH$73,MATCH($A37,SET!$A$8:$A$73,0)),"")</f>
        <v/>
      </c>
      <c r="AN37" s="174">
        <f>IFERROR(INDEX(OUT!$BH$8:$BH$73,MATCH($A37,OUT!$A$8:$A$73,0)),"")</f>
        <v/>
      </c>
      <c r="AO37" s="174">
        <f>IFERROR(INDEX(NOV!$BH$8:$BH$73,MATCH($A37,NOV!$A$8:$A$73,0)),"")</f>
        <v/>
      </c>
      <c r="AP37" s="174">
        <f>IFERROR(INDEX(DEZ!$BH$8:$BH$73,MATCH($A37,DEZ!$A$8:$A$73,0)),"")</f>
        <v/>
      </c>
      <c r="AQ37" s="175">
        <f>SUM(AE37:AP37)</f>
        <v/>
      </c>
      <c r="AR37" s="39" t="n"/>
      <c r="AS37" s="174">
        <f>IFERROR(INDEX(JAN!$BI$8:$BI$73,MATCH($A37,JAN!$A$8:$A$73,0)),"")</f>
        <v/>
      </c>
      <c r="AT37" s="174">
        <f>IFERROR(INDEX(FEV!$BI$8:$BI$73,MATCH($A37,FEV!$A$8:$A$73,0)),"")</f>
        <v/>
      </c>
      <c r="AU37" s="174">
        <f>IFERROR(INDEX(MAR!$BI$8:$BI$73,MATCH($A37,MAR!$A$8:$A$73,0)),"")</f>
        <v/>
      </c>
      <c r="AV37" s="174">
        <f>IFERROR(INDEX(ABR!$BI$8:$BI$73,MATCH($A37,ABR!$A$8:$A$73,0)),"")</f>
        <v/>
      </c>
      <c r="AW37" s="174">
        <f>IFERROR(INDEX(MAI!$BI$8:$BI$73,MATCH($A37,MAI!$A$8:$A$73,0)),"")</f>
        <v/>
      </c>
      <c r="AX37" s="174">
        <f>IFERROR(INDEX(JUN!$BI$8:$BI$73,MATCH($A37,JUN!$A$8:$A$73,0)),"")</f>
        <v/>
      </c>
      <c r="AY37" s="174">
        <f>IFERROR(INDEX(JUL!$BI$8:$BI$73,MATCH($A37,JUL!$A$8:$A$73,0)),"")</f>
        <v/>
      </c>
      <c r="AZ37" s="174">
        <f>IFERROR(INDEX(AGO!$BI$8:$BI$73,MATCH($A37,AGO!$A$8:$A$73,0)),"")</f>
        <v/>
      </c>
      <c r="BA37" s="174">
        <f>IFERROR(INDEX(SET!$BI$8:$BI$73,MATCH($A37,SET!$A$8:$A$73,0)),"")</f>
        <v/>
      </c>
      <c r="BB37" s="174">
        <f>IFERROR(INDEX(OUT!$BI$8:$BI$73,MATCH($A37,OUT!$A$8:$A$73,0)),"")</f>
        <v/>
      </c>
      <c r="BC37" s="174">
        <f>IFERROR(INDEX(NOV!$BI$8:$BI$73,MATCH($A37,NOV!$A$8:$A$73,0)),"")</f>
        <v/>
      </c>
      <c r="BD37" s="174">
        <f>IFERROR(INDEX(DEZ!$BI$8:$BI$73,MATCH($A37,DEZ!$A$8:$A$73,0)),"")</f>
        <v/>
      </c>
      <c r="BE37" s="175">
        <f>SUM(AS37:BD37)</f>
        <v/>
      </c>
      <c r="BF37" s="39" t="n"/>
      <c r="BG37" s="107" t="n">
        <v>3</v>
      </c>
      <c r="BH37" s="133">
        <f>SUM(AE37:AP37)</f>
        <v/>
      </c>
      <c r="BI37" s="176">
        <f>IF(BG37="","",IF(BG37=BH37,"","⚠"))</f>
        <v/>
      </c>
      <c r="BJ37" s="39" t="n"/>
      <c r="BK37" s="39" t="n"/>
    </row>
    <row r="38">
      <c r="A38" s="89" t="inlineStr">
        <is>
          <t>AnaSeverino</t>
        </is>
      </c>
      <c r="B38" s="173">
        <f>CADASTRO!$C34</f>
        <v/>
      </c>
      <c r="C38" s="174">
        <f>IFERROR(INDEX(JAN!$BK$8:$BK$73,MATCH($A38,JAN!$A$8:$A$73,0)),"")</f>
        <v/>
      </c>
      <c r="D38" s="174">
        <f>IFERROR(INDEX(FEV!$BK$8:$BK$73,MATCH($A38,FEV!$A$8:$A$73,0)),"")</f>
        <v/>
      </c>
      <c r="E38" s="174">
        <f>IFERROR(INDEX(MAR!$BK$8:$BK$73,MATCH($A38,MAR!$A$8:$A$73,0)),"")</f>
        <v/>
      </c>
      <c r="F38" s="174">
        <f>IFERROR(INDEX(ABR!$BK$8:$BK$73,MATCH($A38,ABR!$A$8:$A$73,0)),"")</f>
        <v/>
      </c>
      <c r="G38" s="174">
        <f>IFERROR(INDEX(MAI!$BK$8:$BK$73,MATCH($A38,MAI!$A$8:$A$73,0)),"")</f>
        <v/>
      </c>
      <c r="H38" s="174">
        <f>IFERROR(INDEX(JUN!$BK$8:$BK$73,MATCH($A38,JUN!$A$8:$A$73,0)),"")</f>
        <v/>
      </c>
      <c r="I38" s="174">
        <f>IFERROR(INDEX(JUL!$BK$8:$BK$73,MATCH($A38,JUL!$A$8:$A$73,0)),"")</f>
        <v/>
      </c>
      <c r="J38" s="174">
        <f>IFERROR(INDEX(AGO!$BK$8:$BK$73,MATCH($A38,AGO!$A$8:$A$73,0)),"")</f>
        <v/>
      </c>
      <c r="K38" s="174">
        <f>IFERROR(INDEX(SET!$BK$8:$BK$73,MATCH($A38,SET!$A$8:$A$73,0)),"")</f>
        <v/>
      </c>
      <c r="L38" s="174">
        <f>IFERROR(INDEX(OUT!$BK$8:$BK$73,MATCH($A38,OUT!$A$8:$A$73,0)),"")</f>
        <v/>
      </c>
      <c r="M38" s="174">
        <f>IFERROR(INDEX(NOV!$BK$8:$BK$73,MATCH($A38,NOV!$A$8:$A$73,0)),"")</f>
        <v/>
      </c>
      <c r="N38" s="174">
        <f>IFERROR(INDEX(DEZ!$BK$8:$BK$73,MATCH($A38,DEZ!$A$8:$A$73,0)),"")</f>
        <v/>
      </c>
      <c r="O38" s="175">
        <f>SUM(C38:N38)</f>
        <v/>
      </c>
      <c r="P38" s="39" t="n"/>
      <c r="Q38" s="174">
        <f>IFERROR(INDEX(JAN!$BG$8:$BG$73,MATCH($A38,JAN!$A$8:$A$73,0)),"")</f>
        <v/>
      </c>
      <c r="R38" s="174">
        <f>IFERROR(INDEX(FEV!$BG$8:$BG$73,MATCH($A38,FEV!$A$8:$A$73,0)),"")</f>
        <v/>
      </c>
      <c r="S38" s="174">
        <f>IFERROR(INDEX(MAR!$BG$8:$BG$73,MATCH($A38,MAR!$A$8:$A$73,0)),"")</f>
        <v/>
      </c>
      <c r="T38" s="174">
        <f>IFERROR(INDEX(ABR!$BG$8:$BG$73,MATCH($A38,ABR!$A$8:$A$73,0)),"")</f>
        <v/>
      </c>
      <c r="U38" s="174">
        <f>IFERROR(INDEX(MAI!$BG$8:$BG$73,MATCH($A38,MAI!$A$8:$A$73,0)),"")</f>
        <v/>
      </c>
      <c r="V38" s="174">
        <f>IFERROR(INDEX(JUN!$BG$8:$BG$73,MATCH($A38,JUN!$A$8:$A$73,0)),"")</f>
        <v/>
      </c>
      <c r="W38" s="174">
        <f>IFERROR(INDEX(JUL!$BG$8:$BG$73,MATCH($A38,JUL!$A$8:$A$73,0)),"")</f>
        <v/>
      </c>
      <c r="X38" s="174">
        <f>IFERROR(INDEX(AGO!$BG$8:$BG$73,MATCH($A38,AGO!$A$8:$A$73,0)),"")</f>
        <v/>
      </c>
      <c r="Y38" s="174">
        <f>IFERROR(INDEX(SET!$BG$8:$BG$73,MATCH($A38,SET!$A$8:$A$73,0)),"")</f>
        <v/>
      </c>
      <c r="Z38" s="174">
        <f>IFERROR(INDEX(OUT!$BG$8:$BG$73,MATCH($A38,OUT!$A$8:$A$73,0)),"")</f>
        <v/>
      </c>
      <c r="AA38" s="174">
        <f>IFERROR(INDEX(NOV!$BG$8:$BG$73,MATCH($A38,NOV!$A$8:$A$73,0)),"")</f>
        <v/>
      </c>
      <c r="AB38" s="174">
        <f>IFERROR(INDEX(DEZ!$BG$8:$BG$73,MATCH($A38,DEZ!$A$8:$A$73,0)),"")</f>
        <v/>
      </c>
      <c r="AC38" s="175">
        <f>SUM(Q38:AB38)</f>
        <v/>
      </c>
      <c r="AD38" s="39" t="n"/>
      <c r="AE38" s="174">
        <f>IFERROR(INDEX(JAN!$BH$8:$BH$73,MATCH($A38,JAN!$A$8:$A$73,0)),"")</f>
        <v/>
      </c>
      <c r="AF38" s="174">
        <f>IFERROR(INDEX(FEV!$BH$8:$BH$73,MATCH($A38,FEV!$A$8:$A$73,0)),"")</f>
        <v/>
      </c>
      <c r="AG38" s="174">
        <f>IFERROR(INDEX(MAR!$BH$8:$BH$73,MATCH($A38,MAR!$A$8:$A$73,0)),"")</f>
        <v/>
      </c>
      <c r="AH38" s="174">
        <f>IFERROR(INDEX(ABR!$BH$8:$BH$73,MATCH($A38,ABR!$A$8:$A$73,0)),"")</f>
        <v/>
      </c>
      <c r="AI38" s="174">
        <f>IFERROR(INDEX(MAI!$BH$8:$BH$73,MATCH($A38,MAI!$A$8:$A$73,0)),"")</f>
        <v/>
      </c>
      <c r="AJ38" s="174">
        <f>IFERROR(INDEX(JUN!$BH$8:$BH$73,MATCH($A38,JUN!$A$8:$A$73,0)),"")</f>
        <v/>
      </c>
      <c r="AK38" s="174">
        <f>IFERROR(INDEX(JUL!$BH$8:$BH$73,MATCH($A38,JUL!$A$8:$A$73,0)),"")</f>
        <v/>
      </c>
      <c r="AL38" s="174">
        <f>IFERROR(INDEX(AGO!$BH$8:$BH$73,MATCH($A38,AGO!$A$8:$A$73,0)),"")</f>
        <v/>
      </c>
      <c r="AM38" s="174">
        <f>IFERROR(INDEX(SET!$BH$8:$BH$73,MATCH($A38,SET!$A$8:$A$73,0)),"")</f>
        <v/>
      </c>
      <c r="AN38" s="174">
        <f>IFERROR(INDEX(OUT!$BH$8:$BH$73,MATCH($A38,OUT!$A$8:$A$73,0)),"")</f>
        <v/>
      </c>
      <c r="AO38" s="174">
        <f>IFERROR(INDEX(NOV!$BH$8:$BH$73,MATCH($A38,NOV!$A$8:$A$73,0)),"")</f>
        <v/>
      </c>
      <c r="AP38" s="174">
        <f>IFERROR(INDEX(DEZ!$BH$8:$BH$73,MATCH($A38,DEZ!$A$8:$A$73,0)),"")</f>
        <v/>
      </c>
      <c r="AQ38" s="175">
        <f>SUM(AE38:AP38)</f>
        <v/>
      </c>
      <c r="AR38" s="39" t="n"/>
      <c r="AS38" s="174">
        <f>IFERROR(INDEX(JAN!$BI$8:$BI$73,MATCH($A38,JAN!$A$8:$A$73,0)),"")</f>
        <v/>
      </c>
      <c r="AT38" s="174">
        <f>IFERROR(INDEX(FEV!$BI$8:$BI$73,MATCH($A38,FEV!$A$8:$A$73,0)),"")</f>
        <v/>
      </c>
      <c r="AU38" s="174">
        <f>IFERROR(INDEX(MAR!$BI$8:$BI$73,MATCH($A38,MAR!$A$8:$A$73,0)),"")</f>
        <v/>
      </c>
      <c r="AV38" s="174">
        <f>IFERROR(INDEX(ABR!$BI$8:$BI$73,MATCH($A38,ABR!$A$8:$A$73,0)),"")</f>
        <v/>
      </c>
      <c r="AW38" s="174">
        <f>IFERROR(INDEX(MAI!$BI$8:$BI$73,MATCH($A38,MAI!$A$8:$A$73,0)),"")</f>
        <v/>
      </c>
      <c r="AX38" s="174">
        <f>IFERROR(INDEX(JUN!$BI$8:$BI$73,MATCH($A38,JUN!$A$8:$A$73,0)),"")</f>
        <v/>
      </c>
      <c r="AY38" s="174">
        <f>IFERROR(INDEX(JUL!$BI$8:$BI$73,MATCH($A38,JUL!$A$8:$A$73,0)),"")</f>
        <v/>
      </c>
      <c r="AZ38" s="174">
        <f>IFERROR(INDEX(AGO!$BI$8:$BI$73,MATCH($A38,AGO!$A$8:$A$73,0)),"")</f>
        <v/>
      </c>
      <c r="BA38" s="174">
        <f>IFERROR(INDEX(SET!$BI$8:$BI$73,MATCH($A38,SET!$A$8:$A$73,0)),"")</f>
        <v/>
      </c>
      <c r="BB38" s="174">
        <f>IFERROR(INDEX(OUT!$BI$8:$BI$73,MATCH($A38,OUT!$A$8:$A$73,0)),"")</f>
        <v/>
      </c>
      <c r="BC38" s="174">
        <f>IFERROR(INDEX(NOV!$BI$8:$BI$73,MATCH($A38,NOV!$A$8:$A$73,0)),"")</f>
        <v/>
      </c>
      <c r="BD38" s="174">
        <f>IFERROR(INDEX(DEZ!$BI$8:$BI$73,MATCH($A38,DEZ!$A$8:$A$73,0)),"")</f>
        <v/>
      </c>
      <c r="BE38" s="175">
        <f>SUM(AS38:BD38)</f>
        <v/>
      </c>
      <c r="BF38" s="39" t="n"/>
      <c r="BG38" s="107" t="n">
        <v>3</v>
      </c>
      <c r="BH38" s="133">
        <f>SUM(AE38:AP38)</f>
        <v/>
      </c>
      <c r="BI38" s="176">
        <f>IF(BG38="","",IF(BG38=BH38,"","⚠"))</f>
        <v/>
      </c>
      <c r="BJ38" s="39" t="n"/>
      <c r="BK38" s="39" t="n"/>
    </row>
    <row r="39">
      <c r="A39" s="89" t="inlineStr">
        <is>
          <t>Anna</t>
        </is>
      </c>
      <c r="B39" s="173">
        <f>CADASTRO!$C35</f>
        <v/>
      </c>
      <c r="C39" s="174">
        <f>IFERROR(INDEX(JAN!$BK$8:$BK$73,MATCH($A39,JAN!$A$8:$A$73,0)),"")</f>
        <v/>
      </c>
      <c r="D39" s="174">
        <f>IFERROR(INDEX(FEV!$BK$8:$BK$73,MATCH($A39,FEV!$A$8:$A$73,0)),"")</f>
        <v/>
      </c>
      <c r="E39" s="174">
        <f>IFERROR(INDEX(MAR!$BK$8:$BK$73,MATCH($A39,MAR!$A$8:$A$73,0)),"")</f>
        <v/>
      </c>
      <c r="F39" s="174">
        <f>IFERROR(INDEX(ABR!$BK$8:$BK$73,MATCH($A39,ABR!$A$8:$A$73,0)),"")</f>
        <v/>
      </c>
      <c r="G39" s="174">
        <f>IFERROR(INDEX(MAI!$BK$8:$BK$73,MATCH($A39,MAI!$A$8:$A$73,0)),"")</f>
        <v/>
      </c>
      <c r="H39" s="174">
        <f>IFERROR(INDEX(JUN!$BK$8:$BK$73,MATCH($A39,JUN!$A$8:$A$73,0)),"")</f>
        <v/>
      </c>
      <c r="I39" s="174">
        <f>IFERROR(INDEX(JUL!$BK$8:$BK$73,MATCH($A39,JUL!$A$8:$A$73,0)),"")</f>
        <v/>
      </c>
      <c r="J39" s="174">
        <f>IFERROR(INDEX(AGO!$BK$8:$BK$73,MATCH($A39,AGO!$A$8:$A$73,0)),"")</f>
        <v/>
      </c>
      <c r="K39" s="174">
        <f>IFERROR(INDEX(SET!$BK$8:$BK$73,MATCH($A39,SET!$A$8:$A$73,0)),"")</f>
        <v/>
      </c>
      <c r="L39" s="174">
        <f>IFERROR(INDEX(OUT!$BK$8:$BK$73,MATCH($A39,OUT!$A$8:$A$73,0)),"")</f>
        <v/>
      </c>
      <c r="M39" s="174">
        <f>IFERROR(INDEX(NOV!$BK$8:$BK$73,MATCH($A39,NOV!$A$8:$A$73,0)),"")</f>
        <v/>
      </c>
      <c r="N39" s="174">
        <f>IFERROR(INDEX(DEZ!$BK$8:$BK$73,MATCH($A39,DEZ!$A$8:$A$73,0)),"")</f>
        <v/>
      </c>
      <c r="O39" s="175">
        <f>SUM(C39:N39)</f>
        <v/>
      </c>
      <c r="P39" s="39" t="n"/>
      <c r="Q39" s="174">
        <f>IFERROR(INDEX(JAN!$BG$8:$BG$73,MATCH($A39,JAN!$A$8:$A$73,0)),"")</f>
        <v/>
      </c>
      <c r="R39" s="174">
        <f>IFERROR(INDEX(FEV!$BG$8:$BG$73,MATCH($A39,FEV!$A$8:$A$73,0)),"")</f>
        <v/>
      </c>
      <c r="S39" s="174">
        <f>IFERROR(INDEX(MAR!$BG$8:$BG$73,MATCH($A39,MAR!$A$8:$A$73,0)),"")</f>
        <v/>
      </c>
      <c r="T39" s="174">
        <f>IFERROR(INDEX(ABR!$BG$8:$BG$73,MATCH($A39,ABR!$A$8:$A$73,0)),"")</f>
        <v/>
      </c>
      <c r="U39" s="174">
        <f>IFERROR(INDEX(MAI!$BG$8:$BG$73,MATCH($A39,MAI!$A$8:$A$73,0)),"")</f>
        <v/>
      </c>
      <c r="V39" s="174">
        <f>IFERROR(INDEX(JUN!$BG$8:$BG$73,MATCH($A39,JUN!$A$8:$A$73,0)),"")</f>
        <v/>
      </c>
      <c r="W39" s="174">
        <f>IFERROR(INDEX(JUL!$BG$8:$BG$73,MATCH($A39,JUL!$A$8:$A$73,0)),"")</f>
        <v/>
      </c>
      <c r="X39" s="174">
        <f>IFERROR(INDEX(AGO!$BG$8:$BG$73,MATCH($A39,AGO!$A$8:$A$73,0)),"")</f>
        <v/>
      </c>
      <c r="Y39" s="174">
        <f>IFERROR(INDEX(SET!$BG$8:$BG$73,MATCH($A39,SET!$A$8:$A$73,0)),"")</f>
        <v/>
      </c>
      <c r="Z39" s="174">
        <f>IFERROR(INDEX(OUT!$BG$8:$BG$73,MATCH($A39,OUT!$A$8:$A$73,0)),"")</f>
        <v/>
      </c>
      <c r="AA39" s="174">
        <f>IFERROR(INDEX(NOV!$BG$8:$BG$73,MATCH($A39,NOV!$A$8:$A$73,0)),"")</f>
        <v/>
      </c>
      <c r="AB39" s="174">
        <f>IFERROR(INDEX(DEZ!$BG$8:$BG$73,MATCH($A39,DEZ!$A$8:$A$73,0)),"")</f>
        <v/>
      </c>
      <c r="AC39" s="175">
        <f>SUM(Q39:AB39)</f>
        <v/>
      </c>
      <c r="AD39" s="39" t="n"/>
      <c r="AE39" s="174">
        <f>IFERROR(INDEX(JAN!$BH$8:$BH$73,MATCH($A39,JAN!$A$8:$A$73,0)),"")</f>
        <v/>
      </c>
      <c r="AF39" s="174">
        <f>IFERROR(INDEX(FEV!$BH$8:$BH$73,MATCH($A39,FEV!$A$8:$A$73,0)),"")</f>
        <v/>
      </c>
      <c r="AG39" s="174">
        <f>IFERROR(INDEX(MAR!$BH$8:$BH$73,MATCH($A39,MAR!$A$8:$A$73,0)),"")</f>
        <v/>
      </c>
      <c r="AH39" s="174">
        <f>IFERROR(INDEX(ABR!$BH$8:$BH$73,MATCH($A39,ABR!$A$8:$A$73,0)),"")</f>
        <v/>
      </c>
      <c r="AI39" s="174">
        <f>IFERROR(INDEX(MAI!$BH$8:$BH$73,MATCH($A39,MAI!$A$8:$A$73,0)),"")</f>
        <v/>
      </c>
      <c r="AJ39" s="174">
        <f>IFERROR(INDEX(JUN!$BH$8:$BH$73,MATCH($A39,JUN!$A$8:$A$73,0)),"")</f>
        <v/>
      </c>
      <c r="AK39" s="174">
        <f>IFERROR(INDEX(JUL!$BH$8:$BH$73,MATCH($A39,JUL!$A$8:$A$73,0)),"")</f>
        <v/>
      </c>
      <c r="AL39" s="174">
        <f>IFERROR(INDEX(AGO!$BH$8:$BH$73,MATCH($A39,AGO!$A$8:$A$73,0)),"")</f>
        <v/>
      </c>
      <c r="AM39" s="174">
        <f>IFERROR(INDEX(SET!$BH$8:$BH$73,MATCH($A39,SET!$A$8:$A$73,0)),"")</f>
        <v/>
      </c>
      <c r="AN39" s="174">
        <f>IFERROR(INDEX(OUT!$BH$8:$BH$73,MATCH($A39,OUT!$A$8:$A$73,0)),"")</f>
        <v/>
      </c>
      <c r="AO39" s="174">
        <f>IFERROR(INDEX(NOV!$BH$8:$BH$73,MATCH($A39,NOV!$A$8:$A$73,0)),"")</f>
        <v/>
      </c>
      <c r="AP39" s="174">
        <f>IFERROR(INDEX(DEZ!$BH$8:$BH$73,MATCH($A39,DEZ!$A$8:$A$73,0)),"")</f>
        <v/>
      </c>
      <c r="AQ39" s="175">
        <f>SUM(AE39:AP39)</f>
        <v/>
      </c>
      <c r="AR39" s="39" t="n"/>
      <c r="AS39" s="174">
        <f>IFERROR(INDEX(JAN!$BI$8:$BI$73,MATCH($A39,JAN!$A$8:$A$73,0)),"")</f>
        <v/>
      </c>
      <c r="AT39" s="174">
        <f>IFERROR(INDEX(FEV!$BI$8:$BI$73,MATCH($A39,FEV!$A$8:$A$73,0)),"")</f>
        <v/>
      </c>
      <c r="AU39" s="174">
        <f>IFERROR(INDEX(MAR!$BI$8:$BI$73,MATCH($A39,MAR!$A$8:$A$73,0)),"")</f>
        <v/>
      </c>
      <c r="AV39" s="174">
        <f>IFERROR(INDEX(ABR!$BI$8:$BI$73,MATCH($A39,ABR!$A$8:$A$73,0)),"")</f>
        <v/>
      </c>
      <c r="AW39" s="174">
        <f>IFERROR(INDEX(MAI!$BI$8:$BI$73,MATCH($A39,MAI!$A$8:$A$73,0)),"")</f>
        <v/>
      </c>
      <c r="AX39" s="174">
        <f>IFERROR(INDEX(JUN!$BI$8:$BI$73,MATCH($A39,JUN!$A$8:$A$73,0)),"")</f>
        <v/>
      </c>
      <c r="AY39" s="174">
        <f>IFERROR(INDEX(JUL!$BI$8:$BI$73,MATCH($A39,JUL!$A$8:$A$73,0)),"")</f>
        <v/>
      </c>
      <c r="AZ39" s="174">
        <f>IFERROR(INDEX(AGO!$BI$8:$BI$73,MATCH($A39,AGO!$A$8:$A$73,0)),"")</f>
        <v/>
      </c>
      <c r="BA39" s="174">
        <f>IFERROR(INDEX(SET!$BI$8:$BI$73,MATCH($A39,SET!$A$8:$A$73,0)),"")</f>
        <v/>
      </c>
      <c r="BB39" s="174">
        <f>IFERROR(INDEX(OUT!$BI$8:$BI$73,MATCH($A39,OUT!$A$8:$A$73,0)),"")</f>
        <v/>
      </c>
      <c r="BC39" s="174">
        <f>IFERROR(INDEX(NOV!$BI$8:$BI$73,MATCH($A39,NOV!$A$8:$A$73,0)),"")</f>
        <v/>
      </c>
      <c r="BD39" s="174">
        <f>IFERROR(INDEX(DEZ!$BI$8:$BI$73,MATCH($A39,DEZ!$A$8:$A$73,0)),"")</f>
        <v/>
      </c>
      <c r="BE39" s="175">
        <f>SUM(AS39:BD39)</f>
        <v/>
      </c>
      <c r="BF39" s="39" t="n"/>
      <c r="BG39" s="107" t="n">
        <v>4</v>
      </c>
      <c r="BH39" s="133">
        <f>SUM(AE39:AP39)</f>
        <v/>
      </c>
      <c r="BI39" s="176">
        <f>IF(BG39="","",IF(BG39=BH39,"","⚠"))</f>
        <v/>
      </c>
      <c r="BJ39" s="39" t="n"/>
      <c r="BK39" s="39" t="n"/>
    </row>
    <row r="40">
      <c r="A40" s="89" t="inlineStr">
        <is>
          <t>Ariadne</t>
        </is>
      </c>
      <c r="B40" s="173">
        <f>CADASTRO!$C36</f>
        <v/>
      </c>
      <c r="C40" s="174">
        <f>IFERROR(INDEX(JAN!$BK$8:$BK$73,MATCH($A40,JAN!$A$8:$A$73,0)),"")</f>
        <v/>
      </c>
      <c r="D40" s="174">
        <f>IFERROR(INDEX(FEV!$BK$8:$BK$73,MATCH($A40,FEV!$A$8:$A$73,0)),"")</f>
        <v/>
      </c>
      <c r="E40" s="174">
        <f>IFERROR(INDEX(MAR!$BK$8:$BK$73,MATCH($A40,MAR!$A$8:$A$73,0)),"")</f>
        <v/>
      </c>
      <c r="F40" s="174">
        <f>IFERROR(INDEX(ABR!$BK$8:$BK$73,MATCH($A40,ABR!$A$8:$A$73,0)),"")</f>
        <v/>
      </c>
      <c r="G40" s="174">
        <f>IFERROR(INDEX(MAI!$BK$8:$BK$73,MATCH($A40,MAI!$A$8:$A$73,0)),"")</f>
        <v/>
      </c>
      <c r="H40" s="174">
        <f>IFERROR(INDEX(JUN!$BK$8:$BK$73,MATCH($A40,JUN!$A$8:$A$73,0)),"")</f>
        <v/>
      </c>
      <c r="I40" s="174">
        <f>IFERROR(INDEX(JUL!$BK$8:$BK$73,MATCH($A40,JUL!$A$8:$A$73,0)),"")</f>
        <v/>
      </c>
      <c r="J40" s="174">
        <f>IFERROR(INDEX(AGO!$BK$8:$BK$73,MATCH($A40,AGO!$A$8:$A$73,0)),"")</f>
        <v/>
      </c>
      <c r="K40" s="174">
        <f>IFERROR(INDEX(SET!$BK$8:$BK$73,MATCH($A40,SET!$A$8:$A$73,0)),"")</f>
        <v/>
      </c>
      <c r="L40" s="174">
        <f>IFERROR(INDEX(OUT!$BK$8:$BK$73,MATCH($A40,OUT!$A$8:$A$73,0)),"")</f>
        <v/>
      </c>
      <c r="M40" s="174">
        <f>IFERROR(INDEX(NOV!$BK$8:$BK$73,MATCH($A40,NOV!$A$8:$A$73,0)),"")</f>
        <v/>
      </c>
      <c r="N40" s="174">
        <f>IFERROR(INDEX(DEZ!$BK$8:$BK$73,MATCH($A40,DEZ!$A$8:$A$73,0)),"")</f>
        <v/>
      </c>
      <c r="O40" s="175">
        <f>SUM(C40:N40)</f>
        <v/>
      </c>
      <c r="P40" s="39" t="n"/>
      <c r="Q40" s="174">
        <f>IFERROR(INDEX(JAN!$BG$8:$BG$73,MATCH($A40,JAN!$A$8:$A$73,0)),"")</f>
        <v/>
      </c>
      <c r="R40" s="174">
        <f>IFERROR(INDEX(FEV!$BG$8:$BG$73,MATCH($A40,FEV!$A$8:$A$73,0)),"")</f>
        <v/>
      </c>
      <c r="S40" s="174">
        <f>IFERROR(INDEX(MAR!$BG$8:$BG$73,MATCH($A40,MAR!$A$8:$A$73,0)),"")</f>
        <v/>
      </c>
      <c r="T40" s="174">
        <f>IFERROR(INDEX(ABR!$BG$8:$BG$73,MATCH($A40,ABR!$A$8:$A$73,0)),"")</f>
        <v/>
      </c>
      <c r="U40" s="174">
        <f>IFERROR(INDEX(MAI!$BG$8:$BG$73,MATCH($A40,MAI!$A$8:$A$73,0)),"")</f>
        <v/>
      </c>
      <c r="V40" s="174">
        <f>IFERROR(INDEX(JUN!$BG$8:$BG$73,MATCH($A40,JUN!$A$8:$A$73,0)),"")</f>
        <v/>
      </c>
      <c r="W40" s="174">
        <f>IFERROR(INDEX(JUL!$BG$8:$BG$73,MATCH($A40,JUL!$A$8:$A$73,0)),"")</f>
        <v/>
      </c>
      <c r="X40" s="174">
        <f>IFERROR(INDEX(AGO!$BG$8:$BG$73,MATCH($A40,AGO!$A$8:$A$73,0)),"")</f>
        <v/>
      </c>
      <c r="Y40" s="174">
        <f>IFERROR(INDEX(SET!$BG$8:$BG$73,MATCH($A40,SET!$A$8:$A$73,0)),"")</f>
        <v/>
      </c>
      <c r="Z40" s="174">
        <f>IFERROR(INDEX(OUT!$BG$8:$BG$73,MATCH($A40,OUT!$A$8:$A$73,0)),"")</f>
        <v/>
      </c>
      <c r="AA40" s="174">
        <f>IFERROR(INDEX(NOV!$BG$8:$BG$73,MATCH($A40,NOV!$A$8:$A$73,0)),"")</f>
        <v/>
      </c>
      <c r="AB40" s="174">
        <f>IFERROR(INDEX(DEZ!$BG$8:$BG$73,MATCH($A40,DEZ!$A$8:$A$73,0)),"")</f>
        <v/>
      </c>
      <c r="AC40" s="175">
        <f>SUM(Q40:AB40)</f>
        <v/>
      </c>
      <c r="AD40" s="39" t="n"/>
      <c r="AE40" s="174">
        <f>IFERROR(INDEX(JAN!$BH$8:$BH$73,MATCH($A40,JAN!$A$8:$A$73,0)),"")</f>
        <v/>
      </c>
      <c r="AF40" s="174">
        <f>IFERROR(INDEX(FEV!$BH$8:$BH$73,MATCH($A40,FEV!$A$8:$A$73,0)),"")</f>
        <v/>
      </c>
      <c r="AG40" s="174">
        <f>IFERROR(INDEX(MAR!$BH$8:$BH$73,MATCH($A40,MAR!$A$8:$A$73,0)),"")</f>
        <v/>
      </c>
      <c r="AH40" s="174">
        <f>IFERROR(INDEX(ABR!$BH$8:$BH$73,MATCH($A40,ABR!$A$8:$A$73,0)),"")</f>
        <v/>
      </c>
      <c r="AI40" s="174">
        <f>IFERROR(INDEX(MAI!$BH$8:$BH$73,MATCH($A40,MAI!$A$8:$A$73,0)),"")</f>
        <v/>
      </c>
      <c r="AJ40" s="174">
        <f>IFERROR(INDEX(JUN!$BH$8:$BH$73,MATCH($A40,JUN!$A$8:$A$73,0)),"")</f>
        <v/>
      </c>
      <c r="AK40" s="174">
        <f>IFERROR(INDEX(JUL!$BH$8:$BH$73,MATCH($A40,JUL!$A$8:$A$73,0)),"")</f>
        <v/>
      </c>
      <c r="AL40" s="174">
        <f>IFERROR(INDEX(AGO!$BH$8:$BH$73,MATCH($A40,AGO!$A$8:$A$73,0)),"")</f>
        <v/>
      </c>
      <c r="AM40" s="174">
        <f>IFERROR(INDEX(SET!$BH$8:$BH$73,MATCH($A40,SET!$A$8:$A$73,0)),"")</f>
        <v/>
      </c>
      <c r="AN40" s="174">
        <f>IFERROR(INDEX(OUT!$BH$8:$BH$73,MATCH($A40,OUT!$A$8:$A$73,0)),"")</f>
        <v/>
      </c>
      <c r="AO40" s="174">
        <f>IFERROR(INDEX(NOV!$BH$8:$BH$73,MATCH($A40,NOV!$A$8:$A$73,0)),"")</f>
        <v/>
      </c>
      <c r="AP40" s="174">
        <f>IFERROR(INDEX(DEZ!$BH$8:$BH$73,MATCH($A40,DEZ!$A$8:$A$73,0)),"")</f>
        <v/>
      </c>
      <c r="AQ40" s="175">
        <f>SUM(AE40:AP40)</f>
        <v/>
      </c>
      <c r="AR40" s="39" t="n"/>
      <c r="AS40" s="174">
        <f>IFERROR(INDEX(JAN!$BI$8:$BI$73,MATCH($A40,JAN!$A$8:$A$73,0)),"")</f>
        <v/>
      </c>
      <c r="AT40" s="174">
        <f>IFERROR(INDEX(FEV!$BI$8:$BI$73,MATCH($A40,FEV!$A$8:$A$73,0)),"")</f>
        <v/>
      </c>
      <c r="AU40" s="174">
        <f>IFERROR(INDEX(MAR!$BI$8:$BI$73,MATCH($A40,MAR!$A$8:$A$73,0)),"")</f>
        <v/>
      </c>
      <c r="AV40" s="174">
        <f>IFERROR(INDEX(ABR!$BI$8:$BI$73,MATCH($A40,ABR!$A$8:$A$73,0)),"")</f>
        <v/>
      </c>
      <c r="AW40" s="174">
        <f>IFERROR(INDEX(MAI!$BI$8:$BI$73,MATCH($A40,MAI!$A$8:$A$73,0)),"")</f>
        <v/>
      </c>
      <c r="AX40" s="174">
        <f>IFERROR(INDEX(JUN!$BI$8:$BI$73,MATCH($A40,JUN!$A$8:$A$73,0)),"")</f>
        <v/>
      </c>
      <c r="AY40" s="174">
        <f>IFERROR(INDEX(JUL!$BI$8:$BI$73,MATCH($A40,JUL!$A$8:$A$73,0)),"")</f>
        <v/>
      </c>
      <c r="AZ40" s="174">
        <f>IFERROR(INDEX(AGO!$BI$8:$BI$73,MATCH($A40,AGO!$A$8:$A$73,0)),"")</f>
        <v/>
      </c>
      <c r="BA40" s="174">
        <f>IFERROR(INDEX(SET!$BI$8:$BI$73,MATCH($A40,SET!$A$8:$A$73,0)),"")</f>
        <v/>
      </c>
      <c r="BB40" s="174">
        <f>IFERROR(INDEX(OUT!$BI$8:$BI$73,MATCH($A40,OUT!$A$8:$A$73,0)),"")</f>
        <v/>
      </c>
      <c r="BC40" s="174">
        <f>IFERROR(INDEX(NOV!$BI$8:$BI$73,MATCH($A40,NOV!$A$8:$A$73,0)),"")</f>
        <v/>
      </c>
      <c r="BD40" s="174">
        <f>IFERROR(INDEX(DEZ!$BI$8:$BI$73,MATCH($A40,DEZ!$A$8:$A$73,0)),"")</f>
        <v/>
      </c>
      <c r="BE40" s="175">
        <f>SUM(AS40:BD40)</f>
        <v/>
      </c>
      <c r="BF40" s="39" t="n"/>
      <c r="BG40" s="107" t="n">
        <v>0</v>
      </c>
      <c r="BH40" s="133">
        <f>SUM(AE40:AP40)</f>
        <v/>
      </c>
      <c r="BI40" s="176">
        <f>IF(BG40="","",IF(BG40=BH40,"","⚠"))</f>
        <v/>
      </c>
      <c r="BJ40" s="39" t="n"/>
      <c r="BK40" s="39" t="n"/>
    </row>
    <row r="41">
      <c r="A41" s="89" t="inlineStr">
        <is>
          <t>Beatriz</t>
        </is>
      </c>
      <c r="B41" s="173">
        <f>CADASTRO!$C37</f>
        <v/>
      </c>
      <c r="C41" s="174">
        <f>IFERROR(INDEX(JAN!$BK$8:$BK$73,MATCH($A41,JAN!$A$8:$A$73,0)),"")</f>
        <v/>
      </c>
      <c r="D41" s="174">
        <f>IFERROR(INDEX(FEV!$BK$8:$BK$73,MATCH($A41,FEV!$A$8:$A$73,0)),"")</f>
        <v/>
      </c>
      <c r="E41" s="174">
        <f>IFERROR(INDEX(MAR!$BK$8:$BK$73,MATCH($A41,MAR!$A$8:$A$73,0)),"")</f>
        <v/>
      </c>
      <c r="F41" s="174">
        <f>IFERROR(INDEX(ABR!$BK$8:$BK$73,MATCH($A41,ABR!$A$8:$A$73,0)),"")</f>
        <v/>
      </c>
      <c r="G41" s="174">
        <f>IFERROR(INDEX(MAI!$BK$8:$BK$73,MATCH($A41,MAI!$A$8:$A$73,0)),"")</f>
        <v/>
      </c>
      <c r="H41" s="174">
        <f>IFERROR(INDEX(JUN!$BK$8:$BK$73,MATCH($A41,JUN!$A$8:$A$73,0)),"")</f>
        <v/>
      </c>
      <c r="I41" s="174">
        <f>IFERROR(INDEX(JUL!$BK$8:$BK$73,MATCH($A41,JUL!$A$8:$A$73,0)),"")</f>
        <v/>
      </c>
      <c r="J41" s="174">
        <f>IFERROR(INDEX(AGO!$BK$8:$BK$73,MATCH($A41,AGO!$A$8:$A$73,0)),"")</f>
        <v/>
      </c>
      <c r="K41" s="174">
        <f>IFERROR(INDEX(SET!$BK$8:$BK$73,MATCH($A41,SET!$A$8:$A$73,0)),"")</f>
        <v/>
      </c>
      <c r="L41" s="174">
        <f>IFERROR(INDEX(OUT!$BK$8:$BK$73,MATCH($A41,OUT!$A$8:$A$73,0)),"")</f>
        <v/>
      </c>
      <c r="M41" s="174">
        <f>IFERROR(INDEX(NOV!$BK$8:$BK$73,MATCH($A41,NOV!$A$8:$A$73,0)),"")</f>
        <v/>
      </c>
      <c r="N41" s="174">
        <f>IFERROR(INDEX(DEZ!$BK$8:$BK$73,MATCH($A41,DEZ!$A$8:$A$73,0)),"")</f>
        <v/>
      </c>
      <c r="O41" s="175">
        <f>SUM(C41:N41)</f>
        <v/>
      </c>
      <c r="P41" s="39" t="n"/>
      <c r="Q41" s="174">
        <f>IFERROR(INDEX(JAN!$BG$8:$BG$73,MATCH($A41,JAN!$A$8:$A$73,0)),"")</f>
        <v/>
      </c>
      <c r="R41" s="174">
        <f>IFERROR(INDEX(FEV!$BG$8:$BG$73,MATCH($A41,FEV!$A$8:$A$73,0)),"")</f>
        <v/>
      </c>
      <c r="S41" s="174">
        <f>IFERROR(INDEX(MAR!$BG$8:$BG$73,MATCH($A41,MAR!$A$8:$A$73,0)),"")</f>
        <v/>
      </c>
      <c r="T41" s="174">
        <f>IFERROR(INDEX(ABR!$BG$8:$BG$73,MATCH($A41,ABR!$A$8:$A$73,0)),"")</f>
        <v/>
      </c>
      <c r="U41" s="174">
        <f>IFERROR(INDEX(MAI!$BG$8:$BG$73,MATCH($A41,MAI!$A$8:$A$73,0)),"")</f>
        <v/>
      </c>
      <c r="V41" s="174">
        <f>IFERROR(INDEX(JUN!$BG$8:$BG$73,MATCH($A41,JUN!$A$8:$A$73,0)),"")</f>
        <v/>
      </c>
      <c r="W41" s="174">
        <f>IFERROR(INDEX(JUL!$BG$8:$BG$73,MATCH($A41,JUL!$A$8:$A$73,0)),"")</f>
        <v/>
      </c>
      <c r="X41" s="174">
        <f>IFERROR(INDEX(AGO!$BG$8:$BG$73,MATCH($A41,AGO!$A$8:$A$73,0)),"")</f>
        <v/>
      </c>
      <c r="Y41" s="174">
        <f>IFERROR(INDEX(SET!$BG$8:$BG$73,MATCH($A41,SET!$A$8:$A$73,0)),"")</f>
        <v/>
      </c>
      <c r="Z41" s="174">
        <f>IFERROR(INDEX(OUT!$BG$8:$BG$73,MATCH($A41,OUT!$A$8:$A$73,0)),"")</f>
        <v/>
      </c>
      <c r="AA41" s="174">
        <f>IFERROR(INDEX(NOV!$BG$8:$BG$73,MATCH($A41,NOV!$A$8:$A$73,0)),"")</f>
        <v/>
      </c>
      <c r="AB41" s="174">
        <f>IFERROR(INDEX(DEZ!$BG$8:$BG$73,MATCH($A41,DEZ!$A$8:$A$73,0)),"")</f>
        <v/>
      </c>
      <c r="AC41" s="175">
        <f>SUM(Q41:AB41)</f>
        <v/>
      </c>
      <c r="AD41" s="39" t="n"/>
      <c r="AE41" s="174">
        <f>IFERROR(INDEX(JAN!$BH$8:$BH$73,MATCH($A41,JAN!$A$8:$A$73,0)),"")</f>
        <v/>
      </c>
      <c r="AF41" s="174">
        <f>IFERROR(INDEX(FEV!$BH$8:$BH$73,MATCH($A41,FEV!$A$8:$A$73,0)),"")</f>
        <v/>
      </c>
      <c r="AG41" s="174">
        <f>IFERROR(INDEX(MAR!$BH$8:$BH$73,MATCH($A41,MAR!$A$8:$A$73,0)),"")</f>
        <v/>
      </c>
      <c r="AH41" s="174">
        <f>IFERROR(INDEX(ABR!$BH$8:$BH$73,MATCH($A41,ABR!$A$8:$A$73,0)),"")</f>
        <v/>
      </c>
      <c r="AI41" s="174">
        <f>IFERROR(INDEX(MAI!$BH$8:$BH$73,MATCH($A41,MAI!$A$8:$A$73,0)),"")</f>
        <v/>
      </c>
      <c r="AJ41" s="174">
        <f>IFERROR(INDEX(JUN!$BH$8:$BH$73,MATCH($A41,JUN!$A$8:$A$73,0)),"")</f>
        <v/>
      </c>
      <c r="AK41" s="174">
        <f>IFERROR(INDEX(JUL!$BH$8:$BH$73,MATCH($A41,JUL!$A$8:$A$73,0)),"")</f>
        <v/>
      </c>
      <c r="AL41" s="174">
        <f>IFERROR(INDEX(AGO!$BH$8:$BH$73,MATCH($A41,AGO!$A$8:$A$73,0)),"")</f>
        <v/>
      </c>
      <c r="AM41" s="174">
        <f>IFERROR(INDEX(SET!$BH$8:$BH$73,MATCH($A41,SET!$A$8:$A$73,0)),"")</f>
        <v/>
      </c>
      <c r="AN41" s="174">
        <f>IFERROR(INDEX(OUT!$BH$8:$BH$73,MATCH($A41,OUT!$A$8:$A$73,0)),"")</f>
        <v/>
      </c>
      <c r="AO41" s="174">
        <f>IFERROR(INDEX(NOV!$BH$8:$BH$73,MATCH($A41,NOV!$A$8:$A$73,0)),"")</f>
        <v/>
      </c>
      <c r="AP41" s="174">
        <f>IFERROR(INDEX(DEZ!$BH$8:$BH$73,MATCH($A41,DEZ!$A$8:$A$73,0)),"")</f>
        <v/>
      </c>
      <c r="AQ41" s="175">
        <f>SUM(AE41:AP41)</f>
        <v/>
      </c>
      <c r="AR41" s="39" t="n"/>
      <c r="AS41" s="174">
        <f>IFERROR(INDEX(JAN!$BI$8:$BI$73,MATCH($A41,JAN!$A$8:$A$73,0)),"")</f>
        <v/>
      </c>
      <c r="AT41" s="174">
        <f>IFERROR(INDEX(FEV!$BI$8:$BI$73,MATCH($A41,FEV!$A$8:$A$73,0)),"")</f>
        <v/>
      </c>
      <c r="AU41" s="174">
        <f>IFERROR(INDEX(MAR!$BI$8:$BI$73,MATCH($A41,MAR!$A$8:$A$73,0)),"")</f>
        <v/>
      </c>
      <c r="AV41" s="174">
        <f>IFERROR(INDEX(ABR!$BI$8:$BI$73,MATCH($A41,ABR!$A$8:$A$73,0)),"")</f>
        <v/>
      </c>
      <c r="AW41" s="174">
        <f>IFERROR(INDEX(MAI!$BI$8:$BI$73,MATCH($A41,MAI!$A$8:$A$73,0)),"")</f>
        <v/>
      </c>
      <c r="AX41" s="174">
        <f>IFERROR(INDEX(JUN!$BI$8:$BI$73,MATCH($A41,JUN!$A$8:$A$73,0)),"")</f>
        <v/>
      </c>
      <c r="AY41" s="174">
        <f>IFERROR(INDEX(JUL!$BI$8:$BI$73,MATCH($A41,JUL!$A$8:$A$73,0)),"")</f>
        <v/>
      </c>
      <c r="AZ41" s="174">
        <f>IFERROR(INDEX(AGO!$BI$8:$BI$73,MATCH($A41,AGO!$A$8:$A$73,0)),"")</f>
        <v/>
      </c>
      <c r="BA41" s="174">
        <f>IFERROR(INDEX(SET!$BI$8:$BI$73,MATCH($A41,SET!$A$8:$A$73,0)),"")</f>
        <v/>
      </c>
      <c r="BB41" s="174">
        <f>IFERROR(INDEX(OUT!$BI$8:$BI$73,MATCH($A41,OUT!$A$8:$A$73,0)),"")</f>
        <v/>
      </c>
      <c r="BC41" s="174">
        <f>IFERROR(INDEX(NOV!$BI$8:$BI$73,MATCH($A41,NOV!$A$8:$A$73,0)),"")</f>
        <v/>
      </c>
      <c r="BD41" s="174">
        <f>IFERROR(INDEX(DEZ!$BI$8:$BI$73,MATCH($A41,DEZ!$A$8:$A$73,0)),"")</f>
        <v/>
      </c>
      <c r="BE41" s="175">
        <f>SUM(AS41:BD41)</f>
        <v/>
      </c>
      <c r="BF41" s="39" t="n"/>
      <c r="BG41" s="107" t="n">
        <v>4</v>
      </c>
      <c r="BH41" s="133">
        <f>SUM(AE41:AP41)</f>
        <v/>
      </c>
      <c r="BI41" s="176">
        <f>IF(BG41="","",IF(BG41=BH41,"","⚠"))</f>
        <v/>
      </c>
      <c r="BJ41" s="39" t="n"/>
      <c r="BK41" s="39" t="n"/>
    </row>
    <row r="42">
      <c r="A42" s="89" t="inlineStr">
        <is>
          <t>Bruna</t>
        </is>
      </c>
      <c r="B42" s="173">
        <f>CADASTRO!$C38</f>
        <v/>
      </c>
      <c r="C42" s="174">
        <f>IFERROR(INDEX(JAN!$BK$8:$BK$73,MATCH($A42,JAN!$A$8:$A$73,0)),"")</f>
        <v/>
      </c>
      <c r="D42" s="174">
        <f>IFERROR(INDEX(FEV!$BK$8:$BK$73,MATCH($A42,FEV!$A$8:$A$73,0)),"")</f>
        <v/>
      </c>
      <c r="E42" s="174">
        <f>IFERROR(INDEX(MAR!$BK$8:$BK$73,MATCH($A42,MAR!$A$8:$A$73,0)),"")</f>
        <v/>
      </c>
      <c r="F42" s="174">
        <f>IFERROR(INDEX(ABR!$BK$8:$BK$73,MATCH($A42,ABR!$A$8:$A$73,0)),"")</f>
        <v/>
      </c>
      <c r="G42" s="174">
        <f>IFERROR(INDEX(MAI!$BK$8:$BK$73,MATCH($A42,MAI!$A$8:$A$73,0)),"")</f>
        <v/>
      </c>
      <c r="H42" s="174">
        <f>IFERROR(INDEX(JUN!$BK$8:$BK$73,MATCH($A42,JUN!$A$8:$A$73,0)),"")</f>
        <v/>
      </c>
      <c r="I42" s="174">
        <f>IFERROR(INDEX(JUL!$BK$8:$BK$73,MATCH($A42,JUL!$A$8:$A$73,0)),"")</f>
        <v/>
      </c>
      <c r="J42" s="174">
        <f>IFERROR(INDEX(AGO!$BK$8:$BK$73,MATCH($A42,AGO!$A$8:$A$73,0)),"")</f>
        <v/>
      </c>
      <c r="K42" s="174">
        <f>IFERROR(INDEX(SET!$BK$8:$BK$73,MATCH($A42,SET!$A$8:$A$73,0)),"")</f>
        <v/>
      </c>
      <c r="L42" s="174">
        <f>IFERROR(INDEX(OUT!$BK$8:$BK$73,MATCH($A42,OUT!$A$8:$A$73,0)),"")</f>
        <v/>
      </c>
      <c r="M42" s="174">
        <f>IFERROR(INDEX(NOV!$BK$8:$BK$73,MATCH($A42,NOV!$A$8:$A$73,0)),"")</f>
        <v/>
      </c>
      <c r="N42" s="174">
        <f>IFERROR(INDEX(DEZ!$BK$8:$BK$73,MATCH($A42,DEZ!$A$8:$A$73,0)),"")</f>
        <v/>
      </c>
      <c r="O42" s="175">
        <f>SUM(C42:N42)</f>
        <v/>
      </c>
      <c r="P42" s="39" t="n"/>
      <c r="Q42" s="174">
        <f>IFERROR(INDEX(JAN!$BG$8:$BG$73,MATCH($A42,JAN!$A$8:$A$73,0)),"")</f>
        <v/>
      </c>
      <c r="R42" s="174">
        <f>IFERROR(INDEX(FEV!$BG$8:$BG$73,MATCH($A42,FEV!$A$8:$A$73,0)),"")</f>
        <v/>
      </c>
      <c r="S42" s="174">
        <f>IFERROR(INDEX(MAR!$BG$8:$BG$73,MATCH($A42,MAR!$A$8:$A$73,0)),"")</f>
        <v/>
      </c>
      <c r="T42" s="174">
        <f>IFERROR(INDEX(ABR!$BG$8:$BG$73,MATCH($A42,ABR!$A$8:$A$73,0)),"")</f>
        <v/>
      </c>
      <c r="U42" s="174">
        <f>IFERROR(INDEX(MAI!$BG$8:$BG$73,MATCH($A42,MAI!$A$8:$A$73,0)),"")</f>
        <v/>
      </c>
      <c r="V42" s="174">
        <f>IFERROR(INDEX(JUN!$BG$8:$BG$73,MATCH($A42,JUN!$A$8:$A$73,0)),"")</f>
        <v/>
      </c>
      <c r="W42" s="174">
        <f>IFERROR(INDEX(JUL!$BG$8:$BG$73,MATCH($A42,JUL!$A$8:$A$73,0)),"")</f>
        <v/>
      </c>
      <c r="X42" s="174">
        <f>IFERROR(INDEX(AGO!$BG$8:$BG$73,MATCH($A42,AGO!$A$8:$A$73,0)),"")</f>
        <v/>
      </c>
      <c r="Y42" s="174">
        <f>IFERROR(INDEX(SET!$BG$8:$BG$73,MATCH($A42,SET!$A$8:$A$73,0)),"")</f>
        <v/>
      </c>
      <c r="Z42" s="174">
        <f>IFERROR(INDEX(OUT!$BG$8:$BG$73,MATCH($A42,OUT!$A$8:$A$73,0)),"")</f>
        <v/>
      </c>
      <c r="AA42" s="174">
        <f>IFERROR(INDEX(NOV!$BG$8:$BG$73,MATCH($A42,NOV!$A$8:$A$73,0)),"")</f>
        <v/>
      </c>
      <c r="AB42" s="174">
        <f>IFERROR(INDEX(DEZ!$BG$8:$BG$73,MATCH($A42,DEZ!$A$8:$A$73,0)),"")</f>
        <v/>
      </c>
      <c r="AC42" s="175">
        <f>SUM(Q42:AB42)</f>
        <v/>
      </c>
      <c r="AD42" s="39" t="n"/>
      <c r="AE42" s="174">
        <f>IFERROR(INDEX(JAN!$BH$8:$BH$73,MATCH($A42,JAN!$A$8:$A$73,0)),"")</f>
        <v/>
      </c>
      <c r="AF42" s="174">
        <f>IFERROR(INDEX(FEV!$BH$8:$BH$73,MATCH($A42,FEV!$A$8:$A$73,0)),"")</f>
        <v/>
      </c>
      <c r="AG42" s="174">
        <f>IFERROR(INDEX(MAR!$BH$8:$BH$73,MATCH($A42,MAR!$A$8:$A$73,0)),"")</f>
        <v/>
      </c>
      <c r="AH42" s="174">
        <f>IFERROR(INDEX(ABR!$BH$8:$BH$73,MATCH($A42,ABR!$A$8:$A$73,0)),"")</f>
        <v/>
      </c>
      <c r="AI42" s="174">
        <f>IFERROR(INDEX(MAI!$BH$8:$BH$73,MATCH($A42,MAI!$A$8:$A$73,0)),"")</f>
        <v/>
      </c>
      <c r="AJ42" s="174">
        <f>IFERROR(INDEX(JUN!$BH$8:$BH$73,MATCH($A42,JUN!$A$8:$A$73,0)),"")</f>
        <v/>
      </c>
      <c r="AK42" s="174">
        <f>IFERROR(INDEX(JUL!$BH$8:$BH$73,MATCH($A42,JUL!$A$8:$A$73,0)),"")</f>
        <v/>
      </c>
      <c r="AL42" s="174">
        <f>IFERROR(INDEX(AGO!$BH$8:$BH$73,MATCH($A42,AGO!$A$8:$A$73,0)),"")</f>
        <v/>
      </c>
      <c r="AM42" s="174">
        <f>IFERROR(INDEX(SET!$BH$8:$BH$73,MATCH($A42,SET!$A$8:$A$73,0)),"")</f>
        <v/>
      </c>
      <c r="AN42" s="174">
        <f>IFERROR(INDEX(OUT!$BH$8:$BH$73,MATCH($A42,OUT!$A$8:$A$73,0)),"")</f>
        <v/>
      </c>
      <c r="AO42" s="174">
        <f>IFERROR(INDEX(NOV!$BH$8:$BH$73,MATCH($A42,NOV!$A$8:$A$73,0)),"")</f>
        <v/>
      </c>
      <c r="AP42" s="174">
        <f>IFERROR(INDEX(DEZ!$BH$8:$BH$73,MATCH($A42,DEZ!$A$8:$A$73,0)),"")</f>
        <v/>
      </c>
      <c r="AQ42" s="175">
        <f>SUM(AE42:AP42)</f>
        <v/>
      </c>
      <c r="AR42" s="39" t="n"/>
      <c r="AS42" s="174">
        <f>IFERROR(INDEX(JAN!$BI$8:$BI$73,MATCH($A42,JAN!$A$8:$A$73,0)),"")</f>
        <v/>
      </c>
      <c r="AT42" s="174">
        <f>IFERROR(INDEX(FEV!$BI$8:$BI$73,MATCH($A42,FEV!$A$8:$A$73,0)),"")</f>
        <v/>
      </c>
      <c r="AU42" s="174">
        <f>IFERROR(INDEX(MAR!$BI$8:$BI$73,MATCH($A42,MAR!$A$8:$A$73,0)),"")</f>
        <v/>
      </c>
      <c r="AV42" s="174">
        <f>IFERROR(INDEX(ABR!$BI$8:$BI$73,MATCH($A42,ABR!$A$8:$A$73,0)),"")</f>
        <v/>
      </c>
      <c r="AW42" s="174">
        <f>IFERROR(INDEX(MAI!$BI$8:$BI$73,MATCH($A42,MAI!$A$8:$A$73,0)),"")</f>
        <v/>
      </c>
      <c r="AX42" s="174">
        <f>IFERROR(INDEX(JUN!$BI$8:$BI$73,MATCH($A42,JUN!$A$8:$A$73,0)),"")</f>
        <v/>
      </c>
      <c r="AY42" s="174">
        <f>IFERROR(INDEX(JUL!$BI$8:$BI$73,MATCH($A42,JUL!$A$8:$A$73,0)),"")</f>
        <v/>
      </c>
      <c r="AZ42" s="174">
        <f>IFERROR(INDEX(AGO!$BI$8:$BI$73,MATCH($A42,AGO!$A$8:$A$73,0)),"")</f>
        <v/>
      </c>
      <c r="BA42" s="174">
        <f>IFERROR(INDEX(SET!$BI$8:$BI$73,MATCH($A42,SET!$A$8:$A$73,0)),"")</f>
        <v/>
      </c>
      <c r="BB42" s="174">
        <f>IFERROR(INDEX(OUT!$BI$8:$BI$73,MATCH($A42,OUT!$A$8:$A$73,0)),"")</f>
        <v/>
      </c>
      <c r="BC42" s="174">
        <f>IFERROR(INDEX(NOV!$BI$8:$BI$73,MATCH($A42,NOV!$A$8:$A$73,0)),"")</f>
        <v/>
      </c>
      <c r="BD42" s="174">
        <f>IFERROR(INDEX(DEZ!$BI$8:$BI$73,MATCH($A42,DEZ!$A$8:$A$73,0)),"")</f>
        <v/>
      </c>
      <c r="BE42" s="175">
        <f>SUM(AS42:BD42)</f>
        <v/>
      </c>
      <c r="BF42" s="39" t="n"/>
      <c r="BG42" s="107" t="n">
        <v>3</v>
      </c>
      <c r="BH42" s="133">
        <f>SUM(AE42:AP42)</f>
        <v/>
      </c>
      <c r="BI42" s="176">
        <f>IF(BG42="","",IF(BG42=BH42,"","⚠"))</f>
        <v/>
      </c>
      <c r="BJ42" s="39" t="n"/>
      <c r="BK42" s="39" t="n"/>
    </row>
    <row r="43">
      <c r="A43" s="89" t="inlineStr">
        <is>
          <t>Constantino</t>
        </is>
      </c>
      <c r="B43" s="173">
        <f>CADASTRO!$C39</f>
        <v/>
      </c>
      <c r="C43" s="174">
        <f>IFERROR(INDEX(JAN!$BK$8:$BK$73,MATCH($A43,JAN!$A$8:$A$73,0)),"")</f>
        <v/>
      </c>
      <c r="D43" s="174">
        <f>IFERROR(INDEX(FEV!$BK$8:$BK$73,MATCH($A43,FEV!$A$8:$A$73,0)),"")</f>
        <v/>
      </c>
      <c r="E43" s="174">
        <f>IFERROR(INDEX(MAR!$BK$8:$BK$73,MATCH($A43,MAR!$A$8:$A$73,0)),"")</f>
        <v/>
      </c>
      <c r="F43" s="174">
        <f>IFERROR(INDEX(ABR!$BK$8:$BK$73,MATCH($A43,ABR!$A$8:$A$73,0)),"")</f>
        <v/>
      </c>
      <c r="G43" s="174">
        <f>IFERROR(INDEX(MAI!$BK$8:$BK$73,MATCH($A43,MAI!$A$8:$A$73,0)),"")</f>
        <v/>
      </c>
      <c r="H43" s="174">
        <f>IFERROR(INDEX(JUN!$BK$8:$BK$73,MATCH($A43,JUN!$A$8:$A$73,0)),"")</f>
        <v/>
      </c>
      <c r="I43" s="174">
        <f>IFERROR(INDEX(JUL!$BK$8:$BK$73,MATCH($A43,JUL!$A$8:$A$73,0)),"")</f>
        <v/>
      </c>
      <c r="J43" s="174">
        <f>IFERROR(INDEX(AGO!$BK$8:$BK$73,MATCH($A43,AGO!$A$8:$A$73,0)),"")</f>
        <v/>
      </c>
      <c r="K43" s="174">
        <f>IFERROR(INDEX(SET!$BK$8:$BK$73,MATCH($A43,SET!$A$8:$A$73,0)),"")</f>
        <v/>
      </c>
      <c r="L43" s="174">
        <f>IFERROR(INDEX(OUT!$BK$8:$BK$73,MATCH($A43,OUT!$A$8:$A$73,0)),"")</f>
        <v/>
      </c>
      <c r="M43" s="174">
        <f>IFERROR(INDEX(NOV!$BK$8:$BK$73,MATCH($A43,NOV!$A$8:$A$73,0)),"")</f>
        <v/>
      </c>
      <c r="N43" s="174">
        <f>IFERROR(INDEX(DEZ!$BK$8:$BK$73,MATCH($A43,DEZ!$A$8:$A$73,0)),"")</f>
        <v/>
      </c>
      <c r="O43" s="175">
        <f>SUM(C43:N43)</f>
        <v/>
      </c>
      <c r="P43" s="39" t="n"/>
      <c r="Q43" s="174">
        <f>IFERROR(INDEX(JAN!$BG$8:$BG$73,MATCH($A43,JAN!$A$8:$A$73,0)),"")</f>
        <v/>
      </c>
      <c r="R43" s="174">
        <f>IFERROR(INDEX(FEV!$BG$8:$BG$73,MATCH($A43,FEV!$A$8:$A$73,0)),"")</f>
        <v/>
      </c>
      <c r="S43" s="174">
        <f>IFERROR(INDEX(MAR!$BG$8:$BG$73,MATCH($A43,MAR!$A$8:$A$73,0)),"")</f>
        <v/>
      </c>
      <c r="T43" s="174">
        <f>IFERROR(INDEX(ABR!$BG$8:$BG$73,MATCH($A43,ABR!$A$8:$A$73,0)),"")</f>
        <v/>
      </c>
      <c r="U43" s="174">
        <f>IFERROR(INDEX(MAI!$BG$8:$BG$73,MATCH($A43,MAI!$A$8:$A$73,0)),"")</f>
        <v/>
      </c>
      <c r="V43" s="174">
        <f>IFERROR(INDEX(JUN!$BG$8:$BG$73,MATCH($A43,JUN!$A$8:$A$73,0)),"")</f>
        <v/>
      </c>
      <c r="W43" s="174">
        <f>IFERROR(INDEX(JUL!$BG$8:$BG$73,MATCH($A43,JUL!$A$8:$A$73,0)),"")</f>
        <v/>
      </c>
      <c r="X43" s="174">
        <f>IFERROR(INDEX(AGO!$BG$8:$BG$73,MATCH($A43,AGO!$A$8:$A$73,0)),"")</f>
        <v/>
      </c>
      <c r="Y43" s="174">
        <f>IFERROR(INDEX(SET!$BG$8:$BG$73,MATCH($A43,SET!$A$8:$A$73,0)),"")</f>
        <v/>
      </c>
      <c r="Z43" s="174">
        <f>IFERROR(INDEX(OUT!$BG$8:$BG$73,MATCH($A43,OUT!$A$8:$A$73,0)),"")</f>
        <v/>
      </c>
      <c r="AA43" s="174">
        <f>IFERROR(INDEX(NOV!$BG$8:$BG$73,MATCH($A43,NOV!$A$8:$A$73,0)),"")</f>
        <v/>
      </c>
      <c r="AB43" s="174">
        <f>IFERROR(INDEX(DEZ!$BG$8:$BG$73,MATCH($A43,DEZ!$A$8:$A$73,0)),"")</f>
        <v/>
      </c>
      <c r="AC43" s="175">
        <f>SUM(Q43:AB43)</f>
        <v/>
      </c>
      <c r="AD43" s="39" t="n"/>
      <c r="AE43" s="174">
        <f>IFERROR(INDEX(JAN!$BH$8:$BH$73,MATCH($A43,JAN!$A$8:$A$73,0)),"")</f>
        <v/>
      </c>
      <c r="AF43" s="174">
        <f>IFERROR(INDEX(FEV!$BH$8:$BH$73,MATCH($A43,FEV!$A$8:$A$73,0)),"")</f>
        <v/>
      </c>
      <c r="AG43" s="174">
        <f>IFERROR(INDEX(MAR!$BH$8:$BH$73,MATCH($A43,MAR!$A$8:$A$73,0)),"")</f>
        <v/>
      </c>
      <c r="AH43" s="174">
        <f>IFERROR(INDEX(ABR!$BH$8:$BH$73,MATCH($A43,ABR!$A$8:$A$73,0)),"")</f>
        <v/>
      </c>
      <c r="AI43" s="174">
        <f>IFERROR(INDEX(MAI!$BH$8:$BH$73,MATCH($A43,MAI!$A$8:$A$73,0)),"")</f>
        <v/>
      </c>
      <c r="AJ43" s="174">
        <f>IFERROR(INDEX(JUN!$BH$8:$BH$73,MATCH($A43,JUN!$A$8:$A$73,0)),"")</f>
        <v/>
      </c>
      <c r="AK43" s="174">
        <f>IFERROR(INDEX(JUL!$BH$8:$BH$73,MATCH($A43,JUL!$A$8:$A$73,0)),"")</f>
        <v/>
      </c>
      <c r="AL43" s="174">
        <f>IFERROR(INDEX(AGO!$BH$8:$BH$73,MATCH($A43,AGO!$A$8:$A$73,0)),"")</f>
        <v/>
      </c>
      <c r="AM43" s="174">
        <f>IFERROR(INDEX(SET!$BH$8:$BH$73,MATCH($A43,SET!$A$8:$A$73,0)),"")</f>
        <v/>
      </c>
      <c r="AN43" s="174">
        <f>IFERROR(INDEX(OUT!$BH$8:$BH$73,MATCH($A43,OUT!$A$8:$A$73,0)),"")</f>
        <v/>
      </c>
      <c r="AO43" s="174">
        <f>IFERROR(INDEX(NOV!$BH$8:$BH$73,MATCH($A43,NOV!$A$8:$A$73,0)),"")</f>
        <v/>
      </c>
      <c r="AP43" s="174">
        <f>IFERROR(INDEX(DEZ!$BH$8:$BH$73,MATCH($A43,DEZ!$A$8:$A$73,0)),"")</f>
        <v/>
      </c>
      <c r="AQ43" s="175">
        <f>SUM(AE43:AP43)</f>
        <v/>
      </c>
      <c r="AR43" s="39" t="n"/>
      <c r="AS43" s="174">
        <f>IFERROR(INDEX(JAN!$BI$8:$BI$73,MATCH($A43,JAN!$A$8:$A$73,0)),"")</f>
        <v/>
      </c>
      <c r="AT43" s="174">
        <f>IFERROR(INDEX(FEV!$BI$8:$BI$73,MATCH($A43,FEV!$A$8:$A$73,0)),"")</f>
        <v/>
      </c>
      <c r="AU43" s="174">
        <f>IFERROR(INDEX(MAR!$BI$8:$BI$73,MATCH($A43,MAR!$A$8:$A$73,0)),"")</f>
        <v/>
      </c>
      <c r="AV43" s="174">
        <f>IFERROR(INDEX(ABR!$BI$8:$BI$73,MATCH($A43,ABR!$A$8:$A$73,0)),"")</f>
        <v/>
      </c>
      <c r="AW43" s="174">
        <f>IFERROR(INDEX(MAI!$BI$8:$BI$73,MATCH($A43,MAI!$A$8:$A$73,0)),"")</f>
        <v/>
      </c>
      <c r="AX43" s="174">
        <f>IFERROR(INDEX(JUN!$BI$8:$BI$73,MATCH($A43,JUN!$A$8:$A$73,0)),"")</f>
        <v/>
      </c>
      <c r="AY43" s="174">
        <f>IFERROR(INDEX(JUL!$BI$8:$BI$73,MATCH($A43,JUL!$A$8:$A$73,0)),"")</f>
        <v/>
      </c>
      <c r="AZ43" s="174">
        <f>IFERROR(INDEX(AGO!$BI$8:$BI$73,MATCH($A43,AGO!$A$8:$A$73,0)),"")</f>
        <v/>
      </c>
      <c r="BA43" s="174">
        <f>IFERROR(INDEX(SET!$BI$8:$BI$73,MATCH($A43,SET!$A$8:$A$73,0)),"")</f>
        <v/>
      </c>
      <c r="BB43" s="174">
        <f>IFERROR(INDEX(OUT!$BI$8:$BI$73,MATCH($A43,OUT!$A$8:$A$73,0)),"")</f>
        <v/>
      </c>
      <c r="BC43" s="174">
        <f>IFERROR(INDEX(NOV!$BI$8:$BI$73,MATCH($A43,NOV!$A$8:$A$73,0)),"")</f>
        <v/>
      </c>
      <c r="BD43" s="174">
        <f>IFERROR(INDEX(DEZ!$BI$8:$BI$73,MATCH($A43,DEZ!$A$8:$A$73,0)),"")</f>
        <v/>
      </c>
      <c r="BE43" s="175">
        <f>SUM(AS43:BD43)</f>
        <v/>
      </c>
      <c r="BF43" s="39" t="n"/>
      <c r="BG43" s="107" t="n">
        <v>3</v>
      </c>
      <c r="BH43" s="133">
        <f>SUM(AE43:AP43)</f>
        <v/>
      </c>
      <c r="BI43" s="176">
        <f>IF(BG43="","",IF(BG43=BH43,"","⚠"))</f>
        <v/>
      </c>
      <c r="BJ43" s="39" t="n"/>
      <c r="BK43" s="39" t="n"/>
    </row>
    <row r="44">
      <c r="A44" s="89" t="inlineStr">
        <is>
          <t>DebMatias</t>
        </is>
      </c>
      <c r="B44" s="173">
        <f>CADASTRO!$C40</f>
        <v/>
      </c>
      <c r="C44" s="174">
        <f>IFERROR(INDEX(JAN!$BK$8:$BK$73,MATCH($A44,JAN!$A$8:$A$73,0)),"")</f>
        <v/>
      </c>
      <c r="D44" s="174">
        <f>IFERROR(INDEX(FEV!$BK$8:$BK$73,MATCH($A44,FEV!$A$8:$A$73,0)),"")</f>
        <v/>
      </c>
      <c r="E44" s="174">
        <f>IFERROR(INDEX(MAR!$BK$8:$BK$73,MATCH($A44,MAR!$A$8:$A$73,0)),"")</f>
        <v/>
      </c>
      <c r="F44" s="174">
        <f>IFERROR(INDEX(ABR!$BK$8:$BK$73,MATCH($A44,ABR!$A$8:$A$73,0)),"")</f>
        <v/>
      </c>
      <c r="G44" s="174">
        <f>IFERROR(INDEX(MAI!$BK$8:$BK$73,MATCH($A44,MAI!$A$8:$A$73,0)),"")</f>
        <v/>
      </c>
      <c r="H44" s="174">
        <f>IFERROR(INDEX(JUN!$BK$8:$BK$73,MATCH($A44,JUN!$A$8:$A$73,0)),"")</f>
        <v/>
      </c>
      <c r="I44" s="174">
        <f>IFERROR(INDEX(JUL!$BK$8:$BK$73,MATCH($A44,JUL!$A$8:$A$73,0)),"")</f>
        <v/>
      </c>
      <c r="J44" s="174">
        <f>IFERROR(INDEX(AGO!$BK$8:$BK$73,MATCH($A44,AGO!$A$8:$A$73,0)),"")</f>
        <v/>
      </c>
      <c r="K44" s="174">
        <f>IFERROR(INDEX(SET!$BK$8:$BK$73,MATCH($A44,SET!$A$8:$A$73,0)),"")</f>
        <v/>
      </c>
      <c r="L44" s="174">
        <f>IFERROR(INDEX(OUT!$BK$8:$BK$73,MATCH($A44,OUT!$A$8:$A$73,0)),"")</f>
        <v/>
      </c>
      <c r="M44" s="174">
        <f>IFERROR(INDEX(NOV!$BK$8:$BK$73,MATCH($A44,NOV!$A$8:$A$73,0)),"")</f>
        <v/>
      </c>
      <c r="N44" s="174">
        <f>IFERROR(INDEX(DEZ!$BK$8:$BK$73,MATCH($A44,DEZ!$A$8:$A$73,0)),"")</f>
        <v/>
      </c>
      <c r="O44" s="175">
        <f>SUM(C44:N44)</f>
        <v/>
      </c>
      <c r="P44" s="39" t="n"/>
      <c r="Q44" s="174">
        <f>IFERROR(INDEX(JAN!$BG$8:$BG$73,MATCH($A44,JAN!$A$8:$A$73,0)),"")</f>
        <v/>
      </c>
      <c r="R44" s="174">
        <f>IFERROR(INDEX(FEV!$BG$8:$BG$73,MATCH($A44,FEV!$A$8:$A$73,0)),"")</f>
        <v/>
      </c>
      <c r="S44" s="174">
        <f>IFERROR(INDEX(MAR!$BG$8:$BG$73,MATCH($A44,MAR!$A$8:$A$73,0)),"")</f>
        <v/>
      </c>
      <c r="T44" s="174">
        <f>IFERROR(INDEX(ABR!$BG$8:$BG$73,MATCH($A44,ABR!$A$8:$A$73,0)),"")</f>
        <v/>
      </c>
      <c r="U44" s="174">
        <f>IFERROR(INDEX(MAI!$BG$8:$BG$73,MATCH($A44,MAI!$A$8:$A$73,0)),"")</f>
        <v/>
      </c>
      <c r="V44" s="174">
        <f>IFERROR(INDEX(JUN!$BG$8:$BG$73,MATCH($A44,JUN!$A$8:$A$73,0)),"")</f>
        <v/>
      </c>
      <c r="W44" s="174">
        <f>IFERROR(INDEX(JUL!$BG$8:$BG$73,MATCH($A44,JUL!$A$8:$A$73,0)),"")</f>
        <v/>
      </c>
      <c r="X44" s="174">
        <f>IFERROR(INDEX(AGO!$BG$8:$BG$73,MATCH($A44,AGO!$A$8:$A$73,0)),"")</f>
        <v/>
      </c>
      <c r="Y44" s="174">
        <f>IFERROR(INDEX(SET!$BG$8:$BG$73,MATCH($A44,SET!$A$8:$A$73,0)),"")</f>
        <v/>
      </c>
      <c r="Z44" s="174">
        <f>IFERROR(INDEX(OUT!$BG$8:$BG$73,MATCH($A44,OUT!$A$8:$A$73,0)),"")</f>
        <v/>
      </c>
      <c r="AA44" s="174">
        <f>IFERROR(INDEX(NOV!$BG$8:$BG$73,MATCH($A44,NOV!$A$8:$A$73,0)),"")</f>
        <v/>
      </c>
      <c r="AB44" s="174">
        <f>IFERROR(INDEX(DEZ!$BG$8:$BG$73,MATCH($A44,DEZ!$A$8:$A$73,0)),"")</f>
        <v/>
      </c>
      <c r="AC44" s="175">
        <f>SUM(Q44:AB44)</f>
        <v/>
      </c>
      <c r="AD44" s="39" t="n"/>
      <c r="AE44" s="174">
        <f>IFERROR(INDEX(JAN!$BH$8:$BH$73,MATCH($A44,JAN!$A$8:$A$73,0)),"")</f>
        <v/>
      </c>
      <c r="AF44" s="174">
        <f>IFERROR(INDEX(FEV!$BH$8:$BH$73,MATCH($A44,FEV!$A$8:$A$73,0)),"")</f>
        <v/>
      </c>
      <c r="AG44" s="174">
        <f>IFERROR(INDEX(MAR!$BH$8:$BH$73,MATCH($A44,MAR!$A$8:$A$73,0)),"")</f>
        <v/>
      </c>
      <c r="AH44" s="174">
        <f>IFERROR(INDEX(ABR!$BH$8:$BH$73,MATCH($A44,ABR!$A$8:$A$73,0)),"")</f>
        <v/>
      </c>
      <c r="AI44" s="174">
        <f>IFERROR(INDEX(MAI!$BH$8:$BH$73,MATCH($A44,MAI!$A$8:$A$73,0)),"")</f>
        <v/>
      </c>
      <c r="AJ44" s="174">
        <f>IFERROR(INDEX(JUN!$BH$8:$BH$73,MATCH($A44,JUN!$A$8:$A$73,0)),"")</f>
        <v/>
      </c>
      <c r="AK44" s="174">
        <f>IFERROR(INDEX(JUL!$BH$8:$BH$73,MATCH($A44,JUL!$A$8:$A$73,0)),"")</f>
        <v/>
      </c>
      <c r="AL44" s="174">
        <f>IFERROR(INDEX(AGO!$BH$8:$BH$73,MATCH($A44,AGO!$A$8:$A$73,0)),"")</f>
        <v/>
      </c>
      <c r="AM44" s="174">
        <f>IFERROR(INDEX(SET!$BH$8:$BH$73,MATCH($A44,SET!$A$8:$A$73,0)),"")</f>
        <v/>
      </c>
      <c r="AN44" s="174">
        <f>IFERROR(INDEX(OUT!$BH$8:$BH$73,MATCH($A44,OUT!$A$8:$A$73,0)),"")</f>
        <v/>
      </c>
      <c r="AO44" s="174">
        <f>IFERROR(INDEX(NOV!$BH$8:$BH$73,MATCH($A44,NOV!$A$8:$A$73,0)),"")</f>
        <v/>
      </c>
      <c r="AP44" s="174">
        <f>IFERROR(INDEX(DEZ!$BH$8:$BH$73,MATCH($A44,DEZ!$A$8:$A$73,0)),"")</f>
        <v/>
      </c>
      <c r="AQ44" s="175">
        <f>SUM(AE44:AP44)</f>
        <v/>
      </c>
      <c r="AR44" s="39" t="n"/>
      <c r="AS44" s="174">
        <f>IFERROR(INDEX(JAN!$BI$8:$BI$73,MATCH($A44,JAN!$A$8:$A$73,0)),"")</f>
        <v/>
      </c>
      <c r="AT44" s="174">
        <f>IFERROR(INDEX(FEV!$BI$8:$BI$73,MATCH($A44,FEV!$A$8:$A$73,0)),"")</f>
        <v/>
      </c>
      <c r="AU44" s="174">
        <f>IFERROR(INDEX(MAR!$BI$8:$BI$73,MATCH($A44,MAR!$A$8:$A$73,0)),"")</f>
        <v/>
      </c>
      <c r="AV44" s="174">
        <f>IFERROR(INDEX(ABR!$BI$8:$BI$73,MATCH($A44,ABR!$A$8:$A$73,0)),"")</f>
        <v/>
      </c>
      <c r="AW44" s="174">
        <f>IFERROR(INDEX(MAI!$BI$8:$BI$73,MATCH($A44,MAI!$A$8:$A$73,0)),"")</f>
        <v/>
      </c>
      <c r="AX44" s="174">
        <f>IFERROR(INDEX(JUN!$BI$8:$BI$73,MATCH($A44,JUN!$A$8:$A$73,0)),"")</f>
        <v/>
      </c>
      <c r="AY44" s="174">
        <f>IFERROR(INDEX(JUL!$BI$8:$BI$73,MATCH($A44,JUL!$A$8:$A$73,0)),"")</f>
        <v/>
      </c>
      <c r="AZ44" s="174">
        <f>IFERROR(INDEX(AGO!$BI$8:$BI$73,MATCH($A44,AGO!$A$8:$A$73,0)),"")</f>
        <v/>
      </c>
      <c r="BA44" s="174">
        <f>IFERROR(INDEX(SET!$BI$8:$BI$73,MATCH($A44,SET!$A$8:$A$73,0)),"")</f>
        <v/>
      </c>
      <c r="BB44" s="174">
        <f>IFERROR(INDEX(OUT!$BI$8:$BI$73,MATCH($A44,OUT!$A$8:$A$73,0)),"")</f>
        <v/>
      </c>
      <c r="BC44" s="174">
        <f>IFERROR(INDEX(NOV!$BI$8:$BI$73,MATCH($A44,NOV!$A$8:$A$73,0)),"")</f>
        <v/>
      </c>
      <c r="BD44" s="174">
        <f>IFERROR(INDEX(DEZ!$BI$8:$BI$73,MATCH($A44,DEZ!$A$8:$A$73,0)),"")</f>
        <v/>
      </c>
      <c r="BE44" s="175">
        <f>SUM(AS44:BD44)</f>
        <v/>
      </c>
      <c r="BF44" s="39" t="n"/>
      <c r="BG44" s="107" t="n">
        <v>3</v>
      </c>
      <c r="BH44" s="133">
        <f>SUM(AE44:AP44)</f>
        <v/>
      </c>
      <c r="BI44" s="176">
        <f>IF(BG44="","",IF(BG44=BH44,"","⚠"))</f>
        <v/>
      </c>
      <c r="BJ44" s="39" t="n"/>
      <c r="BK44" s="39" t="n"/>
    </row>
    <row r="45">
      <c r="A45" s="89" t="inlineStr">
        <is>
          <t>Denise</t>
        </is>
      </c>
      <c r="B45" s="173">
        <f>CADASTRO!$C41</f>
        <v/>
      </c>
      <c r="C45" s="174">
        <f>IFERROR(INDEX(JAN!$BK$8:$BK$73,MATCH($A45,JAN!$A$8:$A$73,0)),"")</f>
        <v/>
      </c>
      <c r="D45" s="174">
        <f>IFERROR(INDEX(FEV!$BK$8:$BK$73,MATCH($A45,FEV!$A$8:$A$73,0)),"")</f>
        <v/>
      </c>
      <c r="E45" s="174">
        <f>IFERROR(INDEX(MAR!$BK$8:$BK$73,MATCH($A45,MAR!$A$8:$A$73,0)),"")</f>
        <v/>
      </c>
      <c r="F45" s="174">
        <f>IFERROR(INDEX(ABR!$BK$8:$BK$73,MATCH($A45,ABR!$A$8:$A$73,0)),"")</f>
        <v/>
      </c>
      <c r="G45" s="174">
        <f>IFERROR(INDEX(MAI!$BK$8:$BK$73,MATCH($A45,MAI!$A$8:$A$73,0)),"")</f>
        <v/>
      </c>
      <c r="H45" s="174">
        <f>IFERROR(INDEX(JUN!$BK$8:$BK$73,MATCH($A45,JUN!$A$8:$A$73,0)),"")</f>
        <v/>
      </c>
      <c r="I45" s="174">
        <f>IFERROR(INDEX(JUL!$BK$8:$BK$73,MATCH($A45,JUL!$A$8:$A$73,0)),"")</f>
        <v/>
      </c>
      <c r="J45" s="174">
        <f>IFERROR(INDEX(AGO!$BK$8:$BK$73,MATCH($A45,AGO!$A$8:$A$73,0)),"")</f>
        <v/>
      </c>
      <c r="K45" s="174">
        <f>IFERROR(INDEX(SET!$BK$8:$BK$73,MATCH($A45,SET!$A$8:$A$73,0)),"")</f>
        <v/>
      </c>
      <c r="L45" s="174">
        <f>IFERROR(INDEX(OUT!$BK$8:$BK$73,MATCH($A45,OUT!$A$8:$A$73,0)),"")</f>
        <v/>
      </c>
      <c r="M45" s="174">
        <f>IFERROR(INDEX(NOV!$BK$8:$BK$73,MATCH($A45,NOV!$A$8:$A$73,0)),"")</f>
        <v/>
      </c>
      <c r="N45" s="174">
        <f>IFERROR(INDEX(DEZ!$BK$8:$BK$73,MATCH($A45,DEZ!$A$8:$A$73,0)),"")</f>
        <v/>
      </c>
      <c r="O45" s="175">
        <f>SUM(C45:N45)</f>
        <v/>
      </c>
      <c r="P45" s="39" t="n"/>
      <c r="Q45" s="174">
        <f>IFERROR(INDEX(JAN!$BG$8:$BG$73,MATCH($A45,JAN!$A$8:$A$73,0)),"")</f>
        <v/>
      </c>
      <c r="R45" s="174">
        <f>IFERROR(INDEX(FEV!$BG$8:$BG$73,MATCH($A45,FEV!$A$8:$A$73,0)),"")</f>
        <v/>
      </c>
      <c r="S45" s="174">
        <f>IFERROR(INDEX(MAR!$BG$8:$BG$73,MATCH($A45,MAR!$A$8:$A$73,0)),"")</f>
        <v/>
      </c>
      <c r="T45" s="174">
        <f>IFERROR(INDEX(ABR!$BG$8:$BG$73,MATCH($A45,ABR!$A$8:$A$73,0)),"")</f>
        <v/>
      </c>
      <c r="U45" s="174">
        <f>IFERROR(INDEX(MAI!$BG$8:$BG$73,MATCH($A45,MAI!$A$8:$A$73,0)),"")</f>
        <v/>
      </c>
      <c r="V45" s="174">
        <f>IFERROR(INDEX(JUN!$BG$8:$BG$73,MATCH($A45,JUN!$A$8:$A$73,0)),"")</f>
        <v/>
      </c>
      <c r="W45" s="174">
        <f>IFERROR(INDEX(JUL!$BG$8:$BG$73,MATCH($A45,JUL!$A$8:$A$73,0)),"")</f>
        <v/>
      </c>
      <c r="X45" s="174">
        <f>IFERROR(INDEX(AGO!$BG$8:$BG$73,MATCH($A45,AGO!$A$8:$A$73,0)),"")</f>
        <v/>
      </c>
      <c r="Y45" s="174">
        <f>IFERROR(INDEX(SET!$BG$8:$BG$73,MATCH($A45,SET!$A$8:$A$73,0)),"")</f>
        <v/>
      </c>
      <c r="Z45" s="174">
        <f>IFERROR(INDEX(OUT!$BG$8:$BG$73,MATCH($A45,OUT!$A$8:$A$73,0)),"")</f>
        <v/>
      </c>
      <c r="AA45" s="174">
        <f>IFERROR(INDEX(NOV!$BG$8:$BG$73,MATCH($A45,NOV!$A$8:$A$73,0)),"")</f>
        <v/>
      </c>
      <c r="AB45" s="174">
        <f>IFERROR(INDEX(DEZ!$BG$8:$BG$73,MATCH($A45,DEZ!$A$8:$A$73,0)),"")</f>
        <v/>
      </c>
      <c r="AC45" s="175">
        <f>SUM(Q45:AB45)</f>
        <v/>
      </c>
      <c r="AD45" s="39" t="n"/>
      <c r="AE45" s="174">
        <f>IFERROR(INDEX(JAN!$BH$8:$BH$73,MATCH($A45,JAN!$A$8:$A$73,0)),"")</f>
        <v/>
      </c>
      <c r="AF45" s="174">
        <f>IFERROR(INDEX(FEV!$BH$8:$BH$73,MATCH($A45,FEV!$A$8:$A$73,0)),"")</f>
        <v/>
      </c>
      <c r="AG45" s="174">
        <f>IFERROR(INDEX(MAR!$BH$8:$BH$73,MATCH($A45,MAR!$A$8:$A$73,0)),"")</f>
        <v/>
      </c>
      <c r="AH45" s="174">
        <f>IFERROR(INDEX(ABR!$BH$8:$BH$73,MATCH($A45,ABR!$A$8:$A$73,0)),"")</f>
        <v/>
      </c>
      <c r="AI45" s="174">
        <f>IFERROR(INDEX(MAI!$BH$8:$BH$73,MATCH($A45,MAI!$A$8:$A$73,0)),"")</f>
        <v/>
      </c>
      <c r="AJ45" s="174">
        <f>IFERROR(INDEX(JUN!$BH$8:$BH$73,MATCH($A45,JUN!$A$8:$A$73,0)),"")</f>
        <v/>
      </c>
      <c r="AK45" s="174">
        <f>IFERROR(INDEX(JUL!$BH$8:$BH$73,MATCH($A45,JUL!$A$8:$A$73,0)),"")</f>
        <v/>
      </c>
      <c r="AL45" s="174">
        <f>IFERROR(INDEX(AGO!$BH$8:$BH$73,MATCH($A45,AGO!$A$8:$A$73,0)),"")</f>
        <v/>
      </c>
      <c r="AM45" s="174">
        <f>IFERROR(INDEX(SET!$BH$8:$BH$73,MATCH($A45,SET!$A$8:$A$73,0)),"")</f>
        <v/>
      </c>
      <c r="AN45" s="174">
        <f>IFERROR(INDEX(OUT!$BH$8:$BH$73,MATCH($A45,OUT!$A$8:$A$73,0)),"")</f>
        <v/>
      </c>
      <c r="AO45" s="174">
        <f>IFERROR(INDEX(NOV!$BH$8:$BH$73,MATCH($A45,NOV!$A$8:$A$73,0)),"")</f>
        <v/>
      </c>
      <c r="AP45" s="174">
        <f>IFERROR(INDEX(DEZ!$BH$8:$BH$73,MATCH($A45,DEZ!$A$8:$A$73,0)),"")</f>
        <v/>
      </c>
      <c r="AQ45" s="175">
        <f>SUM(AE45:AP45)</f>
        <v/>
      </c>
      <c r="AR45" s="39" t="n"/>
      <c r="AS45" s="174">
        <f>IFERROR(INDEX(JAN!$BI$8:$BI$73,MATCH($A45,JAN!$A$8:$A$73,0)),"")</f>
        <v/>
      </c>
      <c r="AT45" s="174">
        <f>IFERROR(INDEX(FEV!$BI$8:$BI$73,MATCH($A45,FEV!$A$8:$A$73,0)),"")</f>
        <v/>
      </c>
      <c r="AU45" s="174">
        <f>IFERROR(INDEX(MAR!$BI$8:$BI$73,MATCH($A45,MAR!$A$8:$A$73,0)),"")</f>
        <v/>
      </c>
      <c r="AV45" s="174">
        <f>IFERROR(INDEX(ABR!$BI$8:$BI$73,MATCH($A45,ABR!$A$8:$A$73,0)),"")</f>
        <v/>
      </c>
      <c r="AW45" s="174">
        <f>IFERROR(INDEX(MAI!$BI$8:$BI$73,MATCH($A45,MAI!$A$8:$A$73,0)),"")</f>
        <v/>
      </c>
      <c r="AX45" s="174">
        <f>IFERROR(INDEX(JUN!$BI$8:$BI$73,MATCH($A45,JUN!$A$8:$A$73,0)),"")</f>
        <v/>
      </c>
      <c r="AY45" s="174">
        <f>IFERROR(INDEX(JUL!$BI$8:$BI$73,MATCH($A45,JUL!$A$8:$A$73,0)),"")</f>
        <v/>
      </c>
      <c r="AZ45" s="174">
        <f>IFERROR(INDEX(AGO!$BI$8:$BI$73,MATCH($A45,AGO!$A$8:$A$73,0)),"")</f>
        <v/>
      </c>
      <c r="BA45" s="174">
        <f>IFERROR(INDEX(SET!$BI$8:$BI$73,MATCH($A45,SET!$A$8:$A$73,0)),"")</f>
        <v/>
      </c>
      <c r="BB45" s="174">
        <f>IFERROR(INDEX(OUT!$BI$8:$BI$73,MATCH($A45,OUT!$A$8:$A$73,0)),"")</f>
        <v/>
      </c>
      <c r="BC45" s="174">
        <f>IFERROR(INDEX(NOV!$BI$8:$BI$73,MATCH($A45,NOV!$A$8:$A$73,0)),"")</f>
        <v/>
      </c>
      <c r="BD45" s="174">
        <f>IFERROR(INDEX(DEZ!$BI$8:$BI$73,MATCH($A45,DEZ!$A$8:$A$73,0)),"")</f>
        <v/>
      </c>
      <c r="BE45" s="175">
        <f>SUM(AS45:BD45)</f>
        <v/>
      </c>
      <c r="BF45" s="39" t="n"/>
      <c r="BG45" s="107" t="n">
        <v>3</v>
      </c>
      <c r="BH45" s="133">
        <f>SUM(AE45:AP45)</f>
        <v/>
      </c>
      <c r="BI45" s="176">
        <f>IF(BG45="","",IF(BG45=BH45,"","⚠"))</f>
        <v/>
      </c>
      <c r="BJ45" s="39" t="n"/>
      <c r="BK45" s="39" t="n"/>
    </row>
    <row r="46">
      <c r="A46" s="89" t="inlineStr">
        <is>
          <t>Ernesto</t>
        </is>
      </c>
      <c r="B46" s="173">
        <f>CADASTRO!$C42</f>
        <v/>
      </c>
      <c r="C46" s="174">
        <f>IFERROR(INDEX(JAN!$BK$8:$BK$73,MATCH($A46,JAN!$A$8:$A$73,0)),"")</f>
        <v/>
      </c>
      <c r="D46" s="174">
        <f>IFERROR(INDEX(FEV!$BK$8:$BK$73,MATCH($A46,FEV!$A$8:$A$73,0)),"")</f>
        <v/>
      </c>
      <c r="E46" s="174">
        <f>IFERROR(INDEX(MAR!$BK$8:$BK$73,MATCH($A46,MAR!$A$8:$A$73,0)),"")</f>
        <v/>
      </c>
      <c r="F46" s="174">
        <f>IFERROR(INDEX(ABR!$BK$8:$BK$73,MATCH($A46,ABR!$A$8:$A$73,0)),"")</f>
        <v/>
      </c>
      <c r="G46" s="174">
        <f>IFERROR(INDEX(MAI!$BK$8:$BK$73,MATCH($A46,MAI!$A$8:$A$73,0)),"")</f>
        <v/>
      </c>
      <c r="H46" s="174">
        <f>IFERROR(INDEX(JUN!$BK$8:$BK$73,MATCH($A46,JUN!$A$8:$A$73,0)),"")</f>
        <v/>
      </c>
      <c r="I46" s="174">
        <f>IFERROR(INDEX(JUL!$BK$8:$BK$73,MATCH($A46,JUL!$A$8:$A$73,0)),"")</f>
        <v/>
      </c>
      <c r="J46" s="174">
        <f>IFERROR(INDEX(AGO!$BK$8:$BK$73,MATCH($A46,AGO!$A$8:$A$73,0)),"")</f>
        <v/>
      </c>
      <c r="K46" s="174">
        <f>IFERROR(INDEX(SET!$BK$8:$BK$73,MATCH($A46,SET!$A$8:$A$73,0)),"")</f>
        <v/>
      </c>
      <c r="L46" s="174">
        <f>IFERROR(INDEX(OUT!$BK$8:$BK$73,MATCH($A46,OUT!$A$8:$A$73,0)),"")</f>
        <v/>
      </c>
      <c r="M46" s="174">
        <f>IFERROR(INDEX(NOV!$BK$8:$BK$73,MATCH($A46,NOV!$A$8:$A$73,0)),"")</f>
        <v/>
      </c>
      <c r="N46" s="174">
        <f>IFERROR(INDEX(DEZ!$BK$8:$BK$73,MATCH($A46,DEZ!$A$8:$A$73,0)),"")</f>
        <v/>
      </c>
      <c r="O46" s="175">
        <f>SUM(C46:N46)</f>
        <v/>
      </c>
      <c r="P46" s="39" t="n"/>
      <c r="Q46" s="174">
        <f>IFERROR(INDEX(JAN!$BG$8:$BG$73,MATCH($A46,JAN!$A$8:$A$73,0)),"")</f>
        <v/>
      </c>
      <c r="R46" s="174">
        <f>IFERROR(INDEX(FEV!$BG$8:$BG$73,MATCH($A46,FEV!$A$8:$A$73,0)),"")</f>
        <v/>
      </c>
      <c r="S46" s="174">
        <f>IFERROR(INDEX(MAR!$BG$8:$BG$73,MATCH($A46,MAR!$A$8:$A$73,0)),"")</f>
        <v/>
      </c>
      <c r="T46" s="174">
        <f>IFERROR(INDEX(ABR!$BG$8:$BG$73,MATCH($A46,ABR!$A$8:$A$73,0)),"")</f>
        <v/>
      </c>
      <c r="U46" s="174">
        <f>IFERROR(INDEX(MAI!$BG$8:$BG$73,MATCH($A46,MAI!$A$8:$A$73,0)),"")</f>
        <v/>
      </c>
      <c r="V46" s="174">
        <f>IFERROR(INDEX(JUN!$BG$8:$BG$73,MATCH($A46,JUN!$A$8:$A$73,0)),"")</f>
        <v/>
      </c>
      <c r="W46" s="174">
        <f>IFERROR(INDEX(JUL!$BG$8:$BG$73,MATCH($A46,JUL!$A$8:$A$73,0)),"")</f>
        <v/>
      </c>
      <c r="X46" s="174">
        <f>IFERROR(INDEX(AGO!$BG$8:$BG$73,MATCH($A46,AGO!$A$8:$A$73,0)),"")</f>
        <v/>
      </c>
      <c r="Y46" s="174">
        <f>IFERROR(INDEX(SET!$BG$8:$BG$73,MATCH($A46,SET!$A$8:$A$73,0)),"")</f>
        <v/>
      </c>
      <c r="Z46" s="174">
        <f>IFERROR(INDEX(OUT!$BG$8:$BG$73,MATCH($A46,OUT!$A$8:$A$73,0)),"")</f>
        <v/>
      </c>
      <c r="AA46" s="174">
        <f>IFERROR(INDEX(NOV!$BG$8:$BG$73,MATCH($A46,NOV!$A$8:$A$73,0)),"")</f>
        <v/>
      </c>
      <c r="AB46" s="174">
        <f>IFERROR(INDEX(DEZ!$BG$8:$BG$73,MATCH($A46,DEZ!$A$8:$A$73,0)),"")</f>
        <v/>
      </c>
      <c r="AC46" s="175">
        <f>SUM(Q46:AB46)</f>
        <v/>
      </c>
      <c r="AD46" s="39" t="n"/>
      <c r="AE46" s="174">
        <f>IFERROR(INDEX(JAN!$BH$8:$BH$73,MATCH($A46,JAN!$A$8:$A$73,0)),"")</f>
        <v/>
      </c>
      <c r="AF46" s="174">
        <f>IFERROR(INDEX(FEV!$BH$8:$BH$73,MATCH($A46,FEV!$A$8:$A$73,0)),"")</f>
        <v/>
      </c>
      <c r="AG46" s="174">
        <f>IFERROR(INDEX(MAR!$BH$8:$BH$73,MATCH($A46,MAR!$A$8:$A$73,0)),"")</f>
        <v/>
      </c>
      <c r="AH46" s="174">
        <f>IFERROR(INDEX(ABR!$BH$8:$BH$73,MATCH($A46,ABR!$A$8:$A$73,0)),"")</f>
        <v/>
      </c>
      <c r="AI46" s="174">
        <f>IFERROR(INDEX(MAI!$BH$8:$BH$73,MATCH($A46,MAI!$A$8:$A$73,0)),"")</f>
        <v/>
      </c>
      <c r="AJ46" s="174">
        <f>IFERROR(INDEX(JUN!$BH$8:$BH$73,MATCH($A46,JUN!$A$8:$A$73,0)),"")</f>
        <v/>
      </c>
      <c r="AK46" s="174">
        <f>IFERROR(INDEX(JUL!$BH$8:$BH$73,MATCH($A46,JUL!$A$8:$A$73,0)),"")</f>
        <v/>
      </c>
      <c r="AL46" s="174">
        <f>IFERROR(INDEX(AGO!$BH$8:$BH$73,MATCH($A46,AGO!$A$8:$A$73,0)),"")</f>
        <v/>
      </c>
      <c r="AM46" s="174">
        <f>IFERROR(INDEX(SET!$BH$8:$BH$73,MATCH($A46,SET!$A$8:$A$73,0)),"")</f>
        <v/>
      </c>
      <c r="AN46" s="174">
        <f>IFERROR(INDEX(OUT!$BH$8:$BH$73,MATCH($A46,OUT!$A$8:$A$73,0)),"")</f>
        <v/>
      </c>
      <c r="AO46" s="174">
        <f>IFERROR(INDEX(NOV!$BH$8:$BH$73,MATCH($A46,NOV!$A$8:$A$73,0)),"")</f>
        <v/>
      </c>
      <c r="AP46" s="174">
        <f>IFERROR(INDEX(DEZ!$BH$8:$BH$73,MATCH($A46,DEZ!$A$8:$A$73,0)),"")</f>
        <v/>
      </c>
      <c r="AQ46" s="175">
        <f>SUM(AE46:AP46)</f>
        <v/>
      </c>
      <c r="AR46" s="39" t="n"/>
      <c r="AS46" s="174">
        <f>IFERROR(INDEX(JAN!$BI$8:$BI$73,MATCH($A46,JAN!$A$8:$A$73,0)),"")</f>
        <v/>
      </c>
      <c r="AT46" s="174">
        <f>IFERROR(INDEX(FEV!$BI$8:$BI$73,MATCH($A46,FEV!$A$8:$A$73,0)),"")</f>
        <v/>
      </c>
      <c r="AU46" s="174">
        <f>IFERROR(INDEX(MAR!$BI$8:$BI$73,MATCH($A46,MAR!$A$8:$A$73,0)),"")</f>
        <v/>
      </c>
      <c r="AV46" s="174">
        <f>IFERROR(INDEX(ABR!$BI$8:$BI$73,MATCH($A46,ABR!$A$8:$A$73,0)),"")</f>
        <v/>
      </c>
      <c r="AW46" s="174">
        <f>IFERROR(INDEX(MAI!$BI$8:$BI$73,MATCH($A46,MAI!$A$8:$A$73,0)),"")</f>
        <v/>
      </c>
      <c r="AX46" s="174">
        <f>IFERROR(INDEX(JUN!$BI$8:$BI$73,MATCH($A46,JUN!$A$8:$A$73,0)),"")</f>
        <v/>
      </c>
      <c r="AY46" s="174">
        <f>IFERROR(INDEX(JUL!$BI$8:$BI$73,MATCH($A46,JUL!$A$8:$A$73,0)),"")</f>
        <v/>
      </c>
      <c r="AZ46" s="174">
        <f>IFERROR(INDEX(AGO!$BI$8:$BI$73,MATCH($A46,AGO!$A$8:$A$73,0)),"")</f>
        <v/>
      </c>
      <c r="BA46" s="174">
        <f>IFERROR(INDEX(SET!$BI$8:$BI$73,MATCH($A46,SET!$A$8:$A$73,0)),"")</f>
        <v/>
      </c>
      <c r="BB46" s="174">
        <f>IFERROR(INDEX(OUT!$BI$8:$BI$73,MATCH($A46,OUT!$A$8:$A$73,0)),"")</f>
        <v/>
      </c>
      <c r="BC46" s="174">
        <f>IFERROR(INDEX(NOV!$BI$8:$BI$73,MATCH($A46,NOV!$A$8:$A$73,0)),"")</f>
        <v/>
      </c>
      <c r="BD46" s="174">
        <f>IFERROR(INDEX(DEZ!$BI$8:$BI$73,MATCH($A46,DEZ!$A$8:$A$73,0)),"")</f>
        <v/>
      </c>
      <c r="BE46" s="175">
        <f>SUM(AS46:BD46)</f>
        <v/>
      </c>
      <c r="BF46" s="39" t="n"/>
      <c r="BG46" s="107" t="n">
        <v>11</v>
      </c>
      <c r="BH46" s="133">
        <f>SUM(AE46:AP46)</f>
        <v/>
      </c>
      <c r="BI46" s="176">
        <f>IF(BG46="","",IF(BG46=BH46,"","⚠"))</f>
        <v/>
      </c>
      <c r="BJ46" s="39" t="n"/>
      <c r="BK46" s="39" t="n"/>
    </row>
    <row r="47">
      <c r="A47" s="89" t="inlineStr">
        <is>
          <t>Grayce</t>
        </is>
      </c>
      <c r="B47" s="173">
        <f>CADASTRO!$C43</f>
        <v/>
      </c>
      <c r="C47" s="174">
        <f>IFERROR(INDEX(JAN!$BK$8:$BK$73,MATCH($A47,JAN!$A$8:$A$73,0)),"")</f>
        <v/>
      </c>
      <c r="D47" s="174">
        <f>IFERROR(INDEX(FEV!$BK$8:$BK$73,MATCH($A47,FEV!$A$8:$A$73,0)),"")</f>
        <v/>
      </c>
      <c r="E47" s="174">
        <f>IFERROR(INDEX(MAR!$BK$8:$BK$73,MATCH($A47,MAR!$A$8:$A$73,0)),"")</f>
        <v/>
      </c>
      <c r="F47" s="174">
        <f>IFERROR(INDEX(ABR!$BK$8:$BK$73,MATCH($A47,ABR!$A$8:$A$73,0)),"")</f>
        <v/>
      </c>
      <c r="G47" s="174">
        <f>IFERROR(INDEX(MAI!$BK$8:$BK$73,MATCH($A47,MAI!$A$8:$A$73,0)),"")</f>
        <v/>
      </c>
      <c r="H47" s="174">
        <f>IFERROR(INDEX(JUN!$BK$8:$BK$73,MATCH($A47,JUN!$A$8:$A$73,0)),"")</f>
        <v/>
      </c>
      <c r="I47" s="174">
        <f>IFERROR(INDEX(JUL!$BK$8:$BK$73,MATCH($A47,JUL!$A$8:$A$73,0)),"")</f>
        <v/>
      </c>
      <c r="J47" s="174">
        <f>IFERROR(INDEX(AGO!$BK$8:$BK$73,MATCH($A47,AGO!$A$8:$A$73,0)),"")</f>
        <v/>
      </c>
      <c r="K47" s="174">
        <f>IFERROR(INDEX(SET!$BK$8:$BK$73,MATCH($A47,SET!$A$8:$A$73,0)),"")</f>
        <v/>
      </c>
      <c r="L47" s="174">
        <f>IFERROR(INDEX(OUT!$BK$8:$BK$73,MATCH($A47,OUT!$A$8:$A$73,0)),"")</f>
        <v/>
      </c>
      <c r="M47" s="174">
        <f>IFERROR(INDEX(NOV!$BK$8:$BK$73,MATCH($A47,NOV!$A$8:$A$73,0)),"")</f>
        <v/>
      </c>
      <c r="N47" s="174">
        <f>IFERROR(INDEX(DEZ!$BK$8:$BK$73,MATCH($A47,DEZ!$A$8:$A$73,0)),"")</f>
        <v/>
      </c>
      <c r="O47" s="175">
        <f>SUM(C47:N47)</f>
        <v/>
      </c>
      <c r="P47" s="39" t="n"/>
      <c r="Q47" s="174">
        <f>IFERROR(INDEX(JAN!$BG$8:$BG$73,MATCH($A47,JAN!$A$8:$A$73,0)),"")</f>
        <v/>
      </c>
      <c r="R47" s="174">
        <f>IFERROR(INDEX(FEV!$BG$8:$BG$73,MATCH($A47,FEV!$A$8:$A$73,0)),"")</f>
        <v/>
      </c>
      <c r="S47" s="174">
        <f>IFERROR(INDEX(MAR!$BG$8:$BG$73,MATCH($A47,MAR!$A$8:$A$73,0)),"")</f>
        <v/>
      </c>
      <c r="T47" s="174">
        <f>IFERROR(INDEX(ABR!$BG$8:$BG$73,MATCH($A47,ABR!$A$8:$A$73,0)),"")</f>
        <v/>
      </c>
      <c r="U47" s="174">
        <f>IFERROR(INDEX(MAI!$BG$8:$BG$73,MATCH($A47,MAI!$A$8:$A$73,0)),"")</f>
        <v/>
      </c>
      <c r="V47" s="174">
        <f>IFERROR(INDEX(JUN!$BG$8:$BG$73,MATCH($A47,JUN!$A$8:$A$73,0)),"")</f>
        <v/>
      </c>
      <c r="W47" s="174">
        <f>IFERROR(INDEX(JUL!$BG$8:$BG$73,MATCH($A47,JUL!$A$8:$A$73,0)),"")</f>
        <v/>
      </c>
      <c r="X47" s="174">
        <f>IFERROR(INDEX(AGO!$BG$8:$BG$73,MATCH($A47,AGO!$A$8:$A$73,0)),"")</f>
        <v/>
      </c>
      <c r="Y47" s="174">
        <f>IFERROR(INDEX(SET!$BG$8:$BG$73,MATCH($A47,SET!$A$8:$A$73,0)),"")</f>
        <v/>
      </c>
      <c r="Z47" s="174">
        <f>IFERROR(INDEX(OUT!$BG$8:$BG$73,MATCH($A47,OUT!$A$8:$A$73,0)),"")</f>
        <v/>
      </c>
      <c r="AA47" s="174">
        <f>IFERROR(INDEX(NOV!$BG$8:$BG$73,MATCH($A47,NOV!$A$8:$A$73,0)),"")</f>
        <v/>
      </c>
      <c r="AB47" s="174">
        <f>IFERROR(INDEX(DEZ!$BG$8:$BG$73,MATCH($A47,DEZ!$A$8:$A$73,0)),"")</f>
        <v/>
      </c>
      <c r="AC47" s="175">
        <f>SUM(Q47:AB47)</f>
        <v/>
      </c>
      <c r="AD47" s="39" t="n"/>
      <c r="AE47" s="174">
        <f>IFERROR(INDEX(JAN!$BH$8:$BH$73,MATCH($A47,JAN!$A$8:$A$73,0)),"")</f>
        <v/>
      </c>
      <c r="AF47" s="174">
        <f>IFERROR(INDEX(FEV!$BH$8:$BH$73,MATCH($A47,FEV!$A$8:$A$73,0)),"")</f>
        <v/>
      </c>
      <c r="AG47" s="174">
        <f>IFERROR(INDEX(MAR!$BH$8:$BH$73,MATCH($A47,MAR!$A$8:$A$73,0)),"")</f>
        <v/>
      </c>
      <c r="AH47" s="174">
        <f>IFERROR(INDEX(ABR!$BH$8:$BH$73,MATCH($A47,ABR!$A$8:$A$73,0)),"")</f>
        <v/>
      </c>
      <c r="AI47" s="174">
        <f>IFERROR(INDEX(MAI!$BH$8:$BH$73,MATCH($A47,MAI!$A$8:$A$73,0)),"")</f>
        <v/>
      </c>
      <c r="AJ47" s="174">
        <f>IFERROR(INDEX(JUN!$BH$8:$BH$73,MATCH($A47,JUN!$A$8:$A$73,0)),"")</f>
        <v/>
      </c>
      <c r="AK47" s="174">
        <f>IFERROR(INDEX(JUL!$BH$8:$BH$73,MATCH($A47,JUL!$A$8:$A$73,0)),"")</f>
        <v/>
      </c>
      <c r="AL47" s="174">
        <f>IFERROR(INDEX(AGO!$BH$8:$BH$73,MATCH($A47,AGO!$A$8:$A$73,0)),"")</f>
        <v/>
      </c>
      <c r="AM47" s="174">
        <f>IFERROR(INDEX(SET!$BH$8:$BH$73,MATCH($A47,SET!$A$8:$A$73,0)),"")</f>
        <v/>
      </c>
      <c r="AN47" s="174">
        <f>IFERROR(INDEX(OUT!$BH$8:$BH$73,MATCH($A47,OUT!$A$8:$A$73,0)),"")</f>
        <v/>
      </c>
      <c r="AO47" s="174">
        <f>IFERROR(INDEX(NOV!$BH$8:$BH$73,MATCH($A47,NOV!$A$8:$A$73,0)),"")</f>
        <v/>
      </c>
      <c r="AP47" s="174">
        <f>IFERROR(INDEX(DEZ!$BH$8:$BH$73,MATCH($A47,DEZ!$A$8:$A$73,0)),"")</f>
        <v/>
      </c>
      <c r="AQ47" s="175">
        <f>SUM(AE47:AP47)</f>
        <v/>
      </c>
      <c r="AR47" s="39" t="n"/>
      <c r="AS47" s="174">
        <f>IFERROR(INDEX(JAN!$BI$8:$BI$73,MATCH($A47,JAN!$A$8:$A$73,0)),"")</f>
        <v/>
      </c>
      <c r="AT47" s="174">
        <f>IFERROR(INDEX(FEV!$BI$8:$BI$73,MATCH($A47,FEV!$A$8:$A$73,0)),"")</f>
        <v/>
      </c>
      <c r="AU47" s="174">
        <f>IFERROR(INDEX(MAR!$BI$8:$BI$73,MATCH($A47,MAR!$A$8:$A$73,0)),"")</f>
        <v/>
      </c>
      <c r="AV47" s="174">
        <f>IFERROR(INDEX(ABR!$BI$8:$BI$73,MATCH($A47,ABR!$A$8:$A$73,0)),"")</f>
        <v/>
      </c>
      <c r="AW47" s="174">
        <f>IFERROR(INDEX(MAI!$BI$8:$BI$73,MATCH($A47,MAI!$A$8:$A$73,0)),"")</f>
        <v/>
      </c>
      <c r="AX47" s="174">
        <f>IFERROR(INDEX(JUN!$BI$8:$BI$73,MATCH($A47,JUN!$A$8:$A$73,0)),"")</f>
        <v/>
      </c>
      <c r="AY47" s="174">
        <f>IFERROR(INDEX(JUL!$BI$8:$BI$73,MATCH($A47,JUL!$A$8:$A$73,0)),"")</f>
        <v/>
      </c>
      <c r="AZ47" s="174">
        <f>IFERROR(INDEX(AGO!$BI$8:$BI$73,MATCH($A47,AGO!$A$8:$A$73,0)),"")</f>
        <v/>
      </c>
      <c r="BA47" s="174">
        <f>IFERROR(INDEX(SET!$BI$8:$BI$73,MATCH($A47,SET!$A$8:$A$73,0)),"")</f>
        <v/>
      </c>
      <c r="BB47" s="174">
        <f>IFERROR(INDEX(OUT!$BI$8:$BI$73,MATCH($A47,OUT!$A$8:$A$73,0)),"")</f>
        <v/>
      </c>
      <c r="BC47" s="174">
        <f>IFERROR(INDEX(NOV!$BI$8:$BI$73,MATCH($A47,NOV!$A$8:$A$73,0)),"")</f>
        <v/>
      </c>
      <c r="BD47" s="174">
        <f>IFERROR(INDEX(DEZ!$BI$8:$BI$73,MATCH($A47,DEZ!$A$8:$A$73,0)),"")</f>
        <v/>
      </c>
      <c r="BE47" s="175">
        <f>SUM(AS47:BD47)</f>
        <v/>
      </c>
      <c r="BF47" s="39" t="n"/>
      <c r="BG47" s="107" t="n">
        <v>5</v>
      </c>
      <c r="BH47" s="133">
        <f>SUM(AE47:AP47)</f>
        <v/>
      </c>
      <c r="BI47" s="176">
        <f>IF(BG47="","",IF(BG47=BH47,"","⚠"))</f>
        <v/>
      </c>
      <c r="BJ47" s="39" t="n"/>
      <c r="BK47" s="39" t="n"/>
    </row>
    <row r="48">
      <c r="A48" s="89" t="inlineStr">
        <is>
          <t>Heloa</t>
        </is>
      </c>
      <c r="B48" s="173">
        <f>CADASTRO!$C44</f>
        <v/>
      </c>
      <c r="C48" s="174">
        <f>IFERROR(INDEX(JAN!$BK$8:$BK$73,MATCH($A48,JAN!$A$8:$A$73,0)),"")</f>
        <v/>
      </c>
      <c r="D48" s="174">
        <f>IFERROR(INDEX(FEV!$BK$8:$BK$73,MATCH($A48,FEV!$A$8:$A$73,0)),"")</f>
        <v/>
      </c>
      <c r="E48" s="174">
        <f>IFERROR(INDEX(MAR!$BK$8:$BK$73,MATCH($A48,MAR!$A$8:$A$73,0)),"")</f>
        <v/>
      </c>
      <c r="F48" s="174">
        <f>IFERROR(INDEX(ABR!$BK$8:$BK$73,MATCH($A48,ABR!$A$8:$A$73,0)),"")</f>
        <v/>
      </c>
      <c r="G48" s="174">
        <f>IFERROR(INDEX(MAI!$BK$8:$BK$73,MATCH($A48,MAI!$A$8:$A$73,0)),"")</f>
        <v/>
      </c>
      <c r="H48" s="174">
        <f>IFERROR(INDEX(JUN!$BK$8:$BK$73,MATCH($A48,JUN!$A$8:$A$73,0)),"")</f>
        <v/>
      </c>
      <c r="I48" s="174">
        <f>IFERROR(INDEX(JUL!$BK$8:$BK$73,MATCH($A48,JUL!$A$8:$A$73,0)),"")</f>
        <v/>
      </c>
      <c r="J48" s="174">
        <f>IFERROR(INDEX(AGO!$BK$8:$BK$73,MATCH($A48,AGO!$A$8:$A$73,0)),"")</f>
        <v/>
      </c>
      <c r="K48" s="174">
        <f>IFERROR(INDEX(SET!$BK$8:$BK$73,MATCH($A48,SET!$A$8:$A$73,0)),"")</f>
        <v/>
      </c>
      <c r="L48" s="174">
        <f>IFERROR(INDEX(OUT!$BK$8:$BK$73,MATCH($A48,OUT!$A$8:$A$73,0)),"")</f>
        <v/>
      </c>
      <c r="M48" s="174">
        <f>IFERROR(INDEX(NOV!$BK$8:$BK$73,MATCH($A48,NOV!$A$8:$A$73,0)),"")</f>
        <v/>
      </c>
      <c r="N48" s="174">
        <f>IFERROR(INDEX(DEZ!$BK$8:$BK$73,MATCH($A48,DEZ!$A$8:$A$73,0)),"")</f>
        <v/>
      </c>
      <c r="O48" s="175">
        <f>SUM(C48:N48)</f>
        <v/>
      </c>
      <c r="P48" s="39" t="n"/>
      <c r="Q48" s="174">
        <f>IFERROR(INDEX(JAN!$BG$8:$BG$73,MATCH($A48,JAN!$A$8:$A$73,0)),"")</f>
        <v/>
      </c>
      <c r="R48" s="174">
        <f>IFERROR(INDEX(FEV!$BG$8:$BG$73,MATCH($A48,FEV!$A$8:$A$73,0)),"")</f>
        <v/>
      </c>
      <c r="S48" s="174">
        <f>IFERROR(INDEX(MAR!$BG$8:$BG$73,MATCH($A48,MAR!$A$8:$A$73,0)),"")</f>
        <v/>
      </c>
      <c r="T48" s="174">
        <f>IFERROR(INDEX(ABR!$BG$8:$BG$73,MATCH($A48,ABR!$A$8:$A$73,0)),"")</f>
        <v/>
      </c>
      <c r="U48" s="174">
        <f>IFERROR(INDEX(MAI!$BG$8:$BG$73,MATCH($A48,MAI!$A$8:$A$73,0)),"")</f>
        <v/>
      </c>
      <c r="V48" s="174">
        <f>IFERROR(INDEX(JUN!$BG$8:$BG$73,MATCH($A48,JUN!$A$8:$A$73,0)),"")</f>
        <v/>
      </c>
      <c r="W48" s="174">
        <f>IFERROR(INDEX(JUL!$BG$8:$BG$73,MATCH($A48,JUL!$A$8:$A$73,0)),"")</f>
        <v/>
      </c>
      <c r="X48" s="174">
        <f>IFERROR(INDEX(AGO!$BG$8:$BG$73,MATCH($A48,AGO!$A$8:$A$73,0)),"")</f>
        <v/>
      </c>
      <c r="Y48" s="174">
        <f>IFERROR(INDEX(SET!$BG$8:$BG$73,MATCH($A48,SET!$A$8:$A$73,0)),"")</f>
        <v/>
      </c>
      <c r="Z48" s="174">
        <f>IFERROR(INDEX(OUT!$BG$8:$BG$73,MATCH($A48,OUT!$A$8:$A$73,0)),"")</f>
        <v/>
      </c>
      <c r="AA48" s="174">
        <f>IFERROR(INDEX(NOV!$BG$8:$BG$73,MATCH($A48,NOV!$A$8:$A$73,0)),"")</f>
        <v/>
      </c>
      <c r="AB48" s="174">
        <f>IFERROR(INDEX(DEZ!$BG$8:$BG$73,MATCH($A48,DEZ!$A$8:$A$73,0)),"")</f>
        <v/>
      </c>
      <c r="AC48" s="175">
        <f>SUM(Q48:AB48)</f>
        <v/>
      </c>
      <c r="AD48" s="39" t="n"/>
      <c r="AE48" s="174">
        <f>IFERROR(INDEX(JAN!$BH$8:$BH$73,MATCH($A48,JAN!$A$8:$A$73,0)),"")</f>
        <v/>
      </c>
      <c r="AF48" s="174">
        <f>IFERROR(INDEX(FEV!$BH$8:$BH$73,MATCH($A48,FEV!$A$8:$A$73,0)),"")</f>
        <v/>
      </c>
      <c r="AG48" s="174">
        <f>IFERROR(INDEX(MAR!$BH$8:$BH$73,MATCH($A48,MAR!$A$8:$A$73,0)),"")</f>
        <v/>
      </c>
      <c r="AH48" s="174">
        <f>IFERROR(INDEX(ABR!$BH$8:$BH$73,MATCH($A48,ABR!$A$8:$A$73,0)),"")</f>
        <v/>
      </c>
      <c r="AI48" s="174">
        <f>IFERROR(INDEX(MAI!$BH$8:$BH$73,MATCH($A48,MAI!$A$8:$A$73,0)),"")</f>
        <v/>
      </c>
      <c r="AJ48" s="174">
        <f>IFERROR(INDEX(JUN!$BH$8:$BH$73,MATCH($A48,JUN!$A$8:$A$73,0)),"")</f>
        <v/>
      </c>
      <c r="AK48" s="174">
        <f>IFERROR(INDEX(JUL!$BH$8:$BH$73,MATCH($A48,JUL!$A$8:$A$73,0)),"")</f>
        <v/>
      </c>
      <c r="AL48" s="174">
        <f>IFERROR(INDEX(AGO!$BH$8:$BH$73,MATCH($A48,AGO!$A$8:$A$73,0)),"")</f>
        <v/>
      </c>
      <c r="AM48" s="174">
        <f>IFERROR(INDEX(SET!$BH$8:$BH$73,MATCH($A48,SET!$A$8:$A$73,0)),"")</f>
        <v/>
      </c>
      <c r="AN48" s="174">
        <f>IFERROR(INDEX(OUT!$BH$8:$BH$73,MATCH($A48,OUT!$A$8:$A$73,0)),"")</f>
        <v/>
      </c>
      <c r="AO48" s="174">
        <f>IFERROR(INDEX(NOV!$BH$8:$BH$73,MATCH($A48,NOV!$A$8:$A$73,0)),"")</f>
        <v/>
      </c>
      <c r="AP48" s="174">
        <f>IFERROR(INDEX(DEZ!$BH$8:$BH$73,MATCH($A48,DEZ!$A$8:$A$73,0)),"")</f>
        <v/>
      </c>
      <c r="AQ48" s="175">
        <f>SUM(AE48:AP48)</f>
        <v/>
      </c>
      <c r="AR48" s="39" t="n"/>
      <c r="AS48" s="174">
        <f>IFERROR(INDEX(JAN!$BI$8:$BI$73,MATCH($A48,JAN!$A$8:$A$73,0)),"")</f>
        <v/>
      </c>
      <c r="AT48" s="174">
        <f>IFERROR(INDEX(FEV!$BI$8:$BI$73,MATCH($A48,FEV!$A$8:$A$73,0)),"")</f>
        <v/>
      </c>
      <c r="AU48" s="174">
        <f>IFERROR(INDEX(MAR!$BI$8:$BI$73,MATCH($A48,MAR!$A$8:$A$73,0)),"")</f>
        <v/>
      </c>
      <c r="AV48" s="174">
        <f>IFERROR(INDEX(ABR!$BI$8:$BI$73,MATCH($A48,ABR!$A$8:$A$73,0)),"")</f>
        <v/>
      </c>
      <c r="AW48" s="174">
        <f>IFERROR(INDEX(MAI!$BI$8:$BI$73,MATCH($A48,MAI!$A$8:$A$73,0)),"")</f>
        <v/>
      </c>
      <c r="AX48" s="174">
        <f>IFERROR(INDEX(JUN!$BI$8:$BI$73,MATCH($A48,JUN!$A$8:$A$73,0)),"")</f>
        <v/>
      </c>
      <c r="AY48" s="174">
        <f>IFERROR(INDEX(JUL!$BI$8:$BI$73,MATCH($A48,JUL!$A$8:$A$73,0)),"")</f>
        <v/>
      </c>
      <c r="AZ48" s="174">
        <f>IFERROR(INDEX(AGO!$BI$8:$BI$73,MATCH($A48,AGO!$A$8:$A$73,0)),"")</f>
        <v/>
      </c>
      <c r="BA48" s="174">
        <f>IFERROR(INDEX(SET!$BI$8:$BI$73,MATCH($A48,SET!$A$8:$A$73,0)),"")</f>
        <v/>
      </c>
      <c r="BB48" s="174">
        <f>IFERROR(INDEX(OUT!$BI$8:$BI$73,MATCH($A48,OUT!$A$8:$A$73,0)),"")</f>
        <v/>
      </c>
      <c r="BC48" s="174">
        <f>IFERROR(INDEX(NOV!$BI$8:$BI$73,MATCH($A48,NOV!$A$8:$A$73,0)),"")</f>
        <v/>
      </c>
      <c r="BD48" s="174">
        <f>IFERROR(INDEX(DEZ!$BI$8:$BI$73,MATCH($A48,DEZ!$A$8:$A$73,0)),"")</f>
        <v/>
      </c>
      <c r="BE48" s="175">
        <f>SUM(AS48:BD48)</f>
        <v/>
      </c>
      <c r="BF48" s="39" t="n"/>
      <c r="BG48" s="107" t="n">
        <v>1</v>
      </c>
      <c r="BH48" s="133">
        <f>SUM(AE48:AP48)</f>
        <v/>
      </c>
      <c r="BI48" s="176">
        <f>IF(BG48="","",IF(BG48=BH48,"","⚠"))</f>
        <v/>
      </c>
      <c r="BJ48" s="39" t="n"/>
      <c r="BK48" s="39" t="n"/>
    </row>
    <row r="49">
      <c r="A49" s="89" t="inlineStr">
        <is>
          <t>Iggor</t>
        </is>
      </c>
      <c r="B49" s="173">
        <f>CADASTRO!$C45</f>
        <v/>
      </c>
      <c r="C49" s="174">
        <f>IFERROR(INDEX(JAN!$BK$8:$BK$73,MATCH($A49,JAN!$A$8:$A$73,0)),"")</f>
        <v/>
      </c>
      <c r="D49" s="174">
        <f>IFERROR(INDEX(FEV!$BK$8:$BK$73,MATCH($A49,FEV!$A$8:$A$73,0)),"")</f>
        <v/>
      </c>
      <c r="E49" s="174">
        <f>IFERROR(INDEX(MAR!$BK$8:$BK$73,MATCH($A49,MAR!$A$8:$A$73,0)),"")</f>
        <v/>
      </c>
      <c r="F49" s="174">
        <f>IFERROR(INDEX(ABR!$BK$8:$BK$73,MATCH($A49,ABR!$A$8:$A$73,0)),"")</f>
        <v/>
      </c>
      <c r="G49" s="174">
        <f>IFERROR(INDEX(MAI!$BK$8:$BK$73,MATCH($A49,MAI!$A$8:$A$73,0)),"")</f>
        <v/>
      </c>
      <c r="H49" s="174">
        <f>IFERROR(INDEX(JUN!$BK$8:$BK$73,MATCH($A49,JUN!$A$8:$A$73,0)),"")</f>
        <v/>
      </c>
      <c r="I49" s="174">
        <f>IFERROR(INDEX(JUL!$BK$8:$BK$73,MATCH($A49,JUL!$A$8:$A$73,0)),"")</f>
        <v/>
      </c>
      <c r="J49" s="174">
        <f>IFERROR(INDEX(AGO!$BK$8:$BK$73,MATCH($A49,AGO!$A$8:$A$73,0)),"")</f>
        <v/>
      </c>
      <c r="K49" s="174">
        <f>IFERROR(INDEX(SET!$BK$8:$BK$73,MATCH($A49,SET!$A$8:$A$73,0)),"")</f>
        <v/>
      </c>
      <c r="L49" s="174">
        <f>IFERROR(INDEX(OUT!$BK$8:$BK$73,MATCH($A49,OUT!$A$8:$A$73,0)),"")</f>
        <v/>
      </c>
      <c r="M49" s="174">
        <f>IFERROR(INDEX(NOV!$BK$8:$BK$73,MATCH($A49,NOV!$A$8:$A$73,0)),"")</f>
        <v/>
      </c>
      <c r="N49" s="174">
        <f>IFERROR(INDEX(DEZ!$BK$8:$BK$73,MATCH($A49,DEZ!$A$8:$A$73,0)),"")</f>
        <v/>
      </c>
      <c r="O49" s="175">
        <f>SUM(C49:N49)</f>
        <v/>
      </c>
      <c r="P49" s="39" t="n"/>
      <c r="Q49" s="174">
        <f>IFERROR(INDEX(JAN!$BG$8:$BG$73,MATCH($A49,JAN!$A$8:$A$73,0)),"")</f>
        <v/>
      </c>
      <c r="R49" s="174">
        <f>IFERROR(INDEX(FEV!$BG$8:$BG$73,MATCH($A49,FEV!$A$8:$A$73,0)),"")</f>
        <v/>
      </c>
      <c r="S49" s="174">
        <f>IFERROR(INDEX(MAR!$BG$8:$BG$73,MATCH($A49,MAR!$A$8:$A$73,0)),"")</f>
        <v/>
      </c>
      <c r="T49" s="174">
        <f>IFERROR(INDEX(ABR!$BG$8:$BG$73,MATCH($A49,ABR!$A$8:$A$73,0)),"")</f>
        <v/>
      </c>
      <c r="U49" s="174">
        <f>IFERROR(INDEX(MAI!$BG$8:$BG$73,MATCH($A49,MAI!$A$8:$A$73,0)),"")</f>
        <v/>
      </c>
      <c r="V49" s="174">
        <f>IFERROR(INDEX(JUN!$BG$8:$BG$73,MATCH($A49,JUN!$A$8:$A$73,0)),"")</f>
        <v/>
      </c>
      <c r="W49" s="174">
        <f>IFERROR(INDEX(JUL!$BG$8:$BG$73,MATCH($A49,JUL!$A$8:$A$73,0)),"")</f>
        <v/>
      </c>
      <c r="X49" s="174">
        <f>IFERROR(INDEX(AGO!$BG$8:$BG$73,MATCH($A49,AGO!$A$8:$A$73,0)),"")</f>
        <v/>
      </c>
      <c r="Y49" s="174">
        <f>IFERROR(INDEX(SET!$BG$8:$BG$73,MATCH($A49,SET!$A$8:$A$73,0)),"")</f>
        <v/>
      </c>
      <c r="Z49" s="174">
        <f>IFERROR(INDEX(OUT!$BG$8:$BG$73,MATCH($A49,OUT!$A$8:$A$73,0)),"")</f>
        <v/>
      </c>
      <c r="AA49" s="174">
        <f>IFERROR(INDEX(NOV!$BG$8:$BG$73,MATCH($A49,NOV!$A$8:$A$73,0)),"")</f>
        <v/>
      </c>
      <c r="AB49" s="174">
        <f>IFERROR(INDEX(DEZ!$BG$8:$BG$73,MATCH($A49,DEZ!$A$8:$A$73,0)),"")</f>
        <v/>
      </c>
      <c r="AC49" s="175">
        <f>SUM(Q49:AB49)</f>
        <v/>
      </c>
      <c r="AD49" s="39" t="n"/>
      <c r="AE49" s="174">
        <f>IFERROR(INDEX(JAN!$BH$8:$BH$73,MATCH($A49,JAN!$A$8:$A$73,0)),"")</f>
        <v/>
      </c>
      <c r="AF49" s="174">
        <f>IFERROR(INDEX(FEV!$BH$8:$BH$73,MATCH($A49,FEV!$A$8:$A$73,0)),"")</f>
        <v/>
      </c>
      <c r="AG49" s="174">
        <f>IFERROR(INDEX(MAR!$BH$8:$BH$73,MATCH($A49,MAR!$A$8:$A$73,0)),"")</f>
        <v/>
      </c>
      <c r="AH49" s="174">
        <f>IFERROR(INDEX(ABR!$BH$8:$BH$73,MATCH($A49,ABR!$A$8:$A$73,0)),"")</f>
        <v/>
      </c>
      <c r="AI49" s="174">
        <f>IFERROR(INDEX(MAI!$BH$8:$BH$73,MATCH($A49,MAI!$A$8:$A$73,0)),"")</f>
        <v/>
      </c>
      <c r="AJ49" s="174">
        <f>IFERROR(INDEX(JUN!$BH$8:$BH$73,MATCH($A49,JUN!$A$8:$A$73,0)),"")</f>
        <v/>
      </c>
      <c r="AK49" s="174">
        <f>IFERROR(INDEX(JUL!$BH$8:$BH$73,MATCH($A49,JUL!$A$8:$A$73,0)),"")</f>
        <v/>
      </c>
      <c r="AL49" s="174">
        <f>IFERROR(INDEX(AGO!$BH$8:$BH$73,MATCH($A49,AGO!$A$8:$A$73,0)),"")</f>
        <v/>
      </c>
      <c r="AM49" s="174">
        <f>IFERROR(INDEX(SET!$BH$8:$BH$73,MATCH($A49,SET!$A$8:$A$73,0)),"")</f>
        <v/>
      </c>
      <c r="AN49" s="174">
        <f>IFERROR(INDEX(OUT!$BH$8:$BH$73,MATCH($A49,OUT!$A$8:$A$73,0)),"")</f>
        <v/>
      </c>
      <c r="AO49" s="174">
        <f>IFERROR(INDEX(NOV!$BH$8:$BH$73,MATCH($A49,NOV!$A$8:$A$73,0)),"")</f>
        <v/>
      </c>
      <c r="AP49" s="174">
        <f>IFERROR(INDEX(DEZ!$BH$8:$BH$73,MATCH($A49,DEZ!$A$8:$A$73,0)),"")</f>
        <v/>
      </c>
      <c r="AQ49" s="175">
        <f>SUM(AE49:AP49)</f>
        <v/>
      </c>
      <c r="AR49" s="39" t="n"/>
      <c r="AS49" s="174">
        <f>IFERROR(INDEX(JAN!$BI$8:$BI$73,MATCH($A49,JAN!$A$8:$A$73,0)),"")</f>
        <v/>
      </c>
      <c r="AT49" s="174">
        <f>IFERROR(INDEX(FEV!$BI$8:$BI$73,MATCH($A49,FEV!$A$8:$A$73,0)),"")</f>
        <v/>
      </c>
      <c r="AU49" s="174">
        <f>IFERROR(INDEX(MAR!$BI$8:$BI$73,MATCH($A49,MAR!$A$8:$A$73,0)),"")</f>
        <v/>
      </c>
      <c r="AV49" s="174">
        <f>IFERROR(INDEX(ABR!$BI$8:$BI$73,MATCH($A49,ABR!$A$8:$A$73,0)),"")</f>
        <v/>
      </c>
      <c r="AW49" s="174">
        <f>IFERROR(INDEX(MAI!$BI$8:$BI$73,MATCH($A49,MAI!$A$8:$A$73,0)),"")</f>
        <v/>
      </c>
      <c r="AX49" s="174">
        <f>IFERROR(INDEX(JUN!$BI$8:$BI$73,MATCH($A49,JUN!$A$8:$A$73,0)),"")</f>
        <v/>
      </c>
      <c r="AY49" s="174">
        <f>IFERROR(INDEX(JUL!$BI$8:$BI$73,MATCH($A49,JUL!$A$8:$A$73,0)),"")</f>
        <v/>
      </c>
      <c r="AZ49" s="174">
        <f>IFERROR(INDEX(AGO!$BI$8:$BI$73,MATCH($A49,AGO!$A$8:$A$73,0)),"")</f>
        <v/>
      </c>
      <c r="BA49" s="174">
        <f>IFERROR(INDEX(SET!$BI$8:$BI$73,MATCH($A49,SET!$A$8:$A$73,0)),"")</f>
        <v/>
      </c>
      <c r="BB49" s="174">
        <f>IFERROR(INDEX(OUT!$BI$8:$BI$73,MATCH($A49,OUT!$A$8:$A$73,0)),"")</f>
        <v/>
      </c>
      <c r="BC49" s="174">
        <f>IFERROR(INDEX(NOV!$BI$8:$BI$73,MATCH($A49,NOV!$A$8:$A$73,0)),"")</f>
        <v/>
      </c>
      <c r="BD49" s="174">
        <f>IFERROR(INDEX(DEZ!$BI$8:$BI$73,MATCH($A49,DEZ!$A$8:$A$73,0)),"")</f>
        <v/>
      </c>
      <c r="BE49" s="175">
        <f>SUM(AS49:BD49)</f>
        <v/>
      </c>
      <c r="BF49" s="39" t="n"/>
      <c r="BG49" s="107" t="n">
        <v>7</v>
      </c>
      <c r="BH49" s="133">
        <f>SUM(AE49:AP49)</f>
        <v/>
      </c>
      <c r="BI49" s="176">
        <f>IF(BG49="","",IF(BG49=BH49,"","⚠"))</f>
        <v/>
      </c>
      <c r="BJ49" s="39" t="n"/>
      <c r="BK49" s="39" t="n"/>
    </row>
    <row r="50">
      <c r="A50" s="89" t="inlineStr">
        <is>
          <t>IsaRibeiro</t>
        </is>
      </c>
      <c r="B50" s="173">
        <f>CADASTRO!$C46</f>
        <v/>
      </c>
      <c r="C50" s="174">
        <f>IFERROR(INDEX(JAN!$BK$8:$BK$73,MATCH($A50,JAN!$A$8:$A$73,0)),"")</f>
        <v/>
      </c>
      <c r="D50" s="174">
        <f>IFERROR(INDEX(FEV!$BK$8:$BK$73,MATCH($A50,FEV!$A$8:$A$73,0)),"")</f>
        <v/>
      </c>
      <c r="E50" s="174">
        <f>IFERROR(INDEX(MAR!$BK$8:$BK$73,MATCH($A50,MAR!$A$8:$A$73,0)),"")</f>
        <v/>
      </c>
      <c r="F50" s="174">
        <f>IFERROR(INDEX(ABR!$BK$8:$BK$73,MATCH($A50,ABR!$A$8:$A$73,0)),"")</f>
        <v/>
      </c>
      <c r="G50" s="174">
        <f>IFERROR(INDEX(MAI!$BK$8:$BK$73,MATCH($A50,MAI!$A$8:$A$73,0)),"")</f>
        <v/>
      </c>
      <c r="H50" s="174">
        <f>IFERROR(INDEX(JUN!$BK$8:$BK$73,MATCH($A50,JUN!$A$8:$A$73,0)),"")</f>
        <v/>
      </c>
      <c r="I50" s="174">
        <f>IFERROR(INDEX(JUL!$BK$8:$BK$73,MATCH($A50,JUL!$A$8:$A$73,0)),"")</f>
        <v/>
      </c>
      <c r="J50" s="174">
        <f>IFERROR(INDEX(AGO!$BK$8:$BK$73,MATCH($A50,AGO!$A$8:$A$73,0)),"")</f>
        <v/>
      </c>
      <c r="K50" s="174">
        <f>IFERROR(INDEX(SET!$BK$8:$BK$73,MATCH($A50,SET!$A$8:$A$73,0)),"")</f>
        <v/>
      </c>
      <c r="L50" s="174">
        <f>IFERROR(INDEX(OUT!$BK$8:$BK$73,MATCH($A50,OUT!$A$8:$A$73,0)),"")</f>
        <v/>
      </c>
      <c r="M50" s="174">
        <f>IFERROR(INDEX(NOV!$BK$8:$BK$73,MATCH($A50,NOV!$A$8:$A$73,0)),"")</f>
        <v/>
      </c>
      <c r="N50" s="174">
        <f>IFERROR(INDEX(DEZ!$BK$8:$BK$73,MATCH($A50,DEZ!$A$8:$A$73,0)),"")</f>
        <v/>
      </c>
      <c r="O50" s="175">
        <f>SUM(C50:N50)</f>
        <v/>
      </c>
      <c r="P50" s="39" t="n"/>
      <c r="Q50" s="174">
        <f>IFERROR(INDEX(JAN!$BG$8:$BG$73,MATCH($A50,JAN!$A$8:$A$73,0)),"")</f>
        <v/>
      </c>
      <c r="R50" s="174">
        <f>IFERROR(INDEX(FEV!$BG$8:$BG$73,MATCH($A50,FEV!$A$8:$A$73,0)),"")</f>
        <v/>
      </c>
      <c r="S50" s="174">
        <f>IFERROR(INDEX(MAR!$BG$8:$BG$73,MATCH($A50,MAR!$A$8:$A$73,0)),"")</f>
        <v/>
      </c>
      <c r="T50" s="174">
        <f>IFERROR(INDEX(ABR!$BG$8:$BG$73,MATCH($A50,ABR!$A$8:$A$73,0)),"")</f>
        <v/>
      </c>
      <c r="U50" s="174">
        <f>IFERROR(INDEX(MAI!$BG$8:$BG$73,MATCH($A50,MAI!$A$8:$A$73,0)),"")</f>
        <v/>
      </c>
      <c r="V50" s="174">
        <f>IFERROR(INDEX(JUN!$BG$8:$BG$73,MATCH($A50,JUN!$A$8:$A$73,0)),"")</f>
        <v/>
      </c>
      <c r="W50" s="174">
        <f>IFERROR(INDEX(JUL!$BG$8:$BG$73,MATCH($A50,JUL!$A$8:$A$73,0)),"")</f>
        <v/>
      </c>
      <c r="X50" s="174">
        <f>IFERROR(INDEX(AGO!$BG$8:$BG$73,MATCH($A50,AGO!$A$8:$A$73,0)),"")</f>
        <v/>
      </c>
      <c r="Y50" s="174">
        <f>IFERROR(INDEX(SET!$BG$8:$BG$73,MATCH($A50,SET!$A$8:$A$73,0)),"")</f>
        <v/>
      </c>
      <c r="Z50" s="174">
        <f>IFERROR(INDEX(OUT!$BG$8:$BG$73,MATCH($A50,OUT!$A$8:$A$73,0)),"")</f>
        <v/>
      </c>
      <c r="AA50" s="174">
        <f>IFERROR(INDEX(NOV!$BG$8:$BG$73,MATCH($A50,NOV!$A$8:$A$73,0)),"")</f>
        <v/>
      </c>
      <c r="AB50" s="174">
        <f>IFERROR(INDEX(DEZ!$BG$8:$BG$73,MATCH($A50,DEZ!$A$8:$A$73,0)),"")</f>
        <v/>
      </c>
      <c r="AC50" s="175">
        <f>SUM(Q50:AB50)</f>
        <v/>
      </c>
      <c r="AD50" s="39" t="n"/>
      <c r="AE50" s="174">
        <f>IFERROR(INDEX(JAN!$BH$8:$BH$73,MATCH($A50,JAN!$A$8:$A$73,0)),"")</f>
        <v/>
      </c>
      <c r="AF50" s="174">
        <f>IFERROR(INDEX(FEV!$BH$8:$BH$73,MATCH($A50,FEV!$A$8:$A$73,0)),"")</f>
        <v/>
      </c>
      <c r="AG50" s="174">
        <f>IFERROR(INDEX(MAR!$BH$8:$BH$73,MATCH($A50,MAR!$A$8:$A$73,0)),"")</f>
        <v/>
      </c>
      <c r="AH50" s="174">
        <f>IFERROR(INDEX(ABR!$BH$8:$BH$73,MATCH($A50,ABR!$A$8:$A$73,0)),"")</f>
        <v/>
      </c>
      <c r="AI50" s="174">
        <f>IFERROR(INDEX(MAI!$BH$8:$BH$73,MATCH($A50,MAI!$A$8:$A$73,0)),"")</f>
        <v/>
      </c>
      <c r="AJ50" s="174">
        <f>IFERROR(INDEX(JUN!$BH$8:$BH$73,MATCH($A50,JUN!$A$8:$A$73,0)),"")</f>
        <v/>
      </c>
      <c r="AK50" s="174">
        <f>IFERROR(INDEX(JUL!$BH$8:$BH$73,MATCH($A50,JUL!$A$8:$A$73,0)),"")</f>
        <v/>
      </c>
      <c r="AL50" s="174">
        <f>IFERROR(INDEX(AGO!$BH$8:$BH$73,MATCH($A50,AGO!$A$8:$A$73,0)),"")</f>
        <v/>
      </c>
      <c r="AM50" s="174">
        <f>IFERROR(INDEX(SET!$BH$8:$BH$73,MATCH($A50,SET!$A$8:$A$73,0)),"")</f>
        <v/>
      </c>
      <c r="AN50" s="174">
        <f>IFERROR(INDEX(OUT!$BH$8:$BH$73,MATCH($A50,OUT!$A$8:$A$73,0)),"")</f>
        <v/>
      </c>
      <c r="AO50" s="174">
        <f>IFERROR(INDEX(NOV!$BH$8:$BH$73,MATCH($A50,NOV!$A$8:$A$73,0)),"")</f>
        <v/>
      </c>
      <c r="AP50" s="174">
        <f>IFERROR(INDEX(DEZ!$BH$8:$BH$73,MATCH($A50,DEZ!$A$8:$A$73,0)),"")</f>
        <v/>
      </c>
      <c r="AQ50" s="175">
        <f>SUM(AE50:AP50)</f>
        <v/>
      </c>
      <c r="AR50" s="39" t="n"/>
      <c r="AS50" s="174">
        <f>IFERROR(INDEX(JAN!$BI$8:$BI$73,MATCH($A50,JAN!$A$8:$A$73,0)),"")</f>
        <v/>
      </c>
      <c r="AT50" s="174">
        <f>IFERROR(INDEX(FEV!$BI$8:$BI$73,MATCH($A50,FEV!$A$8:$A$73,0)),"")</f>
        <v/>
      </c>
      <c r="AU50" s="174">
        <f>IFERROR(INDEX(MAR!$BI$8:$BI$73,MATCH($A50,MAR!$A$8:$A$73,0)),"")</f>
        <v/>
      </c>
      <c r="AV50" s="174">
        <f>IFERROR(INDEX(ABR!$BI$8:$BI$73,MATCH($A50,ABR!$A$8:$A$73,0)),"")</f>
        <v/>
      </c>
      <c r="AW50" s="174">
        <f>IFERROR(INDEX(MAI!$BI$8:$BI$73,MATCH($A50,MAI!$A$8:$A$73,0)),"")</f>
        <v/>
      </c>
      <c r="AX50" s="174">
        <f>IFERROR(INDEX(JUN!$BI$8:$BI$73,MATCH($A50,JUN!$A$8:$A$73,0)),"")</f>
        <v/>
      </c>
      <c r="AY50" s="174">
        <f>IFERROR(INDEX(JUL!$BI$8:$BI$73,MATCH($A50,JUL!$A$8:$A$73,0)),"")</f>
        <v/>
      </c>
      <c r="AZ50" s="174">
        <f>IFERROR(INDEX(AGO!$BI$8:$BI$73,MATCH($A50,AGO!$A$8:$A$73,0)),"")</f>
        <v/>
      </c>
      <c r="BA50" s="174">
        <f>IFERROR(INDEX(SET!$BI$8:$BI$73,MATCH($A50,SET!$A$8:$A$73,0)),"")</f>
        <v/>
      </c>
      <c r="BB50" s="174">
        <f>IFERROR(INDEX(OUT!$BI$8:$BI$73,MATCH($A50,OUT!$A$8:$A$73,0)),"")</f>
        <v/>
      </c>
      <c r="BC50" s="174">
        <f>IFERROR(INDEX(NOV!$BI$8:$BI$73,MATCH($A50,NOV!$A$8:$A$73,0)),"")</f>
        <v/>
      </c>
      <c r="BD50" s="174">
        <f>IFERROR(INDEX(DEZ!$BI$8:$BI$73,MATCH($A50,DEZ!$A$8:$A$73,0)),"")</f>
        <v/>
      </c>
      <c r="BE50" s="175">
        <f>SUM(AS50:BD50)</f>
        <v/>
      </c>
      <c r="BF50" s="39" t="n"/>
      <c r="BG50" s="107" t="n">
        <v>7</v>
      </c>
      <c r="BH50" s="133">
        <f>SUM(AE50:AP50)</f>
        <v/>
      </c>
      <c r="BI50" s="176">
        <f>IF(BG50="","",IF(BG50=BH50,"","⚠"))</f>
        <v/>
      </c>
      <c r="BJ50" s="39" t="n"/>
      <c r="BK50" s="39" t="n"/>
    </row>
    <row r="51">
      <c r="A51" s="89" t="inlineStr">
        <is>
          <t>Jaqueline</t>
        </is>
      </c>
      <c r="B51" s="173">
        <f>CADASTRO!$C47</f>
        <v/>
      </c>
      <c r="C51" s="174">
        <f>IFERROR(INDEX(JAN!$BK$8:$BK$73,MATCH($A51,JAN!$A$8:$A$73,0)),"")</f>
        <v/>
      </c>
      <c r="D51" s="174">
        <f>IFERROR(INDEX(FEV!$BK$8:$BK$73,MATCH($A51,FEV!$A$8:$A$73,0)),"")</f>
        <v/>
      </c>
      <c r="E51" s="174">
        <f>IFERROR(INDEX(MAR!$BK$8:$BK$73,MATCH($A51,MAR!$A$8:$A$73,0)),"")</f>
        <v/>
      </c>
      <c r="F51" s="174">
        <f>IFERROR(INDEX(ABR!$BK$8:$BK$73,MATCH($A51,ABR!$A$8:$A$73,0)),"")</f>
        <v/>
      </c>
      <c r="G51" s="174">
        <f>IFERROR(INDEX(MAI!$BK$8:$BK$73,MATCH($A51,MAI!$A$8:$A$73,0)),"")</f>
        <v/>
      </c>
      <c r="H51" s="174">
        <f>IFERROR(INDEX(JUN!$BK$8:$BK$73,MATCH($A51,JUN!$A$8:$A$73,0)),"")</f>
        <v/>
      </c>
      <c r="I51" s="174">
        <f>IFERROR(INDEX(JUL!$BK$8:$BK$73,MATCH($A51,JUL!$A$8:$A$73,0)),"")</f>
        <v/>
      </c>
      <c r="J51" s="174">
        <f>IFERROR(INDEX(AGO!$BK$8:$BK$73,MATCH($A51,AGO!$A$8:$A$73,0)),"")</f>
        <v/>
      </c>
      <c r="K51" s="174">
        <f>IFERROR(INDEX(SET!$BK$8:$BK$73,MATCH($A51,SET!$A$8:$A$73,0)),"")</f>
        <v/>
      </c>
      <c r="L51" s="174">
        <f>IFERROR(INDEX(OUT!$BK$8:$BK$73,MATCH($A51,OUT!$A$8:$A$73,0)),"")</f>
        <v/>
      </c>
      <c r="M51" s="174">
        <f>IFERROR(INDEX(NOV!$BK$8:$BK$73,MATCH($A51,NOV!$A$8:$A$73,0)),"")</f>
        <v/>
      </c>
      <c r="N51" s="174">
        <f>IFERROR(INDEX(DEZ!$BK$8:$BK$73,MATCH($A51,DEZ!$A$8:$A$73,0)),"")</f>
        <v/>
      </c>
      <c r="O51" s="175">
        <f>SUM(C51:N51)</f>
        <v/>
      </c>
      <c r="P51" s="39" t="n"/>
      <c r="Q51" s="174">
        <f>IFERROR(INDEX(JAN!$BG$8:$BG$73,MATCH($A51,JAN!$A$8:$A$73,0)),"")</f>
        <v/>
      </c>
      <c r="R51" s="174">
        <f>IFERROR(INDEX(FEV!$BG$8:$BG$73,MATCH($A51,FEV!$A$8:$A$73,0)),"")</f>
        <v/>
      </c>
      <c r="S51" s="174">
        <f>IFERROR(INDEX(MAR!$BG$8:$BG$73,MATCH($A51,MAR!$A$8:$A$73,0)),"")</f>
        <v/>
      </c>
      <c r="T51" s="174">
        <f>IFERROR(INDEX(ABR!$BG$8:$BG$73,MATCH($A51,ABR!$A$8:$A$73,0)),"")</f>
        <v/>
      </c>
      <c r="U51" s="174">
        <f>IFERROR(INDEX(MAI!$BG$8:$BG$73,MATCH($A51,MAI!$A$8:$A$73,0)),"")</f>
        <v/>
      </c>
      <c r="V51" s="174">
        <f>IFERROR(INDEX(JUN!$BG$8:$BG$73,MATCH($A51,JUN!$A$8:$A$73,0)),"")</f>
        <v/>
      </c>
      <c r="W51" s="174">
        <f>IFERROR(INDEX(JUL!$BG$8:$BG$73,MATCH($A51,JUL!$A$8:$A$73,0)),"")</f>
        <v/>
      </c>
      <c r="X51" s="174">
        <f>IFERROR(INDEX(AGO!$BG$8:$BG$73,MATCH($A51,AGO!$A$8:$A$73,0)),"")</f>
        <v/>
      </c>
      <c r="Y51" s="174">
        <f>IFERROR(INDEX(SET!$BG$8:$BG$73,MATCH($A51,SET!$A$8:$A$73,0)),"")</f>
        <v/>
      </c>
      <c r="Z51" s="174">
        <f>IFERROR(INDEX(OUT!$BG$8:$BG$73,MATCH($A51,OUT!$A$8:$A$73,0)),"")</f>
        <v/>
      </c>
      <c r="AA51" s="174">
        <f>IFERROR(INDEX(NOV!$BG$8:$BG$73,MATCH($A51,NOV!$A$8:$A$73,0)),"")</f>
        <v/>
      </c>
      <c r="AB51" s="174">
        <f>IFERROR(INDEX(DEZ!$BG$8:$BG$73,MATCH($A51,DEZ!$A$8:$A$73,0)),"")</f>
        <v/>
      </c>
      <c r="AC51" s="175">
        <f>SUM(Q51:AB51)</f>
        <v/>
      </c>
      <c r="AD51" s="39" t="n"/>
      <c r="AE51" s="174">
        <f>IFERROR(INDEX(JAN!$BH$8:$BH$73,MATCH($A51,JAN!$A$8:$A$73,0)),"")</f>
        <v/>
      </c>
      <c r="AF51" s="174">
        <f>IFERROR(INDEX(FEV!$BH$8:$BH$73,MATCH($A51,FEV!$A$8:$A$73,0)),"")</f>
        <v/>
      </c>
      <c r="AG51" s="174">
        <f>IFERROR(INDEX(MAR!$BH$8:$BH$73,MATCH($A51,MAR!$A$8:$A$73,0)),"")</f>
        <v/>
      </c>
      <c r="AH51" s="174">
        <f>IFERROR(INDEX(ABR!$BH$8:$BH$73,MATCH($A51,ABR!$A$8:$A$73,0)),"")</f>
        <v/>
      </c>
      <c r="AI51" s="174">
        <f>IFERROR(INDEX(MAI!$BH$8:$BH$73,MATCH($A51,MAI!$A$8:$A$73,0)),"")</f>
        <v/>
      </c>
      <c r="AJ51" s="174">
        <f>IFERROR(INDEX(JUN!$BH$8:$BH$73,MATCH($A51,JUN!$A$8:$A$73,0)),"")</f>
        <v/>
      </c>
      <c r="AK51" s="174">
        <f>IFERROR(INDEX(JUL!$BH$8:$BH$73,MATCH($A51,JUL!$A$8:$A$73,0)),"")</f>
        <v/>
      </c>
      <c r="AL51" s="174">
        <f>IFERROR(INDEX(AGO!$BH$8:$BH$73,MATCH($A51,AGO!$A$8:$A$73,0)),"")</f>
        <v/>
      </c>
      <c r="AM51" s="174">
        <f>IFERROR(INDEX(SET!$BH$8:$BH$73,MATCH($A51,SET!$A$8:$A$73,0)),"")</f>
        <v/>
      </c>
      <c r="AN51" s="174">
        <f>IFERROR(INDEX(OUT!$BH$8:$BH$73,MATCH($A51,OUT!$A$8:$A$73,0)),"")</f>
        <v/>
      </c>
      <c r="AO51" s="174">
        <f>IFERROR(INDEX(NOV!$BH$8:$BH$73,MATCH($A51,NOV!$A$8:$A$73,0)),"")</f>
        <v/>
      </c>
      <c r="AP51" s="174">
        <f>IFERROR(INDEX(DEZ!$BH$8:$BH$73,MATCH($A51,DEZ!$A$8:$A$73,0)),"")</f>
        <v/>
      </c>
      <c r="AQ51" s="175">
        <f>SUM(AE51:AP51)</f>
        <v/>
      </c>
      <c r="AR51" s="39" t="n"/>
      <c r="AS51" s="174">
        <f>IFERROR(INDEX(JAN!$BI$8:$BI$73,MATCH($A51,JAN!$A$8:$A$73,0)),"")</f>
        <v/>
      </c>
      <c r="AT51" s="174">
        <f>IFERROR(INDEX(FEV!$BI$8:$BI$73,MATCH($A51,FEV!$A$8:$A$73,0)),"")</f>
        <v/>
      </c>
      <c r="AU51" s="174">
        <f>IFERROR(INDEX(MAR!$BI$8:$BI$73,MATCH($A51,MAR!$A$8:$A$73,0)),"")</f>
        <v/>
      </c>
      <c r="AV51" s="174">
        <f>IFERROR(INDEX(ABR!$BI$8:$BI$73,MATCH($A51,ABR!$A$8:$A$73,0)),"")</f>
        <v/>
      </c>
      <c r="AW51" s="174">
        <f>IFERROR(INDEX(MAI!$BI$8:$BI$73,MATCH($A51,MAI!$A$8:$A$73,0)),"")</f>
        <v/>
      </c>
      <c r="AX51" s="174">
        <f>IFERROR(INDEX(JUN!$BI$8:$BI$73,MATCH($A51,JUN!$A$8:$A$73,0)),"")</f>
        <v/>
      </c>
      <c r="AY51" s="174">
        <f>IFERROR(INDEX(JUL!$BI$8:$BI$73,MATCH($A51,JUL!$A$8:$A$73,0)),"")</f>
        <v/>
      </c>
      <c r="AZ51" s="174">
        <f>IFERROR(INDEX(AGO!$BI$8:$BI$73,MATCH($A51,AGO!$A$8:$A$73,0)),"")</f>
        <v/>
      </c>
      <c r="BA51" s="174">
        <f>IFERROR(INDEX(SET!$BI$8:$BI$73,MATCH($A51,SET!$A$8:$A$73,0)),"")</f>
        <v/>
      </c>
      <c r="BB51" s="174">
        <f>IFERROR(INDEX(OUT!$BI$8:$BI$73,MATCH($A51,OUT!$A$8:$A$73,0)),"")</f>
        <v/>
      </c>
      <c r="BC51" s="174">
        <f>IFERROR(INDEX(NOV!$BI$8:$BI$73,MATCH($A51,NOV!$A$8:$A$73,0)),"")</f>
        <v/>
      </c>
      <c r="BD51" s="174">
        <f>IFERROR(INDEX(DEZ!$BI$8:$BI$73,MATCH($A51,DEZ!$A$8:$A$73,0)),"")</f>
        <v/>
      </c>
      <c r="BE51" s="175">
        <f>SUM(AS51:BD51)</f>
        <v/>
      </c>
      <c r="BF51" s="39" t="n"/>
      <c r="BG51" s="107" t="n">
        <v>0</v>
      </c>
      <c r="BH51" s="133">
        <f>SUM(AE51:AP51)</f>
        <v/>
      </c>
      <c r="BI51" s="176">
        <f>IF(BG51="","",IF(BG51=BH51,"","⚠"))</f>
        <v/>
      </c>
      <c r="BJ51" s="39" t="n"/>
      <c r="BK51" s="39" t="n"/>
    </row>
    <row r="52">
      <c r="A52" s="89" t="inlineStr">
        <is>
          <t>Joaquim</t>
        </is>
      </c>
      <c r="B52" s="173">
        <f>CADASTRO!$C48</f>
        <v/>
      </c>
      <c r="C52" s="174">
        <f>IFERROR(INDEX(JAN!$BK$8:$BK$73,MATCH($A52,JAN!$A$8:$A$73,0)),"")</f>
        <v/>
      </c>
      <c r="D52" s="174">
        <f>IFERROR(INDEX(FEV!$BK$8:$BK$73,MATCH($A52,FEV!$A$8:$A$73,0)),"")</f>
        <v/>
      </c>
      <c r="E52" s="174">
        <f>IFERROR(INDEX(MAR!$BK$8:$BK$73,MATCH($A52,MAR!$A$8:$A$73,0)),"")</f>
        <v/>
      </c>
      <c r="F52" s="174">
        <f>IFERROR(INDEX(ABR!$BK$8:$BK$73,MATCH($A52,ABR!$A$8:$A$73,0)),"")</f>
        <v/>
      </c>
      <c r="G52" s="174">
        <f>IFERROR(INDEX(MAI!$BK$8:$BK$73,MATCH($A52,MAI!$A$8:$A$73,0)),"")</f>
        <v/>
      </c>
      <c r="H52" s="174">
        <f>IFERROR(INDEX(JUN!$BK$8:$BK$73,MATCH($A52,JUN!$A$8:$A$73,0)),"")</f>
        <v/>
      </c>
      <c r="I52" s="174">
        <f>IFERROR(INDEX(JUL!$BK$8:$BK$73,MATCH($A52,JUL!$A$8:$A$73,0)),"")</f>
        <v/>
      </c>
      <c r="J52" s="174">
        <f>IFERROR(INDEX(AGO!$BK$8:$BK$73,MATCH($A52,AGO!$A$8:$A$73,0)),"")</f>
        <v/>
      </c>
      <c r="K52" s="174">
        <f>IFERROR(INDEX(SET!$BK$8:$BK$73,MATCH($A52,SET!$A$8:$A$73,0)),"")</f>
        <v/>
      </c>
      <c r="L52" s="174">
        <f>IFERROR(INDEX(OUT!$BK$8:$BK$73,MATCH($A52,OUT!$A$8:$A$73,0)),"")</f>
        <v/>
      </c>
      <c r="M52" s="174">
        <f>IFERROR(INDEX(NOV!$BK$8:$BK$73,MATCH($A52,NOV!$A$8:$A$73,0)),"")</f>
        <v/>
      </c>
      <c r="N52" s="174">
        <f>IFERROR(INDEX(DEZ!$BK$8:$BK$73,MATCH($A52,DEZ!$A$8:$A$73,0)),"")</f>
        <v/>
      </c>
      <c r="O52" s="175">
        <f>SUM(C52:N52)</f>
        <v/>
      </c>
      <c r="P52" s="39" t="n"/>
      <c r="Q52" s="174">
        <f>IFERROR(INDEX(JAN!$BG$8:$BG$73,MATCH($A52,JAN!$A$8:$A$73,0)),"")</f>
        <v/>
      </c>
      <c r="R52" s="174">
        <f>IFERROR(INDEX(FEV!$BG$8:$BG$73,MATCH($A52,FEV!$A$8:$A$73,0)),"")</f>
        <v/>
      </c>
      <c r="S52" s="174">
        <f>IFERROR(INDEX(MAR!$BG$8:$BG$73,MATCH($A52,MAR!$A$8:$A$73,0)),"")</f>
        <v/>
      </c>
      <c r="T52" s="174">
        <f>IFERROR(INDEX(ABR!$BG$8:$BG$73,MATCH($A52,ABR!$A$8:$A$73,0)),"")</f>
        <v/>
      </c>
      <c r="U52" s="174">
        <f>IFERROR(INDEX(MAI!$BG$8:$BG$73,MATCH($A52,MAI!$A$8:$A$73,0)),"")</f>
        <v/>
      </c>
      <c r="V52" s="174">
        <f>IFERROR(INDEX(JUN!$BG$8:$BG$73,MATCH($A52,JUN!$A$8:$A$73,0)),"")</f>
        <v/>
      </c>
      <c r="W52" s="174">
        <f>IFERROR(INDEX(JUL!$BG$8:$BG$73,MATCH($A52,JUL!$A$8:$A$73,0)),"")</f>
        <v/>
      </c>
      <c r="X52" s="174">
        <f>IFERROR(INDEX(AGO!$BG$8:$BG$73,MATCH($A52,AGO!$A$8:$A$73,0)),"")</f>
        <v/>
      </c>
      <c r="Y52" s="174">
        <f>IFERROR(INDEX(SET!$BG$8:$BG$73,MATCH($A52,SET!$A$8:$A$73,0)),"")</f>
        <v/>
      </c>
      <c r="Z52" s="174">
        <f>IFERROR(INDEX(OUT!$BG$8:$BG$73,MATCH($A52,OUT!$A$8:$A$73,0)),"")</f>
        <v/>
      </c>
      <c r="AA52" s="174">
        <f>IFERROR(INDEX(NOV!$BG$8:$BG$73,MATCH($A52,NOV!$A$8:$A$73,0)),"")</f>
        <v/>
      </c>
      <c r="AB52" s="174">
        <f>IFERROR(INDEX(DEZ!$BG$8:$BG$73,MATCH($A52,DEZ!$A$8:$A$73,0)),"")</f>
        <v/>
      </c>
      <c r="AC52" s="175">
        <f>SUM(Q52:AB52)</f>
        <v/>
      </c>
      <c r="AD52" s="39" t="n"/>
      <c r="AE52" s="174">
        <f>IFERROR(INDEX(JAN!$BH$8:$BH$73,MATCH($A52,JAN!$A$8:$A$73,0)),"")</f>
        <v/>
      </c>
      <c r="AF52" s="174">
        <f>IFERROR(INDEX(FEV!$BH$8:$BH$73,MATCH($A52,FEV!$A$8:$A$73,0)),"")</f>
        <v/>
      </c>
      <c r="AG52" s="174">
        <f>IFERROR(INDEX(MAR!$BH$8:$BH$73,MATCH($A52,MAR!$A$8:$A$73,0)),"")</f>
        <v/>
      </c>
      <c r="AH52" s="174">
        <f>IFERROR(INDEX(ABR!$BH$8:$BH$73,MATCH($A52,ABR!$A$8:$A$73,0)),"")</f>
        <v/>
      </c>
      <c r="AI52" s="174">
        <f>IFERROR(INDEX(MAI!$BH$8:$BH$73,MATCH($A52,MAI!$A$8:$A$73,0)),"")</f>
        <v/>
      </c>
      <c r="AJ52" s="174">
        <f>IFERROR(INDEX(JUN!$BH$8:$BH$73,MATCH($A52,JUN!$A$8:$A$73,0)),"")</f>
        <v/>
      </c>
      <c r="AK52" s="174">
        <f>IFERROR(INDEX(JUL!$BH$8:$BH$73,MATCH($A52,JUL!$A$8:$A$73,0)),"")</f>
        <v/>
      </c>
      <c r="AL52" s="174">
        <f>IFERROR(INDEX(AGO!$BH$8:$BH$73,MATCH($A52,AGO!$A$8:$A$73,0)),"")</f>
        <v/>
      </c>
      <c r="AM52" s="174">
        <f>IFERROR(INDEX(SET!$BH$8:$BH$73,MATCH($A52,SET!$A$8:$A$73,0)),"")</f>
        <v/>
      </c>
      <c r="AN52" s="174">
        <f>IFERROR(INDEX(OUT!$BH$8:$BH$73,MATCH($A52,OUT!$A$8:$A$73,0)),"")</f>
        <v/>
      </c>
      <c r="AO52" s="174">
        <f>IFERROR(INDEX(NOV!$BH$8:$BH$73,MATCH($A52,NOV!$A$8:$A$73,0)),"")</f>
        <v/>
      </c>
      <c r="AP52" s="174">
        <f>IFERROR(INDEX(DEZ!$BH$8:$BH$73,MATCH($A52,DEZ!$A$8:$A$73,0)),"")</f>
        <v/>
      </c>
      <c r="AQ52" s="175">
        <f>SUM(AE52:AP52)</f>
        <v/>
      </c>
      <c r="AR52" s="39" t="n"/>
      <c r="AS52" s="174">
        <f>IFERROR(INDEX(JAN!$BI$8:$BI$73,MATCH($A52,JAN!$A$8:$A$73,0)),"")</f>
        <v/>
      </c>
      <c r="AT52" s="174">
        <f>IFERROR(INDEX(FEV!$BI$8:$BI$73,MATCH($A52,FEV!$A$8:$A$73,0)),"")</f>
        <v/>
      </c>
      <c r="AU52" s="174">
        <f>IFERROR(INDEX(MAR!$BI$8:$BI$73,MATCH($A52,MAR!$A$8:$A$73,0)),"")</f>
        <v/>
      </c>
      <c r="AV52" s="174">
        <f>IFERROR(INDEX(ABR!$BI$8:$BI$73,MATCH($A52,ABR!$A$8:$A$73,0)),"")</f>
        <v/>
      </c>
      <c r="AW52" s="174">
        <f>IFERROR(INDEX(MAI!$BI$8:$BI$73,MATCH($A52,MAI!$A$8:$A$73,0)),"")</f>
        <v/>
      </c>
      <c r="AX52" s="174">
        <f>IFERROR(INDEX(JUN!$BI$8:$BI$73,MATCH($A52,JUN!$A$8:$A$73,0)),"")</f>
        <v/>
      </c>
      <c r="AY52" s="174">
        <f>IFERROR(INDEX(JUL!$BI$8:$BI$73,MATCH($A52,JUL!$A$8:$A$73,0)),"")</f>
        <v/>
      </c>
      <c r="AZ52" s="174">
        <f>IFERROR(INDEX(AGO!$BI$8:$BI$73,MATCH($A52,AGO!$A$8:$A$73,0)),"")</f>
        <v/>
      </c>
      <c r="BA52" s="174">
        <f>IFERROR(INDEX(SET!$BI$8:$BI$73,MATCH($A52,SET!$A$8:$A$73,0)),"")</f>
        <v/>
      </c>
      <c r="BB52" s="174">
        <f>IFERROR(INDEX(OUT!$BI$8:$BI$73,MATCH($A52,OUT!$A$8:$A$73,0)),"")</f>
        <v/>
      </c>
      <c r="BC52" s="174">
        <f>IFERROR(INDEX(NOV!$BI$8:$BI$73,MATCH($A52,NOV!$A$8:$A$73,0)),"")</f>
        <v/>
      </c>
      <c r="BD52" s="174">
        <f>IFERROR(INDEX(DEZ!$BI$8:$BI$73,MATCH($A52,DEZ!$A$8:$A$73,0)),"")</f>
        <v/>
      </c>
      <c r="BE52" s="175">
        <f>SUM(AS52:BD52)</f>
        <v/>
      </c>
      <c r="BF52" s="39" t="n"/>
      <c r="BG52" s="107" t="n">
        <v>8</v>
      </c>
      <c r="BH52" s="133">
        <f>SUM(AE52:AP52)</f>
        <v/>
      </c>
      <c r="BI52" s="176">
        <f>IF(BG52="","",IF(BG52=BH52,"","⚠"))</f>
        <v/>
      </c>
      <c r="BJ52" s="39" t="n"/>
      <c r="BK52" s="39" t="n"/>
    </row>
    <row r="53">
      <c r="A53" s="89" t="inlineStr">
        <is>
          <t>JuliaFig</t>
        </is>
      </c>
      <c r="B53" s="173">
        <f>CADASTRO!$C49</f>
        <v/>
      </c>
      <c r="C53" s="174">
        <f>IFERROR(INDEX(JAN!$BK$8:$BK$73,MATCH($A53,JAN!$A$8:$A$73,0)),"")</f>
        <v/>
      </c>
      <c r="D53" s="174">
        <f>IFERROR(INDEX(FEV!$BK$8:$BK$73,MATCH($A53,FEV!$A$8:$A$73,0)),"")</f>
        <v/>
      </c>
      <c r="E53" s="174">
        <f>IFERROR(INDEX(MAR!$BK$8:$BK$73,MATCH($A53,MAR!$A$8:$A$73,0)),"")</f>
        <v/>
      </c>
      <c r="F53" s="174">
        <f>IFERROR(INDEX(ABR!$BK$8:$BK$73,MATCH($A53,ABR!$A$8:$A$73,0)),"")</f>
        <v/>
      </c>
      <c r="G53" s="174">
        <f>IFERROR(INDEX(MAI!$BK$8:$BK$73,MATCH($A53,MAI!$A$8:$A$73,0)),"")</f>
        <v/>
      </c>
      <c r="H53" s="174">
        <f>IFERROR(INDEX(JUN!$BK$8:$BK$73,MATCH($A53,JUN!$A$8:$A$73,0)),"")</f>
        <v/>
      </c>
      <c r="I53" s="174">
        <f>IFERROR(INDEX(JUL!$BK$8:$BK$73,MATCH($A53,JUL!$A$8:$A$73,0)),"")</f>
        <v/>
      </c>
      <c r="J53" s="174">
        <f>IFERROR(INDEX(AGO!$BK$8:$BK$73,MATCH($A53,AGO!$A$8:$A$73,0)),"")</f>
        <v/>
      </c>
      <c r="K53" s="174">
        <f>IFERROR(INDEX(SET!$BK$8:$BK$73,MATCH($A53,SET!$A$8:$A$73,0)),"")</f>
        <v/>
      </c>
      <c r="L53" s="174">
        <f>IFERROR(INDEX(OUT!$BK$8:$BK$73,MATCH($A53,OUT!$A$8:$A$73,0)),"")</f>
        <v/>
      </c>
      <c r="M53" s="174">
        <f>IFERROR(INDEX(NOV!$BK$8:$BK$73,MATCH($A53,NOV!$A$8:$A$73,0)),"")</f>
        <v/>
      </c>
      <c r="N53" s="174">
        <f>IFERROR(INDEX(DEZ!$BK$8:$BK$73,MATCH($A53,DEZ!$A$8:$A$73,0)),"")</f>
        <v/>
      </c>
      <c r="O53" s="175">
        <f>SUM(C53:N53)</f>
        <v/>
      </c>
      <c r="P53" s="39" t="n"/>
      <c r="Q53" s="174">
        <f>IFERROR(INDEX(JAN!$BG$8:$BG$73,MATCH($A53,JAN!$A$8:$A$73,0)),"")</f>
        <v/>
      </c>
      <c r="R53" s="174">
        <f>IFERROR(INDEX(FEV!$BG$8:$BG$73,MATCH($A53,FEV!$A$8:$A$73,0)),"")</f>
        <v/>
      </c>
      <c r="S53" s="174">
        <f>IFERROR(INDEX(MAR!$BG$8:$BG$73,MATCH($A53,MAR!$A$8:$A$73,0)),"")</f>
        <v/>
      </c>
      <c r="T53" s="174">
        <f>IFERROR(INDEX(ABR!$BG$8:$BG$73,MATCH($A53,ABR!$A$8:$A$73,0)),"")</f>
        <v/>
      </c>
      <c r="U53" s="174">
        <f>IFERROR(INDEX(MAI!$BG$8:$BG$73,MATCH($A53,MAI!$A$8:$A$73,0)),"")</f>
        <v/>
      </c>
      <c r="V53" s="174">
        <f>IFERROR(INDEX(JUN!$BG$8:$BG$73,MATCH($A53,JUN!$A$8:$A$73,0)),"")</f>
        <v/>
      </c>
      <c r="W53" s="174">
        <f>IFERROR(INDEX(JUL!$BG$8:$BG$73,MATCH($A53,JUL!$A$8:$A$73,0)),"")</f>
        <v/>
      </c>
      <c r="X53" s="174">
        <f>IFERROR(INDEX(AGO!$BG$8:$BG$73,MATCH($A53,AGO!$A$8:$A$73,0)),"")</f>
        <v/>
      </c>
      <c r="Y53" s="174">
        <f>IFERROR(INDEX(SET!$BG$8:$BG$73,MATCH($A53,SET!$A$8:$A$73,0)),"")</f>
        <v/>
      </c>
      <c r="Z53" s="174">
        <f>IFERROR(INDEX(OUT!$BG$8:$BG$73,MATCH($A53,OUT!$A$8:$A$73,0)),"")</f>
        <v/>
      </c>
      <c r="AA53" s="174">
        <f>IFERROR(INDEX(NOV!$BG$8:$BG$73,MATCH($A53,NOV!$A$8:$A$73,0)),"")</f>
        <v/>
      </c>
      <c r="AB53" s="174">
        <f>IFERROR(INDEX(DEZ!$BG$8:$BG$73,MATCH($A53,DEZ!$A$8:$A$73,0)),"")</f>
        <v/>
      </c>
      <c r="AC53" s="175">
        <f>SUM(Q53:AB53)</f>
        <v/>
      </c>
      <c r="AD53" s="39" t="n"/>
      <c r="AE53" s="174">
        <f>IFERROR(INDEX(JAN!$BH$8:$BH$73,MATCH($A53,JAN!$A$8:$A$73,0)),"")</f>
        <v/>
      </c>
      <c r="AF53" s="174">
        <f>IFERROR(INDEX(FEV!$BH$8:$BH$73,MATCH($A53,FEV!$A$8:$A$73,0)),"")</f>
        <v/>
      </c>
      <c r="AG53" s="174">
        <f>IFERROR(INDEX(MAR!$BH$8:$BH$73,MATCH($A53,MAR!$A$8:$A$73,0)),"")</f>
        <v/>
      </c>
      <c r="AH53" s="174">
        <f>IFERROR(INDEX(ABR!$BH$8:$BH$73,MATCH($A53,ABR!$A$8:$A$73,0)),"")</f>
        <v/>
      </c>
      <c r="AI53" s="174">
        <f>IFERROR(INDEX(MAI!$BH$8:$BH$73,MATCH($A53,MAI!$A$8:$A$73,0)),"")</f>
        <v/>
      </c>
      <c r="AJ53" s="174">
        <f>IFERROR(INDEX(JUN!$BH$8:$BH$73,MATCH($A53,JUN!$A$8:$A$73,0)),"")</f>
        <v/>
      </c>
      <c r="AK53" s="174">
        <f>IFERROR(INDEX(JUL!$BH$8:$BH$73,MATCH($A53,JUL!$A$8:$A$73,0)),"")</f>
        <v/>
      </c>
      <c r="AL53" s="174">
        <f>IFERROR(INDEX(AGO!$BH$8:$BH$73,MATCH($A53,AGO!$A$8:$A$73,0)),"")</f>
        <v/>
      </c>
      <c r="AM53" s="174">
        <f>IFERROR(INDEX(SET!$BH$8:$BH$73,MATCH($A53,SET!$A$8:$A$73,0)),"")</f>
        <v/>
      </c>
      <c r="AN53" s="174">
        <f>IFERROR(INDEX(OUT!$BH$8:$BH$73,MATCH($A53,OUT!$A$8:$A$73,0)),"")</f>
        <v/>
      </c>
      <c r="AO53" s="174">
        <f>IFERROR(INDEX(NOV!$BH$8:$BH$73,MATCH($A53,NOV!$A$8:$A$73,0)),"")</f>
        <v/>
      </c>
      <c r="AP53" s="174">
        <f>IFERROR(INDEX(DEZ!$BH$8:$BH$73,MATCH($A53,DEZ!$A$8:$A$73,0)),"")</f>
        <v/>
      </c>
      <c r="AQ53" s="175">
        <f>SUM(AE53:AP53)</f>
        <v/>
      </c>
      <c r="AR53" s="39" t="n"/>
      <c r="AS53" s="174">
        <f>IFERROR(INDEX(JAN!$BI$8:$BI$73,MATCH($A53,JAN!$A$8:$A$73,0)),"")</f>
        <v/>
      </c>
      <c r="AT53" s="174">
        <f>IFERROR(INDEX(FEV!$BI$8:$BI$73,MATCH($A53,FEV!$A$8:$A$73,0)),"")</f>
        <v/>
      </c>
      <c r="AU53" s="174">
        <f>IFERROR(INDEX(MAR!$BI$8:$BI$73,MATCH($A53,MAR!$A$8:$A$73,0)),"")</f>
        <v/>
      </c>
      <c r="AV53" s="174">
        <f>IFERROR(INDEX(ABR!$BI$8:$BI$73,MATCH($A53,ABR!$A$8:$A$73,0)),"")</f>
        <v/>
      </c>
      <c r="AW53" s="174">
        <f>IFERROR(INDEX(MAI!$BI$8:$BI$73,MATCH($A53,MAI!$A$8:$A$73,0)),"")</f>
        <v/>
      </c>
      <c r="AX53" s="174">
        <f>IFERROR(INDEX(JUN!$BI$8:$BI$73,MATCH($A53,JUN!$A$8:$A$73,0)),"")</f>
        <v/>
      </c>
      <c r="AY53" s="174">
        <f>IFERROR(INDEX(JUL!$BI$8:$BI$73,MATCH($A53,JUL!$A$8:$A$73,0)),"")</f>
        <v/>
      </c>
      <c r="AZ53" s="174">
        <f>IFERROR(INDEX(AGO!$BI$8:$BI$73,MATCH($A53,AGO!$A$8:$A$73,0)),"")</f>
        <v/>
      </c>
      <c r="BA53" s="174">
        <f>IFERROR(INDEX(SET!$BI$8:$BI$73,MATCH($A53,SET!$A$8:$A$73,0)),"")</f>
        <v/>
      </c>
      <c r="BB53" s="174">
        <f>IFERROR(INDEX(OUT!$BI$8:$BI$73,MATCH($A53,OUT!$A$8:$A$73,0)),"")</f>
        <v/>
      </c>
      <c r="BC53" s="174">
        <f>IFERROR(INDEX(NOV!$BI$8:$BI$73,MATCH($A53,NOV!$A$8:$A$73,0)),"")</f>
        <v/>
      </c>
      <c r="BD53" s="174">
        <f>IFERROR(INDEX(DEZ!$BI$8:$BI$73,MATCH($A53,DEZ!$A$8:$A$73,0)),"")</f>
        <v/>
      </c>
      <c r="BE53" s="175">
        <f>SUM(AS53:BD53)</f>
        <v/>
      </c>
      <c r="BF53" s="39" t="n"/>
      <c r="BG53" s="107" t="n">
        <v>4</v>
      </c>
      <c r="BH53" s="133">
        <f>SUM(AE53:AP53)</f>
        <v/>
      </c>
      <c r="BI53" s="176">
        <f>IF(BG53="","",IF(BG53=BH53,"","⚠"))</f>
        <v/>
      </c>
      <c r="BJ53" s="39" t="n"/>
      <c r="BK53" s="39" t="n"/>
    </row>
    <row r="54">
      <c r="A54" s="89" t="inlineStr">
        <is>
          <t>Kozak</t>
        </is>
      </c>
      <c r="B54" s="173">
        <f>CADASTRO!$C50</f>
        <v/>
      </c>
      <c r="C54" s="174">
        <f>IFERROR(INDEX(JAN!$BK$8:$BK$73,MATCH($A54,JAN!$A$8:$A$73,0)),"")</f>
        <v/>
      </c>
      <c r="D54" s="174">
        <f>IFERROR(INDEX(FEV!$BK$8:$BK$73,MATCH($A54,FEV!$A$8:$A$73,0)),"")</f>
        <v/>
      </c>
      <c r="E54" s="174">
        <f>IFERROR(INDEX(MAR!$BK$8:$BK$73,MATCH($A54,MAR!$A$8:$A$73,0)),"")</f>
        <v/>
      </c>
      <c r="F54" s="174">
        <f>IFERROR(INDEX(ABR!$BK$8:$BK$73,MATCH($A54,ABR!$A$8:$A$73,0)),"")</f>
        <v/>
      </c>
      <c r="G54" s="174">
        <f>IFERROR(INDEX(MAI!$BK$8:$BK$73,MATCH($A54,MAI!$A$8:$A$73,0)),"")</f>
        <v/>
      </c>
      <c r="H54" s="174">
        <f>IFERROR(INDEX(JUN!$BK$8:$BK$73,MATCH($A54,JUN!$A$8:$A$73,0)),"")</f>
        <v/>
      </c>
      <c r="I54" s="174">
        <f>IFERROR(INDEX(JUL!$BK$8:$BK$73,MATCH($A54,JUL!$A$8:$A$73,0)),"")</f>
        <v/>
      </c>
      <c r="J54" s="174">
        <f>IFERROR(INDEX(AGO!$BK$8:$BK$73,MATCH($A54,AGO!$A$8:$A$73,0)),"")</f>
        <v/>
      </c>
      <c r="K54" s="174">
        <f>IFERROR(INDEX(SET!$BK$8:$BK$73,MATCH($A54,SET!$A$8:$A$73,0)),"")</f>
        <v/>
      </c>
      <c r="L54" s="174">
        <f>IFERROR(INDEX(OUT!$BK$8:$BK$73,MATCH($A54,OUT!$A$8:$A$73,0)),"")</f>
        <v/>
      </c>
      <c r="M54" s="174">
        <f>IFERROR(INDEX(NOV!$BK$8:$BK$73,MATCH($A54,NOV!$A$8:$A$73,0)),"")</f>
        <v/>
      </c>
      <c r="N54" s="174">
        <f>IFERROR(INDEX(DEZ!$BK$8:$BK$73,MATCH($A54,DEZ!$A$8:$A$73,0)),"")</f>
        <v/>
      </c>
      <c r="O54" s="175">
        <f>SUM(C54:N54)</f>
        <v/>
      </c>
      <c r="P54" s="39" t="n"/>
      <c r="Q54" s="174">
        <f>IFERROR(INDEX(JAN!$BG$8:$BG$73,MATCH($A54,JAN!$A$8:$A$73,0)),"")</f>
        <v/>
      </c>
      <c r="R54" s="174">
        <f>IFERROR(INDEX(FEV!$BG$8:$BG$73,MATCH($A54,FEV!$A$8:$A$73,0)),"")</f>
        <v/>
      </c>
      <c r="S54" s="174">
        <f>IFERROR(INDEX(MAR!$BG$8:$BG$73,MATCH($A54,MAR!$A$8:$A$73,0)),"")</f>
        <v/>
      </c>
      <c r="T54" s="174">
        <f>IFERROR(INDEX(ABR!$BG$8:$BG$73,MATCH($A54,ABR!$A$8:$A$73,0)),"")</f>
        <v/>
      </c>
      <c r="U54" s="174">
        <f>IFERROR(INDEX(MAI!$BG$8:$BG$73,MATCH($A54,MAI!$A$8:$A$73,0)),"")</f>
        <v/>
      </c>
      <c r="V54" s="174">
        <f>IFERROR(INDEX(JUN!$BG$8:$BG$73,MATCH($A54,JUN!$A$8:$A$73,0)),"")</f>
        <v/>
      </c>
      <c r="W54" s="174">
        <f>IFERROR(INDEX(JUL!$BG$8:$BG$73,MATCH($A54,JUL!$A$8:$A$73,0)),"")</f>
        <v/>
      </c>
      <c r="X54" s="174">
        <f>IFERROR(INDEX(AGO!$BG$8:$BG$73,MATCH($A54,AGO!$A$8:$A$73,0)),"")</f>
        <v/>
      </c>
      <c r="Y54" s="174">
        <f>IFERROR(INDEX(SET!$BG$8:$BG$73,MATCH($A54,SET!$A$8:$A$73,0)),"")</f>
        <v/>
      </c>
      <c r="Z54" s="174">
        <f>IFERROR(INDEX(OUT!$BG$8:$BG$73,MATCH($A54,OUT!$A$8:$A$73,0)),"")</f>
        <v/>
      </c>
      <c r="AA54" s="174">
        <f>IFERROR(INDEX(NOV!$BG$8:$BG$73,MATCH($A54,NOV!$A$8:$A$73,0)),"")</f>
        <v/>
      </c>
      <c r="AB54" s="174">
        <f>IFERROR(INDEX(DEZ!$BG$8:$BG$73,MATCH($A54,DEZ!$A$8:$A$73,0)),"")</f>
        <v/>
      </c>
      <c r="AC54" s="175">
        <f>SUM(Q54:AB54)</f>
        <v/>
      </c>
      <c r="AD54" s="39" t="n"/>
      <c r="AE54" s="174">
        <f>IFERROR(INDEX(JAN!$BH$8:$BH$73,MATCH($A54,JAN!$A$8:$A$73,0)),"")</f>
        <v/>
      </c>
      <c r="AF54" s="174">
        <f>IFERROR(INDEX(FEV!$BH$8:$BH$73,MATCH($A54,FEV!$A$8:$A$73,0)),"")</f>
        <v/>
      </c>
      <c r="AG54" s="174">
        <f>IFERROR(INDEX(MAR!$BH$8:$BH$73,MATCH($A54,MAR!$A$8:$A$73,0)),"")</f>
        <v/>
      </c>
      <c r="AH54" s="174">
        <f>IFERROR(INDEX(ABR!$BH$8:$BH$73,MATCH($A54,ABR!$A$8:$A$73,0)),"")</f>
        <v/>
      </c>
      <c r="AI54" s="174">
        <f>IFERROR(INDEX(MAI!$BH$8:$BH$73,MATCH($A54,MAI!$A$8:$A$73,0)),"")</f>
        <v/>
      </c>
      <c r="AJ54" s="174">
        <f>IFERROR(INDEX(JUN!$BH$8:$BH$73,MATCH($A54,JUN!$A$8:$A$73,0)),"")</f>
        <v/>
      </c>
      <c r="AK54" s="174">
        <f>IFERROR(INDEX(JUL!$BH$8:$BH$73,MATCH($A54,JUL!$A$8:$A$73,0)),"")</f>
        <v/>
      </c>
      <c r="AL54" s="174">
        <f>IFERROR(INDEX(AGO!$BH$8:$BH$73,MATCH($A54,AGO!$A$8:$A$73,0)),"")</f>
        <v/>
      </c>
      <c r="AM54" s="174">
        <f>IFERROR(INDEX(SET!$BH$8:$BH$73,MATCH($A54,SET!$A$8:$A$73,0)),"")</f>
        <v/>
      </c>
      <c r="AN54" s="174">
        <f>IFERROR(INDEX(OUT!$BH$8:$BH$73,MATCH($A54,OUT!$A$8:$A$73,0)),"")</f>
        <v/>
      </c>
      <c r="AO54" s="174">
        <f>IFERROR(INDEX(NOV!$BH$8:$BH$73,MATCH($A54,NOV!$A$8:$A$73,0)),"")</f>
        <v/>
      </c>
      <c r="AP54" s="174">
        <f>IFERROR(INDEX(DEZ!$BH$8:$BH$73,MATCH($A54,DEZ!$A$8:$A$73,0)),"")</f>
        <v/>
      </c>
      <c r="AQ54" s="175">
        <f>SUM(AE54:AP54)</f>
        <v/>
      </c>
      <c r="AR54" s="39" t="n"/>
      <c r="AS54" s="174">
        <f>IFERROR(INDEX(JAN!$BI$8:$BI$73,MATCH($A54,JAN!$A$8:$A$73,0)),"")</f>
        <v/>
      </c>
      <c r="AT54" s="174">
        <f>IFERROR(INDEX(FEV!$BI$8:$BI$73,MATCH($A54,FEV!$A$8:$A$73,0)),"")</f>
        <v/>
      </c>
      <c r="AU54" s="174">
        <f>IFERROR(INDEX(MAR!$BI$8:$BI$73,MATCH($A54,MAR!$A$8:$A$73,0)),"")</f>
        <v/>
      </c>
      <c r="AV54" s="174">
        <f>IFERROR(INDEX(ABR!$BI$8:$BI$73,MATCH($A54,ABR!$A$8:$A$73,0)),"")</f>
        <v/>
      </c>
      <c r="AW54" s="174">
        <f>IFERROR(INDEX(MAI!$BI$8:$BI$73,MATCH($A54,MAI!$A$8:$A$73,0)),"")</f>
        <v/>
      </c>
      <c r="AX54" s="174">
        <f>IFERROR(INDEX(JUN!$BI$8:$BI$73,MATCH($A54,JUN!$A$8:$A$73,0)),"")</f>
        <v/>
      </c>
      <c r="AY54" s="174">
        <f>IFERROR(INDEX(JUL!$BI$8:$BI$73,MATCH($A54,JUL!$A$8:$A$73,0)),"")</f>
        <v/>
      </c>
      <c r="AZ54" s="174">
        <f>IFERROR(INDEX(AGO!$BI$8:$BI$73,MATCH($A54,AGO!$A$8:$A$73,0)),"")</f>
        <v/>
      </c>
      <c r="BA54" s="174">
        <f>IFERROR(INDEX(SET!$BI$8:$BI$73,MATCH($A54,SET!$A$8:$A$73,0)),"")</f>
        <v/>
      </c>
      <c r="BB54" s="174">
        <f>IFERROR(INDEX(OUT!$BI$8:$BI$73,MATCH($A54,OUT!$A$8:$A$73,0)),"")</f>
        <v/>
      </c>
      <c r="BC54" s="174">
        <f>IFERROR(INDEX(NOV!$BI$8:$BI$73,MATCH($A54,NOV!$A$8:$A$73,0)),"")</f>
        <v/>
      </c>
      <c r="BD54" s="174">
        <f>IFERROR(INDEX(DEZ!$BI$8:$BI$73,MATCH($A54,DEZ!$A$8:$A$73,0)),"")</f>
        <v/>
      </c>
      <c r="BE54" s="175">
        <f>SUM(AS54:BD54)</f>
        <v/>
      </c>
      <c r="BF54" s="39" t="n"/>
      <c r="BG54" s="107" t="n">
        <v>1</v>
      </c>
      <c r="BH54" s="133">
        <f>SUM(AE54:AP54)</f>
        <v/>
      </c>
      <c r="BI54" s="176">
        <f>IF(BG54="","",IF(BG54=BH54,"","⚠"))</f>
        <v/>
      </c>
      <c r="BJ54" s="39" t="n"/>
      <c r="BK54" s="39" t="n"/>
    </row>
    <row r="55">
      <c r="A55" s="89" t="inlineStr">
        <is>
          <t>Laura</t>
        </is>
      </c>
      <c r="B55" s="173">
        <f>CADASTRO!$C51</f>
        <v/>
      </c>
      <c r="C55" s="174">
        <f>IFERROR(INDEX(JAN!$BK$8:$BK$73,MATCH($A55,JAN!$A$8:$A$73,0)),"")</f>
        <v/>
      </c>
      <c r="D55" s="174">
        <f>IFERROR(INDEX(FEV!$BK$8:$BK$73,MATCH($A55,FEV!$A$8:$A$73,0)),"")</f>
        <v/>
      </c>
      <c r="E55" s="174">
        <f>IFERROR(INDEX(MAR!$BK$8:$BK$73,MATCH($A55,MAR!$A$8:$A$73,0)),"")</f>
        <v/>
      </c>
      <c r="F55" s="174">
        <f>IFERROR(INDEX(ABR!$BK$8:$BK$73,MATCH($A55,ABR!$A$8:$A$73,0)),"")</f>
        <v/>
      </c>
      <c r="G55" s="174">
        <f>IFERROR(INDEX(MAI!$BK$8:$BK$73,MATCH($A55,MAI!$A$8:$A$73,0)),"")</f>
        <v/>
      </c>
      <c r="H55" s="174">
        <f>IFERROR(INDEX(JUN!$BK$8:$BK$73,MATCH($A55,JUN!$A$8:$A$73,0)),"")</f>
        <v/>
      </c>
      <c r="I55" s="174">
        <f>IFERROR(INDEX(JUL!$BK$8:$BK$73,MATCH($A55,JUL!$A$8:$A$73,0)),"")</f>
        <v/>
      </c>
      <c r="J55" s="174">
        <f>IFERROR(INDEX(AGO!$BK$8:$BK$73,MATCH($A55,AGO!$A$8:$A$73,0)),"")</f>
        <v/>
      </c>
      <c r="K55" s="174">
        <f>IFERROR(INDEX(SET!$BK$8:$BK$73,MATCH($A55,SET!$A$8:$A$73,0)),"")</f>
        <v/>
      </c>
      <c r="L55" s="174">
        <f>IFERROR(INDEX(OUT!$BK$8:$BK$73,MATCH($A55,OUT!$A$8:$A$73,0)),"")</f>
        <v/>
      </c>
      <c r="M55" s="174">
        <f>IFERROR(INDEX(NOV!$BK$8:$BK$73,MATCH($A55,NOV!$A$8:$A$73,0)),"")</f>
        <v/>
      </c>
      <c r="N55" s="174">
        <f>IFERROR(INDEX(DEZ!$BK$8:$BK$73,MATCH($A55,DEZ!$A$8:$A$73,0)),"")</f>
        <v/>
      </c>
      <c r="O55" s="175">
        <f>SUM(C55:N55)</f>
        <v/>
      </c>
      <c r="P55" s="39" t="n"/>
      <c r="Q55" s="174">
        <f>IFERROR(INDEX(JAN!$BG$8:$BG$73,MATCH($A55,JAN!$A$8:$A$73,0)),"")</f>
        <v/>
      </c>
      <c r="R55" s="174">
        <f>IFERROR(INDEX(FEV!$BG$8:$BG$73,MATCH($A55,FEV!$A$8:$A$73,0)),"")</f>
        <v/>
      </c>
      <c r="S55" s="174">
        <f>IFERROR(INDEX(MAR!$BG$8:$BG$73,MATCH($A55,MAR!$A$8:$A$73,0)),"")</f>
        <v/>
      </c>
      <c r="T55" s="174">
        <f>IFERROR(INDEX(ABR!$BG$8:$BG$73,MATCH($A55,ABR!$A$8:$A$73,0)),"")</f>
        <v/>
      </c>
      <c r="U55" s="174">
        <f>IFERROR(INDEX(MAI!$BG$8:$BG$73,MATCH($A55,MAI!$A$8:$A$73,0)),"")</f>
        <v/>
      </c>
      <c r="V55" s="174">
        <f>IFERROR(INDEX(JUN!$BG$8:$BG$73,MATCH($A55,JUN!$A$8:$A$73,0)),"")</f>
        <v/>
      </c>
      <c r="W55" s="174">
        <f>IFERROR(INDEX(JUL!$BG$8:$BG$73,MATCH($A55,JUL!$A$8:$A$73,0)),"")</f>
        <v/>
      </c>
      <c r="X55" s="174">
        <f>IFERROR(INDEX(AGO!$BG$8:$BG$73,MATCH($A55,AGO!$A$8:$A$73,0)),"")</f>
        <v/>
      </c>
      <c r="Y55" s="174">
        <f>IFERROR(INDEX(SET!$BG$8:$BG$73,MATCH($A55,SET!$A$8:$A$73,0)),"")</f>
        <v/>
      </c>
      <c r="Z55" s="174">
        <f>IFERROR(INDEX(OUT!$BG$8:$BG$73,MATCH($A55,OUT!$A$8:$A$73,0)),"")</f>
        <v/>
      </c>
      <c r="AA55" s="174">
        <f>IFERROR(INDEX(NOV!$BG$8:$BG$73,MATCH($A55,NOV!$A$8:$A$73,0)),"")</f>
        <v/>
      </c>
      <c r="AB55" s="174">
        <f>IFERROR(INDEX(DEZ!$BG$8:$BG$73,MATCH($A55,DEZ!$A$8:$A$73,0)),"")</f>
        <v/>
      </c>
      <c r="AC55" s="175">
        <f>SUM(Q55:AB55)</f>
        <v/>
      </c>
      <c r="AD55" s="39" t="n"/>
      <c r="AE55" s="174">
        <f>IFERROR(INDEX(JAN!$BH$8:$BH$73,MATCH($A55,JAN!$A$8:$A$73,0)),"")</f>
        <v/>
      </c>
      <c r="AF55" s="174">
        <f>IFERROR(INDEX(FEV!$BH$8:$BH$73,MATCH($A55,FEV!$A$8:$A$73,0)),"")</f>
        <v/>
      </c>
      <c r="AG55" s="174">
        <f>IFERROR(INDEX(MAR!$BH$8:$BH$73,MATCH($A55,MAR!$A$8:$A$73,0)),"")</f>
        <v/>
      </c>
      <c r="AH55" s="174">
        <f>IFERROR(INDEX(ABR!$BH$8:$BH$73,MATCH($A55,ABR!$A$8:$A$73,0)),"")</f>
        <v/>
      </c>
      <c r="AI55" s="174">
        <f>IFERROR(INDEX(MAI!$BH$8:$BH$73,MATCH($A55,MAI!$A$8:$A$73,0)),"")</f>
        <v/>
      </c>
      <c r="AJ55" s="174">
        <f>IFERROR(INDEX(JUN!$BH$8:$BH$73,MATCH($A55,JUN!$A$8:$A$73,0)),"")</f>
        <v/>
      </c>
      <c r="AK55" s="174">
        <f>IFERROR(INDEX(JUL!$BH$8:$BH$73,MATCH($A55,JUL!$A$8:$A$73,0)),"")</f>
        <v/>
      </c>
      <c r="AL55" s="174">
        <f>IFERROR(INDEX(AGO!$BH$8:$BH$73,MATCH($A55,AGO!$A$8:$A$73,0)),"")</f>
        <v/>
      </c>
      <c r="AM55" s="174">
        <f>IFERROR(INDEX(SET!$BH$8:$BH$73,MATCH($A55,SET!$A$8:$A$73,0)),"")</f>
        <v/>
      </c>
      <c r="AN55" s="174">
        <f>IFERROR(INDEX(OUT!$BH$8:$BH$73,MATCH($A55,OUT!$A$8:$A$73,0)),"")</f>
        <v/>
      </c>
      <c r="AO55" s="174">
        <f>IFERROR(INDEX(NOV!$BH$8:$BH$73,MATCH($A55,NOV!$A$8:$A$73,0)),"")</f>
        <v/>
      </c>
      <c r="AP55" s="174">
        <f>IFERROR(INDEX(DEZ!$BH$8:$BH$73,MATCH($A55,DEZ!$A$8:$A$73,0)),"")</f>
        <v/>
      </c>
      <c r="AQ55" s="175">
        <f>SUM(AE55:AP55)</f>
        <v/>
      </c>
      <c r="AR55" s="39" t="n"/>
      <c r="AS55" s="174">
        <f>IFERROR(INDEX(JAN!$BI$8:$BI$73,MATCH($A55,JAN!$A$8:$A$73,0)),"")</f>
        <v/>
      </c>
      <c r="AT55" s="174">
        <f>IFERROR(INDEX(FEV!$BI$8:$BI$73,MATCH($A55,FEV!$A$8:$A$73,0)),"")</f>
        <v/>
      </c>
      <c r="AU55" s="174">
        <f>IFERROR(INDEX(MAR!$BI$8:$BI$73,MATCH($A55,MAR!$A$8:$A$73,0)),"")</f>
        <v/>
      </c>
      <c r="AV55" s="174">
        <f>IFERROR(INDEX(ABR!$BI$8:$BI$73,MATCH($A55,ABR!$A$8:$A$73,0)),"")</f>
        <v/>
      </c>
      <c r="AW55" s="174">
        <f>IFERROR(INDEX(MAI!$BI$8:$BI$73,MATCH($A55,MAI!$A$8:$A$73,0)),"")</f>
        <v/>
      </c>
      <c r="AX55" s="174">
        <f>IFERROR(INDEX(JUN!$BI$8:$BI$73,MATCH($A55,JUN!$A$8:$A$73,0)),"")</f>
        <v/>
      </c>
      <c r="AY55" s="174">
        <f>IFERROR(INDEX(JUL!$BI$8:$BI$73,MATCH($A55,JUL!$A$8:$A$73,0)),"")</f>
        <v/>
      </c>
      <c r="AZ55" s="174">
        <f>IFERROR(INDEX(AGO!$BI$8:$BI$73,MATCH($A55,AGO!$A$8:$A$73,0)),"")</f>
        <v/>
      </c>
      <c r="BA55" s="174">
        <f>IFERROR(INDEX(SET!$BI$8:$BI$73,MATCH($A55,SET!$A$8:$A$73,0)),"")</f>
        <v/>
      </c>
      <c r="BB55" s="174">
        <f>IFERROR(INDEX(OUT!$BI$8:$BI$73,MATCH($A55,OUT!$A$8:$A$73,0)),"")</f>
        <v/>
      </c>
      <c r="BC55" s="174">
        <f>IFERROR(INDEX(NOV!$BI$8:$BI$73,MATCH($A55,NOV!$A$8:$A$73,0)),"")</f>
        <v/>
      </c>
      <c r="BD55" s="174">
        <f>IFERROR(INDEX(DEZ!$BI$8:$BI$73,MATCH($A55,DEZ!$A$8:$A$73,0)),"")</f>
        <v/>
      </c>
      <c r="BE55" s="175">
        <f>SUM(AS55:BD55)</f>
        <v/>
      </c>
      <c r="BF55" s="39" t="n"/>
      <c r="BG55" s="107" t="n">
        <v>1</v>
      </c>
      <c r="BH55" s="133">
        <f>SUM(AE55:AP55)</f>
        <v/>
      </c>
      <c r="BI55" s="176">
        <f>IF(BG55="","",IF(BG55=BH55,"","⚠"))</f>
        <v/>
      </c>
      <c r="BJ55" s="39" t="n"/>
      <c r="BK55" s="39" t="n"/>
    </row>
    <row r="56">
      <c r="A56" s="89" t="inlineStr">
        <is>
          <t>Leticia</t>
        </is>
      </c>
      <c r="B56" s="173">
        <f>CADASTRO!$C52</f>
        <v/>
      </c>
      <c r="C56" s="174">
        <f>IFERROR(INDEX(JAN!$BK$8:$BK$73,MATCH($A56,JAN!$A$8:$A$73,0)),"")</f>
        <v/>
      </c>
      <c r="D56" s="174">
        <f>IFERROR(INDEX(FEV!$BK$8:$BK$73,MATCH($A56,FEV!$A$8:$A$73,0)),"")</f>
        <v/>
      </c>
      <c r="E56" s="174">
        <f>IFERROR(INDEX(MAR!$BK$8:$BK$73,MATCH($A56,MAR!$A$8:$A$73,0)),"")</f>
        <v/>
      </c>
      <c r="F56" s="174">
        <f>IFERROR(INDEX(ABR!$BK$8:$BK$73,MATCH($A56,ABR!$A$8:$A$73,0)),"")</f>
        <v/>
      </c>
      <c r="G56" s="174">
        <f>IFERROR(INDEX(MAI!$BK$8:$BK$73,MATCH($A56,MAI!$A$8:$A$73,0)),"")</f>
        <v/>
      </c>
      <c r="H56" s="174">
        <f>IFERROR(INDEX(JUN!$BK$8:$BK$73,MATCH($A56,JUN!$A$8:$A$73,0)),"")</f>
        <v/>
      </c>
      <c r="I56" s="174">
        <f>IFERROR(INDEX(JUL!$BK$8:$BK$73,MATCH($A56,JUL!$A$8:$A$73,0)),"")</f>
        <v/>
      </c>
      <c r="J56" s="174">
        <f>IFERROR(INDEX(AGO!$BK$8:$BK$73,MATCH($A56,AGO!$A$8:$A$73,0)),"")</f>
        <v/>
      </c>
      <c r="K56" s="174">
        <f>IFERROR(INDEX(SET!$BK$8:$BK$73,MATCH($A56,SET!$A$8:$A$73,0)),"")</f>
        <v/>
      </c>
      <c r="L56" s="174">
        <f>IFERROR(INDEX(OUT!$BK$8:$BK$73,MATCH($A56,OUT!$A$8:$A$73,0)),"")</f>
        <v/>
      </c>
      <c r="M56" s="174">
        <f>IFERROR(INDEX(NOV!$BK$8:$BK$73,MATCH($A56,NOV!$A$8:$A$73,0)),"")</f>
        <v/>
      </c>
      <c r="N56" s="174">
        <f>IFERROR(INDEX(DEZ!$BK$8:$BK$73,MATCH($A56,DEZ!$A$8:$A$73,0)),"")</f>
        <v/>
      </c>
      <c r="O56" s="175">
        <f>SUM(C56:N56)</f>
        <v/>
      </c>
      <c r="P56" s="39" t="n"/>
      <c r="Q56" s="174">
        <f>IFERROR(INDEX(JAN!$BG$8:$BG$73,MATCH($A56,JAN!$A$8:$A$73,0)),"")</f>
        <v/>
      </c>
      <c r="R56" s="174">
        <f>IFERROR(INDEX(FEV!$BG$8:$BG$73,MATCH($A56,FEV!$A$8:$A$73,0)),"")</f>
        <v/>
      </c>
      <c r="S56" s="174">
        <f>IFERROR(INDEX(MAR!$BG$8:$BG$73,MATCH($A56,MAR!$A$8:$A$73,0)),"")</f>
        <v/>
      </c>
      <c r="T56" s="174">
        <f>IFERROR(INDEX(ABR!$BG$8:$BG$73,MATCH($A56,ABR!$A$8:$A$73,0)),"")</f>
        <v/>
      </c>
      <c r="U56" s="174">
        <f>IFERROR(INDEX(MAI!$BG$8:$BG$73,MATCH($A56,MAI!$A$8:$A$73,0)),"")</f>
        <v/>
      </c>
      <c r="V56" s="174">
        <f>IFERROR(INDEX(JUN!$BG$8:$BG$73,MATCH($A56,JUN!$A$8:$A$73,0)),"")</f>
        <v/>
      </c>
      <c r="W56" s="174">
        <f>IFERROR(INDEX(JUL!$BG$8:$BG$73,MATCH($A56,JUL!$A$8:$A$73,0)),"")</f>
        <v/>
      </c>
      <c r="X56" s="174">
        <f>IFERROR(INDEX(AGO!$BG$8:$BG$73,MATCH($A56,AGO!$A$8:$A$73,0)),"")</f>
        <v/>
      </c>
      <c r="Y56" s="174">
        <f>IFERROR(INDEX(SET!$BG$8:$BG$73,MATCH($A56,SET!$A$8:$A$73,0)),"")</f>
        <v/>
      </c>
      <c r="Z56" s="174">
        <f>IFERROR(INDEX(OUT!$BG$8:$BG$73,MATCH($A56,OUT!$A$8:$A$73,0)),"")</f>
        <v/>
      </c>
      <c r="AA56" s="174">
        <f>IFERROR(INDEX(NOV!$BG$8:$BG$73,MATCH($A56,NOV!$A$8:$A$73,0)),"")</f>
        <v/>
      </c>
      <c r="AB56" s="174">
        <f>IFERROR(INDEX(DEZ!$BG$8:$BG$73,MATCH($A56,DEZ!$A$8:$A$73,0)),"")</f>
        <v/>
      </c>
      <c r="AC56" s="175">
        <f>SUM(Q56:AB56)</f>
        <v/>
      </c>
      <c r="AD56" s="39" t="n"/>
      <c r="AE56" s="174">
        <f>IFERROR(INDEX(JAN!$BH$8:$BH$73,MATCH($A56,JAN!$A$8:$A$73,0)),"")</f>
        <v/>
      </c>
      <c r="AF56" s="174">
        <f>IFERROR(INDEX(FEV!$BH$8:$BH$73,MATCH($A56,FEV!$A$8:$A$73,0)),"")</f>
        <v/>
      </c>
      <c r="AG56" s="174">
        <f>IFERROR(INDEX(MAR!$BH$8:$BH$73,MATCH($A56,MAR!$A$8:$A$73,0)),"")</f>
        <v/>
      </c>
      <c r="AH56" s="174">
        <f>IFERROR(INDEX(ABR!$BH$8:$BH$73,MATCH($A56,ABR!$A$8:$A$73,0)),"")</f>
        <v/>
      </c>
      <c r="AI56" s="174">
        <f>IFERROR(INDEX(MAI!$BH$8:$BH$73,MATCH($A56,MAI!$A$8:$A$73,0)),"")</f>
        <v/>
      </c>
      <c r="AJ56" s="174">
        <f>IFERROR(INDEX(JUN!$BH$8:$BH$73,MATCH($A56,JUN!$A$8:$A$73,0)),"")</f>
        <v/>
      </c>
      <c r="AK56" s="174">
        <f>IFERROR(INDEX(JUL!$BH$8:$BH$73,MATCH($A56,JUL!$A$8:$A$73,0)),"")</f>
        <v/>
      </c>
      <c r="AL56" s="174">
        <f>IFERROR(INDEX(AGO!$BH$8:$BH$73,MATCH($A56,AGO!$A$8:$A$73,0)),"")</f>
        <v/>
      </c>
      <c r="AM56" s="174">
        <f>IFERROR(INDEX(SET!$BH$8:$BH$73,MATCH($A56,SET!$A$8:$A$73,0)),"")</f>
        <v/>
      </c>
      <c r="AN56" s="174">
        <f>IFERROR(INDEX(OUT!$BH$8:$BH$73,MATCH($A56,OUT!$A$8:$A$73,0)),"")</f>
        <v/>
      </c>
      <c r="AO56" s="174">
        <f>IFERROR(INDEX(NOV!$BH$8:$BH$73,MATCH($A56,NOV!$A$8:$A$73,0)),"")</f>
        <v/>
      </c>
      <c r="AP56" s="174">
        <f>IFERROR(INDEX(DEZ!$BH$8:$BH$73,MATCH($A56,DEZ!$A$8:$A$73,0)),"")</f>
        <v/>
      </c>
      <c r="AQ56" s="175">
        <f>SUM(AE56:AP56)</f>
        <v/>
      </c>
      <c r="AR56" s="39" t="n"/>
      <c r="AS56" s="174">
        <f>IFERROR(INDEX(JAN!$BI$8:$BI$73,MATCH($A56,JAN!$A$8:$A$73,0)),"")</f>
        <v/>
      </c>
      <c r="AT56" s="174">
        <f>IFERROR(INDEX(FEV!$BI$8:$BI$73,MATCH($A56,FEV!$A$8:$A$73,0)),"")</f>
        <v/>
      </c>
      <c r="AU56" s="174">
        <f>IFERROR(INDEX(MAR!$BI$8:$BI$73,MATCH($A56,MAR!$A$8:$A$73,0)),"")</f>
        <v/>
      </c>
      <c r="AV56" s="174">
        <f>IFERROR(INDEX(ABR!$BI$8:$BI$73,MATCH($A56,ABR!$A$8:$A$73,0)),"")</f>
        <v/>
      </c>
      <c r="AW56" s="174">
        <f>IFERROR(INDEX(MAI!$BI$8:$BI$73,MATCH($A56,MAI!$A$8:$A$73,0)),"")</f>
        <v/>
      </c>
      <c r="AX56" s="174">
        <f>IFERROR(INDEX(JUN!$BI$8:$BI$73,MATCH($A56,JUN!$A$8:$A$73,0)),"")</f>
        <v/>
      </c>
      <c r="AY56" s="174">
        <f>IFERROR(INDEX(JUL!$BI$8:$BI$73,MATCH($A56,JUL!$A$8:$A$73,0)),"")</f>
        <v/>
      </c>
      <c r="AZ56" s="174">
        <f>IFERROR(INDEX(AGO!$BI$8:$BI$73,MATCH($A56,AGO!$A$8:$A$73,0)),"")</f>
        <v/>
      </c>
      <c r="BA56" s="174">
        <f>IFERROR(INDEX(SET!$BI$8:$BI$73,MATCH($A56,SET!$A$8:$A$73,0)),"")</f>
        <v/>
      </c>
      <c r="BB56" s="174">
        <f>IFERROR(INDEX(OUT!$BI$8:$BI$73,MATCH($A56,OUT!$A$8:$A$73,0)),"")</f>
        <v/>
      </c>
      <c r="BC56" s="174">
        <f>IFERROR(INDEX(NOV!$BI$8:$BI$73,MATCH($A56,NOV!$A$8:$A$73,0)),"")</f>
        <v/>
      </c>
      <c r="BD56" s="174">
        <f>IFERROR(INDEX(DEZ!$BI$8:$BI$73,MATCH($A56,DEZ!$A$8:$A$73,0)),"")</f>
        <v/>
      </c>
      <c r="BE56" s="175">
        <f>SUM(AS56:BD56)</f>
        <v/>
      </c>
      <c r="BF56" s="39" t="n"/>
      <c r="BG56" s="107" t="n">
        <v>4</v>
      </c>
      <c r="BH56" s="133">
        <f>SUM(AE56:AP56)</f>
        <v/>
      </c>
      <c r="BI56" s="176">
        <f>IF(BG56="","",IF(BG56=BH56,"","⚠"))</f>
        <v/>
      </c>
      <c r="BJ56" s="39" t="n"/>
      <c r="BK56" s="39" t="n"/>
    </row>
    <row r="57">
      <c r="A57" s="89" t="inlineStr">
        <is>
          <t>LuCosta</t>
        </is>
      </c>
      <c r="B57" s="173">
        <f>CADASTRO!$C53</f>
        <v/>
      </c>
      <c r="C57" s="174">
        <f>IFERROR(INDEX(JAN!$BK$8:$BK$73,MATCH($A57,JAN!$A$8:$A$73,0)),"")</f>
        <v/>
      </c>
      <c r="D57" s="174">
        <f>IFERROR(INDEX(FEV!$BK$8:$BK$73,MATCH($A57,FEV!$A$8:$A$73,0)),"")</f>
        <v/>
      </c>
      <c r="E57" s="174">
        <f>IFERROR(INDEX(MAR!$BK$8:$BK$73,MATCH($A57,MAR!$A$8:$A$73,0)),"")</f>
        <v/>
      </c>
      <c r="F57" s="174">
        <f>IFERROR(INDEX(ABR!$BK$8:$BK$73,MATCH($A57,ABR!$A$8:$A$73,0)),"")</f>
        <v/>
      </c>
      <c r="G57" s="174">
        <f>IFERROR(INDEX(MAI!$BK$8:$BK$73,MATCH($A57,MAI!$A$8:$A$73,0)),"")</f>
        <v/>
      </c>
      <c r="H57" s="174">
        <f>IFERROR(INDEX(JUN!$BK$8:$BK$73,MATCH($A57,JUN!$A$8:$A$73,0)),"")</f>
        <v/>
      </c>
      <c r="I57" s="174">
        <f>IFERROR(INDEX(JUL!$BK$8:$BK$73,MATCH($A57,JUL!$A$8:$A$73,0)),"")</f>
        <v/>
      </c>
      <c r="J57" s="174">
        <f>IFERROR(INDEX(AGO!$BK$8:$BK$73,MATCH($A57,AGO!$A$8:$A$73,0)),"")</f>
        <v/>
      </c>
      <c r="K57" s="174">
        <f>IFERROR(INDEX(SET!$BK$8:$BK$73,MATCH($A57,SET!$A$8:$A$73,0)),"")</f>
        <v/>
      </c>
      <c r="L57" s="174">
        <f>IFERROR(INDEX(OUT!$BK$8:$BK$73,MATCH($A57,OUT!$A$8:$A$73,0)),"")</f>
        <v/>
      </c>
      <c r="M57" s="174">
        <f>IFERROR(INDEX(NOV!$BK$8:$BK$73,MATCH($A57,NOV!$A$8:$A$73,0)),"")</f>
        <v/>
      </c>
      <c r="N57" s="174">
        <f>IFERROR(INDEX(DEZ!$BK$8:$BK$73,MATCH($A57,DEZ!$A$8:$A$73,0)),"")</f>
        <v/>
      </c>
      <c r="O57" s="175">
        <f>SUM(C57:N57)</f>
        <v/>
      </c>
      <c r="P57" s="39" t="n"/>
      <c r="Q57" s="174">
        <f>IFERROR(INDEX(JAN!$BG$8:$BG$73,MATCH($A57,JAN!$A$8:$A$73,0)),"")</f>
        <v/>
      </c>
      <c r="R57" s="174">
        <f>IFERROR(INDEX(FEV!$BG$8:$BG$73,MATCH($A57,FEV!$A$8:$A$73,0)),"")</f>
        <v/>
      </c>
      <c r="S57" s="174">
        <f>IFERROR(INDEX(MAR!$BG$8:$BG$73,MATCH($A57,MAR!$A$8:$A$73,0)),"")</f>
        <v/>
      </c>
      <c r="T57" s="174">
        <f>IFERROR(INDEX(ABR!$BG$8:$BG$73,MATCH($A57,ABR!$A$8:$A$73,0)),"")</f>
        <v/>
      </c>
      <c r="U57" s="174">
        <f>IFERROR(INDEX(MAI!$BG$8:$BG$73,MATCH($A57,MAI!$A$8:$A$73,0)),"")</f>
        <v/>
      </c>
      <c r="V57" s="174">
        <f>IFERROR(INDEX(JUN!$BG$8:$BG$73,MATCH($A57,JUN!$A$8:$A$73,0)),"")</f>
        <v/>
      </c>
      <c r="W57" s="174">
        <f>IFERROR(INDEX(JUL!$BG$8:$BG$73,MATCH($A57,JUL!$A$8:$A$73,0)),"")</f>
        <v/>
      </c>
      <c r="X57" s="174">
        <f>IFERROR(INDEX(AGO!$BG$8:$BG$73,MATCH($A57,AGO!$A$8:$A$73,0)),"")</f>
        <v/>
      </c>
      <c r="Y57" s="174">
        <f>IFERROR(INDEX(SET!$BG$8:$BG$73,MATCH($A57,SET!$A$8:$A$73,0)),"")</f>
        <v/>
      </c>
      <c r="Z57" s="174">
        <f>IFERROR(INDEX(OUT!$BG$8:$BG$73,MATCH($A57,OUT!$A$8:$A$73,0)),"")</f>
        <v/>
      </c>
      <c r="AA57" s="174">
        <f>IFERROR(INDEX(NOV!$BG$8:$BG$73,MATCH($A57,NOV!$A$8:$A$73,0)),"")</f>
        <v/>
      </c>
      <c r="AB57" s="174">
        <f>IFERROR(INDEX(DEZ!$BG$8:$BG$73,MATCH($A57,DEZ!$A$8:$A$73,0)),"")</f>
        <v/>
      </c>
      <c r="AC57" s="175">
        <f>SUM(Q57:AB57)</f>
        <v/>
      </c>
      <c r="AD57" s="39" t="n"/>
      <c r="AE57" s="174">
        <f>IFERROR(INDEX(JAN!$BH$8:$BH$73,MATCH($A57,JAN!$A$8:$A$73,0)),"")</f>
        <v/>
      </c>
      <c r="AF57" s="174">
        <f>IFERROR(INDEX(FEV!$BH$8:$BH$73,MATCH($A57,FEV!$A$8:$A$73,0)),"")</f>
        <v/>
      </c>
      <c r="AG57" s="174">
        <f>IFERROR(INDEX(MAR!$BH$8:$BH$73,MATCH($A57,MAR!$A$8:$A$73,0)),"")</f>
        <v/>
      </c>
      <c r="AH57" s="174">
        <f>IFERROR(INDEX(ABR!$BH$8:$BH$73,MATCH($A57,ABR!$A$8:$A$73,0)),"")</f>
        <v/>
      </c>
      <c r="AI57" s="174">
        <f>IFERROR(INDEX(MAI!$BH$8:$BH$73,MATCH($A57,MAI!$A$8:$A$73,0)),"")</f>
        <v/>
      </c>
      <c r="AJ57" s="174">
        <f>IFERROR(INDEX(JUN!$BH$8:$BH$73,MATCH($A57,JUN!$A$8:$A$73,0)),"")</f>
        <v/>
      </c>
      <c r="AK57" s="174">
        <f>IFERROR(INDEX(JUL!$BH$8:$BH$73,MATCH($A57,JUL!$A$8:$A$73,0)),"")</f>
        <v/>
      </c>
      <c r="AL57" s="174">
        <f>IFERROR(INDEX(AGO!$BH$8:$BH$73,MATCH($A57,AGO!$A$8:$A$73,0)),"")</f>
        <v/>
      </c>
      <c r="AM57" s="174">
        <f>IFERROR(INDEX(SET!$BH$8:$BH$73,MATCH($A57,SET!$A$8:$A$73,0)),"")</f>
        <v/>
      </c>
      <c r="AN57" s="174">
        <f>IFERROR(INDEX(OUT!$BH$8:$BH$73,MATCH($A57,OUT!$A$8:$A$73,0)),"")</f>
        <v/>
      </c>
      <c r="AO57" s="174">
        <f>IFERROR(INDEX(NOV!$BH$8:$BH$73,MATCH($A57,NOV!$A$8:$A$73,0)),"")</f>
        <v/>
      </c>
      <c r="AP57" s="174">
        <f>IFERROR(INDEX(DEZ!$BH$8:$BH$73,MATCH($A57,DEZ!$A$8:$A$73,0)),"")</f>
        <v/>
      </c>
      <c r="AQ57" s="175">
        <f>SUM(AE57:AP57)</f>
        <v/>
      </c>
      <c r="AR57" s="39" t="n"/>
      <c r="AS57" s="174">
        <f>IFERROR(INDEX(JAN!$BI$8:$BI$73,MATCH($A57,JAN!$A$8:$A$73,0)),"")</f>
        <v/>
      </c>
      <c r="AT57" s="174">
        <f>IFERROR(INDEX(FEV!$BI$8:$BI$73,MATCH($A57,FEV!$A$8:$A$73,0)),"")</f>
        <v/>
      </c>
      <c r="AU57" s="174">
        <f>IFERROR(INDEX(MAR!$BI$8:$BI$73,MATCH($A57,MAR!$A$8:$A$73,0)),"")</f>
        <v/>
      </c>
      <c r="AV57" s="174">
        <f>IFERROR(INDEX(ABR!$BI$8:$BI$73,MATCH($A57,ABR!$A$8:$A$73,0)),"")</f>
        <v/>
      </c>
      <c r="AW57" s="174">
        <f>IFERROR(INDEX(MAI!$BI$8:$BI$73,MATCH($A57,MAI!$A$8:$A$73,0)),"")</f>
        <v/>
      </c>
      <c r="AX57" s="174">
        <f>IFERROR(INDEX(JUN!$BI$8:$BI$73,MATCH($A57,JUN!$A$8:$A$73,0)),"")</f>
        <v/>
      </c>
      <c r="AY57" s="174">
        <f>IFERROR(INDEX(JUL!$BI$8:$BI$73,MATCH($A57,JUL!$A$8:$A$73,0)),"")</f>
        <v/>
      </c>
      <c r="AZ57" s="174">
        <f>IFERROR(INDEX(AGO!$BI$8:$BI$73,MATCH($A57,AGO!$A$8:$A$73,0)),"")</f>
        <v/>
      </c>
      <c r="BA57" s="174">
        <f>IFERROR(INDEX(SET!$BI$8:$BI$73,MATCH($A57,SET!$A$8:$A$73,0)),"")</f>
        <v/>
      </c>
      <c r="BB57" s="174">
        <f>IFERROR(INDEX(OUT!$BI$8:$BI$73,MATCH($A57,OUT!$A$8:$A$73,0)),"")</f>
        <v/>
      </c>
      <c r="BC57" s="174">
        <f>IFERROR(INDEX(NOV!$BI$8:$BI$73,MATCH($A57,NOV!$A$8:$A$73,0)),"")</f>
        <v/>
      </c>
      <c r="BD57" s="174">
        <f>IFERROR(INDEX(DEZ!$BI$8:$BI$73,MATCH($A57,DEZ!$A$8:$A$73,0)),"")</f>
        <v/>
      </c>
      <c r="BE57" s="175">
        <f>SUM(AS57:BD57)</f>
        <v/>
      </c>
      <c r="BF57" s="39" t="n"/>
      <c r="BG57" s="107" t="n">
        <v>4</v>
      </c>
      <c r="BH57" s="133">
        <f>SUM(AE57:AP57)</f>
        <v/>
      </c>
      <c r="BI57" s="176">
        <f>IF(BG57="","",IF(BG57=BH57,"","⚠"))</f>
        <v/>
      </c>
      <c r="BJ57" s="39" t="n"/>
      <c r="BK57" s="39" t="n"/>
    </row>
    <row r="58">
      <c r="A58" s="89" t="inlineStr">
        <is>
          <t>Marcia</t>
        </is>
      </c>
      <c r="B58" s="173">
        <f>CADASTRO!$C54</f>
        <v/>
      </c>
      <c r="C58" s="174">
        <f>IFERROR(INDEX(JAN!$BK$8:$BK$73,MATCH($A58,JAN!$A$8:$A$73,0)),"")</f>
        <v/>
      </c>
      <c r="D58" s="174">
        <f>IFERROR(INDEX(FEV!$BK$8:$BK$73,MATCH($A58,FEV!$A$8:$A$73,0)),"")</f>
        <v/>
      </c>
      <c r="E58" s="174">
        <f>IFERROR(INDEX(MAR!$BK$8:$BK$73,MATCH($A58,MAR!$A$8:$A$73,0)),"")</f>
        <v/>
      </c>
      <c r="F58" s="174">
        <f>IFERROR(INDEX(ABR!$BK$8:$BK$73,MATCH($A58,ABR!$A$8:$A$73,0)),"")</f>
        <v/>
      </c>
      <c r="G58" s="174">
        <f>IFERROR(INDEX(MAI!$BK$8:$BK$73,MATCH($A58,MAI!$A$8:$A$73,0)),"")</f>
        <v/>
      </c>
      <c r="H58" s="174">
        <f>IFERROR(INDEX(JUN!$BK$8:$BK$73,MATCH($A58,JUN!$A$8:$A$73,0)),"")</f>
        <v/>
      </c>
      <c r="I58" s="174">
        <f>IFERROR(INDEX(JUL!$BK$8:$BK$73,MATCH($A58,JUL!$A$8:$A$73,0)),"")</f>
        <v/>
      </c>
      <c r="J58" s="174">
        <f>IFERROR(INDEX(AGO!$BK$8:$BK$73,MATCH($A58,AGO!$A$8:$A$73,0)),"")</f>
        <v/>
      </c>
      <c r="K58" s="174">
        <f>IFERROR(INDEX(SET!$BK$8:$BK$73,MATCH($A58,SET!$A$8:$A$73,0)),"")</f>
        <v/>
      </c>
      <c r="L58" s="174">
        <f>IFERROR(INDEX(OUT!$BK$8:$BK$73,MATCH($A58,OUT!$A$8:$A$73,0)),"")</f>
        <v/>
      </c>
      <c r="M58" s="174">
        <f>IFERROR(INDEX(NOV!$BK$8:$BK$73,MATCH($A58,NOV!$A$8:$A$73,0)),"")</f>
        <v/>
      </c>
      <c r="N58" s="174">
        <f>IFERROR(INDEX(DEZ!$BK$8:$BK$73,MATCH($A58,DEZ!$A$8:$A$73,0)),"")</f>
        <v/>
      </c>
      <c r="O58" s="175">
        <f>SUM(C58:N58)</f>
        <v/>
      </c>
      <c r="P58" s="39" t="n"/>
      <c r="Q58" s="174">
        <f>IFERROR(INDEX(JAN!$BG$8:$BG$73,MATCH($A58,JAN!$A$8:$A$73,0)),"")</f>
        <v/>
      </c>
      <c r="R58" s="174">
        <f>IFERROR(INDEX(FEV!$BG$8:$BG$73,MATCH($A58,FEV!$A$8:$A$73,0)),"")</f>
        <v/>
      </c>
      <c r="S58" s="174">
        <f>IFERROR(INDEX(MAR!$BG$8:$BG$73,MATCH($A58,MAR!$A$8:$A$73,0)),"")</f>
        <v/>
      </c>
      <c r="T58" s="174">
        <f>IFERROR(INDEX(ABR!$BG$8:$BG$73,MATCH($A58,ABR!$A$8:$A$73,0)),"")</f>
        <v/>
      </c>
      <c r="U58" s="174">
        <f>IFERROR(INDEX(MAI!$BG$8:$BG$73,MATCH($A58,MAI!$A$8:$A$73,0)),"")</f>
        <v/>
      </c>
      <c r="V58" s="174">
        <f>IFERROR(INDEX(JUN!$BG$8:$BG$73,MATCH($A58,JUN!$A$8:$A$73,0)),"")</f>
        <v/>
      </c>
      <c r="W58" s="174">
        <f>IFERROR(INDEX(JUL!$BG$8:$BG$73,MATCH($A58,JUL!$A$8:$A$73,0)),"")</f>
        <v/>
      </c>
      <c r="X58" s="174">
        <f>IFERROR(INDEX(AGO!$BG$8:$BG$73,MATCH($A58,AGO!$A$8:$A$73,0)),"")</f>
        <v/>
      </c>
      <c r="Y58" s="174">
        <f>IFERROR(INDEX(SET!$BG$8:$BG$73,MATCH($A58,SET!$A$8:$A$73,0)),"")</f>
        <v/>
      </c>
      <c r="Z58" s="174">
        <f>IFERROR(INDEX(OUT!$BG$8:$BG$73,MATCH($A58,OUT!$A$8:$A$73,0)),"")</f>
        <v/>
      </c>
      <c r="AA58" s="174">
        <f>IFERROR(INDEX(NOV!$BG$8:$BG$73,MATCH($A58,NOV!$A$8:$A$73,0)),"")</f>
        <v/>
      </c>
      <c r="AB58" s="174">
        <f>IFERROR(INDEX(DEZ!$BG$8:$BG$73,MATCH($A58,DEZ!$A$8:$A$73,0)),"")</f>
        <v/>
      </c>
      <c r="AC58" s="175">
        <f>SUM(Q58:AB58)</f>
        <v/>
      </c>
      <c r="AD58" s="39" t="n"/>
      <c r="AE58" s="174">
        <f>IFERROR(INDEX(JAN!$BH$8:$BH$73,MATCH($A58,JAN!$A$8:$A$73,0)),"")</f>
        <v/>
      </c>
      <c r="AF58" s="174">
        <f>IFERROR(INDEX(FEV!$BH$8:$BH$73,MATCH($A58,FEV!$A$8:$A$73,0)),"")</f>
        <v/>
      </c>
      <c r="AG58" s="174">
        <f>IFERROR(INDEX(MAR!$BH$8:$BH$73,MATCH($A58,MAR!$A$8:$A$73,0)),"")</f>
        <v/>
      </c>
      <c r="AH58" s="174">
        <f>IFERROR(INDEX(ABR!$BH$8:$BH$73,MATCH($A58,ABR!$A$8:$A$73,0)),"")</f>
        <v/>
      </c>
      <c r="AI58" s="174">
        <f>IFERROR(INDEX(MAI!$BH$8:$BH$73,MATCH($A58,MAI!$A$8:$A$73,0)),"")</f>
        <v/>
      </c>
      <c r="AJ58" s="174">
        <f>IFERROR(INDEX(JUN!$BH$8:$BH$73,MATCH($A58,JUN!$A$8:$A$73,0)),"")</f>
        <v/>
      </c>
      <c r="AK58" s="174">
        <f>IFERROR(INDEX(JUL!$BH$8:$BH$73,MATCH($A58,JUL!$A$8:$A$73,0)),"")</f>
        <v/>
      </c>
      <c r="AL58" s="174">
        <f>IFERROR(INDEX(AGO!$BH$8:$BH$73,MATCH($A58,AGO!$A$8:$A$73,0)),"")</f>
        <v/>
      </c>
      <c r="AM58" s="174">
        <f>IFERROR(INDEX(SET!$BH$8:$BH$73,MATCH($A58,SET!$A$8:$A$73,0)),"")</f>
        <v/>
      </c>
      <c r="AN58" s="174">
        <f>IFERROR(INDEX(OUT!$BH$8:$BH$73,MATCH($A58,OUT!$A$8:$A$73,0)),"")</f>
        <v/>
      </c>
      <c r="AO58" s="174">
        <f>IFERROR(INDEX(NOV!$BH$8:$BH$73,MATCH($A58,NOV!$A$8:$A$73,0)),"")</f>
        <v/>
      </c>
      <c r="AP58" s="174">
        <f>IFERROR(INDEX(DEZ!$BH$8:$BH$73,MATCH($A58,DEZ!$A$8:$A$73,0)),"")</f>
        <v/>
      </c>
      <c r="AQ58" s="175">
        <f>SUM(AE58:AP58)</f>
        <v/>
      </c>
      <c r="AR58" s="39" t="n"/>
      <c r="AS58" s="174">
        <f>IFERROR(INDEX(JAN!$BI$8:$BI$73,MATCH($A58,JAN!$A$8:$A$73,0)),"")</f>
        <v/>
      </c>
      <c r="AT58" s="174">
        <f>IFERROR(INDEX(FEV!$BI$8:$BI$73,MATCH($A58,FEV!$A$8:$A$73,0)),"")</f>
        <v/>
      </c>
      <c r="AU58" s="174">
        <f>IFERROR(INDEX(MAR!$BI$8:$BI$73,MATCH($A58,MAR!$A$8:$A$73,0)),"")</f>
        <v/>
      </c>
      <c r="AV58" s="174">
        <f>IFERROR(INDEX(ABR!$BI$8:$BI$73,MATCH($A58,ABR!$A$8:$A$73,0)),"")</f>
        <v/>
      </c>
      <c r="AW58" s="174">
        <f>IFERROR(INDEX(MAI!$BI$8:$BI$73,MATCH($A58,MAI!$A$8:$A$73,0)),"")</f>
        <v/>
      </c>
      <c r="AX58" s="174">
        <f>IFERROR(INDEX(JUN!$BI$8:$BI$73,MATCH($A58,JUN!$A$8:$A$73,0)),"")</f>
        <v/>
      </c>
      <c r="AY58" s="174">
        <f>IFERROR(INDEX(JUL!$BI$8:$BI$73,MATCH($A58,JUL!$A$8:$A$73,0)),"")</f>
        <v/>
      </c>
      <c r="AZ58" s="174">
        <f>IFERROR(INDEX(AGO!$BI$8:$BI$73,MATCH($A58,AGO!$A$8:$A$73,0)),"")</f>
        <v/>
      </c>
      <c r="BA58" s="174">
        <f>IFERROR(INDEX(SET!$BI$8:$BI$73,MATCH($A58,SET!$A$8:$A$73,0)),"")</f>
        <v/>
      </c>
      <c r="BB58" s="174">
        <f>IFERROR(INDEX(OUT!$BI$8:$BI$73,MATCH($A58,OUT!$A$8:$A$73,0)),"")</f>
        <v/>
      </c>
      <c r="BC58" s="174">
        <f>IFERROR(INDEX(NOV!$BI$8:$BI$73,MATCH($A58,NOV!$A$8:$A$73,0)),"")</f>
        <v/>
      </c>
      <c r="BD58" s="174">
        <f>IFERROR(INDEX(DEZ!$BI$8:$BI$73,MATCH($A58,DEZ!$A$8:$A$73,0)),"")</f>
        <v/>
      </c>
      <c r="BE58" s="175">
        <f>SUM(AS58:BD58)</f>
        <v/>
      </c>
      <c r="BF58" s="39" t="n"/>
      <c r="BG58" s="107" t="n">
        <v>1</v>
      </c>
      <c r="BH58" s="133">
        <f>SUM(AE58:AP58)</f>
        <v/>
      </c>
      <c r="BI58" s="176">
        <f>IF(BG58="","",IF(BG58=BH58,"","⚠"))</f>
        <v/>
      </c>
      <c r="BJ58" s="39" t="n"/>
      <c r="BK58" s="39" t="n"/>
    </row>
    <row r="59">
      <c r="A59" s="89" t="inlineStr">
        <is>
          <t>MayWobido</t>
        </is>
      </c>
      <c r="B59" s="173">
        <f>CADASTRO!$C55</f>
        <v/>
      </c>
      <c r="C59" s="174">
        <f>IFERROR(INDEX(JAN!$BK$8:$BK$73,MATCH($A59,JAN!$A$8:$A$73,0)),"")</f>
        <v/>
      </c>
      <c r="D59" s="174">
        <f>IFERROR(INDEX(FEV!$BK$8:$BK$73,MATCH($A59,FEV!$A$8:$A$73,0)),"")</f>
        <v/>
      </c>
      <c r="E59" s="174">
        <f>IFERROR(INDEX(MAR!$BK$8:$BK$73,MATCH($A59,MAR!$A$8:$A$73,0)),"")</f>
        <v/>
      </c>
      <c r="F59" s="174">
        <f>IFERROR(INDEX(ABR!$BK$8:$BK$73,MATCH($A59,ABR!$A$8:$A$73,0)),"")</f>
        <v/>
      </c>
      <c r="G59" s="174">
        <f>IFERROR(INDEX(MAI!$BK$8:$BK$73,MATCH($A59,MAI!$A$8:$A$73,0)),"")</f>
        <v/>
      </c>
      <c r="H59" s="174">
        <f>IFERROR(INDEX(JUN!$BK$8:$BK$73,MATCH($A59,JUN!$A$8:$A$73,0)),"")</f>
        <v/>
      </c>
      <c r="I59" s="174">
        <f>IFERROR(INDEX(JUL!$BK$8:$BK$73,MATCH($A59,JUL!$A$8:$A$73,0)),"")</f>
        <v/>
      </c>
      <c r="J59" s="174">
        <f>IFERROR(INDEX(AGO!$BK$8:$BK$73,MATCH($A59,AGO!$A$8:$A$73,0)),"")</f>
        <v/>
      </c>
      <c r="K59" s="174">
        <f>IFERROR(INDEX(SET!$BK$8:$BK$73,MATCH($A59,SET!$A$8:$A$73,0)),"")</f>
        <v/>
      </c>
      <c r="L59" s="174">
        <f>IFERROR(INDEX(OUT!$BK$8:$BK$73,MATCH($A59,OUT!$A$8:$A$73,0)),"")</f>
        <v/>
      </c>
      <c r="M59" s="174">
        <f>IFERROR(INDEX(NOV!$BK$8:$BK$73,MATCH($A59,NOV!$A$8:$A$73,0)),"")</f>
        <v/>
      </c>
      <c r="N59" s="174">
        <f>IFERROR(INDEX(DEZ!$BK$8:$BK$73,MATCH($A59,DEZ!$A$8:$A$73,0)),"")</f>
        <v/>
      </c>
      <c r="O59" s="175">
        <f>SUM(C59:N59)</f>
        <v/>
      </c>
      <c r="P59" s="39" t="n"/>
      <c r="Q59" s="174">
        <f>IFERROR(INDEX(JAN!$BG$8:$BG$73,MATCH($A59,JAN!$A$8:$A$73,0)),"")</f>
        <v/>
      </c>
      <c r="R59" s="174">
        <f>IFERROR(INDEX(FEV!$BG$8:$BG$73,MATCH($A59,FEV!$A$8:$A$73,0)),"")</f>
        <v/>
      </c>
      <c r="S59" s="174">
        <f>IFERROR(INDEX(MAR!$BG$8:$BG$73,MATCH($A59,MAR!$A$8:$A$73,0)),"")</f>
        <v/>
      </c>
      <c r="T59" s="174">
        <f>IFERROR(INDEX(ABR!$BG$8:$BG$73,MATCH($A59,ABR!$A$8:$A$73,0)),"")</f>
        <v/>
      </c>
      <c r="U59" s="174">
        <f>IFERROR(INDEX(MAI!$BG$8:$BG$73,MATCH($A59,MAI!$A$8:$A$73,0)),"")</f>
        <v/>
      </c>
      <c r="V59" s="174">
        <f>IFERROR(INDEX(JUN!$BG$8:$BG$73,MATCH($A59,JUN!$A$8:$A$73,0)),"")</f>
        <v/>
      </c>
      <c r="W59" s="174">
        <f>IFERROR(INDEX(JUL!$BG$8:$BG$73,MATCH($A59,JUL!$A$8:$A$73,0)),"")</f>
        <v/>
      </c>
      <c r="X59" s="174">
        <f>IFERROR(INDEX(AGO!$BG$8:$BG$73,MATCH($A59,AGO!$A$8:$A$73,0)),"")</f>
        <v/>
      </c>
      <c r="Y59" s="174">
        <f>IFERROR(INDEX(SET!$BG$8:$BG$73,MATCH($A59,SET!$A$8:$A$73,0)),"")</f>
        <v/>
      </c>
      <c r="Z59" s="174">
        <f>IFERROR(INDEX(OUT!$BG$8:$BG$73,MATCH($A59,OUT!$A$8:$A$73,0)),"")</f>
        <v/>
      </c>
      <c r="AA59" s="174">
        <f>IFERROR(INDEX(NOV!$BG$8:$BG$73,MATCH($A59,NOV!$A$8:$A$73,0)),"")</f>
        <v/>
      </c>
      <c r="AB59" s="174">
        <f>IFERROR(INDEX(DEZ!$BG$8:$BG$73,MATCH($A59,DEZ!$A$8:$A$73,0)),"")</f>
        <v/>
      </c>
      <c r="AC59" s="175">
        <f>SUM(Q59:AB59)</f>
        <v/>
      </c>
      <c r="AD59" s="39" t="n"/>
      <c r="AE59" s="174">
        <f>IFERROR(INDEX(JAN!$BH$8:$BH$73,MATCH($A59,JAN!$A$8:$A$73,0)),"")</f>
        <v/>
      </c>
      <c r="AF59" s="174">
        <f>IFERROR(INDEX(FEV!$BH$8:$BH$73,MATCH($A59,FEV!$A$8:$A$73,0)),"")</f>
        <v/>
      </c>
      <c r="AG59" s="174">
        <f>IFERROR(INDEX(MAR!$BH$8:$BH$73,MATCH($A59,MAR!$A$8:$A$73,0)),"")</f>
        <v/>
      </c>
      <c r="AH59" s="174">
        <f>IFERROR(INDEX(ABR!$BH$8:$BH$73,MATCH($A59,ABR!$A$8:$A$73,0)),"")</f>
        <v/>
      </c>
      <c r="AI59" s="174">
        <f>IFERROR(INDEX(MAI!$BH$8:$BH$73,MATCH($A59,MAI!$A$8:$A$73,0)),"")</f>
        <v/>
      </c>
      <c r="AJ59" s="174">
        <f>IFERROR(INDEX(JUN!$BH$8:$BH$73,MATCH($A59,JUN!$A$8:$A$73,0)),"")</f>
        <v/>
      </c>
      <c r="AK59" s="174">
        <f>IFERROR(INDEX(JUL!$BH$8:$BH$73,MATCH($A59,JUL!$A$8:$A$73,0)),"")</f>
        <v/>
      </c>
      <c r="AL59" s="174">
        <f>IFERROR(INDEX(AGO!$BH$8:$BH$73,MATCH($A59,AGO!$A$8:$A$73,0)),"")</f>
        <v/>
      </c>
      <c r="AM59" s="174">
        <f>IFERROR(INDEX(SET!$BH$8:$BH$73,MATCH($A59,SET!$A$8:$A$73,0)),"")</f>
        <v/>
      </c>
      <c r="AN59" s="174">
        <f>IFERROR(INDEX(OUT!$BH$8:$BH$73,MATCH($A59,OUT!$A$8:$A$73,0)),"")</f>
        <v/>
      </c>
      <c r="AO59" s="174">
        <f>IFERROR(INDEX(NOV!$BH$8:$BH$73,MATCH($A59,NOV!$A$8:$A$73,0)),"")</f>
        <v/>
      </c>
      <c r="AP59" s="174">
        <f>IFERROR(INDEX(DEZ!$BH$8:$BH$73,MATCH($A59,DEZ!$A$8:$A$73,0)),"")</f>
        <v/>
      </c>
      <c r="AQ59" s="175">
        <f>SUM(AE59:AP59)</f>
        <v/>
      </c>
      <c r="AR59" s="39" t="n"/>
      <c r="AS59" s="174">
        <f>IFERROR(INDEX(JAN!$BI$8:$BI$73,MATCH($A59,JAN!$A$8:$A$73,0)),"")</f>
        <v/>
      </c>
      <c r="AT59" s="174">
        <f>IFERROR(INDEX(FEV!$BI$8:$BI$73,MATCH($A59,FEV!$A$8:$A$73,0)),"")</f>
        <v/>
      </c>
      <c r="AU59" s="174">
        <f>IFERROR(INDEX(MAR!$BI$8:$BI$73,MATCH($A59,MAR!$A$8:$A$73,0)),"")</f>
        <v/>
      </c>
      <c r="AV59" s="174">
        <f>IFERROR(INDEX(ABR!$BI$8:$BI$73,MATCH($A59,ABR!$A$8:$A$73,0)),"")</f>
        <v/>
      </c>
      <c r="AW59" s="174">
        <f>IFERROR(INDEX(MAI!$BI$8:$BI$73,MATCH($A59,MAI!$A$8:$A$73,0)),"")</f>
        <v/>
      </c>
      <c r="AX59" s="174">
        <f>IFERROR(INDEX(JUN!$BI$8:$BI$73,MATCH($A59,JUN!$A$8:$A$73,0)),"")</f>
        <v/>
      </c>
      <c r="AY59" s="174">
        <f>IFERROR(INDEX(JUL!$BI$8:$BI$73,MATCH($A59,JUL!$A$8:$A$73,0)),"")</f>
        <v/>
      </c>
      <c r="AZ59" s="174">
        <f>IFERROR(INDEX(AGO!$BI$8:$BI$73,MATCH($A59,AGO!$A$8:$A$73,0)),"")</f>
        <v/>
      </c>
      <c r="BA59" s="174">
        <f>IFERROR(INDEX(SET!$BI$8:$BI$73,MATCH($A59,SET!$A$8:$A$73,0)),"")</f>
        <v/>
      </c>
      <c r="BB59" s="174">
        <f>IFERROR(INDEX(OUT!$BI$8:$BI$73,MATCH($A59,OUT!$A$8:$A$73,0)),"")</f>
        <v/>
      </c>
      <c r="BC59" s="174">
        <f>IFERROR(INDEX(NOV!$BI$8:$BI$73,MATCH($A59,NOV!$A$8:$A$73,0)),"")</f>
        <v/>
      </c>
      <c r="BD59" s="174">
        <f>IFERROR(INDEX(DEZ!$BI$8:$BI$73,MATCH($A59,DEZ!$A$8:$A$73,0)),"")</f>
        <v/>
      </c>
      <c r="BE59" s="175">
        <f>SUM(AS59:BD59)</f>
        <v/>
      </c>
      <c r="BF59" s="39" t="n"/>
      <c r="BG59" s="107" t="n">
        <v>5</v>
      </c>
      <c r="BH59" s="133">
        <f>SUM(AE59:AP59)</f>
        <v/>
      </c>
      <c r="BI59" s="176">
        <f>IF(BG59="","",IF(BG59=BH59,"","⚠"))</f>
        <v/>
      </c>
      <c r="BJ59" s="39" t="n"/>
      <c r="BK59" s="39" t="n"/>
    </row>
    <row r="60">
      <c r="A60" s="89" t="inlineStr">
        <is>
          <t>Melara</t>
        </is>
      </c>
      <c r="B60" s="173">
        <f>CADASTRO!$C56</f>
        <v/>
      </c>
      <c r="C60" s="174">
        <f>IFERROR(INDEX(JAN!$BK$8:$BK$73,MATCH($A60,JAN!$A$8:$A$73,0)),"")</f>
        <v/>
      </c>
      <c r="D60" s="174">
        <f>IFERROR(INDEX(FEV!$BK$8:$BK$73,MATCH($A60,FEV!$A$8:$A$73,0)),"")</f>
        <v/>
      </c>
      <c r="E60" s="174">
        <f>IFERROR(INDEX(MAR!$BK$8:$BK$73,MATCH($A60,MAR!$A$8:$A$73,0)),"")</f>
        <v/>
      </c>
      <c r="F60" s="174">
        <f>IFERROR(INDEX(ABR!$BK$8:$BK$73,MATCH($A60,ABR!$A$8:$A$73,0)),"")</f>
        <v/>
      </c>
      <c r="G60" s="174">
        <f>IFERROR(INDEX(MAI!$BK$8:$BK$73,MATCH($A60,MAI!$A$8:$A$73,0)),"")</f>
        <v/>
      </c>
      <c r="H60" s="174">
        <f>IFERROR(INDEX(JUN!$BK$8:$BK$73,MATCH($A60,JUN!$A$8:$A$73,0)),"")</f>
        <v/>
      </c>
      <c r="I60" s="174">
        <f>IFERROR(INDEX(JUL!$BK$8:$BK$73,MATCH($A60,JUL!$A$8:$A$73,0)),"")</f>
        <v/>
      </c>
      <c r="J60" s="174">
        <f>IFERROR(INDEX(AGO!$BK$8:$BK$73,MATCH($A60,AGO!$A$8:$A$73,0)),"")</f>
        <v/>
      </c>
      <c r="K60" s="174">
        <f>IFERROR(INDEX(SET!$BK$8:$BK$73,MATCH($A60,SET!$A$8:$A$73,0)),"")</f>
        <v/>
      </c>
      <c r="L60" s="174">
        <f>IFERROR(INDEX(OUT!$BK$8:$BK$73,MATCH($A60,OUT!$A$8:$A$73,0)),"")</f>
        <v/>
      </c>
      <c r="M60" s="174">
        <f>IFERROR(INDEX(NOV!$BK$8:$BK$73,MATCH($A60,NOV!$A$8:$A$73,0)),"")</f>
        <v/>
      </c>
      <c r="N60" s="174">
        <f>IFERROR(INDEX(DEZ!$BK$8:$BK$73,MATCH($A60,DEZ!$A$8:$A$73,0)),"")</f>
        <v/>
      </c>
      <c r="O60" s="175">
        <f>SUM(C60:N60)</f>
        <v/>
      </c>
      <c r="P60" s="39" t="n"/>
      <c r="Q60" s="174">
        <f>IFERROR(INDEX(JAN!$BG$8:$BG$73,MATCH($A60,JAN!$A$8:$A$73,0)),"")</f>
        <v/>
      </c>
      <c r="R60" s="174">
        <f>IFERROR(INDEX(FEV!$BG$8:$BG$73,MATCH($A60,FEV!$A$8:$A$73,0)),"")</f>
        <v/>
      </c>
      <c r="S60" s="174">
        <f>IFERROR(INDEX(MAR!$BG$8:$BG$73,MATCH($A60,MAR!$A$8:$A$73,0)),"")</f>
        <v/>
      </c>
      <c r="T60" s="174">
        <f>IFERROR(INDEX(ABR!$BG$8:$BG$73,MATCH($A60,ABR!$A$8:$A$73,0)),"")</f>
        <v/>
      </c>
      <c r="U60" s="174">
        <f>IFERROR(INDEX(MAI!$BG$8:$BG$73,MATCH($A60,MAI!$A$8:$A$73,0)),"")</f>
        <v/>
      </c>
      <c r="V60" s="174">
        <f>IFERROR(INDEX(JUN!$BG$8:$BG$73,MATCH($A60,JUN!$A$8:$A$73,0)),"")</f>
        <v/>
      </c>
      <c r="W60" s="174">
        <f>IFERROR(INDEX(JUL!$BG$8:$BG$73,MATCH($A60,JUL!$A$8:$A$73,0)),"")</f>
        <v/>
      </c>
      <c r="X60" s="174">
        <f>IFERROR(INDEX(AGO!$BG$8:$BG$73,MATCH($A60,AGO!$A$8:$A$73,0)),"")</f>
        <v/>
      </c>
      <c r="Y60" s="174">
        <f>IFERROR(INDEX(SET!$BG$8:$BG$73,MATCH($A60,SET!$A$8:$A$73,0)),"")</f>
        <v/>
      </c>
      <c r="Z60" s="174">
        <f>IFERROR(INDEX(OUT!$BG$8:$BG$73,MATCH($A60,OUT!$A$8:$A$73,0)),"")</f>
        <v/>
      </c>
      <c r="AA60" s="174">
        <f>IFERROR(INDEX(NOV!$BG$8:$BG$73,MATCH($A60,NOV!$A$8:$A$73,0)),"")</f>
        <v/>
      </c>
      <c r="AB60" s="174">
        <f>IFERROR(INDEX(DEZ!$BG$8:$BG$73,MATCH($A60,DEZ!$A$8:$A$73,0)),"")</f>
        <v/>
      </c>
      <c r="AC60" s="175">
        <f>SUM(Q60:AB60)</f>
        <v/>
      </c>
      <c r="AD60" s="39" t="n"/>
      <c r="AE60" s="174">
        <f>IFERROR(INDEX(JAN!$BH$8:$BH$73,MATCH($A60,JAN!$A$8:$A$73,0)),"")</f>
        <v/>
      </c>
      <c r="AF60" s="174">
        <f>IFERROR(INDEX(FEV!$BH$8:$BH$73,MATCH($A60,FEV!$A$8:$A$73,0)),"")</f>
        <v/>
      </c>
      <c r="AG60" s="174">
        <f>IFERROR(INDEX(MAR!$BH$8:$BH$73,MATCH($A60,MAR!$A$8:$A$73,0)),"")</f>
        <v/>
      </c>
      <c r="AH60" s="174">
        <f>IFERROR(INDEX(ABR!$BH$8:$BH$73,MATCH($A60,ABR!$A$8:$A$73,0)),"")</f>
        <v/>
      </c>
      <c r="AI60" s="174">
        <f>IFERROR(INDEX(MAI!$BH$8:$BH$73,MATCH($A60,MAI!$A$8:$A$73,0)),"")</f>
        <v/>
      </c>
      <c r="AJ60" s="174">
        <f>IFERROR(INDEX(JUN!$BH$8:$BH$73,MATCH($A60,JUN!$A$8:$A$73,0)),"")</f>
        <v/>
      </c>
      <c r="AK60" s="174">
        <f>IFERROR(INDEX(JUL!$BH$8:$BH$73,MATCH($A60,JUL!$A$8:$A$73,0)),"")</f>
        <v/>
      </c>
      <c r="AL60" s="174">
        <f>IFERROR(INDEX(AGO!$BH$8:$BH$73,MATCH($A60,AGO!$A$8:$A$73,0)),"")</f>
        <v/>
      </c>
      <c r="AM60" s="174">
        <f>IFERROR(INDEX(SET!$BH$8:$BH$73,MATCH($A60,SET!$A$8:$A$73,0)),"")</f>
        <v/>
      </c>
      <c r="AN60" s="174">
        <f>IFERROR(INDEX(OUT!$BH$8:$BH$73,MATCH($A60,OUT!$A$8:$A$73,0)),"")</f>
        <v/>
      </c>
      <c r="AO60" s="174">
        <f>IFERROR(INDEX(NOV!$BH$8:$BH$73,MATCH($A60,NOV!$A$8:$A$73,0)),"")</f>
        <v/>
      </c>
      <c r="AP60" s="174">
        <f>IFERROR(INDEX(DEZ!$BH$8:$BH$73,MATCH($A60,DEZ!$A$8:$A$73,0)),"")</f>
        <v/>
      </c>
      <c r="AQ60" s="175">
        <f>SUM(AE60:AP60)</f>
        <v/>
      </c>
      <c r="AR60" s="39" t="n"/>
      <c r="AS60" s="174">
        <f>IFERROR(INDEX(JAN!$BI$8:$BI$73,MATCH($A60,JAN!$A$8:$A$73,0)),"")</f>
        <v/>
      </c>
      <c r="AT60" s="174">
        <f>IFERROR(INDEX(FEV!$BI$8:$BI$73,MATCH($A60,FEV!$A$8:$A$73,0)),"")</f>
        <v/>
      </c>
      <c r="AU60" s="174">
        <f>IFERROR(INDEX(MAR!$BI$8:$BI$73,MATCH($A60,MAR!$A$8:$A$73,0)),"")</f>
        <v/>
      </c>
      <c r="AV60" s="174">
        <f>IFERROR(INDEX(ABR!$BI$8:$BI$73,MATCH($A60,ABR!$A$8:$A$73,0)),"")</f>
        <v/>
      </c>
      <c r="AW60" s="174">
        <f>IFERROR(INDEX(MAI!$BI$8:$BI$73,MATCH($A60,MAI!$A$8:$A$73,0)),"")</f>
        <v/>
      </c>
      <c r="AX60" s="174">
        <f>IFERROR(INDEX(JUN!$BI$8:$BI$73,MATCH($A60,JUN!$A$8:$A$73,0)),"")</f>
        <v/>
      </c>
      <c r="AY60" s="174">
        <f>IFERROR(INDEX(JUL!$BI$8:$BI$73,MATCH($A60,JUL!$A$8:$A$73,0)),"")</f>
        <v/>
      </c>
      <c r="AZ60" s="174">
        <f>IFERROR(INDEX(AGO!$BI$8:$BI$73,MATCH($A60,AGO!$A$8:$A$73,0)),"")</f>
        <v/>
      </c>
      <c r="BA60" s="174">
        <f>IFERROR(INDEX(SET!$BI$8:$BI$73,MATCH($A60,SET!$A$8:$A$73,0)),"")</f>
        <v/>
      </c>
      <c r="BB60" s="174">
        <f>IFERROR(INDEX(OUT!$BI$8:$BI$73,MATCH($A60,OUT!$A$8:$A$73,0)),"")</f>
        <v/>
      </c>
      <c r="BC60" s="174">
        <f>IFERROR(INDEX(NOV!$BI$8:$BI$73,MATCH($A60,NOV!$A$8:$A$73,0)),"")</f>
        <v/>
      </c>
      <c r="BD60" s="174">
        <f>IFERROR(INDEX(DEZ!$BI$8:$BI$73,MATCH($A60,DEZ!$A$8:$A$73,0)),"")</f>
        <v/>
      </c>
      <c r="BE60" s="175">
        <f>SUM(AS60:BD60)</f>
        <v/>
      </c>
      <c r="BF60" s="39" t="n"/>
      <c r="BG60" s="107" t="n">
        <v>10</v>
      </c>
      <c r="BH60" s="133">
        <f>SUM(AE60:AP60)</f>
        <v/>
      </c>
      <c r="BI60" s="176">
        <f>IF(BG60="","",IF(BG60=BH60,"","⚠"))</f>
        <v/>
      </c>
      <c r="BJ60" s="39" t="n"/>
      <c r="BK60" s="39" t="n"/>
    </row>
    <row r="61">
      <c r="A61" s="89" t="inlineStr">
        <is>
          <t>Moabe</t>
        </is>
      </c>
      <c r="B61" s="173">
        <f>CADASTRO!$C57</f>
        <v/>
      </c>
      <c r="C61" s="174">
        <f>IFERROR(INDEX(JAN!$BK$8:$BK$73,MATCH($A61,JAN!$A$8:$A$73,0)),"")</f>
        <v/>
      </c>
      <c r="D61" s="174">
        <f>IFERROR(INDEX(FEV!$BK$8:$BK$73,MATCH($A61,FEV!$A$8:$A$73,0)),"")</f>
        <v/>
      </c>
      <c r="E61" s="174">
        <f>IFERROR(INDEX(MAR!$BK$8:$BK$73,MATCH($A61,MAR!$A$8:$A$73,0)),"")</f>
        <v/>
      </c>
      <c r="F61" s="174">
        <f>IFERROR(INDEX(ABR!$BK$8:$BK$73,MATCH($A61,ABR!$A$8:$A$73,0)),"")</f>
        <v/>
      </c>
      <c r="G61" s="174">
        <f>IFERROR(INDEX(MAI!$BK$8:$BK$73,MATCH($A61,MAI!$A$8:$A$73,0)),"")</f>
        <v/>
      </c>
      <c r="H61" s="174">
        <f>IFERROR(INDEX(JUN!$BK$8:$BK$73,MATCH($A61,JUN!$A$8:$A$73,0)),"")</f>
        <v/>
      </c>
      <c r="I61" s="174">
        <f>IFERROR(INDEX(JUL!$BK$8:$BK$73,MATCH($A61,JUL!$A$8:$A$73,0)),"")</f>
        <v/>
      </c>
      <c r="J61" s="174">
        <f>IFERROR(INDEX(AGO!$BK$8:$BK$73,MATCH($A61,AGO!$A$8:$A$73,0)),"")</f>
        <v/>
      </c>
      <c r="K61" s="174">
        <f>IFERROR(INDEX(SET!$BK$8:$BK$73,MATCH($A61,SET!$A$8:$A$73,0)),"")</f>
        <v/>
      </c>
      <c r="L61" s="174">
        <f>IFERROR(INDEX(OUT!$BK$8:$BK$73,MATCH($A61,OUT!$A$8:$A$73,0)),"")</f>
        <v/>
      </c>
      <c r="M61" s="174">
        <f>IFERROR(INDEX(NOV!$BK$8:$BK$73,MATCH($A61,NOV!$A$8:$A$73,0)),"")</f>
        <v/>
      </c>
      <c r="N61" s="174">
        <f>IFERROR(INDEX(DEZ!$BK$8:$BK$73,MATCH($A61,DEZ!$A$8:$A$73,0)),"")</f>
        <v/>
      </c>
      <c r="O61" s="175">
        <f>SUM(C61:N61)</f>
        <v/>
      </c>
      <c r="P61" s="39" t="n"/>
      <c r="Q61" s="174">
        <f>IFERROR(INDEX(JAN!$BG$8:$BG$73,MATCH($A61,JAN!$A$8:$A$73,0)),"")</f>
        <v/>
      </c>
      <c r="R61" s="174">
        <f>IFERROR(INDEX(FEV!$BG$8:$BG$73,MATCH($A61,FEV!$A$8:$A$73,0)),"")</f>
        <v/>
      </c>
      <c r="S61" s="174">
        <f>IFERROR(INDEX(MAR!$BG$8:$BG$73,MATCH($A61,MAR!$A$8:$A$73,0)),"")</f>
        <v/>
      </c>
      <c r="T61" s="174">
        <f>IFERROR(INDEX(ABR!$BG$8:$BG$73,MATCH($A61,ABR!$A$8:$A$73,0)),"")</f>
        <v/>
      </c>
      <c r="U61" s="174">
        <f>IFERROR(INDEX(MAI!$BG$8:$BG$73,MATCH($A61,MAI!$A$8:$A$73,0)),"")</f>
        <v/>
      </c>
      <c r="V61" s="174">
        <f>IFERROR(INDEX(JUN!$BG$8:$BG$73,MATCH($A61,JUN!$A$8:$A$73,0)),"")</f>
        <v/>
      </c>
      <c r="W61" s="174">
        <f>IFERROR(INDEX(JUL!$BG$8:$BG$73,MATCH($A61,JUL!$A$8:$A$73,0)),"")</f>
        <v/>
      </c>
      <c r="X61" s="174">
        <f>IFERROR(INDEX(AGO!$BG$8:$BG$73,MATCH($A61,AGO!$A$8:$A$73,0)),"")</f>
        <v/>
      </c>
      <c r="Y61" s="174">
        <f>IFERROR(INDEX(SET!$BG$8:$BG$73,MATCH($A61,SET!$A$8:$A$73,0)),"")</f>
        <v/>
      </c>
      <c r="Z61" s="174">
        <f>IFERROR(INDEX(OUT!$BG$8:$BG$73,MATCH($A61,OUT!$A$8:$A$73,0)),"")</f>
        <v/>
      </c>
      <c r="AA61" s="174">
        <f>IFERROR(INDEX(NOV!$BG$8:$BG$73,MATCH($A61,NOV!$A$8:$A$73,0)),"")</f>
        <v/>
      </c>
      <c r="AB61" s="174">
        <f>IFERROR(INDEX(DEZ!$BG$8:$BG$73,MATCH($A61,DEZ!$A$8:$A$73,0)),"")</f>
        <v/>
      </c>
      <c r="AC61" s="175">
        <f>SUM(Q61:AB61)</f>
        <v/>
      </c>
      <c r="AD61" s="39" t="n"/>
      <c r="AE61" s="174">
        <f>IFERROR(INDEX(JAN!$BH$8:$BH$73,MATCH($A61,JAN!$A$8:$A$73,0)),"")</f>
        <v/>
      </c>
      <c r="AF61" s="174">
        <f>IFERROR(INDEX(FEV!$BH$8:$BH$73,MATCH($A61,FEV!$A$8:$A$73,0)),"")</f>
        <v/>
      </c>
      <c r="AG61" s="174">
        <f>IFERROR(INDEX(MAR!$BH$8:$BH$73,MATCH($A61,MAR!$A$8:$A$73,0)),"")</f>
        <v/>
      </c>
      <c r="AH61" s="174">
        <f>IFERROR(INDEX(ABR!$BH$8:$BH$73,MATCH($A61,ABR!$A$8:$A$73,0)),"")</f>
        <v/>
      </c>
      <c r="AI61" s="174">
        <f>IFERROR(INDEX(MAI!$BH$8:$BH$73,MATCH($A61,MAI!$A$8:$A$73,0)),"")</f>
        <v/>
      </c>
      <c r="AJ61" s="174">
        <f>IFERROR(INDEX(JUN!$BH$8:$BH$73,MATCH($A61,JUN!$A$8:$A$73,0)),"")</f>
        <v/>
      </c>
      <c r="AK61" s="174">
        <f>IFERROR(INDEX(JUL!$BH$8:$BH$73,MATCH($A61,JUL!$A$8:$A$73,0)),"")</f>
        <v/>
      </c>
      <c r="AL61" s="174">
        <f>IFERROR(INDEX(AGO!$BH$8:$BH$73,MATCH($A61,AGO!$A$8:$A$73,0)),"")</f>
        <v/>
      </c>
      <c r="AM61" s="174">
        <f>IFERROR(INDEX(SET!$BH$8:$BH$73,MATCH($A61,SET!$A$8:$A$73,0)),"")</f>
        <v/>
      </c>
      <c r="AN61" s="174">
        <f>IFERROR(INDEX(OUT!$BH$8:$BH$73,MATCH($A61,OUT!$A$8:$A$73,0)),"")</f>
        <v/>
      </c>
      <c r="AO61" s="174">
        <f>IFERROR(INDEX(NOV!$BH$8:$BH$73,MATCH($A61,NOV!$A$8:$A$73,0)),"")</f>
        <v/>
      </c>
      <c r="AP61" s="174">
        <f>IFERROR(INDEX(DEZ!$BH$8:$BH$73,MATCH($A61,DEZ!$A$8:$A$73,0)),"")</f>
        <v/>
      </c>
      <c r="AQ61" s="175">
        <f>SUM(AE61:AP61)</f>
        <v/>
      </c>
      <c r="AR61" s="39" t="n"/>
      <c r="AS61" s="174">
        <f>IFERROR(INDEX(JAN!$BI$8:$BI$73,MATCH($A61,JAN!$A$8:$A$73,0)),"")</f>
        <v/>
      </c>
      <c r="AT61" s="174">
        <f>IFERROR(INDEX(FEV!$BI$8:$BI$73,MATCH($A61,FEV!$A$8:$A$73,0)),"")</f>
        <v/>
      </c>
      <c r="AU61" s="174">
        <f>IFERROR(INDEX(MAR!$BI$8:$BI$73,MATCH($A61,MAR!$A$8:$A$73,0)),"")</f>
        <v/>
      </c>
      <c r="AV61" s="174">
        <f>IFERROR(INDEX(ABR!$BI$8:$BI$73,MATCH($A61,ABR!$A$8:$A$73,0)),"")</f>
        <v/>
      </c>
      <c r="AW61" s="174">
        <f>IFERROR(INDEX(MAI!$BI$8:$BI$73,MATCH($A61,MAI!$A$8:$A$73,0)),"")</f>
        <v/>
      </c>
      <c r="AX61" s="174">
        <f>IFERROR(INDEX(JUN!$BI$8:$BI$73,MATCH($A61,JUN!$A$8:$A$73,0)),"")</f>
        <v/>
      </c>
      <c r="AY61" s="174">
        <f>IFERROR(INDEX(JUL!$BI$8:$BI$73,MATCH($A61,JUL!$A$8:$A$73,0)),"")</f>
        <v/>
      </c>
      <c r="AZ61" s="174">
        <f>IFERROR(INDEX(AGO!$BI$8:$BI$73,MATCH($A61,AGO!$A$8:$A$73,0)),"")</f>
        <v/>
      </c>
      <c r="BA61" s="174">
        <f>IFERROR(INDEX(SET!$BI$8:$BI$73,MATCH($A61,SET!$A$8:$A$73,0)),"")</f>
        <v/>
      </c>
      <c r="BB61" s="174">
        <f>IFERROR(INDEX(OUT!$BI$8:$BI$73,MATCH($A61,OUT!$A$8:$A$73,0)),"")</f>
        <v/>
      </c>
      <c r="BC61" s="174">
        <f>IFERROR(INDEX(NOV!$BI$8:$BI$73,MATCH($A61,NOV!$A$8:$A$73,0)),"")</f>
        <v/>
      </c>
      <c r="BD61" s="174">
        <f>IFERROR(INDEX(DEZ!$BI$8:$BI$73,MATCH($A61,DEZ!$A$8:$A$73,0)),"")</f>
        <v/>
      </c>
      <c r="BE61" s="175">
        <f>SUM(AS61:BD61)</f>
        <v/>
      </c>
      <c r="BF61" s="39" t="n"/>
      <c r="BG61" s="107" t="n">
        <v>4</v>
      </c>
      <c r="BH61" s="133">
        <f>SUM(AE61:AP61)</f>
        <v/>
      </c>
      <c r="BI61" s="176">
        <f>IF(BG61="","",IF(BG61=BH61,"","⚠"))</f>
        <v/>
      </c>
      <c r="BJ61" s="39" t="n"/>
      <c r="BK61" s="39" t="n"/>
    </row>
    <row r="62">
      <c r="A62" s="89" t="inlineStr">
        <is>
          <t>Nishioka</t>
        </is>
      </c>
      <c r="B62" s="173">
        <f>CADASTRO!$C58</f>
        <v/>
      </c>
      <c r="C62" s="174">
        <f>IFERROR(INDEX(JAN!$BK$8:$BK$73,MATCH($A62,JAN!$A$8:$A$73,0)),"")</f>
        <v/>
      </c>
      <c r="D62" s="174">
        <f>IFERROR(INDEX(FEV!$BK$8:$BK$73,MATCH($A62,FEV!$A$8:$A$73,0)),"")</f>
        <v/>
      </c>
      <c r="E62" s="174">
        <f>IFERROR(INDEX(MAR!$BK$8:$BK$73,MATCH($A62,MAR!$A$8:$A$73,0)),"")</f>
        <v/>
      </c>
      <c r="F62" s="174">
        <f>IFERROR(INDEX(ABR!$BK$8:$BK$73,MATCH($A62,ABR!$A$8:$A$73,0)),"")</f>
        <v/>
      </c>
      <c r="G62" s="174">
        <f>IFERROR(INDEX(MAI!$BK$8:$BK$73,MATCH($A62,MAI!$A$8:$A$73,0)),"")</f>
        <v/>
      </c>
      <c r="H62" s="174">
        <f>IFERROR(INDEX(JUN!$BK$8:$BK$73,MATCH($A62,JUN!$A$8:$A$73,0)),"")</f>
        <v/>
      </c>
      <c r="I62" s="174">
        <f>IFERROR(INDEX(JUL!$BK$8:$BK$73,MATCH($A62,JUL!$A$8:$A$73,0)),"")</f>
        <v/>
      </c>
      <c r="J62" s="174">
        <f>IFERROR(INDEX(AGO!$BK$8:$BK$73,MATCH($A62,AGO!$A$8:$A$73,0)),"")</f>
        <v/>
      </c>
      <c r="K62" s="174">
        <f>IFERROR(INDEX(SET!$BK$8:$BK$73,MATCH($A62,SET!$A$8:$A$73,0)),"")</f>
        <v/>
      </c>
      <c r="L62" s="174">
        <f>IFERROR(INDEX(OUT!$BK$8:$BK$73,MATCH($A62,OUT!$A$8:$A$73,0)),"")</f>
        <v/>
      </c>
      <c r="M62" s="174">
        <f>IFERROR(INDEX(NOV!$BK$8:$BK$73,MATCH($A62,NOV!$A$8:$A$73,0)),"")</f>
        <v/>
      </c>
      <c r="N62" s="174">
        <f>IFERROR(INDEX(DEZ!$BK$8:$BK$73,MATCH($A62,DEZ!$A$8:$A$73,0)),"")</f>
        <v/>
      </c>
      <c r="O62" s="175">
        <f>SUM(C62:N62)</f>
        <v/>
      </c>
      <c r="P62" s="39" t="n"/>
      <c r="Q62" s="174">
        <f>IFERROR(INDEX(JAN!$BG$8:$BG$73,MATCH($A62,JAN!$A$8:$A$73,0)),"")</f>
        <v/>
      </c>
      <c r="R62" s="174">
        <f>IFERROR(INDEX(FEV!$BG$8:$BG$73,MATCH($A62,FEV!$A$8:$A$73,0)),"")</f>
        <v/>
      </c>
      <c r="S62" s="174">
        <f>IFERROR(INDEX(MAR!$BG$8:$BG$73,MATCH($A62,MAR!$A$8:$A$73,0)),"")</f>
        <v/>
      </c>
      <c r="T62" s="174">
        <f>IFERROR(INDEX(ABR!$BG$8:$BG$73,MATCH($A62,ABR!$A$8:$A$73,0)),"")</f>
        <v/>
      </c>
      <c r="U62" s="174">
        <f>IFERROR(INDEX(MAI!$BG$8:$BG$73,MATCH($A62,MAI!$A$8:$A$73,0)),"")</f>
        <v/>
      </c>
      <c r="V62" s="174">
        <f>IFERROR(INDEX(JUN!$BG$8:$BG$73,MATCH($A62,JUN!$A$8:$A$73,0)),"")</f>
        <v/>
      </c>
      <c r="W62" s="174">
        <f>IFERROR(INDEX(JUL!$BG$8:$BG$73,MATCH($A62,JUL!$A$8:$A$73,0)),"")</f>
        <v/>
      </c>
      <c r="X62" s="174">
        <f>IFERROR(INDEX(AGO!$BG$8:$BG$73,MATCH($A62,AGO!$A$8:$A$73,0)),"")</f>
        <v/>
      </c>
      <c r="Y62" s="174">
        <f>IFERROR(INDEX(SET!$BG$8:$BG$73,MATCH($A62,SET!$A$8:$A$73,0)),"")</f>
        <v/>
      </c>
      <c r="Z62" s="174">
        <f>IFERROR(INDEX(OUT!$BG$8:$BG$73,MATCH($A62,OUT!$A$8:$A$73,0)),"")</f>
        <v/>
      </c>
      <c r="AA62" s="174">
        <f>IFERROR(INDEX(NOV!$BG$8:$BG$73,MATCH($A62,NOV!$A$8:$A$73,0)),"")</f>
        <v/>
      </c>
      <c r="AB62" s="174">
        <f>IFERROR(INDEX(DEZ!$BG$8:$BG$73,MATCH($A62,DEZ!$A$8:$A$73,0)),"")</f>
        <v/>
      </c>
      <c r="AC62" s="175">
        <f>SUM(Q62:AB62)</f>
        <v/>
      </c>
      <c r="AD62" s="39" t="n"/>
      <c r="AE62" s="174">
        <f>IFERROR(INDEX(JAN!$BH$8:$BH$73,MATCH($A62,JAN!$A$8:$A$73,0)),"")</f>
        <v/>
      </c>
      <c r="AF62" s="174">
        <f>IFERROR(INDEX(FEV!$BH$8:$BH$73,MATCH($A62,FEV!$A$8:$A$73,0)),"")</f>
        <v/>
      </c>
      <c r="AG62" s="174">
        <f>IFERROR(INDEX(MAR!$BH$8:$BH$73,MATCH($A62,MAR!$A$8:$A$73,0)),"")</f>
        <v/>
      </c>
      <c r="AH62" s="174">
        <f>IFERROR(INDEX(ABR!$BH$8:$BH$73,MATCH($A62,ABR!$A$8:$A$73,0)),"")</f>
        <v/>
      </c>
      <c r="AI62" s="174">
        <f>IFERROR(INDEX(MAI!$BH$8:$BH$73,MATCH($A62,MAI!$A$8:$A$73,0)),"")</f>
        <v/>
      </c>
      <c r="AJ62" s="174">
        <f>IFERROR(INDEX(JUN!$BH$8:$BH$73,MATCH($A62,JUN!$A$8:$A$73,0)),"")</f>
        <v/>
      </c>
      <c r="AK62" s="174">
        <f>IFERROR(INDEX(JUL!$BH$8:$BH$73,MATCH($A62,JUL!$A$8:$A$73,0)),"")</f>
        <v/>
      </c>
      <c r="AL62" s="174">
        <f>IFERROR(INDEX(AGO!$BH$8:$BH$73,MATCH($A62,AGO!$A$8:$A$73,0)),"")</f>
        <v/>
      </c>
      <c r="AM62" s="174">
        <f>IFERROR(INDEX(SET!$BH$8:$BH$73,MATCH($A62,SET!$A$8:$A$73,0)),"")</f>
        <v/>
      </c>
      <c r="AN62" s="174">
        <f>IFERROR(INDEX(OUT!$BH$8:$BH$73,MATCH($A62,OUT!$A$8:$A$73,0)),"")</f>
        <v/>
      </c>
      <c r="AO62" s="174">
        <f>IFERROR(INDEX(NOV!$BH$8:$BH$73,MATCH($A62,NOV!$A$8:$A$73,0)),"")</f>
        <v/>
      </c>
      <c r="AP62" s="174">
        <f>IFERROR(INDEX(DEZ!$BH$8:$BH$73,MATCH($A62,DEZ!$A$8:$A$73,0)),"")</f>
        <v/>
      </c>
      <c r="AQ62" s="175">
        <f>SUM(AE62:AP62)</f>
        <v/>
      </c>
      <c r="AR62" s="39" t="n"/>
      <c r="AS62" s="174">
        <f>IFERROR(INDEX(JAN!$BI$8:$BI$73,MATCH($A62,JAN!$A$8:$A$73,0)),"")</f>
        <v/>
      </c>
      <c r="AT62" s="174">
        <f>IFERROR(INDEX(FEV!$BI$8:$BI$73,MATCH($A62,FEV!$A$8:$A$73,0)),"")</f>
        <v/>
      </c>
      <c r="AU62" s="174">
        <f>IFERROR(INDEX(MAR!$BI$8:$BI$73,MATCH($A62,MAR!$A$8:$A$73,0)),"")</f>
        <v/>
      </c>
      <c r="AV62" s="174">
        <f>IFERROR(INDEX(ABR!$BI$8:$BI$73,MATCH($A62,ABR!$A$8:$A$73,0)),"")</f>
        <v/>
      </c>
      <c r="AW62" s="174">
        <f>IFERROR(INDEX(MAI!$BI$8:$BI$73,MATCH($A62,MAI!$A$8:$A$73,0)),"")</f>
        <v/>
      </c>
      <c r="AX62" s="174">
        <f>IFERROR(INDEX(JUN!$BI$8:$BI$73,MATCH($A62,JUN!$A$8:$A$73,0)),"")</f>
        <v/>
      </c>
      <c r="AY62" s="174">
        <f>IFERROR(INDEX(JUL!$BI$8:$BI$73,MATCH($A62,JUL!$A$8:$A$73,0)),"")</f>
        <v/>
      </c>
      <c r="AZ62" s="174">
        <f>IFERROR(INDEX(AGO!$BI$8:$BI$73,MATCH($A62,AGO!$A$8:$A$73,0)),"")</f>
        <v/>
      </c>
      <c r="BA62" s="174">
        <f>IFERROR(INDEX(SET!$BI$8:$BI$73,MATCH($A62,SET!$A$8:$A$73,0)),"")</f>
        <v/>
      </c>
      <c r="BB62" s="174">
        <f>IFERROR(INDEX(OUT!$BI$8:$BI$73,MATCH($A62,OUT!$A$8:$A$73,0)),"")</f>
        <v/>
      </c>
      <c r="BC62" s="174">
        <f>IFERROR(INDEX(NOV!$BI$8:$BI$73,MATCH($A62,NOV!$A$8:$A$73,0)),"")</f>
        <v/>
      </c>
      <c r="BD62" s="174">
        <f>IFERROR(INDEX(DEZ!$BI$8:$BI$73,MATCH($A62,DEZ!$A$8:$A$73,0)),"")</f>
        <v/>
      </c>
      <c r="BE62" s="175">
        <f>SUM(AS62:BD62)</f>
        <v/>
      </c>
      <c r="BF62" s="39" t="n"/>
      <c r="BG62" s="107" t="n">
        <v>5</v>
      </c>
      <c r="BH62" s="133">
        <f>SUM(AE62:AP62)</f>
        <v/>
      </c>
      <c r="BI62" s="176">
        <f>IF(BG62="","",IF(BG62=BH62,"","⚠"))</f>
        <v/>
      </c>
      <c r="BJ62" s="39" t="n"/>
      <c r="BK62" s="39" t="n"/>
    </row>
    <row r="63">
      <c r="A63" s="89" t="inlineStr">
        <is>
          <t>Patricia</t>
        </is>
      </c>
      <c r="B63" s="173">
        <f>CADASTRO!$C59</f>
        <v/>
      </c>
      <c r="C63" s="174">
        <f>IFERROR(INDEX(JAN!$BK$8:$BK$73,MATCH($A63,JAN!$A$8:$A$73,0)),"")</f>
        <v/>
      </c>
      <c r="D63" s="174">
        <f>IFERROR(INDEX(FEV!$BK$8:$BK$73,MATCH($A63,FEV!$A$8:$A$73,0)),"")</f>
        <v/>
      </c>
      <c r="E63" s="174">
        <f>IFERROR(INDEX(MAR!$BK$8:$BK$73,MATCH($A63,MAR!$A$8:$A$73,0)),"")</f>
        <v/>
      </c>
      <c r="F63" s="174">
        <f>IFERROR(INDEX(ABR!$BK$8:$BK$73,MATCH($A63,ABR!$A$8:$A$73,0)),"")</f>
        <v/>
      </c>
      <c r="G63" s="174">
        <f>IFERROR(INDEX(MAI!$BK$8:$BK$73,MATCH($A63,MAI!$A$8:$A$73,0)),"")</f>
        <v/>
      </c>
      <c r="H63" s="174">
        <f>IFERROR(INDEX(JUN!$BK$8:$BK$73,MATCH($A63,JUN!$A$8:$A$73,0)),"")</f>
        <v/>
      </c>
      <c r="I63" s="174">
        <f>IFERROR(INDEX(JUL!$BK$8:$BK$73,MATCH($A63,JUL!$A$8:$A$73,0)),"")</f>
        <v/>
      </c>
      <c r="J63" s="174">
        <f>IFERROR(INDEX(AGO!$BK$8:$BK$73,MATCH($A63,AGO!$A$8:$A$73,0)),"")</f>
        <v/>
      </c>
      <c r="K63" s="174">
        <f>IFERROR(INDEX(SET!$BK$8:$BK$73,MATCH($A63,SET!$A$8:$A$73,0)),"")</f>
        <v/>
      </c>
      <c r="L63" s="174">
        <f>IFERROR(INDEX(OUT!$BK$8:$BK$73,MATCH($A63,OUT!$A$8:$A$73,0)),"")</f>
        <v/>
      </c>
      <c r="M63" s="174">
        <f>IFERROR(INDEX(NOV!$BK$8:$BK$73,MATCH($A63,NOV!$A$8:$A$73,0)),"")</f>
        <v/>
      </c>
      <c r="N63" s="174">
        <f>IFERROR(INDEX(DEZ!$BK$8:$BK$73,MATCH($A63,DEZ!$A$8:$A$73,0)),"")</f>
        <v/>
      </c>
      <c r="O63" s="175">
        <f>SUM(C63:N63)</f>
        <v/>
      </c>
      <c r="P63" s="39" t="n"/>
      <c r="Q63" s="174">
        <f>IFERROR(INDEX(JAN!$BG$8:$BG$73,MATCH($A63,JAN!$A$8:$A$73,0)),"")</f>
        <v/>
      </c>
      <c r="R63" s="174">
        <f>IFERROR(INDEX(FEV!$BG$8:$BG$73,MATCH($A63,FEV!$A$8:$A$73,0)),"")</f>
        <v/>
      </c>
      <c r="S63" s="174">
        <f>IFERROR(INDEX(MAR!$BG$8:$BG$73,MATCH($A63,MAR!$A$8:$A$73,0)),"")</f>
        <v/>
      </c>
      <c r="T63" s="174">
        <f>IFERROR(INDEX(ABR!$BG$8:$BG$73,MATCH($A63,ABR!$A$8:$A$73,0)),"")</f>
        <v/>
      </c>
      <c r="U63" s="174">
        <f>IFERROR(INDEX(MAI!$BG$8:$BG$73,MATCH($A63,MAI!$A$8:$A$73,0)),"")</f>
        <v/>
      </c>
      <c r="V63" s="174">
        <f>IFERROR(INDEX(JUN!$BG$8:$BG$73,MATCH($A63,JUN!$A$8:$A$73,0)),"")</f>
        <v/>
      </c>
      <c r="W63" s="174">
        <f>IFERROR(INDEX(JUL!$BG$8:$BG$73,MATCH($A63,JUL!$A$8:$A$73,0)),"")</f>
        <v/>
      </c>
      <c r="X63" s="174">
        <f>IFERROR(INDEX(AGO!$BG$8:$BG$73,MATCH($A63,AGO!$A$8:$A$73,0)),"")</f>
        <v/>
      </c>
      <c r="Y63" s="174">
        <f>IFERROR(INDEX(SET!$BG$8:$BG$73,MATCH($A63,SET!$A$8:$A$73,0)),"")</f>
        <v/>
      </c>
      <c r="Z63" s="174">
        <f>IFERROR(INDEX(OUT!$BG$8:$BG$73,MATCH($A63,OUT!$A$8:$A$73,0)),"")</f>
        <v/>
      </c>
      <c r="AA63" s="174">
        <f>IFERROR(INDEX(NOV!$BG$8:$BG$73,MATCH($A63,NOV!$A$8:$A$73,0)),"")</f>
        <v/>
      </c>
      <c r="AB63" s="174">
        <f>IFERROR(INDEX(DEZ!$BG$8:$BG$73,MATCH($A63,DEZ!$A$8:$A$73,0)),"")</f>
        <v/>
      </c>
      <c r="AC63" s="175">
        <f>SUM(Q63:AB63)</f>
        <v/>
      </c>
      <c r="AD63" s="39" t="n"/>
      <c r="AE63" s="174">
        <f>IFERROR(INDEX(JAN!$BH$8:$BH$73,MATCH($A63,JAN!$A$8:$A$73,0)),"")</f>
        <v/>
      </c>
      <c r="AF63" s="174">
        <f>IFERROR(INDEX(FEV!$BH$8:$BH$73,MATCH($A63,FEV!$A$8:$A$73,0)),"")</f>
        <v/>
      </c>
      <c r="AG63" s="174">
        <f>IFERROR(INDEX(MAR!$BH$8:$BH$73,MATCH($A63,MAR!$A$8:$A$73,0)),"")</f>
        <v/>
      </c>
      <c r="AH63" s="174">
        <f>IFERROR(INDEX(ABR!$BH$8:$BH$73,MATCH($A63,ABR!$A$8:$A$73,0)),"")</f>
        <v/>
      </c>
      <c r="AI63" s="174">
        <f>IFERROR(INDEX(MAI!$BH$8:$BH$73,MATCH($A63,MAI!$A$8:$A$73,0)),"")</f>
        <v/>
      </c>
      <c r="AJ63" s="174">
        <f>IFERROR(INDEX(JUN!$BH$8:$BH$73,MATCH($A63,JUN!$A$8:$A$73,0)),"")</f>
        <v/>
      </c>
      <c r="AK63" s="174">
        <f>IFERROR(INDEX(JUL!$BH$8:$BH$73,MATCH($A63,JUL!$A$8:$A$73,0)),"")</f>
        <v/>
      </c>
      <c r="AL63" s="174">
        <f>IFERROR(INDEX(AGO!$BH$8:$BH$73,MATCH($A63,AGO!$A$8:$A$73,0)),"")</f>
        <v/>
      </c>
      <c r="AM63" s="174">
        <f>IFERROR(INDEX(SET!$BH$8:$BH$73,MATCH($A63,SET!$A$8:$A$73,0)),"")</f>
        <v/>
      </c>
      <c r="AN63" s="174">
        <f>IFERROR(INDEX(OUT!$BH$8:$BH$73,MATCH($A63,OUT!$A$8:$A$73,0)),"")</f>
        <v/>
      </c>
      <c r="AO63" s="174">
        <f>IFERROR(INDEX(NOV!$BH$8:$BH$73,MATCH($A63,NOV!$A$8:$A$73,0)),"")</f>
        <v/>
      </c>
      <c r="AP63" s="174">
        <f>IFERROR(INDEX(DEZ!$BH$8:$BH$73,MATCH($A63,DEZ!$A$8:$A$73,0)),"")</f>
        <v/>
      </c>
      <c r="AQ63" s="175">
        <f>SUM(AE63:AP63)</f>
        <v/>
      </c>
      <c r="AR63" s="39" t="n"/>
      <c r="AS63" s="174">
        <f>IFERROR(INDEX(JAN!$BI$8:$BI$73,MATCH($A63,JAN!$A$8:$A$73,0)),"")</f>
        <v/>
      </c>
      <c r="AT63" s="174">
        <f>IFERROR(INDEX(FEV!$BI$8:$BI$73,MATCH($A63,FEV!$A$8:$A$73,0)),"")</f>
        <v/>
      </c>
      <c r="AU63" s="174">
        <f>IFERROR(INDEX(MAR!$BI$8:$BI$73,MATCH($A63,MAR!$A$8:$A$73,0)),"")</f>
        <v/>
      </c>
      <c r="AV63" s="174">
        <f>IFERROR(INDEX(ABR!$BI$8:$BI$73,MATCH($A63,ABR!$A$8:$A$73,0)),"")</f>
        <v/>
      </c>
      <c r="AW63" s="174">
        <f>IFERROR(INDEX(MAI!$BI$8:$BI$73,MATCH($A63,MAI!$A$8:$A$73,0)),"")</f>
        <v/>
      </c>
      <c r="AX63" s="174">
        <f>IFERROR(INDEX(JUN!$BI$8:$BI$73,MATCH($A63,JUN!$A$8:$A$73,0)),"")</f>
        <v/>
      </c>
      <c r="AY63" s="174">
        <f>IFERROR(INDEX(JUL!$BI$8:$BI$73,MATCH($A63,JUL!$A$8:$A$73,0)),"")</f>
        <v/>
      </c>
      <c r="AZ63" s="174">
        <f>IFERROR(INDEX(AGO!$BI$8:$BI$73,MATCH($A63,AGO!$A$8:$A$73,0)),"")</f>
        <v/>
      </c>
      <c r="BA63" s="174">
        <f>IFERROR(INDEX(SET!$BI$8:$BI$73,MATCH($A63,SET!$A$8:$A$73,0)),"")</f>
        <v/>
      </c>
      <c r="BB63" s="174">
        <f>IFERROR(INDEX(OUT!$BI$8:$BI$73,MATCH($A63,OUT!$A$8:$A$73,0)),"")</f>
        <v/>
      </c>
      <c r="BC63" s="174">
        <f>IFERROR(INDEX(NOV!$BI$8:$BI$73,MATCH($A63,NOV!$A$8:$A$73,0)),"")</f>
        <v/>
      </c>
      <c r="BD63" s="174">
        <f>IFERROR(INDEX(DEZ!$BI$8:$BI$73,MATCH($A63,DEZ!$A$8:$A$73,0)),"")</f>
        <v/>
      </c>
      <c r="BE63" s="175">
        <f>SUM(AS63:BD63)</f>
        <v/>
      </c>
      <c r="BF63" s="39" t="n"/>
      <c r="BG63" s="107" t="n">
        <v>3</v>
      </c>
      <c r="BH63" s="133">
        <f>SUM(AE63:AP63)</f>
        <v/>
      </c>
      <c r="BI63" s="176">
        <f>IF(BG63="","",IF(BG63=BH63,"","⚠"))</f>
        <v/>
      </c>
      <c r="BJ63" s="39" t="n"/>
      <c r="BK63" s="39" t="n"/>
    </row>
    <row r="64">
      <c r="A64" s="89" t="inlineStr">
        <is>
          <t>Pedro</t>
        </is>
      </c>
      <c r="B64" s="173">
        <f>CADASTRO!$C60</f>
        <v/>
      </c>
      <c r="C64" s="174">
        <f>IFERROR(INDEX(JAN!$BK$8:$BK$73,MATCH($A64,JAN!$A$8:$A$73,0)),"")</f>
        <v/>
      </c>
      <c r="D64" s="174">
        <f>IFERROR(INDEX(FEV!$BK$8:$BK$73,MATCH($A64,FEV!$A$8:$A$73,0)),"")</f>
        <v/>
      </c>
      <c r="E64" s="174">
        <f>IFERROR(INDEX(MAR!$BK$8:$BK$73,MATCH($A64,MAR!$A$8:$A$73,0)),"")</f>
        <v/>
      </c>
      <c r="F64" s="174">
        <f>IFERROR(INDEX(ABR!$BK$8:$BK$73,MATCH($A64,ABR!$A$8:$A$73,0)),"")</f>
        <v/>
      </c>
      <c r="G64" s="174">
        <f>IFERROR(INDEX(MAI!$BK$8:$BK$73,MATCH($A64,MAI!$A$8:$A$73,0)),"")</f>
        <v/>
      </c>
      <c r="H64" s="174">
        <f>IFERROR(INDEX(JUN!$BK$8:$BK$73,MATCH($A64,JUN!$A$8:$A$73,0)),"")</f>
        <v/>
      </c>
      <c r="I64" s="174">
        <f>IFERROR(INDEX(JUL!$BK$8:$BK$73,MATCH($A64,JUL!$A$8:$A$73,0)),"")</f>
        <v/>
      </c>
      <c r="J64" s="174">
        <f>IFERROR(INDEX(AGO!$BK$8:$BK$73,MATCH($A64,AGO!$A$8:$A$73,0)),"")</f>
        <v/>
      </c>
      <c r="K64" s="174">
        <f>IFERROR(INDEX(SET!$BK$8:$BK$73,MATCH($A64,SET!$A$8:$A$73,0)),"")</f>
        <v/>
      </c>
      <c r="L64" s="174">
        <f>IFERROR(INDEX(OUT!$BK$8:$BK$73,MATCH($A64,OUT!$A$8:$A$73,0)),"")</f>
        <v/>
      </c>
      <c r="M64" s="174">
        <f>IFERROR(INDEX(NOV!$BK$8:$BK$73,MATCH($A64,NOV!$A$8:$A$73,0)),"")</f>
        <v/>
      </c>
      <c r="N64" s="174">
        <f>IFERROR(INDEX(DEZ!$BK$8:$BK$73,MATCH($A64,DEZ!$A$8:$A$73,0)),"")</f>
        <v/>
      </c>
      <c r="O64" s="175">
        <f>SUM(C64:N64)</f>
        <v/>
      </c>
      <c r="P64" s="39" t="n"/>
      <c r="Q64" s="174">
        <f>IFERROR(INDEX(JAN!$BG$8:$BG$73,MATCH($A64,JAN!$A$8:$A$73,0)),"")</f>
        <v/>
      </c>
      <c r="R64" s="174">
        <f>IFERROR(INDEX(FEV!$BG$8:$BG$73,MATCH($A64,FEV!$A$8:$A$73,0)),"")</f>
        <v/>
      </c>
      <c r="S64" s="174">
        <f>IFERROR(INDEX(MAR!$BG$8:$BG$73,MATCH($A64,MAR!$A$8:$A$73,0)),"")</f>
        <v/>
      </c>
      <c r="T64" s="174">
        <f>IFERROR(INDEX(ABR!$BG$8:$BG$73,MATCH($A64,ABR!$A$8:$A$73,0)),"")</f>
        <v/>
      </c>
      <c r="U64" s="174">
        <f>IFERROR(INDEX(MAI!$BG$8:$BG$73,MATCH($A64,MAI!$A$8:$A$73,0)),"")</f>
        <v/>
      </c>
      <c r="V64" s="174">
        <f>IFERROR(INDEX(JUN!$BG$8:$BG$73,MATCH($A64,JUN!$A$8:$A$73,0)),"")</f>
        <v/>
      </c>
      <c r="W64" s="174">
        <f>IFERROR(INDEX(JUL!$BG$8:$BG$73,MATCH($A64,JUL!$A$8:$A$73,0)),"")</f>
        <v/>
      </c>
      <c r="X64" s="174">
        <f>IFERROR(INDEX(AGO!$BG$8:$BG$73,MATCH($A64,AGO!$A$8:$A$73,0)),"")</f>
        <v/>
      </c>
      <c r="Y64" s="174">
        <f>IFERROR(INDEX(SET!$BG$8:$BG$73,MATCH($A64,SET!$A$8:$A$73,0)),"")</f>
        <v/>
      </c>
      <c r="Z64" s="174">
        <f>IFERROR(INDEX(OUT!$BG$8:$BG$73,MATCH($A64,OUT!$A$8:$A$73,0)),"")</f>
        <v/>
      </c>
      <c r="AA64" s="174">
        <f>IFERROR(INDEX(NOV!$BG$8:$BG$73,MATCH($A64,NOV!$A$8:$A$73,0)),"")</f>
        <v/>
      </c>
      <c r="AB64" s="174">
        <f>IFERROR(INDEX(DEZ!$BG$8:$BG$73,MATCH($A64,DEZ!$A$8:$A$73,0)),"")</f>
        <v/>
      </c>
      <c r="AC64" s="175">
        <f>SUM(Q64:AB64)</f>
        <v/>
      </c>
      <c r="AD64" s="39" t="n"/>
      <c r="AE64" s="174">
        <f>IFERROR(INDEX(JAN!$BH$8:$BH$73,MATCH($A64,JAN!$A$8:$A$73,0)),"")</f>
        <v/>
      </c>
      <c r="AF64" s="174">
        <f>IFERROR(INDEX(FEV!$BH$8:$BH$73,MATCH($A64,FEV!$A$8:$A$73,0)),"")</f>
        <v/>
      </c>
      <c r="AG64" s="174">
        <f>IFERROR(INDEX(MAR!$BH$8:$BH$73,MATCH($A64,MAR!$A$8:$A$73,0)),"")</f>
        <v/>
      </c>
      <c r="AH64" s="174">
        <f>IFERROR(INDEX(ABR!$BH$8:$BH$73,MATCH($A64,ABR!$A$8:$A$73,0)),"")</f>
        <v/>
      </c>
      <c r="AI64" s="174">
        <f>IFERROR(INDEX(MAI!$BH$8:$BH$73,MATCH($A64,MAI!$A$8:$A$73,0)),"")</f>
        <v/>
      </c>
      <c r="AJ64" s="174">
        <f>IFERROR(INDEX(JUN!$BH$8:$BH$73,MATCH($A64,JUN!$A$8:$A$73,0)),"")</f>
        <v/>
      </c>
      <c r="AK64" s="174">
        <f>IFERROR(INDEX(JUL!$BH$8:$BH$73,MATCH($A64,JUL!$A$8:$A$73,0)),"")</f>
        <v/>
      </c>
      <c r="AL64" s="174">
        <f>IFERROR(INDEX(AGO!$BH$8:$BH$73,MATCH($A64,AGO!$A$8:$A$73,0)),"")</f>
        <v/>
      </c>
      <c r="AM64" s="174">
        <f>IFERROR(INDEX(SET!$BH$8:$BH$73,MATCH($A64,SET!$A$8:$A$73,0)),"")</f>
        <v/>
      </c>
      <c r="AN64" s="174">
        <f>IFERROR(INDEX(OUT!$BH$8:$BH$73,MATCH($A64,OUT!$A$8:$A$73,0)),"")</f>
        <v/>
      </c>
      <c r="AO64" s="174">
        <f>IFERROR(INDEX(NOV!$BH$8:$BH$73,MATCH($A64,NOV!$A$8:$A$73,0)),"")</f>
        <v/>
      </c>
      <c r="AP64" s="174">
        <f>IFERROR(INDEX(DEZ!$BH$8:$BH$73,MATCH($A64,DEZ!$A$8:$A$73,0)),"")</f>
        <v/>
      </c>
      <c r="AQ64" s="175">
        <f>SUM(AE64:AP64)</f>
        <v/>
      </c>
      <c r="AR64" s="39" t="n"/>
      <c r="AS64" s="174">
        <f>IFERROR(INDEX(JAN!$BI$8:$BI$73,MATCH($A64,JAN!$A$8:$A$73,0)),"")</f>
        <v/>
      </c>
      <c r="AT64" s="174">
        <f>IFERROR(INDEX(FEV!$BI$8:$BI$73,MATCH($A64,FEV!$A$8:$A$73,0)),"")</f>
        <v/>
      </c>
      <c r="AU64" s="174">
        <f>IFERROR(INDEX(MAR!$BI$8:$BI$73,MATCH($A64,MAR!$A$8:$A$73,0)),"")</f>
        <v/>
      </c>
      <c r="AV64" s="174">
        <f>IFERROR(INDEX(ABR!$BI$8:$BI$73,MATCH($A64,ABR!$A$8:$A$73,0)),"")</f>
        <v/>
      </c>
      <c r="AW64" s="174">
        <f>IFERROR(INDEX(MAI!$BI$8:$BI$73,MATCH($A64,MAI!$A$8:$A$73,0)),"")</f>
        <v/>
      </c>
      <c r="AX64" s="174">
        <f>IFERROR(INDEX(JUN!$BI$8:$BI$73,MATCH($A64,JUN!$A$8:$A$73,0)),"")</f>
        <v/>
      </c>
      <c r="AY64" s="174">
        <f>IFERROR(INDEX(JUL!$BI$8:$BI$73,MATCH($A64,JUL!$A$8:$A$73,0)),"")</f>
        <v/>
      </c>
      <c r="AZ64" s="174">
        <f>IFERROR(INDEX(AGO!$BI$8:$BI$73,MATCH($A64,AGO!$A$8:$A$73,0)),"")</f>
        <v/>
      </c>
      <c r="BA64" s="174">
        <f>IFERROR(INDEX(SET!$BI$8:$BI$73,MATCH($A64,SET!$A$8:$A$73,0)),"")</f>
        <v/>
      </c>
      <c r="BB64" s="174">
        <f>IFERROR(INDEX(OUT!$BI$8:$BI$73,MATCH($A64,OUT!$A$8:$A$73,0)),"")</f>
        <v/>
      </c>
      <c r="BC64" s="174">
        <f>IFERROR(INDEX(NOV!$BI$8:$BI$73,MATCH($A64,NOV!$A$8:$A$73,0)),"")</f>
        <v/>
      </c>
      <c r="BD64" s="174">
        <f>IFERROR(INDEX(DEZ!$BI$8:$BI$73,MATCH($A64,DEZ!$A$8:$A$73,0)),"")</f>
        <v/>
      </c>
      <c r="BE64" s="175">
        <f>SUM(AS64:BD64)</f>
        <v/>
      </c>
      <c r="BF64" s="39" t="n"/>
      <c r="BG64" s="107" t="n">
        <v>5</v>
      </c>
      <c r="BH64" s="133">
        <f>SUM(AE64:AP64)</f>
        <v/>
      </c>
      <c r="BI64" s="176">
        <f>IF(BG64="","",IF(BG64=BH64,"","⚠"))</f>
        <v/>
      </c>
      <c r="BJ64" s="39" t="n"/>
      <c r="BK64" s="39" t="n"/>
    </row>
    <row r="65">
      <c r="A65" s="89" t="inlineStr">
        <is>
          <t>Pjamile</t>
        </is>
      </c>
      <c r="B65" s="173">
        <f>CADASTRO!$C61</f>
        <v/>
      </c>
      <c r="C65" s="174">
        <f>IFERROR(INDEX(JAN!$BK$8:$BK$73,MATCH($A65,JAN!$A$8:$A$73,0)),"")</f>
        <v/>
      </c>
      <c r="D65" s="174">
        <f>IFERROR(INDEX(FEV!$BK$8:$BK$73,MATCH($A65,FEV!$A$8:$A$73,0)),"")</f>
        <v/>
      </c>
      <c r="E65" s="174">
        <f>IFERROR(INDEX(MAR!$BK$8:$BK$73,MATCH($A65,MAR!$A$8:$A$73,0)),"")</f>
        <v/>
      </c>
      <c r="F65" s="174">
        <f>IFERROR(INDEX(ABR!$BK$8:$BK$73,MATCH($A65,ABR!$A$8:$A$73,0)),"")</f>
        <v/>
      </c>
      <c r="G65" s="174">
        <f>IFERROR(INDEX(MAI!$BK$8:$BK$73,MATCH($A65,MAI!$A$8:$A$73,0)),"")</f>
        <v/>
      </c>
      <c r="H65" s="174">
        <f>IFERROR(INDEX(JUN!$BK$8:$BK$73,MATCH($A65,JUN!$A$8:$A$73,0)),"")</f>
        <v/>
      </c>
      <c r="I65" s="174">
        <f>IFERROR(INDEX(JUL!$BK$8:$BK$73,MATCH($A65,JUL!$A$8:$A$73,0)),"")</f>
        <v/>
      </c>
      <c r="J65" s="174">
        <f>IFERROR(INDEX(AGO!$BK$8:$BK$73,MATCH($A65,AGO!$A$8:$A$73,0)),"")</f>
        <v/>
      </c>
      <c r="K65" s="174">
        <f>IFERROR(INDEX(SET!$BK$8:$BK$73,MATCH($A65,SET!$A$8:$A$73,0)),"")</f>
        <v/>
      </c>
      <c r="L65" s="174">
        <f>IFERROR(INDEX(OUT!$BK$8:$BK$73,MATCH($A65,OUT!$A$8:$A$73,0)),"")</f>
        <v/>
      </c>
      <c r="M65" s="174">
        <f>IFERROR(INDEX(NOV!$BK$8:$BK$73,MATCH($A65,NOV!$A$8:$A$73,0)),"")</f>
        <v/>
      </c>
      <c r="N65" s="174">
        <f>IFERROR(INDEX(DEZ!$BK$8:$BK$73,MATCH($A65,DEZ!$A$8:$A$73,0)),"")</f>
        <v/>
      </c>
      <c r="O65" s="175">
        <f>SUM(C65:N65)</f>
        <v/>
      </c>
      <c r="P65" s="39" t="n"/>
      <c r="Q65" s="174">
        <f>IFERROR(INDEX(JAN!$BG$8:$BG$73,MATCH($A65,JAN!$A$8:$A$73,0)),"")</f>
        <v/>
      </c>
      <c r="R65" s="174">
        <f>IFERROR(INDEX(FEV!$BG$8:$BG$73,MATCH($A65,FEV!$A$8:$A$73,0)),"")</f>
        <v/>
      </c>
      <c r="S65" s="174">
        <f>IFERROR(INDEX(MAR!$BG$8:$BG$73,MATCH($A65,MAR!$A$8:$A$73,0)),"")</f>
        <v/>
      </c>
      <c r="T65" s="174">
        <f>IFERROR(INDEX(ABR!$BG$8:$BG$73,MATCH($A65,ABR!$A$8:$A$73,0)),"")</f>
        <v/>
      </c>
      <c r="U65" s="174">
        <f>IFERROR(INDEX(MAI!$BG$8:$BG$73,MATCH($A65,MAI!$A$8:$A$73,0)),"")</f>
        <v/>
      </c>
      <c r="V65" s="174">
        <f>IFERROR(INDEX(JUN!$BG$8:$BG$73,MATCH($A65,JUN!$A$8:$A$73,0)),"")</f>
        <v/>
      </c>
      <c r="W65" s="174">
        <f>IFERROR(INDEX(JUL!$BG$8:$BG$73,MATCH($A65,JUL!$A$8:$A$73,0)),"")</f>
        <v/>
      </c>
      <c r="X65" s="174">
        <f>IFERROR(INDEX(AGO!$BG$8:$BG$73,MATCH($A65,AGO!$A$8:$A$73,0)),"")</f>
        <v/>
      </c>
      <c r="Y65" s="174">
        <f>IFERROR(INDEX(SET!$BG$8:$BG$73,MATCH($A65,SET!$A$8:$A$73,0)),"")</f>
        <v/>
      </c>
      <c r="Z65" s="174">
        <f>IFERROR(INDEX(OUT!$BG$8:$BG$73,MATCH($A65,OUT!$A$8:$A$73,0)),"")</f>
        <v/>
      </c>
      <c r="AA65" s="174">
        <f>IFERROR(INDEX(NOV!$BG$8:$BG$73,MATCH($A65,NOV!$A$8:$A$73,0)),"")</f>
        <v/>
      </c>
      <c r="AB65" s="174">
        <f>IFERROR(INDEX(DEZ!$BG$8:$BG$73,MATCH($A65,DEZ!$A$8:$A$73,0)),"")</f>
        <v/>
      </c>
      <c r="AC65" s="175">
        <f>SUM(Q65:AB65)</f>
        <v/>
      </c>
      <c r="AD65" s="39" t="n"/>
      <c r="AE65" s="174">
        <f>IFERROR(INDEX(JAN!$BH$8:$BH$73,MATCH($A65,JAN!$A$8:$A$73,0)),"")</f>
        <v/>
      </c>
      <c r="AF65" s="174">
        <f>IFERROR(INDEX(FEV!$BH$8:$BH$73,MATCH($A65,FEV!$A$8:$A$73,0)),"")</f>
        <v/>
      </c>
      <c r="AG65" s="174">
        <f>IFERROR(INDEX(MAR!$BH$8:$BH$73,MATCH($A65,MAR!$A$8:$A$73,0)),"")</f>
        <v/>
      </c>
      <c r="AH65" s="174">
        <f>IFERROR(INDEX(ABR!$BH$8:$BH$73,MATCH($A65,ABR!$A$8:$A$73,0)),"")</f>
        <v/>
      </c>
      <c r="AI65" s="174">
        <f>IFERROR(INDEX(MAI!$BH$8:$BH$73,MATCH($A65,MAI!$A$8:$A$73,0)),"")</f>
        <v/>
      </c>
      <c r="AJ65" s="174">
        <f>IFERROR(INDEX(JUN!$BH$8:$BH$73,MATCH($A65,JUN!$A$8:$A$73,0)),"")</f>
        <v/>
      </c>
      <c r="AK65" s="174">
        <f>IFERROR(INDEX(JUL!$BH$8:$BH$73,MATCH($A65,JUL!$A$8:$A$73,0)),"")</f>
        <v/>
      </c>
      <c r="AL65" s="174">
        <f>IFERROR(INDEX(AGO!$BH$8:$BH$73,MATCH($A65,AGO!$A$8:$A$73,0)),"")</f>
        <v/>
      </c>
      <c r="AM65" s="174">
        <f>IFERROR(INDEX(SET!$BH$8:$BH$73,MATCH($A65,SET!$A$8:$A$73,0)),"")</f>
        <v/>
      </c>
      <c r="AN65" s="174">
        <f>IFERROR(INDEX(OUT!$BH$8:$BH$73,MATCH($A65,OUT!$A$8:$A$73,0)),"")</f>
        <v/>
      </c>
      <c r="AO65" s="174">
        <f>IFERROR(INDEX(NOV!$BH$8:$BH$73,MATCH($A65,NOV!$A$8:$A$73,0)),"")</f>
        <v/>
      </c>
      <c r="AP65" s="174">
        <f>IFERROR(INDEX(DEZ!$BH$8:$BH$73,MATCH($A65,DEZ!$A$8:$A$73,0)),"")</f>
        <v/>
      </c>
      <c r="AQ65" s="175">
        <f>SUM(AE65:AP65)</f>
        <v/>
      </c>
      <c r="AR65" s="39" t="n"/>
      <c r="AS65" s="174">
        <f>IFERROR(INDEX(JAN!$BI$8:$BI$73,MATCH($A65,JAN!$A$8:$A$73,0)),"")</f>
        <v/>
      </c>
      <c r="AT65" s="174">
        <f>IFERROR(INDEX(FEV!$BI$8:$BI$73,MATCH($A65,FEV!$A$8:$A$73,0)),"")</f>
        <v/>
      </c>
      <c r="AU65" s="174">
        <f>IFERROR(INDEX(MAR!$BI$8:$BI$73,MATCH($A65,MAR!$A$8:$A$73,0)),"")</f>
        <v/>
      </c>
      <c r="AV65" s="174">
        <f>IFERROR(INDEX(ABR!$BI$8:$BI$73,MATCH($A65,ABR!$A$8:$A$73,0)),"")</f>
        <v/>
      </c>
      <c r="AW65" s="174">
        <f>IFERROR(INDEX(MAI!$BI$8:$BI$73,MATCH($A65,MAI!$A$8:$A$73,0)),"")</f>
        <v/>
      </c>
      <c r="AX65" s="174">
        <f>IFERROR(INDEX(JUN!$BI$8:$BI$73,MATCH($A65,JUN!$A$8:$A$73,0)),"")</f>
        <v/>
      </c>
      <c r="AY65" s="174">
        <f>IFERROR(INDEX(JUL!$BI$8:$BI$73,MATCH($A65,JUL!$A$8:$A$73,0)),"")</f>
        <v/>
      </c>
      <c r="AZ65" s="174">
        <f>IFERROR(INDEX(AGO!$BI$8:$BI$73,MATCH($A65,AGO!$A$8:$A$73,0)),"")</f>
        <v/>
      </c>
      <c r="BA65" s="174">
        <f>IFERROR(INDEX(SET!$BI$8:$BI$73,MATCH($A65,SET!$A$8:$A$73,0)),"")</f>
        <v/>
      </c>
      <c r="BB65" s="174">
        <f>IFERROR(INDEX(OUT!$BI$8:$BI$73,MATCH($A65,OUT!$A$8:$A$73,0)),"")</f>
        <v/>
      </c>
      <c r="BC65" s="174">
        <f>IFERROR(INDEX(NOV!$BI$8:$BI$73,MATCH($A65,NOV!$A$8:$A$73,0)),"")</f>
        <v/>
      </c>
      <c r="BD65" s="174">
        <f>IFERROR(INDEX(DEZ!$BI$8:$BI$73,MATCH($A65,DEZ!$A$8:$A$73,0)),"")</f>
        <v/>
      </c>
      <c r="BE65" s="175">
        <f>SUM(AS65:BD65)</f>
        <v/>
      </c>
      <c r="BF65" s="39" t="n"/>
      <c r="BG65" s="107" t="n">
        <v>2</v>
      </c>
      <c r="BH65" s="133">
        <f>SUM(AE65:AP65)</f>
        <v/>
      </c>
      <c r="BI65" s="176">
        <f>IF(BG65="","",IF(BG65=BH65,"","⚠"))</f>
        <v/>
      </c>
      <c r="BJ65" s="39" t="n"/>
      <c r="BK65" s="39" t="n"/>
    </row>
    <row r="66">
      <c r="A66" s="89" t="inlineStr">
        <is>
          <t>Raphael</t>
        </is>
      </c>
      <c r="B66" s="173">
        <f>CADASTRO!$C62</f>
        <v/>
      </c>
      <c r="C66" s="174">
        <f>IFERROR(INDEX(JAN!$BK$8:$BK$73,MATCH($A66,JAN!$A$8:$A$73,0)),"")</f>
        <v/>
      </c>
      <c r="D66" s="174">
        <f>IFERROR(INDEX(FEV!$BK$8:$BK$73,MATCH($A66,FEV!$A$8:$A$73,0)),"")</f>
        <v/>
      </c>
      <c r="E66" s="174">
        <f>IFERROR(INDEX(MAR!$BK$8:$BK$73,MATCH($A66,MAR!$A$8:$A$73,0)),"")</f>
        <v/>
      </c>
      <c r="F66" s="174">
        <f>IFERROR(INDEX(ABR!$BK$8:$BK$73,MATCH($A66,ABR!$A$8:$A$73,0)),"")</f>
        <v/>
      </c>
      <c r="G66" s="174">
        <f>IFERROR(INDEX(MAI!$BK$8:$BK$73,MATCH($A66,MAI!$A$8:$A$73,0)),"")</f>
        <v/>
      </c>
      <c r="H66" s="174">
        <f>IFERROR(INDEX(JUN!$BK$8:$BK$73,MATCH($A66,JUN!$A$8:$A$73,0)),"")</f>
        <v/>
      </c>
      <c r="I66" s="174">
        <f>IFERROR(INDEX(JUL!$BK$8:$BK$73,MATCH($A66,JUL!$A$8:$A$73,0)),"")</f>
        <v/>
      </c>
      <c r="J66" s="174">
        <f>IFERROR(INDEX(AGO!$BK$8:$BK$73,MATCH($A66,AGO!$A$8:$A$73,0)),"")</f>
        <v/>
      </c>
      <c r="K66" s="174">
        <f>IFERROR(INDEX(SET!$BK$8:$BK$73,MATCH($A66,SET!$A$8:$A$73,0)),"")</f>
        <v/>
      </c>
      <c r="L66" s="174">
        <f>IFERROR(INDEX(OUT!$BK$8:$BK$73,MATCH($A66,OUT!$A$8:$A$73,0)),"")</f>
        <v/>
      </c>
      <c r="M66" s="174">
        <f>IFERROR(INDEX(NOV!$BK$8:$BK$73,MATCH($A66,NOV!$A$8:$A$73,0)),"")</f>
        <v/>
      </c>
      <c r="N66" s="174">
        <f>IFERROR(INDEX(DEZ!$BK$8:$BK$73,MATCH($A66,DEZ!$A$8:$A$73,0)),"")</f>
        <v/>
      </c>
      <c r="O66" s="175">
        <f>SUM(C66:N66)</f>
        <v/>
      </c>
      <c r="P66" s="39" t="n"/>
      <c r="Q66" s="174">
        <f>IFERROR(INDEX(JAN!$BG$8:$BG$73,MATCH($A66,JAN!$A$8:$A$73,0)),"")</f>
        <v/>
      </c>
      <c r="R66" s="174">
        <f>IFERROR(INDEX(FEV!$BG$8:$BG$73,MATCH($A66,FEV!$A$8:$A$73,0)),"")</f>
        <v/>
      </c>
      <c r="S66" s="174">
        <f>IFERROR(INDEX(MAR!$BG$8:$BG$73,MATCH($A66,MAR!$A$8:$A$73,0)),"")</f>
        <v/>
      </c>
      <c r="T66" s="174">
        <f>IFERROR(INDEX(ABR!$BG$8:$BG$73,MATCH($A66,ABR!$A$8:$A$73,0)),"")</f>
        <v/>
      </c>
      <c r="U66" s="174">
        <f>IFERROR(INDEX(MAI!$BG$8:$BG$73,MATCH($A66,MAI!$A$8:$A$73,0)),"")</f>
        <v/>
      </c>
      <c r="V66" s="174">
        <f>IFERROR(INDEX(JUN!$BG$8:$BG$73,MATCH($A66,JUN!$A$8:$A$73,0)),"")</f>
        <v/>
      </c>
      <c r="W66" s="174">
        <f>IFERROR(INDEX(JUL!$BG$8:$BG$73,MATCH($A66,JUL!$A$8:$A$73,0)),"")</f>
        <v/>
      </c>
      <c r="X66" s="174">
        <f>IFERROR(INDEX(AGO!$BG$8:$BG$73,MATCH($A66,AGO!$A$8:$A$73,0)),"")</f>
        <v/>
      </c>
      <c r="Y66" s="174">
        <f>IFERROR(INDEX(SET!$BG$8:$BG$73,MATCH($A66,SET!$A$8:$A$73,0)),"")</f>
        <v/>
      </c>
      <c r="Z66" s="174">
        <f>IFERROR(INDEX(OUT!$BG$8:$BG$73,MATCH($A66,OUT!$A$8:$A$73,0)),"")</f>
        <v/>
      </c>
      <c r="AA66" s="174">
        <f>IFERROR(INDEX(NOV!$BG$8:$BG$73,MATCH($A66,NOV!$A$8:$A$73,0)),"")</f>
        <v/>
      </c>
      <c r="AB66" s="174">
        <f>IFERROR(INDEX(DEZ!$BG$8:$BG$73,MATCH($A66,DEZ!$A$8:$A$73,0)),"")</f>
        <v/>
      </c>
      <c r="AC66" s="175">
        <f>SUM(Q66:AB66)</f>
        <v/>
      </c>
      <c r="AD66" s="39" t="n"/>
      <c r="AE66" s="174">
        <f>IFERROR(INDEX(JAN!$BH$8:$BH$73,MATCH($A66,JAN!$A$8:$A$73,0)),"")</f>
        <v/>
      </c>
      <c r="AF66" s="174">
        <f>IFERROR(INDEX(FEV!$BH$8:$BH$73,MATCH($A66,FEV!$A$8:$A$73,0)),"")</f>
        <v/>
      </c>
      <c r="AG66" s="174">
        <f>IFERROR(INDEX(MAR!$BH$8:$BH$73,MATCH($A66,MAR!$A$8:$A$73,0)),"")</f>
        <v/>
      </c>
      <c r="AH66" s="174">
        <f>IFERROR(INDEX(ABR!$BH$8:$BH$73,MATCH($A66,ABR!$A$8:$A$73,0)),"")</f>
        <v/>
      </c>
      <c r="AI66" s="174">
        <f>IFERROR(INDEX(MAI!$BH$8:$BH$73,MATCH($A66,MAI!$A$8:$A$73,0)),"")</f>
        <v/>
      </c>
      <c r="AJ66" s="174">
        <f>IFERROR(INDEX(JUN!$BH$8:$BH$73,MATCH($A66,JUN!$A$8:$A$73,0)),"")</f>
        <v/>
      </c>
      <c r="AK66" s="174">
        <f>IFERROR(INDEX(JUL!$BH$8:$BH$73,MATCH($A66,JUL!$A$8:$A$73,0)),"")</f>
        <v/>
      </c>
      <c r="AL66" s="174">
        <f>IFERROR(INDEX(AGO!$BH$8:$BH$73,MATCH($A66,AGO!$A$8:$A$73,0)),"")</f>
        <v/>
      </c>
      <c r="AM66" s="174">
        <f>IFERROR(INDEX(SET!$BH$8:$BH$73,MATCH($A66,SET!$A$8:$A$73,0)),"")</f>
        <v/>
      </c>
      <c r="AN66" s="174">
        <f>IFERROR(INDEX(OUT!$BH$8:$BH$73,MATCH($A66,OUT!$A$8:$A$73,0)),"")</f>
        <v/>
      </c>
      <c r="AO66" s="174">
        <f>IFERROR(INDEX(NOV!$BH$8:$BH$73,MATCH($A66,NOV!$A$8:$A$73,0)),"")</f>
        <v/>
      </c>
      <c r="AP66" s="174">
        <f>IFERROR(INDEX(DEZ!$BH$8:$BH$73,MATCH($A66,DEZ!$A$8:$A$73,0)),"")</f>
        <v/>
      </c>
      <c r="AQ66" s="175">
        <f>SUM(AE66:AP66)</f>
        <v/>
      </c>
      <c r="AR66" s="39" t="n"/>
      <c r="AS66" s="174">
        <f>IFERROR(INDEX(JAN!$BI$8:$BI$73,MATCH($A66,JAN!$A$8:$A$73,0)),"")</f>
        <v/>
      </c>
      <c r="AT66" s="174">
        <f>IFERROR(INDEX(FEV!$BI$8:$BI$73,MATCH($A66,FEV!$A$8:$A$73,0)),"")</f>
        <v/>
      </c>
      <c r="AU66" s="174">
        <f>IFERROR(INDEX(MAR!$BI$8:$BI$73,MATCH($A66,MAR!$A$8:$A$73,0)),"")</f>
        <v/>
      </c>
      <c r="AV66" s="174">
        <f>IFERROR(INDEX(ABR!$BI$8:$BI$73,MATCH($A66,ABR!$A$8:$A$73,0)),"")</f>
        <v/>
      </c>
      <c r="AW66" s="174">
        <f>IFERROR(INDEX(MAI!$BI$8:$BI$73,MATCH($A66,MAI!$A$8:$A$73,0)),"")</f>
        <v/>
      </c>
      <c r="AX66" s="174">
        <f>IFERROR(INDEX(JUN!$BI$8:$BI$73,MATCH($A66,JUN!$A$8:$A$73,0)),"")</f>
        <v/>
      </c>
      <c r="AY66" s="174">
        <f>IFERROR(INDEX(JUL!$BI$8:$BI$73,MATCH($A66,JUL!$A$8:$A$73,0)),"")</f>
        <v/>
      </c>
      <c r="AZ66" s="174">
        <f>IFERROR(INDEX(AGO!$BI$8:$BI$73,MATCH($A66,AGO!$A$8:$A$73,0)),"")</f>
        <v/>
      </c>
      <c r="BA66" s="174">
        <f>IFERROR(INDEX(SET!$BI$8:$BI$73,MATCH($A66,SET!$A$8:$A$73,0)),"")</f>
        <v/>
      </c>
      <c r="BB66" s="174">
        <f>IFERROR(INDEX(OUT!$BI$8:$BI$73,MATCH($A66,OUT!$A$8:$A$73,0)),"")</f>
        <v/>
      </c>
      <c r="BC66" s="174">
        <f>IFERROR(INDEX(NOV!$BI$8:$BI$73,MATCH($A66,NOV!$A$8:$A$73,0)),"")</f>
        <v/>
      </c>
      <c r="BD66" s="174">
        <f>IFERROR(INDEX(DEZ!$BI$8:$BI$73,MATCH($A66,DEZ!$A$8:$A$73,0)),"")</f>
        <v/>
      </c>
      <c r="BE66" s="175">
        <f>SUM(AS66:BD66)</f>
        <v/>
      </c>
      <c r="BF66" s="39" t="n"/>
      <c r="BG66" s="107" t="n">
        <v>5</v>
      </c>
      <c r="BH66" s="133">
        <f>SUM(AE66:AP66)</f>
        <v/>
      </c>
      <c r="BI66" s="176">
        <f>IF(BG66="","",IF(BG66=BH66,"","⚠"))</f>
        <v/>
      </c>
      <c r="BJ66" s="39" t="n"/>
      <c r="BK66" s="39" t="n"/>
    </row>
    <row r="67">
      <c r="A67" s="89" t="inlineStr">
        <is>
          <t>Raquel</t>
        </is>
      </c>
      <c r="B67" s="173">
        <f>CADASTRO!$C63</f>
        <v/>
      </c>
      <c r="C67" s="174">
        <f>IFERROR(INDEX(JAN!$BK$8:$BK$73,MATCH($A67,JAN!$A$8:$A$73,0)),"")</f>
        <v/>
      </c>
      <c r="D67" s="174">
        <f>IFERROR(INDEX(FEV!$BK$8:$BK$73,MATCH($A67,FEV!$A$8:$A$73,0)),"")</f>
        <v/>
      </c>
      <c r="E67" s="174">
        <f>IFERROR(INDEX(MAR!$BK$8:$BK$73,MATCH($A67,MAR!$A$8:$A$73,0)),"")</f>
        <v/>
      </c>
      <c r="F67" s="174">
        <f>IFERROR(INDEX(ABR!$BK$8:$BK$73,MATCH($A67,ABR!$A$8:$A$73,0)),"")</f>
        <v/>
      </c>
      <c r="G67" s="174">
        <f>IFERROR(INDEX(MAI!$BK$8:$BK$73,MATCH($A67,MAI!$A$8:$A$73,0)),"")</f>
        <v/>
      </c>
      <c r="H67" s="174">
        <f>IFERROR(INDEX(JUN!$BK$8:$BK$73,MATCH($A67,JUN!$A$8:$A$73,0)),"")</f>
        <v/>
      </c>
      <c r="I67" s="174">
        <f>IFERROR(INDEX(JUL!$BK$8:$BK$73,MATCH($A67,JUL!$A$8:$A$73,0)),"")</f>
        <v/>
      </c>
      <c r="J67" s="174">
        <f>IFERROR(INDEX(AGO!$BK$8:$BK$73,MATCH($A67,AGO!$A$8:$A$73,0)),"")</f>
        <v/>
      </c>
      <c r="K67" s="174">
        <f>IFERROR(INDEX(SET!$BK$8:$BK$73,MATCH($A67,SET!$A$8:$A$73,0)),"")</f>
        <v/>
      </c>
      <c r="L67" s="174">
        <f>IFERROR(INDEX(OUT!$BK$8:$BK$73,MATCH($A67,OUT!$A$8:$A$73,0)),"")</f>
        <v/>
      </c>
      <c r="M67" s="174">
        <f>IFERROR(INDEX(NOV!$BK$8:$BK$73,MATCH($A67,NOV!$A$8:$A$73,0)),"")</f>
        <v/>
      </c>
      <c r="N67" s="174">
        <f>IFERROR(INDEX(DEZ!$BK$8:$BK$73,MATCH($A67,DEZ!$A$8:$A$73,0)),"")</f>
        <v/>
      </c>
      <c r="O67" s="175">
        <f>SUM(C67:N67)</f>
        <v/>
      </c>
      <c r="P67" s="39" t="n"/>
      <c r="Q67" s="174">
        <f>IFERROR(INDEX(JAN!$BG$8:$BG$73,MATCH($A67,JAN!$A$8:$A$73,0)),"")</f>
        <v/>
      </c>
      <c r="R67" s="174">
        <f>IFERROR(INDEX(FEV!$BG$8:$BG$73,MATCH($A67,FEV!$A$8:$A$73,0)),"")</f>
        <v/>
      </c>
      <c r="S67" s="174">
        <f>IFERROR(INDEX(MAR!$BG$8:$BG$73,MATCH($A67,MAR!$A$8:$A$73,0)),"")</f>
        <v/>
      </c>
      <c r="T67" s="174">
        <f>IFERROR(INDEX(ABR!$BG$8:$BG$73,MATCH($A67,ABR!$A$8:$A$73,0)),"")</f>
        <v/>
      </c>
      <c r="U67" s="174">
        <f>IFERROR(INDEX(MAI!$BG$8:$BG$73,MATCH($A67,MAI!$A$8:$A$73,0)),"")</f>
        <v/>
      </c>
      <c r="V67" s="174">
        <f>IFERROR(INDEX(JUN!$BG$8:$BG$73,MATCH($A67,JUN!$A$8:$A$73,0)),"")</f>
        <v/>
      </c>
      <c r="W67" s="174">
        <f>IFERROR(INDEX(JUL!$BG$8:$BG$73,MATCH($A67,JUL!$A$8:$A$73,0)),"")</f>
        <v/>
      </c>
      <c r="X67" s="174">
        <f>IFERROR(INDEX(AGO!$BG$8:$BG$73,MATCH($A67,AGO!$A$8:$A$73,0)),"")</f>
        <v/>
      </c>
      <c r="Y67" s="174">
        <f>IFERROR(INDEX(SET!$BG$8:$BG$73,MATCH($A67,SET!$A$8:$A$73,0)),"")</f>
        <v/>
      </c>
      <c r="Z67" s="174">
        <f>IFERROR(INDEX(OUT!$BG$8:$BG$73,MATCH($A67,OUT!$A$8:$A$73,0)),"")</f>
        <v/>
      </c>
      <c r="AA67" s="174">
        <f>IFERROR(INDEX(NOV!$BG$8:$BG$73,MATCH($A67,NOV!$A$8:$A$73,0)),"")</f>
        <v/>
      </c>
      <c r="AB67" s="174">
        <f>IFERROR(INDEX(DEZ!$BG$8:$BG$73,MATCH($A67,DEZ!$A$8:$A$73,0)),"")</f>
        <v/>
      </c>
      <c r="AC67" s="175">
        <f>SUM(Q67:AB67)</f>
        <v/>
      </c>
      <c r="AD67" s="39" t="n"/>
      <c r="AE67" s="174">
        <f>IFERROR(INDEX(JAN!$BH$8:$BH$73,MATCH($A67,JAN!$A$8:$A$73,0)),"")</f>
        <v/>
      </c>
      <c r="AF67" s="174">
        <f>IFERROR(INDEX(FEV!$BH$8:$BH$73,MATCH($A67,FEV!$A$8:$A$73,0)),"")</f>
        <v/>
      </c>
      <c r="AG67" s="174">
        <f>IFERROR(INDEX(MAR!$BH$8:$BH$73,MATCH($A67,MAR!$A$8:$A$73,0)),"")</f>
        <v/>
      </c>
      <c r="AH67" s="174">
        <f>IFERROR(INDEX(ABR!$BH$8:$BH$73,MATCH($A67,ABR!$A$8:$A$73,0)),"")</f>
        <v/>
      </c>
      <c r="AI67" s="174">
        <f>IFERROR(INDEX(MAI!$BH$8:$BH$73,MATCH($A67,MAI!$A$8:$A$73,0)),"")</f>
        <v/>
      </c>
      <c r="AJ67" s="174">
        <f>IFERROR(INDEX(JUN!$BH$8:$BH$73,MATCH($A67,JUN!$A$8:$A$73,0)),"")</f>
        <v/>
      </c>
      <c r="AK67" s="174">
        <f>IFERROR(INDEX(JUL!$BH$8:$BH$73,MATCH($A67,JUL!$A$8:$A$73,0)),"")</f>
        <v/>
      </c>
      <c r="AL67" s="174">
        <f>IFERROR(INDEX(AGO!$BH$8:$BH$73,MATCH($A67,AGO!$A$8:$A$73,0)),"")</f>
        <v/>
      </c>
      <c r="AM67" s="174">
        <f>IFERROR(INDEX(SET!$BH$8:$BH$73,MATCH($A67,SET!$A$8:$A$73,0)),"")</f>
        <v/>
      </c>
      <c r="AN67" s="174">
        <f>IFERROR(INDEX(OUT!$BH$8:$BH$73,MATCH($A67,OUT!$A$8:$A$73,0)),"")</f>
        <v/>
      </c>
      <c r="AO67" s="174">
        <f>IFERROR(INDEX(NOV!$BH$8:$BH$73,MATCH($A67,NOV!$A$8:$A$73,0)),"")</f>
        <v/>
      </c>
      <c r="AP67" s="174">
        <f>IFERROR(INDEX(DEZ!$BH$8:$BH$73,MATCH($A67,DEZ!$A$8:$A$73,0)),"")</f>
        <v/>
      </c>
      <c r="AQ67" s="175">
        <f>SUM(AE67:AP67)</f>
        <v/>
      </c>
      <c r="AR67" s="39" t="n"/>
      <c r="AS67" s="174">
        <f>IFERROR(INDEX(JAN!$BI$8:$BI$73,MATCH($A67,JAN!$A$8:$A$73,0)),"")</f>
        <v/>
      </c>
      <c r="AT67" s="174">
        <f>IFERROR(INDEX(FEV!$BI$8:$BI$73,MATCH($A67,FEV!$A$8:$A$73,0)),"")</f>
        <v/>
      </c>
      <c r="AU67" s="174">
        <f>IFERROR(INDEX(MAR!$BI$8:$BI$73,MATCH($A67,MAR!$A$8:$A$73,0)),"")</f>
        <v/>
      </c>
      <c r="AV67" s="174">
        <f>IFERROR(INDEX(ABR!$BI$8:$BI$73,MATCH($A67,ABR!$A$8:$A$73,0)),"")</f>
        <v/>
      </c>
      <c r="AW67" s="174">
        <f>IFERROR(INDEX(MAI!$BI$8:$BI$73,MATCH($A67,MAI!$A$8:$A$73,0)),"")</f>
        <v/>
      </c>
      <c r="AX67" s="174">
        <f>IFERROR(INDEX(JUN!$BI$8:$BI$73,MATCH($A67,JUN!$A$8:$A$73,0)),"")</f>
        <v/>
      </c>
      <c r="AY67" s="174">
        <f>IFERROR(INDEX(JUL!$BI$8:$BI$73,MATCH($A67,JUL!$A$8:$A$73,0)),"")</f>
        <v/>
      </c>
      <c r="AZ67" s="174">
        <f>IFERROR(INDEX(AGO!$BI$8:$BI$73,MATCH($A67,AGO!$A$8:$A$73,0)),"")</f>
        <v/>
      </c>
      <c r="BA67" s="174">
        <f>IFERROR(INDEX(SET!$BI$8:$BI$73,MATCH($A67,SET!$A$8:$A$73,0)),"")</f>
        <v/>
      </c>
      <c r="BB67" s="174">
        <f>IFERROR(INDEX(OUT!$BI$8:$BI$73,MATCH($A67,OUT!$A$8:$A$73,0)),"")</f>
        <v/>
      </c>
      <c r="BC67" s="174">
        <f>IFERROR(INDEX(NOV!$BI$8:$BI$73,MATCH($A67,NOV!$A$8:$A$73,0)),"")</f>
        <v/>
      </c>
      <c r="BD67" s="174">
        <f>IFERROR(INDEX(DEZ!$BI$8:$BI$73,MATCH($A67,DEZ!$A$8:$A$73,0)),"")</f>
        <v/>
      </c>
      <c r="BE67" s="175">
        <f>SUM(AS67:BD67)</f>
        <v/>
      </c>
      <c r="BF67" s="39" t="n"/>
      <c r="BG67" s="107" t="n">
        <v>4</v>
      </c>
      <c r="BH67" s="133">
        <f>SUM(AE67:AP67)</f>
        <v/>
      </c>
      <c r="BI67" s="176">
        <f>IF(BG67="","",IF(BG67=BH67,"","⚠"))</f>
        <v/>
      </c>
      <c r="BJ67" s="39" t="n"/>
      <c r="BK67" s="39" t="n"/>
    </row>
    <row r="68">
      <c r="A68" s="89" t="inlineStr">
        <is>
          <t>Thamyres</t>
        </is>
      </c>
      <c r="B68" s="173">
        <f>CADASTRO!$C64</f>
        <v/>
      </c>
      <c r="C68" s="174">
        <f>IFERROR(INDEX(JAN!$BK$8:$BK$73,MATCH($A68,JAN!$A$8:$A$73,0)),"")</f>
        <v/>
      </c>
      <c r="D68" s="174">
        <f>IFERROR(INDEX(FEV!$BK$8:$BK$73,MATCH($A68,FEV!$A$8:$A$73,0)),"")</f>
        <v/>
      </c>
      <c r="E68" s="174">
        <f>IFERROR(INDEX(MAR!$BK$8:$BK$73,MATCH($A68,MAR!$A$8:$A$73,0)),"")</f>
        <v/>
      </c>
      <c r="F68" s="174">
        <f>IFERROR(INDEX(ABR!$BK$8:$BK$73,MATCH($A68,ABR!$A$8:$A$73,0)),"")</f>
        <v/>
      </c>
      <c r="G68" s="174">
        <f>IFERROR(INDEX(MAI!$BK$8:$BK$73,MATCH($A68,MAI!$A$8:$A$73,0)),"")</f>
        <v/>
      </c>
      <c r="H68" s="174">
        <f>IFERROR(INDEX(JUN!$BK$8:$BK$73,MATCH($A68,JUN!$A$8:$A$73,0)),"")</f>
        <v/>
      </c>
      <c r="I68" s="174">
        <f>IFERROR(INDEX(JUL!$BK$8:$BK$73,MATCH($A68,JUL!$A$8:$A$73,0)),"")</f>
        <v/>
      </c>
      <c r="J68" s="174">
        <f>IFERROR(INDEX(AGO!$BK$8:$BK$73,MATCH($A68,AGO!$A$8:$A$73,0)),"")</f>
        <v/>
      </c>
      <c r="K68" s="174">
        <f>IFERROR(INDEX(SET!$BK$8:$BK$73,MATCH($A68,SET!$A$8:$A$73,0)),"")</f>
        <v/>
      </c>
      <c r="L68" s="174">
        <f>IFERROR(INDEX(OUT!$BK$8:$BK$73,MATCH($A68,OUT!$A$8:$A$73,0)),"")</f>
        <v/>
      </c>
      <c r="M68" s="174">
        <f>IFERROR(INDEX(NOV!$BK$8:$BK$73,MATCH($A68,NOV!$A$8:$A$73,0)),"")</f>
        <v/>
      </c>
      <c r="N68" s="174">
        <f>IFERROR(INDEX(DEZ!$BK$8:$BK$73,MATCH($A68,DEZ!$A$8:$A$73,0)),"")</f>
        <v/>
      </c>
      <c r="O68" s="175">
        <f>SUM(C68:N68)</f>
        <v/>
      </c>
      <c r="P68" s="39" t="n"/>
      <c r="Q68" s="174">
        <f>IFERROR(INDEX(JAN!$BG$8:$BG$73,MATCH($A68,JAN!$A$8:$A$73,0)),"")</f>
        <v/>
      </c>
      <c r="R68" s="174">
        <f>IFERROR(INDEX(FEV!$BG$8:$BG$73,MATCH($A68,FEV!$A$8:$A$73,0)),"")</f>
        <v/>
      </c>
      <c r="S68" s="174">
        <f>IFERROR(INDEX(MAR!$BG$8:$BG$73,MATCH($A68,MAR!$A$8:$A$73,0)),"")</f>
        <v/>
      </c>
      <c r="T68" s="174">
        <f>IFERROR(INDEX(ABR!$BG$8:$BG$73,MATCH($A68,ABR!$A$8:$A$73,0)),"")</f>
        <v/>
      </c>
      <c r="U68" s="174">
        <f>IFERROR(INDEX(MAI!$BG$8:$BG$73,MATCH($A68,MAI!$A$8:$A$73,0)),"")</f>
        <v/>
      </c>
      <c r="V68" s="174">
        <f>IFERROR(INDEX(JUN!$BG$8:$BG$73,MATCH($A68,JUN!$A$8:$A$73,0)),"")</f>
        <v/>
      </c>
      <c r="W68" s="174">
        <f>IFERROR(INDEX(JUL!$BG$8:$BG$73,MATCH($A68,JUL!$A$8:$A$73,0)),"")</f>
        <v/>
      </c>
      <c r="X68" s="174">
        <f>IFERROR(INDEX(AGO!$BG$8:$BG$73,MATCH($A68,AGO!$A$8:$A$73,0)),"")</f>
        <v/>
      </c>
      <c r="Y68" s="174">
        <f>IFERROR(INDEX(SET!$BG$8:$BG$73,MATCH($A68,SET!$A$8:$A$73,0)),"")</f>
        <v/>
      </c>
      <c r="Z68" s="174">
        <f>IFERROR(INDEX(OUT!$BG$8:$BG$73,MATCH($A68,OUT!$A$8:$A$73,0)),"")</f>
        <v/>
      </c>
      <c r="AA68" s="174">
        <f>IFERROR(INDEX(NOV!$BG$8:$BG$73,MATCH($A68,NOV!$A$8:$A$73,0)),"")</f>
        <v/>
      </c>
      <c r="AB68" s="174">
        <f>IFERROR(INDEX(DEZ!$BG$8:$BG$73,MATCH($A68,DEZ!$A$8:$A$73,0)),"")</f>
        <v/>
      </c>
      <c r="AC68" s="175">
        <f>SUM(Q68:AB68)</f>
        <v/>
      </c>
      <c r="AD68" s="39" t="n"/>
      <c r="AE68" s="174">
        <f>IFERROR(INDEX(JAN!$BH$8:$BH$73,MATCH($A68,JAN!$A$8:$A$73,0)),"")</f>
        <v/>
      </c>
      <c r="AF68" s="174">
        <f>IFERROR(INDEX(FEV!$BH$8:$BH$73,MATCH($A68,FEV!$A$8:$A$73,0)),"")</f>
        <v/>
      </c>
      <c r="AG68" s="174">
        <f>IFERROR(INDEX(MAR!$BH$8:$BH$73,MATCH($A68,MAR!$A$8:$A$73,0)),"")</f>
        <v/>
      </c>
      <c r="AH68" s="174">
        <f>IFERROR(INDEX(ABR!$BH$8:$BH$73,MATCH($A68,ABR!$A$8:$A$73,0)),"")</f>
        <v/>
      </c>
      <c r="AI68" s="174">
        <f>IFERROR(INDEX(MAI!$BH$8:$BH$73,MATCH($A68,MAI!$A$8:$A$73,0)),"")</f>
        <v/>
      </c>
      <c r="AJ68" s="174">
        <f>IFERROR(INDEX(JUN!$BH$8:$BH$73,MATCH($A68,JUN!$A$8:$A$73,0)),"")</f>
        <v/>
      </c>
      <c r="AK68" s="174">
        <f>IFERROR(INDEX(JUL!$BH$8:$BH$73,MATCH($A68,JUL!$A$8:$A$73,0)),"")</f>
        <v/>
      </c>
      <c r="AL68" s="174">
        <f>IFERROR(INDEX(AGO!$BH$8:$BH$73,MATCH($A68,AGO!$A$8:$A$73,0)),"")</f>
        <v/>
      </c>
      <c r="AM68" s="174">
        <f>IFERROR(INDEX(SET!$BH$8:$BH$73,MATCH($A68,SET!$A$8:$A$73,0)),"")</f>
        <v/>
      </c>
      <c r="AN68" s="174">
        <f>IFERROR(INDEX(OUT!$BH$8:$BH$73,MATCH($A68,OUT!$A$8:$A$73,0)),"")</f>
        <v/>
      </c>
      <c r="AO68" s="174">
        <f>IFERROR(INDEX(NOV!$BH$8:$BH$73,MATCH($A68,NOV!$A$8:$A$73,0)),"")</f>
        <v/>
      </c>
      <c r="AP68" s="174">
        <f>IFERROR(INDEX(DEZ!$BH$8:$BH$73,MATCH($A68,DEZ!$A$8:$A$73,0)),"")</f>
        <v/>
      </c>
      <c r="AQ68" s="175">
        <f>SUM(AE68:AP68)</f>
        <v/>
      </c>
      <c r="AR68" s="39" t="n"/>
      <c r="AS68" s="174">
        <f>IFERROR(INDEX(JAN!$BI$8:$BI$73,MATCH($A68,JAN!$A$8:$A$73,0)),"")</f>
        <v/>
      </c>
      <c r="AT68" s="174">
        <f>IFERROR(INDEX(FEV!$BI$8:$BI$73,MATCH($A68,FEV!$A$8:$A$73,0)),"")</f>
        <v/>
      </c>
      <c r="AU68" s="174">
        <f>IFERROR(INDEX(MAR!$BI$8:$BI$73,MATCH($A68,MAR!$A$8:$A$73,0)),"")</f>
        <v/>
      </c>
      <c r="AV68" s="174">
        <f>IFERROR(INDEX(ABR!$BI$8:$BI$73,MATCH($A68,ABR!$A$8:$A$73,0)),"")</f>
        <v/>
      </c>
      <c r="AW68" s="174">
        <f>IFERROR(INDEX(MAI!$BI$8:$BI$73,MATCH($A68,MAI!$A$8:$A$73,0)),"")</f>
        <v/>
      </c>
      <c r="AX68" s="174">
        <f>IFERROR(INDEX(JUN!$BI$8:$BI$73,MATCH($A68,JUN!$A$8:$A$73,0)),"")</f>
        <v/>
      </c>
      <c r="AY68" s="174">
        <f>IFERROR(INDEX(JUL!$BI$8:$BI$73,MATCH($A68,JUL!$A$8:$A$73,0)),"")</f>
        <v/>
      </c>
      <c r="AZ68" s="174">
        <f>IFERROR(INDEX(AGO!$BI$8:$BI$73,MATCH($A68,AGO!$A$8:$A$73,0)),"")</f>
        <v/>
      </c>
      <c r="BA68" s="174">
        <f>IFERROR(INDEX(SET!$BI$8:$BI$73,MATCH($A68,SET!$A$8:$A$73,0)),"")</f>
        <v/>
      </c>
      <c r="BB68" s="174">
        <f>IFERROR(INDEX(OUT!$BI$8:$BI$73,MATCH($A68,OUT!$A$8:$A$73,0)),"")</f>
        <v/>
      </c>
      <c r="BC68" s="174">
        <f>IFERROR(INDEX(NOV!$BI$8:$BI$73,MATCH($A68,NOV!$A$8:$A$73,0)),"")</f>
        <v/>
      </c>
      <c r="BD68" s="174">
        <f>IFERROR(INDEX(DEZ!$BI$8:$BI$73,MATCH($A68,DEZ!$A$8:$A$73,0)),"")</f>
        <v/>
      </c>
      <c r="BE68" s="175">
        <f>SUM(AS68:BD68)</f>
        <v/>
      </c>
      <c r="BF68" s="39" t="n"/>
      <c r="BG68" s="107" t="n">
        <v>5</v>
      </c>
      <c r="BH68" s="133">
        <f>SUM(AE68:AP68)</f>
        <v/>
      </c>
      <c r="BI68" s="176">
        <f>IF(BG68="","",IF(BG68=BH68,"","⚠"))</f>
        <v/>
      </c>
      <c r="BJ68" s="39" t="n"/>
      <c r="BK68" s="39" t="n"/>
    </row>
    <row r="69">
      <c r="A69" s="89" t="inlineStr">
        <is>
          <t>Vanessa</t>
        </is>
      </c>
      <c r="B69" s="173">
        <f>CADASTRO!$C65</f>
        <v/>
      </c>
      <c r="C69" s="174">
        <f>IFERROR(INDEX(JAN!$BK$8:$BK$73,MATCH($A69,JAN!$A$8:$A$73,0)),"")</f>
        <v/>
      </c>
      <c r="D69" s="174">
        <f>IFERROR(INDEX(FEV!$BK$8:$BK$73,MATCH($A69,FEV!$A$8:$A$73,0)),"")</f>
        <v/>
      </c>
      <c r="E69" s="174">
        <f>IFERROR(INDEX(MAR!$BK$8:$BK$73,MATCH($A69,MAR!$A$8:$A$73,0)),"")</f>
        <v/>
      </c>
      <c r="F69" s="174">
        <f>IFERROR(INDEX(ABR!$BK$8:$BK$73,MATCH($A69,ABR!$A$8:$A$73,0)),"")</f>
        <v/>
      </c>
      <c r="G69" s="174">
        <f>IFERROR(INDEX(MAI!$BK$8:$BK$73,MATCH($A69,MAI!$A$8:$A$73,0)),"")</f>
        <v/>
      </c>
      <c r="H69" s="174">
        <f>IFERROR(INDEX(JUN!$BK$8:$BK$73,MATCH($A69,JUN!$A$8:$A$73,0)),"")</f>
        <v/>
      </c>
      <c r="I69" s="174">
        <f>IFERROR(INDEX(JUL!$BK$8:$BK$73,MATCH($A69,JUL!$A$8:$A$73,0)),"")</f>
        <v/>
      </c>
      <c r="J69" s="174">
        <f>IFERROR(INDEX(AGO!$BK$8:$BK$73,MATCH($A69,AGO!$A$8:$A$73,0)),"")</f>
        <v/>
      </c>
      <c r="K69" s="174">
        <f>IFERROR(INDEX(SET!$BK$8:$BK$73,MATCH($A69,SET!$A$8:$A$73,0)),"")</f>
        <v/>
      </c>
      <c r="L69" s="174">
        <f>IFERROR(INDEX(OUT!$BK$8:$BK$73,MATCH($A69,OUT!$A$8:$A$73,0)),"")</f>
        <v/>
      </c>
      <c r="M69" s="174">
        <f>IFERROR(INDEX(NOV!$BK$8:$BK$73,MATCH($A69,NOV!$A$8:$A$73,0)),"")</f>
        <v/>
      </c>
      <c r="N69" s="174">
        <f>IFERROR(INDEX(DEZ!$BK$8:$BK$73,MATCH($A69,DEZ!$A$8:$A$73,0)),"")</f>
        <v/>
      </c>
      <c r="O69" s="175">
        <f>SUM(C69:N69)</f>
        <v/>
      </c>
      <c r="P69" s="39" t="n"/>
      <c r="Q69" s="174">
        <f>IFERROR(INDEX(JAN!$BG$8:$BG$73,MATCH($A69,JAN!$A$8:$A$73,0)),"")</f>
        <v/>
      </c>
      <c r="R69" s="174">
        <f>IFERROR(INDEX(FEV!$BG$8:$BG$73,MATCH($A69,FEV!$A$8:$A$73,0)),"")</f>
        <v/>
      </c>
      <c r="S69" s="174">
        <f>IFERROR(INDEX(MAR!$BG$8:$BG$73,MATCH($A69,MAR!$A$8:$A$73,0)),"")</f>
        <v/>
      </c>
      <c r="T69" s="174">
        <f>IFERROR(INDEX(ABR!$BG$8:$BG$73,MATCH($A69,ABR!$A$8:$A$73,0)),"")</f>
        <v/>
      </c>
      <c r="U69" s="174">
        <f>IFERROR(INDEX(MAI!$BG$8:$BG$73,MATCH($A69,MAI!$A$8:$A$73,0)),"")</f>
        <v/>
      </c>
      <c r="V69" s="174">
        <f>IFERROR(INDEX(JUN!$BG$8:$BG$73,MATCH($A69,JUN!$A$8:$A$73,0)),"")</f>
        <v/>
      </c>
      <c r="W69" s="174">
        <f>IFERROR(INDEX(JUL!$BG$8:$BG$73,MATCH($A69,JUL!$A$8:$A$73,0)),"")</f>
        <v/>
      </c>
      <c r="X69" s="174">
        <f>IFERROR(INDEX(AGO!$BG$8:$BG$73,MATCH($A69,AGO!$A$8:$A$73,0)),"")</f>
        <v/>
      </c>
      <c r="Y69" s="174">
        <f>IFERROR(INDEX(SET!$BG$8:$BG$73,MATCH($A69,SET!$A$8:$A$73,0)),"")</f>
        <v/>
      </c>
      <c r="Z69" s="174">
        <f>IFERROR(INDEX(OUT!$BG$8:$BG$73,MATCH($A69,OUT!$A$8:$A$73,0)),"")</f>
        <v/>
      </c>
      <c r="AA69" s="174">
        <f>IFERROR(INDEX(NOV!$BG$8:$BG$73,MATCH($A69,NOV!$A$8:$A$73,0)),"")</f>
        <v/>
      </c>
      <c r="AB69" s="174">
        <f>IFERROR(INDEX(DEZ!$BG$8:$BG$73,MATCH($A69,DEZ!$A$8:$A$73,0)),"")</f>
        <v/>
      </c>
      <c r="AC69" s="175">
        <f>SUM(Q69:AB69)</f>
        <v/>
      </c>
      <c r="AD69" s="39" t="n"/>
      <c r="AE69" s="174">
        <f>IFERROR(INDEX(JAN!$BH$8:$BH$73,MATCH($A69,JAN!$A$8:$A$73,0)),"")</f>
        <v/>
      </c>
      <c r="AF69" s="174">
        <f>IFERROR(INDEX(FEV!$BH$8:$BH$73,MATCH($A69,FEV!$A$8:$A$73,0)),"")</f>
        <v/>
      </c>
      <c r="AG69" s="174">
        <f>IFERROR(INDEX(MAR!$BH$8:$BH$73,MATCH($A69,MAR!$A$8:$A$73,0)),"")</f>
        <v/>
      </c>
      <c r="AH69" s="174">
        <f>IFERROR(INDEX(ABR!$BH$8:$BH$73,MATCH($A69,ABR!$A$8:$A$73,0)),"")</f>
        <v/>
      </c>
      <c r="AI69" s="174">
        <f>IFERROR(INDEX(MAI!$BH$8:$BH$73,MATCH($A69,MAI!$A$8:$A$73,0)),"")</f>
        <v/>
      </c>
      <c r="AJ69" s="174">
        <f>IFERROR(INDEX(JUN!$BH$8:$BH$73,MATCH($A69,JUN!$A$8:$A$73,0)),"")</f>
        <v/>
      </c>
      <c r="AK69" s="174">
        <f>IFERROR(INDEX(JUL!$BH$8:$BH$73,MATCH($A69,JUL!$A$8:$A$73,0)),"")</f>
        <v/>
      </c>
      <c r="AL69" s="174">
        <f>IFERROR(INDEX(AGO!$BH$8:$BH$73,MATCH($A69,AGO!$A$8:$A$73,0)),"")</f>
        <v/>
      </c>
      <c r="AM69" s="174">
        <f>IFERROR(INDEX(SET!$BH$8:$BH$73,MATCH($A69,SET!$A$8:$A$73,0)),"")</f>
        <v/>
      </c>
      <c r="AN69" s="174">
        <f>IFERROR(INDEX(OUT!$BH$8:$BH$73,MATCH($A69,OUT!$A$8:$A$73,0)),"")</f>
        <v/>
      </c>
      <c r="AO69" s="174">
        <f>IFERROR(INDEX(NOV!$BH$8:$BH$73,MATCH($A69,NOV!$A$8:$A$73,0)),"")</f>
        <v/>
      </c>
      <c r="AP69" s="174">
        <f>IFERROR(INDEX(DEZ!$BH$8:$BH$73,MATCH($A69,DEZ!$A$8:$A$73,0)),"")</f>
        <v/>
      </c>
      <c r="AQ69" s="175">
        <f>SUM(AE69:AP69)</f>
        <v/>
      </c>
      <c r="AR69" s="39" t="n"/>
      <c r="AS69" s="174">
        <f>IFERROR(INDEX(JAN!$BI$8:$BI$73,MATCH($A69,JAN!$A$8:$A$73,0)),"")</f>
        <v/>
      </c>
      <c r="AT69" s="174">
        <f>IFERROR(INDEX(FEV!$BI$8:$BI$73,MATCH($A69,FEV!$A$8:$A$73,0)),"")</f>
        <v/>
      </c>
      <c r="AU69" s="174">
        <f>IFERROR(INDEX(MAR!$BI$8:$BI$73,MATCH($A69,MAR!$A$8:$A$73,0)),"")</f>
        <v/>
      </c>
      <c r="AV69" s="174">
        <f>IFERROR(INDEX(ABR!$BI$8:$BI$73,MATCH($A69,ABR!$A$8:$A$73,0)),"")</f>
        <v/>
      </c>
      <c r="AW69" s="174">
        <f>IFERROR(INDEX(MAI!$BI$8:$BI$73,MATCH($A69,MAI!$A$8:$A$73,0)),"")</f>
        <v/>
      </c>
      <c r="AX69" s="174">
        <f>IFERROR(INDEX(JUN!$BI$8:$BI$73,MATCH($A69,JUN!$A$8:$A$73,0)),"")</f>
        <v/>
      </c>
      <c r="AY69" s="174">
        <f>IFERROR(INDEX(JUL!$BI$8:$BI$73,MATCH($A69,JUL!$A$8:$A$73,0)),"")</f>
        <v/>
      </c>
      <c r="AZ69" s="174">
        <f>IFERROR(INDEX(AGO!$BI$8:$BI$73,MATCH($A69,AGO!$A$8:$A$73,0)),"")</f>
        <v/>
      </c>
      <c r="BA69" s="174">
        <f>IFERROR(INDEX(SET!$BI$8:$BI$73,MATCH($A69,SET!$A$8:$A$73,0)),"")</f>
        <v/>
      </c>
      <c r="BB69" s="174">
        <f>IFERROR(INDEX(OUT!$BI$8:$BI$73,MATCH($A69,OUT!$A$8:$A$73,0)),"")</f>
        <v/>
      </c>
      <c r="BC69" s="174">
        <f>IFERROR(INDEX(NOV!$BI$8:$BI$73,MATCH($A69,NOV!$A$8:$A$73,0)),"")</f>
        <v/>
      </c>
      <c r="BD69" s="174">
        <f>IFERROR(INDEX(DEZ!$BI$8:$BI$73,MATCH($A69,DEZ!$A$8:$A$73,0)),"")</f>
        <v/>
      </c>
      <c r="BE69" s="175">
        <f>SUM(AS69:BD69)</f>
        <v/>
      </c>
      <c r="BF69" s="39" t="n"/>
      <c r="BG69" s="107" t="n">
        <v>3</v>
      </c>
      <c r="BH69" s="133">
        <f>SUM(AE69:AP69)</f>
        <v/>
      </c>
      <c r="BI69" s="176">
        <f>IF(BG69="","",IF(BG69=BH69,"","⚠"))</f>
        <v/>
      </c>
      <c r="BJ69" s="39" t="n"/>
      <c r="BK69" s="39" t="n"/>
    </row>
    <row r="70">
      <c r="A70" s="89" t="inlineStr">
        <is>
          <t>Yuji</t>
        </is>
      </c>
      <c r="B70" s="173">
        <f>CADASTRO!$C66</f>
        <v/>
      </c>
      <c r="C70" s="174">
        <f>IFERROR(INDEX(JAN!$BK$8:$BK$73,MATCH($A70,JAN!$A$8:$A$73,0)),"")</f>
        <v/>
      </c>
      <c r="D70" s="174">
        <f>IFERROR(INDEX(FEV!$BK$8:$BK$73,MATCH($A70,FEV!$A$8:$A$73,0)),"")</f>
        <v/>
      </c>
      <c r="E70" s="174">
        <f>IFERROR(INDEX(MAR!$BK$8:$BK$73,MATCH($A70,MAR!$A$8:$A$73,0)),"")</f>
        <v/>
      </c>
      <c r="F70" s="174">
        <f>IFERROR(INDEX(ABR!$BK$8:$BK$73,MATCH($A70,ABR!$A$8:$A$73,0)),"")</f>
        <v/>
      </c>
      <c r="G70" s="174">
        <f>IFERROR(INDEX(MAI!$BK$8:$BK$73,MATCH($A70,MAI!$A$8:$A$73,0)),"")</f>
        <v/>
      </c>
      <c r="H70" s="174">
        <f>IFERROR(INDEX(JUN!$BK$8:$BK$73,MATCH($A70,JUN!$A$8:$A$73,0)),"")</f>
        <v/>
      </c>
      <c r="I70" s="174">
        <f>IFERROR(INDEX(JUL!$BK$8:$BK$73,MATCH($A70,JUL!$A$8:$A$73,0)),"")</f>
        <v/>
      </c>
      <c r="J70" s="174">
        <f>IFERROR(INDEX(AGO!$BK$8:$BK$73,MATCH($A70,AGO!$A$8:$A$73,0)),"")</f>
        <v/>
      </c>
      <c r="K70" s="174">
        <f>IFERROR(INDEX(SET!$BK$8:$BK$73,MATCH($A70,SET!$A$8:$A$73,0)),"")</f>
        <v/>
      </c>
      <c r="L70" s="174">
        <f>IFERROR(INDEX(OUT!$BK$8:$BK$73,MATCH($A70,OUT!$A$8:$A$73,0)),"")</f>
        <v/>
      </c>
      <c r="M70" s="174">
        <f>IFERROR(INDEX(NOV!$BK$8:$BK$73,MATCH($A70,NOV!$A$8:$A$73,0)),"")</f>
        <v/>
      </c>
      <c r="N70" s="174">
        <f>IFERROR(INDEX(DEZ!$BK$8:$BK$73,MATCH($A70,DEZ!$A$8:$A$73,0)),"")</f>
        <v/>
      </c>
      <c r="O70" s="175">
        <f>SUM(C70:N70)</f>
        <v/>
      </c>
      <c r="P70" s="39" t="n"/>
      <c r="Q70" s="174">
        <f>IFERROR(INDEX(JAN!$BG$8:$BG$73,MATCH($A70,JAN!$A$8:$A$73,0)),"")</f>
        <v/>
      </c>
      <c r="R70" s="174">
        <f>IFERROR(INDEX(FEV!$BG$8:$BG$73,MATCH($A70,FEV!$A$8:$A$73,0)),"")</f>
        <v/>
      </c>
      <c r="S70" s="174">
        <f>IFERROR(INDEX(MAR!$BG$8:$BG$73,MATCH($A70,MAR!$A$8:$A$73,0)),"")</f>
        <v/>
      </c>
      <c r="T70" s="174">
        <f>IFERROR(INDEX(ABR!$BG$8:$BG$73,MATCH($A70,ABR!$A$8:$A$73,0)),"")</f>
        <v/>
      </c>
      <c r="U70" s="174">
        <f>IFERROR(INDEX(MAI!$BG$8:$BG$73,MATCH($A70,MAI!$A$8:$A$73,0)),"")</f>
        <v/>
      </c>
      <c r="V70" s="174">
        <f>IFERROR(INDEX(JUN!$BG$8:$BG$73,MATCH($A70,JUN!$A$8:$A$73,0)),"")</f>
        <v/>
      </c>
      <c r="W70" s="174">
        <f>IFERROR(INDEX(JUL!$BG$8:$BG$73,MATCH($A70,JUL!$A$8:$A$73,0)),"")</f>
        <v/>
      </c>
      <c r="X70" s="174">
        <f>IFERROR(INDEX(AGO!$BG$8:$BG$73,MATCH($A70,AGO!$A$8:$A$73,0)),"")</f>
        <v/>
      </c>
      <c r="Y70" s="174">
        <f>IFERROR(INDEX(SET!$BG$8:$BG$73,MATCH($A70,SET!$A$8:$A$73,0)),"")</f>
        <v/>
      </c>
      <c r="Z70" s="174">
        <f>IFERROR(INDEX(OUT!$BG$8:$BG$73,MATCH($A70,OUT!$A$8:$A$73,0)),"")</f>
        <v/>
      </c>
      <c r="AA70" s="174">
        <f>IFERROR(INDEX(NOV!$BG$8:$BG$73,MATCH($A70,NOV!$A$8:$A$73,0)),"")</f>
        <v/>
      </c>
      <c r="AB70" s="174">
        <f>IFERROR(INDEX(DEZ!$BG$8:$BG$73,MATCH($A70,DEZ!$A$8:$A$73,0)),"")</f>
        <v/>
      </c>
      <c r="AC70" s="175">
        <f>SUM(Q70:AB70)</f>
        <v/>
      </c>
      <c r="AD70" s="39" t="n"/>
      <c r="AE70" s="174">
        <f>IFERROR(INDEX(JAN!$BH$8:$BH$73,MATCH($A70,JAN!$A$8:$A$73,0)),"")</f>
        <v/>
      </c>
      <c r="AF70" s="174">
        <f>IFERROR(INDEX(FEV!$BH$8:$BH$73,MATCH($A70,FEV!$A$8:$A$73,0)),"")</f>
        <v/>
      </c>
      <c r="AG70" s="174">
        <f>IFERROR(INDEX(MAR!$BH$8:$BH$73,MATCH($A70,MAR!$A$8:$A$73,0)),"")</f>
        <v/>
      </c>
      <c r="AH70" s="174">
        <f>IFERROR(INDEX(ABR!$BH$8:$BH$73,MATCH($A70,ABR!$A$8:$A$73,0)),"")</f>
        <v/>
      </c>
      <c r="AI70" s="174">
        <f>IFERROR(INDEX(MAI!$BH$8:$BH$73,MATCH($A70,MAI!$A$8:$A$73,0)),"")</f>
        <v/>
      </c>
      <c r="AJ70" s="174">
        <f>IFERROR(INDEX(JUN!$BH$8:$BH$73,MATCH($A70,JUN!$A$8:$A$73,0)),"")</f>
        <v/>
      </c>
      <c r="AK70" s="174">
        <f>IFERROR(INDEX(JUL!$BH$8:$BH$73,MATCH($A70,JUL!$A$8:$A$73,0)),"")</f>
        <v/>
      </c>
      <c r="AL70" s="174">
        <f>IFERROR(INDEX(AGO!$BH$8:$BH$73,MATCH($A70,AGO!$A$8:$A$73,0)),"")</f>
        <v/>
      </c>
      <c r="AM70" s="174">
        <f>IFERROR(INDEX(SET!$BH$8:$BH$73,MATCH($A70,SET!$A$8:$A$73,0)),"")</f>
        <v/>
      </c>
      <c r="AN70" s="174">
        <f>IFERROR(INDEX(OUT!$BH$8:$BH$73,MATCH($A70,OUT!$A$8:$A$73,0)),"")</f>
        <v/>
      </c>
      <c r="AO70" s="174">
        <f>IFERROR(INDEX(NOV!$BH$8:$BH$73,MATCH($A70,NOV!$A$8:$A$73,0)),"")</f>
        <v/>
      </c>
      <c r="AP70" s="174">
        <f>IFERROR(INDEX(DEZ!$BH$8:$BH$73,MATCH($A70,DEZ!$A$8:$A$73,0)),"")</f>
        <v/>
      </c>
      <c r="AQ70" s="175">
        <f>SUM(AE70:AP70)</f>
        <v/>
      </c>
      <c r="AR70" s="39" t="n"/>
      <c r="AS70" s="174">
        <f>IFERROR(INDEX(JAN!$BI$8:$BI$73,MATCH($A70,JAN!$A$8:$A$73,0)),"")</f>
        <v/>
      </c>
      <c r="AT70" s="174">
        <f>IFERROR(INDEX(FEV!$BI$8:$BI$73,MATCH($A70,FEV!$A$8:$A$73,0)),"")</f>
        <v/>
      </c>
      <c r="AU70" s="174">
        <f>IFERROR(INDEX(MAR!$BI$8:$BI$73,MATCH($A70,MAR!$A$8:$A$73,0)),"")</f>
        <v/>
      </c>
      <c r="AV70" s="174">
        <f>IFERROR(INDEX(ABR!$BI$8:$BI$73,MATCH($A70,ABR!$A$8:$A$73,0)),"")</f>
        <v/>
      </c>
      <c r="AW70" s="174">
        <f>IFERROR(INDEX(MAI!$BI$8:$BI$73,MATCH($A70,MAI!$A$8:$A$73,0)),"")</f>
        <v/>
      </c>
      <c r="AX70" s="174">
        <f>IFERROR(INDEX(JUN!$BI$8:$BI$73,MATCH($A70,JUN!$A$8:$A$73,0)),"")</f>
        <v/>
      </c>
      <c r="AY70" s="174">
        <f>IFERROR(INDEX(JUL!$BI$8:$BI$73,MATCH($A70,JUL!$A$8:$A$73,0)),"")</f>
        <v/>
      </c>
      <c r="AZ70" s="174">
        <f>IFERROR(INDEX(AGO!$BI$8:$BI$73,MATCH($A70,AGO!$A$8:$A$73,0)),"")</f>
        <v/>
      </c>
      <c r="BA70" s="174">
        <f>IFERROR(INDEX(SET!$BI$8:$BI$73,MATCH($A70,SET!$A$8:$A$73,0)),"")</f>
        <v/>
      </c>
      <c r="BB70" s="174">
        <f>IFERROR(INDEX(OUT!$BI$8:$BI$73,MATCH($A70,OUT!$A$8:$A$73,0)),"")</f>
        <v/>
      </c>
      <c r="BC70" s="174">
        <f>IFERROR(INDEX(NOV!$BI$8:$BI$73,MATCH($A70,NOV!$A$8:$A$73,0)),"")</f>
        <v/>
      </c>
      <c r="BD70" s="174">
        <f>IFERROR(INDEX(DEZ!$BI$8:$BI$73,MATCH($A70,DEZ!$A$8:$A$73,0)),"")</f>
        <v/>
      </c>
      <c r="BE70" s="175">
        <f>SUM(AS70:BD70)</f>
        <v/>
      </c>
      <c r="BF70" s="39" t="n"/>
      <c r="BG70" s="107" t="n">
        <v>0</v>
      </c>
      <c r="BH70" s="133">
        <f>SUM(AE70:AP70)</f>
        <v/>
      </c>
      <c r="BI70" s="176">
        <f>IF(BG70="","",IF(BG70=BH70,"","⚠"))</f>
        <v/>
      </c>
      <c r="BJ70" s="39" t="n"/>
      <c r="BK70" s="39" t="n"/>
    </row>
    <row r="71">
      <c r="A71" s="89" t="inlineStr">
        <is>
          <t>JuIsaac</t>
        </is>
      </c>
      <c r="B71" s="173">
        <f>CADASTRO!$C67</f>
        <v/>
      </c>
      <c r="C71" s="174">
        <f>IFERROR(INDEX(JAN!$BK$8:$BK$73,MATCH($A71,JAN!$A$8:$A$73,0)),"")</f>
        <v/>
      </c>
      <c r="D71" s="174">
        <f>IFERROR(INDEX(FEV!$BK$8:$BK$73,MATCH($A71,FEV!$A$8:$A$73,0)),"")</f>
        <v/>
      </c>
      <c r="E71" s="174">
        <f>IFERROR(INDEX(MAR!$BK$8:$BK$73,MATCH($A71,MAR!$A$8:$A$73,0)),"")</f>
        <v/>
      </c>
      <c r="F71" s="174">
        <f>IFERROR(INDEX(ABR!$BK$8:$BK$73,MATCH($A71,ABR!$A$8:$A$73,0)),"")</f>
        <v/>
      </c>
      <c r="G71" s="174">
        <f>IFERROR(INDEX(MAI!$BK$8:$BK$73,MATCH($A71,MAI!$A$8:$A$73,0)),"")</f>
        <v/>
      </c>
      <c r="H71" s="174">
        <f>IFERROR(INDEX(JUN!$BK$8:$BK$73,MATCH($A71,JUN!$A$8:$A$73,0)),"")</f>
        <v/>
      </c>
      <c r="I71" s="174">
        <f>IFERROR(INDEX(JUL!$BK$8:$BK$73,MATCH($A71,JUL!$A$8:$A$73,0)),"")</f>
        <v/>
      </c>
      <c r="J71" s="174">
        <f>IFERROR(INDEX(AGO!$BK$8:$BK$73,MATCH($A71,AGO!$A$8:$A$73,0)),"")</f>
        <v/>
      </c>
      <c r="K71" s="174">
        <f>IFERROR(INDEX(SET!$BK$8:$BK$73,MATCH($A71,SET!$A$8:$A$73,0)),"")</f>
        <v/>
      </c>
      <c r="L71" s="174">
        <f>IFERROR(INDEX(OUT!$BK$8:$BK$73,MATCH($A71,OUT!$A$8:$A$73,0)),"")</f>
        <v/>
      </c>
      <c r="M71" s="174">
        <f>IFERROR(INDEX(NOV!$BK$8:$BK$73,MATCH($A71,NOV!$A$8:$A$73,0)),"")</f>
        <v/>
      </c>
      <c r="N71" s="174">
        <f>IFERROR(INDEX(DEZ!$BK$8:$BK$73,MATCH($A71,DEZ!$A$8:$A$73,0)),"")</f>
        <v/>
      </c>
      <c r="O71" s="175">
        <f>SUM(C71:N71)</f>
        <v/>
      </c>
      <c r="P71" s="39" t="n"/>
      <c r="Q71" s="174">
        <f>IFERROR(INDEX(JAN!$BG$8:$BG$73,MATCH($A71,JAN!$A$8:$A$73,0)),"")</f>
        <v/>
      </c>
      <c r="R71" s="174">
        <f>IFERROR(INDEX(FEV!$BG$8:$BG$73,MATCH($A71,FEV!$A$8:$A$73,0)),"")</f>
        <v/>
      </c>
      <c r="S71" s="174">
        <f>IFERROR(INDEX(MAR!$BG$8:$BG$73,MATCH($A71,MAR!$A$8:$A$73,0)),"")</f>
        <v/>
      </c>
      <c r="T71" s="174">
        <f>IFERROR(INDEX(ABR!$BG$8:$BG$73,MATCH($A71,ABR!$A$8:$A$73,0)),"")</f>
        <v/>
      </c>
      <c r="U71" s="174">
        <f>IFERROR(INDEX(MAI!$BG$8:$BG$73,MATCH($A71,MAI!$A$8:$A$73,0)),"")</f>
        <v/>
      </c>
      <c r="V71" s="174">
        <f>IFERROR(INDEX(JUN!$BG$8:$BG$73,MATCH($A71,JUN!$A$8:$A$73,0)),"")</f>
        <v/>
      </c>
      <c r="W71" s="174">
        <f>IFERROR(INDEX(JUL!$BG$8:$BG$73,MATCH($A71,JUL!$A$8:$A$73,0)),"")</f>
        <v/>
      </c>
      <c r="X71" s="174">
        <f>IFERROR(INDEX(AGO!$BG$8:$BG$73,MATCH($A71,AGO!$A$8:$A$73,0)),"")</f>
        <v/>
      </c>
      <c r="Y71" s="174">
        <f>IFERROR(INDEX(SET!$BG$8:$BG$73,MATCH($A71,SET!$A$8:$A$73,0)),"")</f>
        <v/>
      </c>
      <c r="Z71" s="174">
        <f>IFERROR(INDEX(OUT!$BG$8:$BG$73,MATCH($A71,OUT!$A$8:$A$73,0)),"")</f>
        <v/>
      </c>
      <c r="AA71" s="174">
        <f>IFERROR(INDEX(NOV!$BG$8:$BG$73,MATCH($A71,NOV!$A$8:$A$73,0)),"")</f>
        <v/>
      </c>
      <c r="AB71" s="174">
        <f>IFERROR(INDEX(DEZ!$BG$8:$BG$73,MATCH($A71,DEZ!$A$8:$A$73,0)),"")</f>
        <v/>
      </c>
      <c r="AC71" s="175">
        <f>SUM(Q71:AB71)</f>
        <v/>
      </c>
      <c r="AD71" s="39" t="n"/>
      <c r="AE71" s="174">
        <f>IFERROR(INDEX(JAN!$BH$8:$BH$73,MATCH($A71,JAN!$A$8:$A$73,0)),"")</f>
        <v/>
      </c>
      <c r="AF71" s="174">
        <f>IFERROR(INDEX(FEV!$BH$8:$BH$73,MATCH($A71,FEV!$A$8:$A$73,0)),"")</f>
        <v/>
      </c>
      <c r="AG71" s="174">
        <f>IFERROR(INDEX(MAR!$BH$8:$BH$73,MATCH($A71,MAR!$A$8:$A$73,0)),"")</f>
        <v/>
      </c>
      <c r="AH71" s="174">
        <f>IFERROR(INDEX(ABR!$BH$8:$BH$73,MATCH($A71,ABR!$A$8:$A$73,0)),"")</f>
        <v/>
      </c>
      <c r="AI71" s="174">
        <f>IFERROR(INDEX(MAI!$BH$8:$BH$73,MATCH($A71,MAI!$A$8:$A$73,0)),"")</f>
        <v/>
      </c>
      <c r="AJ71" s="174">
        <f>IFERROR(INDEX(JUN!$BH$8:$BH$73,MATCH($A71,JUN!$A$8:$A$73,0)),"")</f>
        <v/>
      </c>
      <c r="AK71" s="174">
        <f>IFERROR(INDEX(JUL!$BH$8:$BH$73,MATCH($A71,JUL!$A$8:$A$73,0)),"")</f>
        <v/>
      </c>
      <c r="AL71" s="174">
        <f>IFERROR(INDEX(AGO!$BH$8:$BH$73,MATCH($A71,AGO!$A$8:$A$73,0)),"")</f>
        <v/>
      </c>
      <c r="AM71" s="174">
        <f>IFERROR(INDEX(SET!$BH$8:$BH$73,MATCH($A71,SET!$A$8:$A$73,0)),"")</f>
        <v/>
      </c>
      <c r="AN71" s="174">
        <f>IFERROR(INDEX(OUT!$BH$8:$BH$73,MATCH($A71,OUT!$A$8:$A$73,0)),"")</f>
        <v/>
      </c>
      <c r="AO71" s="174">
        <f>IFERROR(INDEX(NOV!$BH$8:$BH$73,MATCH($A71,NOV!$A$8:$A$73,0)),"")</f>
        <v/>
      </c>
      <c r="AP71" s="174">
        <f>IFERROR(INDEX(DEZ!$BH$8:$BH$73,MATCH($A71,DEZ!$A$8:$A$73,0)),"")</f>
        <v/>
      </c>
      <c r="AQ71" s="175">
        <f>SUM(AE71:AP71)</f>
        <v/>
      </c>
      <c r="AR71" s="39" t="n"/>
      <c r="AS71" s="174">
        <f>IFERROR(INDEX(JAN!$BI$8:$BI$73,MATCH($A71,JAN!$A$8:$A$73,0)),"")</f>
        <v/>
      </c>
      <c r="AT71" s="174">
        <f>IFERROR(INDEX(FEV!$BI$8:$BI$73,MATCH($A71,FEV!$A$8:$A$73,0)),"")</f>
        <v/>
      </c>
      <c r="AU71" s="174">
        <f>IFERROR(INDEX(MAR!$BI$8:$BI$73,MATCH($A71,MAR!$A$8:$A$73,0)),"")</f>
        <v/>
      </c>
      <c r="AV71" s="174">
        <f>IFERROR(INDEX(ABR!$BI$8:$BI$73,MATCH($A71,ABR!$A$8:$A$73,0)),"")</f>
        <v/>
      </c>
      <c r="AW71" s="174">
        <f>IFERROR(INDEX(MAI!$BI$8:$BI$73,MATCH($A71,MAI!$A$8:$A$73,0)),"")</f>
        <v/>
      </c>
      <c r="AX71" s="174">
        <f>IFERROR(INDEX(JUN!$BI$8:$BI$73,MATCH($A71,JUN!$A$8:$A$73,0)),"")</f>
        <v/>
      </c>
      <c r="AY71" s="174">
        <f>IFERROR(INDEX(JUL!$BI$8:$BI$73,MATCH($A71,JUL!$A$8:$A$73,0)),"")</f>
        <v/>
      </c>
      <c r="AZ71" s="174">
        <f>IFERROR(INDEX(AGO!$BI$8:$BI$73,MATCH($A71,AGO!$A$8:$A$73,0)),"")</f>
        <v/>
      </c>
      <c r="BA71" s="174">
        <f>IFERROR(INDEX(SET!$BI$8:$BI$73,MATCH($A71,SET!$A$8:$A$73,0)),"")</f>
        <v/>
      </c>
      <c r="BB71" s="174">
        <f>IFERROR(INDEX(OUT!$BI$8:$BI$73,MATCH($A71,OUT!$A$8:$A$73,0)),"")</f>
        <v/>
      </c>
      <c r="BC71" s="174">
        <f>IFERROR(INDEX(NOV!$BI$8:$BI$73,MATCH($A71,NOV!$A$8:$A$73,0)),"")</f>
        <v/>
      </c>
      <c r="BD71" s="174">
        <f>IFERROR(INDEX(DEZ!$BI$8:$BI$73,MATCH($A71,DEZ!$A$8:$A$73,0)),"")</f>
        <v/>
      </c>
      <c r="BE71" s="175">
        <f>SUM(AS71:BD71)</f>
        <v/>
      </c>
      <c r="BF71" s="39" t="n"/>
      <c r="BG71" s="107" t="n">
        <v>1</v>
      </c>
      <c r="BH71" s="133">
        <f>SUM(AE71:AP71)</f>
        <v/>
      </c>
      <c r="BI71" s="176">
        <f>IF(BG71="","",IF(BG71=BH71,"","⚠"))</f>
        <v/>
      </c>
      <c r="BJ71" s="39" t="n"/>
      <c r="BK71" s="39" t="n"/>
    </row>
    <row r="72">
      <c r="A72" s="89" t="inlineStr">
        <is>
          <t>Stephanie</t>
        </is>
      </c>
      <c r="B72" s="173">
        <f>CADASTRO!$C68</f>
        <v/>
      </c>
      <c r="C72" s="174">
        <f>IFERROR(INDEX(JAN!$BK$8:$BK$73,MATCH($A72,JAN!$A$8:$A$73,0)),"")</f>
        <v/>
      </c>
      <c r="D72" s="174">
        <f>IFERROR(INDEX(FEV!$BK$8:$BK$73,MATCH($A72,FEV!$A$8:$A$73,0)),"")</f>
        <v/>
      </c>
      <c r="E72" s="174">
        <f>IFERROR(INDEX(MAR!$BK$8:$BK$73,MATCH($A72,MAR!$A$8:$A$73,0)),"")</f>
        <v/>
      </c>
      <c r="F72" s="174">
        <f>IFERROR(INDEX(ABR!$BK$8:$BK$73,MATCH($A72,ABR!$A$8:$A$73,0)),"")</f>
        <v/>
      </c>
      <c r="G72" s="174">
        <f>IFERROR(INDEX(MAI!$BK$8:$BK$73,MATCH($A72,MAI!$A$8:$A$73,0)),"")</f>
        <v/>
      </c>
      <c r="H72" s="174">
        <f>IFERROR(INDEX(JUN!$BK$8:$BK$73,MATCH($A72,JUN!$A$8:$A$73,0)),"")</f>
        <v/>
      </c>
      <c r="I72" s="174">
        <f>IFERROR(INDEX(JUL!$BK$8:$BK$73,MATCH($A72,JUL!$A$8:$A$73,0)),"")</f>
        <v/>
      </c>
      <c r="J72" s="174">
        <f>IFERROR(INDEX(AGO!$BK$8:$BK$73,MATCH($A72,AGO!$A$8:$A$73,0)),"")</f>
        <v/>
      </c>
      <c r="K72" s="174">
        <f>IFERROR(INDEX(SET!$BK$8:$BK$73,MATCH($A72,SET!$A$8:$A$73,0)),"")</f>
        <v/>
      </c>
      <c r="L72" s="174">
        <f>IFERROR(INDEX(OUT!$BK$8:$BK$73,MATCH($A72,OUT!$A$8:$A$73,0)),"")</f>
        <v/>
      </c>
      <c r="M72" s="174">
        <f>IFERROR(INDEX(NOV!$BK$8:$BK$73,MATCH($A72,NOV!$A$8:$A$73,0)),"")</f>
        <v/>
      </c>
      <c r="N72" s="174">
        <f>IFERROR(INDEX(DEZ!$BK$8:$BK$73,MATCH($A72,DEZ!$A$8:$A$73,0)),"")</f>
        <v/>
      </c>
      <c r="O72" s="175">
        <f>SUM(C72:N72)</f>
        <v/>
      </c>
      <c r="P72" s="39" t="n"/>
      <c r="Q72" s="174">
        <f>IFERROR(INDEX(JAN!$BG$8:$BG$73,MATCH($A72,JAN!$A$8:$A$73,0)),"")</f>
        <v/>
      </c>
      <c r="R72" s="174">
        <f>IFERROR(INDEX(FEV!$BG$8:$BG$73,MATCH($A72,FEV!$A$8:$A$73,0)),"")</f>
        <v/>
      </c>
      <c r="S72" s="174">
        <f>IFERROR(INDEX(MAR!$BG$8:$BG$73,MATCH($A72,MAR!$A$8:$A$73,0)),"")</f>
        <v/>
      </c>
      <c r="T72" s="174">
        <f>IFERROR(INDEX(ABR!$BG$8:$BG$73,MATCH($A72,ABR!$A$8:$A$73,0)),"")</f>
        <v/>
      </c>
      <c r="U72" s="174">
        <f>IFERROR(INDEX(MAI!$BG$8:$BG$73,MATCH($A72,MAI!$A$8:$A$73,0)),"")</f>
        <v/>
      </c>
      <c r="V72" s="174">
        <f>IFERROR(INDEX(JUN!$BG$8:$BG$73,MATCH($A72,JUN!$A$8:$A$73,0)),"")</f>
        <v/>
      </c>
      <c r="W72" s="174">
        <f>IFERROR(INDEX(JUL!$BG$8:$BG$73,MATCH($A72,JUL!$A$8:$A$73,0)),"")</f>
        <v/>
      </c>
      <c r="X72" s="174">
        <f>IFERROR(INDEX(AGO!$BG$8:$BG$73,MATCH($A72,AGO!$A$8:$A$73,0)),"")</f>
        <v/>
      </c>
      <c r="Y72" s="174">
        <f>IFERROR(INDEX(SET!$BG$8:$BG$73,MATCH($A72,SET!$A$8:$A$73,0)),"")</f>
        <v/>
      </c>
      <c r="Z72" s="174">
        <f>IFERROR(INDEX(OUT!$BG$8:$BG$73,MATCH($A72,OUT!$A$8:$A$73,0)),"")</f>
        <v/>
      </c>
      <c r="AA72" s="174">
        <f>IFERROR(INDEX(NOV!$BG$8:$BG$73,MATCH($A72,NOV!$A$8:$A$73,0)),"")</f>
        <v/>
      </c>
      <c r="AB72" s="174">
        <f>IFERROR(INDEX(DEZ!$BG$8:$BG$73,MATCH($A72,DEZ!$A$8:$A$73,0)),"")</f>
        <v/>
      </c>
      <c r="AC72" s="175">
        <f>SUM(Q72:AB72)</f>
        <v/>
      </c>
      <c r="AD72" s="39" t="n"/>
      <c r="AE72" s="174">
        <f>IFERROR(INDEX(JAN!$BH$8:$BH$73,MATCH($A72,JAN!$A$8:$A$73,0)),"")</f>
        <v/>
      </c>
      <c r="AF72" s="174">
        <f>IFERROR(INDEX(FEV!$BH$8:$BH$73,MATCH($A72,FEV!$A$8:$A$73,0)),"")</f>
        <v/>
      </c>
      <c r="AG72" s="174">
        <f>IFERROR(INDEX(MAR!$BH$8:$BH$73,MATCH($A72,MAR!$A$8:$A$73,0)),"")</f>
        <v/>
      </c>
      <c r="AH72" s="174">
        <f>IFERROR(INDEX(ABR!$BH$8:$BH$73,MATCH($A72,ABR!$A$8:$A$73,0)),"")</f>
        <v/>
      </c>
      <c r="AI72" s="174">
        <f>IFERROR(INDEX(MAI!$BH$8:$BH$73,MATCH($A72,MAI!$A$8:$A$73,0)),"")</f>
        <v/>
      </c>
      <c r="AJ72" s="174">
        <f>IFERROR(INDEX(JUN!$BH$8:$BH$73,MATCH($A72,JUN!$A$8:$A$73,0)),"")</f>
        <v/>
      </c>
      <c r="AK72" s="174">
        <f>IFERROR(INDEX(JUL!$BH$8:$BH$73,MATCH($A72,JUL!$A$8:$A$73,0)),"")</f>
        <v/>
      </c>
      <c r="AL72" s="174">
        <f>IFERROR(INDEX(AGO!$BH$8:$BH$73,MATCH($A72,AGO!$A$8:$A$73,0)),"")</f>
        <v/>
      </c>
      <c r="AM72" s="174">
        <f>IFERROR(INDEX(SET!$BH$8:$BH$73,MATCH($A72,SET!$A$8:$A$73,0)),"")</f>
        <v/>
      </c>
      <c r="AN72" s="174">
        <f>IFERROR(INDEX(OUT!$BH$8:$BH$73,MATCH($A72,OUT!$A$8:$A$73,0)),"")</f>
        <v/>
      </c>
      <c r="AO72" s="174">
        <f>IFERROR(INDEX(NOV!$BH$8:$BH$73,MATCH($A72,NOV!$A$8:$A$73,0)),"")</f>
        <v/>
      </c>
      <c r="AP72" s="174">
        <f>IFERROR(INDEX(DEZ!$BH$8:$BH$73,MATCH($A72,DEZ!$A$8:$A$73,0)),"")</f>
        <v/>
      </c>
      <c r="AQ72" s="175">
        <f>SUM(AE72:AP72)</f>
        <v/>
      </c>
      <c r="AR72" s="39" t="n"/>
      <c r="AS72" s="174">
        <f>IFERROR(INDEX(JAN!$BI$8:$BI$73,MATCH($A72,JAN!$A$8:$A$73,0)),"")</f>
        <v/>
      </c>
      <c r="AT72" s="174">
        <f>IFERROR(INDEX(FEV!$BI$8:$BI$73,MATCH($A72,FEV!$A$8:$A$73,0)),"")</f>
        <v/>
      </c>
      <c r="AU72" s="174">
        <f>IFERROR(INDEX(MAR!$BI$8:$BI$73,MATCH($A72,MAR!$A$8:$A$73,0)),"")</f>
        <v/>
      </c>
      <c r="AV72" s="174">
        <f>IFERROR(INDEX(ABR!$BI$8:$BI$73,MATCH($A72,ABR!$A$8:$A$73,0)),"")</f>
        <v/>
      </c>
      <c r="AW72" s="174">
        <f>IFERROR(INDEX(MAI!$BI$8:$BI$73,MATCH($A72,MAI!$A$8:$A$73,0)),"")</f>
        <v/>
      </c>
      <c r="AX72" s="174">
        <f>IFERROR(INDEX(JUN!$BI$8:$BI$73,MATCH($A72,JUN!$A$8:$A$73,0)),"")</f>
        <v/>
      </c>
      <c r="AY72" s="174">
        <f>IFERROR(INDEX(JUL!$BI$8:$BI$73,MATCH($A72,JUL!$A$8:$A$73,0)),"")</f>
        <v/>
      </c>
      <c r="AZ72" s="174">
        <f>IFERROR(INDEX(AGO!$BI$8:$BI$73,MATCH($A72,AGO!$A$8:$A$73,0)),"")</f>
        <v/>
      </c>
      <c r="BA72" s="174">
        <f>IFERROR(INDEX(SET!$BI$8:$BI$73,MATCH($A72,SET!$A$8:$A$73,0)),"")</f>
        <v/>
      </c>
      <c r="BB72" s="174">
        <f>IFERROR(INDEX(OUT!$BI$8:$BI$73,MATCH($A72,OUT!$A$8:$A$73,0)),"")</f>
        <v/>
      </c>
      <c r="BC72" s="174">
        <f>IFERROR(INDEX(NOV!$BI$8:$BI$73,MATCH($A72,NOV!$A$8:$A$73,0)),"")</f>
        <v/>
      </c>
      <c r="BD72" s="174">
        <f>IFERROR(INDEX(DEZ!$BI$8:$BI$73,MATCH($A72,DEZ!$A$8:$A$73,0)),"")</f>
        <v/>
      </c>
      <c r="BE72" s="175">
        <f>SUM(AS72:BD72)</f>
        <v/>
      </c>
      <c r="BF72" s="39" t="n"/>
      <c r="BG72" s="107" t="n">
        <v>2</v>
      </c>
      <c r="BH72" s="133">
        <f>SUM(AE72:AP72)</f>
        <v/>
      </c>
      <c r="BI72" s="176">
        <f>IF(BG72="","",IF(BG72=BH72,"","⚠"))</f>
        <v/>
      </c>
      <c r="BJ72" s="39" t="n"/>
      <c r="BK72" s="39" t="n"/>
    </row>
    <row r="73">
      <c r="A73" s="89" t="inlineStr">
        <is>
          <t>MPinheiro</t>
        </is>
      </c>
      <c r="B73" s="173">
        <f>CADASTRO!$C69</f>
        <v/>
      </c>
      <c r="C73" s="174">
        <f>IFERROR(INDEX(JAN!$BK$8:$BK$73,MATCH($A73,JAN!$A$8:$A$73,0)),"")</f>
        <v/>
      </c>
      <c r="D73" s="174">
        <f>IFERROR(INDEX(FEV!$BK$8:$BK$73,MATCH($A73,FEV!$A$8:$A$73,0)),"")</f>
        <v/>
      </c>
      <c r="E73" s="174">
        <f>IFERROR(INDEX(MAR!$BK$8:$BK$73,MATCH($A73,MAR!$A$8:$A$73,0)),"")</f>
        <v/>
      </c>
      <c r="F73" s="174">
        <f>IFERROR(INDEX(ABR!$BK$8:$BK$73,MATCH($A73,ABR!$A$8:$A$73,0)),"")</f>
        <v/>
      </c>
      <c r="G73" s="174">
        <f>IFERROR(INDEX(MAI!$BK$8:$BK$73,MATCH($A73,MAI!$A$8:$A$73,0)),"")</f>
        <v/>
      </c>
      <c r="H73" s="174">
        <f>IFERROR(INDEX(JUN!$BK$8:$BK$73,MATCH($A73,JUN!$A$8:$A$73,0)),"")</f>
        <v/>
      </c>
      <c r="I73" s="174">
        <f>IFERROR(INDEX(JUL!$BK$8:$BK$73,MATCH($A73,JUL!$A$8:$A$73,0)),"")</f>
        <v/>
      </c>
      <c r="J73" s="174">
        <f>IFERROR(INDEX(AGO!$BK$8:$BK$73,MATCH($A73,AGO!$A$8:$A$73,0)),"")</f>
        <v/>
      </c>
      <c r="K73" s="174">
        <f>IFERROR(INDEX(SET!$BK$8:$BK$73,MATCH($A73,SET!$A$8:$A$73,0)),"")</f>
        <v/>
      </c>
      <c r="L73" s="174">
        <f>IFERROR(INDEX(OUT!$BK$8:$BK$73,MATCH($A73,OUT!$A$8:$A$73,0)),"")</f>
        <v/>
      </c>
      <c r="M73" s="174">
        <f>IFERROR(INDEX(NOV!$BK$8:$BK$73,MATCH($A73,NOV!$A$8:$A$73,0)),"")</f>
        <v/>
      </c>
      <c r="N73" s="174">
        <f>IFERROR(INDEX(DEZ!$BK$8:$BK$73,MATCH($A73,DEZ!$A$8:$A$73,0)),"")</f>
        <v/>
      </c>
      <c r="O73" s="175">
        <f>SUM(C73:N73)</f>
        <v/>
      </c>
      <c r="P73" s="39" t="n"/>
      <c r="Q73" s="174">
        <f>IFERROR(INDEX(JAN!$BG$8:$BG$73,MATCH($A73,JAN!$A$8:$A$73,0)),"")</f>
        <v/>
      </c>
      <c r="R73" s="174">
        <f>IFERROR(INDEX(FEV!$BG$8:$BG$73,MATCH($A73,FEV!$A$8:$A$73,0)),"")</f>
        <v/>
      </c>
      <c r="S73" s="174">
        <f>IFERROR(INDEX(MAR!$BG$8:$BG$73,MATCH($A73,MAR!$A$8:$A$73,0)),"")</f>
        <v/>
      </c>
      <c r="T73" s="174">
        <f>IFERROR(INDEX(ABR!$BG$8:$BG$73,MATCH($A73,ABR!$A$8:$A$73,0)),"")</f>
        <v/>
      </c>
      <c r="U73" s="174">
        <f>IFERROR(INDEX(MAI!$BG$8:$BG$73,MATCH($A73,MAI!$A$8:$A$73,0)),"")</f>
        <v/>
      </c>
      <c r="V73" s="174">
        <f>IFERROR(INDEX(JUN!$BG$8:$BG$73,MATCH($A73,JUN!$A$8:$A$73,0)),"")</f>
        <v/>
      </c>
      <c r="W73" s="174">
        <f>IFERROR(INDEX(JUL!$BG$8:$BG$73,MATCH($A73,JUL!$A$8:$A$73,0)),"")</f>
        <v/>
      </c>
      <c r="X73" s="174">
        <f>IFERROR(INDEX(AGO!$BG$8:$BG$73,MATCH($A73,AGO!$A$8:$A$73,0)),"")</f>
        <v/>
      </c>
      <c r="Y73" s="174">
        <f>IFERROR(INDEX(SET!$BG$8:$BG$73,MATCH($A73,SET!$A$8:$A$73,0)),"")</f>
        <v/>
      </c>
      <c r="Z73" s="174">
        <f>IFERROR(INDEX(OUT!$BG$8:$BG$73,MATCH($A73,OUT!$A$8:$A$73,0)),"")</f>
        <v/>
      </c>
      <c r="AA73" s="174">
        <f>IFERROR(INDEX(NOV!$BG$8:$BG$73,MATCH($A73,NOV!$A$8:$A$73,0)),"")</f>
        <v/>
      </c>
      <c r="AB73" s="174">
        <f>IFERROR(INDEX(DEZ!$BG$8:$BG$73,MATCH($A73,DEZ!$A$8:$A$73,0)),"")</f>
        <v/>
      </c>
      <c r="AC73" s="175">
        <f>SUM(Q73:AB73)</f>
        <v/>
      </c>
      <c r="AD73" s="39" t="n"/>
      <c r="AE73" s="174">
        <f>IFERROR(INDEX(JAN!$BH$8:$BH$73,MATCH($A73,JAN!$A$8:$A$73,0)),"")</f>
        <v/>
      </c>
      <c r="AF73" s="174">
        <f>IFERROR(INDEX(FEV!$BH$8:$BH$73,MATCH($A73,FEV!$A$8:$A$73,0)),"")</f>
        <v/>
      </c>
      <c r="AG73" s="174">
        <f>IFERROR(INDEX(MAR!$BH$8:$BH$73,MATCH($A73,MAR!$A$8:$A$73,0)),"")</f>
        <v/>
      </c>
      <c r="AH73" s="174">
        <f>IFERROR(INDEX(ABR!$BH$8:$BH$73,MATCH($A73,ABR!$A$8:$A$73,0)),"")</f>
        <v/>
      </c>
      <c r="AI73" s="174">
        <f>IFERROR(INDEX(MAI!$BH$8:$BH$73,MATCH($A73,MAI!$A$8:$A$73,0)),"")</f>
        <v/>
      </c>
      <c r="AJ73" s="174">
        <f>IFERROR(INDEX(JUN!$BH$8:$BH$73,MATCH($A73,JUN!$A$8:$A$73,0)),"")</f>
        <v/>
      </c>
      <c r="AK73" s="174">
        <f>IFERROR(INDEX(JUL!$BH$8:$BH$73,MATCH($A73,JUL!$A$8:$A$73,0)),"")</f>
        <v/>
      </c>
      <c r="AL73" s="174">
        <f>IFERROR(INDEX(AGO!$BH$8:$BH$73,MATCH($A73,AGO!$A$8:$A$73,0)),"")</f>
        <v/>
      </c>
      <c r="AM73" s="174">
        <f>IFERROR(INDEX(SET!$BH$8:$BH$73,MATCH($A73,SET!$A$8:$A$73,0)),"")</f>
        <v/>
      </c>
      <c r="AN73" s="174">
        <f>IFERROR(INDEX(OUT!$BH$8:$BH$73,MATCH($A73,OUT!$A$8:$A$73,0)),"")</f>
        <v/>
      </c>
      <c r="AO73" s="174">
        <f>IFERROR(INDEX(NOV!$BH$8:$BH$73,MATCH($A73,NOV!$A$8:$A$73,0)),"")</f>
        <v/>
      </c>
      <c r="AP73" s="174">
        <f>IFERROR(INDEX(DEZ!$BH$8:$BH$73,MATCH($A73,DEZ!$A$8:$A$73,0)),"")</f>
        <v/>
      </c>
      <c r="AQ73" s="175">
        <f>SUM(AE73:AP73)</f>
        <v/>
      </c>
      <c r="AR73" s="39" t="n"/>
      <c r="AS73" s="174">
        <f>IFERROR(INDEX(JAN!$BI$8:$BI$73,MATCH($A73,JAN!$A$8:$A$73,0)),"")</f>
        <v/>
      </c>
      <c r="AT73" s="174">
        <f>IFERROR(INDEX(FEV!$BI$8:$BI$73,MATCH($A73,FEV!$A$8:$A$73,0)),"")</f>
        <v/>
      </c>
      <c r="AU73" s="174">
        <f>IFERROR(INDEX(MAR!$BI$8:$BI$73,MATCH($A73,MAR!$A$8:$A$73,0)),"")</f>
        <v/>
      </c>
      <c r="AV73" s="174">
        <f>IFERROR(INDEX(ABR!$BI$8:$BI$73,MATCH($A73,ABR!$A$8:$A$73,0)),"")</f>
        <v/>
      </c>
      <c r="AW73" s="174">
        <f>IFERROR(INDEX(MAI!$BI$8:$BI$73,MATCH($A73,MAI!$A$8:$A$73,0)),"")</f>
        <v/>
      </c>
      <c r="AX73" s="174">
        <f>IFERROR(INDEX(JUN!$BI$8:$BI$73,MATCH($A73,JUN!$A$8:$A$73,0)),"")</f>
        <v/>
      </c>
      <c r="AY73" s="174">
        <f>IFERROR(INDEX(JUL!$BI$8:$BI$73,MATCH($A73,JUL!$A$8:$A$73,0)),"")</f>
        <v/>
      </c>
      <c r="AZ73" s="174">
        <f>IFERROR(INDEX(AGO!$BI$8:$BI$73,MATCH($A73,AGO!$A$8:$A$73,0)),"")</f>
        <v/>
      </c>
      <c r="BA73" s="174">
        <f>IFERROR(INDEX(SET!$BI$8:$BI$73,MATCH($A73,SET!$A$8:$A$73,0)),"")</f>
        <v/>
      </c>
      <c r="BB73" s="174">
        <f>IFERROR(INDEX(OUT!$BI$8:$BI$73,MATCH($A73,OUT!$A$8:$A$73,0)),"")</f>
        <v/>
      </c>
      <c r="BC73" s="174">
        <f>IFERROR(INDEX(NOV!$BI$8:$BI$73,MATCH($A73,NOV!$A$8:$A$73,0)),"")</f>
        <v/>
      </c>
      <c r="BD73" s="174">
        <f>IFERROR(INDEX(DEZ!$BI$8:$BI$73,MATCH($A73,DEZ!$A$8:$A$73,0)),"")</f>
        <v/>
      </c>
      <c r="BE73" s="175">
        <f>SUM(AS73:BD73)</f>
        <v/>
      </c>
      <c r="BF73" s="39" t="n"/>
      <c r="BG73" s="107" t="n">
        <v>4</v>
      </c>
      <c r="BH73" s="133">
        <f>SUM(AE73:AP73)</f>
        <v/>
      </c>
      <c r="BI73" s="176">
        <f>IF(BG73="","",IF(BG73=BH73,"","⚠"))</f>
        <v/>
      </c>
      <c r="BJ73" s="39" t="n"/>
      <c r="B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</row>
  </sheetData>
  <mergeCells count="5">
    <mergeCell ref="C3:O3"/>
    <mergeCell ref="AE3:AQ3"/>
    <mergeCell ref="BG3:BJ3"/>
    <mergeCell ref="Q3:AC3"/>
    <mergeCell ref="AS3:BE3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E8C79A"/>
    <outlinePr summaryBelow="1" summaryRight="1"/>
    <pageSetUpPr/>
  </sheetPr>
  <dimension ref="A1:AI7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</cols>
  <sheetData>
    <row r="1">
      <c r="A1" s="98" t="inlineStr">
        <is>
          <t>Códigos Senior</t>
        </is>
      </c>
      <c r="B1" s="177" t="inlineStr">
        <is>
          <t>OUT</t>
        </is>
      </c>
      <c r="C1" s="67" t="inlineStr">
        <is>
          <t>Escolha o mês na célula ao lado — a matriz inteira se traduz nos códigos do RH, pronta para lançar no Senior. BHP (+) não gera código; BHN (−) sai como o plantão normal</t>
        </is>
      </c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</row>
    <row r="2">
      <c r="A2" s="39" t="n"/>
      <c r="B2" s="39" t="n"/>
      <c r="C2" s="178">
        <f>IFERROR(INDIRECT($B$1&amp;"!I2"),"")</f>
        <v/>
      </c>
      <c r="D2" s="178">
        <f>IFERROR(INDIRECT($B$1&amp;"!J2"),"")</f>
        <v/>
      </c>
      <c r="E2" s="178">
        <f>IFERROR(INDIRECT($B$1&amp;"!K2"),"")</f>
        <v/>
      </c>
      <c r="F2" s="178">
        <f>IFERROR(INDIRECT($B$1&amp;"!L2"),"")</f>
        <v/>
      </c>
      <c r="G2" s="178">
        <f>IFERROR(INDIRECT($B$1&amp;"!M2"),"")</f>
        <v/>
      </c>
      <c r="H2" s="178">
        <f>IFERROR(INDIRECT($B$1&amp;"!N2"),"")</f>
        <v/>
      </c>
      <c r="I2" s="178">
        <f>IFERROR(INDIRECT($B$1&amp;"!O2"),"")</f>
        <v/>
      </c>
      <c r="J2" s="178">
        <f>IFERROR(INDIRECT($B$1&amp;"!P2"),"")</f>
        <v/>
      </c>
      <c r="K2" s="178">
        <f>IFERROR(INDIRECT($B$1&amp;"!Q2"),"")</f>
        <v/>
      </c>
      <c r="L2" s="178">
        <f>IFERROR(INDIRECT($B$1&amp;"!R2"),"")</f>
        <v/>
      </c>
      <c r="M2" s="178">
        <f>IFERROR(INDIRECT($B$1&amp;"!S2"),"")</f>
        <v/>
      </c>
      <c r="N2" s="178">
        <f>IFERROR(INDIRECT($B$1&amp;"!T2"),"")</f>
        <v/>
      </c>
      <c r="O2" s="178">
        <f>IFERROR(INDIRECT($B$1&amp;"!U2"),"")</f>
        <v/>
      </c>
      <c r="P2" s="178">
        <f>IFERROR(INDIRECT($B$1&amp;"!V2"),"")</f>
        <v/>
      </c>
      <c r="Q2" s="178">
        <f>IFERROR(INDIRECT($B$1&amp;"!W2"),"")</f>
        <v/>
      </c>
      <c r="R2" s="178">
        <f>IFERROR(INDIRECT($B$1&amp;"!X2"),"")</f>
        <v/>
      </c>
      <c r="S2" s="178">
        <f>IFERROR(INDIRECT($B$1&amp;"!Y2"),"")</f>
        <v/>
      </c>
      <c r="T2" s="178">
        <f>IFERROR(INDIRECT($B$1&amp;"!Z2"),"")</f>
        <v/>
      </c>
      <c r="U2" s="178">
        <f>IFERROR(INDIRECT($B$1&amp;"!AA2"),"")</f>
        <v/>
      </c>
      <c r="V2" s="178">
        <f>IFERROR(INDIRECT($B$1&amp;"!AB2"),"")</f>
        <v/>
      </c>
      <c r="W2" s="178">
        <f>IFERROR(INDIRECT($B$1&amp;"!AC2"),"")</f>
        <v/>
      </c>
      <c r="X2" s="178">
        <f>IFERROR(INDIRECT($B$1&amp;"!AD2"),"")</f>
        <v/>
      </c>
      <c r="Y2" s="178">
        <f>IFERROR(INDIRECT($B$1&amp;"!AE2"),"")</f>
        <v/>
      </c>
      <c r="Z2" s="178">
        <f>IFERROR(INDIRECT($B$1&amp;"!AF2"),"")</f>
        <v/>
      </c>
      <c r="AA2" s="178">
        <f>IFERROR(INDIRECT($B$1&amp;"!AG2"),"")</f>
        <v/>
      </c>
      <c r="AB2" s="178">
        <f>IFERROR(INDIRECT($B$1&amp;"!AH2"),"")</f>
        <v/>
      </c>
      <c r="AC2" s="178">
        <f>IFERROR(INDIRECT($B$1&amp;"!AI2"),"")</f>
        <v/>
      </c>
      <c r="AD2" s="178">
        <f>IFERROR(INDIRECT($B$1&amp;"!AJ2"),"")</f>
        <v/>
      </c>
      <c r="AE2" s="178">
        <f>IFERROR(INDIRECT($B$1&amp;"!AK2"),"")</f>
        <v/>
      </c>
      <c r="AF2" s="178">
        <f>IFERROR(INDIRECT($B$1&amp;"!AL2"),"")</f>
        <v/>
      </c>
      <c r="AG2" s="178">
        <f>IFERROR(INDIRECT($B$1&amp;"!AM2"),"")</f>
        <v/>
      </c>
      <c r="AH2" s="178">
        <f>IFERROR(INDIRECT($B$1&amp;"!AN2"),"")</f>
        <v/>
      </c>
      <c r="AI2" s="39" t="n"/>
    </row>
    <row r="3">
      <c r="A3" s="39" t="n"/>
      <c r="B3" s="39" t="n"/>
      <c r="C3" s="107">
        <f>IFERROR(INDIRECT($B$1&amp;"!I3"),"")</f>
        <v/>
      </c>
      <c r="D3" s="107">
        <f>IFERROR(INDIRECT($B$1&amp;"!J3"),"")</f>
        <v/>
      </c>
      <c r="E3" s="107">
        <f>IFERROR(INDIRECT($B$1&amp;"!K3"),"")</f>
        <v/>
      </c>
      <c r="F3" s="107">
        <f>IFERROR(INDIRECT($B$1&amp;"!L3"),"")</f>
        <v/>
      </c>
      <c r="G3" s="107">
        <f>IFERROR(INDIRECT($B$1&amp;"!M3"),"")</f>
        <v/>
      </c>
      <c r="H3" s="107">
        <f>IFERROR(INDIRECT($B$1&amp;"!N3"),"")</f>
        <v/>
      </c>
      <c r="I3" s="107">
        <f>IFERROR(INDIRECT($B$1&amp;"!O3"),"")</f>
        <v/>
      </c>
      <c r="J3" s="107">
        <f>IFERROR(INDIRECT($B$1&amp;"!P3"),"")</f>
        <v/>
      </c>
      <c r="K3" s="107">
        <f>IFERROR(INDIRECT($B$1&amp;"!Q3"),"")</f>
        <v/>
      </c>
      <c r="L3" s="107">
        <f>IFERROR(INDIRECT($B$1&amp;"!R3"),"")</f>
        <v/>
      </c>
      <c r="M3" s="107">
        <f>IFERROR(INDIRECT($B$1&amp;"!S3"),"")</f>
        <v/>
      </c>
      <c r="N3" s="107">
        <f>IFERROR(INDIRECT($B$1&amp;"!T3"),"")</f>
        <v/>
      </c>
      <c r="O3" s="107">
        <f>IFERROR(INDIRECT($B$1&amp;"!U3"),"")</f>
        <v/>
      </c>
      <c r="P3" s="107">
        <f>IFERROR(INDIRECT($B$1&amp;"!V3"),"")</f>
        <v/>
      </c>
      <c r="Q3" s="107">
        <f>IFERROR(INDIRECT($B$1&amp;"!W3"),"")</f>
        <v/>
      </c>
      <c r="R3" s="107">
        <f>IFERROR(INDIRECT($B$1&amp;"!X3"),"")</f>
        <v/>
      </c>
      <c r="S3" s="107">
        <f>IFERROR(INDIRECT($B$1&amp;"!Y3"),"")</f>
        <v/>
      </c>
      <c r="T3" s="107">
        <f>IFERROR(INDIRECT($B$1&amp;"!Z3"),"")</f>
        <v/>
      </c>
      <c r="U3" s="107">
        <f>IFERROR(INDIRECT($B$1&amp;"!AA3"),"")</f>
        <v/>
      </c>
      <c r="V3" s="107">
        <f>IFERROR(INDIRECT($B$1&amp;"!AB3"),"")</f>
        <v/>
      </c>
      <c r="W3" s="107">
        <f>IFERROR(INDIRECT($B$1&amp;"!AC3"),"")</f>
        <v/>
      </c>
      <c r="X3" s="107">
        <f>IFERROR(INDIRECT($B$1&amp;"!AD3"),"")</f>
        <v/>
      </c>
      <c r="Y3" s="107">
        <f>IFERROR(INDIRECT($B$1&amp;"!AE3"),"")</f>
        <v/>
      </c>
      <c r="Z3" s="107">
        <f>IFERROR(INDIRECT($B$1&amp;"!AF3"),"")</f>
        <v/>
      </c>
      <c r="AA3" s="107">
        <f>IFERROR(INDIRECT($B$1&amp;"!AG3"),"")</f>
        <v/>
      </c>
      <c r="AB3" s="107">
        <f>IFERROR(INDIRECT($B$1&amp;"!AH3"),"")</f>
        <v/>
      </c>
      <c r="AC3" s="107">
        <f>IFERROR(INDIRECT($B$1&amp;"!AI3"),"")</f>
        <v/>
      </c>
      <c r="AD3" s="107">
        <f>IFERROR(INDIRECT($B$1&amp;"!AJ3"),"")</f>
        <v/>
      </c>
      <c r="AE3" s="107">
        <f>IFERROR(INDIRECT($B$1&amp;"!AK3"),"")</f>
        <v/>
      </c>
      <c r="AF3" s="107">
        <f>IFERROR(INDIRECT($B$1&amp;"!AL3"),"")</f>
        <v/>
      </c>
      <c r="AG3" s="107">
        <f>IFERROR(INDIRECT($B$1&amp;"!AM3"),"")</f>
        <v/>
      </c>
      <c r="AH3" s="107">
        <f>IFERROR(INDIRECT($B$1&amp;"!AN3"),"")</f>
        <v/>
      </c>
      <c r="AI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</row>
    <row r="7">
      <c r="A7" s="43" t="inlineStr">
        <is>
          <t>Médico</t>
        </is>
      </c>
      <c r="B7" s="43" t="inlineStr">
        <is>
          <t>Apelido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</row>
    <row r="8">
      <c r="A8" s="179" t="inlineStr">
        <is>
          <t>Frederico Pires</t>
        </is>
      </c>
      <c r="B8" s="180" t="inlineStr">
        <is>
          <t>Fred</t>
        </is>
      </c>
      <c r="C8" s="181">
        <f>IFERROR(VLOOKUP(INDEX(INDIRECT($B$1&amp;"!"&amp;ADDRESS(8,COLUMN()+6,4)&amp;":"&amp;ADDRESS(73,COLUMN()+6,4)),MATCH($B8,INDIRECT($B$1&amp;"!$A$8:$A$73"),0)),CONFIG!$A$15:$B$40,2,FALSE)&amp;"","")</f>
        <v/>
      </c>
      <c r="D8" s="181">
        <f>IFERROR(VLOOKUP(INDEX(INDIRECT($B$1&amp;"!"&amp;ADDRESS(8,COLUMN()+6,4)&amp;":"&amp;ADDRESS(73,COLUMN()+6,4)),MATCH($B8,INDIRECT($B$1&amp;"!$A$8:$A$73"),0)),CONFIG!$A$15:$B$40,2,FALSE)&amp;"","")</f>
        <v/>
      </c>
      <c r="E8" s="181">
        <f>IFERROR(VLOOKUP(INDEX(INDIRECT($B$1&amp;"!"&amp;ADDRESS(8,COLUMN()+6,4)&amp;":"&amp;ADDRESS(73,COLUMN()+6,4)),MATCH($B8,INDIRECT($B$1&amp;"!$A$8:$A$73"),0)),CONFIG!$A$15:$B$40,2,FALSE)&amp;"","")</f>
        <v/>
      </c>
      <c r="F8" s="181">
        <f>IFERROR(VLOOKUP(INDEX(INDIRECT($B$1&amp;"!"&amp;ADDRESS(8,COLUMN()+6,4)&amp;":"&amp;ADDRESS(73,COLUMN()+6,4)),MATCH($B8,INDIRECT($B$1&amp;"!$A$8:$A$73"),0)),CONFIG!$A$15:$B$40,2,FALSE)&amp;"","")</f>
        <v/>
      </c>
      <c r="G8" s="181">
        <f>IFERROR(VLOOKUP(INDEX(INDIRECT($B$1&amp;"!"&amp;ADDRESS(8,COLUMN()+6,4)&amp;":"&amp;ADDRESS(73,COLUMN()+6,4)),MATCH($B8,INDIRECT($B$1&amp;"!$A$8:$A$73"),0)),CONFIG!$A$15:$B$40,2,FALSE)&amp;"","")</f>
        <v/>
      </c>
      <c r="H8" s="181">
        <f>IFERROR(VLOOKUP(INDEX(INDIRECT($B$1&amp;"!"&amp;ADDRESS(8,COLUMN()+6,4)&amp;":"&amp;ADDRESS(73,COLUMN()+6,4)),MATCH($B8,INDIRECT($B$1&amp;"!$A$8:$A$73"),0)),CONFIG!$A$15:$B$40,2,FALSE)&amp;"","")</f>
        <v/>
      </c>
      <c r="I8" s="181">
        <f>IFERROR(VLOOKUP(INDEX(INDIRECT($B$1&amp;"!"&amp;ADDRESS(8,COLUMN()+6,4)&amp;":"&amp;ADDRESS(73,COLUMN()+6,4)),MATCH($B8,INDIRECT($B$1&amp;"!$A$8:$A$73"),0)),CONFIG!$A$15:$B$40,2,FALSE)&amp;"","")</f>
        <v/>
      </c>
      <c r="J8" s="181">
        <f>IFERROR(VLOOKUP(INDEX(INDIRECT($B$1&amp;"!"&amp;ADDRESS(8,COLUMN()+6,4)&amp;":"&amp;ADDRESS(73,COLUMN()+6,4)),MATCH($B8,INDIRECT($B$1&amp;"!$A$8:$A$73"),0)),CONFIG!$A$15:$B$40,2,FALSE)&amp;"","")</f>
        <v/>
      </c>
      <c r="K8" s="181">
        <f>IFERROR(VLOOKUP(INDEX(INDIRECT($B$1&amp;"!"&amp;ADDRESS(8,COLUMN()+6,4)&amp;":"&amp;ADDRESS(73,COLUMN()+6,4)),MATCH($B8,INDIRECT($B$1&amp;"!$A$8:$A$73"),0)),CONFIG!$A$15:$B$40,2,FALSE)&amp;"","")</f>
        <v/>
      </c>
      <c r="L8" s="181">
        <f>IFERROR(VLOOKUP(INDEX(INDIRECT($B$1&amp;"!"&amp;ADDRESS(8,COLUMN()+6,4)&amp;":"&amp;ADDRESS(73,COLUMN()+6,4)),MATCH($B8,INDIRECT($B$1&amp;"!$A$8:$A$73"),0)),CONFIG!$A$15:$B$40,2,FALSE)&amp;"","")</f>
        <v/>
      </c>
      <c r="M8" s="181">
        <f>IFERROR(VLOOKUP(INDEX(INDIRECT($B$1&amp;"!"&amp;ADDRESS(8,COLUMN()+6,4)&amp;":"&amp;ADDRESS(73,COLUMN()+6,4)),MATCH($B8,INDIRECT($B$1&amp;"!$A$8:$A$73"),0)),CONFIG!$A$15:$B$40,2,FALSE)&amp;"","")</f>
        <v/>
      </c>
      <c r="N8" s="181">
        <f>IFERROR(VLOOKUP(INDEX(INDIRECT($B$1&amp;"!"&amp;ADDRESS(8,COLUMN()+6,4)&amp;":"&amp;ADDRESS(73,COLUMN()+6,4)),MATCH($B8,INDIRECT($B$1&amp;"!$A$8:$A$73"),0)),CONFIG!$A$15:$B$40,2,FALSE)&amp;"","")</f>
        <v/>
      </c>
      <c r="O8" s="181">
        <f>IFERROR(VLOOKUP(INDEX(INDIRECT($B$1&amp;"!"&amp;ADDRESS(8,COLUMN()+6,4)&amp;":"&amp;ADDRESS(73,COLUMN()+6,4)),MATCH($B8,INDIRECT($B$1&amp;"!$A$8:$A$73"),0)),CONFIG!$A$15:$B$40,2,FALSE)&amp;"","")</f>
        <v/>
      </c>
      <c r="P8" s="181">
        <f>IFERROR(VLOOKUP(INDEX(INDIRECT($B$1&amp;"!"&amp;ADDRESS(8,COLUMN()+6,4)&amp;":"&amp;ADDRESS(73,COLUMN()+6,4)),MATCH($B8,INDIRECT($B$1&amp;"!$A$8:$A$73"),0)),CONFIG!$A$15:$B$40,2,FALSE)&amp;"","")</f>
        <v/>
      </c>
      <c r="Q8" s="181">
        <f>IFERROR(VLOOKUP(INDEX(INDIRECT($B$1&amp;"!"&amp;ADDRESS(8,COLUMN()+6,4)&amp;":"&amp;ADDRESS(73,COLUMN()+6,4)),MATCH($B8,INDIRECT($B$1&amp;"!$A$8:$A$73"),0)),CONFIG!$A$15:$B$40,2,FALSE)&amp;"","")</f>
        <v/>
      </c>
      <c r="R8" s="181">
        <f>IFERROR(VLOOKUP(INDEX(INDIRECT($B$1&amp;"!"&amp;ADDRESS(8,COLUMN()+6,4)&amp;":"&amp;ADDRESS(73,COLUMN()+6,4)),MATCH($B8,INDIRECT($B$1&amp;"!$A$8:$A$73"),0)),CONFIG!$A$15:$B$40,2,FALSE)&amp;"","")</f>
        <v/>
      </c>
      <c r="S8" s="181">
        <f>IFERROR(VLOOKUP(INDEX(INDIRECT($B$1&amp;"!"&amp;ADDRESS(8,COLUMN()+6,4)&amp;":"&amp;ADDRESS(73,COLUMN()+6,4)),MATCH($B8,INDIRECT($B$1&amp;"!$A$8:$A$73"),0)),CONFIG!$A$15:$B$40,2,FALSE)&amp;"","")</f>
        <v/>
      </c>
      <c r="T8" s="181">
        <f>IFERROR(VLOOKUP(INDEX(INDIRECT($B$1&amp;"!"&amp;ADDRESS(8,COLUMN()+6,4)&amp;":"&amp;ADDRESS(73,COLUMN()+6,4)),MATCH($B8,INDIRECT($B$1&amp;"!$A$8:$A$73"),0)),CONFIG!$A$15:$B$40,2,FALSE)&amp;"","")</f>
        <v/>
      </c>
      <c r="U8" s="181">
        <f>IFERROR(VLOOKUP(INDEX(INDIRECT($B$1&amp;"!"&amp;ADDRESS(8,COLUMN()+6,4)&amp;":"&amp;ADDRESS(73,COLUMN()+6,4)),MATCH($B8,INDIRECT($B$1&amp;"!$A$8:$A$73"),0)),CONFIG!$A$15:$B$40,2,FALSE)&amp;"","")</f>
        <v/>
      </c>
      <c r="V8" s="181">
        <f>IFERROR(VLOOKUP(INDEX(INDIRECT($B$1&amp;"!"&amp;ADDRESS(8,COLUMN()+6,4)&amp;":"&amp;ADDRESS(73,COLUMN()+6,4)),MATCH($B8,INDIRECT($B$1&amp;"!$A$8:$A$73"),0)),CONFIG!$A$15:$B$40,2,FALSE)&amp;"","")</f>
        <v/>
      </c>
      <c r="W8" s="181">
        <f>IFERROR(VLOOKUP(INDEX(INDIRECT($B$1&amp;"!"&amp;ADDRESS(8,COLUMN()+6,4)&amp;":"&amp;ADDRESS(73,COLUMN()+6,4)),MATCH($B8,INDIRECT($B$1&amp;"!$A$8:$A$73"),0)),CONFIG!$A$15:$B$40,2,FALSE)&amp;"","")</f>
        <v/>
      </c>
      <c r="X8" s="181">
        <f>IFERROR(VLOOKUP(INDEX(INDIRECT($B$1&amp;"!"&amp;ADDRESS(8,COLUMN()+6,4)&amp;":"&amp;ADDRESS(73,COLUMN()+6,4)),MATCH($B8,INDIRECT($B$1&amp;"!$A$8:$A$73"),0)),CONFIG!$A$15:$B$40,2,FALSE)&amp;"","")</f>
        <v/>
      </c>
      <c r="Y8" s="181">
        <f>IFERROR(VLOOKUP(INDEX(INDIRECT($B$1&amp;"!"&amp;ADDRESS(8,COLUMN()+6,4)&amp;":"&amp;ADDRESS(73,COLUMN()+6,4)),MATCH($B8,INDIRECT($B$1&amp;"!$A$8:$A$73"),0)),CONFIG!$A$15:$B$40,2,FALSE)&amp;"","")</f>
        <v/>
      </c>
      <c r="Z8" s="181">
        <f>IFERROR(VLOOKUP(INDEX(INDIRECT($B$1&amp;"!"&amp;ADDRESS(8,COLUMN()+6,4)&amp;":"&amp;ADDRESS(73,COLUMN()+6,4)),MATCH($B8,INDIRECT($B$1&amp;"!$A$8:$A$73"),0)),CONFIG!$A$15:$B$40,2,FALSE)&amp;"","")</f>
        <v/>
      </c>
      <c r="AA8" s="181">
        <f>IFERROR(VLOOKUP(INDEX(INDIRECT($B$1&amp;"!"&amp;ADDRESS(8,COLUMN()+6,4)&amp;":"&amp;ADDRESS(73,COLUMN()+6,4)),MATCH($B8,INDIRECT($B$1&amp;"!$A$8:$A$73"),0)),CONFIG!$A$15:$B$40,2,FALSE)&amp;"","")</f>
        <v/>
      </c>
      <c r="AB8" s="181">
        <f>IFERROR(VLOOKUP(INDEX(INDIRECT($B$1&amp;"!"&amp;ADDRESS(8,COLUMN()+6,4)&amp;":"&amp;ADDRESS(73,COLUMN()+6,4)),MATCH($B8,INDIRECT($B$1&amp;"!$A$8:$A$73"),0)),CONFIG!$A$15:$B$40,2,FALSE)&amp;"","")</f>
        <v/>
      </c>
      <c r="AC8" s="181">
        <f>IFERROR(VLOOKUP(INDEX(INDIRECT($B$1&amp;"!"&amp;ADDRESS(8,COLUMN()+6,4)&amp;":"&amp;ADDRESS(73,COLUMN()+6,4)),MATCH($B8,INDIRECT($B$1&amp;"!$A$8:$A$73"),0)),CONFIG!$A$15:$B$40,2,FALSE)&amp;"","")</f>
        <v/>
      </c>
      <c r="AD8" s="181">
        <f>IFERROR(VLOOKUP(INDEX(INDIRECT($B$1&amp;"!"&amp;ADDRESS(8,COLUMN()+6,4)&amp;":"&amp;ADDRESS(73,COLUMN()+6,4)),MATCH($B8,INDIRECT($B$1&amp;"!$A$8:$A$73"),0)),CONFIG!$A$15:$B$40,2,FALSE)&amp;"","")</f>
        <v/>
      </c>
      <c r="AE8" s="181">
        <f>IFERROR(VLOOKUP(INDEX(INDIRECT($B$1&amp;"!"&amp;ADDRESS(8,COLUMN()+6,4)&amp;":"&amp;ADDRESS(73,COLUMN()+6,4)),MATCH($B8,INDIRECT($B$1&amp;"!$A$8:$A$73"),0)),CONFIG!$A$15:$B$40,2,FALSE)&amp;"","")</f>
        <v/>
      </c>
      <c r="AF8" s="181">
        <f>IFERROR(VLOOKUP(INDEX(INDIRECT($B$1&amp;"!"&amp;ADDRESS(8,COLUMN()+6,4)&amp;":"&amp;ADDRESS(73,COLUMN()+6,4)),MATCH($B8,INDIRECT($B$1&amp;"!$A$8:$A$73"),0)),CONFIG!$A$15:$B$40,2,FALSE)&amp;"","")</f>
        <v/>
      </c>
      <c r="AG8" s="181">
        <f>IFERROR(VLOOKUP(INDEX(INDIRECT($B$1&amp;"!"&amp;ADDRESS(8,COLUMN()+6,4)&amp;":"&amp;ADDRESS(73,COLUMN()+6,4)),MATCH($B8,INDIRECT($B$1&amp;"!$A$8:$A$73"),0)),CONFIG!$A$15:$B$40,2,FALSE)&amp;"","")</f>
        <v/>
      </c>
      <c r="AH8" s="181">
        <f>IFERROR(VLOOKUP(INDEX(INDIRECT($B$1&amp;"!"&amp;ADDRESS(8,COLUMN()+6,4)&amp;":"&amp;ADDRESS(73,COLUMN()+6,4)),MATCH($B8,INDIRECT($B$1&amp;"!$A$8:$A$73"),0)),CONFIG!$A$15:$B$40,2,FALSE)&amp;"","")</f>
        <v/>
      </c>
      <c r="AI8" s="39" t="n"/>
    </row>
    <row r="9">
      <c r="A9" s="179" t="inlineStr">
        <is>
          <t>Milena</t>
        </is>
      </c>
      <c r="B9" s="180" t="inlineStr">
        <is>
          <t>Milena</t>
        </is>
      </c>
      <c r="C9" s="181">
        <f>IFERROR(VLOOKUP(INDEX(INDIRECT($B$1&amp;"!"&amp;ADDRESS(8,COLUMN()+6,4)&amp;":"&amp;ADDRESS(73,COLUMN()+6,4)),MATCH($B9,INDIRECT($B$1&amp;"!$A$8:$A$73"),0)),CONFIG!$A$15:$B$40,2,FALSE)&amp;"","")</f>
        <v/>
      </c>
      <c r="D9" s="181">
        <f>IFERROR(VLOOKUP(INDEX(INDIRECT($B$1&amp;"!"&amp;ADDRESS(8,COLUMN()+6,4)&amp;":"&amp;ADDRESS(73,COLUMN()+6,4)),MATCH($B9,INDIRECT($B$1&amp;"!$A$8:$A$73"),0)),CONFIG!$A$15:$B$40,2,FALSE)&amp;"","")</f>
        <v/>
      </c>
      <c r="E9" s="181">
        <f>IFERROR(VLOOKUP(INDEX(INDIRECT($B$1&amp;"!"&amp;ADDRESS(8,COLUMN()+6,4)&amp;":"&amp;ADDRESS(73,COLUMN()+6,4)),MATCH($B9,INDIRECT($B$1&amp;"!$A$8:$A$73"),0)),CONFIG!$A$15:$B$40,2,FALSE)&amp;"","")</f>
        <v/>
      </c>
      <c r="F9" s="181">
        <f>IFERROR(VLOOKUP(INDEX(INDIRECT($B$1&amp;"!"&amp;ADDRESS(8,COLUMN()+6,4)&amp;":"&amp;ADDRESS(73,COLUMN()+6,4)),MATCH($B9,INDIRECT($B$1&amp;"!$A$8:$A$73"),0)),CONFIG!$A$15:$B$40,2,FALSE)&amp;"","")</f>
        <v/>
      </c>
      <c r="G9" s="181">
        <f>IFERROR(VLOOKUP(INDEX(INDIRECT($B$1&amp;"!"&amp;ADDRESS(8,COLUMN()+6,4)&amp;":"&amp;ADDRESS(73,COLUMN()+6,4)),MATCH($B9,INDIRECT($B$1&amp;"!$A$8:$A$73"),0)),CONFIG!$A$15:$B$40,2,FALSE)&amp;"","")</f>
        <v/>
      </c>
      <c r="H9" s="181">
        <f>IFERROR(VLOOKUP(INDEX(INDIRECT($B$1&amp;"!"&amp;ADDRESS(8,COLUMN()+6,4)&amp;":"&amp;ADDRESS(73,COLUMN()+6,4)),MATCH($B9,INDIRECT($B$1&amp;"!$A$8:$A$73"),0)),CONFIG!$A$15:$B$40,2,FALSE)&amp;"","")</f>
        <v/>
      </c>
      <c r="I9" s="181">
        <f>IFERROR(VLOOKUP(INDEX(INDIRECT($B$1&amp;"!"&amp;ADDRESS(8,COLUMN()+6,4)&amp;":"&amp;ADDRESS(73,COLUMN()+6,4)),MATCH($B9,INDIRECT($B$1&amp;"!$A$8:$A$73"),0)),CONFIG!$A$15:$B$40,2,FALSE)&amp;"","")</f>
        <v/>
      </c>
      <c r="J9" s="181">
        <f>IFERROR(VLOOKUP(INDEX(INDIRECT($B$1&amp;"!"&amp;ADDRESS(8,COLUMN()+6,4)&amp;":"&amp;ADDRESS(73,COLUMN()+6,4)),MATCH($B9,INDIRECT($B$1&amp;"!$A$8:$A$73"),0)),CONFIG!$A$15:$B$40,2,FALSE)&amp;"","")</f>
        <v/>
      </c>
      <c r="K9" s="181">
        <f>IFERROR(VLOOKUP(INDEX(INDIRECT($B$1&amp;"!"&amp;ADDRESS(8,COLUMN()+6,4)&amp;":"&amp;ADDRESS(73,COLUMN()+6,4)),MATCH($B9,INDIRECT($B$1&amp;"!$A$8:$A$73"),0)),CONFIG!$A$15:$B$40,2,FALSE)&amp;"","")</f>
        <v/>
      </c>
      <c r="L9" s="181">
        <f>IFERROR(VLOOKUP(INDEX(INDIRECT($B$1&amp;"!"&amp;ADDRESS(8,COLUMN()+6,4)&amp;":"&amp;ADDRESS(73,COLUMN()+6,4)),MATCH($B9,INDIRECT($B$1&amp;"!$A$8:$A$73"),0)),CONFIG!$A$15:$B$40,2,FALSE)&amp;"","")</f>
        <v/>
      </c>
      <c r="M9" s="181">
        <f>IFERROR(VLOOKUP(INDEX(INDIRECT($B$1&amp;"!"&amp;ADDRESS(8,COLUMN()+6,4)&amp;":"&amp;ADDRESS(73,COLUMN()+6,4)),MATCH($B9,INDIRECT($B$1&amp;"!$A$8:$A$73"),0)),CONFIG!$A$15:$B$40,2,FALSE)&amp;"","")</f>
        <v/>
      </c>
      <c r="N9" s="181">
        <f>IFERROR(VLOOKUP(INDEX(INDIRECT($B$1&amp;"!"&amp;ADDRESS(8,COLUMN()+6,4)&amp;":"&amp;ADDRESS(73,COLUMN()+6,4)),MATCH($B9,INDIRECT($B$1&amp;"!$A$8:$A$73"),0)),CONFIG!$A$15:$B$40,2,FALSE)&amp;"","")</f>
        <v/>
      </c>
      <c r="O9" s="181">
        <f>IFERROR(VLOOKUP(INDEX(INDIRECT($B$1&amp;"!"&amp;ADDRESS(8,COLUMN()+6,4)&amp;":"&amp;ADDRESS(73,COLUMN()+6,4)),MATCH($B9,INDIRECT($B$1&amp;"!$A$8:$A$73"),0)),CONFIG!$A$15:$B$40,2,FALSE)&amp;"","")</f>
        <v/>
      </c>
      <c r="P9" s="181">
        <f>IFERROR(VLOOKUP(INDEX(INDIRECT($B$1&amp;"!"&amp;ADDRESS(8,COLUMN()+6,4)&amp;":"&amp;ADDRESS(73,COLUMN()+6,4)),MATCH($B9,INDIRECT($B$1&amp;"!$A$8:$A$73"),0)),CONFIG!$A$15:$B$40,2,FALSE)&amp;"","")</f>
        <v/>
      </c>
      <c r="Q9" s="181">
        <f>IFERROR(VLOOKUP(INDEX(INDIRECT($B$1&amp;"!"&amp;ADDRESS(8,COLUMN()+6,4)&amp;":"&amp;ADDRESS(73,COLUMN()+6,4)),MATCH($B9,INDIRECT($B$1&amp;"!$A$8:$A$73"),0)),CONFIG!$A$15:$B$40,2,FALSE)&amp;"","")</f>
        <v/>
      </c>
      <c r="R9" s="181">
        <f>IFERROR(VLOOKUP(INDEX(INDIRECT($B$1&amp;"!"&amp;ADDRESS(8,COLUMN()+6,4)&amp;":"&amp;ADDRESS(73,COLUMN()+6,4)),MATCH($B9,INDIRECT($B$1&amp;"!$A$8:$A$73"),0)),CONFIG!$A$15:$B$40,2,FALSE)&amp;"","")</f>
        <v/>
      </c>
      <c r="S9" s="181">
        <f>IFERROR(VLOOKUP(INDEX(INDIRECT($B$1&amp;"!"&amp;ADDRESS(8,COLUMN()+6,4)&amp;":"&amp;ADDRESS(73,COLUMN()+6,4)),MATCH($B9,INDIRECT($B$1&amp;"!$A$8:$A$73"),0)),CONFIG!$A$15:$B$40,2,FALSE)&amp;"","")</f>
        <v/>
      </c>
      <c r="T9" s="181">
        <f>IFERROR(VLOOKUP(INDEX(INDIRECT($B$1&amp;"!"&amp;ADDRESS(8,COLUMN()+6,4)&amp;":"&amp;ADDRESS(73,COLUMN()+6,4)),MATCH($B9,INDIRECT($B$1&amp;"!$A$8:$A$73"),0)),CONFIG!$A$15:$B$40,2,FALSE)&amp;"","")</f>
        <v/>
      </c>
      <c r="U9" s="181">
        <f>IFERROR(VLOOKUP(INDEX(INDIRECT($B$1&amp;"!"&amp;ADDRESS(8,COLUMN()+6,4)&amp;":"&amp;ADDRESS(73,COLUMN()+6,4)),MATCH($B9,INDIRECT($B$1&amp;"!$A$8:$A$73"),0)),CONFIG!$A$15:$B$40,2,FALSE)&amp;"","")</f>
        <v/>
      </c>
      <c r="V9" s="181">
        <f>IFERROR(VLOOKUP(INDEX(INDIRECT($B$1&amp;"!"&amp;ADDRESS(8,COLUMN()+6,4)&amp;":"&amp;ADDRESS(73,COLUMN()+6,4)),MATCH($B9,INDIRECT($B$1&amp;"!$A$8:$A$73"),0)),CONFIG!$A$15:$B$40,2,FALSE)&amp;"","")</f>
        <v/>
      </c>
      <c r="W9" s="181">
        <f>IFERROR(VLOOKUP(INDEX(INDIRECT($B$1&amp;"!"&amp;ADDRESS(8,COLUMN()+6,4)&amp;":"&amp;ADDRESS(73,COLUMN()+6,4)),MATCH($B9,INDIRECT($B$1&amp;"!$A$8:$A$73"),0)),CONFIG!$A$15:$B$40,2,FALSE)&amp;"","")</f>
        <v/>
      </c>
      <c r="X9" s="181">
        <f>IFERROR(VLOOKUP(INDEX(INDIRECT($B$1&amp;"!"&amp;ADDRESS(8,COLUMN()+6,4)&amp;":"&amp;ADDRESS(73,COLUMN()+6,4)),MATCH($B9,INDIRECT($B$1&amp;"!$A$8:$A$73"),0)),CONFIG!$A$15:$B$40,2,FALSE)&amp;"","")</f>
        <v/>
      </c>
      <c r="Y9" s="181">
        <f>IFERROR(VLOOKUP(INDEX(INDIRECT($B$1&amp;"!"&amp;ADDRESS(8,COLUMN()+6,4)&amp;":"&amp;ADDRESS(73,COLUMN()+6,4)),MATCH($B9,INDIRECT($B$1&amp;"!$A$8:$A$73"),0)),CONFIG!$A$15:$B$40,2,FALSE)&amp;"","")</f>
        <v/>
      </c>
      <c r="Z9" s="181">
        <f>IFERROR(VLOOKUP(INDEX(INDIRECT($B$1&amp;"!"&amp;ADDRESS(8,COLUMN()+6,4)&amp;":"&amp;ADDRESS(73,COLUMN()+6,4)),MATCH($B9,INDIRECT($B$1&amp;"!$A$8:$A$73"),0)),CONFIG!$A$15:$B$40,2,FALSE)&amp;"","")</f>
        <v/>
      </c>
      <c r="AA9" s="181">
        <f>IFERROR(VLOOKUP(INDEX(INDIRECT($B$1&amp;"!"&amp;ADDRESS(8,COLUMN()+6,4)&amp;":"&amp;ADDRESS(73,COLUMN()+6,4)),MATCH($B9,INDIRECT($B$1&amp;"!$A$8:$A$73"),0)),CONFIG!$A$15:$B$40,2,FALSE)&amp;"","")</f>
        <v/>
      </c>
      <c r="AB9" s="181">
        <f>IFERROR(VLOOKUP(INDEX(INDIRECT($B$1&amp;"!"&amp;ADDRESS(8,COLUMN()+6,4)&amp;":"&amp;ADDRESS(73,COLUMN()+6,4)),MATCH($B9,INDIRECT($B$1&amp;"!$A$8:$A$73"),0)),CONFIG!$A$15:$B$40,2,FALSE)&amp;"","")</f>
        <v/>
      </c>
      <c r="AC9" s="181">
        <f>IFERROR(VLOOKUP(INDEX(INDIRECT($B$1&amp;"!"&amp;ADDRESS(8,COLUMN()+6,4)&amp;":"&amp;ADDRESS(73,COLUMN()+6,4)),MATCH($B9,INDIRECT($B$1&amp;"!$A$8:$A$73"),0)),CONFIG!$A$15:$B$40,2,FALSE)&amp;"","")</f>
        <v/>
      </c>
      <c r="AD9" s="181">
        <f>IFERROR(VLOOKUP(INDEX(INDIRECT($B$1&amp;"!"&amp;ADDRESS(8,COLUMN()+6,4)&amp;":"&amp;ADDRESS(73,COLUMN()+6,4)),MATCH($B9,INDIRECT($B$1&amp;"!$A$8:$A$73"),0)),CONFIG!$A$15:$B$40,2,FALSE)&amp;"","")</f>
        <v/>
      </c>
      <c r="AE9" s="181">
        <f>IFERROR(VLOOKUP(INDEX(INDIRECT($B$1&amp;"!"&amp;ADDRESS(8,COLUMN()+6,4)&amp;":"&amp;ADDRESS(73,COLUMN()+6,4)),MATCH($B9,INDIRECT($B$1&amp;"!$A$8:$A$73"),0)),CONFIG!$A$15:$B$40,2,FALSE)&amp;"","")</f>
        <v/>
      </c>
      <c r="AF9" s="181">
        <f>IFERROR(VLOOKUP(INDEX(INDIRECT($B$1&amp;"!"&amp;ADDRESS(8,COLUMN()+6,4)&amp;":"&amp;ADDRESS(73,COLUMN()+6,4)),MATCH($B9,INDIRECT($B$1&amp;"!$A$8:$A$73"),0)),CONFIG!$A$15:$B$40,2,FALSE)&amp;"","")</f>
        <v/>
      </c>
      <c r="AG9" s="181">
        <f>IFERROR(VLOOKUP(INDEX(INDIRECT($B$1&amp;"!"&amp;ADDRESS(8,COLUMN()+6,4)&amp;":"&amp;ADDRESS(73,COLUMN()+6,4)),MATCH($B9,INDIRECT($B$1&amp;"!$A$8:$A$73"),0)),CONFIG!$A$15:$B$40,2,FALSE)&amp;"","")</f>
        <v/>
      </c>
      <c r="AH9" s="181">
        <f>IFERROR(VLOOKUP(INDEX(INDIRECT($B$1&amp;"!"&amp;ADDRESS(8,COLUMN()+6,4)&amp;":"&amp;ADDRESS(73,COLUMN()+6,4)),MATCH($B9,INDIRECT($B$1&amp;"!$A$8:$A$73"),0)),CONFIG!$A$15:$B$40,2,FALSE)&amp;"","")</f>
        <v/>
      </c>
      <c r="AI9" s="39" t="n"/>
    </row>
    <row r="10">
      <c r="A10" s="179" t="inlineStr">
        <is>
          <t>Paula Abdo</t>
        </is>
      </c>
      <c r="B10" s="180" t="inlineStr">
        <is>
          <t>Pabdo</t>
        </is>
      </c>
      <c r="C10" s="181">
        <f>IFERROR(VLOOKUP(INDEX(INDIRECT($B$1&amp;"!"&amp;ADDRESS(8,COLUMN()+6,4)&amp;":"&amp;ADDRESS(73,COLUMN()+6,4)),MATCH($B10,INDIRECT($B$1&amp;"!$A$8:$A$73"),0)),CONFIG!$A$15:$B$40,2,FALSE)&amp;"","")</f>
        <v/>
      </c>
      <c r="D10" s="181">
        <f>IFERROR(VLOOKUP(INDEX(INDIRECT($B$1&amp;"!"&amp;ADDRESS(8,COLUMN()+6,4)&amp;":"&amp;ADDRESS(73,COLUMN()+6,4)),MATCH($B10,INDIRECT($B$1&amp;"!$A$8:$A$73"),0)),CONFIG!$A$15:$B$40,2,FALSE)&amp;"","")</f>
        <v/>
      </c>
      <c r="E10" s="181">
        <f>IFERROR(VLOOKUP(INDEX(INDIRECT($B$1&amp;"!"&amp;ADDRESS(8,COLUMN()+6,4)&amp;":"&amp;ADDRESS(73,COLUMN()+6,4)),MATCH($B10,INDIRECT($B$1&amp;"!$A$8:$A$73"),0)),CONFIG!$A$15:$B$40,2,FALSE)&amp;"","")</f>
        <v/>
      </c>
      <c r="F10" s="181">
        <f>IFERROR(VLOOKUP(INDEX(INDIRECT($B$1&amp;"!"&amp;ADDRESS(8,COLUMN()+6,4)&amp;":"&amp;ADDRESS(73,COLUMN()+6,4)),MATCH($B10,INDIRECT($B$1&amp;"!$A$8:$A$73"),0)),CONFIG!$A$15:$B$40,2,FALSE)&amp;"","")</f>
        <v/>
      </c>
      <c r="G10" s="181">
        <f>IFERROR(VLOOKUP(INDEX(INDIRECT($B$1&amp;"!"&amp;ADDRESS(8,COLUMN()+6,4)&amp;":"&amp;ADDRESS(73,COLUMN()+6,4)),MATCH($B10,INDIRECT($B$1&amp;"!$A$8:$A$73"),0)),CONFIG!$A$15:$B$40,2,FALSE)&amp;"","")</f>
        <v/>
      </c>
      <c r="H10" s="181">
        <f>IFERROR(VLOOKUP(INDEX(INDIRECT($B$1&amp;"!"&amp;ADDRESS(8,COLUMN()+6,4)&amp;":"&amp;ADDRESS(73,COLUMN()+6,4)),MATCH($B10,INDIRECT($B$1&amp;"!$A$8:$A$73"),0)),CONFIG!$A$15:$B$40,2,FALSE)&amp;"","")</f>
        <v/>
      </c>
      <c r="I10" s="181">
        <f>IFERROR(VLOOKUP(INDEX(INDIRECT($B$1&amp;"!"&amp;ADDRESS(8,COLUMN()+6,4)&amp;":"&amp;ADDRESS(73,COLUMN()+6,4)),MATCH($B10,INDIRECT($B$1&amp;"!$A$8:$A$73"),0)),CONFIG!$A$15:$B$40,2,FALSE)&amp;"","")</f>
        <v/>
      </c>
      <c r="J10" s="181">
        <f>IFERROR(VLOOKUP(INDEX(INDIRECT($B$1&amp;"!"&amp;ADDRESS(8,COLUMN()+6,4)&amp;":"&amp;ADDRESS(73,COLUMN()+6,4)),MATCH($B10,INDIRECT($B$1&amp;"!$A$8:$A$73"),0)),CONFIG!$A$15:$B$40,2,FALSE)&amp;"","")</f>
        <v/>
      </c>
      <c r="K10" s="181">
        <f>IFERROR(VLOOKUP(INDEX(INDIRECT($B$1&amp;"!"&amp;ADDRESS(8,COLUMN()+6,4)&amp;":"&amp;ADDRESS(73,COLUMN()+6,4)),MATCH($B10,INDIRECT($B$1&amp;"!$A$8:$A$73"),0)),CONFIG!$A$15:$B$40,2,FALSE)&amp;"","")</f>
        <v/>
      </c>
      <c r="L10" s="181">
        <f>IFERROR(VLOOKUP(INDEX(INDIRECT($B$1&amp;"!"&amp;ADDRESS(8,COLUMN()+6,4)&amp;":"&amp;ADDRESS(73,COLUMN()+6,4)),MATCH($B10,INDIRECT($B$1&amp;"!$A$8:$A$73"),0)),CONFIG!$A$15:$B$40,2,FALSE)&amp;"","")</f>
        <v/>
      </c>
      <c r="M10" s="181">
        <f>IFERROR(VLOOKUP(INDEX(INDIRECT($B$1&amp;"!"&amp;ADDRESS(8,COLUMN()+6,4)&amp;":"&amp;ADDRESS(73,COLUMN()+6,4)),MATCH($B10,INDIRECT($B$1&amp;"!$A$8:$A$73"),0)),CONFIG!$A$15:$B$40,2,FALSE)&amp;"","")</f>
        <v/>
      </c>
      <c r="N10" s="181">
        <f>IFERROR(VLOOKUP(INDEX(INDIRECT($B$1&amp;"!"&amp;ADDRESS(8,COLUMN()+6,4)&amp;":"&amp;ADDRESS(73,COLUMN()+6,4)),MATCH($B10,INDIRECT($B$1&amp;"!$A$8:$A$73"),0)),CONFIG!$A$15:$B$40,2,FALSE)&amp;"","")</f>
        <v/>
      </c>
      <c r="O10" s="181">
        <f>IFERROR(VLOOKUP(INDEX(INDIRECT($B$1&amp;"!"&amp;ADDRESS(8,COLUMN()+6,4)&amp;":"&amp;ADDRESS(73,COLUMN()+6,4)),MATCH($B10,INDIRECT($B$1&amp;"!$A$8:$A$73"),0)),CONFIG!$A$15:$B$40,2,FALSE)&amp;"","")</f>
        <v/>
      </c>
      <c r="P10" s="181">
        <f>IFERROR(VLOOKUP(INDEX(INDIRECT($B$1&amp;"!"&amp;ADDRESS(8,COLUMN()+6,4)&amp;":"&amp;ADDRESS(73,COLUMN()+6,4)),MATCH($B10,INDIRECT($B$1&amp;"!$A$8:$A$73"),0)),CONFIG!$A$15:$B$40,2,FALSE)&amp;"","")</f>
        <v/>
      </c>
      <c r="Q10" s="181">
        <f>IFERROR(VLOOKUP(INDEX(INDIRECT($B$1&amp;"!"&amp;ADDRESS(8,COLUMN()+6,4)&amp;":"&amp;ADDRESS(73,COLUMN()+6,4)),MATCH($B10,INDIRECT($B$1&amp;"!$A$8:$A$73"),0)),CONFIG!$A$15:$B$40,2,FALSE)&amp;"","")</f>
        <v/>
      </c>
      <c r="R10" s="181">
        <f>IFERROR(VLOOKUP(INDEX(INDIRECT($B$1&amp;"!"&amp;ADDRESS(8,COLUMN()+6,4)&amp;":"&amp;ADDRESS(73,COLUMN()+6,4)),MATCH($B10,INDIRECT($B$1&amp;"!$A$8:$A$73"),0)),CONFIG!$A$15:$B$40,2,FALSE)&amp;"","")</f>
        <v/>
      </c>
      <c r="S10" s="181">
        <f>IFERROR(VLOOKUP(INDEX(INDIRECT($B$1&amp;"!"&amp;ADDRESS(8,COLUMN()+6,4)&amp;":"&amp;ADDRESS(73,COLUMN()+6,4)),MATCH($B10,INDIRECT($B$1&amp;"!$A$8:$A$73"),0)),CONFIG!$A$15:$B$40,2,FALSE)&amp;"","")</f>
        <v/>
      </c>
      <c r="T10" s="181">
        <f>IFERROR(VLOOKUP(INDEX(INDIRECT($B$1&amp;"!"&amp;ADDRESS(8,COLUMN()+6,4)&amp;":"&amp;ADDRESS(73,COLUMN()+6,4)),MATCH($B10,INDIRECT($B$1&amp;"!$A$8:$A$73"),0)),CONFIG!$A$15:$B$40,2,FALSE)&amp;"","")</f>
        <v/>
      </c>
      <c r="U10" s="181">
        <f>IFERROR(VLOOKUP(INDEX(INDIRECT($B$1&amp;"!"&amp;ADDRESS(8,COLUMN()+6,4)&amp;":"&amp;ADDRESS(73,COLUMN()+6,4)),MATCH($B10,INDIRECT($B$1&amp;"!$A$8:$A$73"),0)),CONFIG!$A$15:$B$40,2,FALSE)&amp;"","")</f>
        <v/>
      </c>
      <c r="V10" s="181">
        <f>IFERROR(VLOOKUP(INDEX(INDIRECT($B$1&amp;"!"&amp;ADDRESS(8,COLUMN()+6,4)&amp;":"&amp;ADDRESS(73,COLUMN()+6,4)),MATCH($B10,INDIRECT($B$1&amp;"!$A$8:$A$73"),0)),CONFIG!$A$15:$B$40,2,FALSE)&amp;"","")</f>
        <v/>
      </c>
      <c r="W10" s="181">
        <f>IFERROR(VLOOKUP(INDEX(INDIRECT($B$1&amp;"!"&amp;ADDRESS(8,COLUMN()+6,4)&amp;":"&amp;ADDRESS(73,COLUMN()+6,4)),MATCH($B10,INDIRECT($B$1&amp;"!$A$8:$A$73"),0)),CONFIG!$A$15:$B$40,2,FALSE)&amp;"","")</f>
        <v/>
      </c>
      <c r="X10" s="181">
        <f>IFERROR(VLOOKUP(INDEX(INDIRECT($B$1&amp;"!"&amp;ADDRESS(8,COLUMN()+6,4)&amp;":"&amp;ADDRESS(73,COLUMN()+6,4)),MATCH($B10,INDIRECT($B$1&amp;"!$A$8:$A$73"),0)),CONFIG!$A$15:$B$40,2,FALSE)&amp;"","")</f>
        <v/>
      </c>
      <c r="Y10" s="181">
        <f>IFERROR(VLOOKUP(INDEX(INDIRECT($B$1&amp;"!"&amp;ADDRESS(8,COLUMN()+6,4)&amp;":"&amp;ADDRESS(73,COLUMN()+6,4)),MATCH($B10,INDIRECT($B$1&amp;"!$A$8:$A$73"),0)),CONFIG!$A$15:$B$40,2,FALSE)&amp;"","")</f>
        <v/>
      </c>
      <c r="Z10" s="181">
        <f>IFERROR(VLOOKUP(INDEX(INDIRECT($B$1&amp;"!"&amp;ADDRESS(8,COLUMN()+6,4)&amp;":"&amp;ADDRESS(73,COLUMN()+6,4)),MATCH($B10,INDIRECT($B$1&amp;"!$A$8:$A$73"),0)),CONFIG!$A$15:$B$40,2,FALSE)&amp;"","")</f>
        <v/>
      </c>
      <c r="AA10" s="181">
        <f>IFERROR(VLOOKUP(INDEX(INDIRECT($B$1&amp;"!"&amp;ADDRESS(8,COLUMN()+6,4)&amp;":"&amp;ADDRESS(73,COLUMN()+6,4)),MATCH($B10,INDIRECT($B$1&amp;"!$A$8:$A$73"),0)),CONFIG!$A$15:$B$40,2,FALSE)&amp;"","")</f>
        <v/>
      </c>
      <c r="AB10" s="181">
        <f>IFERROR(VLOOKUP(INDEX(INDIRECT($B$1&amp;"!"&amp;ADDRESS(8,COLUMN()+6,4)&amp;":"&amp;ADDRESS(73,COLUMN()+6,4)),MATCH($B10,INDIRECT($B$1&amp;"!$A$8:$A$73"),0)),CONFIG!$A$15:$B$40,2,FALSE)&amp;"","")</f>
        <v/>
      </c>
      <c r="AC10" s="181">
        <f>IFERROR(VLOOKUP(INDEX(INDIRECT($B$1&amp;"!"&amp;ADDRESS(8,COLUMN()+6,4)&amp;":"&amp;ADDRESS(73,COLUMN()+6,4)),MATCH($B10,INDIRECT($B$1&amp;"!$A$8:$A$73"),0)),CONFIG!$A$15:$B$40,2,FALSE)&amp;"","")</f>
        <v/>
      </c>
      <c r="AD10" s="181">
        <f>IFERROR(VLOOKUP(INDEX(INDIRECT($B$1&amp;"!"&amp;ADDRESS(8,COLUMN()+6,4)&amp;":"&amp;ADDRESS(73,COLUMN()+6,4)),MATCH($B10,INDIRECT($B$1&amp;"!$A$8:$A$73"),0)),CONFIG!$A$15:$B$40,2,FALSE)&amp;"","")</f>
        <v/>
      </c>
      <c r="AE10" s="181">
        <f>IFERROR(VLOOKUP(INDEX(INDIRECT($B$1&amp;"!"&amp;ADDRESS(8,COLUMN()+6,4)&amp;":"&amp;ADDRESS(73,COLUMN()+6,4)),MATCH($B10,INDIRECT($B$1&amp;"!$A$8:$A$73"),0)),CONFIG!$A$15:$B$40,2,FALSE)&amp;"","")</f>
        <v/>
      </c>
      <c r="AF10" s="181">
        <f>IFERROR(VLOOKUP(INDEX(INDIRECT($B$1&amp;"!"&amp;ADDRESS(8,COLUMN()+6,4)&amp;":"&amp;ADDRESS(73,COLUMN()+6,4)),MATCH($B10,INDIRECT($B$1&amp;"!$A$8:$A$73"),0)),CONFIG!$A$15:$B$40,2,FALSE)&amp;"","")</f>
        <v/>
      </c>
      <c r="AG10" s="181">
        <f>IFERROR(VLOOKUP(INDEX(INDIRECT($B$1&amp;"!"&amp;ADDRESS(8,COLUMN()+6,4)&amp;":"&amp;ADDRESS(73,COLUMN()+6,4)),MATCH($B10,INDIRECT($B$1&amp;"!$A$8:$A$73"),0)),CONFIG!$A$15:$B$40,2,FALSE)&amp;"","")</f>
        <v/>
      </c>
      <c r="AH10" s="181">
        <f>IFERROR(VLOOKUP(INDEX(INDIRECT($B$1&amp;"!"&amp;ADDRESS(8,COLUMN()+6,4)&amp;":"&amp;ADDRESS(73,COLUMN()+6,4)),MATCH($B10,INDIRECT($B$1&amp;"!$A$8:$A$73"),0)),CONFIG!$A$15:$B$40,2,FALSE)&amp;"","")</f>
        <v/>
      </c>
      <c r="AI10" s="39" t="n"/>
    </row>
    <row r="11">
      <c r="A11" s="179" t="inlineStr">
        <is>
          <t>Marina Salomão</t>
        </is>
      </c>
      <c r="B11" s="180" t="inlineStr">
        <is>
          <t>MSalomão</t>
        </is>
      </c>
      <c r="C11" s="181">
        <f>IFERROR(VLOOKUP(INDEX(INDIRECT($B$1&amp;"!"&amp;ADDRESS(8,COLUMN()+6,4)&amp;":"&amp;ADDRESS(73,COLUMN()+6,4)),MATCH($B11,INDIRECT($B$1&amp;"!$A$8:$A$73"),0)),CONFIG!$A$15:$B$40,2,FALSE)&amp;"","")</f>
        <v/>
      </c>
      <c r="D11" s="181">
        <f>IFERROR(VLOOKUP(INDEX(INDIRECT($B$1&amp;"!"&amp;ADDRESS(8,COLUMN()+6,4)&amp;":"&amp;ADDRESS(73,COLUMN()+6,4)),MATCH($B11,INDIRECT($B$1&amp;"!$A$8:$A$73"),0)),CONFIG!$A$15:$B$40,2,FALSE)&amp;"","")</f>
        <v/>
      </c>
      <c r="E11" s="181">
        <f>IFERROR(VLOOKUP(INDEX(INDIRECT($B$1&amp;"!"&amp;ADDRESS(8,COLUMN()+6,4)&amp;":"&amp;ADDRESS(73,COLUMN()+6,4)),MATCH($B11,INDIRECT($B$1&amp;"!$A$8:$A$73"),0)),CONFIG!$A$15:$B$40,2,FALSE)&amp;"","")</f>
        <v/>
      </c>
      <c r="F11" s="181">
        <f>IFERROR(VLOOKUP(INDEX(INDIRECT($B$1&amp;"!"&amp;ADDRESS(8,COLUMN()+6,4)&amp;":"&amp;ADDRESS(73,COLUMN()+6,4)),MATCH($B11,INDIRECT($B$1&amp;"!$A$8:$A$73"),0)),CONFIG!$A$15:$B$40,2,FALSE)&amp;"","")</f>
        <v/>
      </c>
      <c r="G11" s="181">
        <f>IFERROR(VLOOKUP(INDEX(INDIRECT($B$1&amp;"!"&amp;ADDRESS(8,COLUMN()+6,4)&amp;":"&amp;ADDRESS(73,COLUMN()+6,4)),MATCH($B11,INDIRECT($B$1&amp;"!$A$8:$A$73"),0)),CONFIG!$A$15:$B$40,2,FALSE)&amp;"","")</f>
        <v/>
      </c>
      <c r="H11" s="181">
        <f>IFERROR(VLOOKUP(INDEX(INDIRECT($B$1&amp;"!"&amp;ADDRESS(8,COLUMN()+6,4)&amp;":"&amp;ADDRESS(73,COLUMN()+6,4)),MATCH($B11,INDIRECT($B$1&amp;"!$A$8:$A$73"),0)),CONFIG!$A$15:$B$40,2,FALSE)&amp;"","")</f>
        <v/>
      </c>
      <c r="I11" s="181">
        <f>IFERROR(VLOOKUP(INDEX(INDIRECT($B$1&amp;"!"&amp;ADDRESS(8,COLUMN()+6,4)&amp;":"&amp;ADDRESS(73,COLUMN()+6,4)),MATCH($B11,INDIRECT($B$1&amp;"!$A$8:$A$73"),0)),CONFIG!$A$15:$B$40,2,FALSE)&amp;"","")</f>
        <v/>
      </c>
      <c r="J11" s="181">
        <f>IFERROR(VLOOKUP(INDEX(INDIRECT($B$1&amp;"!"&amp;ADDRESS(8,COLUMN()+6,4)&amp;":"&amp;ADDRESS(73,COLUMN()+6,4)),MATCH($B11,INDIRECT($B$1&amp;"!$A$8:$A$73"),0)),CONFIG!$A$15:$B$40,2,FALSE)&amp;"","")</f>
        <v/>
      </c>
      <c r="K11" s="181">
        <f>IFERROR(VLOOKUP(INDEX(INDIRECT($B$1&amp;"!"&amp;ADDRESS(8,COLUMN()+6,4)&amp;":"&amp;ADDRESS(73,COLUMN()+6,4)),MATCH($B11,INDIRECT($B$1&amp;"!$A$8:$A$73"),0)),CONFIG!$A$15:$B$40,2,FALSE)&amp;"","")</f>
        <v/>
      </c>
      <c r="L11" s="181">
        <f>IFERROR(VLOOKUP(INDEX(INDIRECT($B$1&amp;"!"&amp;ADDRESS(8,COLUMN()+6,4)&amp;":"&amp;ADDRESS(73,COLUMN()+6,4)),MATCH($B11,INDIRECT($B$1&amp;"!$A$8:$A$73"),0)),CONFIG!$A$15:$B$40,2,FALSE)&amp;"","")</f>
        <v/>
      </c>
      <c r="M11" s="181">
        <f>IFERROR(VLOOKUP(INDEX(INDIRECT($B$1&amp;"!"&amp;ADDRESS(8,COLUMN()+6,4)&amp;":"&amp;ADDRESS(73,COLUMN()+6,4)),MATCH($B11,INDIRECT($B$1&amp;"!$A$8:$A$73"),0)),CONFIG!$A$15:$B$40,2,FALSE)&amp;"","")</f>
        <v/>
      </c>
      <c r="N11" s="181">
        <f>IFERROR(VLOOKUP(INDEX(INDIRECT($B$1&amp;"!"&amp;ADDRESS(8,COLUMN()+6,4)&amp;":"&amp;ADDRESS(73,COLUMN()+6,4)),MATCH($B11,INDIRECT($B$1&amp;"!$A$8:$A$73"),0)),CONFIG!$A$15:$B$40,2,FALSE)&amp;"","")</f>
        <v/>
      </c>
      <c r="O11" s="181">
        <f>IFERROR(VLOOKUP(INDEX(INDIRECT($B$1&amp;"!"&amp;ADDRESS(8,COLUMN()+6,4)&amp;":"&amp;ADDRESS(73,COLUMN()+6,4)),MATCH($B11,INDIRECT($B$1&amp;"!$A$8:$A$73"),0)),CONFIG!$A$15:$B$40,2,FALSE)&amp;"","")</f>
        <v/>
      </c>
      <c r="P11" s="181">
        <f>IFERROR(VLOOKUP(INDEX(INDIRECT($B$1&amp;"!"&amp;ADDRESS(8,COLUMN()+6,4)&amp;":"&amp;ADDRESS(73,COLUMN()+6,4)),MATCH($B11,INDIRECT($B$1&amp;"!$A$8:$A$73"),0)),CONFIG!$A$15:$B$40,2,FALSE)&amp;"","")</f>
        <v/>
      </c>
      <c r="Q11" s="181">
        <f>IFERROR(VLOOKUP(INDEX(INDIRECT($B$1&amp;"!"&amp;ADDRESS(8,COLUMN()+6,4)&amp;":"&amp;ADDRESS(73,COLUMN()+6,4)),MATCH($B11,INDIRECT($B$1&amp;"!$A$8:$A$73"),0)),CONFIG!$A$15:$B$40,2,FALSE)&amp;"","")</f>
        <v/>
      </c>
      <c r="R11" s="181">
        <f>IFERROR(VLOOKUP(INDEX(INDIRECT($B$1&amp;"!"&amp;ADDRESS(8,COLUMN()+6,4)&amp;":"&amp;ADDRESS(73,COLUMN()+6,4)),MATCH($B11,INDIRECT($B$1&amp;"!$A$8:$A$73"),0)),CONFIG!$A$15:$B$40,2,FALSE)&amp;"","")</f>
        <v/>
      </c>
      <c r="S11" s="181">
        <f>IFERROR(VLOOKUP(INDEX(INDIRECT($B$1&amp;"!"&amp;ADDRESS(8,COLUMN()+6,4)&amp;":"&amp;ADDRESS(73,COLUMN()+6,4)),MATCH($B11,INDIRECT($B$1&amp;"!$A$8:$A$73"),0)),CONFIG!$A$15:$B$40,2,FALSE)&amp;"","")</f>
        <v/>
      </c>
      <c r="T11" s="181">
        <f>IFERROR(VLOOKUP(INDEX(INDIRECT($B$1&amp;"!"&amp;ADDRESS(8,COLUMN()+6,4)&amp;":"&amp;ADDRESS(73,COLUMN()+6,4)),MATCH($B11,INDIRECT($B$1&amp;"!$A$8:$A$73"),0)),CONFIG!$A$15:$B$40,2,FALSE)&amp;"","")</f>
        <v/>
      </c>
      <c r="U11" s="181">
        <f>IFERROR(VLOOKUP(INDEX(INDIRECT($B$1&amp;"!"&amp;ADDRESS(8,COLUMN()+6,4)&amp;":"&amp;ADDRESS(73,COLUMN()+6,4)),MATCH($B11,INDIRECT($B$1&amp;"!$A$8:$A$73"),0)),CONFIG!$A$15:$B$40,2,FALSE)&amp;"","")</f>
        <v/>
      </c>
      <c r="V11" s="181">
        <f>IFERROR(VLOOKUP(INDEX(INDIRECT($B$1&amp;"!"&amp;ADDRESS(8,COLUMN()+6,4)&amp;":"&amp;ADDRESS(73,COLUMN()+6,4)),MATCH($B11,INDIRECT($B$1&amp;"!$A$8:$A$73"),0)),CONFIG!$A$15:$B$40,2,FALSE)&amp;"","")</f>
        <v/>
      </c>
      <c r="W11" s="181">
        <f>IFERROR(VLOOKUP(INDEX(INDIRECT($B$1&amp;"!"&amp;ADDRESS(8,COLUMN()+6,4)&amp;":"&amp;ADDRESS(73,COLUMN()+6,4)),MATCH($B11,INDIRECT($B$1&amp;"!$A$8:$A$73"),0)),CONFIG!$A$15:$B$40,2,FALSE)&amp;"","")</f>
        <v/>
      </c>
      <c r="X11" s="181">
        <f>IFERROR(VLOOKUP(INDEX(INDIRECT($B$1&amp;"!"&amp;ADDRESS(8,COLUMN()+6,4)&amp;":"&amp;ADDRESS(73,COLUMN()+6,4)),MATCH($B11,INDIRECT($B$1&amp;"!$A$8:$A$73"),0)),CONFIG!$A$15:$B$40,2,FALSE)&amp;"","")</f>
        <v/>
      </c>
      <c r="Y11" s="181">
        <f>IFERROR(VLOOKUP(INDEX(INDIRECT($B$1&amp;"!"&amp;ADDRESS(8,COLUMN()+6,4)&amp;":"&amp;ADDRESS(73,COLUMN()+6,4)),MATCH($B11,INDIRECT($B$1&amp;"!$A$8:$A$73"),0)),CONFIG!$A$15:$B$40,2,FALSE)&amp;"","")</f>
        <v/>
      </c>
      <c r="Z11" s="181">
        <f>IFERROR(VLOOKUP(INDEX(INDIRECT($B$1&amp;"!"&amp;ADDRESS(8,COLUMN()+6,4)&amp;":"&amp;ADDRESS(73,COLUMN()+6,4)),MATCH($B11,INDIRECT($B$1&amp;"!$A$8:$A$73"),0)),CONFIG!$A$15:$B$40,2,FALSE)&amp;"","")</f>
        <v/>
      </c>
      <c r="AA11" s="181">
        <f>IFERROR(VLOOKUP(INDEX(INDIRECT($B$1&amp;"!"&amp;ADDRESS(8,COLUMN()+6,4)&amp;":"&amp;ADDRESS(73,COLUMN()+6,4)),MATCH($B11,INDIRECT($B$1&amp;"!$A$8:$A$73"),0)),CONFIG!$A$15:$B$40,2,FALSE)&amp;"","")</f>
        <v/>
      </c>
      <c r="AB11" s="181">
        <f>IFERROR(VLOOKUP(INDEX(INDIRECT($B$1&amp;"!"&amp;ADDRESS(8,COLUMN()+6,4)&amp;":"&amp;ADDRESS(73,COLUMN()+6,4)),MATCH($B11,INDIRECT($B$1&amp;"!$A$8:$A$73"),0)),CONFIG!$A$15:$B$40,2,FALSE)&amp;"","")</f>
        <v/>
      </c>
      <c r="AC11" s="181">
        <f>IFERROR(VLOOKUP(INDEX(INDIRECT($B$1&amp;"!"&amp;ADDRESS(8,COLUMN()+6,4)&amp;":"&amp;ADDRESS(73,COLUMN()+6,4)),MATCH($B11,INDIRECT($B$1&amp;"!$A$8:$A$73"),0)),CONFIG!$A$15:$B$40,2,FALSE)&amp;"","")</f>
        <v/>
      </c>
      <c r="AD11" s="181">
        <f>IFERROR(VLOOKUP(INDEX(INDIRECT($B$1&amp;"!"&amp;ADDRESS(8,COLUMN()+6,4)&amp;":"&amp;ADDRESS(73,COLUMN()+6,4)),MATCH($B11,INDIRECT($B$1&amp;"!$A$8:$A$73"),0)),CONFIG!$A$15:$B$40,2,FALSE)&amp;"","")</f>
        <v/>
      </c>
      <c r="AE11" s="181">
        <f>IFERROR(VLOOKUP(INDEX(INDIRECT($B$1&amp;"!"&amp;ADDRESS(8,COLUMN()+6,4)&amp;":"&amp;ADDRESS(73,COLUMN()+6,4)),MATCH($B11,INDIRECT($B$1&amp;"!$A$8:$A$73"),0)),CONFIG!$A$15:$B$40,2,FALSE)&amp;"","")</f>
        <v/>
      </c>
      <c r="AF11" s="181">
        <f>IFERROR(VLOOKUP(INDEX(INDIRECT($B$1&amp;"!"&amp;ADDRESS(8,COLUMN()+6,4)&amp;":"&amp;ADDRESS(73,COLUMN()+6,4)),MATCH($B11,INDIRECT($B$1&amp;"!$A$8:$A$73"),0)),CONFIG!$A$15:$B$40,2,FALSE)&amp;"","")</f>
        <v/>
      </c>
      <c r="AG11" s="181">
        <f>IFERROR(VLOOKUP(INDEX(INDIRECT($B$1&amp;"!"&amp;ADDRESS(8,COLUMN()+6,4)&amp;":"&amp;ADDRESS(73,COLUMN()+6,4)),MATCH($B11,INDIRECT($B$1&amp;"!$A$8:$A$73"),0)),CONFIG!$A$15:$B$40,2,FALSE)&amp;"","")</f>
        <v/>
      </c>
      <c r="AH11" s="181">
        <f>IFERROR(VLOOKUP(INDEX(INDIRECT($B$1&amp;"!"&amp;ADDRESS(8,COLUMN()+6,4)&amp;":"&amp;ADDRESS(73,COLUMN()+6,4)),MATCH($B11,INDIRECT($B$1&amp;"!$A$8:$A$73"),0)),CONFIG!$A$15:$B$40,2,FALSE)&amp;"","")</f>
        <v/>
      </c>
      <c r="AI11" s="39" t="n"/>
    </row>
    <row r="12">
      <c r="A12" s="179" t="inlineStr">
        <is>
          <t>Deborah Alves</t>
        </is>
      </c>
      <c r="B12" s="180" t="inlineStr">
        <is>
          <t>DebAlves</t>
        </is>
      </c>
      <c r="C12" s="181">
        <f>IFERROR(VLOOKUP(INDEX(INDIRECT($B$1&amp;"!"&amp;ADDRESS(8,COLUMN()+6,4)&amp;":"&amp;ADDRESS(73,COLUMN()+6,4)),MATCH($B12,INDIRECT($B$1&amp;"!$A$8:$A$73"),0)),CONFIG!$A$15:$B$40,2,FALSE)&amp;"","")</f>
        <v/>
      </c>
      <c r="D12" s="181">
        <f>IFERROR(VLOOKUP(INDEX(INDIRECT($B$1&amp;"!"&amp;ADDRESS(8,COLUMN()+6,4)&amp;":"&amp;ADDRESS(73,COLUMN()+6,4)),MATCH($B12,INDIRECT($B$1&amp;"!$A$8:$A$73"),0)),CONFIG!$A$15:$B$40,2,FALSE)&amp;"","")</f>
        <v/>
      </c>
      <c r="E12" s="181">
        <f>IFERROR(VLOOKUP(INDEX(INDIRECT($B$1&amp;"!"&amp;ADDRESS(8,COLUMN()+6,4)&amp;":"&amp;ADDRESS(73,COLUMN()+6,4)),MATCH($B12,INDIRECT($B$1&amp;"!$A$8:$A$73"),0)),CONFIG!$A$15:$B$40,2,FALSE)&amp;"","")</f>
        <v/>
      </c>
      <c r="F12" s="181">
        <f>IFERROR(VLOOKUP(INDEX(INDIRECT($B$1&amp;"!"&amp;ADDRESS(8,COLUMN()+6,4)&amp;":"&amp;ADDRESS(73,COLUMN()+6,4)),MATCH($B12,INDIRECT($B$1&amp;"!$A$8:$A$73"),0)),CONFIG!$A$15:$B$40,2,FALSE)&amp;"","")</f>
        <v/>
      </c>
      <c r="G12" s="181">
        <f>IFERROR(VLOOKUP(INDEX(INDIRECT($B$1&amp;"!"&amp;ADDRESS(8,COLUMN()+6,4)&amp;":"&amp;ADDRESS(73,COLUMN()+6,4)),MATCH($B12,INDIRECT($B$1&amp;"!$A$8:$A$73"),0)),CONFIG!$A$15:$B$40,2,FALSE)&amp;"","")</f>
        <v/>
      </c>
      <c r="H12" s="181">
        <f>IFERROR(VLOOKUP(INDEX(INDIRECT($B$1&amp;"!"&amp;ADDRESS(8,COLUMN()+6,4)&amp;":"&amp;ADDRESS(73,COLUMN()+6,4)),MATCH($B12,INDIRECT($B$1&amp;"!$A$8:$A$73"),0)),CONFIG!$A$15:$B$40,2,FALSE)&amp;"","")</f>
        <v/>
      </c>
      <c r="I12" s="181">
        <f>IFERROR(VLOOKUP(INDEX(INDIRECT($B$1&amp;"!"&amp;ADDRESS(8,COLUMN()+6,4)&amp;":"&amp;ADDRESS(73,COLUMN()+6,4)),MATCH($B12,INDIRECT($B$1&amp;"!$A$8:$A$73"),0)),CONFIG!$A$15:$B$40,2,FALSE)&amp;"","")</f>
        <v/>
      </c>
      <c r="J12" s="181">
        <f>IFERROR(VLOOKUP(INDEX(INDIRECT($B$1&amp;"!"&amp;ADDRESS(8,COLUMN()+6,4)&amp;":"&amp;ADDRESS(73,COLUMN()+6,4)),MATCH($B12,INDIRECT($B$1&amp;"!$A$8:$A$73"),0)),CONFIG!$A$15:$B$40,2,FALSE)&amp;"","")</f>
        <v/>
      </c>
      <c r="K12" s="181">
        <f>IFERROR(VLOOKUP(INDEX(INDIRECT($B$1&amp;"!"&amp;ADDRESS(8,COLUMN()+6,4)&amp;":"&amp;ADDRESS(73,COLUMN()+6,4)),MATCH($B12,INDIRECT($B$1&amp;"!$A$8:$A$73"),0)),CONFIG!$A$15:$B$40,2,FALSE)&amp;"","")</f>
        <v/>
      </c>
      <c r="L12" s="181">
        <f>IFERROR(VLOOKUP(INDEX(INDIRECT($B$1&amp;"!"&amp;ADDRESS(8,COLUMN()+6,4)&amp;":"&amp;ADDRESS(73,COLUMN()+6,4)),MATCH($B12,INDIRECT($B$1&amp;"!$A$8:$A$73"),0)),CONFIG!$A$15:$B$40,2,FALSE)&amp;"","")</f>
        <v/>
      </c>
      <c r="M12" s="181">
        <f>IFERROR(VLOOKUP(INDEX(INDIRECT($B$1&amp;"!"&amp;ADDRESS(8,COLUMN()+6,4)&amp;":"&amp;ADDRESS(73,COLUMN()+6,4)),MATCH($B12,INDIRECT($B$1&amp;"!$A$8:$A$73"),0)),CONFIG!$A$15:$B$40,2,FALSE)&amp;"","")</f>
        <v/>
      </c>
      <c r="N12" s="181">
        <f>IFERROR(VLOOKUP(INDEX(INDIRECT($B$1&amp;"!"&amp;ADDRESS(8,COLUMN()+6,4)&amp;":"&amp;ADDRESS(73,COLUMN()+6,4)),MATCH($B12,INDIRECT($B$1&amp;"!$A$8:$A$73"),0)),CONFIG!$A$15:$B$40,2,FALSE)&amp;"","")</f>
        <v/>
      </c>
      <c r="O12" s="181">
        <f>IFERROR(VLOOKUP(INDEX(INDIRECT($B$1&amp;"!"&amp;ADDRESS(8,COLUMN()+6,4)&amp;":"&amp;ADDRESS(73,COLUMN()+6,4)),MATCH($B12,INDIRECT($B$1&amp;"!$A$8:$A$73"),0)),CONFIG!$A$15:$B$40,2,FALSE)&amp;"","")</f>
        <v/>
      </c>
      <c r="P12" s="181">
        <f>IFERROR(VLOOKUP(INDEX(INDIRECT($B$1&amp;"!"&amp;ADDRESS(8,COLUMN()+6,4)&amp;":"&amp;ADDRESS(73,COLUMN()+6,4)),MATCH($B12,INDIRECT($B$1&amp;"!$A$8:$A$73"),0)),CONFIG!$A$15:$B$40,2,FALSE)&amp;"","")</f>
        <v/>
      </c>
      <c r="Q12" s="181">
        <f>IFERROR(VLOOKUP(INDEX(INDIRECT($B$1&amp;"!"&amp;ADDRESS(8,COLUMN()+6,4)&amp;":"&amp;ADDRESS(73,COLUMN()+6,4)),MATCH($B12,INDIRECT($B$1&amp;"!$A$8:$A$73"),0)),CONFIG!$A$15:$B$40,2,FALSE)&amp;"","")</f>
        <v/>
      </c>
      <c r="R12" s="181">
        <f>IFERROR(VLOOKUP(INDEX(INDIRECT($B$1&amp;"!"&amp;ADDRESS(8,COLUMN()+6,4)&amp;":"&amp;ADDRESS(73,COLUMN()+6,4)),MATCH($B12,INDIRECT($B$1&amp;"!$A$8:$A$73"),0)),CONFIG!$A$15:$B$40,2,FALSE)&amp;"","")</f>
        <v/>
      </c>
      <c r="S12" s="181">
        <f>IFERROR(VLOOKUP(INDEX(INDIRECT($B$1&amp;"!"&amp;ADDRESS(8,COLUMN()+6,4)&amp;":"&amp;ADDRESS(73,COLUMN()+6,4)),MATCH($B12,INDIRECT($B$1&amp;"!$A$8:$A$73"),0)),CONFIG!$A$15:$B$40,2,FALSE)&amp;"","")</f>
        <v/>
      </c>
      <c r="T12" s="181">
        <f>IFERROR(VLOOKUP(INDEX(INDIRECT($B$1&amp;"!"&amp;ADDRESS(8,COLUMN()+6,4)&amp;":"&amp;ADDRESS(73,COLUMN()+6,4)),MATCH($B12,INDIRECT($B$1&amp;"!$A$8:$A$73"),0)),CONFIG!$A$15:$B$40,2,FALSE)&amp;"","")</f>
        <v/>
      </c>
      <c r="U12" s="181">
        <f>IFERROR(VLOOKUP(INDEX(INDIRECT($B$1&amp;"!"&amp;ADDRESS(8,COLUMN()+6,4)&amp;":"&amp;ADDRESS(73,COLUMN()+6,4)),MATCH($B12,INDIRECT($B$1&amp;"!$A$8:$A$73"),0)),CONFIG!$A$15:$B$40,2,FALSE)&amp;"","")</f>
        <v/>
      </c>
      <c r="V12" s="181">
        <f>IFERROR(VLOOKUP(INDEX(INDIRECT($B$1&amp;"!"&amp;ADDRESS(8,COLUMN()+6,4)&amp;":"&amp;ADDRESS(73,COLUMN()+6,4)),MATCH($B12,INDIRECT($B$1&amp;"!$A$8:$A$73"),0)),CONFIG!$A$15:$B$40,2,FALSE)&amp;"","")</f>
        <v/>
      </c>
      <c r="W12" s="181">
        <f>IFERROR(VLOOKUP(INDEX(INDIRECT($B$1&amp;"!"&amp;ADDRESS(8,COLUMN()+6,4)&amp;":"&amp;ADDRESS(73,COLUMN()+6,4)),MATCH($B12,INDIRECT($B$1&amp;"!$A$8:$A$73"),0)),CONFIG!$A$15:$B$40,2,FALSE)&amp;"","")</f>
        <v/>
      </c>
      <c r="X12" s="181">
        <f>IFERROR(VLOOKUP(INDEX(INDIRECT($B$1&amp;"!"&amp;ADDRESS(8,COLUMN()+6,4)&amp;":"&amp;ADDRESS(73,COLUMN()+6,4)),MATCH($B12,INDIRECT($B$1&amp;"!$A$8:$A$73"),0)),CONFIG!$A$15:$B$40,2,FALSE)&amp;"","")</f>
        <v/>
      </c>
      <c r="Y12" s="181">
        <f>IFERROR(VLOOKUP(INDEX(INDIRECT($B$1&amp;"!"&amp;ADDRESS(8,COLUMN()+6,4)&amp;":"&amp;ADDRESS(73,COLUMN()+6,4)),MATCH($B12,INDIRECT($B$1&amp;"!$A$8:$A$73"),0)),CONFIG!$A$15:$B$40,2,FALSE)&amp;"","")</f>
        <v/>
      </c>
      <c r="Z12" s="181">
        <f>IFERROR(VLOOKUP(INDEX(INDIRECT($B$1&amp;"!"&amp;ADDRESS(8,COLUMN()+6,4)&amp;":"&amp;ADDRESS(73,COLUMN()+6,4)),MATCH($B12,INDIRECT($B$1&amp;"!$A$8:$A$73"),0)),CONFIG!$A$15:$B$40,2,FALSE)&amp;"","")</f>
        <v/>
      </c>
      <c r="AA12" s="181">
        <f>IFERROR(VLOOKUP(INDEX(INDIRECT($B$1&amp;"!"&amp;ADDRESS(8,COLUMN()+6,4)&amp;":"&amp;ADDRESS(73,COLUMN()+6,4)),MATCH($B12,INDIRECT($B$1&amp;"!$A$8:$A$73"),0)),CONFIG!$A$15:$B$40,2,FALSE)&amp;"","")</f>
        <v/>
      </c>
      <c r="AB12" s="181">
        <f>IFERROR(VLOOKUP(INDEX(INDIRECT($B$1&amp;"!"&amp;ADDRESS(8,COLUMN()+6,4)&amp;":"&amp;ADDRESS(73,COLUMN()+6,4)),MATCH($B12,INDIRECT($B$1&amp;"!$A$8:$A$73"),0)),CONFIG!$A$15:$B$40,2,FALSE)&amp;"","")</f>
        <v/>
      </c>
      <c r="AC12" s="181">
        <f>IFERROR(VLOOKUP(INDEX(INDIRECT($B$1&amp;"!"&amp;ADDRESS(8,COLUMN()+6,4)&amp;":"&amp;ADDRESS(73,COLUMN()+6,4)),MATCH($B12,INDIRECT($B$1&amp;"!$A$8:$A$73"),0)),CONFIG!$A$15:$B$40,2,FALSE)&amp;"","")</f>
        <v/>
      </c>
      <c r="AD12" s="181">
        <f>IFERROR(VLOOKUP(INDEX(INDIRECT($B$1&amp;"!"&amp;ADDRESS(8,COLUMN()+6,4)&amp;":"&amp;ADDRESS(73,COLUMN()+6,4)),MATCH($B12,INDIRECT($B$1&amp;"!$A$8:$A$73"),0)),CONFIG!$A$15:$B$40,2,FALSE)&amp;"","")</f>
        <v/>
      </c>
      <c r="AE12" s="181">
        <f>IFERROR(VLOOKUP(INDEX(INDIRECT($B$1&amp;"!"&amp;ADDRESS(8,COLUMN()+6,4)&amp;":"&amp;ADDRESS(73,COLUMN()+6,4)),MATCH($B12,INDIRECT($B$1&amp;"!$A$8:$A$73"),0)),CONFIG!$A$15:$B$40,2,FALSE)&amp;"","")</f>
        <v/>
      </c>
      <c r="AF12" s="181">
        <f>IFERROR(VLOOKUP(INDEX(INDIRECT($B$1&amp;"!"&amp;ADDRESS(8,COLUMN()+6,4)&amp;":"&amp;ADDRESS(73,COLUMN()+6,4)),MATCH($B12,INDIRECT($B$1&amp;"!$A$8:$A$73"),0)),CONFIG!$A$15:$B$40,2,FALSE)&amp;"","")</f>
        <v/>
      </c>
      <c r="AG12" s="181">
        <f>IFERROR(VLOOKUP(INDEX(INDIRECT($B$1&amp;"!"&amp;ADDRESS(8,COLUMN()+6,4)&amp;":"&amp;ADDRESS(73,COLUMN()+6,4)),MATCH($B12,INDIRECT($B$1&amp;"!$A$8:$A$73"),0)),CONFIG!$A$15:$B$40,2,FALSE)&amp;"","")</f>
        <v/>
      </c>
      <c r="AH12" s="181">
        <f>IFERROR(VLOOKUP(INDEX(INDIRECT($B$1&amp;"!"&amp;ADDRESS(8,COLUMN()+6,4)&amp;":"&amp;ADDRESS(73,COLUMN()+6,4)),MATCH($B12,INDIRECT($B$1&amp;"!$A$8:$A$73"),0)),CONFIG!$A$15:$B$40,2,FALSE)&amp;"","")</f>
        <v/>
      </c>
      <c r="AI12" s="39" t="n"/>
    </row>
    <row r="13">
      <c r="A13" s="179" t="inlineStr">
        <is>
          <t>Vinicius Bezerra</t>
        </is>
      </c>
      <c r="B13" s="180" t="inlineStr">
        <is>
          <t>Vinicius</t>
        </is>
      </c>
      <c r="C13" s="181">
        <f>IFERROR(VLOOKUP(INDEX(INDIRECT($B$1&amp;"!"&amp;ADDRESS(8,COLUMN()+6,4)&amp;":"&amp;ADDRESS(73,COLUMN()+6,4)),MATCH($B13,INDIRECT($B$1&amp;"!$A$8:$A$73"),0)),CONFIG!$A$15:$B$40,2,FALSE)&amp;"","")</f>
        <v/>
      </c>
      <c r="D13" s="181">
        <f>IFERROR(VLOOKUP(INDEX(INDIRECT($B$1&amp;"!"&amp;ADDRESS(8,COLUMN()+6,4)&amp;":"&amp;ADDRESS(73,COLUMN()+6,4)),MATCH($B13,INDIRECT($B$1&amp;"!$A$8:$A$73"),0)),CONFIG!$A$15:$B$40,2,FALSE)&amp;"","")</f>
        <v/>
      </c>
      <c r="E13" s="181">
        <f>IFERROR(VLOOKUP(INDEX(INDIRECT($B$1&amp;"!"&amp;ADDRESS(8,COLUMN()+6,4)&amp;":"&amp;ADDRESS(73,COLUMN()+6,4)),MATCH($B13,INDIRECT($B$1&amp;"!$A$8:$A$73"),0)),CONFIG!$A$15:$B$40,2,FALSE)&amp;"","")</f>
        <v/>
      </c>
      <c r="F13" s="181">
        <f>IFERROR(VLOOKUP(INDEX(INDIRECT($B$1&amp;"!"&amp;ADDRESS(8,COLUMN()+6,4)&amp;":"&amp;ADDRESS(73,COLUMN()+6,4)),MATCH($B13,INDIRECT($B$1&amp;"!$A$8:$A$73"),0)),CONFIG!$A$15:$B$40,2,FALSE)&amp;"","")</f>
        <v/>
      </c>
      <c r="G13" s="181">
        <f>IFERROR(VLOOKUP(INDEX(INDIRECT($B$1&amp;"!"&amp;ADDRESS(8,COLUMN()+6,4)&amp;":"&amp;ADDRESS(73,COLUMN()+6,4)),MATCH($B13,INDIRECT($B$1&amp;"!$A$8:$A$73"),0)),CONFIG!$A$15:$B$40,2,FALSE)&amp;"","")</f>
        <v/>
      </c>
      <c r="H13" s="181">
        <f>IFERROR(VLOOKUP(INDEX(INDIRECT($B$1&amp;"!"&amp;ADDRESS(8,COLUMN()+6,4)&amp;":"&amp;ADDRESS(73,COLUMN()+6,4)),MATCH($B13,INDIRECT($B$1&amp;"!$A$8:$A$73"),0)),CONFIG!$A$15:$B$40,2,FALSE)&amp;"","")</f>
        <v/>
      </c>
      <c r="I13" s="181">
        <f>IFERROR(VLOOKUP(INDEX(INDIRECT($B$1&amp;"!"&amp;ADDRESS(8,COLUMN()+6,4)&amp;":"&amp;ADDRESS(73,COLUMN()+6,4)),MATCH($B13,INDIRECT($B$1&amp;"!$A$8:$A$73"),0)),CONFIG!$A$15:$B$40,2,FALSE)&amp;"","")</f>
        <v/>
      </c>
      <c r="J13" s="181">
        <f>IFERROR(VLOOKUP(INDEX(INDIRECT($B$1&amp;"!"&amp;ADDRESS(8,COLUMN()+6,4)&amp;":"&amp;ADDRESS(73,COLUMN()+6,4)),MATCH($B13,INDIRECT($B$1&amp;"!$A$8:$A$73"),0)),CONFIG!$A$15:$B$40,2,FALSE)&amp;"","")</f>
        <v/>
      </c>
      <c r="K13" s="181">
        <f>IFERROR(VLOOKUP(INDEX(INDIRECT($B$1&amp;"!"&amp;ADDRESS(8,COLUMN()+6,4)&amp;":"&amp;ADDRESS(73,COLUMN()+6,4)),MATCH($B13,INDIRECT($B$1&amp;"!$A$8:$A$73"),0)),CONFIG!$A$15:$B$40,2,FALSE)&amp;"","")</f>
        <v/>
      </c>
      <c r="L13" s="181">
        <f>IFERROR(VLOOKUP(INDEX(INDIRECT($B$1&amp;"!"&amp;ADDRESS(8,COLUMN()+6,4)&amp;":"&amp;ADDRESS(73,COLUMN()+6,4)),MATCH($B13,INDIRECT($B$1&amp;"!$A$8:$A$73"),0)),CONFIG!$A$15:$B$40,2,FALSE)&amp;"","")</f>
        <v/>
      </c>
      <c r="M13" s="181">
        <f>IFERROR(VLOOKUP(INDEX(INDIRECT($B$1&amp;"!"&amp;ADDRESS(8,COLUMN()+6,4)&amp;":"&amp;ADDRESS(73,COLUMN()+6,4)),MATCH($B13,INDIRECT($B$1&amp;"!$A$8:$A$73"),0)),CONFIG!$A$15:$B$40,2,FALSE)&amp;"","")</f>
        <v/>
      </c>
      <c r="N13" s="181">
        <f>IFERROR(VLOOKUP(INDEX(INDIRECT($B$1&amp;"!"&amp;ADDRESS(8,COLUMN()+6,4)&amp;":"&amp;ADDRESS(73,COLUMN()+6,4)),MATCH($B13,INDIRECT($B$1&amp;"!$A$8:$A$73"),0)),CONFIG!$A$15:$B$40,2,FALSE)&amp;"","")</f>
        <v/>
      </c>
      <c r="O13" s="181">
        <f>IFERROR(VLOOKUP(INDEX(INDIRECT($B$1&amp;"!"&amp;ADDRESS(8,COLUMN()+6,4)&amp;":"&amp;ADDRESS(73,COLUMN()+6,4)),MATCH($B13,INDIRECT($B$1&amp;"!$A$8:$A$73"),0)),CONFIG!$A$15:$B$40,2,FALSE)&amp;"","")</f>
        <v/>
      </c>
      <c r="P13" s="181">
        <f>IFERROR(VLOOKUP(INDEX(INDIRECT($B$1&amp;"!"&amp;ADDRESS(8,COLUMN()+6,4)&amp;":"&amp;ADDRESS(73,COLUMN()+6,4)),MATCH($B13,INDIRECT($B$1&amp;"!$A$8:$A$73"),0)),CONFIG!$A$15:$B$40,2,FALSE)&amp;"","")</f>
        <v/>
      </c>
      <c r="Q13" s="181">
        <f>IFERROR(VLOOKUP(INDEX(INDIRECT($B$1&amp;"!"&amp;ADDRESS(8,COLUMN()+6,4)&amp;":"&amp;ADDRESS(73,COLUMN()+6,4)),MATCH($B13,INDIRECT($B$1&amp;"!$A$8:$A$73"),0)),CONFIG!$A$15:$B$40,2,FALSE)&amp;"","")</f>
        <v/>
      </c>
      <c r="R13" s="181">
        <f>IFERROR(VLOOKUP(INDEX(INDIRECT($B$1&amp;"!"&amp;ADDRESS(8,COLUMN()+6,4)&amp;":"&amp;ADDRESS(73,COLUMN()+6,4)),MATCH($B13,INDIRECT($B$1&amp;"!$A$8:$A$73"),0)),CONFIG!$A$15:$B$40,2,FALSE)&amp;"","")</f>
        <v/>
      </c>
      <c r="S13" s="181">
        <f>IFERROR(VLOOKUP(INDEX(INDIRECT($B$1&amp;"!"&amp;ADDRESS(8,COLUMN()+6,4)&amp;":"&amp;ADDRESS(73,COLUMN()+6,4)),MATCH($B13,INDIRECT($B$1&amp;"!$A$8:$A$73"),0)),CONFIG!$A$15:$B$40,2,FALSE)&amp;"","")</f>
        <v/>
      </c>
      <c r="T13" s="181">
        <f>IFERROR(VLOOKUP(INDEX(INDIRECT($B$1&amp;"!"&amp;ADDRESS(8,COLUMN()+6,4)&amp;":"&amp;ADDRESS(73,COLUMN()+6,4)),MATCH($B13,INDIRECT($B$1&amp;"!$A$8:$A$73"),0)),CONFIG!$A$15:$B$40,2,FALSE)&amp;"","")</f>
        <v/>
      </c>
      <c r="U13" s="181">
        <f>IFERROR(VLOOKUP(INDEX(INDIRECT($B$1&amp;"!"&amp;ADDRESS(8,COLUMN()+6,4)&amp;":"&amp;ADDRESS(73,COLUMN()+6,4)),MATCH($B13,INDIRECT($B$1&amp;"!$A$8:$A$73"),0)),CONFIG!$A$15:$B$40,2,FALSE)&amp;"","")</f>
        <v/>
      </c>
      <c r="V13" s="181">
        <f>IFERROR(VLOOKUP(INDEX(INDIRECT($B$1&amp;"!"&amp;ADDRESS(8,COLUMN()+6,4)&amp;":"&amp;ADDRESS(73,COLUMN()+6,4)),MATCH($B13,INDIRECT($B$1&amp;"!$A$8:$A$73"),0)),CONFIG!$A$15:$B$40,2,FALSE)&amp;"","")</f>
        <v/>
      </c>
      <c r="W13" s="181">
        <f>IFERROR(VLOOKUP(INDEX(INDIRECT($B$1&amp;"!"&amp;ADDRESS(8,COLUMN()+6,4)&amp;":"&amp;ADDRESS(73,COLUMN()+6,4)),MATCH($B13,INDIRECT($B$1&amp;"!$A$8:$A$73"),0)),CONFIG!$A$15:$B$40,2,FALSE)&amp;"","")</f>
        <v/>
      </c>
      <c r="X13" s="181">
        <f>IFERROR(VLOOKUP(INDEX(INDIRECT($B$1&amp;"!"&amp;ADDRESS(8,COLUMN()+6,4)&amp;":"&amp;ADDRESS(73,COLUMN()+6,4)),MATCH($B13,INDIRECT($B$1&amp;"!$A$8:$A$73"),0)),CONFIG!$A$15:$B$40,2,FALSE)&amp;"","")</f>
        <v/>
      </c>
      <c r="Y13" s="181">
        <f>IFERROR(VLOOKUP(INDEX(INDIRECT($B$1&amp;"!"&amp;ADDRESS(8,COLUMN()+6,4)&amp;":"&amp;ADDRESS(73,COLUMN()+6,4)),MATCH($B13,INDIRECT($B$1&amp;"!$A$8:$A$73"),0)),CONFIG!$A$15:$B$40,2,FALSE)&amp;"","")</f>
        <v/>
      </c>
      <c r="Z13" s="181">
        <f>IFERROR(VLOOKUP(INDEX(INDIRECT($B$1&amp;"!"&amp;ADDRESS(8,COLUMN()+6,4)&amp;":"&amp;ADDRESS(73,COLUMN()+6,4)),MATCH($B13,INDIRECT($B$1&amp;"!$A$8:$A$73"),0)),CONFIG!$A$15:$B$40,2,FALSE)&amp;"","")</f>
        <v/>
      </c>
      <c r="AA13" s="181">
        <f>IFERROR(VLOOKUP(INDEX(INDIRECT($B$1&amp;"!"&amp;ADDRESS(8,COLUMN()+6,4)&amp;":"&amp;ADDRESS(73,COLUMN()+6,4)),MATCH($B13,INDIRECT($B$1&amp;"!$A$8:$A$73"),0)),CONFIG!$A$15:$B$40,2,FALSE)&amp;"","")</f>
        <v/>
      </c>
      <c r="AB13" s="181">
        <f>IFERROR(VLOOKUP(INDEX(INDIRECT($B$1&amp;"!"&amp;ADDRESS(8,COLUMN()+6,4)&amp;":"&amp;ADDRESS(73,COLUMN()+6,4)),MATCH($B13,INDIRECT($B$1&amp;"!$A$8:$A$73"),0)),CONFIG!$A$15:$B$40,2,FALSE)&amp;"","")</f>
        <v/>
      </c>
      <c r="AC13" s="181">
        <f>IFERROR(VLOOKUP(INDEX(INDIRECT($B$1&amp;"!"&amp;ADDRESS(8,COLUMN()+6,4)&amp;":"&amp;ADDRESS(73,COLUMN()+6,4)),MATCH($B13,INDIRECT($B$1&amp;"!$A$8:$A$73"),0)),CONFIG!$A$15:$B$40,2,FALSE)&amp;"","")</f>
        <v/>
      </c>
      <c r="AD13" s="181">
        <f>IFERROR(VLOOKUP(INDEX(INDIRECT($B$1&amp;"!"&amp;ADDRESS(8,COLUMN()+6,4)&amp;":"&amp;ADDRESS(73,COLUMN()+6,4)),MATCH($B13,INDIRECT($B$1&amp;"!$A$8:$A$73"),0)),CONFIG!$A$15:$B$40,2,FALSE)&amp;"","")</f>
        <v/>
      </c>
      <c r="AE13" s="181">
        <f>IFERROR(VLOOKUP(INDEX(INDIRECT($B$1&amp;"!"&amp;ADDRESS(8,COLUMN()+6,4)&amp;":"&amp;ADDRESS(73,COLUMN()+6,4)),MATCH($B13,INDIRECT($B$1&amp;"!$A$8:$A$73"),0)),CONFIG!$A$15:$B$40,2,FALSE)&amp;"","")</f>
        <v/>
      </c>
      <c r="AF13" s="181">
        <f>IFERROR(VLOOKUP(INDEX(INDIRECT($B$1&amp;"!"&amp;ADDRESS(8,COLUMN()+6,4)&amp;":"&amp;ADDRESS(73,COLUMN()+6,4)),MATCH($B13,INDIRECT($B$1&amp;"!$A$8:$A$73"),0)),CONFIG!$A$15:$B$40,2,FALSE)&amp;"","")</f>
        <v/>
      </c>
      <c r="AG13" s="181">
        <f>IFERROR(VLOOKUP(INDEX(INDIRECT($B$1&amp;"!"&amp;ADDRESS(8,COLUMN()+6,4)&amp;":"&amp;ADDRESS(73,COLUMN()+6,4)),MATCH($B13,INDIRECT($B$1&amp;"!$A$8:$A$73"),0)),CONFIG!$A$15:$B$40,2,FALSE)&amp;"","")</f>
        <v/>
      </c>
      <c r="AH13" s="181">
        <f>IFERROR(VLOOKUP(INDEX(INDIRECT($B$1&amp;"!"&amp;ADDRESS(8,COLUMN()+6,4)&amp;":"&amp;ADDRESS(73,COLUMN()+6,4)),MATCH($B13,INDIRECT($B$1&amp;"!$A$8:$A$73"),0)),CONFIG!$A$15:$B$40,2,FALSE)&amp;"","")</f>
        <v/>
      </c>
      <c r="AI13" s="39" t="n"/>
    </row>
    <row r="14">
      <c r="A14" s="179" t="inlineStr">
        <is>
          <t>Fernanda Amelio</t>
        </is>
      </c>
      <c r="B14" s="180" t="inlineStr">
        <is>
          <t>Amelio</t>
        </is>
      </c>
      <c r="C14" s="181">
        <f>IFERROR(VLOOKUP(INDEX(INDIRECT($B$1&amp;"!"&amp;ADDRESS(8,COLUMN()+6,4)&amp;":"&amp;ADDRESS(73,COLUMN()+6,4)),MATCH($B14,INDIRECT($B$1&amp;"!$A$8:$A$73"),0)),CONFIG!$A$15:$B$40,2,FALSE)&amp;"","")</f>
        <v/>
      </c>
      <c r="D14" s="181">
        <f>IFERROR(VLOOKUP(INDEX(INDIRECT($B$1&amp;"!"&amp;ADDRESS(8,COLUMN()+6,4)&amp;":"&amp;ADDRESS(73,COLUMN()+6,4)),MATCH($B14,INDIRECT($B$1&amp;"!$A$8:$A$73"),0)),CONFIG!$A$15:$B$40,2,FALSE)&amp;"","")</f>
        <v/>
      </c>
      <c r="E14" s="181">
        <f>IFERROR(VLOOKUP(INDEX(INDIRECT($B$1&amp;"!"&amp;ADDRESS(8,COLUMN()+6,4)&amp;":"&amp;ADDRESS(73,COLUMN()+6,4)),MATCH($B14,INDIRECT($B$1&amp;"!$A$8:$A$73"),0)),CONFIG!$A$15:$B$40,2,FALSE)&amp;"","")</f>
        <v/>
      </c>
      <c r="F14" s="181">
        <f>IFERROR(VLOOKUP(INDEX(INDIRECT($B$1&amp;"!"&amp;ADDRESS(8,COLUMN()+6,4)&amp;":"&amp;ADDRESS(73,COLUMN()+6,4)),MATCH($B14,INDIRECT($B$1&amp;"!$A$8:$A$73"),0)),CONFIG!$A$15:$B$40,2,FALSE)&amp;"","")</f>
        <v/>
      </c>
      <c r="G14" s="181">
        <f>IFERROR(VLOOKUP(INDEX(INDIRECT($B$1&amp;"!"&amp;ADDRESS(8,COLUMN()+6,4)&amp;":"&amp;ADDRESS(73,COLUMN()+6,4)),MATCH($B14,INDIRECT($B$1&amp;"!$A$8:$A$73"),0)),CONFIG!$A$15:$B$40,2,FALSE)&amp;"","")</f>
        <v/>
      </c>
      <c r="H14" s="181">
        <f>IFERROR(VLOOKUP(INDEX(INDIRECT($B$1&amp;"!"&amp;ADDRESS(8,COLUMN()+6,4)&amp;":"&amp;ADDRESS(73,COLUMN()+6,4)),MATCH($B14,INDIRECT($B$1&amp;"!$A$8:$A$73"),0)),CONFIG!$A$15:$B$40,2,FALSE)&amp;"","")</f>
        <v/>
      </c>
      <c r="I14" s="181">
        <f>IFERROR(VLOOKUP(INDEX(INDIRECT($B$1&amp;"!"&amp;ADDRESS(8,COLUMN()+6,4)&amp;":"&amp;ADDRESS(73,COLUMN()+6,4)),MATCH($B14,INDIRECT($B$1&amp;"!$A$8:$A$73"),0)),CONFIG!$A$15:$B$40,2,FALSE)&amp;"","")</f>
        <v/>
      </c>
      <c r="J14" s="181">
        <f>IFERROR(VLOOKUP(INDEX(INDIRECT($B$1&amp;"!"&amp;ADDRESS(8,COLUMN()+6,4)&amp;":"&amp;ADDRESS(73,COLUMN()+6,4)),MATCH($B14,INDIRECT($B$1&amp;"!$A$8:$A$73"),0)),CONFIG!$A$15:$B$40,2,FALSE)&amp;"","")</f>
        <v/>
      </c>
      <c r="K14" s="181">
        <f>IFERROR(VLOOKUP(INDEX(INDIRECT($B$1&amp;"!"&amp;ADDRESS(8,COLUMN()+6,4)&amp;":"&amp;ADDRESS(73,COLUMN()+6,4)),MATCH($B14,INDIRECT($B$1&amp;"!$A$8:$A$73"),0)),CONFIG!$A$15:$B$40,2,FALSE)&amp;"","")</f>
        <v/>
      </c>
      <c r="L14" s="181">
        <f>IFERROR(VLOOKUP(INDEX(INDIRECT($B$1&amp;"!"&amp;ADDRESS(8,COLUMN()+6,4)&amp;":"&amp;ADDRESS(73,COLUMN()+6,4)),MATCH($B14,INDIRECT($B$1&amp;"!$A$8:$A$73"),0)),CONFIG!$A$15:$B$40,2,FALSE)&amp;"","")</f>
        <v/>
      </c>
      <c r="M14" s="181">
        <f>IFERROR(VLOOKUP(INDEX(INDIRECT($B$1&amp;"!"&amp;ADDRESS(8,COLUMN()+6,4)&amp;":"&amp;ADDRESS(73,COLUMN()+6,4)),MATCH($B14,INDIRECT($B$1&amp;"!$A$8:$A$73"),0)),CONFIG!$A$15:$B$40,2,FALSE)&amp;"","")</f>
        <v/>
      </c>
      <c r="N14" s="181">
        <f>IFERROR(VLOOKUP(INDEX(INDIRECT($B$1&amp;"!"&amp;ADDRESS(8,COLUMN()+6,4)&amp;":"&amp;ADDRESS(73,COLUMN()+6,4)),MATCH($B14,INDIRECT($B$1&amp;"!$A$8:$A$73"),0)),CONFIG!$A$15:$B$40,2,FALSE)&amp;"","")</f>
        <v/>
      </c>
      <c r="O14" s="181">
        <f>IFERROR(VLOOKUP(INDEX(INDIRECT($B$1&amp;"!"&amp;ADDRESS(8,COLUMN()+6,4)&amp;":"&amp;ADDRESS(73,COLUMN()+6,4)),MATCH($B14,INDIRECT($B$1&amp;"!$A$8:$A$73"),0)),CONFIG!$A$15:$B$40,2,FALSE)&amp;"","")</f>
        <v/>
      </c>
      <c r="P14" s="181">
        <f>IFERROR(VLOOKUP(INDEX(INDIRECT($B$1&amp;"!"&amp;ADDRESS(8,COLUMN()+6,4)&amp;":"&amp;ADDRESS(73,COLUMN()+6,4)),MATCH($B14,INDIRECT($B$1&amp;"!$A$8:$A$73"),0)),CONFIG!$A$15:$B$40,2,FALSE)&amp;"","")</f>
        <v/>
      </c>
      <c r="Q14" s="181">
        <f>IFERROR(VLOOKUP(INDEX(INDIRECT($B$1&amp;"!"&amp;ADDRESS(8,COLUMN()+6,4)&amp;":"&amp;ADDRESS(73,COLUMN()+6,4)),MATCH($B14,INDIRECT($B$1&amp;"!$A$8:$A$73"),0)),CONFIG!$A$15:$B$40,2,FALSE)&amp;"","")</f>
        <v/>
      </c>
      <c r="R14" s="181">
        <f>IFERROR(VLOOKUP(INDEX(INDIRECT($B$1&amp;"!"&amp;ADDRESS(8,COLUMN()+6,4)&amp;":"&amp;ADDRESS(73,COLUMN()+6,4)),MATCH($B14,INDIRECT($B$1&amp;"!$A$8:$A$73"),0)),CONFIG!$A$15:$B$40,2,FALSE)&amp;"","")</f>
        <v/>
      </c>
      <c r="S14" s="181">
        <f>IFERROR(VLOOKUP(INDEX(INDIRECT($B$1&amp;"!"&amp;ADDRESS(8,COLUMN()+6,4)&amp;":"&amp;ADDRESS(73,COLUMN()+6,4)),MATCH($B14,INDIRECT($B$1&amp;"!$A$8:$A$73"),0)),CONFIG!$A$15:$B$40,2,FALSE)&amp;"","")</f>
        <v/>
      </c>
      <c r="T14" s="181">
        <f>IFERROR(VLOOKUP(INDEX(INDIRECT($B$1&amp;"!"&amp;ADDRESS(8,COLUMN()+6,4)&amp;":"&amp;ADDRESS(73,COLUMN()+6,4)),MATCH($B14,INDIRECT($B$1&amp;"!$A$8:$A$73"),0)),CONFIG!$A$15:$B$40,2,FALSE)&amp;"","")</f>
        <v/>
      </c>
      <c r="U14" s="181">
        <f>IFERROR(VLOOKUP(INDEX(INDIRECT($B$1&amp;"!"&amp;ADDRESS(8,COLUMN()+6,4)&amp;":"&amp;ADDRESS(73,COLUMN()+6,4)),MATCH($B14,INDIRECT($B$1&amp;"!$A$8:$A$73"),0)),CONFIG!$A$15:$B$40,2,FALSE)&amp;"","")</f>
        <v/>
      </c>
      <c r="V14" s="181">
        <f>IFERROR(VLOOKUP(INDEX(INDIRECT($B$1&amp;"!"&amp;ADDRESS(8,COLUMN()+6,4)&amp;":"&amp;ADDRESS(73,COLUMN()+6,4)),MATCH($B14,INDIRECT($B$1&amp;"!$A$8:$A$73"),0)),CONFIG!$A$15:$B$40,2,FALSE)&amp;"","")</f>
        <v/>
      </c>
      <c r="W14" s="181">
        <f>IFERROR(VLOOKUP(INDEX(INDIRECT($B$1&amp;"!"&amp;ADDRESS(8,COLUMN()+6,4)&amp;":"&amp;ADDRESS(73,COLUMN()+6,4)),MATCH($B14,INDIRECT($B$1&amp;"!$A$8:$A$73"),0)),CONFIG!$A$15:$B$40,2,FALSE)&amp;"","")</f>
        <v/>
      </c>
      <c r="X14" s="181">
        <f>IFERROR(VLOOKUP(INDEX(INDIRECT($B$1&amp;"!"&amp;ADDRESS(8,COLUMN()+6,4)&amp;":"&amp;ADDRESS(73,COLUMN()+6,4)),MATCH($B14,INDIRECT($B$1&amp;"!$A$8:$A$73"),0)),CONFIG!$A$15:$B$40,2,FALSE)&amp;"","")</f>
        <v/>
      </c>
      <c r="Y14" s="181">
        <f>IFERROR(VLOOKUP(INDEX(INDIRECT($B$1&amp;"!"&amp;ADDRESS(8,COLUMN()+6,4)&amp;":"&amp;ADDRESS(73,COLUMN()+6,4)),MATCH($B14,INDIRECT($B$1&amp;"!$A$8:$A$73"),0)),CONFIG!$A$15:$B$40,2,FALSE)&amp;"","")</f>
        <v/>
      </c>
      <c r="Z14" s="181">
        <f>IFERROR(VLOOKUP(INDEX(INDIRECT($B$1&amp;"!"&amp;ADDRESS(8,COLUMN()+6,4)&amp;":"&amp;ADDRESS(73,COLUMN()+6,4)),MATCH($B14,INDIRECT($B$1&amp;"!$A$8:$A$73"),0)),CONFIG!$A$15:$B$40,2,FALSE)&amp;"","")</f>
        <v/>
      </c>
      <c r="AA14" s="181">
        <f>IFERROR(VLOOKUP(INDEX(INDIRECT($B$1&amp;"!"&amp;ADDRESS(8,COLUMN()+6,4)&amp;":"&amp;ADDRESS(73,COLUMN()+6,4)),MATCH($B14,INDIRECT($B$1&amp;"!$A$8:$A$73"),0)),CONFIG!$A$15:$B$40,2,FALSE)&amp;"","")</f>
        <v/>
      </c>
      <c r="AB14" s="181">
        <f>IFERROR(VLOOKUP(INDEX(INDIRECT($B$1&amp;"!"&amp;ADDRESS(8,COLUMN()+6,4)&amp;":"&amp;ADDRESS(73,COLUMN()+6,4)),MATCH($B14,INDIRECT($B$1&amp;"!$A$8:$A$73"),0)),CONFIG!$A$15:$B$40,2,FALSE)&amp;"","")</f>
        <v/>
      </c>
      <c r="AC14" s="181">
        <f>IFERROR(VLOOKUP(INDEX(INDIRECT($B$1&amp;"!"&amp;ADDRESS(8,COLUMN()+6,4)&amp;":"&amp;ADDRESS(73,COLUMN()+6,4)),MATCH($B14,INDIRECT($B$1&amp;"!$A$8:$A$73"),0)),CONFIG!$A$15:$B$40,2,FALSE)&amp;"","")</f>
        <v/>
      </c>
      <c r="AD14" s="181">
        <f>IFERROR(VLOOKUP(INDEX(INDIRECT($B$1&amp;"!"&amp;ADDRESS(8,COLUMN()+6,4)&amp;":"&amp;ADDRESS(73,COLUMN()+6,4)),MATCH($B14,INDIRECT($B$1&amp;"!$A$8:$A$73"),0)),CONFIG!$A$15:$B$40,2,FALSE)&amp;"","")</f>
        <v/>
      </c>
      <c r="AE14" s="181">
        <f>IFERROR(VLOOKUP(INDEX(INDIRECT($B$1&amp;"!"&amp;ADDRESS(8,COLUMN()+6,4)&amp;":"&amp;ADDRESS(73,COLUMN()+6,4)),MATCH($B14,INDIRECT($B$1&amp;"!$A$8:$A$73"),0)),CONFIG!$A$15:$B$40,2,FALSE)&amp;"","")</f>
        <v/>
      </c>
      <c r="AF14" s="181">
        <f>IFERROR(VLOOKUP(INDEX(INDIRECT($B$1&amp;"!"&amp;ADDRESS(8,COLUMN()+6,4)&amp;":"&amp;ADDRESS(73,COLUMN()+6,4)),MATCH($B14,INDIRECT($B$1&amp;"!$A$8:$A$73"),0)),CONFIG!$A$15:$B$40,2,FALSE)&amp;"","")</f>
        <v/>
      </c>
      <c r="AG14" s="181">
        <f>IFERROR(VLOOKUP(INDEX(INDIRECT($B$1&amp;"!"&amp;ADDRESS(8,COLUMN()+6,4)&amp;":"&amp;ADDRESS(73,COLUMN()+6,4)),MATCH($B14,INDIRECT($B$1&amp;"!$A$8:$A$73"),0)),CONFIG!$A$15:$B$40,2,FALSE)&amp;"","")</f>
        <v/>
      </c>
      <c r="AH14" s="181">
        <f>IFERROR(VLOOKUP(INDEX(INDIRECT($B$1&amp;"!"&amp;ADDRESS(8,COLUMN()+6,4)&amp;":"&amp;ADDRESS(73,COLUMN()+6,4)),MATCH($B14,INDIRECT($B$1&amp;"!$A$8:$A$73"),0)),CONFIG!$A$15:$B$40,2,FALSE)&amp;"","")</f>
        <v/>
      </c>
      <c r="AI14" s="39" t="n"/>
    </row>
    <row r="15">
      <c r="A15" s="179" t="inlineStr">
        <is>
          <t>Murilo</t>
        </is>
      </c>
      <c r="B15" s="180" t="inlineStr">
        <is>
          <t>Murilo</t>
        </is>
      </c>
      <c r="C15" s="181">
        <f>IFERROR(VLOOKUP(INDEX(INDIRECT($B$1&amp;"!"&amp;ADDRESS(8,COLUMN()+6,4)&amp;":"&amp;ADDRESS(73,COLUMN()+6,4)),MATCH($B15,INDIRECT($B$1&amp;"!$A$8:$A$73"),0)),CONFIG!$A$15:$B$40,2,FALSE)&amp;"","")</f>
        <v/>
      </c>
      <c r="D15" s="181">
        <f>IFERROR(VLOOKUP(INDEX(INDIRECT($B$1&amp;"!"&amp;ADDRESS(8,COLUMN()+6,4)&amp;":"&amp;ADDRESS(73,COLUMN()+6,4)),MATCH($B15,INDIRECT($B$1&amp;"!$A$8:$A$73"),0)),CONFIG!$A$15:$B$40,2,FALSE)&amp;"","")</f>
        <v/>
      </c>
      <c r="E15" s="181">
        <f>IFERROR(VLOOKUP(INDEX(INDIRECT($B$1&amp;"!"&amp;ADDRESS(8,COLUMN()+6,4)&amp;":"&amp;ADDRESS(73,COLUMN()+6,4)),MATCH($B15,INDIRECT($B$1&amp;"!$A$8:$A$73"),0)),CONFIG!$A$15:$B$40,2,FALSE)&amp;"","")</f>
        <v/>
      </c>
      <c r="F15" s="181">
        <f>IFERROR(VLOOKUP(INDEX(INDIRECT($B$1&amp;"!"&amp;ADDRESS(8,COLUMN()+6,4)&amp;":"&amp;ADDRESS(73,COLUMN()+6,4)),MATCH($B15,INDIRECT($B$1&amp;"!$A$8:$A$73"),0)),CONFIG!$A$15:$B$40,2,FALSE)&amp;"","")</f>
        <v/>
      </c>
      <c r="G15" s="181">
        <f>IFERROR(VLOOKUP(INDEX(INDIRECT($B$1&amp;"!"&amp;ADDRESS(8,COLUMN()+6,4)&amp;":"&amp;ADDRESS(73,COLUMN()+6,4)),MATCH($B15,INDIRECT($B$1&amp;"!$A$8:$A$73"),0)),CONFIG!$A$15:$B$40,2,FALSE)&amp;"","")</f>
        <v/>
      </c>
      <c r="H15" s="181">
        <f>IFERROR(VLOOKUP(INDEX(INDIRECT($B$1&amp;"!"&amp;ADDRESS(8,COLUMN()+6,4)&amp;":"&amp;ADDRESS(73,COLUMN()+6,4)),MATCH($B15,INDIRECT($B$1&amp;"!$A$8:$A$73"),0)),CONFIG!$A$15:$B$40,2,FALSE)&amp;"","")</f>
        <v/>
      </c>
      <c r="I15" s="181">
        <f>IFERROR(VLOOKUP(INDEX(INDIRECT($B$1&amp;"!"&amp;ADDRESS(8,COLUMN()+6,4)&amp;":"&amp;ADDRESS(73,COLUMN()+6,4)),MATCH($B15,INDIRECT($B$1&amp;"!$A$8:$A$73"),0)),CONFIG!$A$15:$B$40,2,FALSE)&amp;"","")</f>
        <v/>
      </c>
      <c r="J15" s="181">
        <f>IFERROR(VLOOKUP(INDEX(INDIRECT($B$1&amp;"!"&amp;ADDRESS(8,COLUMN()+6,4)&amp;":"&amp;ADDRESS(73,COLUMN()+6,4)),MATCH($B15,INDIRECT($B$1&amp;"!$A$8:$A$73"),0)),CONFIG!$A$15:$B$40,2,FALSE)&amp;"","")</f>
        <v/>
      </c>
      <c r="K15" s="181">
        <f>IFERROR(VLOOKUP(INDEX(INDIRECT($B$1&amp;"!"&amp;ADDRESS(8,COLUMN()+6,4)&amp;":"&amp;ADDRESS(73,COLUMN()+6,4)),MATCH($B15,INDIRECT($B$1&amp;"!$A$8:$A$73"),0)),CONFIG!$A$15:$B$40,2,FALSE)&amp;"","")</f>
        <v/>
      </c>
      <c r="L15" s="181">
        <f>IFERROR(VLOOKUP(INDEX(INDIRECT($B$1&amp;"!"&amp;ADDRESS(8,COLUMN()+6,4)&amp;":"&amp;ADDRESS(73,COLUMN()+6,4)),MATCH($B15,INDIRECT($B$1&amp;"!$A$8:$A$73"),0)),CONFIG!$A$15:$B$40,2,FALSE)&amp;"","")</f>
        <v/>
      </c>
      <c r="M15" s="181">
        <f>IFERROR(VLOOKUP(INDEX(INDIRECT($B$1&amp;"!"&amp;ADDRESS(8,COLUMN()+6,4)&amp;":"&amp;ADDRESS(73,COLUMN()+6,4)),MATCH($B15,INDIRECT($B$1&amp;"!$A$8:$A$73"),0)),CONFIG!$A$15:$B$40,2,FALSE)&amp;"","")</f>
        <v/>
      </c>
      <c r="N15" s="181">
        <f>IFERROR(VLOOKUP(INDEX(INDIRECT($B$1&amp;"!"&amp;ADDRESS(8,COLUMN()+6,4)&amp;":"&amp;ADDRESS(73,COLUMN()+6,4)),MATCH($B15,INDIRECT($B$1&amp;"!$A$8:$A$73"),0)),CONFIG!$A$15:$B$40,2,FALSE)&amp;"","")</f>
        <v/>
      </c>
      <c r="O15" s="181">
        <f>IFERROR(VLOOKUP(INDEX(INDIRECT($B$1&amp;"!"&amp;ADDRESS(8,COLUMN()+6,4)&amp;":"&amp;ADDRESS(73,COLUMN()+6,4)),MATCH($B15,INDIRECT($B$1&amp;"!$A$8:$A$73"),0)),CONFIG!$A$15:$B$40,2,FALSE)&amp;"","")</f>
        <v/>
      </c>
      <c r="P15" s="181">
        <f>IFERROR(VLOOKUP(INDEX(INDIRECT($B$1&amp;"!"&amp;ADDRESS(8,COLUMN()+6,4)&amp;":"&amp;ADDRESS(73,COLUMN()+6,4)),MATCH($B15,INDIRECT($B$1&amp;"!$A$8:$A$73"),0)),CONFIG!$A$15:$B$40,2,FALSE)&amp;"","")</f>
        <v/>
      </c>
      <c r="Q15" s="181">
        <f>IFERROR(VLOOKUP(INDEX(INDIRECT($B$1&amp;"!"&amp;ADDRESS(8,COLUMN()+6,4)&amp;":"&amp;ADDRESS(73,COLUMN()+6,4)),MATCH($B15,INDIRECT($B$1&amp;"!$A$8:$A$73"),0)),CONFIG!$A$15:$B$40,2,FALSE)&amp;"","")</f>
        <v/>
      </c>
      <c r="R15" s="181">
        <f>IFERROR(VLOOKUP(INDEX(INDIRECT($B$1&amp;"!"&amp;ADDRESS(8,COLUMN()+6,4)&amp;":"&amp;ADDRESS(73,COLUMN()+6,4)),MATCH($B15,INDIRECT($B$1&amp;"!$A$8:$A$73"),0)),CONFIG!$A$15:$B$40,2,FALSE)&amp;"","")</f>
        <v/>
      </c>
      <c r="S15" s="181">
        <f>IFERROR(VLOOKUP(INDEX(INDIRECT($B$1&amp;"!"&amp;ADDRESS(8,COLUMN()+6,4)&amp;":"&amp;ADDRESS(73,COLUMN()+6,4)),MATCH($B15,INDIRECT($B$1&amp;"!$A$8:$A$73"),0)),CONFIG!$A$15:$B$40,2,FALSE)&amp;"","")</f>
        <v/>
      </c>
      <c r="T15" s="181">
        <f>IFERROR(VLOOKUP(INDEX(INDIRECT($B$1&amp;"!"&amp;ADDRESS(8,COLUMN()+6,4)&amp;":"&amp;ADDRESS(73,COLUMN()+6,4)),MATCH($B15,INDIRECT($B$1&amp;"!$A$8:$A$73"),0)),CONFIG!$A$15:$B$40,2,FALSE)&amp;"","")</f>
        <v/>
      </c>
      <c r="U15" s="181">
        <f>IFERROR(VLOOKUP(INDEX(INDIRECT($B$1&amp;"!"&amp;ADDRESS(8,COLUMN()+6,4)&amp;":"&amp;ADDRESS(73,COLUMN()+6,4)),MATCH($B15,INDIRECT($B$1&amp;"!$A$8:$A$73"),0)),CONFIG!$A$15:$B$40,2,FALSE)&amp;"","")</f>
        <v/>
      </c>
      <c r="V15" s="181">
        <f>IFERROR(VLOOKUP(INDEX(INDIRECT($B$1&amp;"!"&amp;ADDRESS(8,COLUMN()+6,4)&amp;":"&amp;ADDRESS(73,COLUMN()+6,4)),MATCH($B15,INDIRECT($B$1&amp;"!$A$8:$A$73"),0)),CONFIG!$A$15:$B$40,2,FALSE)&amp;"","")</f>
        <v/>
      </c>
      <c r="W15" s="181">
        <f>IFERROR(VLOOKUP(INDEX(INDIRECT($B$1&amp;"!"&amp;ADDRESS(8,COLUMN()+6,4)&amp;":"&amp;ADDRESS(73,COLUMN()+6,4)),MATCH($B15,INDIRECT($B$1&amp;"!$A$8:$A$73"),0)),CONFIG!$A$15:$B$40,2,FALSE)&amp;"","")</f>
        <v/>
      </c>
      <c r="X15" s="181">
        <f>IFERROR(VLOOKUP(INDEX(INDIRECT($B$1&amp;"!"&amp;ADDRESS(8,COLUMN()+6,4)&amp;":"&amp;ADDRESS(73,COLUMN()+6,4)),MATCH($B15,INDIRECT($B$1&amp;"!$A$8:$A$73"),0)),CONFIG!$A$15:$B$40,2,FALSE)&amp;"","")</f>
        <v/>
      </c>
      <c r="Y15" s="181">
        <f>IFERROR(VLOOKUP(INDEX(INDIRECT($B$1&amp;"!"&amp;ADDRESS(8,COLUMN()+6,4)&amp;":"&amp;ADDRESS(73,COLUMN()+6,4)),MATCH($B15,INDIRECT($B$1&amp;"!$A$8:$A$73"),0)),CONFIG!$A$15:$B$40,2,FALSE)&amp;"","")</f>
        <v/>
      </c>
      <c r="Z15" s="181">
        <f>IFERROR(VLOOKUP(INDEX(INDIRECT($B$1&amp;"!"&amp;ADDRESS(8,COLUMN()+6,4)&amp;":"&amp;ADDRESS(73,COLUMN()+6,4)),MATCH($B15,INDIRECT($B$1&amp;"!$A$8:$A$73"),0)),CONFIG!$A$15:$B$40,2,FALSE)&amp;"","")</f>
        <v/>
      </c>
      <c r="AA15" s="181">
        <f>IFERROR(VLOOKUP(INDEX(INDIRECT($B$1&amp;"!"&amp;ADDRESS(8,COLUMN()+6,4)&amp;":"&amp;ADDRESS(73,COLUMN()+6,4)),MATCH($B15,INDIRECT($B$1&amp;"!$A$8:$A$73"),0)),CONFIG!$A$15:$B$40,2,FALSE)&amp;"","")</f>
        <v/>
      </c>
      <c r="AB15" s="181">
        <f>IFERROR(VLOOKUP(INDEX(INDIRECT($B$1&amp;"!"&amp;ADDRESS(8,COLUMN()+6,4)&amp;":"&amp;ADDRESS(73,COLUMN()+6,4)),MATCH($B15,INDIRECT($B$1&amp;"!$A$8:$A$73"),0)),CONFIG!$A$15:$B$40,2,FALSE)&amp;"","")</f>
        <v/>
      </c>
      <c r="AC15" s="181">
        <f>IFERROR(VLOOKUP(INDEX(INDIRECT($B$1&amp;"!"&amp;ADDRESS(8,COLUMN()+6,4)&amp;":"&amp;ADDRESS(73,COLUMN()+6,4)),MATCH($B15,INDIRECT($B$1&amp;"!$A$8:$A$73"),0)),CONFIG!$A$15:$B$40,2,FALSE)&amp;"","")</f>
        <v/>
      </c>
      <c r="AD15" s="181">
        <f>IFERROR(VLOOKUP(INDEX(INDIRECT($B$1&amp;"!"&amp;ADDRESS(8,COLUMN()+6,4)&amp;":"&amp;ADDRESS(73,COLUMN()+6,4)),MATCH($B15,INDIRECT($B$1&amp;"!$A$8:$A$73"),0)),CONFIG!$A$15:$B$40,2,FALSE)&amp;"","")</f>
        <v/>
      </c>
      <c r="AE15" s="181">
        <f>IFERROR(VLOOKUP(INDEX(INDIRECT($B$1&amp;"!"&amp;ADDRESS(8,COLUMN()+6,4)&amp;":"&amp;ADDRESS(73,COLUMN()+6,4)),MATCH($B15,INDIRECT($B$1&amp;"!$A$8:$A$73"),0)),CONFIG!$A$15:$B$40,2,FALSE)&amp;"","")</f>
        <v/>
      </c>
      <c r="AF15" s="181">
        <f>IFERROR(VLOOKUP(INDEX(INDIRECT($B$1&amp;"!"&amp;ADDRESS(8,COLUMN()+6,4)&amp;":"&amp;ADDRESS(73,COLUMN()+6,4)),MATCH($B15,INDIRECT($B$1&amp;"!$A$8:$A$73"),0)),CONFIG!$A$15:$B$40,2,FALSE)&amp;"","")</f>
        <v/>
      </c>
      <c r="AG15" s="181">
        <f>IFERROR(VLOOKUP(INDEX(INDIRECT($B$1&amp;"!"&amp;ADDRESS(8,COLUMN()+6,4)&amp;":"&amp;ADDRESS(73,COLUMN()+6,4)),MATCH($B15,INDIRECT($B$1&amp;"!$A$8:$A$73"),0)),CONFIG!$A$15:$B$40,2,FALSE)&amp;"","")</f>
        <v/>
      </c>
      <c r="AH15" s="181">
        <f>IFERROR(VLOOKUP(INDEX(INDIRECT($B$1&amp;"!"&amp;ADDRESS(8,COLUMN()+6,4)&amp;":"&amp;ADDRESS(73,COLUMN()+6,4)),MATCH($B15,INDIRECT($B$1&amp;"!$A$8:$A$73"),0)),CONFIG!$A$15:$B$40,2,FALSE)&amp;"","")</f>
        <v/>
      </c>
      <c r="AI15" s="39" t="n"/>
    </row>
    <row r="16">
      <c r="A16" s="179" t="inlineStr">
        <is>
          <t>Janaina Rabelo</t>
        </is>
      </c>
      <c r="B16" s="180" t="inlineStr">
        <is>
          <t>Janaina</t>
        </is>
      </c>
      <c r="C16" s="181">
        <f>IFERROR(VLOOKUP(INDEX(INDIRECT($B$1&amp;"!"&amp;ADDRESS(8,COLUMN()+6,4)&amp;":"&amp;ADDRESS(73,COLUMN()+6,4)),MATCH($B16,INDIRECT($B$1&amp;"!$A$8:$A$73"),0)),CONFIG!$A$15:$B$40,2,FALSE)&amp;"","")</f>
        <v/>
      </c>
      <c r="D16" s="181">
        <f>IFERROR(VLOOKUP(INDEX(INDIRECT($B$1&amp;"!"&amp;ADDRESS(8,COLUMN()+6,4)&amp;":"&amp;ADDRESS(73,COLUMN()+6,4)),MATCH($B16,INDIRECT($B$1&amp;"!$A$8:$A$73"),0)),CONFIG!$A$15:$B$40,2,FALSE)&amp;"","")</f>
        <v/>
      </c>
      <c r="E16" s="181">
        <f>IFERROR(VLOOKUP(INDEX(INDIRECT($B$1&amp;"!"&amp;ADDRESS(8,COLUMN()+6,4)&amp;":"&amp;ADDRESS(73,COLUMN()+6,4)),MATCH($B16,INDIRECT($B$1&amp;"!$A$8:$A$73"),0)),CONFIG!$A$15:$B$40,2,FALSE)&amp;"","")</f>
        <v/>
      </c>
      <c r="F16" s="181">
        <f>IFERROR(VLOOKUP(INDEX(INDIRECT($B$1&amp;"!"&amp;ADDRESS(8,COLUMN()+6,4)&amp;":"&amp;ADDRESS(73,COLUMN()+6,4)),MATCH($B16,INDIRECT($B$1&amp;"!$A$8:$A$73"),0)),CONFIG!$A$15:$B$40,2,FALSE)&amp;"","")</f>
        <v/>
      </c>
      <c r="G16" s="181">
        <f>IFERROR(VLOOKUP(INDEX(INDIRECT($B$1&amp;"!"&amp;ADDRESS(8,COLUMN()+6,4)&amp;":"&amp;ADDRESS(73,COLUMN()+6,4)),MATCH($B16,INDIRECT($B$1&amp;"!$A$8:$A$73"),0)),CONFIG!$A$15:$B$40,2,FALSE)&amp;"","")</f>
        <v/>
      </c>
      <c r="H16" s="181">
        <f>IFERROR(VLOOKUP(INDEX(INDIRECT($B$1&amp;"!"&amp;ADDRESS(8,COLUMN()+6,4)&amp;":"&amp;ADDRESS(73,COLUMN()+6,4)),MATCH($B16,INDIRECT($B$1&amp;"!$A$8:$A$73"),0)),CONFIG!$A$15:$B$40,2,FALSE)&amp;"","")</f>
        <v/>
      </c>
      <c r="I16" s="181">
        <f>IFERROR(VLOOKUP(INDEX(INDIRECT($B$1&amp;"!"&amp;ADDRESS(8,COLUMN()+6,4)&amp;":"&amp;ADDRESS(73,COLUMN()+6,4)),MATCH($B16,INDIRECT($B$1&amp;"!$A$8:$A$73"),0)),CONFIG!$A$15:$B$40,2,FALSE)&amp;"","")</f>
        <v/>
      </c>
      <c r="J16" s="181">
        <f>IFERROR(VLOOKUP(INDEX(INDIRECT($B$1&amp;"!"&amp;ADDRESS(8,COLUMN()+6,4)&amp;":"&amp;ADDRESS(73,COLUMN()+6,4)),MATCH($B16,INDIRECT($B$1&amp;"!$A$8:$A$73"),0)),CONFIG!$A$15:$B$40,2,FALSE)&amp;"","")</f>
        <v/>
      </c>
      <c r="K16" s="181">
        <f>IFERROR(VLOOKUP(INDEX(INDIRECT($B$1&amp;"!"&amp;ADDRESS(8,COLUMN()+6,4)&amp;":"&amp;ADDRESS(73,COLUMN()+6,4)),MATCH($B16,INDIRECT($B$1&amp;"!$A$8:$A$73"),0)),CONFIG!$A$15:$B$40,2,FALSE)&amp;"","")</f>
        <v/>
      </c>
      <c r="L16" s="181">
        <f>IFERROR(VLOOKUP(INDEX(INDIRECT($B$1&amp;"!"&amp;ADDRESS(8,COLUMN()+6,4)&amp;":"&amp;ADDRESS(73,COLUMN()+6,4)),MATCH($B16,INDIRECT($B$1&amp;"!$A$8:$A$73"),0)),CONFIG!$A$15:$B$40,2,FALSE)&amp;"","")</f>
        <v/>
      </c>
      <c r="M16" s="181">
        <f>IFERROR(VLOOKUP(INDEX(INDIRECT($B$1&amp;"!"&amp;ADDRESS(8,COLUMN()+6,4)&amp;":"&amp;ADDRESS(73,COLUMN()+6,4)),MATCH($B16,INDIRECT($B$1&amp;"!$A$8:$A$73"),0)),CONFIG!$A$15:$B$40,2,FALSE)&amp;"","")</f>
        <v/>
      </c>
      <c r="N16" s="181">
        <f>IFERROR(VLOOKUP(INDEX(INDIRECT($B$1&amp;"!"&amp;ADDRESS(8,COLUMN()+6,4)&amp;":"&amp;ADDRESS(73,COLUMN()+6,4)),MATCH($B16,INDIRECT($B$1&amp;"!$A$8:$A$73"),0)),CONFIG!$A$15:$B$40,2,FALSE)&amp;"","")</f>
        <v/>
      </c>
      <c r="O16" s="181">
        <f>IFERROR(VLOOKUP(INDEX(INDIRECT($B$1&amp;"!"&amp;ADDRESS(8,COLUMN()+6,4)&amp;":"&amp;ADDRESS(73,COLUMN()+6,4)),MATCH($B16,INDIRECT($B$1&amp;"!$A$8:$A$73"),0)),CONFIG!$A$15:$B$40,2,FALSE)&amp;"","")</f>
        <v/>
      </c>
      <c r="P16" s="181">
        <f>IFERROR(VLOOKUP(INDEX(INDIRECT($B$1&amp;"!"&amp;ADDRESS(8,COLUMN()+6,4)&amp;":"&amp;ADDRESS(73,COLUMN()+6,4)),MATCH($B16,INDIRECT($B$1&amp;"!$A$8:$A$73"),0)),CONFIG!$A$15:$B$40,2,FALSE)&amp;"","")</f>
        <v/>
      </c>
      <c r="Q16" s="181">
        <f>IFERROR(VLOOKUP(INDEX(INDIRECT($B$1&amp;"!"&amp;ADDRESS(8,COLUMN()+6,4)&amp;":"&amp;ADDRESS(73,COLUMN()+6,4)),MATCH($B16,INDIRECT($B$1&amp;"!$A$8:$A$73"),0)),CONFIG!$A$15:$B$40,2,FALSE)&amp;"","")</f>
        <v/>
      </c>
      <c r="R16" s="181">
        <f>IFERROR(VLOOKUP(INDEX(INDIRECT($B$1&amp;"!"&amp;ADDRESS(8,COLUMN()+6,4)&amp;":"&amp;ADDRESS(73,COLUMN()+6,4)),MATCH($B16,INDIRECT($B$1&amp;"!$A$8:$A$73"),0)),CONFIG!$A$15:$B$40,2,FALSE)&amp;"","")</f>
        <v/>
      </c>
      <c r="S16" s="181">
        <f>IFERROR(VLOOKUP(INDEX(INDIRECT($B$1&amp;"!"&amp;ADDRESS(8,COLUMN()+6,4)&amp;":"&amp;ADDRESS(73,COLUMN()+6,4)),MATCH($B16,INDIRECT($B$1&amp;"!$A$8:$A$73"),0)),CONFIG!$A$15:$B$40,2,FALSE)&amp;"","")</f>
        <v/>
      </c>
      <c r="T16" s="181">
        <f>IFERROR(VLOOKUP(INDEX(INDIRECT($B$1&amp;"!"&amp;ADDRESS(8,COLUMN()+6,4)&amp;":"&amp;ADDRESS(73,COLUMN()+6,4)),MATCH($B16,INDIRECT($B$1&amp;"!$A$8:$A$73"),0)),CONFIG!$A$15:$B$40,2,FALSE)&amp;"","")</f>
        <v/>
      </c>
      <c r="U16" s="181">
        <f>IFERROR(VLOOKUP(INDEX(INDIRECT($B$1&amp;"!"&amp;ADDRESS(8,COLUMN()+6,4)&amp;":"&amp;ADDRESS(73,COLUMN()+6,4)),MATCH($B16,INDIRECT($B$1&amp;"!$A$8:$A$73"),0)),CONFIG!$A$15:$B$40,2,FALSE)&amp;"","")</f>
        <v/>
      </c>
      <c r="V16" s="181">
        <f>IFERROR(VLOOKUP(INDEX(INDIRECT($B$1&amp;"!"&amp;ADDRESS(8,COLUMN()+6,4)&amp;":"&amp;ADDRESS(73,COLUMN()+6,4)),MATCH($B16,INDIRECT($B$1&amp;"!$A$8:$A$73"),0)),CONFIG!$A$15:$B$40,2,FALSE)&amp;"","")</f>
        <v/>
      </c>
      <c r="W16" s="181">
        <f>IFERROR(VLOOKUP(INDEX(INDIRECT($B$1&amp;"!"&amp;ADDRESS(8,COLUMN()+6,4)&amp;":"&amp;ADDRESS(73,COLUMN()+6,4)),MATCH($B16,INDIRECT($B$1&amp;"!$A$8:$A$73"),0)),CONFIG!$A$15:$B$40,2,FALSE)&amp;"","")</f>
        <v/>
      </c>
      <c r="X16" s="181">
        <f>IFERROR(VLOOKUP(INDEX(INDIRECT($B$1&amp;"!"&amp;ADDRESS(8,COLUMN()+6,4)&amp;":"&amp;ADDRESS(73,COLUMN()+6,4)),MATCH($B16,INDIRECT($B$1&amp;"!$A$8:$A$73"),0)),CONFIG!$A$15:$B$40,2,FALSE)&amp;"","")</f>
        <v/>
      </c>
      <c r="Y16" s="181">
        <f>IFERROR(VLOOKUP(INDEX(INDIRECT($B$1&amp;"!"&amp;ADDRESS(8,COLUMN()+6,4)&amp;":"&amp;ADDRESS(73,COLUMN()+6,4)),MATCH($B16,INDIRECT($B$1&amp;"!$A$8:$A$73"),0)),CONFIG!$A$15:$B$40,2,FALSE)&amp;"","")</f>
        <v/>
      </c>
      <c r="Z16" s="181">
        <f>IFERROR(VLOOKUP(INDEX(INDIRECT($B$1&amp;"!"&amp;ADDRESS(8,COLUMN()+6,4)&amp;":"&amp;ADDRESS(73,COLUMN()+6,4)),MATCH($B16,INDIRECT($B$1&amp;"!$A$8:$A$73"),0)),CONFIG!$A$15:$B$40,2,FALSE)&amp;"","")</f>
        <v/>
      </c>
      <c r="AA16" s="181">
        <f>IFERROR(VLOOKUP(INDEX(INDIRECT($B$1&amp;"!"&amp;ADDRESS(8,COLUMN()+6,4)&amp;":"&amp;ADDRESS(73,COLUMN()+6,4)),MATCH($B16,INDIRECT($B$1&amp;"!$A$8:$A$73"),0)),CONFIG!$A$15:$B$40,2,FALSE)&amp;"","")</f>
        <v/>
      </c>
      <c r="AB16" s="181">
        <f>IFERROR(VLOOKUP(INDEX(INDIRECT($B$1&amp;"!"&amp;ADDRESS(8,COLUMN()+6,4)&amp;":"&amp;ADDRESS(73,COLUMN()+6,4)),MATCH($B16,INDIRECT($B$1&amp;"!$A$8:$A$73"),0)),CONFIG!$A$15:$B$40,2,FALSE)&amp;"","")</f>
        <v/>
      </c>
      <c r="AC16" s="181">
        <f>IFERROR(VLOOKUP(INDEX(INDIRECT($B$1&amp;"!"&amp;ADDRESS(8,COLUMN()+6,4)&amp;":"&amp;ADDRESS(73,COLUMN()+6,4)),MATCH($B16,INDIRECT($B$1&amp;"!$A$8:$A$73"),0)),CONFIG!$A$15:$B$40,2,FALSE)&amp;"","")</f>
        <v/>
      </c>
      <c r="AD16" s="181">
        <f>IFERROR(VLOOKUP(INDEX(INDIRECT($B$1&amp;"!"&amp;ADDRESS(8,COLUMN()+6,4)&amp;":"&amp;ADDRESS(73,COLUMN()+6,4)),MATCH($B16,INDIRECT($B$1&amp;"!$A$8:$A$73"),0)),CONFIG!$A$15:$B$40,2,FALSE)&amp;"","")</f>
        <v/>
      </c>
      <c r="AE16" s="181">
        <f>IFERROR(VLOOKUP(INDEX(INDIRECT($B$1&amp;"!"&amp;ADDRESS(8,COLUMN()+6,4)&amp;":"&amp;ADDRESS(73,COLUMN()+6,4)),MATCH($B16,INDIRECT($B$1&amp;"!$A$8:$A$73"),0)),CONFIG!$A$15:$B$40,2,FALSE)&amp;"","")</f>
        <v/>
      </c>
      <c r="AF16" s="181">
        <f>IFERROR(VLOOKUP(INDEX(INDIRECT($B$1&amp;"!"&amp;ADDRESS(8,COLUMN()+6,4)&amp;":"&amp;ADDRESS(73,COLUMN()+6,4)),MATCH($B16,INDIRECT($B$1&amp;"!$A$8:$A$73"),0)),CONFIG!$A$15:$B$40,2,FALSE)&amp;"","")</f>
        <v/>
      </c>
      <c r="AG16" s="181">
        <f>IFERROR(VLOOKUP(INDEX(INDIRECT($B$1&amp;"!"&amp;ADDRESS(8,COLUMN()+6,4)&amp;":"&amp;ADDRESS(73,COLUMN()+6,4)),MATCH($B16,INDIRECT($B$1&amp;"!$A$8:$A$73"),0)),CONFIG!$A$15:$B$40,2,FALSE)&amp;"","")</f>
        <v/>
      </c>
      <c r="AH16" s="181">
        <f>IFERROR(VLOOKUP(INDEX(INDIRECT($B$1&amp;"!"&amp;ADDRESS(8,COLUMN()+6,4)&amp;":"&amp;ADDRESS(73,COLUMN()+6,4)),MATCH($B16,INDIRECT($B$1&amp;"!$A$8:$A$73"),0)),CONFIG!$A$15:$B$40,2,FALSE)&amp;"","")</f>
        <v/>
      </c>
      <c r="AI16" s="39" t="n"/>
    </row>
    <row r="17">
      <c r="A17" s="179" t="inlineStr">
        <is>
          <t>Aline Saliba</t>
        </is>
      </c>
      <c r="B17" s="180" t="inlineStr">
        <is>
          <t>Aline</t>
        </is>
      </c>
      <c r="C17" s="181">
        <f>IFERROR(VLOOKUP(INDEX(INDIRECT($B$1&amp;"!"&amp;ADDRESS(8,COLUMN()+6,4)&amp;":"&amp;ADDRESS(73,COLUMN()+6,4)),MATCH($B17,INDIRECT($B$1&amp;"!$A$8:$A$73"),0)),CONFIG!$A$15:$B$40,2,FALSE)&amp;"","")</f>
        <v/>
      </c>
      <c r="D17" s="181">
        <f>IFERROR(VLOOKUP(INDEX(INDIRECT($B$1&amp;"!"&amp;ADDRESS(8,COLUMN()+6,4)&amp;":"&amp;ADDRESS(73,COLUMN()+6,4)),MATCH($B17,INDIRECT($B$1&amp;"!$A$8:$A$73"),0)),CONFIG!$A$15:$B$40,2,FALSE)&amp;"","")</f>
        <v/>
      </c>
      <c r="E17" s="181">
        <f>IFERROR(VLOOKUP(INDEX(INDIRECT($B$1&amp;"!"&amp;ADDRESS(8,COLUMN()+6,4)&amp;":"&amp;ADDRESS(73,COLUMN()+6,4)),MATCH($B17,INDIRECT($B$1&amp;"!$A$8:$A$73"),0)),CONFIG!$A$15:$B$40,2,FALSE)&amp;"","")</f>
        <v/>
      </c>
      <c r="F17" s="181">
        <f>IFERROR(VLOOKUP(INDEX(INDIRECT($B$1&amp;"!"&amp;ADDRESS(8,COLUMN()+6,4)&amp;":"&amp;ADDRESS(73,COLUMN()+6,4)),MATCH($B17,INDIRECT($B$1&amp;"!$A$8:$A$73"),0)),CONFIG!$A$15:$B$40,2,FALSE)&amp;"","")</f>
        <v/>
      </c>
      <c r="G17" s="181">
        <f>IFERROR(VLOOKUP(INDEX(INDIRECT($B$1&amp;"!"&amp;ADDRESS(8,COLUMN()+6,4)&amp;":"&amp;ADDRESS(73,COLUMN()+6,4)),MATCH($B17,INDIRECT($B$1&amp;"!$A$8:$A$73"),0)),CONFIG!$A$15:$B$40,2,FALSE)&amp;"","")</f>
        <v/>
      </c>
      <c r="H17" s="181">
        <f>IFERROR(VLOOKUP(INDEX(INDIRECT($B$1&amp;"!"&amp;ADDRESS(8,COLUMN()+6,4)&amp;":"&amp;ADDRESS(73,COLUMN()+6,4)),MATCH($B17,INDIRECT($B$1&amp;"!$A$8:$A$73"),0)),CONFIG!$A$15:$B$40,2,FALSE)&amp;"","")</f>
        <v/>
      </c>
      <c r="I17" s="181">
        <f>IFERROR(VLOOKUP(INDEX(INDIRECT($B$1&amp;"!"&amp;ADDRESS(8,COLUMN()+6,4)&amp;":"&amp;ADDRESS(73,COLUMN()+6,4)),MATCH($B17,INDIRECT($B$1&amp;"!$A$8:$A$73"),0)),CONFIG!$A$15:$B$40,2,FALSE)&amp;"","")</f>
        <v/>
      </c>
      <c r="J17" s="181">
        <f>IFERROR(VLOOKUP(INDEX(INDIRECT($B$1&amp;"!"&amp;ADDRESS(8,COLUMN()+6,4)&amp;":"&amp;ADDRESS(73,COLUMN()+6,4)),MATCH($B17,INDIRECT($B$1&amp;"!$A$8:$A$73"),0)),CONFIG!$A$15:$B$40,2,FALSE)&amp;"","")</f>
        <v/>
      </c>
      <c r="K17" s="181">
        <f>IFERROR(VLOOKUP(INDEX(INDIRECT($B$1&amp;"!"&amp;ADDRESS(8,COLUMN()+6,4)&amp;":"&amp;ADDRESS(73,COLUMN()+6,4)),MATCH($B17,INDIRECT($B$1&amp;"!$A$8:$A$73"),0)),CONFIG!$A$15:$B$40,2,FALSE)&amp;"","")</f>
        <v/>
      </c>
      <c r="L17" s="181">
        <f>IFERROR(VLOOKUP(INDEX(INDIRECT($B$1&amp;"!"&amp;ADDRESS(8,COLUMN()+6,4)&amp;":"&amp;ADDRESS(73,COLUMN()+6,4)),MATCH($B17,INDIRECT($B$1&amp;"!$A$8:$A$73"),0)),CONFIG!$A$15:$B$40,2,FALSE)&amp;"","")</f>
        <v/>
      </c>
      <c r="M17" s="181">
        <f>IFERROR(VLOOKUP(INDEX(INDIRECT($B$1&amp;"!"&amp;ADDRESS(8,COLUMN()+6,4)&amp;":"&amp;ADDRESS(73,COLUMN()+6,4)),MATCH($B17,INDIRECT($B$1&amp;"!$A$8:$A$73"),0)),CONFIG!$A$15:$B$40,2,FALSE)&amp;"","")</f>
        <v/>
      </c>
      <c r="N17" s="181">
        <f>IFERROR(VLOOKUP(INDEX(INDIRECT($B$1&amp;"!"&amp;ADDRESS(8,COLUMN()+6,4)&amp;":"&amp;ADDRESS(73,COLUMN()+6,4)),MATCH($B17,INDIRECT($B$1&amp;"!$A$8:$A$73"),0)),CONFIG!$A$15:$B$40,2,FALSE)&amp;"","")</f>
        <v/>
      </c>
      <c r="O17" s="181">
        <f>IFERROR(VLOOKUP(INDEX(INDIRECT($B$1&amp;"!"&amp;ADDRESS(8,COLUMN()+6,4)&amp;":"&amp;ADDRESS(73,COLUMN()+6,4)),MATCH($B17,INDIRECT($B$1&amp;"!$A$8:$A$73"),0)),CONFIG!$A$15:$B$40,2,FALSE)&amp;"","")</f>
        <v/>
      </c>
      <c r="P17" s="181">
        <f>IFERROR(VLOOKUP(INDEX(INDIRECT($B$1&amp;"!"&amp;ADDRESS(8,COLUMN()+6,4)&amp;":"&amp;ADDRESS(73,COLUMN()+6,4)),MATCH($B17,INDIRECT($B$1&amp;"!$A$8:$A$73"),0)),CONFIG!$A$15:$B$40,2,FALSE)&amp;"","")</f>
        <v/>
      </c>
      <c r="Q17" s="181">
        <f>IFERROR(VLOOKUP(INDEX(INDIRECT($B$1&amp;"!"&amp;ADDRESS(8,COLUMN()+6,4)&amp;":"&amp;ADDRESS(73,COLUMN()+6,4)),MATCH($B17,INDIRECT($B$1&amp;"!$A$8:$A$73"),0)),CONFIG!$A$15:$B$40,2,FALSE)&amp;"","")</f>
        <v/>
      </c>
      <c r="R17" s="181">
        <f>IFERROR(VLOOKUP(INDEX(INDIRECT($B$1&amp;"!"&amp;ADDRESS(8,COLUMN()+6,4)&amp;":"&amp;ADDRESS(73,COLUMN()+6,4)),MATCH($B17,INDIRECT($B$1&amp;"!$A$8:$A$73"),0)),CONFIG!$A$15:$B$40,2,FALSE)&amp;"","")</f>
        <v/>
      </c>
      <c r="S17" s="181">
        <f>IFERROR(VLOOKUP(INDEX(INDIRECT($B$1&amp;"!"&amp;ADDRESS(8,COLUMN()+6,4)&amp;":"&amp;ADDRESS(73,COLUMN()+6,4)),MATCH($B17,INDIRECT($B$1&amp;"!$A$8:$A$73"),0)),CONFIG!$A$15:$B$40,2,FALSE)&amp;"","")</f>
        <v/>
      </c>
      <c r="T17" s="181">
        <f>IFERROR(VLOOKUP(INDEX(INDIRECT($B$1&amp;"!"&amp;ADDRESS(8,COLUMN()+6,4)&amp;":"&amp;ADDRESS(73,COLUMN()+6,4)),MATCH($B17,INDIRECT($B$1&amp;"!$A$8:$A$73"),0)),CONFIG!$A$15:$B$40,2,FALSE)&amp;"","")</f>
        <v/>
      </c>
      <c r="U17" s="181">
        <f>IFERROR(VLOOKUP(INDEX(INDIRECT($B$1&amp;"!"&amp;ADDRESS(8,COLUMN()+6,4)&amp;":"&amp;ADDRESS(73,COLUMN()+6,4)),MATCH($B17,INDIRECT($B$1&amp;"!$A$8:$A$73"),0)),CONFIG!$A$15:$B$40,2,FALSE)&amp;"","")</f>
        <v/>
      </c>
      <c r="V17" s="181">
        <f>IFERROR(VLOOKUP(INDEX(INDIRECT($B$1&amp;"!"&amp;ADDRESS(8,COLUMN()+6,4)&amp;":"&amp;ADDRESS(73,COLUMN()+6,4)),MATCH($B17,INDIRECT($B$1&amp;"!$A$8:$A$73"),0)),CONFIG!$A$15:$B$40,2,FALSE)&amp;"","")</f>
        <v/>
      </c>
      <c r="W17" s="181">
        <f>IFERROR(VLOOKUP(INDEX(INDIRECT($B$1&amp;"!"&amp;ADDRESS(8,COLUMN()+6,4)&amp;":"&amp;ADDRESS(73,COLUMN()+6,4)),MATCH($B17,INDIRECT($B$1&amp;"!$A$8:$A$73"),0)),CONFIG!$A$15:$B$40,2,FALSE)&amp;"","")</f>
        <v/>
      </c>
      <c r="X17" s="181">
        <f>IFERROR(VLOOKUP(INDEX(INDIRECT($B$1&amp;"!"&amp;ADDRESS(8,COLUMN()+6,4)&amp;":"&amp;ADDRESS(73,COLUMN()+6,4)),MATCH($B17,INDIRECT($B$1&amp;"!$A$8:$A$73"),0)),CONFIG!$A$15:$B$40,2,FALSE)&amp;"","")</f>
        <v/>
      </c>
      <c r="Y17" s="181">
        <f>IFERROR(VLOOKUP(INDEX(INDIRECT($B$1&amp;"!"&amp;ADDRESS(8,COLUMN()+6,4)&amp;":"&amp;ADDRESS(73,COLUMN()+6,4)),MATCH($B17,INDIRECT($B$1&amp;"!$A$8:$A$73"),0)),CONFIG!$A$15:$B$40,2,FALSE)&amp;"","")</f>
        <v/>
      </c>
      <c r="Z17" s="181">
        <f>IFERROR(VLOOKUP(INDEX(INDIRECT($B$1&amp;"!"&amp;ADDRESS(8,COLUMN()+6,4)&amp;":"&amp;ADDRESS(73,COLUMN()+6,4)),MATCH($B17,INDIRECT($B$1&amp;"!$A$8:$A$73"),0)),CONFIG!$A$15:$B$40,2,FALSE)&amp;"","")</f>
        <v/>
      </c>
      <c r="AA17" s="181">
        <f>IFERROR(VLOOKUP(INDEX(INDIRECT($B$1&amp;"!"&amp;ADDRESS(8,COLUMN()+6,4)&amp;":"&amp;ADDRESS(73,COLUMN()+6,4)),MATCH($B17,INDIRECT($B$1&amp;"!$A$8:$A$73"),0)),CONFIG!$A$15:$B$40,2,FALSE)&amp;"","")</f>
        <v/>
      </c>
      <c r="AB17" s="181">
        <f>IFERROR(VLOOKUP(INDEX(INDIRECT($B$1&amp;"!"&amp;ADDRESS(8,COLUMN()+6,4)&amp;":"&amp;ADDRESS(73,COLUMN()+6,4)),MATCH($B17,INDIRECT($B$1&amp;"!$A$8:$A$73"),0)),CONFIG!$A$15:$B$40,2,FALSE)&amp;"","")</f>
        <v/>
      </c>
      <c r="AC17" s="181">
        <f>IFERROR(VLOOKUP(INDEX(INDIRECT($B$1&amp;"!"&amp;ADDRESS(8,COLUMN()+6,4)&amp;":"&amp;ADDRESS(73,COLUMN()+6,4)),MATCH($B17,INDIRECT($B$1&amp;"!$A$8:$A$73"),0)),CONFIG!$A$15:$B$40,2,FALSE)&amp;"","")</f>
        <v/>
      </c>
      <c r="AD17" s="181">
        <f>IFERROR(VLOOKUP(INDEX(INDIRECT($B$1&amp;"!"&amp;ADDRESS(8,COLUMN()+6,4)&amp;":"&amp;ADDRESS(73,COLUMN()+6,4)),MATCH($B17,INDIRECT($B$1&amp;"!$A$8:$A$73"),0)),CONFIG!$A$15:$B$40,2,FALSE)&amp;"","")</f>
        <v/>
      </c>
      <c r="AE17" s="181">
        <f>IFERROR(VLOOKUP(INDEX(INDIRECT($B$1&amp;"!"&amp;ADDRESS(8,COLUMN()+6,4)&amp;":"&amp;ADDRESS(73,COLUMN()+6,4)),MATCH($B17,INDIRECT($B$1&amp;"!$A$8:$A$73"),0)),CONFIG!$A$15:$B$40,2,FALSE)&amp;"","")</f>
        <v/>
      </c>
      <c r="AF17" s="181">
        <f>IFERROR(VLOOKUP(INDEX(INDIRECT($B$1&amp;"!"&amp;ADDRESS(8,COLUMN()+6,4)&amp;":"&amp;ADDRESS(73,COLUMN()+6,4)),MATCH($B17,INDIRECT($B$1&amp;"!$A$8:$A$73"),0)),CONFIG!$A$15:$B$40,2,FALSE)&amp;"","")</f>
        <v/>
      </c>
      <c r="AG17" s="181">
        <f>IFERROR(VLOOKUP(INDEX(INDIRECT($B$1&amp;"!"&amp;ADDRESS(8,COLUMN()+6,4)&amp;":"&amp;ADDRESS(73,COLUMN()+6,4)),MATCH($B17,INDIRECT($B$1&amp;"!$A$8:$A$73"),0)),CONFIG!$A$15:$B$40,2,FALSE)&amp;"","")</f>
        <v/>
      </c>
      <c r="AH17" s="181">
        <f>IFERROR(VLOOKUP(INDEX(INDIRECT($B$1&amp;"!"&amp;ADDRESS(8,COLUMN()+6,4)&amp;":"&amp;ADDRESS(73,COLUMN()+6,4)),MATCH($B17,INDIRECT($B$1&amp;"!$A$8:$A$73"),0)),CONFIG!$A$15:$B$40,2,FALSE)&amp;"","")</f>
        <v/>
      </c>
      <c r="AI17" s="39" t="n"/>
    </row>
    <row r="18">
      <c r="A18" s="179" t="inlineStr">
        <is>
          <t>Camila Abreu</t>
        </is>
      </c>
      <c r="B18" s="180" t="inlineStr">
        <is>
          <t>CaAbreu</t>
        </is>
      </c>
      <c r="C18" s="181">
        <f>IFERROR(VLOOKUP(INDEX(INDIRECT($B$1&amp;"!"&amp;ADDRESS(8,COLUMN()+6,4)&amp;":"&amp;ADDRESS(73,COLUMN()+6,4)),MATCH($B18,INDIRECT($B$1&amp;"!$A$8:$A$73"),0)),CONFIG!$A$15:$B$40,2,FALSE)&amp;"","")</f>
        <v/>
      </c>
      <c r="D18" s="181">
        <f>IFERROR(VLOOKUP(INDEX(INDIRECT($B$1&amp;"!"&amp;ADDRESS(8,COLUMN()+6,4)&amp;":"&amp;ADDRESS(73,COLUMN()+6,4)),MATCH($B18,INDIRECT($B$1&amp;"!$A$8:$A$73"),0)),CONFIG!$A$15:$B$40,2,FALSE)&amp;"","")</f>
        <v/>
      </c>
      <c r="E18" s="181">
        <f>IFERROR(VLOOKUP(INDEX(INDIRECT($B$1&amp;"!"&amp;ADDRESS(8,COLUMN()+6,4)&amp;":"&amp;ADDRESS(73,COLUMN()+6,4)),MATCH($B18,INDIRECT($B$1&amp;"!$A$8:$A$73"),0)),CONFIG!$A$15:$B$40,2,FALSE)&amp;"","")</f>
        <v/>
      </c>
      <c r="F18" s="181">
        <f>IFERROR(VLOOKUP(INDEX(INDIRECT($B$1&amp;"!"&amp;ADDRESS(8,COLUMN()+6,4)&amp;":"&amp;ADDRESS(73,COLUMN()+6,4)),MATCH($B18,INDIRECT($B$1&amp;"!$A$8:$A$73"),0)),CONFIG!$A$15:$B$40,2,FALSE)&amp;"","")</f>
        <v/>
      </c>
      <c r="G18" s="181">
        <f>IFERROR(VLOOKUP(INDEX(INDIRECT($B$1&amp;"!"&amp;ADDRESS(8,COLUMN()+6,4)&amp;":"&amp;ADDRESS(73,COLUMN()+6,4)),MATCH($B18,INDIRECT($B$1&amp;"!$A$8:$A$73"),0)),CONFIG!$A$15:$B$40,2,FALSE)&amp;"","")</f>
        <v/>
      </c>
      <c r="H18" s="181">
        <f>IFERROR(VLOOKUP(INDEX(INDIRECT($B$1&amp;"!"&amp;ADDRESS(8,COLUMN()+6,4)&amp;":"&amp;ADDRESS(73,COLUMN()+6,4)),MATCH($B18,INDIRECT($B$1&amp;"!$A$8:$A$73"),0)),CONFIG!$A$15:$B$40,2,FALSE)&amp;"","")</f>
        <v/>
      </c>
      <c r="I18" s="181">
        <f>IFERROR(VLOOKUP(INDEX(INDIRECT($B$1&amp;"!"&amp;ADDRESS(8,COLUMN()+6,4)&amp;":"&amp;ADDRESS(73,COLUMN()+6,4)),MATCH($B18,INDIRECT($B$1&amp;"!$A$8:$A$73"),0)),CONFIG!$A$15:$B$40,2,FALSE)&amp;"","")</f>
        <v/>
      </c>
      <c r="J18" s="181">
        <f>IFERROR(VLOOKUP(INDEX(INDIRECT($B$1&amp;"!"&amp;ADDRESS(8,COLUMN()+6,4)&amp;":"&amp;ADDRESS(73,COLUMN()+6,4)),MATCH($B18,INDIRECT($B$1&amp;"!$A$8:$A$73"),0)),CONFIG!$A$15:$B$40,2,FALSE)&amp;"","")</f>
        <v/>
      </c>
      <c r="K18" s="181">
        <f>IFERROR(VLOOKUP(INDEX(INDIRECT($B$1&amp;"!"&amp;ADDRESS(8,COLUMN()+6,4)&amp;":"&amp;ADDRESS(73,COLUMN()+6,4)),MATCH($B18,INDIRECT($B$1&amp;"!$A$8:$A$73"),0)),CONFIG!$A$15:$B$40,2,FALSE)&amp;"","")</f>
        <v/>
      </c>
      <c r="L18" s="181">
        <f>IFERROR(VLOOKUP(INDEX(INDIRECT($B$1&amp;"!"&amp;ADDRESS(8,COLUMN()+6,4)&amp;":"&amp;ADDRESS(73,COLUMN()+6,4)),MATCH($B18,INDIRECT($B$1&amp;"!$A$8:$A$73"),0)),CONFIG!$A$15:$B$40,2,FALSE)&amp;"","")</f>
        <v/>
      </c>
      <c r="M18" s="181">
        <f>IFERROR(VLOOKUP(INDEX(INDIRECT($B$1&amp;"!"&amp;ADDRESS(8,COLUMN()+6,4)&amp;":"&amp;ADDRESS(73,COLUMN()+6,4)),MATCH($B18,INDIRECT($B$1&amp;"!$A$8:$A$73"),0)),CONFIG!$A$15:$B$40,2,FALSE)&amp;"","")</f>
        <v/>
      </c>
      <c r="N18" s="181">
        <f>IFERROR(VLOOKUP(INDEX(INDIRECT($B$1&amp;"!"&amp;ADDRESS(8,COLUMN()+6,4)&amp;":"&amp;ADDRESS(73,COLUMN()+6,4)),MATCH($B18,INDIRECT($B$1&amp;"!$A$8:$A$73"),0)),CONFIG!$A$15:$B$40,2,FALSE)&amp;"","")</f>
        <v/>
      </c>
      <c r="O18" s="181">
        <f>IFERROR(VLOOKUP(INDEX(INDIRECT($B$1&amp;"!"&amp;ADDRESS(8,COLUMN()+6,4)&amp;":"&amp;ADDRESS(73,COLUMN()+6,4)),MATCH($B18,INDIRECT($B$1&amp;"!$A$8:$A$73"),0)),CONFIG!$A$15:$B$40,2,FALSE)&amp;"","")</f>
        <v/>
      </c>
      <c r="P18" s="181">
        <f>IFERROR(VLOOKUP(INDEX(INDIRECT($B$1&amp;"!"&amp;ADDRESS(8,COLUMN()+6,4)&amp;":"&amp;ADDRESS(73,COLUMN()+6,4)),MATCH($B18,INDIRECT($B$1&amp;"!$A$8:$A$73"),0)),CONFIG!$A$15:$B$40,2,FALSE)&amp;"","")</f>
        <v/>
      </c>
      <c r="Q18" s="181">
        <f>IFERROR(VLOOKUP(INDEX(INDIRECT($B$1&amp;"!"&amp;ADDRESS(8,COLUMN()+6,4)&amp;":"&amp;ADDRESS(73,COLUMN()+6,4)),MATCH($B18,INDIRECT($B$1&amp;"!$A$8:$A$73"),0)),CONFIG!$A$15:$B$40,2,FALSE)&amp;"","")</f>
        <v/>
      </c>
      <c r="R18" s="181">
        <f>IFERROR(VLOOKUP(INDEX(INDIRECT($B$1&amp;"!"&amp;ADDRESS(8,COLUMN()+6,4)&amp;":"&amp;ADDRESS(73,COLUMN()+6,4)),MATCH($B18,INDIRECT($B$1&amp;"!$A$8:$A$73"),0)),CONFIG!$A$15:$B$40,2,FALSE)&amp;"","")</f>
        <v/>
      </c>
      <c r="S18" s="181">
        <f>IFERROR(VLOOKUP(INDEX(INDIRECT($B$1&amp;"!"&amp;ADDRESS(8,COLUMN()+6,4)&amp;":"&amp;ADDRESS(73,COLUMN()+6,4)),MATCH($B18,INDIRECT($B$1&amp;"!$A$8:$A$73"),0)),CONFIG!$A$15:$B$40,2,FALSE)&amp;"","")</f>
        <v/>
      </c>
      <c r="T18" s="181">
        <f>IFERROR(VLOOKUP(INDEX(INDIRECT($B$1&amp;"!"&amp;ADDRESS(8,COLUMN()+6,4)&amp;":"&amp;ADDRESS(73,COLUMN()+6,4)),MATCH($B18,INDIRECT($B$1&amp;"!$A$8:$A$73"),0)),CONFIG!$A$15:$B$40,2,FALSE)&amp;"","")</f>
        <v/>
      </c>
      <c r="U18" s="181">
        <f>IFERROR(VLOOKUP(INDEX(INDIRECT($B$1&amp;"!"&amp;ADDRESS(8,COLUMN()+6,4)&amp;":"&amp;ADDRESS(73,COLUMN()+6,4)),MATCH($B18,INDIRECT($B$1&amp;"!$A$8:$A$73"),0)),CONFIG!$A$15:$B$40,2,FALSE)&amp;"","")</f>
        <v/>
      </c>
      <c r="V18" s="181">
        <f>IFERROR(VLOOKUP(INDEX(INDIRECT($B$1&amp;"!"&amp;ADDRESS(8,COLUMN()+6,4)&amp;":"&amp;ADDRESS(73,COLUMN()+6,4)),MATCH($B18,INDIRECT($B$1&amp;"!$A$8:$A$73"),0)),CONFIG!$A$15:$B$40,2,FALSE)&amp;"","")</f>
        <v/>
      </c>
      <c r="W18" s="181">
        <f>IFERROR(VLOOKUP(INDEX(INDIRECT($B$1&amp;"!"&amp;ADDRESS(8,COLUMN()+6,4)&amp;":"&amp;ADDRESS(73,COLUMN()+6,4)),MATCH($B18,INDIRECT($B$1&amp;"!$A$8:$A$73"),0)),CONFIG!$A$15:$B$40,2,FALSE)&amp;"","")</f>
        <v/>
      </c>
      <c r="X18" s="181">
        <f>IFERROR(VLOOKUP(INDEX(INDIRECT($B$1&amp;"!"&amp;ADDRESS(8,COLUMN()+6,4)&amp;":"&amp;ADDRESS(73,COLUMN()+6,4)),MATCH($B18,INDIRECT($B$1&amp;"!$A$8:$A$73"),0)),CONFIG!$A$15:$B$40,2,FALSE)&amp;"","")</f>
        <v/>
      </c>
      <c r="Y18" s="181">
        <f>IFERROR(VLOOKUP(INDEX(INDIRECT($B$1&amp;"!"&amp;ADDRESS(8,COLUMN()+6,4)&amp;":"&amp;ADDRESS(73,COLUMN()+6,4)),MATCH($B18,INDIRECT($B$1&amp;"!$A$8:$A$73"),0)),CONFIG!$A$15:$B$40,2,FALSE)&amp;"","")</f>
        <v/>
      </c>
      <c r="Z18" s="181">
        <f>IFERROR(VLOOKUP(INDEX(INDIRECT($B$1&amp;"!"&amp;ADDRESS(8,COLUMN()+6,4)&amp;":"&amp;ADDRESS(73,COLUMN()+6,4)),MATCH($B18,INDIRECT($B$1&amp;"!$A$8:$A$73"),0)),CONFIG!$A$15:$B$40,2,FALSE)&amp;"","")</f>
        <v/>
      </c>
      <c r="AA18" s="181">
        <f>IFERROR(VLOOKUP(INDEX(INDIRECT($B$1&amp;"!"&amp;ADDRESS(8,COLUMN()+6,4)&amp;":"&amp;ADDRESS(73,COLUMN()+6,4)),MATCH($B18,INDIRECT($B$1&amp;"!$A$8:$A$73"),0)),CONFIG!$A$15:$B$40,2,FALSE)&amp;"","")</f>
        <v/>
      </c>
      <c r="AB18" s="181">
        <f>IFERROR(VLOOKUP(INDEX(INDIRECT($B$1&amp;"!"&amp;ADDRESS(8,COLUMN()+6,4)&amp;":"&amp;ADDRESS(73,COLUMN()+6,4)),MATCH($B18,INDIRECT($B$1&amp;"!$A$8:$A$73"),0)),CONFIG!$A$15:$B$40,2,FALSE)&amp;"","")</f>
        <v/>
      </c>
      <c r="AC18" s="181">
        <f>IFERROR(VLOOKUP(INDEX(INDIRECT($B$1&amp;"!"&amp;ADDRESS(8,COLUMN()+6,4)&amp;":"&amp;ADDRESS(73,COLUMN()+6,4)),MATCH($B18,INDIRECT($B$1&amp;"!$A$8:$A$73"),0)),CONFIG!$A$15:$B$40,2,FALSE)&amp;"","")</f>
        <v/>
      </c>
      <c r="AD18" s="181">
        <f>IFERROR(VLOOKUP(INDEX(INDIRECT($B$1&amp;"!"&amp;ADDRESS(8,COLUMN()+6,4)&amp;":"&amp;ADDRESS(73,COLUMN()+6,4)),MATCH($B18,INDIRECT($B$1&amp;"!$A$8:$A$73"),0)),CONFIG!$A$15:$B$40,2,FALSE)&amp;"","")</f>
        <v/>
      </c>
      <c r="AE18" s="181">
        <f>IFERROR(VLOOKUP(INDEX(INDIRECT($B$1&amp;"!"&amp;ADDRESS(8,COLUMN()+6,4)&amp;":"&amp;ADDRESS(73,COLUMN()+6,4)),MATCH($B18,INDIRECT($B$1&amp;"!$A$8:$A$73"),0)),CONFIG!$A$15:$B$40,2,FALSE)&amp;"","")</f>
        <v/>
      </c>
      <c r="AF18" s="181">
        <f>IFERROR(VLOOKUP(INDEX(INDIRECT($B$1&amp;"!"&amp;ADDRESS(8,COLUMN()+6,4)&amp;":"&amp;ADDRESS(73,COLUMN()+6,4)),MATCH($B18,INDIRECT($B$1&amp;"!$A$8:$A$73"),0)),CONFIG!$A$15:$B$40,2,FALSE)&amp;"","")</f>
        <v/>
      </c>
      <c r="AG18" s="181">
        <f>IFERROR(VLOOKUP(INDEX(INDIRECT($B$1&amp;"!"&amp;ADDRESS(8,COLUMN()+6,4)&amp;":"&amp;ADDRESS(73,COLUMN()+6,4)),MATCH($B18,INDIRECT($B$1&amp;"!$A$8:$A$73"),0)),CONFIG!$A$15:$B$40,2,FALSE)&amp;"","")</f>
        <v/>
      </c>
      <c r="AH18" s="181">
        <f>IFERROR(VLOOKUP(INDEX(INDIRECT($B$1&amp;"!"&amp;ADDRESS(8,COLUMN()+6,4)&amp;":"&amp;ADDRESS(73,COLUMN()+6,4)),MATCH($B18,INDIRECT($B$1&amp;"!$A$8:$A$73"),0)),CONFIG!$A$15:$B$40,2,FALSE)&amp;"","")</f>
        <v/>
      </c>
      <c r="AI18" s="39" t="n"/>
    </row>
    <row r="19">
      <c r="A19" s="179" t="inlineStr">
        <is>
          <t>Danielle Tanajura</t>
        </is>
      </c>
      <c r="B19" s="180" t="inlineStr">
        <is>
          <t>Danielle</t>
        </is>
      </c>
      <c r="C19" s="181">
        <f>IFERROR(VLOOKUP(INDEX(INDIRECT($B$1&amp;"!"&amp;ADDRESS(8,COLUMN()+6,4)&amp;":"&amp;ADDRESS(73,COLUMN()+6,4)),MATCH($B19,INDIRECT($B$1&amp;"!$A$8:$A$73"),0)),CONFIG!$A$15:$B$40,2,FALSE)&amp;"","")</f>
        <v/>
      </c>
      <c r="D19" s="181">
        <f>IFERROR(VLOOKUP(INDEX(INDIRECT($B$1&amp;"!"&amp;ADDRESS(8,COLUMN()+6,4)&amp;":"&amp;ADDRESS(73,COLUMN()+6,4)),MATCH($B19,INDIRECT($B$1&amp;"!$A$8:$A$73"),0)),CONFIG!$A$15:$B$40,2,FALSE)&amp;"","")</f>
        <v/>
      </c>
      <c r="E19" s="181">
        <f>IFERROR(VLOOKUP(INDEX(INDIRECT($B$1&amp;"!"&amp;ADDRESS(8,COLUMN()+6,4)&amp;":"&amp;ADDRESS(73,COLUMN()+6,4)),MATCH($B19,INDIRECT($B$1&amp;"!$A$8:$A$73"),0)),CONFIG!$A$15:$B$40,2,FALSE)&amp;"","")</f>
        <v/>
      </c>
      <c r="F19" s="181">
        <f>IFERROR(VLOOKUP(INDEX(INDIRECT($B$1&amp;"!"&amp;ADDRESS(8,COLUMN()+6,4)&amp;":"&amp;ADDRESS(73,COLUMN()+6,4)),MATCH($B19,INDIRECT($B$1&amp;"!$A$8:$A$73"),0)),CONFIG!$A$15:$B$40,2,FALSE)&amp;"","")</f>
        <v/>
      </c>
      <c r="G19" s="181">
        <f>IFERROR(VLOOKUP(INDEX(INDIRECT($B$1&amp;"!"&amp;ADDRESS(8,COLUMN()+6,4)&amp;":"&amp;ADDRESS(73,COLUMN()+6,4)),MATCH($B19,INDIRECT($B$1&amp;"!$A$8:$A$73"),0)),CONFIG!$A$15:$B$40,2,FALSE)&amp;"","")</f>
        <v/>
      </c>
      <c r="H19" s="181">
        <f>IFERROR(VLOOKUP(INDEX(INDIRECT($B$1&amp;"!"&amp;ADDRESS(8,COLUMN()+6,4)&amp;":"&amp;ADDRESS(73,COLUMN()+6,4)),MATCH($B19,INDIRECT($B$1&amp;"!$A$8:$A$73"),0)),CONFIG!$A$15:$B$40,2,FALSE)&amp;"","")</f>
        <v/>
      </c>
      <c r="I19" s="181">
        <f>IFERROR(VLOOKUP(INDEX(INDIRECT($B$1&amp;"!"&amp;ADDRESS(8,COLUMN()+6,4)&amp;":"&amp;ADDRESS(73,COLUMN()+6,4)),MATCH($B19,INDIRECT($B$1&amp;"!$A$8:$A$73"),0)),CONFIG!$A$15:$B$40,2,FALSE)&amp;"","")</f>
        <v/>
      </c>
      <c r="J19" s="181">
        <f>IFERROR(VLOOKUP(INDEX(INDIRECT($B$1&amp;"!"&amp;ADDRESS(8,COLUMN()+6,4)&amp;":"&amp;ADDRESS(73,COLUMN()+6,4)),MATCH($B19,INDIRECT($B$1&amp;"!$A$8:$A$73"),0)),CONFIG!$A$15:$B$40,2,FALSE)&amp;"","")</f>
        <v/>
      </c>
      <c r="K19" s="181">
        <f>IFERROR(VLOOKUP(INDEX(INDIRECT($B$1&amp;"!"&amp;ADDRESS(8,COLUMN()+6,4)&amp;":"&amp;ADDRESS(73,COLUMN()+6,4)),MATCH($B19,INDIRECT($B$1&amp;"!$A$8:$A$73"),0)),CONFIG!$A$15:$B$40,2,FALSE)&amp;"","")</f>
        <v/>
      </c>
      <c r="L19" s="181">
        <f>IFERROR(VLOOKUP(INDEX(INDIRECT($B$1&amp;"!"&amp;ADDRESS(8,COLUMN()+6,4)&amp;":"&amp;ADDRESS(73,COLUMN()+6,4)),MATCH($B19,INDIRECT($B$1&amp;"!$A$8:$A$73"),0)),CONFIG!$A$15:$B$40,2,FALSE)&amp;"","")</f>
        <v/>
      </c>
      <c r="M19" s="181">
        <f>IFERROR(VLOOKUP(INDEX(INDIRECT($B$1&amp;"!"&amp;ADDRESS(8,COLUMN()+6,4)&amp;":"&amp;ADDRESS(73,COLUMN()+6,4)),MATCH($B19,INDIRECT($B$1&amp;"!$A$8:$A$73"),0)),CONFIG!$A$15:$B$40,2,FALSE)&amp;"","")</f>
        <v/>
      </c>
      <c r="N19" s="181">
        <f>IFERROR(VLOOKUP(INDEX(INDIRECT($B$1&amp;"!"&amp;ADDRESS(8,COLUMN()+6,4)&amp;":"&amp;ADDRESS(73,COLUMN()+6,4)),MATCH($B19,INDIRECT($B$1&amp;"!$A$8:$A$73"),0)),CONFIG!$A$15:$B$40,2,FALSE)&amp;"","")</f>
        <v/>
      </c>
      <c r="O19" s="181">
        <f>IFERROR(VLOOKUP(INDEX(INDIRECT($B$1&amp;"!"&amp;ADDRESS(8,COLUMN()+6,4)&amp;":"&amp;ADDRESS(73,COLUMN()+6,4)),MATCH($B19,INDIRECT($B$1&amp;"!$A$8:$A$73"),0)),CONFIG!$A$15:$B$40,2,FALSE)&amp;"","")</f>
        <v/>
      </c>
      <c r="P19" s="181">
        <f>IFERROR(VLOOKUP(INDEX(INDIRECT($B$1&amp;"!"&amp;ADDRESS(8,COLUMN()+6,4)&amp;":"&amp;ADDRESS(73,COLUMN()+6,4)),MATCH($B19,INDIRECT($B$1&amp;"!$A$8:$A$73"),0)),CONFIG!$A$15:$B$40,2,FALSE)&amp;"","")</f>
        <v/>
      </c>
      <c r="Q19" s="181">
        <f>IFERROR(VLOOKUP(INDEX(INDIRECT($B$1&amp;"!"&amp;ADDRESS(8,COLUMN()+6,4)&amp;":"&amp;ADDRESS(73,COLUMN()+6,4)),MATCH($B19,INDIRECT($B$1&amp;"!$A$8:$A$73"),0)),CONFIG!$A$15:$B$40,2,FALSE)&amp;"","")</f>
        <v/>
      </c>
      <c r="R19" s="181">
        <f>IFERROR(VLOOKUP(INDEX(INDIRECT($B$1&amp;"!"&amp;ADDRESS(8,COLUMN()+6,4)&amp;":"&amp;ADDRESS(73,COLUMN()+6,4)),MATCH($B19,INDIRECT($B$1&amp;"!$A$8:$A$73"),0)),CONFIG!$A$15:$B$40,2,FALSE)&amp;"","")</f>
        <v/>
      </c>
      <c r="S19" s="181">
        <f>IFERROR(VLOOKUP(INDEX(INDIRECT($B$1&amp;"!"&amp;ADDRESS(8,COLUMN()+6,4)&amp;":"&amp;ADDRESS(73,COLUMN()+6,4)),MATCH($B19,INDIRECT($B$1&amp;"!$A$8:$A$73"),0)),CONFIG!$A$15:$B$40,2,FALSE)&amp;"","")</f>
        <v/>
      </c>
      <c r="T19" s="181">
        <f>IFERROR(VLOOKUP(INDEX(INDIRECT($B$1&amp;"!"&amp;ADDRESS(8,COLUMN()+6,4)&amp;":"&amp;ADDRESS(73,COLUMN()+6,4)),MATCH($B19,INDIRECT($B$1&amp;"!$A$8:$A$73"),0)),CONFIG!$A$15:$B$40,2,FALSE)&amp;"","")</f>
        <v/>
      </c>
      <c r="U19" s="181">
        <f>IFERROR(VLOOKUP(INDEX(INDIRECT($B$1&amp;"!"&amp;ADDRESS(8,COLUMN()+6,4)&amp;":"&amp;ADDRESS(73,COLUMN()+6,4)),MATCH($B19,INDIRECT($B$1&amp;"!$A$8:$A$73"),0)),CONFIG!$A$15:$B$40,2,FALSE)&amp;"","")</f>
        <v/>
      </c>
      <c r="V19" s="181">
        <f>IFERROR(VLOOKUP(INDEX(INDIRECT($B$1&amp;"!"&amp;ADDRESS(8,COLUMN()+6,4)&amp;":"&amp;ADDRESS(73,COLUMN()+6,4)),MATCH($B19,INDIRECT($B$1&amp;"!$A$8:$A$73"),0)),CONFIG!$A$15:$B$40,2,FALSE)&amp;"","")</f>
        <v/>
      </c>
      <c r="W19" s="181">
        <f>IFERROR(VLOOKUP(INDEX(INDIRECT($B$1&amp;"!"&amp;ADDRESS(8,COLUMN()+6,4)&amp;":"&amp;ADDRESS(73,COLUMN()+6,4)),MATCH($B19,INDIRECT($B$1&amp;"!$A$8:$A$73"),0)),CONFIG!$A$15:$B$40,2,FALSE)&amp;"","")</f>
        <v/>
      </c>
      <c r="X19" s="181">
        <f>IFERROR(VLOOKUP(INDEX(INDIRECT($B$1&amp;"!"&amp;ADDRESS(8,COLUMN()+6,4)&amp;":"&amp;ADDRESS(73,COLUMN()+6,4)),MATCH($B19,INDIRECT($B$1&amp;"!$A$8:$A$73"),0)),CONFIG!$A$15:$B$40,2,FALSE)&amp;"","")</f>
        <v/>
      </c>
      <c r="Y19" s="181">
        <f>IFERROR(VLOOKUP(INDEX(INDIRECT($B$1&amp;"!"&amp;ADDRESS(8,COLUMN()+6,4)&amp;":"&amp;ADDRESS(73,COLUMN()+6,4)),MATCH($B19,INDIRECT($B$1&amp;"!$A$8:$A$73"),0)),CONFIG!$A$15:$B$40,2,FALSE)&amp;"","")</f>
        <v/>
      </c>
      <c r="Z19" s="181">
        <f>IFERROR(VLOOKUP(INDEX(INDIRECT($B$1&amp;"!"&amp;ADDRESS(8,COLUMN()+6,4)&amp;":"&amp;ADDRESS(73,COLUMN()+6,4)),MATCH($B19,INDIRECT($B$1&amp;"!$A$8:$A$73"),0)),CONFIG!$A$15:$B$40,2,FALSE)&amp;"","")</f>
        <v/>
      </c>
      <c r="AA19" s="181">
        <f>IFERROR(VLOOKUP(INDEX(INDIRECT($B$1&amp;"!"&amp;ADDRESS(8,COLUMN()+6,4)&amp;":"&amp;ADDRESS(73,COLUMN()+6,4)),MATCH($B19,INDIRECT($B$1&amp;"!$A$8:$A$73"),0)),CONFIG!$A$15:$B$40,2,FALSE)&amp;"","")</f>
        <v/>
      </c>
      <c r="AB19" s="181">
        <f>IFERROR(VLOOKUP(INDEX(INDIRECT($B$1&amp;"!"&amp;ADDRESS(8,COLUMN()+6,4)&amp;":"&amp;ADDRESS(73,COLUMN()+6,4)),MATCH($B19,INDIRECT($B$1&amp;"!$A$8:$A$73"),0)),CONFIG!$A$15:$B$40,2,FALSE)&amp;"","")</f>
        <v/>
      </c>
      <c r="AC19" s="181">
        <f>IFERROR(VLOOKUP(INDEX(INDIRECT($B$1&amp;"!"&amp;ADDRESS(8,COLUMN()+6,4)&amp;":"&amp;ADDRESS(73,COLUMN()+6,4)),MATCH($B19,INDIRECT($B$1&amp;"!$A$8:$A$73"),0)),CONFIG!$A$15:$B$40,2,FALSE)&amp;"","")</f>
        <v/>
      </c>
      <c r="AD19" s="181">
        <f>IFERROR(VLOOKUP(INDEX(INDIRECT($B$1&amp;"!"&amp;ADDRESS(8,COLUMN()+6,4)&amp;":"&amp;ADDRESS(73,COLUMN()+6,4)),MATCH($B19,INDIRECT($B$1&amp;"!$A$8:$A$73"),0)),CONFIG!$A$15:$B$40,2,FALSE)&amp;"","")</f>
        <v/>
      </c>
      <c r="AE19" s="181">
        <f>IFERROR(VLOOKUP(INDEX(INDIRECT($B$1&amp;"!"&amp;ADDRESS(8,COLUMN()+6,4)&amp;":"&amp;ADDRESS(73,COLUMN()+6,4)),MATCH($B19,INDIRECT($B$1&amp;"!$A$8:$A$73"),0)),CONFIG!$A$15:$B$40,2,FALSE)&amp;"","")</f>
        <v/>
      </c>
      <c r="AF19" s="181">
        <f>IFERROR(VLOOKUP(INDEX(INDIRECT($B$1&amp;"!"&amp;ADDRESS(8,COLUMN()+6,4)&amp;":"&amp;ADDRESS(73,COLUMN()+6,4)),MATCH($B19,INDIRECT($B$1&amp;"!$A$8:$A$73"),0)),CONFIG!$A$15:$B$40,2,FALSE)&amp;"","")</f>
        <v/>
      </c>
      <c r="AG19" s="181">
        <f>IFERROR(VLOOKUP(INDEX(INDIRECT($B$1&amp;"!"&amp;ADDRESS(8,COLUMN()+6,4)&amp;":"&amp;ADDRESS(73,COLUMN()+6,4)),MATCH($B19,INDIRECT($B$1&amp;"!$A$8:$A$73"),0)),CONFIG!$A$15:$B$40,2,FALSE)&amp;"","")</f>
        <v/>
      </c>
      <c r="AH19" s="181">
        <f>IFERROR(VLOOKUP(INDEX(INDIRECT($B$1&amp;"!"&amp;ADDRESS(8,COLUMN()+6,4)&amp;":"&amp;ADDRESS(73,COLUMN()+6,4)),MATCH($B19,INDIRECT($B$1&amp;"!$A$8:$A$73"),0)),CONFIG!$A$15:$B$40,2,FALSE)&amp;"","")</f>
        <v/>
      </c>
      <c r="AI19" s="39" t="n"/>
    </row>
    <row r="20">
      <c r="A20" s="179" t="inlineStr">
        <is>
          <t>Fabiula Czameski</t>
        </is>
      </c>
      <c r="B20" s="180" t="inlineStr">
        <is>
          <t>Fabiula</t>
        </is>
      </c>
      <c r="C20" s="181">
        <f>IFERROR(VLOOKUP(INDEX(INDIRECT($B$1&amp;"!"&amp;ADDRESS(8,COLUMN()+6,4)&amp;":"&amp;ADDRESS(73,COLUMN()+6,4)),MATCH($B20,INDIRECT($B$1&amp;"!$A$8:$A$73"),0)),CONFIG!$A$15:$B$40,2,FALSE)&amp;"","")</f>
        <v/>
      </c>
      <c r="D20" s="181">
        <f>IFERROR(VLOOKUP(INDEX(INDIRECT($B$1&amp;"!"&amp;ADDRESS(8,COLUMN()+6,4)&amp;":"&amp;ADDRESS(73,COLUMN()+6,4)),MATCH($B20,INDIRECT($B$1&amp;"!$A$8:$A$73"),0)),CONFIG!$A$15:$B$40,2,FALSE)&amp;"","")</f>
        <v/>
      </c>
      <c r="E20" s="181">
        <f>IFERROR(VLOOKUP(INDEX(INDIRECT($B$1&amp;"!"&amp;ADDRESS(8,COLUMN()+6,4)&amp;":"&amp;ADDRESS(73,COLUMN()+6,4)),MATCH($B20,INDIRECT($B$1&amp;"!$A$8:$A$73"),0)),CONFIG!$A$15:$B$40,2,FALSE)&amp;"","")</f>
        <v/>
      </c>
      <c r="F20" s="181">
        <f>IFERROR(VLOOKUP(INDEX(INDIRECT($B$1&amp;"!"&amp;ADDRESS(8,COLUMN()+6,4)&amp;":"&amp;ADDRESS(73,COLUMN()+6,4)),MATCH($B20,INDIRECT($B$1&amp;"!$A$8:$A$73"),0)),CONFIG!$A$15:$B$40,2,FALSE)&amp;"","")</f>
        <v/>
      </c>
      <c r="G20" s="181">
        <f>IFERROR(VLOOKUP(INDEX(INDIRECT($B$1&amp;"!"&amp;ADDRESS(8,COLUMN()+6,4)&amp;":"&amp;ADDRESS(73,COLUMN()+6,4)),MATCH($B20,INDIRECT($B$1&amp;"!$A$8:$A$73"),0)),CONFIG!$A$15:$B$40,2,FALSE)&amp;"","")</f>
        <v/>
      </c>
      <c r="H20" s="181">
        <f>IFERROR(VLOOKUP(INDEX(INDIRECT($B$1&amp;"!"&amp;ADDRESS(8,COLUMN()+6,4)&amp;":"&amp;ADDRESS(73,COLUMN()+6,4)),MATCH($B20,INDIRECT($B$1&amp;"!$A$8:$A$73"),0)),CONFIG!$A$15:$B$40,2,FALSE)&amp;"","")</f>
        <v/>
      </c>
      <c r="I20" s="181">
        <f>IFERROR(VLOOKUP(INDEX(INDIRECT($B$1&amp;"!"&amp;ADDRESS(8,COLUMN()+6,4)&amp;":"&amp;ADDRESS(73,COLUMN()+6,4)),MATCH($B20,INDIRECT($B$1&amp;"!$A$8:$A$73"),0)),CONFIG!$A$15:$B$40,2,FALSE)&amp;"","")</f>
        <v/>
      </c>
      <c r="J20" s="181">
        <f>IFERROR(VLOOKUP(INDEX(INDIRECT($B$1&amp;"!"&amp;ADDRESS(8,COLUMN()+6,4)&amp;":"&amp;ADDRESS(73,COLUMN()+6,4)),MATCH($B20,INDIRECT($B$1&amp;"!$A$8:$A$73"),0)),CONFIG!$A$15:$B$40,2,FALSE)&amp;"","")</f>
        <v/>
      </c>
      <c r="K20" s="181">
        <f>IFERROR(VLOOKUP(INDEX(INDIRECT($B$1&amp;"!"&amp;ADDRESS(8,COLUMN()+6,4)&amp;":"&amp;ADDRESS(73,COLUMN()+6,4)),MATCH($B20,INDIRECT($B$1&amp;"!$A$8:$A$73"),0)),CONFIG!$A$15:$B$40,2,FALSE)&amp;"","")</f>
        <v/>
      </c>
      <c r="L20" s="181">
        <f>IFERROR(VLOOKUP(INDEX(INDIRECT($B$1&amp;"!"&amp;ADDRESS(8,COLUMN()+6,4)&amp;":"&amp;ADDRESS(73,COLUMN()+6,4)),MATCH($B20,INDIRECT($B$1&amp;"!$A$8:$A$73"),0)),CONFIG!$A$15:$B$40,2,FALSE)&amp;"","")</f>
        <v/>
      </c>
      <c r="M20" s="181">
        <f>IFERROR(VLOOKUP(INDEX(INDIRECT($B$1&amp;"!"&amp;ADDRESS(8,COLUMN()+6,4)&amp;":"&amp;ADDRESS(73,COLUMN()+6,4)),MATCH($B20,INDIRECT($B$1&amp;"!$A$8:$A$73"),0)),CONFIG!$A$15:$B$40,2,FALSE)&amp;"","")</f>
        <v/>
      </c>
      <c r="N20" s="181">
        <f>IFERROR(VLOOKUP(INDEX(INDIRECT($B$1&amp;"!"&amp;ADDRESS(8,COLUMN()+6,4)&amp;":"&amp;ADDRESS(73,COLUMN()+6,4)),MATCH($B20,INDIRECT($B$1&amp;"!$A$8:$A$73"),0)),CONFIG!$A$15:$B$40,2,FALSE)&amp;"","")</f>
        <v/>
      </c>
      <c r="O20" s="181">
        <f>IFERROR(VLOOKUP(INDEX(INDIRECT($B$1&amp;"!"&amp;ADDRESS(8,COLUMN()+6,4)&amp;":"&amp;ADDRESS(73,COLUMN()+6,4)),MATCH($B20,INDIRECT($B$1&amp;"!$A$8:$A$73"),0)),CONFIG!$A$15:$B$40,2,FALSE)&amp;"","")</f>
        <v/>
      </c>
      <c r="P20" s="181">
        <f>IFERROR(VLOOKUP(INDEX(INDIRECT($B$1&amp;"!"&amp;ADDRESS(8,COLUMN()+6,4)&amp;":"&amp;ADDRESS(73,COLUMN()+6,4)),MATCH($B20,INDIRECT($B$1&amp;"!$A$8:$A$73"),0)),CONFIG!$A$15:$B$40,2,FALSE)&amp;"","")</f>
        <v/>
      </c>
      <c r="Q20" s="181">
        <f>IFERROR(VLOOKUP(INDEX(INDIRECT($B$1&amp;"!"&amp;ADDRESS(8,COLUMN()+6,4)&amp;":"&amp;ADDRESS(73,COLUMN()+6,4)),MATCH($B20,INDIRECT($B$1&amp;"!$A$8:$A$73"),0)),CONFIG!$A$15:$B$40,2,FALSE)&amp;"","")</f>
        <v/>
      </c>
      <c r="R20" s="181">
        <f>IFERROR(VLOOKUP(INDEX(INDIRECT($B$1&amp;"!"&amp;ADDRESS(8,COLUMN()+6,4)&amp;":"&amp;ADDRESS(73,COLUMN()+6,4)),MATCH($B20,INDIRECT($B$1&amp;"!$A$8:$A$73"),0)),CONFIG!$A$15:$B$40,2,FALSE)&amp;"","")</f>
        <v/>
      </c>
      <c r="S20" s="181">
        <f>IFERROR(VLOOKUP(INDEX(INDIRECT($B$1&amp;"!"&amp;ADDRESS(8,COLUMN()+6,4)&amp;":"&amp;ADDRESS(73,COLUMN()+6,4)),MATCH($B20,INDIRECT($B$1&amp;"!$A$8:$A$73"),0)),CONFIG!$A$15:$B$40,2,FALSE)&amp;"","")</f>
        <v/>
      </c>
      <c r="T20" s="181">
        <f>IFERROR(VLOOKUP(INDEX(INDIRECT($B$1&amp;"!"&amp;ADDRESS(8,COLUMN()+6,4)&amp;":"&amp;ADDRESS(73,COLUMN()+6,4)),MATCH($B20,INDIRECT($B$1&amp;"!$A$8:$A$73"),0)),CONFIG!$A$15:$B$40,2,FALSE)&amp;"","")</f>
        <v/>
      </c>
      <c r="U20" s="181">
        <f>IFERROR(VLOOKUP(INDEX(INDIRECT($B$1&amp;"!"&amp;ADDRESS(8,COLUMN()+6,4)&amp;":"&amp;ADDRESS(73,COLUMN()+6,4)),MATCH($B20,INDIRECT($B$1&amp;"!$A$8:$A$73"),0)),CONFIG!$A$15:$B$40,2,FALSE)&amp;"","")</f>
        <v/>
      </c>
      <c r="V20" s="181">
        <f>IFERROR(VLOOKUP(INDEX(INDIRECT($B$1&amp;"!"&amp;ADDRESS(8,COLUMN()+6,4)&amp;":"&amp;ADDRESS(73,COLUMN()+6,4)),MATCH($B20,INDIRECT($B$1&amp;"!$A$8:$A$73"),0)),CONFIG!$A$15:$B$40,2,FALSE)&amp;"","")</f>
        <v/>
      </c>
      <c r="W20" s="181">
        <f>IFERROR(VLOOKUP(INDEX(INDIRECT($B$1&amp;"!"&amp;ADDRESS(8,COLUMN()+6,4)&amp;":"&amp;ADDRESS(73,COLUMN()+6,4)),MATCH($B20,INDIRECT($B$1&amp;"!$A$8:$A$73"),0)),CONFIG!$A$15:$B$40,2,FALSE)&amp;"","")</f>
        <v/>
      </c>
      <c r="X20" s="181">
        <f>IFERROR(VLOOKUP(INDEX(INDIRECT($B$1&amp;"!"&amp;ADDRESS(8,COLUMN()+6,4)&amp;":"&amp;ADDRESS(73,COLUMN()+6,4)),MATCH($B20,INDIRECT($B$1&amp;"!$A$8:$A$73"),0)),CONFIG!$A$15:$B$40,2,FALSE)&amp;"","")</f>
        <v/>
      </c>
      <c r="Y20" s="181">
        <f>IFERROR(VLOOKUP(INDEX(INDIRECT($B$1&amp;"!"&amp;ADDRESS(8,COLUMN()+6,4)&amp;":"&amp;ADDRESS(73,COLUMN()+6,4)),MATCH($B20,INDIRECT($B$1&amp;"!$A$8:$A$73"),0)),CONFIG!$A$15:$B$40,2,FALSE)&amp;"","")</f>
        <v/>
      </c>
      <c r="Z20" s="181">
        <f>IFERROR(VLOOKUP(INDEX(INDIRECT($B$1&amp;"!"&amp;ADDRESS(8,COLUMN()+6,4)&amp;":"&amp;ADDRESS(73,COLUMN()+6,4)),MATCH($B20,INDIRECT($B$1&amp;"!$A$8:$A$73"),0)),CONFIG!$A$15:$B$40,2,FALSE)&amp;"","")</f>
        <v/>
      </c>
      <c r="AA20" s="181">
        <f>IFERROR(VLOOKUP(INDEX(INDIRECT($B$1&amp;"!"&amp;ADDRESS(8,COLUMN()+6,4)&amp;":"&amp;ADDRESS(73,COLUMN()+6,4)),MATCH($B20,INDIRECT($B$1&amp;"!$A$8:$A$73"),0)),CONFIG!$A$15:$B$40,2,FALSE)&amp;"","")</f>
        <v/>
      </c>
      <c r="AB20" s="181">
        <f>IFERROR(VLOOKUP(INDEX(INDIRECT($B$1&amp;"!"&amp;ADDRESS(8,COLUMN()+6,4)&amp;":"&amp;ADDRESS(73,COLUMN()+6,4)),MATCH($B20,INDIRECT($B$1&amp;"!$A$8:$A$73"),0)),CONFIG!$A$15:$B$40,2,FALSE)&amp;"","")</f>
        <v/>
      </c>
      <c r="AC20" s="181">
        <f>IFERROR(VLOOKUP(INDEX(INDIRECT($B$1&amp;"!"&amp;ADDRESS(8,COLUMN()+6,4)&amp;":"&amp;ADDRESS(73,COLUMN()+6,4)),MATCH($B20,INDIRECT($B$1&amp;"!$A$8:$A$73"),0)),CONFIG!$A$15:$B$40,2,FALSE)&amp;"","")</f>
        <v/>
      </c>
      <c r="AD20" s="181">
        <f>IFERROR(VLOOKUP(INDEX(INDIRECT($B$1&amp;"!"&amp;ADDRESS(8,COLUMN()+6,4)&amp;":"&amp;ADDRESS(73,COLUMN()+6,4)),MATCH($B20,INDIRECT($B$1&amp;"!$A$8:$A$73"),0)),CONFIG!$A$15:$B$40,2,FALSE)&amp;"","")</f>
        <v/>
      </c>
      <c r="AE20" s="181">
        <f>IFERROR(VLOOKUP(INDEX(INDIRECT($B$1&amp;"!"&amp;ADDRESS(8,COLUMN()+6,4)&amp;":"&amp;ADDRESS(73,COLUMN()+6,4)),MATCH($B20,INDIRECT($B$1&amp;"!$A$8:$A$73"),0)),CONFIG!$A$15:$B$40,2,FALSE)&amp;"","")</f>
        <v/>
      </c>
      <c r="AF20" s="181">
        <f>IFERROR(VLOOKUP(INDEX(INDIRECT($B$1&amp;"!"&amp;ADDRESS(8,COLUMN()+6,4)&amp;":"&amp;ADDRESS(73,COLUMN()+6,4)),MATCH($B20,INDIRECT($B$1&amp;"!$A$8:$A$73"),0)),CONFIG!$A$15:$B$40,2,FALSE)&amp;"","")</f>
        <v/>
      </c>
      <c r="AG20" s="181">
        <f>IFERROR(VLOOKUP(INDEX(INDIRECT($B$1&amp;"!"&amp;ADDRESS(8,COLUMN()+6,4)&amp;":"&amp;ADDRESS(73,COLUMN()+6,4)),MATCH($B20,INDIRECT($B$1&amp;"!$A$8:$A$73"),0)),CONFIG!$A$15:$B$40,2,FALSE)&amp;"","")</f>
        <v/>
      </c>
      <c r="AH20" s="181">
        <f>IFERROR(VLOOKUP(INDEX(INDIRECT($B$1&amp;"!"&amp;ADDRESS(8,COLUMN()+6,4)&amp;":"&amp;ADDRESS(73,COLUMN()+6,4)),MATCH($B20,INDIRECT($B$1&amp;"!$A$8:$A$73"),0)),CONFIG!$A$15:$B$40,2,FALSE)&amp;"","")</f>
        <v/>
      </c>
      <c r="AI20" s="39" t="n"/>
    </row>
    <row r="21">
      <c r="A21" s="179" t="inlineStr">
        <is>
          <t>Isabella Mazzaro</t>
        </is>
      </c>
      <c r="B21" s="180" t="inlineStr">
        <is>
          <t>Isabella</t>
        </is>
      </c>
      <c r="C21" s="181">
        <f>IFERROR(VLOOKUP(INDEX(INDIRECT($B$1&amp;"!"&amp;ADDRESS(8,COLUMN()+6,4)&amp;":"&amp;ADDRESS(73,COLUMN()+6,4)),MATCH($B21,INDIRECT($B$1&amp;"!$A$8:$A$73"),0)),CONFIG!$A$15:$B$40,2,FALSE)&amp;"","")</f>
        <v/>
      </c>
      <c r="D21" s="181">
        <f>IFERROR(VLOOKUP(INDEX(INDIRECT($B$1&amp;"!"&amp;ADDRESS(8,COLUMN()+6,4)&amp;":"&amp;ADDRESS(73,COLUMN()+6,4)),MATCH($B21,INDIRECT($B$1&amp;"!$A$8:$A$73"),0)),CONFIG!$A$15:$B$40,2,FALSE)&amp;"","")</f>
        <v/>
      </c>
      <c r="E21" s="181">
        <f>IFERROR(VLOOKUP(INDEX(INDIRECT($B$1&amp;"!"&amp;ADDRESS(8,COLUMN()+6,4)&amp;":"&amp;ADDRESS(73,COLUMN()+6,4)),MATCH($B21,INDIRECT($B$1&amp;"!$A$8:$A$73"),0)),CONFIG!$A$15:$B$40,2,FALSE)&amp;"","")</f>
        <v/>
      </c>
      <c r="F21" s="181">
        <f>IFERROR(VLOOKUP(INDEX(INDIRECT($B$1&amp;"!"&amp;ADDRESS(8,COLUMN()+6,4)&amp;":"&amp;ADDRESS(73,COLUMN()+6,4)),MATCH($B21,INDIRECT($B$1&amp;"!$A$8:$A$73"),0)),CONFIG!$A$15:$B$40,2,FALSE)&amp;"","")</f>
        <v/>
      </c>
      <c r="G21" s="181">
        <f>IFERROR(VLOOKUP(INDEX(INDIRECT($B$1&amp;"!"&amp;ADDRESS(8,COLUMN()+6,4)&amp;":"&amp;ADDRESS(73,COLUMN()+6,4)),MATCH($B21,INDIRECT($B$1&amp;"!$A$8:$A$73"),0)),CONFIG!$A$15:$B$40,2,FALSE)&amp;"","")</f>
        <v/>
      </c>
      <c r="H21" s="181">
        <f>IFERROR(VLOOKUP(INDEX(INDIRECT($B$1&amp;"!"&amp;ADDRESS(8,COLUMN()+6,4)&amp;":"&amp;ADDRESS(73,COLUMN()+6,4)),MATCH($B21,INDIRECT($B$1&amp;"!$A$8:$A$73"),0)),CONFIG!$A$15:$B$40,2,FALSE)&amp;"","")</f>
        <v/>
      </c>
      <c r="I21" s="181">
        <f>IFERROR(VLOOKUP(INDEX(INDIRECT($B$1&amp;"!"&amp;ADDRESS(8,COLUMN()+6,4)&amp;":"&amp;ADDRESS(73,COLUMN()+6,4)),MATCH($B21,INDIRECT($B$1&amp;"!$A$8:$A$73"),0)),CONFIG!$A$15:$B$40,2,FALSE)&amp;"","")</f>
        <v/>
      </c>
      <c r="J21" s="181">
        <f>IFERROR(VLOOKUP(INDEX(INDIRECT($B$1&amp;"!"&amp;ADDRESS(8,COLUMN()+6,4)&amp;":"&amp;ADDRESS(73,COLUMN()+6,4)),MATCH($B21,INDIRECT($B$1&amp;"!$A$8:$A$73"),0)),CONFIG!$A$15:$B$40,2,FALSE)&amp;"","")</f>
        <v/>
      </c>
      <c r="K21" s="181">
        <f>IFERROR(VLOOKUP(INDEX(INDIRECT($B$1&amp;"!"&amp;ADDRESS(8,COLUMN()+6,4)&amp;":"&amp;ADDRESS(73,COLUMN()+6,4)),MATCH($B21,INDIRECT($B$1&amp;"!$A$8:$A$73"),0)),CONFIG!$A$15:$B$40,2,FALSE)&amp;"","")</f>
        <v/>
      </c>
      <c r="L21" s="181">
        <f>IFERROR(VLOOKUP(INDEX(INDIRECT($B$1&amp;"!"&amp;ADDRESS(8,COLUMN()+6,4)&amp;":"&amp;ADDRESS(73,COLUMN()+6,4)),MATCH($B21,INDIRECT($B$1&amp;"!$A$8:$A$73"),0)),CONFIG!$A$15:$B$40,2,FALSE)&amp;"","")</f>
        <v/>
      </c>
      <c r="M21" s="181">
        <f>IFERROR(VLOOKUP(INDEX(INDIRECT($B$1&amp;"!"&amp;ADDRESS(8,COLUMN()+6,4)&amp;":"&amp;ADDRESS(73,COLUMN()+6,4)),MATCH($B21,INDIRECT($B$1&amp;"!$A$8:$A$73"),0)),CONFIG!$A$15:$B$40,2,FALSE)&amp;"","")</f>
        <v/>
      </c>
      <c r="N21" s="181">
        <f>IFERROR(VLOOKUP(INDEX(INDIRECT($B$1&amp;"!"&amp;ADDRESS(8,COLUMN()+6,4)&amp;":"&amp;ADDRESS(73,COLUMN()+6,4)),MATCH($B21,INDIRECT($B$1&amp;"!$A$8:$A$73"),0)),CONFIG!$A$15:$B$40,2,FALSE)&amp;"","")</f>
        <v/>
      </c>
      <c r="O21" s="181">
        <f>IFERROR(VLOOKUP(INDEX(INDIRECT($B$1&amp;"!"&amp;ADDRESS(8,COLUMN()+6,4)&amp;":"&amp;ADDRESS(73,COLUMN()+6,4)),MATCH($B21,INDIRECT($B$1&amp;"!$A$8:$A$73"),0)),CONFIG!$A$15:$B$40,2,FALSE)&amp;"","")</f>
        <v/>
      </c>
      <c r="P21" s="181">
        <f>IFERROR(VLOOKUP(INDEX(INDIRECT($B$1&amp;"!"&amp;ADDRESS(8,COLUMN()+6,4)&amp;":"&amp;ADDRESS(73,COLUMN()+6,4)),MATCH($B21,INDIRECT($B$1&amp;"!$A$8:$A$73"),0)),CONFIG!$A$15:$B$40,2,FALSE)&amp;"","")</f>
        <v/>
      </c>
      <c r="Q21" s="181">
        <f>IFERROR(VLOOKUP(INDEX(INDIRECT($B$1&amp;"!"&amp;ADDRESS(8,COLUMN()+6,4)&amp;":"&amp;ADDRESS(73,COLUMN()+6,4)),MATCH($B21,INDIRECT($B$1&amp;"!$A$8:$A$73"),0)),CONFIG!$A$15:$B$40,2,FALSE)&amp;"","")</f>
        <v/>
      </c>
      <c r="R21" s="181">
        <f>IFERROR(VLOOKUP(INDEX(INDIRECT($B$1&amp;"!"&amp;ADDRESS(8,COLUMN()+6,4)&amp;":"&amp;ADDRESS(73,COLUMN()+6,4)),MATCH($B21,INDIRECT($B$1&amp;"!$A$8:$A$73"),0)),CONFIG!$A$15:$B$40,2,FALSE)&amp;"","")</f>
        <v/>
      </c>
      <c r="S21" s="181">
        <f>IFERROR(VLOOKUP(INDEX(INDIRECT($B$1&amp;"!"&amp;ADDRESS(8,COLUMN()+6,4)&amp;":"&amp;ADDRESS(73,COLUMN()+6,4)),MATCH($B21,INDIRECT($B$1&amp;"!$A$8:$A$73"),0)),CONFIG!$A$15:$B$40,2,FALSE)&amp;"","")</f>
        <v/>
      </c>
      <c r="T21" s="181">
        <f>IFERROR(VLOOKUP(INDEX(INDIRECT($B$1&amp;"!"&amp;ADDRESS(8,COLUMN()+6,4)&amp;":"&amp;ADDRESS(73,COLUMN()+6,4)),MATCH($B21,INDIRECT($B$1&amp;"!$A$8:$A$73"),0)),CONFIG!$A$15:$B$40,2,FALSE)&amp;"","")</f>
        <v/>
      </c>
      <c r="U21" s="181">
        <f>IFERROR(VLOOKUP(INDEX(INDIRECT($B$1&amp;"!"&amp;ADDRESS(8,COLUMN()+6,4)&amp;":"&amp;ADDRESS(73,COLUMN()+6,4)),MATCH($B21,INDIRECT($B$1&amp;"!$A$8:$A$73"),0)),CONFIG!$A$15:$B$40,2,FALSE)&amp;"","")</f>
        <v/>
      </c>
      <c r="V21" s="181">
        <f>IFERROR(VLOOKUP(INDEX(INDIRECT($B$1&amp;"!"&amp;ADDRESS(8,COLUMN()+6,4)&amp;":"&amp;ADDRESS(73,COLUMN()+6,4)),MATCH($B21,INDIRECT($B$1&amp;"!$A$8:$A$73"),0)),CONFIG!$A$15:$B$40,2,FALSE)&amp;"","")</f>
        <v/>
      </c>
      <c r="W21" s="181">
        <f>IFERROR(VLOOKUP(INDEX(INDIRECT($B$1&amp;"!"&amp;ADDRESS(8,COLUMN()+6,4)&amp;":"&amp;ADDRESS(73,COLUMN()+6,4)),MATCH($B21,INDIRECT($B$1&amp;"!$A$8:$A$73"),0)),CONFIG!$A$15:$B$40,2,FALSE)&amp;"","")</f>
        <v/>
      </c>
      <c r="X21" s="181">
        <f>IFERROR(VLOOKUP(INDEX(INDIRECT($B$1&amp;"!"&amp;ADDRESS(8,COLUMN()+6,4)&amp;":"&amp;ADDRESS(73,COLUMN()+6,4)),MATCH($B21,INDIRECT($B$1&amp;"!$A$8:$A$73"),0)),CONFIG!$A$15:$B$40,2,FALSE)&amp;"","")</f>
        <v/>
      </c>
      <c r="Y21" s="181">
        <f>IFERROR(VLOOKUP(INDEX(INDIRECT($B$1&amp;"!"&amp;ADDRESS(8,COLUMN()+6,4)&amp;":"&amp;ADDRESS(73,COLUMN()+6,4)),MATCH($B21,INDIRECT($B$1&amp;"!$A$8:$A$73"),0)),CONFIG!$A$15:$B$40,2,FALSE)&amp;"","")</f>
        <v/>
      </c>
      <c r="Z21" s="181">
        <f>IFERROR(VLOOKUP(INDEX(INDIRECT($B$1&amp;"!"&amp;ADDRESS(8,COLUMN()+6,4)&amp;":"&amp;ADDRESS(73,COLUMN()+6,4)),MATCH($B21,INDIRECT($B$1&amp;"!$A$8:$A$73"),0)),CONFIG!$A$15:$B$40,2,FALSE)&amp;"","")</f>
        <v/>
      </c>
      <c r="AA21" s="181">
        <f>IFERROR(VLOOKUP(INDEX(INDIRECT($B$1&amp;"!"&amp;ADDRESS(8,COLUMN()+6,4)&amp;":"&amp;ADDRESS(73,COLUMN()+6,4)),MATCH($B21,INDIRECT($B$1&amp;"!$A$8:$A$73"),0)),CONFIG!$A$15:$B$40,2,FALSE)&amp;"","")</f>
        <v/>
      </c>
      <c r="AB21" s="181">
        <f>IFERROR(VLOOKUP(INDEX(INDIRECT($B$1&amp;"!"&amp;ADDRESS(8,COLUMN()+6,4)&amp;":"&amp;ADDRESS(73,COLUMN()+6,4)),MATCH($B21,INDIRECT($B$1&amp;"!$A$8:$A$73"),0)),CONFIG!$A$15:$B$40,2,FALSE)&amp;"","")</f>
        <v/>
      </c>
      <c r="AC21" s="181">
        <f>IFERROR(VLOOKUP(INDEX(INDIRECT($B$1&amp;"!"&amp;ADDRESS(8,COLUMN()+6,4)&amp;":"&amp;ADDRESS(73,COLUMN()+6,4)),MATCH($B21,INDIRECT($B$1&amp;"!$A$8:$A$73"),0)),CONFIG!$A$15:$B$40,2,FALSE)&amp;"","")</f>
        <v/>
      </c>
      <c r="AD21" s="181">
        <f>IFERROR(VLOOKUP(INDEX(INDIRECT($B$1&amp;"!"&amp;ADDRESS(8,COLUMN()+6,4)&amp;":"&amp;ADDRESS(73,COLUMN()+6,4)),MATCH($B21,INDIRECT($B$1&amp;"!$A$8:$A$73"),0)),CONFIG!$A$15:$B$40,2,FALSE)&amp;"","")</f>
        <v/>
      </c>
      <c r="AE21" s="181">
        <f>IFERROR(VLOOKUP(INDEX(INDIRECT($B$1&amp;"!"&amp;ADDRESS(8,COLUMN()+6,4)&amp;":"&amp;ADDRESS(73,COLUMN()+6,4)),MATCH($B21,INDIRECT($B$1&amp;"!$A$8:$A$73"),0)),CONFIG!$A$15:$B$40,2,FALSE)&amp;"","")</f>
        <v/>
      </c>
      <c r="AF21" s="181">
        <f>IFERROR(VLOOKUP(INDEX(INDIRECT($B$1&amp;"!"&amp;ADDRESS(8,COLUMN()+6,4)&amp;":"&amp;ADDRESS(73,COLUMN()+6,4)),MATCH($B21,INDIRECT($B$1&amp;"!$A$8:$A$73"),0)),CONFIG!$A$15:$B$40,2,FALSE)&amp;"","")</f>
        <v/>
      </c>
      <c r="AG21" s="181">
        <f>IFERROR(VLOOKUP(INDEX(INDIRECT($B$1&amp;"!"&amp;ADDRESS(8,COLUMN()+6,4)&amp;":"&amp;ADDRESS(73,COLUMN()+6,4)),MATCH($B21,INDIRECT($B$1&amp;"!$A$8:$A$73"),0)),CONFIG!$A$15:$B$40,2,FALSE)&amp;"","")</f>
        <v/>
      </c>
      <c r="AH21" s="181">
        <f>IFERROR(VLOOKUP(INDEX(INDIRECT($B$1&amp;"!"&amp;ADDRESS(8,COLUMN()+6,4)&amp;":"&amp;ADDRESS(73,COLUMN()+6,4)),MATCH($B21,INDIRECT($B$1&amp;"!$A$8:$A$73"),0)),CONFIG!$A$15:$B$40,2,FALSE)&amp;"","")</f>
        <v/>
      </c>
      <c r="AI21" s="39" t="n"/>
    </row>
    <row r="22">
      <c r="A22" s="179" t="inlineStr">
        <is>
          <t>Julliana Brito</t>
        </is>
      </c>
      <c r="B22" s="180" t="inlineStr">
        <is>
          <t>JuBrito</t>
        </is>
      </c>
      <c r="C22" s="181">
        <f>IFERROR(VLOOKUP(INDEX(INDIRECT($B$1&amp;"!"&amp;ADDRESS(8,COLUMN()+6,4)&amp;":"&amp;ADDRESS(73,COLUMN()+6,4)),MATCH($B22,INDIRECT($B$1&amp;"!$A$8:$A$73"),0)),CONFIG!$A$15:$B$40,2,FALSE)&amp;"","")</f>
        <v/>
      </c>
      <c r="D22" s="181">
        <f>IFERROR(VLOOKUP(INDEX(INDIRECT($B$1&amp;"!"&amp;ADDRESS(8,COLUMN()+6,4)&amp;":"&amp;ADDRESS(73,COLUMN()+6,4)),MATCH($B22,INDIRECT($B$1&amp;"!$A$8:$A$73"),0)),CONFIG!$A$15:$B$40,2,FALSE)&amp;"","")</f>
        <v/>
      </c>
      <c r="E22" s="181">
        <f>IFERROR(VLOOKUP(INDEX(INDIRECT($B$1&amp;"!"&amp;ADDRESS(8,COLUMN()+6,4)&amp;":"&amp;ADDRESS(73,COLUMN()+6,4)),MATCH($B22,INDIRECT($B$1&amp;"!$A$8:$A$73"),0)),CONFIG!$A$15:$B$40,2,FALSE)&amp;"","")</f>
        <v/>
      </c>
      <c r="F22" s="181">
        <f>IFERROR(VLOOKUP(INDEX(INDIRECT($B$1&amp;"!"&amp;ADDRESS(8,COLUMN()+6,4)&amp;":"&amp;ADDRESS(73,COLUMN()+6,4)),MATCH($B22,INDIRECT($B$1&amp;"!$A$8:$A$73"),0)),CONFIG!$A$15:$B$40,2,FALSE)&amp;"","")</f>
        <v/>
      </c>
      <c r="G22" s="181">
        <f>IFERROR(VLOOKUP(INDEX(INDIRECT($B$1&amp;"!"&amp;ADDRESS(8,COLUMN()+6,4)&amp;":"&amp;ADDRESS(73,COLUMN()+6,4)),MATCH($B22,INDIRECT($B$1&amp;"!$A$8:$A$73"),0)),CONFIG!$A$15:$B$40,2,FALSE)&amp;"","")</f>
        <v/>
      </c>
      <c r="H22" s="181">
        <f>IFERROR(VLOOKUP(INDEX(INDIRECT($B$1&amp;"!"&amp;ADDRESS(8,COLUMN()+6,4)&amp;":"&amp;ADDRESS(73,COLUMN()+6,4)),MATCH($B22,INDIRECT($B$1&amp;"!$A$8:$A$73"),0)),CONFIG!$A$15:$B$40,2,FALSE)&amp;"","")</f>
        <v/>
      </c>
      <c r="I22" s="181">
        <f>IFERROR(VLOOKUP(INDEX(INDIRECT($B$1&amp;"!"&amp;ADDRESS(8,COLUMN()+6,4)&amp;":"&amp;ADDRESS(73,COLUMN()+6,4)),MATCH($B22,INDIRECT($B$1&amp;"!$A$8:$A$73"),0)),CONFIG!$A$15:$B$40,2,FALSE)&amp;"","")</f>
        <v/>
      </c>
      <c r="J22" s="181">
        <f>IFERROR(VLOOKUP(INDEX(INDIRECT($B$1&amp;"!"&amp;ADDRESS(8,COLUMN()+6,4)&amp;":"&amp;ADDRESS(73,COLUMN()+6,4)),MATCH($B22,INDIRECT($B$1&amp;"!$A$8:$A$73"),0)),CONFIG!$A$15:$B$40,2,FALSE)&amp;"","")</f>
        <v/>
      </c>
      <c r="K22" s="181">
        <f>IFERROR(VLOOKUP(INDEX(INDIRECT($B$1&amp;"!"&amp;ADDRESS(8,COLUMN()+6,4)&amp;":"&amp;ADDRESS(73,COLUMN()+6,4)),MATCH($B22,INDIRECT($B$1&amp;"!$A$8:$A$73"),0)),CONFIG!$A$15:$B$40,2,FALSE)&amp;"","")</f>
        <v/>
      </c>
      <c r="L22" s="181">
        <f>IFERROR(VLOOKUP(INDEX(INDIRECT($B$1&amp;"!"&amp;ADDRESS(8,COLUMN()+6,4)&amp;":"&amp;ADDRESS(73,COLUMN()+6,4)),MATCH($B22,INDIRECT($B$1&amp;"!$A$8:$A$73"),0)),CONFIG!$A$15:$B$40,2,FALSE)&amp;"","")</f>
        <v/>
      </c>
      <c r="M22" s="181">
        <f>IFERROR(VLOOKUP(INDEX(INDIRECT($B$1&amp;"!"&amp;ADDRESS(8,COLUMN()+6,4)&amp;":"&amp;ADDRESS(73,COLUMN()+6,4)),MATCH($B22,INDIRECT($B$1&amp;"!$A$8:$A$73"),0)),CONFIG!$A$15:$B$40,2,FALSE)&amp;"","")</f>
        <v/>
      </c>
      <c r="N22" s="181">
        <f>IFERROR(VLOOKUP(INDEX(INDIRECT($B$1&amp;"!"&amp;ADDRESS(8,COLUMN()+6,4)&amp;":"&amp;ADDRESS(73,COLUMN()+6,4)),MATCH($B22,INDIRECT($B$1&amp;"!$A$8:$A$73"),0)),CONFIG!$A$15:$B$40,2,FALSE)&amp;"","")</f>
        <v/>
      </c>
      <c r="O22" s="181">
        <f>IFERROR(VLOOKUP(INDEX(INDIRECT($B$1&amp;"!"&amp;ADDRESS(8,COLUMN()+6,4)&amp;":"&amp;ADDRESS(73,COLUMN()+6,4)),MATCH($B22,INDIRECT($B$1&amp;"!$A$8:$A$73"),0)),CONFIG!$A$15:$B$40,2,FALSE)&amp;"","")</f>
        <v/>
      </c>
      <c r="P22" s="181">
        <f>IFERROR(VLOOKUP(INDEX(INDIRECT($B$1&amp;"!"&amp;ADDRESS(8,COLUMN()+6,4)&amp;":"&amp;ADDRESS(73,COLUMN()+6,4)),MATCH($B22,INDIRECT($B$1&amp;"!$A$8:$A$73"),0)),CONFIG!$A$15:$B$40,2,FALSE)&amp;"","")</f>
        <v/>
      </c>
      <c r="Q22" s="181">
        <f>IFERROR(VLOOKUP(INDEX(INDIRECT($B$1&amp;"!"&amp;ADDRESS(8,COLUMN()+6,4)&amp;":"&amp;ADDRESS(73,COLUMN()+6,4)),MATCH($B22,INDIRECT($B$1&amp;"!$A$8:$A$73"),0)),CONFIG!$A$15:$B$40,2,FALSE)&amp;"","")</f>
        <v/>
      </c>
      <c r="R22" s="181">
        <f>IFERROR(VLOOKUP(INDEX(INDIRECT($B$1&amp;"!"&amp;ADDRESS(8,COLUMN()+6,4)&amp;":"&amp;ADDRESS(73,COLUMN()+6,4)),MATCH($B22,INDIRECT($B$1&amp;"!$A$8:$A$73"),0)),CONFIG!$A$15:$B$40,2,FALSE)&amp;"","")</f>
        <v/>
      </c>
      <c r="S22" s="181">
        <f>IFERROR(VLOOKUP(INDEX(INDIRECT($B$1&amp;"!"&amp;ADDRESS(8,COLUMN()+6,4)&amp;":"&amp;ADDRESS(73,COLUMN()+6,4)),MATCH($B22,INDIRECT($B$1&amp;"!$A$8:$A$73"),0)),CONFIG!$A$15:$B$40,2,FALSE)&amp;"","")</f>
        <v/>
      </c>
      <c r="T22" s="181">
        <f>IFERROR(VLOOKUP(INDEX(INDIRECT($B$1&amp;"!"&amp;ADDRESS(8,COLUMN()+6,4)&amp;":"&amp;ADDRESS(73,COLUMN()+6,4)),MATCH($B22,INDIRECT($B$1&amp;"!$A$8:$A$73"),0)),CONFIG!$A$15:$B$40,2,FALSE)&amp;"","")</f>
        <v/>
      </c>
      <c r="U22" s="181">
        <f>IFERROR(VLOOKUP(INDEX(INDIRECT($B$1&amp;"!"&amp;ADDRESS(8,COLUMN()+6,4)&amp;":"&amp;ADDRESS(73,COLUMN()+6,4)),MATCH($B22,INDIRECT($B$1&amp;"!$A$8:$A$73"),0)),CONFIG!$A$15:$B$40,2,FALSE)&amp;"","")</f>
        <v/>
      </c>
      <c r="V22" s="181">
        <f>IFERROR(VLOOKUP(INDEX(INDIRECT($B$1&amp;"!"&amp;ADDRESS(8,COLUMN()+6,4)&amp;":"&amp;ADDRESS(73,COLUMN()+6,4)),MATCH($B22,INDIRECT($B$1&amp;"!$A$8:$A$73"),0)),CONFIG!$A$15:$B$40,2,FALSE)&amp;"","")</f>
        <v/>
      </c>
      <c r="W22" s="181">
        <f>IFERROR(VLOOKUP(INDEX(INDIRECT($B$1&amp;"!"&amp;ADDRESS(8,COLUMN()+6,4)&amp;":"&amp;ADDRESS(73,COLUMN()+6,4)),MATCH($B22,INDIRECT($B$1&amp;"!$A$8:$A$73"),0)),CONFIG!$A$15:$B$40,2,FALSE)&amp;"","")</f>
        <v/>
      </c>
      <c r="X22" s="181">
        <f>IFERROR(VLOOKUP(INDEX(INDIRECT($B$1&amp;"!"&amp;ADDRESS(8,COLUMN()+6,4)&amp;":"&amp;ADDRESS(73,COLUMN()+6,4)),MATCH($B22,INDIRECT($B$1&amp;"!$A$8:$A$73"),0)),CONFIG!$A$15:$B$40,2,FALSE)&amp;"","")</f>
        <v/>
      </c>
      <c r="Y22" s="181">
        <f>IFERROR(VLOOKUP(INDEX(INDIRECT($B$1&amp;"!"&amp;ADDRESS(8,COLUMN()+6,4)&amp;":"&amp;ADDRESS(73,COLUMN()+6,4)),MATCH($B22,INDIRECT($B$1&amp;"!$A$8:$A$73"),0)),CONFIG!$A$15:$B$40,2,FALSE)&amp;"","")</f>
        <v/>
      </c>
      <c r="Z22" s="181">
        <f>IFERROR(VLOOKUP(INDEX(INDIRECT($B$1&amp;"!"&amp;ADDRESS(8,COLUMN()+6,4)&amp;":"&amp;ADDRESS(73,COLUMN()+6,4)),MATCH($B22,INDIRECT($B$1&amp;"!$A$8:$A$73"),0)),CONFIG!$A$15:$B$40,2,FALSE)&amp;"","")</f>
        <v/>
      </c>
      <c r="AA22" s="181">
        <f>IFERROR(VLOOKUP(INDEX(INDIRECT($B$1&amp;"!"&amp;ADDRESS(8,COLUMN()+6,4)&amp;":"&amp;ADDRESS(73,COLUMN()+6,4)),MATCH($B22,INDIRECT($B$1&amp;"!$A$8:$A$73"),0)),CONFIG!$A$15:$B$40,2,FALSE)&amp;"","")</f>
        <v/>
      </c>
      <c r="AB22" s="181">
        <f>IFERROR(VLOOKUP(INDEX(INDIRECT($B$1&amp;"!"&amp;ADDRESS(8,COLUMN()+6,4)&amp;":"&amp;ADDRESS(73,COLUMN()+6,4)),MATCH($B22,INDIRECT($B$1&amp;"!$A$8:$A$73"),0)),CONFIG!$A$15:$B$40,2,FALSE)&amp;"","")</f>
        <v/>
      </c>
      <c r="AC22" s="181">
        <f>IFERROR(VLOOKUP(INDEX(INDIRECT($B$1&amp;"!"&amp;ADDRESS(8,COLUMN()+6,4)&amp;":"&amp;ADDRESS(73,COLUMN()+6,4)),MATCH($B22,INDIRECT($B$1&amp;"!$A$8:$A$73"),0)),CONFIG!$A$15:$B$40,2,FALSE)&amp;"","")</f>
        <v/>
      </c>
      <c r="AD22" s="181">
        <f>IFERROR(VLOOKUP(INDEX(INDIRECT($B$1&amp;"!"&amp;ADDRESS(8,COLUMN()+6,4)&amp;":"&amp;ADDRESS(73,COLUMN()+6,4)),MATCH($B22,INDIRECT($B$1&amp;"!$A$8:$A$73"),0)),CONFIG!$A$15:$B$40,2,FALSE)&amp;"","")</f>
        <v/>
      </c>
      <c r="AE22" s="181">
        <f>IFERROR(VLOOKUP(INDEX(INDIRECT($B$1&amp;"!"&amp;ADDRESS(8,COLUMN()+6,4)&amp;":"&amp;ADDRESS(73,COLUMN()+6,4)),MATCH($B22,INDIRECT($B$1&amp;"!$A$8:$A$73"),0)),CONFIG!$A$15:$B$40,2,FALSE)&amp;"","")</f>
        <v/>
      </c>
      <c r="AF22" s="181">
        <f>IFERROR(VLOOKUP(INDEX(INDIRECT($B$1&amp;"!"&amp;ADDRESS(8,COLUMN()+6,4)&amp;":"&amp;ADDRESS(73,COLUMN()+6,4)),MATCH($B22,INDIRECT($B$1&amp;"!$A$8:$A$73"),0)),CONFIG!$A$15:$B$40,2,FALSE)&amp;"","")</f>
        <v/>
      </c>
      <c r="AG22" s="181">
        <f>IFERROR(VLOOKUP(INDEX(INDIRECT($B$1&amp;"!"&amp;ADDRESS(8,COLUMN()+6,4)&amp;":"&amp;ADDRESS(73,COLUMN()+6,4)),MATCH($B22,INDIRECT($B$1&amp;"!$A$8:$A$73"),0)),CONFIG!$A$15:$B$40,2,FALSE)&amp;"","")</f>
        <v/>
      </c>
      <c r="AH22" s="181">
        <f>IFERROR(VLOOKUP(INDEX(INDIRECT($B$1&amp;"!"&amp;ADDRESS(8,COLUMN()+6,4)&amp;":"&amp;ADDRESS(73,COLUMN()+6,4)),MATCH($B22,INDIRECT($B$1&amp;"!$A$8:$A$73"),0)),CONFIG!$A$15:$B$40,2,FALSE)&amp;"","")</f>
        <v/>
      </c>
      <c r="AI22" s="39" t="n"/>
    </row>
    <row r="23">
      <c r="A23" s="179" t="inlineStr">
        <is>
          <t>Fernanda Kariny</t>
        </is>
      </c>
      <c r="B23" s="180" t="inlineStr">
        <is>
          <t>Kariny</t>
        </is>
      </c>
      <c r="C23" s="181">
        <f>IFERROR(VLOOKUP(INDEX(INDIRECT($B$1&amp;"!"&amp;ADDRESS(8,COLUMN()+6,4)&amp;":"&amp;ADDRESS(73,COLUMN()+6,4)),MATCH($B23,INDIRECT($B$1&amp;"!$A$8:$A$73"),0)),CONFIG!$A$15:$B$40,2,FALSE)&amp;"","")</f>
        <v/>
      </c>
      <c r="D23" s="181">
        <f>IFERROR(VLOOKUP(INDEX(INDIRECT($B$1&amp;"!"&amp;ADDRESS(8,COLUMN()+6,4)&amp;":"&amp;ADDRESS(73,COLUMN()+6,4)),MATCH($B23,INDIRECT($B$1&amp;"!$A$8:$A$73"),0)),CONFIG!$A$15:$B$40,2,FALSE)&amp;"","")</f>
        <v/>
      </c>
      <c r="E23" s="181">
        <f>IFERROR(VLOOKUP(INDEX(INDIRECT($B$1&amp;"!"&amp;ADDRESS(8,COLUMN()+6,4)&amp;":"&amp;ADDRESS(73,COLUMN()+6,4)),MATCH($B23,INDIRECT($B$1&amp;"!$A$8:$A$73"),0)),CONFIG!$A$15:$B$40,2,FALSE)&amp;"","")</f>
        <v/>
      </c>
      <c r="F23" s="181">
        <f>IFERROR(VLOOKUP(INDEX(INDIRECT($B$1&amp;"!"&amp;ADDRESS(8,COLUMN()+6,4)&amp;":"&amp;ADDRESS(73,COLUMN()+6,4)),MATCH($B23,INDIRECT($B$1&amp;"!$A$8:$A$73"),0)),CONFIG!$A$15:$B$40,2,FALSE)&amp;"","")</f>
        <v/>
      </c>
      <c r="G23" s="181">
        <f>IFERROR(VLOOKUP(INDEX(INDIRECT($B$1&amp;"!"&amp;ADDRESS(8,COLUMN()+6,4)&amp;":"&amp;ADDRESS(73,COLUMN()+6,4)),MATCH($B23,INDIRECT($B$1&amp;"!$A$8:$A$73"),0)),CONFIG!$A$15:$B$40,2,FALSE)&amp;"","")</f>
        <v/>
      </c>
      <c r="H23" s="181">
        <f>IFERROR(VLOOKUP(INDEX(INDIRECT($B$1&amp;"!"&amp;ADDRESS(8,COLUMN()+6,4)&amp;":"&amp;ADDRESS(73,COLUMN()+6,4)),MATCH($B23,INDIRECT($B$1&amp;"!$A$8:$A$73"),0)),CONFIG!$A$15:$B$40,2,FALSE)&amp;"","")</f>
        <v/>
      </c>
      <c r="I23" s="181">
        <f>IFERROR(VLOOKUP(INDEX(INDIRECT($B$1&amp;"!"&amp;ADDRESS(8,COLUMN()+6,4)&amp;":"&amp;ADDRESS(73,COLUMN()+6,4)),MATCH($B23,INDIRECT($B$1&amp;"!$A$8:$A$73"),0)),CONFIG!$A$15:$B$40,2,FALSE)&amp;"","")</f>
        <v/>
      </c>
      <c r="J23" s="181">
        <f>IFERROR(VLOOKUP(INDEX(INDIRECT($B$1&amp;"!"&amp;ADDRESS(8,COLUMN()+6,4)&amp;":"&amp;ADDRESS(73,COLUMN()+6,4)),MATCH($B23,INDIRECT($B$1&amp;"!$A$8:$A$73"),0)),CONFIG!$A$15:$B$40,2,FALSE)&amp;"","")</f>
        <v/>
      </c>
      <c r="K23" s="181">
        <f>IFERROR(VLOOKUP(INDEX(INDIRECT($B$1&amp;"!"&amp;ADDRESS(8,COLUMN()+6,4)&amp;":"&amp;ADDRESS(73,COLUMN()+6,4)),MATCH($B23,INDIRECT($B$1&amp;"!$A$8:$A$73"),0)),CONFIG!$A$15:$B$40,2,FALSE)&amp;"","")</f>
        <v/>
      </c>
      <c r="L23" s="181">
        <f>IFERROR(VLOOKUP(INDEX(INDIRECT($B$1&amp;"!"&amp;ADDRESS(8,COLUMN()+6,4)&amp;":"&amp;ADDRESS(73,COLUMN()+6,4)),MATCH($B23,INDIRECT($B$1&amp;"!$A$8:$A$73"),0)),CONFIG!$A$15:$B$40,2,FALSE)&amp;"","")</f>
        <v/>
      </c>
      <c r="M23" s="181">
        <f>IFERROR(VLOOKUP(INDEX(INDIRECT($B$1&amp;"!"&amp;ADDRESS(8,COLUMN()+6,4)&amp;":"&amp;ADDRESS(73,COLUMN()+6,4)),MATCH($B23,INDIRECT($B$1&amp;"!$A$8:$A$73"),0)),CONFIG!$A$15:$B$40,2,FALSE)&amp;"","")</f>
        <v/>
      </c>
      <c r="N23" s="181">
        <f>IFERROR(VLOOKUP(INDEX(INDIRECT($B$1&amp;"!"&amp;ADDRESS(8,COLUMN()+6,4)&amp;":"&amp;ADDRESS(73,COLUMN()+6,4)),MATCH($B23,INDIRECT($B$1&amp;"!$A$8:$A$73"),0)),CONFIG!$A$15:$B$40,2,FALSE)&amp;"","")</f>
        <v/>
      </c>
      <c r="O23" s="181">
        <f>IFERROR(VLOOKUP(INDEX(INDIRECT($B$1&amp;"!"&amp;ADDRESS(8,COLUMN()+6,4)&amp;":"&amp;ADDRESS(73,COLUMN()+6,4)),MATCH($B23,INDIRECT($B$1&amp;"!$A$8:$A$73"),0)),CONFIG!$A$15:$B$40,2,FALSE)&amp;"","")</f>
        <v/>
      </c>
      <c r="P23" s="181">
        <f>IFERROR(VLOOKUP(INDEX(INDIRECT($B$1&amp;"!"&amp;ADDRESS(8,COLUMN()+6,4)&amp;":"&amp;ADDRESS(73,COLUMN()+6,4)),MATCH($B23,INDIRECT($B$1&amp;"!$A$8:$A$73"),0)),CONFIG!$A$15:$B$40,2,FALSE)&amp;"","")</f>
        <v/>
      </c>
      <c r="Q23" s="181">
        <f>IFERROR(VLOOKUP(INDEX(INDIRECT($B$1&amp;"!"&amp;ADDRESS(8,COLUMN()+6,4)&amp;":"&amp;ADDRESS(73,COLUMN()+6,4)),MATCH($B23,INDIRECT($B$1&amp;"!$A$8:$A$73"),0)),CONFIG!$A$15:$B$40,2,FALSE)&amp;"","")</f>
        <v/>
      </c>
      <c r="R23" s="181">
        <f>IFERROR(VLOOKUP(INDEX(INDIRECT($B$1&amp;"!"&amp;ADDRESS(8,COLUMN()+6,4)&amp;":"&amp;ADDRESS(73,COLUMN()+6,4)),MATCH($B23,INDIRECT($B$1&amp;"!$A$8:$A$73"),0)),CONFIG!$A$15:$B$40,2,FALSE)&amp;"","")</f>
        <v/>
      </c>
      <c r="S23" s="181">
        <f>IFERROR(VLOOKUP(INDEX(INDIRECT($B$1&amp;"!"&amp;ADDRESS(8,COLUMN()+6,4)&amp;":"&amp;ADDRESS(73,COLUMN()+6,4)),MATCH($B23,INDIRECT($B$1&amp;"!$A$8:$A$73"),0)),CONFIG!$A$15:$B$40,2,FALSE)&amp;"","")</f>
        <v/>
      </c>
      <c r="T23" s="181">
        <f>IFERROR(VLOOKUP(INDEX(INDIRECT($B$1&amp;"!"&amp;ADDRESS(8,COLUMN()+6,4)&amp;":"&amp;ADDRESS(73,COLUMN()+6,4)),MATCH($B23,INDIRECT($B$1&amp;"!$A$8:$A$73"),0)),CONFIG!$A$15:$B$40,2,FALSE)&amp;"","")</f>
        <v/>
      </c>
      <c r="U23" s="181">
        <f>IFERROR(VLOOKUP(INDEX(INDIRECT($B$1&amp;"!"&amp;ADDRESS(8,COLUMN()+6,4)&amp;":"&amp;ADDRESS(73,COLUMN()+6,4)),MATCH($B23,INDIRECT($B$1&amp;"!$A$8:$A$73"),0)),CONFIG!$A$15:$B$40,2,FALSE)&amp;"","")</f>
        <v/>
      </c>
      <c r="V23" s="181">
        <f>IFERROR(VLOOKUP(INDEX(INDIRECT($B$1&amp;"!"&amp;ADDRESS(8,COLUMN()+6,4)&amp;":"&amp;ADDRESS(73,COLUMN()+6,4)),MATCH($B23,INDIRECT($B$1&amp;"!$A$8:$A$73"),0)),CONFIG!$A$15:$B$40,2,FALSE)&amp;"","")</f>
        <v/>
      </c>
      <c r="W23" s="181">
        <f>IFERROR(VLOOKUP(INDEX(INDIRECT($B$1&amp;"!"&amp;ADDRESS(8,COLUMN()+6,4)&amp;":"&amp;ADDRESS(73,COLUMN()+6,4)),MATCH($B23,INDIRECT($B$1&amp;"!$A$8:$A$73"),0)),CONFIG!$A$15:$B$40,2,FALSE)&amp;"","")</f>
        <v/>
      </c>
      <c r="X23" s="181">
        <f>IFERROR(VLOOKUP(INDEX(INDIRECT($B$1&amp;"!"&amp;ADDRESS(8,COLUMN()+6,4)&amp;":"&amp;ADDRESS(73,COLUMN()+6,4)),MATCH($B23,INDIRECT($B$1&amp;"!$A$8:$A$73"),0)),CONFIG!$A$15:$B$40,2,FALSE)&amp;"","")</f>
        <v/>
      </c>
      <c r="Y23" s="181">
        <f>IFERROR(VLOOKUP(INDEX(INDIRECT($B$1&amp;"!"&amp;ADDRESS(8,COLUMN()+6,4)&amp;":"&amp;ADDRESS(73,COLUMN()+6,4)),MATCH($B23,INDIRECT($B$1&amp;"!$A$8:$A$73"),0)),CONFIG!$A$15:$B$40,2,FALSE)&amp;"","")</f>
        <v/>
      </c>
      <c r="Z23" s="181">
        <f>IFERROR(VLOOKUP(INDEX(INDIRECT($B$1&amp;"!"&amp;ADDRESS(8,COLUMN()+6,4)&amp;":"&amp;ADDRESS(73,COLUMN()+6,4)),MATCH($B23,INDIRECT($B$1&amp;"!$A$8:$A$73"),0)),CONFIG!$A$15:$B$40,2,FALSE)&amp;"","")</f>
        <v/>
      </c>
      <c r="AA23" s="181">
        <f>IFERROR(VLOOKUP(INDEX(INDIRECT($B$1&amp;"!"&amp;ADDRESS(8,COLUMN()+6,4)&amp;":"&amp;ADDRESS(73,COLUMN()+6,4)),MATCH($B23,INDIRECT($B$1&amp;"!$A$8:$A$73"),0)),CONFIG!$A$15:$B$40,2,FALSE)&amp;"","")</f>
        <v/>
      </c>
      <c r="AB23" s="181">
        <f>IFERROR(VLOOKUP(INDEX(INDIRECT($B$1&amp;"!"&amp;ADDRESS(8,COLUMN()+6,4)&amp;":"&amp;ADDRESS(73,COLUMN()+6,4)),MATCH($B23,INDIRECT($B$1&amp;"!$A$8:$A$73"),0)),CONFIG!$A$15:$B$40,2,FALSE)&amp;"","")</f>
        <v/>
      </c>
      <c r="AC23" s="181">
        <f>IFERROR(VLOOKUP(INDEX(INDIRECT($B$1&amp;"!"&amp;ADDRESS(8,COLUMN()+6,4)&amp;":"&amp;ADDRESS(73,COLUMN()+6,4)),MATCH($B23,INDIRECT($B$1&amp;"!$A$8:$A$73"),0)),CONFIG!$A$15:$B$40,2,FALSE)&amp;"","")</f>
        <v/>
      </c>
      <c r="AD23" s="181">
        <f>IFERROR(VLOOKUP(INDEX(INDIRECT($B$1&amp;"!"&amp;ADDRESS(8,COLUMN()+6,4)&amp;":"&amp;ADDRESS(73,COLUMN()+6,4)),MATCH($B23,INDIRECT($B$1&amp;"!$A$8:$A$73"),0)),CONFIG!$A$15:$B$40,2,FALSE)&amp;"","")</f>
        <v/>
      </c>
      <c r="AE23" s="181">
        <f>IFERROR(VLOOKUP(INDEX(INDIRECT($B$1&amp;"!"&amp;ADDRESS(8,COLUMN()+6,4)&amp;":"&amp;ADDRESS(73,COLUMN()+6,4)),MATCH($B23,INDIRECT($B$1&amp;"!$A$8:$A$73"),0)),CONFIG!$A$15:$B$40,2,FALSE)&amp;"","")</f>
        <v/>
      </c>
      <c r="AF23" s="181">
        <f>IFERROR(VLOOKUP(INDEX(INDIRECT($B$1&amp;"!"&amp;ADDRESS(8,COLUMN()+6,4)&amp;":"&amp;ADDRESS(73,COLUMN()+6,4)),MATCH($B23,INDIRECT($B$1&amp;"!$A$8:$A$73"),0)),CONFIG!$A$15:$B$40,2,FALSE)&amp;"","")</f>
        <v/>
      </c>
      <c r="AG23" s="181">
        <f>IFERROR(VLOOKUP(INDEX(INDIRECT($B$1&amp;"!"&amp;ADDRESS(8,COLUMN()+6,4)&amp;":"&amp;ADDRESS(73,COLUMN()+6,4)),MATCH($B23,INDIRECT($B$1&amp;"!$A$8:$A$73"),0)),CONFIG!$A$15:$B$40,2,FALSE)&amp;"","")</f>
        <v/>
      </c>
      <c r="AH23" s="181">
        <f>IFERROR(VLOOKUP(INDEX(INDIRECT($B$1&amp;"!"&amp;ADDRESS(8,COLUMN()+6,4)&amp;":"&amp;ADDRESS(73,COLUMN()+6,4)),MATCH($B23,INDIRECT($B$1&amp;"!$A$8:$A$73"),0)),CONFIG!$A$15:$B$40,2,FALSE)&amp;"","")</f>
        <v/>
      </c>
      <c r="AI23" s="39" t="n"/>
    </row>
    <row r="24">
      <c r="A24" s="179" t="inlineStr">
        <is>
          <t>Mayana Leal</t>
        </is>
      </c>
      <c r="B24" s="180" t="inlineStr">
        <is>
          <t>Mayana</t>
        </is>
      </c>
      <c r="C24" s="181">
        <f>IFERROR(VLOOKUP(INDEX(INDIRECT($B$1&amp;"!"&amp;ADDRESS(8,COLUMN()+6,4)&amp;":"&amp;ADDRESS(73,COLUMN()+6,4)),MATCH($B24,INDIRECT($B$1&amp;"!$A$8:$A$73"),0)),CONFIG!$A$15:$B$40,2,FALSE)&amp;"","")</f>
        <v/>
      </c>
      <c r="D24" s="181">
        <f>IFERROR(VLOOKUP(INDEX(INDIRECT($B$1&amp;"!"&amp;ADDRESS(8,COLUMN()+6,4)&amp;":"&amp;ADDRESS(73,COLUMN()+6,4)),MATCH($B24,INDIRECT($B$1&amp;"!$A$8:$A$73"),0)),CONFIG!$A$15:$B$40,2,FALSE)&amp;"","")</f>
        <v/>
      </c>
      <c r="E24" s="181">
        <f>IFERROR(VLOOKUP(INDEX(INDIRECT($B$1&amp;"!"&amp;ADDRESS(8,COLUMN()+6,4)&amp;":"&amp;ADDRESS(73,COLUMN()+6,4)),MATCH($B24,INDIRECT($B$1&amp;"!$A$8:$A$73"),0)),CONFIG!$A$15:$B$40,2,FALSE)&amp;"","")</f>
        <v/>
      </c>
      <c r="F24" s="181">
        <f>IFERROR(VLOOKUP(INDEX(INDIRECT($B$1&amp;"!"&amp;ADDRESS(8,COLUMN()+6,4)&amp;":"&amp;ADDRESS(73,COLUMN()+6,4)),MATCH($B24,INDIRECT($B$1&amp;"!$A$8:$A$73"),0)),CONFIG!$A$15:$B$40,2,FALSE)&amp;"","")</f>
        <v/>
      </c>
      <c r="G24" s="181">
        <f>IFERROR(VLOOKUP(INDEX(INDIRECT($B$1&amp;"!"&amp;ADDRESS(8,COLUMN()+6,4)&amp;":"&amp;ADDRESS(73,COLUMN()+6,4)),MATCH($B24,INDIRECT($B$1&amp;"!$A$8:$A$73"),0)),CONFIG!$A$15:$B$40,2,FALSE)&amp;"","")</f>
        <v/>
      </c>
      <c r="H24" s="181">
        <f>IFERROR(VLOOKUP(INDEX(INDIRECT($B$1&amp;"!"&amp;ADDRESS(8,COLUMN()+6,4)&amp;":"&amp;ADDRESS(73,COLUMN()+6,4)),MATCH($B24,INDIRECT($B$1&amp;"!$A$8:$A$73"),0)),CONFIG!$A$15:$B$40,2,FALSE)&amp;"","")</f>
        <v/>
      </c>
      <c r="I24" s="181">
        <f>IFERROR(VLOOKUP(INDEX(INDIRECT($B$1&amp;"!"&amp;ADDRESS(8,COLUMN()+6,4)&amp;":"&amp;ADDRESS(73,COLUMN()+6,4)),MATCH($B24,INDIRECT($B$1&amp;"!$A$8:$A$73"),0)),CONFIG!$A$15:$B$40,2,FALSE)&amp;"","")</f>
        <v/>
      </c>
      <c r="J24" s="181">
        <f>IFERROR(VLOOKUP(INDEX(INDIRECT($B$1&amp;"!"&amp;ADDRESS(8,COLUMN()+6,4)&amp;":"&amp;ADDRESS(73,COLUMN()+6,4)),MATCH($B24,INDIRECT($B$1&amp;"!$A$8:$A$73"),0)),CONFIG!$A$15:$B$40,2,FALSE)&amp;"","")</f>
        <v/>
      </c>
      <c r="K24" s="181">
        <f>IFERROR(VLOOKUP(INDEX(INDIRECT($B$1&amp;"!"&amp;ADDRESS(8,COLUMN()+6,4)&amp;":"&amp;ADDRESS(73,COLUMN()+6,4)),MATCH($B24,INDIRECT($B$1&amp;"!$A$8:$A$73"),0)),CONFIG!$A$15:$B$40,2,FALSE)&amp;"","")</f>
        <v/>
      </c>
      <c r="L24" s="181">
        <f>IFERROR(VLOOKUP(INDEX(INDIRECT($B$1&amp;"!"&amp;ADDRESS(8,COLUMN()+6,4)&amp;":"&amp;ADDRESS(73,COLUMN()+6,4)),MATCH($B24,INDIRECT($B$1&amp;"!$A$8:$A$73"),0)),CONFIG!$A$15:$B$40,2,FALSE)&amp;"","")</f>
        <v/>
      </c>
      <c r="M24" s="181">
        <f>IFERROR(VLOOKUP(INDEX(INDIRECT($B$1&amp;"!"&amp;ADDRESS(8,COLUMN()+6,4)&amp;":"&amp;ADDRESS(73,COLUMN()+6,4)),MATCH($B24,INDIRECT($B$1&amp;"!$A$8:$A$73"),0)),CONFIG!$A$15:$B$40,2,FALSE)&amp;"","")</f>
        <v/>
      </c>
      <c r="N24" s="181">
        <f>IFERROR(VLOOKUP(INDEX(INDIRECT($B$1&amp;"!"&amp;ADDRESS(8,COLUMN()+6,4)&amp;":"&amp;ADDRESS(73,COLUMN()+6,4)),MATCH($B24,INDIRECT($B$1&amp;"!$A$8:$A$73"),0)),CONFIG!$A$15:$B$40,2,FALSE)&amp;"","")</f>
        <v/>
      </c>
      <c r="O24" s="181">
        <f>IFERROR(VLOOKUP(INDEX(INDIRECT($B$1&amp;"!"&amp;ADDRESS(8,COLUMN()+6,4)&amp;":"&amp;ADDRESS(73,COLUMN()+6,4)),MATCH($B24,INDIRECT($B$1&amp;"!$A$8:$A$73"),0)),CONFIG!$A$15:$B$40,2,FALSE)&amp;"","")</f>
        <v/>
      </c>
      <c r="P24" s="181">
        <f>IFERROR(VLOOKUP(INDEX(INDIRECT($B$1&amp;"!"&amp;ADDRESS(8,COLUMN()+6,4)&amp;":"&amp;ADDRESS(73,COLUMN()+6,4)),MATCH($B24,INDIRECT($B$1&amp;"!$A$8:$A$73"),0)),CONFIG!$A$15:$B$40,2,FALSE)&amp;"","")</f>
        <v/>
      </c>
      <c r="Q24" s="181">
        <f>IFERROR(VLOOKUP(INDEX(INDIRECT($B$1&amp;"!"&amp;ADDRESS(8,COLUMN()+6,4)&amp;":"&amp;ADDRESS(73,COLUMN()+6,4)),MATCH($B24,INDIRECT($B$1&amp;"!$A$8:$A$73"),0)),CONFIG!$A$15:$B$40,2,FALSE)&amp;"","")</f>
        <v/>
      </c>
      <c r="R24" s="181">
        <f>IFERROR(VLOOKUP(INDEX(INDIRECT($B$1&amp;"!"&amp;ADDRESS(8,COLUMN()+6,4)&amp;":"&amp;ADDRESS(73,COLUMN()+6,4)),MATCH($B24,INDIRECT($B$1&amp;"!$A$8:$A$73"),0)),CONFIG!$A$15:$B$40,2,FALSE)&amp;"","")</f>
        <v/>
      </c>
      <c r="S24" s="181">
        <f>IFERROR(VLOOKUP(INDEX(INDIRECT($B$1&amp;"!"&amp;ADDRESS(8,COLUMN()+6,4)&amp;":"&amp;ADDRESS(73,COLUMN()+6,4)),MATCH($B24,INDIRECT($B$1&amp;"!$A$8:$A$73"),0)),CONFIG!$A$15:$B$40,2,FALSE)&amp;"","")</f>
        <v/>
      </c>
      <c r="T24" s="181">
        <f>IFERROR(VLOOKUP(INDEX(INDIRECT($B$1&amp;"!"&amp;ADDRESS(8,COLUMN()+6,4)&amp;":"&amp;ADDRESS(73,COLUMN()+6,4)),MATCH($B24,INDIRECT($B$1&amp;"!$A$8:$A$73"),0)),CONFIG!$A$15:$B$40,2,FALSE)&amp;"","")</f>
        <v/>
      </c>
      <c r="U24" s="181">
        <f>IFERROR(VLOOKUP(INDEX(INDIRECT($B$1&amp;"!"&amp;ADDRESS(8,COLUMN()+6,4)&amp;":"&amp;ADDRESS(73,COLUMN()+6,4)),MATCH($B24,INDIRECT($B$1&amp;"!$A$8:$A$73"),0)),CONFIG!$A$15:$B$40,2,FALSE)&amp;"","")</f>
        <v/>
      </c>
      <c r="V24" s="181">
        <f>IFERROR(VLOOKUP(INDEX(INDIRECT($B$1&amp;"!"&amp;ADDRESS(8,COLUMN()+6,4)&amp;":"&amp;ADDRESS(73,COLUMN()+6,4)),MATCH($B24,INDIRECT($B$1&amp;"!$A$8:$A$73"),0)),CONFIG!$A$15:$B$40,2,FALSE)&amp;"","")</f>
        <v/>
      </c>
      <c r="W24" s="181">
        <f>IFERROR(VLOOKUP(INDEX(INDIRECT($B$1&amp;"!"&amp;ADDRESS(8,COLUMN()+6,4)&amp;":"&amp;ADDRESS(73,COLUMN()+6,4)),MATCH($B24,INDIRECT($B$1&amp;"!$A$8:$A$73"),0)),CONFIG!$A$15:$B$40,2,FALSE)&amp;"","")</f>
        <v/>
      </c>
      <c r="X24" s="181">
        <f>IFERROR(VLOOKUP(INDEX(INDIRECT($B$1&amp;"!"&amp;ADDRESS(8,COLUMN()+6,4)&amp;":"&amp;ADDRESS(73,COLUMN()+6,4)),MATCH($B24,INDIRECT($B$1&amp;"!$A$8:$A$73"),0)),CONFIG!$A$15:$B$40,2,FALSE)&amp;"","")</f>
        <v/>
      </c>
      <c r="Y24" s="181">
        <f>IFERROR(VLOOKUP(INDEX(INDIRECT($B$1&amp;"!"&amp;ADDRESS(8,COLUMN()+6,4)&amp;":"&amp;ADDRESS(73,COLUMN()+6,4)),MATCH($B24,INDIRECT($B$1&amp;"!$A$8:$A$73"),0)),CONFIG!$A$15:$B$40,2,FALSE)&amp;"","")</f>
        <v/>
      </c>
      <c r="Z24" s="181">
        <f>IFERROR(VLOOKUP(INDEX(INDIRECT($B$1&amp;"!"&amp;ADDRESS(8,COLUMN()+6,4)&amp;":"&amp;ADDRESS(73,COLUMN()+6,4)),MATCH($B24,INDIRECT($B$1&amp;"!$A$8:$A$73"),0)),CONFIG!$A$15:$B$40,2,FALSE)&amp;"","")</f>
        <v/>
      </c>
      <c r="AA24" s="181">
        <f>IFERROR(VLOOKUP(INDEX(INDIRECT($B$1&amp;"!"&amp;ADDRESS(8,COLUMN()+6,4)&amp;":"&amp;ADDRESS(73,COLUMN()+6,4)),MATCH($B24,INDIRECT($B$1&amp;"!$A$8:$A$73"),0)),CONFIG!$A$15:$B$40,2,FALSE)&amp;"","")</f>
        <v/>
      </c>
      <c r="AB24" s="181">
        <f>IFERROR(VLOOKUP(INDEX(INDIRECT($B$1&amp;"!"&amp;ADDRESS(8,COLUMN()+6,4)&amp;":"&amp;ADDRESS(73,COLUMN()+6,4)),MATCH($B24,INDIRECT($B$1&amp;"!$A$8:$A$73"),0)),CONFIG!$A$15:$B$40,2,FALSE)&amp;"","")</f>
        <v/>
      </c>
      <c r="AC24" s="181">
        <f>IFERROR(VLOOKUP(INDEX(INDIRECT($B$1&amp;"!"&amp;ADDRESS(8,COLUMN()+6,4)&amp;":"&amp;ADDRESS(73,COLUMN()+6,4)),MATCH($B24,INDIRECT($B$1&amp;"!$A$8:$A$73"),0)),CONFIG!$A$15:$B$40,2,FALSE)&amp;"","")</f>
        <v/>
      </c>
      <c r="AD24" s="181">
        <f>IFERROR(VLOOKUP(INDEX(INDIRECT($B$1&amp;"!"&amp;ADDRESS(8,COLUMN()+6,4)&amp;":"&amp;ADDRESS(73,COLUMN()+6,4)),MATCH($B24,INDIRECT($B$1&amp;"!$A$8:$A$73"),0)),CONFIG!$A$15:$B$40,2,FALSE)&amp;"","")</f>
        <v/>
      </c>
      <c r="AE24" s="181">
        <f>IFERROR(VLOOKUP(INDEX(INDIRECT($B$1&amp;"!"&amp;ADDRESS(8,COLUMN()+6,4)&amp;":"&amp;ADDRESS(73,COLUMN()+6,4)),MATCH($B24,INDIRECT($B$1&amp;"!$A$8:$A$73"),0)),CONFIG!$A$15:$B$40,2,FALSE)&amp;"","")</f>
        <v/>
      </c>
      <c r="AF24" s="181">
        <f>IFERROR(VLOOKUP(INDEX(INDIRECT($B$1&amp;"!"&amp;ADDRESS(8,COLUMN()+6,4)&amp;":"&amp;ADDRESS(73,COLUMN()+6,4)),MATCH($B24,INDIRECT($B$1&amp;"!$A$8:$A$73"),0)),CONFIG!$A$15:$B$40,2,FALSE)&amp;"","")</f>
        <v/>
      </c>
      <c r="AG24" s="181">
        <f>IFERROR(VLOOKUP(INDEX(INDIRECT($B$1&amp;"!"&amp;ADDRESS(8,COLUMN()+6,4)&amp;":"&amp;ADDRESS(73,COLUMN()+6,4)),MATCH($B24,INDIRECT($B$1&amp;"!$A$8:$A$73"),0)),CONFIG!$A$15:$B$40,2,FALSE)&amp;"","")</f>
        <v/>
      </c>
      <c r="AH24" s="181">
        <f>IFERROR(VLOOKUP(INDEX(INDIRECT($B$1&amp;"!"&amp;ADDRESS(8,COLUMN()+6,4)&amp;":"&amp;ADDRESS(73,COLUMN()+6,4)),MATCH($B24,INDIRECT($B$1&amp;"!$A$8:$A$73"),0)),CONFIG!$A$15:$B$40,2,FALSE)&amp;"","")</f>
        <v/>
      </c>
      <c r="AI24" s="39" t="n"/>
    </row>
    <row r="25">
      <c r="A25" s="179" t="inlineStr">
        <is>
          <t>Neyde Brito</t>
        </is>
      </c>
      <c r="B25" s="180" t="inlineStr">
        <is>
          <t>Neyde</t>
        </is>
      </c>
      <c r="C25" s="181">
        <f>IFERROR(VLOOKUP(INDEX(INDIRECT($B$1&amp;"!"&amp;ADDRESS(8,COLUMN()+6,4)&amp;":"&amp;ADDRESS(73,COLUMN()+6,4)),MATCH($B25,INDIRECT($B$1&amp;"!$A$8:$A$73"),0)),CONFIG!$A$15:$B$40,2,FALSE)&amp;"","")</f>
        <v/>
      </c>
      <c r="D25" s="181">
        <f>IFERROR(VLOOKUP(INDEX(INDIRECT($B$1&amp;"!"&amp;ADDRESS(8,COLUMN()+6,4)&amp;":"&amp;ADDRESS(73,COLUMN()+6,4)),MATCH($B25,INDIRECT($B$1&amp;"!$A$8:$A$73"),0)),CONFIG!$A$15:$B$40,2,FALSE)&amp;"","")</f>
        <v/>
      </c>
      <c r="E25" s="181">
        <f>IFERROR(VLOOKUP(INDEX(INDIRECT($B$1&amp;"!"&amp;ADDRESS(8,COLUMN()+6,4)&amp;":"&amp;ADDRESS(73,COLUMN()+6,4)),MATCH($B25,INDIRECT($B$1&amp;"!$A$8:$A$73"),0)),CONFIG!$A$15:$B$40,2,FALSE)&amp;"","")</f>
        <v/>
      </c>
      <c r="F25" s="181">
        <f>IFERROR(VLOOKUP(INDEX(INDIRECT($B$1&amp;"!"&amp;ADDRESS(8,COLUMN()+6,4)&amp;":"&amp;ADDRESS(73,COLUMN()+6,4)),MATCH($B25,INDIRECT($B$1&amp;"!$A$8:$A$73"),0)),CONFIG!$A$15:$B$40,2,FALSE)&amp;"","")</f>
        <v/>
      </c>
      <c r="G25" s="181">
        <f>IFERROR(VLOOKUP(INDEX(INDIRECT($B$1&amp;"!"&amp;ADDRESS(8,COLUMN()+6,4)&amp;":"&amp;ADDRESS(73,COLUMN()+6,4)),MATCH($B25,INDIRECT($B$1&amp;"!$A$8:$A$73"),0)),CONFIG!$A$15:$B$40,2,FALSE)&amp;"","")</f>
        <v/>
      </c>
      <c r="H25" s="181">
        <f>IFERROR(VLOOKUP(INDEX(INDIRECT($B$1&amp;"!"&amp;ADDRESS(8,COLUMN()+6,4)&amp;":"&amp;ADDRESS(73,COLUMN()+6,4)),MATCH($B25,INDIRECT($B$1&amp;"!$A$8:$A$73"),0)),CONFIG!$A$15:$B$40,2,FALSE)&amp;"","")</f>
        <v/>
      </c>
      <c r="I25" s="181">
        <f>IFERROR(VLOOKUP(INDEX(INDIRECT($B$1&amp;"!"&amp;ADDRESS(8,COLUMN()+6,4)&amp;":"&amp;ADDRESS(73,COLUMN()+6,4)),MATCH($B25,INDIRECT($B$1&amp;"!$A$8:$A$73"),0)),CONFIG!$A$15:$B$40,2,FALSE)&amp;"","")</f>
        <v/>
      </c>
      <c r="J25" s="181">
        <f>IFERROR(VLOOKUP(INDEX(INDIRECT($B$1&amp;"!"&amp;ADDRESS(8,COLUMN()+6,4)&amp;":"&amp;ADDRESS(73,COLUMN()+6,4)),MATCH($B25,INDIRECT($B$1&amp;"!$A$8:$A$73"),0)),CONFIG!$A$15:$B$40,2,FALSE)&amp;"","")</f>
        <v/>
      </c>
      <c r="K25" s="181">
        <f>IFERROR(VLOOKUP(INDEX(INDIRECT($B$1&amp;"!"&amp;ADDRESS(8,COLUMN()+6,4)&amp;":"&amp;ADDRESS(73,COLUMN()+6,4)),MATCH($B25,INDIRECT($B$1&amp;"!$A$8:$A$73"),0)),CONFIG!$A$15:$B$40,2,FALSE)&amp;"","")</f>
        <v/>
      </c>
      <c r="L25" s="181">
        <f>IFERROR(VLOOKUP(INDEX(INDIRECT($B$1&amp;"!"&amp;ADDRESS(8,COLUMN()+6,4)&amp;":"&amp;ADDRESS(73,COLUMN()+6,4)),MATCH($B25,INDIRECT($B$1&amp;"!$A$8:$A$73"),0)),CONFIG!$A$15:$B$40,2,FALSE)&amp;"","")</f>
        <v/>
      </c>
      <c r="M25" s="181">
        <f>IFERROR(VLOOKUP(INDEX(INDIRECT($B$1&amp;"!"&amp;ADDRESS(8,COLUMN()+6,4)&amp;":"&amp;ADDRESS(73,COLUMN()+6,4)),MATCH($B25,INDIRECT($B$1&amp;"!$A$8:$A$73"),0)),CONFIG!$A$15:$B$40,2,FALSE)&amp;"","")</f>
        <v/>
      </c>
      <c r="N25" s="181">
        <f>IFERROR(VLOOKUP(INDEX(INDIRECT($B$1&amp;"!"&amp;ADDRESS(8,COLUMN()+6,4)&amp;":"&amp;ADDRESS(73,COLUMN()+6,4)),MATCH($B25,INDIRECT($B$1&amp;"!$A$8:$A$73"),0)),CONFIG!$A$15:$B$40,2,FALSE)&amp;"","")</f>
        <v/>
      </c>
      <c r="O25" s="181">
        <f>IFERROR(VLOOKUP(INDEX(INDIRECT($B$1&amp;"!"&amp;ADDRESS(8,COLUMN()+6,4)&amp;":"&amp;ADDRESS(73,COLUMN()+6,4)),MATCH($B25,INDIRECT($B$1&amp;"!$A$8:$A$73"),0)),CONFIG!$A$15:$B$40,2,FALSE)&amp;"","")</f>
        <v/>
      </c>
      <c r="P25" s="181">
        <f>IFERROR(VLOOKUP(INDEX(INDIRECT($B$1&amp;"!"&amp;ADDRESS(8,COLUMN()+6,4)&amp;":"&amp;ADDRESS(73,COLUMN()+6,4)),MATCH($B25,INDIRECT($B$1&amp;"!$A$8:$A$73"),0)),CONFIG!$A$15:$B$40,2,FALSE)&amp;"","")</f>
        <v/>
      </c>
      <c r="Q25" s="181">
        <f>IFERROR(VLOOKUP(INDEX(INDIRECT($B$1&amp;"!"&amp;ADDRESS(8,COLUMN()+6,4)&amp;":"&amp;ADDRESS(73,COLUMN()+6,4)),MATCH($B25,INDIRECT($B$1&amp;"!$A$8:$A$73"),0)),CONFIG!$A$15:$B$40,2,FALSE)&amp;"","")</f>
        <v/>
      </c>
      <c r="R25" s="181">
        <f>IFERROR(VLOOKUP(INDEX(INDIRECT($B$1&amp;"!"&amp;ADDRESS(8,COLUMN()+6,4)&amp;":"&amp;ADDRESS(73,COLUMN()+6,4)),MATCH($B25,INDIRECT($B$1&amp;"!$A$8:$A$73"),0)),CONFIG!$A$15:$B$40,2,FALSE)&amp;"","")</f>
        <v/>
      </c>
      <c r="S25" s="181">
        <f>IFERROR(VLOOKUP(INDEX(INDIRECT($B$1&amp;"!"&amp;ADDRESS(8,COLUMN()+6,4)&amp;":"&amp;ADDRESS(73,COLUMN()+6,4)),MATCH($B25,INDIRECT($B$1&amp;"!$A$8:$A$73"),0)),CONFIG!$A$15:$B$40,2,FALSE)&amp;"","")</f>
        <v/>
      </c>
      <c r="T25" s="181">
        <f>IFERROR(VLOOKUP(INDEX(INDIRECT($B$1&amp;"!"&amp;ADDRESS(8,COLUMN()+6,4)&amp;":"&amp;ADDRESS(73,COLUMN()+6,4)),MATCH($B25,INDIRECT($B$1&amp;"!$A$8:$A$73"),0)),CONFIG!$A$15:$B$40,2,FALSE)&amp;"","")</f>
        <v/>
      </c>
      <c r="U25" s="181">
        <f>IFERROR(VLOOKUP(INDEX(INDIRECT($B$1&amp;"!"&amp;ADDRESS(8,COLUMN()+6,4)&amp;":"&amp;ADDRESS(73,COLUMN()+6,4)),MATCH($B25,INDIRECT($B$1&amp;"!$A$8:$A$73"),0)),CONFIG!$A$15:$B$40,2,FALSE)&amp;"","")</f>
        <v/>
      </c>
      <c r="V25" s="181">
        <f>IFERROR(VLOOKUP(INDEX(INDIRECT($B$1&amp;"!"&amp;ADDRESS(8,COLUMN()+6,4)&amp;":"&amp;ADDRESS(73,COLUMN()+6,4)),MATCH($B25,INDIRECT($B$1&amp;"!$A$8:$A$73"),0)),CONFIG!$A$15:$B$40,2,FALSE)&amp;"","")</f>
        <v/>
      </c>
      <c r="W25" s="181">
        <f>IFERROR(VLOOKUP(INDEX(INDIRECT($B$1&amp;"!"&amp;ADDRESS(8,COLUMN()+6,4)&amp;":"&amp;ADDRESS(73,COLUMN()+6,4)),MATCH($B25,INDIRECT($B$1&amp;"!$A$8:$A$73"),0)),CONFIG!$A$15:$B$40,2,FALSE)&amp;"","")</f>
        <v/>
      </c>
      <c r="X25" s="181">
        <f>IFERROR(VLOOKUP(INDEX(INDIRECT($B$1&amp;"!"&amp;ADDRESS(8,COLUMN()+6,4)&amp;":"&amp;ADDRESS(73,COLUMN()+6,4)),MATCH($B25,INDIRECT($B$1&amp;"!$A$8:$A$73"),0)),CONFIG!$A$15:$B$40,2,FALSE)&amp;"","")</f>
        <v/>
      </c>
      <c r="Y25" s="181">
        <f>IFERROR(VLOOKUP(INDEX(INDIRECT($B$1&amp;"!"&amp;ADDRESS(8,COLUMN()+6,4)&amp;":"&amp;ADDRESS(73,COLUMN()+6,4)),MATCH($B25,INDIRECT($B$1&amp;"!$A$8:$A$73"),0)),CONFIG!$A$15:$B$40,2,FALSE)&amp;"","")</f>
        <v/>
      </c>
      <c r="Z25" s="181">
        <f>IFERROR(VLOOKUP(INDEX(INDIRECT($B$1&amp;"!"&amp;ADDRESS(8,COLUMN()+6,4)&amp;":"&amp;ADDRESS(73,COLUMN()+6,4)),MATCH($B25,INDIRECT($B$1&amp;"!$A$8:$A$73"),0)),CONFIG!$A$15:$B$40,2,FALSE)&amp;"","")</f>
        <v/>
      </c>
      <c r="AA25" s="181">
        <f>IFERROR(VLOOKUP(INDEX(INDIRECT($B$1&amp;"!"&amp;ADDRESS(8,COLUMN()+6,4)&amp;":"&amp;ADDRESS(73,COLUMN()+6,4)),MATCH($B25,INDIRECT($B$1&amp;"!$A$8:$A$73"),0)),CONFIG!$A$15:$B$40,2,FALSE)&amp;"","")</f>
        <v/>
      </c>
      <c r="AB25" s="181">
        <f>IFERROR(VLOOKUP(INDEX(INDIRECT($B$1&amp;"!"&amp;ADDRESS(8,COLUMN()+6,4)&amp;":"&amp;ADDRESS(73,COLUMN()+6,4)),MATCH($B25,INDIRECT($B$1&amp;"!$A$8:$A$73"),0)),CONFIG!$A$15:$B$40,2,FALSE)&amp;"","")</f>
        <v/>
      </c>
      <c r="AC25" s="181">
        <f>IFERROR(VLOOKUP(INDEX(INDIRECT($B$1&amp;"!"&amp;ADDRESS(8,COLUMN()+6,4)&amp;":"&amp;ADDRESS(73,COLUMN()+6,4)),MATCH($B25,INDIRECT($B$1&amp;"!$A$8:$A$73"),0)),CONFIG!$A$15:$B$40,2,FALSE)&amp;"","")</f>
        <v/>
      </c>
      <c r="AD25" s="181">
        <f>IFERROR(VLOOKUP(INDEX(INDIRECT($B$1&amp;"!"&amp;ADDRESS(8,COLUMN()+6,4)&amp;":"&amp;ADDRESS(73,COLUMN()+6,4)),MATCH($B25,INDIRECT($B$1&amp;"!$A$8:$A$73"),0)),CONFIG!$A$15:$B$40,2,FALSE)&amp;"","")</f>
        <v/>
      </c>
      <c r="AE25" s="181">
        <f>IFERROR(VLOOKUP(INDEX(INDIRECT($B$1&amp;"!"&amp;ADDRESS(8,COLUMN()+6,4)&amp;":"&amp;ADDRESS(73,COLUMN()+6,4)),MATCH($B25,INDIRECT($B$1&amp;"!$A$8:$A$73"),0)),CONFIG!$A$15:$B$40,2,FALSE)&amp;"","")</f>
        <v/>
      </c>
      <c r="AF25" s="181">
        <f>IFERROR(VLOOKUP(INDEX(INDIRECT($B$1&amp;"!"&amp;ADDRESS(8,COLUMN()+6,4)&amp;":"&amp;ADDRESS(73,COLUMN()+6,4)),MATCH($B25,INDIRECT($B$1&amp;"!$A$8:$A$73"),0)),CONFIG!$A$15:$B$40,2,FALSE)&amp;"","")</f>
        <v/>
      </c>
      <c r="AG25" s="181">
        <f>IFERROR(VLOOKUP(INDEX(INDIRECT($B$1&amp;"!"&amp;ADDRESS(8,COLUMN()+6,4)&amp;":"&amp;ADDRESS(73,COLUMN()+6,4)),MATCH($B25,INDIRECT($B$1&amp;"!$A$8:$A$73"),0)),CONFIG!$A$15:$B$40,2,FALSE)&amp;"","")</f>
        <v/>
      </c>
      <c r="AH25" s="181">
        <f>IFERROR(VLOOKUP(INDEX(INDIRECT($B$1&amp;"!"&amp;ADDRESS(8,COLUMN()+6,4)&amp;":"&amp;ADDRESS(73,COLUMN()+6,4)),MATCH($B25,INDIRECT($B$1&amp;"!$A$8:$A$73"),0)),CONFIG!$A$15:$B$40,2,FALSE)&amp;"","")</f>
        <v/>
      </c>
      <c r="AI25" s="39" t="n"/>
    </row>
    <row r="26">
      <c r="A26" s="179" t="inlineStr">
        <is>
          <t>Roberta Iglesias</t>
        </is>
      </c>
      <c r="B26" s="180" t="inlineStr">
        <is>
          <t>Roberta</t>
        </is>
      </c>
      <c r="C26" s="181">
        <f>IFERROR(VLOOKUP(INDEX(INDIRECT($B$1&amp;"!"&amp;ADDRESS(8,COLUMN()+6,4)&amp;":"&amp;ADDRESS(73,COLUMN()+6,4)),MATCH($B26,INDIRECT($B$1&amp;"!$A$8:$A$73"),0)),CONFIG!$A$15:$B$40,2,FALSE)&amp;"","")</f>
        <v/>
      </c>
      <c r="D26" s="181">
        <f>IFERROR(VLOOKUP(INDEX(INDIRECT($B$1&amp;"!"&amp;ADDRESS(8,COLUMN()+6,4)&amp;":"&amp;ADDRESS(73,COLUMN()+6,4)),MATCH($B26,INDIRECT($B$1&amp;"!$A$8:$A$73"),0)),CONFIG!$A$15:$B$40,2,FALSE)&amp;"","")</f>
        <v/>
      </c>
      <c r="E26" s="181">
        <f>IFERROR(VLOOKUP(INDEX(INDIRECT($B$1&amp;"!"&amp;ADDRESS(8,COLUMN()+6,4)&amp;":"&amp;ADDRESS(73,COLUMN()+6,4)),MATCH($B26,INDIRECT($B$1&amp;"!$A$8:$A$73"),0)),CONFIG!$A$15:$B$40,2,FALSE)&amp;"","")</f>
        <v/>
      </c>
      <c r="F26" s="181">
        <f>IFERROR(VLOOKUP(INDEX(INDIRECT($B$1&amp;"!"&amp;ADDRESS(8,COLUMN()+6,4)&amp;":"&amp;ADDRESS(73,COLUMN()+6,4)),MATCH($B26,INDIRECT($B$1&amp;"!$A$8:$A$73"),0)),CONFIG!$A$15:$B$40,2,FALSE)&amp;"","")</f>
        <v/>
      </c>
      <c r="G26" s="181">
        <f>IFERROR(VLOOKUP(INDEX(INDIRECT($B$1&amp;"!"&amp;ADDRESS(8,COLUMN()+6,4)&amp;":"&amp;ADDRESS(73,COLUMN()+6,4)),MATCH($B26,INDIRECT($B$1&amp;"!$A$8:$A$73"),0)),CONFIG!$A$15:$B$40,2,FALSE)&amp;"","")</f>
        <v/>
      </c>
      <c r="H26" s="181">
        <f>IFERROR(VLOOKUP(INDEX(INDIRECT($B$1&amp;"!"&amp;ADDRESS(8,COLUMN()+6,4)&amp;":"&amp;ADDRESS(73,COLUMN()+6,4)),MATCH($B26,INDIRECT($B$1&amp;"!$A$8:$A$73"),0)),CONFIG!$A$15:$B$40,2,FALSE)&amp;"","")</f>
        <v/>
      </c>
      <c r="I26" s="181">
        <f>IFERROR(VLOOKUP(INDEX(INDIRECT($B$1&amp;"!"&amp;ADDRESS(8,COLUMN()+6,4)&amp;":"&amp;ADDRESS(73,COLUMN()+6,4)),MATCH($B26,INDIRECT($B$1&amp;"!$A$8:$A$73"),0)),CONFIG!$A$15:$B$40,2,FALSE)&amp;"","")</f>
        <v/>
      </c>
      <c r="J26" s="181">
        <f>IFERROR(VLOOKUP(INDEX(INDIRECT($B$1&amp;"!"&amp;ADDRESS(8,COLUMN()+6,4)&amp;":"&amp;ADDRESS(73,COLUMN()+6,4)),MATCH($B26,INDIRECT($B$1&amp;"!$A$8:$A$73"),0)),CONFIG!$A$15:$B$40,2,FALSE)&amp;"","")</f>
        <v/>
      </c>
      <c r="K26" s="181">
        <f>IFERROR(VLOOKUP(INDEX(INDIRECT($B$1&amp;"!"&amp;ADDRESS(8,COLUMN()+6,4)&amp;":"&amp;ADDRESS(73,COLUMN()+6,4)),MATCH($B26,INDIRECT($B$1&amp;"!$A$8:$A$73"),0)),CONFIG!$A$15:$B$40,2,FALSE)&amp;"","")</f>
        <v/>
      </c>
      <c r="L26" s="181">
        <f>IFERROR(VLOOKUP(INDEX(INDIRECT($B$1&amp;"!"&amp;ADDRESS(8,COLUMN()+6,4)&amp;":"&amp;ADDRESS(73,COLUMN()+6,4)),MATCH($B26,INDIRECT($B$1&amp;"!$A$8:$A$73"),0)),CONFIG!$A$15:$B$40,2,FALSE)&amp;"","")</f>
        <v/>
      </c>
      <c r="M26" s="181">
        <f>IFERROR(VLOOKUP(INDEX(INDIRECT($B$1&amp;"!"&amp;ADDRESS(8,COLUMN()+6,4)&amp;":"&amp;ADDRESS(73,COLUMN()+6,4)),MATCH($B26,INDIRECT($B$1&amp;"!$A$8:$A$73"),0)),CONFIG!$A$15:$B$40,2,FALSE)&amp;"","")</f>
        <v/>
      </c>
      <c r="N26" s="181">
        <f>IFERROR(VLOOKUP(INDEX(INDIRECT($B$1&amp;"!"&amp;ADDRESS(8,COLUMN()+6,4)&amp;":"&amp;ADDRESS(73,COLUMN()+6,4)),MATCH($B26,INDIRECT($B$1&amp;"!$A$8:$A$73"),0)),CONFIG!$A$15:$B$40,2,FALSE)&amp;"","")</f>
        <v/>
      </c>
      <c r="O26" s="181">
        <f>IFERROR(VLOOKUP(INDEX(INDIRECT($B$1&amp;"!"&amp;ADDRESS(8,COLUMN()+6,4)&amp;":"&amp;ADDRESS(73,COLUMN()+6,4)),MATCH($B26,INDIRECT($B$1&amp;"!$A$8:$A$73"),0)),CONFIG!$A$15:$B$40,2,FALSE)&amp;"","")</f>
        <v/>
      </c>
      <c r="P26" s="181">
        <f>IFERROR(VLOOKUP(INDEX(INDIRECT($B$1&amp;"!"&amp;ADDRESS(8,COLUMN()+6,4)&amp;":"&amp;ADDRESS(73,COLUMN()+6,4)),MATCH($B26,INDIRECT($B$1&amp;"!$A$8:$A$73"),0)),CONFIG!$A$15:$B$40,2,FALSE)&amp;"","")</f>
        <v/>
      </c>
      <c r="Q26" s="181">
        <f>IFERROR(VLOOKUP(INDEX(INDIRECT($B$1&amp;"!"&amp;ADDRESS(8,COLUMN()+6,4)&amp;":"&amp;ADDRESS(73,COLUMN()+6,4)),MATCH($B26,INDIRECT($B$1&amp;"!$A$8:$A$73"),0)),CONFIG!$A$15:$B$40,2,FALSE)&amp;"","")</f>
        <v/>
      </c>
      <c r="R26" s="181">
        <f>IFERROR(VLOOKUP(INDEX(INDIRECT($B$1&amp;"!"&amp;ADDRESS(8,COLUMN()+6,4)&amp;":"&amp;ADDRESS(73,COLUMN()+6,4)),MATCH($B26,INDIRECT($B$1&amp;"!$A$8:$A$73"),0)),CONFIG!$A$15:$B$40,2,FALSE)&amp;"","")</f>
        <v/>
      </c>
      <c r="S26" s="181">
        <f>IFERROR(VLOOKUP(INDEX(INDIRECT($B$1&amp;"!"&amp;ADDRESS(8,COLUMN()+6,4)&amp;":"&amp;ADDRESS(73,COLUMN()+6,4)),MATCH($B26,INDIRECT($B$1&amp;"!$A$8:$A$73"),0)),CONFIG!$A$15:$B$40,2,FALSE)&amp;"","")</f>
        <v/>
      </c>
      <c r="T26" s="181">
        <f>IFERROR(VLOOKUP(INDEX(INDIRECT($B$1&amp;"!"&amp;ADDRESS(8,COLUMN()+6,4)&amp;":"&amp;ADDRESS(73,COLUMN()+6,4)),MATCH($B26,INDIRECT($B$1&amp;"!$A$8:$A$73"),0)),CONFIG!$A$15:$B$40,2,FALSE)&amp;"","")</f>
        <v/>
      </c>
      <c r="U26" s="181">
        <f>IFERROR(VLOOKUP(INDEX(INDIRECT($B$1&amp;"!"&amp;ADDRESS(8,COLUMN()+6,4)&amp;":"&amp;ADDRESS(73,COLUMN()+6,4)),MATCH($B26,INDIRECT($B$1&amp;"!$A$8:$A$73"),0)),CONFIG!$A$15:$B$40,2,FALSE)&amp;"","")</f>
        <v/>
      </c>
      <c r="V26" s="181">
        <f>IFERROR(VLOOKUP(INDEX(INDIRECT($B$1&amp;"!"&amp;ADDRESS(8,COLUMN()+6,4)&amp;":"&amp;ADDRESS(73,COLUMN()+6,4)),MATCH($B26,INDIRECT($B$1&amp;"!$A$8:$A$73"),0)),CONFIG!$A$15:$B$40,2,FALSE)&amp;"","")</f>
        <v/>
      </c>
      <c r="W26" s="181">
        <f>IFERROR(VLOOKUP(INDEX(INDIRECT($B$1&amp;"!"&amp;ADDRESS(8,COLUMN()+6,4)&amp;":"&amp;ADDRESS(73,COLUMN()+6,4)),MATCH($B26,INDIRECT($B$1&amp;"!$A$8:$A$73"),0)),CONFIG!$A$15:$B$40,2,FALSE)&amp;"","")</f>
        <v/>
      </c>
      <c r="X26" s="181">
        <f>IFERROR(VLOOKUP(INDEX(INDIRECT($B$1&amp;"!"&amp;ADDRESS(8,COLUMN()+6,4)&amp;":"&amp;ADDRESS(73,COLUMN()+6,4)),MATCH($B26,INDIRECT($B$1&amp;"!$A$8:$A$73"),0)),CONFIG!$A$15:$B$40,2,FALSE)&amp;"","")</f>
        <v/>
      </c>
      <c r="Y26" s="181">
        <f>IFERROR(VLOOKUP(INDEX(INDIRECT($B$1&amp;"!"&amp;ADDRESS(8,COLUMN()+6,4)&amp;":"&amp;ADDRESS(73,COLUMN()+6,4)),MATCH($B26,INDIRECT($B$1&amp;"!$A$8:$A$73"),0)),CONFIG!$A$15:$B$40,2,FALSE)&amp;"","")</f>
        <v/>
      </c>
      <c r="Z26" s="181">
        <f>IFERROR(VLOOKUP(INDEX(INDIRECT($B$1&amp;"!"&amp;ADDRESS(8,COLUMN()+6,4)&amp;":"&amp;ADDRESS(73,COLUMN()+6,4)),MATCH($B26,INDIRECT($B$1&amp;"!$A$8:$A$73"),0)),CONFIG!$A$15:$B$40,2,FALSE)&amp;"","")</f>
        <v/>
      </c>
      <c r="AA26" s="181">
        <f>IFERROR(VLOOKUP(INDEX(INDIRECT($B$1&amp;"!"&amp;ADDRESS(8,COLUMN()+6,4)&amp;":"&amp;ADDRESS(73,COLUMN()+6,4)),MATCH($B26,INDIRECT($B$1&amp;"!$A$8:$A$73"),0)),CONFIG!$A$15:$B$40,2,FALSE)&amp;"","")</f>
        <v/>
      </c>
      <c r="AB26" s="181">
        <f>IFERROR(VLOOKUP(INDEX(INDIRECT($B$1&amp;"!"&amp;ADDRESS(8,COLUMN()+6,4)&amp;":"&amp;ADDRESS(73,COLUMN()+6,4)),MATCH($B26,INDIRECT($B$1&amp;"!$A$8:$A$73"),0)),CONFIG!$A$15:$B$40,2,FALSE)&amp;"","")</f>
        <v/>
      </c>
      <c r="AC26" s="181">
        <f>IFERROR(VLOOKUP(INDEX(INDIRECT($B$1&amp;"!"&amp;ADDRESS(8,COLUMN()+6,4)&amp;":"&amp;ADDRESS(73,COLUMN()+6,4)),MATCH($B26,INDIRECT($B$1&amp;"!$A$8:$A$73"),0)),CONFIG!$A$15:$B$40,2,FALSE)&amp;"","")</f>
        <v/>
      </c>
      <c r="AD26" s="181">
        <f>IFERROR(VLOOKUP(INDEX(INDIRECT($B$1&amp;"!"&amp;ADDRESS(8,COLUMN()+6,4)&amp;":"&amp;ADDRESS(73,COLUMN()+6,4)),MATCH($B26,INDIRECT($B$1&amp;"!$A$8:$A$73"),0)),CONFIG!$A$15:$B$40,2,FALSE)&amp;"","")</f>
        <v/>
      </c>
      <c r="AE26" s="181">
        <f>IFERROR(VLOOKUP(INDEX(INDIRECT($B$1&amp;"!"&amp;ADDRESS(8,COLUMN()+6,4)&amp;":"&amp;ADDRESS(73,COLUMN()+6,4)),MATCH($B26,INDIRECT($B$1&amp;"!$A$8:$A$73"),0)),CONFIG!$A$15:$B$40,2,FALSE)&amp;"","")</f>
        <v/>
      </c>
      <c r="AF26" s="181">
        <f>IFERROR(VLOOKUP(INDEX(INDIRECT($B$1&amp;"!"&amp;ADDRESS(8,COLUMN()+6,4)&amp;":"&amp;ADDRESS(73,COLUMN()+6,4)),MATCH($B26,INDIRECT($B$1&amp;"!$A$8:$A$73"),0)),CONFIG!$A$15:$B$40,2,FALSE)&amp;"","")</f>
        <v/>
      </c>
      <c r="AG26" s="181">
        <f>IFERROR(VLOOKUP(INDEX(INDIRECT($B$1&amp;"!"&amp;ADDRESS(8,COLUMN()+6,4)&amp;":"&amp;ADDRESS(73,COLUMN()+6,4)),MATCH($B26,INDIRECT($B$1&amp;"!$A$8:$A$73"),0)),CONFIG!$A$15:$B$40,2,FALSE)&amp;"","")</f>
        <v/>
      </c>
      <c r="AH26" s="181">
        <f>IFERROR(VLOOKUP(INDEX(INDIRECT($B$1&amp;"!"&amp;ADDRESS(8,COLUMN()+6,4)&amp;":"&amp;ADDRESS(73,COLUMN()+6,4)),MATCH($B26,INDIRECT($B$1&amp;"!$A$8:$A$73"),0)),CONFIG!$A$15:$B$40,2,FALSE)&amp;"","")</f>
        <v/>
      </c>
      <c r="AI26" s="39" t="n"/>
    </row>
    <row r="27">
      <c r="A27" s="179" t="inlineStr">
        <is>
          <t>Luciana Alice</t>
        </is>
      </c>
      <c r="B27" s="180" t="inlineStr">
        <is>
          <t>LuAlice</t>
        </is>
      </c>
      <c r="C27" s="181">
        <f>IFERROR(VLOOKUP(INDEX(INDIRECT($B$1&amp;"!"&amp;ADDRESS(8,COLUMN()+6,4)&amp;":"&amp;ADDRESS(73,COLUMN()+6,4)),MATCH($B27,INDIRECT($B$1&amp;"!$A$8:$A$73"),0)),CONFIG!$A$15:$B$40,2,FALSE)&amp;"","")</f>
        <v/>
      </c>
      <c r="D27" s="181">
        <f>IFERROR(VLOOKUP(INDEX(INDIRECT($B$1&amp;"!"&amp;ADDRESS(8,COLUMN()+6,4)&amp;":"&amp;ADDRESS(73,COLUMN()+6,4)),MATCH($B27,INDIRECT($B$1&amp;"!$A$8:$A$73"),0)),CONFIG!$A$15:$B$40,2,FALSE)&amp;"","")</f>
        <v/>
      </c>
      <c r="E27" s="181">
        <f>IFERROR(VLOOKUP(INDEX(INDIRECT($B$1&amp;"!"&amp;ADDRESS(8,COLUMN()+6,4)&amp;":"&amp;ADDRESS(73,COLUMN()+6,4)),MATCH($B27,INDIRECT($B$1&amp;"!$A$8:$A$73"),0)),CONFIG!$A$15:$B$40,2,FALSE)&amp;"","")</f>
        <v/>
      </c>
      <c r="F27" s="181">
        <f>IFERROR(VLOOKUP(INDEX(INDIRECT($B$1&amp;"!"&amp;ADDRESS(8,COLUMN()+6,4)&amp;":"&amp;ADDRESS(73,COLUMN()+6,4)),MATCH($B27,INDIRECT($B$1&amp;"!$A$8:$A$73"),0)),CONFIG!$A$15:$B$40,2,FALSE)&amp;"","")</f>
        <v/>
      </c>
      <c r="G27" s="181">
        <f>IFERROR(VLOOKUP(INDEX(INDIRECT($B$1&amp;"!"&amp;ADDRESS(8,COLUMN()+6,4)&amp;":"&amp;ADDRESS(73,COLUMN()+6,4)),MATCH($B27,INDIRECT($B$1&amp;"!$A$8:$A$73"),0)),CONFIG!$A$15:$B$40,2,FALSE)&amp;"","")</f>
        <v/>
      </c>
      <c r="H27" s="181">
        <f>IFERROR(VLOOKUP(INDEX(INDIRECT($B$1&amp;"!"&amp;ADDRESS(8,COLUMN()+6,4)&amp;":"&amp;ADDRESS(73,COLUMN()+6,4)),MATCH($B27,INDIRECT($B$1&amp;"!$A$8:$A$73"),0)),CONFIG!$A$15:$B$40,2,FALSE)&amp;"","")</f>
        <v/>
      </c>
      <c r="I27" s="181">
        <f>IFERROR(VLOOKUP(INDEX(INDIRECT($B$1&amp;"!"&amp;ADDRESS(8,COLUMN()+6,4)&amp;":"&amp;ADDRESS(73,COLUMN()+6,4)),MATCH($B27,INDIRECT($B$1&amp;"!$A$8:$A$73"),0)),CONFIG!$A$15:$B$40,2,FALSE)&amp;"","")</f>
        <v/>
      </c>
      <c r="J27" s="181">
        <f>IFERROR(VLOOKUP(INDEX(INDIRECT($B$1&amp;"!"&amp;ADDRESS(8,COLUMN()+6,4)&amp;":"&amp;ADDRESS(73,COLUMN()+6,4)),MATCH($B27,INDIRECT($B$1&amp;"!$A$8:$A$73"),0)),CONFIG!$A$15:$B$40,2,FALSE)&amp;"","")</f>
        <v/>
      </c>
      <c r="K27" s="181">
        <f>IFERROR(VLOOKUP(INDEX(INDIRECT($B$1&amp;"!"&amp;ADDRESS(8,COLUMN()+6,4)&amp;":"&amp;ADDRESS(73,COLUMN()+6,4)),MATCH($B27,INDIRECT($B$1&amp;"!$A$8:$A$73"),0)),CONFIG!$A$15:$B$40,2,FALSE)&amp;"","")</f>
        <v/>
      </c>
      <c r="L27" s="181">
        <f>IFERROR(VLOOKUP(INDEX(INDIRECT($B$1&amp;"!"&amp;ADDRESS(8,COLUMN()+6,4)&amp;":"&amp;ADDRESS(73,COLUMN()+6,4)),MATCH($B27,INDIRECT($B$1&amp;"!$A$8:$A$73"),0)),CONFIG!$A$15:$B$40,2,FALSE)&amp;"","")</f>
        <v/>
      </c>
      <c r="M27" s="181">
        <f>IFERROR(VLOOKUP(INDEX(INDIRECT($B$1&amp;"!"&amp;ADDRESS(8,COLUMN()+6,4)&amp;":"&amp;ADDRESS(73,COLUMN()+6,4)),MATCH($B27,INDIRECT($B$1&amp;"!$A$8:$A$73"),0)),CONFIG!$A$15:$B$40,2,FALSE)&amp;"","")</f>
        <v/>
      </c>
      <c r="N27" s="181">
        <f>IFERROR(VLOOKUP(INDEX(INDIRECT($B$1&amp;"!"&amp;ADDRESS(8,COLUMN()+6,4)&amp;":"&amp;ADDRESS(73,COLUMN()+6,4)),MATCH($B27,INDIRECT($B$1&amp;"!$A$8:$A$73"),0)),CONFIG!$A$15:$B$40,2,FALSE)&amp;"","")</f>
        <v/>
      </c>
      <c r="O27" s="181">
        <f>IFERROR(VLOOKUP(INDEX(INDIRECT($B$1&amp;"!"&amp;ADDRESS(8,COLUMN()+6,4)&amp;":"&amp;ADDRESS(73,COLUMN()+6,4)),MATCH($B27,INDIRECT($B$1&amp;"!$A$8:$A$73"),0)),CONFIG!$A$15:$B$40,2,FALSE)&amp;"","")</f>
        <v/>
      </c>
      <c r="P27" s="181">
        <f>IFERROR(VLOOKUP(INDEX(INDIRECT($B$1&amp;"!"&amp;ADDRESS(8,COLUMN()+6,4)&amp;":"&amp;ADDRESS(73,COLUMN()+6,4)),MATCH($B27,INDIRECT($B$1&amp;"!$A$8:$A$73"),0)),CONFIG!$A$15:$B$40,2,FALSE)&amp;"","")</f>
        <v/>
      </c>
      <c r="Q27" s="181">
        <f>IFERROR(VLOOKUP(INDEX(INDIRECT($B$1&amp;"!"&amp;ADDRESS(8,COLUMN()+6,4)&amp;":"&amp;ADDRESS(73,COLUMN()+6,4)),MATCH($B27,INDIRECT($B$1&amp;"!$A$8:$A$73"),0)),CONFIG!$A$15:$B$40,2,FALSE)&amp;"","")</f>
        <v/>
      </c>
      <c r="R27" s="181">
        <f>IFERROR(VLOOKUP(INDEX(INDIRECT($B$1&amp;"!"&amp;ADDRESS(8,COLUMN()+6,4)&amp;":"&amp;ADDRESS(73,COLUMN()+6,4)),MATCH($B27,INDIRECT($B$1&amp;"!$A$8:$A$73"),0)),CONFIG!$A$15:$B$40,2,FALSE)&amp;"","")</f>
        <v/>
      </c>
      <c r="S27" s="181">
        <f>IFERROR(VLOOKUP(INDEX(INDIRECT($B$1&amp;"!"&amp;ADDRESS(8,COLUMN()+6,4)&amp;":"&amp;ADDRESS(73,COLUMN()+6,4)),MATCH($B27,INDIRECT($B$1&amp;"!$A$8:$A$73"),0)),CONFIG!$A$15:$B$40,2,FALSE)&amp;"","")</f>
        <v/>
      </c>
      <c r="T27" s="181">
        <f>IFERROR(VLOOKUP(INDEX(INDIRECT($B$1&amp;"!"&amp;ADDRESS(8,COLUMN()+6,4)&amp;":"&amp;ADDRESS(73,COLUMN()+6,4)),MATCH($B27,INDIRECT($B$1&amp;"!$A$8:$A$73"),0)),CONFIG!$A$15:$B$40,2,FALSE)&amp;"","")</f>
        <v/>
      </c>
      <c r="U27" s="181">
        <f>IFERROR(VLOOKUP(INDEX(INDIRECT($B$1&amp;"!"&amp;ADDRESS(8,COLUMN()+6,4)&amp;":"&amp;ADDRESS(73,COLUMN()+6,4)),MATCH($B27,INDIRECT($B$1&amp;"!$A$8:$A$73"),0)),CONFIG!$A$15:$B$40,2,FALSE)&amp;"","")</f>
        <v/>
      </c>
      <c r="V27" s="181">
        <f>IFERROR(VLOOKUP(INDEX(INDIRECT($B$1&amp;"!"&amp;ADDRESS(8,COLUMN()+6,4)&amp;":"&amp;ADDRESS(73,COLUMN()+6,4)),MATCH($B27,INDIRECT($B$1&amp;"!$A$8:$A$73"),0)),CONFIG!$A$15:$B$40,2,FALSE)&amp;"","")</f>
        <v/>
      </c>
      <c r="W27" s="181">
        <f>IFERROR(VLOOKUP(INDEX(INDIRECT($B$1&amp;"!"&amp;ADDRESS(8,COLUMN()+6,4)&amp;":"&amp;ADDRESS(73,COLUMN()+6,4)),MATCH($B27,INDIRECT($B$1&amp;"!$A$8:$A$73"),0)),CONFIG!$A$15:$B$40,2,FALSE)&amp;"","")</f>
        <v/>
      </c>
      <c r="X27" s="181">
        <f>IFERROR(VLOOKUP(INDEX(INDIRECT($B$1&amp;"!"&amp;ADDRESS(8,COLUMN()+6,4)&amp;":"&amp;ADDRESS(73,COLUMN()+6,4)),MATCH($B27,INDIRECT($B$1&amp;"!$A$8:$A$73"),0)),CONFIG!$A$15:$B$40,2,FALSE)&amp;"","")</f>
        <v/>
      </c>
      <c r="Y27" s="181">
        <f>IFERROR(VLOOKUP(INDEX(INDIRECT($B$1&amp;"!"&amp;ADDRESS(8,COLUMN()+6,4)&amp;":"&amp;ADDRESS(73,COLUMN()+6,4)),MATCH($B27,INDIRECT($B$1&amp;"!$A$8:$A$73"),0)),CONFIG!$A$15:$B$40,2,FALSE)&amp;"","")</f>
        <v/>
      </c>
      <c r="Z27" s="181">
        <f>IFERROR(VLOOKUP(INDEX(INDIRECT($B$1&amp;"!"&amp;ADDRESS(8,COLUMN()+6,4)&amp;":"&amp;ADDRESS(73,COLUMN()+6,4)),MATCH($B27,INDIRECT($B$1&amp;"!$A$8:$A$73"),0)),CONFIG!$A$15:$B$40,2,FALSE)&amp;"","")</f>
        <v/>
      </c>
      <c r="AA27" s="181">
        <f>IFERROR(VLOOKUP(INDEX(INDIRECT($B$1&amp;"!"&amp;ADDRESS(8,COLUMN()+6,4)&amp;":"&amp;ADDRESS(73,COLUMN()+6,4)),MATCH($B27,INDIRECT($B$1&amp;"!$A$8:$A$73"),0)),CONFIG!$A$15:$B$40,2,FALSE)&amp;"","")</f>
        <v/>
      </c>
      <c r="AB27" s="181">
        <f>IFERROR(VLOOKUP(INDEX(INDIRECT($B$1&amp;"!"&amp;ADDRESS(8,COLUMN()+6,4)&amp;":"&amp;ADDRESS(73,COLUMN()+6,4)),MATCH($B27,INDIRECT($B$1&amp;"!$A$8:$A$73"),0)),CONFIG!$A$15:$B$40,2,FALSE)&amp;"","")</f>
        <v/>
      </c>
      <c r="AC27" s="181">
        <f>IFERROR(VLOOKUP(INDEX(INDIRECT($B$1&amp;"!"&amp;ADDRESS(8,COLUMN()+6,4)&amp;":"&amp;ADDRESS(73,COLUMN()+6,4)),MATCH($B27,INDIRECT($B$1&amp;"!$A$8:$A$73"),0)),CONFIG!$A$15:$B$40,2,FALSE)&amp;"","")</f>
        <v/>
      </c>
      <c r="AD27" s="181">
        <f>IFERROR(VLOOKUP(INDEX(INDIRECT($B$1&amp;"!"&amp;ADDRESS(8,COLUMN()+6,4)&amp;":"&amp;ADDRESS(73,COLUMN()+6,4)),MATCH($B27,INDIRECT($B$1&amp;"!$A$8:$A$73"),0)),CONFIG!$A$15:$B$40,2,FALSE)&amp;"","")</f>
        <v/>
      </c>
      <c r="AE27" s="181">
        <f>IFERROR(VLOOKUP(INDEX(INDIRECT($B$1&amp;"!"&amp;ADDRESS(8,COLUMN()+6,4)&amp;":"&amp;ADDRESS(73,COLUMN()+6,4)),MATCH($B27,INDIRECT($B$1&amp;"!$A$8:$A$73"),0)),CONFIG!$A$15:$B$40,2,FALSE)&amp;"","")</f>
        <v/>
      </c>
      <c r="AF27" s="181">
        <f>IFERROR(VLOOKUP(INDEX(INDIRECT($B$1&amp;"!"&amp;ADDRESS(8,COLUMN()+6,4)&amp;":"&amp;ADDRESS(73,COLUMN()+6,4)),MATCH($B27,INDIRECT($B$1&amp;"!$A$8:$A$73"),0)),CONFIG!$A$15:$B$40,2,FALSE)&amp;"","")</f>
        <v/>
      </c>
      <c r="AG27" s="181">
        <f>IFERROR(VLOOKUP(INDEX(INDIRECT($B$1&amp;"!"&amp;ADDRESS(8,COLUMN()+6,4)&amp;":"&amp;ADDRESS(73,COLUMN()+6,4)),MATCH($B27,INDIRECT($B$1&amp;"!$A$8:$A$73"),0)),CONFIG!$A$15:$B$40,2,FALSE)&amp;"","")</f>
        <v/>
      </c>
      <c r="AH27" s="181">
        <f>IFERROR(VLOOKUP(INDEX(INDIRECT($B$1&amp;"!"&amp;ADDRESS(8,COLUMN()+6,4)&amp;":"&amp;ADDRESS(73,COLUMN()+6,4)),MATCH($B27,INDIRECT($B$1&amp;"!$A$8:$A$73"),0)),CONFIG!$A$15:$B$40,2,FALSE)&amp;"","")</f>
        <v/>
      </c>
      <c r="AI27" s="39" t="n"/>
    </row>
    <row r="28">
      <c r="A28" s="179" t="inlineStr">
        <is>
          <t>Amanda Braga</t>
        </is>
      </c>
      <c r="B28" s="180" t="inlineStr">
        <is>
          <t>Amanda</t>
        </is>
      </c>
      <c r="C28" s="181">
        <f>IFERROR(VLOOKUP(INDEX(INDIRECT($B$1&amp;"!"&amp;ADDRESS(8,COLUMN()+6,4)&amp;":"&amp;ADDRESS(73,COLUMN()+6,4)),MATCH($B28,INDIRECT($B$1&amp;"!$A$8:$A$73"),0)),CONFIG!$A$15:$B$40,2,FALSE)&amp;"","")</f>
        <v/>
      </c>
      <c r="D28" s="181">
        <f>IFERROR(VLOOKUP(INDEX(INDIRECT($B$1&amp;"!"&amp;ADDRESS(8,COLUMN()+6,4)&amp;":"&amp;ADDRESS(73,COLUMN()+6,4)),MATCH($B28,INDIRECT($B$1&amp;"!$A$8:$A$73"),0)),CONFIG!$A$15:$B$40,2,FALSE)&amp;"","")</f>
        <v/>
      </c>
      <c r="E28" s="181">
        <f>IFERROR(VLOOKUP(INDEX(INDIRECT($B$1&amp;"!"&amp;ADDRESS(8,COLUMN()+6,4)&amp;":"&amp;ADDRESS(73,COLUMN()+6,4)),MATCH($B28,INDIRECT($B$1&amp;"!$A$8:$A$73"),0)),CONFIG!$A$15:$B$40,2,FALSE)&amp;"","")</f>
        <v/>
      </c>
      <c r="F28" s="181">
        <f>IFERROR(VLOOKUP(INDEX(INDIRECT($B$1&amp;"!"&amp;ADDRESS(8,COLUMN()+6,4)&amp;":"&amp;ADDRESS(73,COLUMN()+6,4)),MATCH($B28,INDIRECT($B$1&amp;"!$A$8:$A$73"),0)),CONFIG!$A$15:$B$40,2,FALSE)&amp;"","")</f>
        <v/>
      </c>
      <c r="G28" s="181">
        <f>IFERROR(VLOOKUP(INDEX(INDIRECT($B$1&amp;"!"&amp;ADDRESS(8,COLUMN()+6,4)&amp;":"&amp;ADDRESS(73,COLUMN()+6,4)),MATCH($B28,INDIRECT($B$1&amp;"!$A$8:$A$73"),0)),CONFIG!$A$15:$B$40,2,FALSE)&amp;"","")</f>
        <v/>
      </c>
      <c r="H28" s="181">
        <f>IFERROR(VLOOKUP(INDEX(INDIRECT($B$1&amp;"!"&amp;ADDRESS(8,COLUMN()+6,4)&amp;":"&amp;ADDRESS(73,COLUMN()+6,4)),MATCH($B28,INDIRECT($B$1&amp;"!$A$8:$A$73"),0)),CONFIG!$A$15:$B$40,2,FALSE)&amp;"","")</f>
        <v/>
      </c>
      <c r="I28" s="181">
        <f>IFERROR(VLOOKUP(INDEX(INDIRECT($B$1&amp;"!"&amp;ADDRESS(8,COLUMN()+6,4)&amp;":"&amp;ADDRESS(73,COLUMN()+6,4)),MATCH($B28,INDIRECT($B$1&amp;"!$A$8:$A$73"),0)),CONFIG!$A$15:$B$40,2,FALSE)&amp;"","")</f>
        <v/>
      </c>
      <c r="J28" s="181">
        <f>IFERROR(VLOOKUP(INDEX(INDIRECT($B$1&amp;"!"&amp;ADDRESS(8,COLUMN()+6,4)&amp;":"&amp;ADDRESS(73,COLUMN()+6,4)),MATCH($B28,INDIRECT($B$1&amp;"!$A$8:$A$73"),0)),CONFIG!$A$15:$B$40,2,FALSE)&amp;"","")</f>
        <v/>
      </c>
      <c r="K28" s="181">
        <f>IFERROR(VLOOKUP(INDEX(INDIRECT($B$1&amp;"!"&amp;ADDRESS(8,COLUMN()+6,4)&amp;":"&amp;ADDRESS(73,COLUMN()+6,4)),MATCH($B28,INDIRECT($B$1&amp;"!$A$8:$A$73"),0)),CONFIG!$A$15:$B$40,2,FALSE)&amp;"","")</f>
        <v/>
      </c>
      <c r="L28" s="181">
        <f>IFERROR(VLOOKUP(INDEX(INDIRECT($B$1&amp;"!"&amp;ADDRESS(8,COLUMN()+6,4)&amp;":"&amp;ADDRESS(73,COLUMN()+6,4)),MATCH($B28,INDIRECT($B$1&amp;"!$A$8:$A$73"),0)),CONFIG!$A$15:$B$40,2,FALSE)&amp;"","")</f>
        <v/>
      </c>
      <c r="M28" s="181">
        <f>IFERROR(VLOOKUP(INDEX(INDIRECT($B$1&amp;"!"&amp;ADDRESS(8,COLUMN()+6,4)&amp;":"&amp;ADDRESS(73,COLUMN()+6,4)),MATCH($B28,INDIRECT($B$1&amp;"!$A$8:$A$73"),0)),CONFIG!$A$15:$B$40,2,FALSE)&amp;"","")</f>
        <v/>
      </c>
      <c r="N28" s="181">
        <f>IFERROR(VLOOKUP(INDEX(INDIRECT($B$1&amp;"!"&amp;ADDRESS(8,COLUMN()+6,4)&amp;":"&amp;ADDRESS(73,COLUMN()+6,4)),MATCH($B28,INDIRECT($B$1&amp;"!$A$8:$A$73"),0)),CONFIG!$A$15:$B$40,2,FALSE)&amp;"","")</f>
        <v/>
      </c>
      <c r="O28" s="181">
        <f>IFERROR(VLOOKUP(INDEX(INDIRECT($B$1&amp;"!"&amp;ADDRESS(8,COLUMN()+6,4)&amp;":"&amp;ADDRESS(73,COLUMN()+6,4)),MATCH($B28,INDIRECT($B$1&amp;"!$A$8:$A$73"),0)),CONFIG!$A$15:$B$40,2,FALSE)&amp;"","")</f>
        <v/>
      </c>
      <c r="P28" s="181">
        <f>IFERROR(VLOOKUP(INDEX(INDIRECT($B$1&amp;"!"&amp;ADDRESS(8,COLUMN()+6,4)&amp;":"&amp;ADDRESS(73,COLUMN()+6,4)),MATCH($B28,INDIRECT($B$1&amp;"!$A$8:$A$73"),0)),CONFIG!$A$15:$B$40,2,FALSE)&amp;"","")</f>
        <v/>
      </c>
      <c r="Q28" s="181">
        <f>IFERROR(VLOOKUP(INDEX(INDIRECT($B$1&amp;"!"&amp;ADDRESS(8,COLUMN()+6,4)&amp;":"&amp;ADDRESS(73,COLUMN()+6,4)),MATCH($B28,INDIRECT($B$1&amp;"!$A$8:$A$73"),0)),CONFIG!$A$15:$B$40,2,FALSE)&amp;"","")</f>
        <v/>
      </c>
      <c r="R28" s="181">
        <f>IFERROR(VLOOKUP(INDEX(INDIRECT($B$1&amp;"!"&amp;ADDRESS(8,COLUMN()+6,4)&amp;":"&amp;ADDRESS(73,COLUMN()+6,4)),MATCH($B28,INDIRECT($B$1&amp;"!$A$8:$A$73"),0)),CONFIG!$A$15:$B$40,2,FALSE)&amp;"","")</f>
        <v/>
      </c>
      <c r="S28" s="181">
        <f>IFERROR(VLOOKUP(INDEX(INDIRECT($B$1&amp;"!"&amp;ADDRESS(8,COLUMN()+6,4)&amp;":"&amp;ADDRESS(73,COLUMN()+6,4)),MATCH($B28,INDIRECT($B$1&amp;"!$A$8:$A$73"),0)),CONFIG!$A$15:$B$40,2,FALSE)&amp;"","")</f>
        <v/>
      </c>
      <c r="T28" s="181">
        <f>IFERROR(VLOOKUP(INDEX(INDIRECT($B$1&amp;"!"&amp;ADDRESS(8,COLUMN()+6,4)&amp;":"&amp;ADDRESS(73,COLUMN()+6,4)),MATCH($B28,INDIRECT($B$1&amp;"!$A$8:$A$73"),0)),CONFIG!$A$15:$B$40,2,FALSE)&amp;"","")</f>
        <v/>
      </c>
      <c r="U28" s="181">
        <f>IFERROR(VLOOKUP(INDEX(INDIRECT($B$1&amp;"!"&amp;ADDRESS(8,COLUMN()+6,4)&amp;":"&amp;ADDRESS(73,COLUMN()+6,4)),MATCH($B28,INDIRECT($B$1&amp;"!$A$8:$A$73"),0)),CONFIG!$A$15:$B$40,2,FALSE)&amp;"","")</f>
        <v/>
      </c>
      <c r="V28" s="181">
        <f>IFERROR(VLOOKUP(INDEX(INDIRECT($B$1&amp;"!"&amp;ADDRESS(8,COLUMN()+6,4)&amp;":"&amp;ADDRESS(73,COLUMN()+6,4)),MATCH($B28,INDIRECT($B$1&amp;"!$A$8:$A$73"),0)),CONFIG!$A$15:$B$40,2,FALSE)&amp;"","")</f>
        <v/>
      </c>
      <c r="W28" s="181">
        <f>IFERROR(VLOOKUP(INDEX(INDIRECT($B$1&amp;"!"&amp;ADDRESS(8,COLUMN()+6,4)&amp;":"&amp;ADDRESS(73,COLUMN()+6,4)),MATCH($B28,INDIRECT($B$1&amp;"!$A$8:$A$73"),0)),CONFIG!$A$15:$B$40,2,FALSE)&amp;"","")</f>
        <v/>
      </c>
      <c r="X28" s="181">
        <f>IFERROR(VLOOKUP(INDEX(INDIRECT($B$1&amp;"!"&amp;ADDRESS(8,COLUMN()+6,4)&amp;":"&amp;ADDRESS(73,COLUMN()+6,4)),MATCH($B28,INDIRECT($B$1&amp;"!$A$8:$A$73"),0)),CONFIG!$A$15:$B$40,2,FALSE)&amp;"","")</f>
        <v/>
      </c>
      <c r="Y28" s="181">
        <f>IFERROR(VLOOKUP(INDEX(INDIRECT($B$1&amp;"!"&amp;ADDRESS(8,COLUMN()+6,4)&amp;":"&amp;ADDRESS(73,COLUMN()+6,4)),MATCH($B28,INDIRECT($B$1&amp;"!$A$8:$A$73"),0)),CONFIG!$A$15:$B$40,2,FALSE)&amp;"","")</f>
        <v/>
      </c>
      <c r="Z28" s="181">
        <f>IFERROR(VLOOKUP(INDEX(INDIRECT($B$1&amp;"!"&amp;ADDRESS(8,COLUMN()+6,4)&amp;":"&amp;ADDRESS(73,COLUMN()+6,4)),MATCH($B28,INDIRECT($B$1&amp;"!$A$8:$A$73"),0)),CONFIG!$A$15:$B$40,2,FALSE)&amp;"","")</f>
        <v/>
      </c>
      <c r="AA28" s="181">
        <f>IFERROR(VLOOKUP(INDEX(INDIRECT($B$1&amp;"!"&amp;ADDRESS(8,COLUMN()+6,4)&amp;":"&amp;ADDRESS(73,COLUMN()+6,4)),MATCH($B28,INDIRECT($B$1&amp;"!$A$8:$A$73"),0)),CONFIG!$A$15:$B$40,2,FALSE)&amp;"","")</f>
        <v/>
      </c>
      <c r="AB28" s="181">
        <f>IFERROR(VLOOKUP(INDEX(INDIRECT($B$1&amp;"!"&amp;ADDRESS(8,COLUMN()+6,4)&amp;":"&amp;ADDRESS(73,COLUMN()+6,4)),MATCH($B28,INDIRECT($B$1&amp;"!$A$8:$A$73"),0)),CONFIG!$A$15:$B$40,2,FALSE)&amp;"","")</f>
        <v/>
      </c>
      <c r="AC28" s="181">
        <f>IFERROR(VLOOKUP(INDEX(INDIRECT($B$1&amp;"!"&amp;ADDRESS(8,COLUMN()+6,4)&amp;":"&amp;ADDRESS(73,COLUMN()+6,4)),MATCH($B28,INDIRECT($B$1&amp;"!$A$8:$A$73"),0)),CONFIG!$A$15:$B$40,2,FALSE)&amp;"","")</f>
        <v/>
      </c>
      <c r="AD28" s="181">
        <f>IFERROR(VLOOKUP(INDEX(INDIRECT($B$1&amp;"!"&amp;ADDRESS(8,COLUMN()+6,4)&amp;":"&amp;ADDRESS(73,COLUMN()+6,4)),MATCH($B28,INDIRECT($B$1&amp;"!$A$8:$A$73"),0)),CONFIG!$A$15:$B$40,2,FALSE)&amp;"","")</f>
        <v/>
      </c>
      <c r="AE28" s="181">
        <f>IFERROR(VLOOKUP(INDEX(INDIRECT($B$1&amp;"!"&amp;ADDRESS(8,COLUMN()+6,4)&amp;":"&amp;ADDRESS(73,COLUMN()+6,4)),MATCH($B28,INDIRECT($B$1&amp;"!$A$8:$A$73"),0)),CONFIG!$A$15:$B$40,2,FALSE)&amp;"","")</f>
        <v/>
      </c>
      <c r="AF28" s="181">
        <f>IFERROR(VLOOKUP(INDEX(INDIRECT($B$1&amp;"!"&amp;ADDRESS(8,COLUMN()+6,4)&amp;":"&amp;ADDRESS(73,COLUMN()+6,4)),MATCH($B28,INDIRECT($B$1&amp;"!$A$8:$A$73"),0)),CONFIG!$A$15:$B$40,2,FALSE)&amp;"","")</f>
        <v/>
      </c>
      <c r="AG28" s="181">
        <f>IFERROR(VLOOKUP(INDEX(INDIRECT($B$1&amp;"!"&amp;ADDRESS(8,COLUMN()+6,4)&amp;":"&amp;ADDRESS(73,COLUMN()+6,4)),MATCH($B28,INDIRECT($B$1&amp;"!$A$8:$A$73"),0)),CONFIG!$A$15:$B$40,2,FALSE)&amp;"","")</f>
        <v/>
      </c>
      <c r="AH28" s="181">
        <f>IFERROR(VLOOKUP(INDEX(INDIRECT($B$1&amp;"!"&amp;ADDRESS(8,COLUMN()+6,4)&amp;":"&amp;ADDRESS(73,COLUMN()+6,4)),MATCH($B28,INDIRECT($B$1&amp;"!$A$8:$A$73"),0)),CONFIG!$A$15:$B$40,2,FALSE)&amp;"","")</f>
        <v/>
      </c>
      <c r="AI28" s="39" t="n"/>
    </row>
    <row r="29">
      <c r="A29" s="179" t="inlineStr">
        <is>
          <t>Fernando Filardi</t>
        </is>
      </c>
      <c r="B29" s="180" t="inlineStr">
        <is>
          <t>Fernando</t>
        </is>
      </c>
      <c r="C29" s="181">
        <f>IFERROR(VLOOKUP(INDEX(INDIRECT($B$1&amp;"!"&amp;ADDRESS(8,COLUMN()+6,4)&amp;":"&amp;ADDRESS(73,COLUMN()+6,4)),MATCH($B29,INDIRECT($B$1&amp;"!$A$8:$A$73"),0)),CONFIG!$A$15:$B$40,2,FALSE)&amp;"","")</f>
        <v/>
      </c>
      <c r="D29" s="181">
        <f>IFERROR(VLOOKUP(INDEX(INDIRECT($B$1&amp;"!"&amp;ADDRESS(8,COLUMN()+6,4)&amp;":"&amp;ADDRESS(73,COLUMN()+6,4)),MATCH($B29,INDIRECT($B$1&amp;"!$A$8:$A$73"),0)),CONFIG!$A$15:$B$40,2,FALSE)&amp;"","")</f>
        <v/>
      </c>
      <c r="E29" s="181">
        <f>IFERROR(VLOOKUP(INDEX(INDIRECT($B$1&amp;"!"&amp;ADDRESS(8,COLUMN()+6,4)&amp;":"&amp;ADDRESS(73,COLUMN()+6,4)),MATCH($B29,INDIRECT($B$1&amp;"!$A$8:$A$73"),0)),CONFIG!$A$15:$B$40,2,FALSE)&amp;"","")</f>
        <v/>
      </c>
      <c r="F29" s="181">
        <f>IFERROR(VLOOKUP(INDEX(INDIRECT($B$1&amp;"!"&amp;ADDRESS(8,COLUMN()+6,4)&amp;":"&amp;ADDRESS(73,COLUMN()+6,4)),MATCH($B29,INDIRECT($B$1&amp;"!$A$8:$A$73"),0)),CONFIG!$A$15:$B$40,2,FALSE)&amp;"","")</f>
        <v/>
      </c>
      <c r="G29" s="181">
        <f>IFERROR(VLOOKUP(INDEX(INDIRECT($B$1&amp;"!"&amp;ADDRESS(8,COLUMN()+6,4)&amp;":"&amp;ADDRESS(73,COLUMN()+6,4)),MATCH($B29,INDIRECT($B$1&amp;"!$A$8:$A$73"),0)),CONFIG!$A$15:$B$40,2,FALSE)&amp;"","")</f>
        <v/>
      </c>
      <c r="H29" s="181">
        <f>IFERROR(VLOOKUP(INDEX(INDIRECT($B$1&amp;"!"&amp;ADDRESS(8,COLUMN()+6,4)&amp;":"&amp;ADDRESS(73,COLUMN()+6,4)),MATCH($B29,INDIRECT($B$1&amp;"!$A$8:$A$73"),0)),CONFIG!$A$15:$B$40,2,FALSE)&amp;"","")</f>
        <v/>
      </c>
      <c r="I29" s="181">
        <f>IFERROR(VLOOKUP(INDEX(INDIRECT($B$1&amp;"!"&amp;ADDRESS(8,COLUMN()+6,4)&amp;":"&amp;ADDRESS(73,COLUMN()+6,4)),MATCH($B29,INDIRECT($B$1&amp;"!$A$8:$A$73"),0)),CONFIG!$A$15:$B$40,2,FALSE)&amp;"","")</f>
        <v/>
      </c>
      <c r="J29" s="181">
        <f>IFERROR(VLOOKUP(INDEX(INDIRECT($B$1&amp;"!"&amp;ADDRESS(8,COLUMN()+6,4)&amp;":"&amp;ADDRESS(73,COLUMN()+6,4)),MATCH($B29,INDIRECT($B$1&amp;"!$A$8:$A$73"),0)),CONFIG!$A$15:$B$40,2,FALSE)&amp;"","")</f>
        <v/>
      </c>
      <c r="K29" s="181">
        <f>IFERROR(VLOOKUP(INDEX(INDIRECT($B$1&amp;"!"&amp;ADDRESS(8,COLUMN()+6,4)&amp;":"&amp;ADDRESS(73,COLUMN()+6,4)),MATCH($B29,INDIRECT($B$1&amp;"!$A$8:$A$73"),0)),CONFIG!$A$15:$B$40,2,FALSE)&amp;"","")</f>
        <v/>
      </c>
      <c r="L29" s="181">
        <f>IFERROR(VLOOKUP(INDEX(INDIRECT($B$1&amp;"!"&amp;ADDRESS(8,COLUMN()+6,4)&amp;":"&amp;ADDRESS(73,COLUMN()+6,4)),MATCH($B29,INDIRECT($B$1&amp;"!$A$8:$A$73"),0)),CONFIG!$A$15:$B$40,2,FALSE)&amp;"","")</f>
        <v/>
      </c>
      <c r="M29" s="181">
        <f>IFERROR(VLOOKUP(INDEX(INDIRECT($B$1&amp;"!"&amp;ADDRESS(8,COLUMN()+6,4)&amp;":"&amp;ADDRESS(73,COLUMN()+6,4)),MATCH($B29,INDIRECT($B$1&amp;"!$A$8:$A$73"),0)),CONFIG!$A$15:$B$40,2,FALSE)&amp;"","")</f>
        <v/>
      </c>
      <c r="N29" s="181">
        <f>IFERROR(VLOOKUP(INDEX(INDIRECT($B$1&amp;"!"&amp;ADDRESS(8,COLUMN()+6,4)&amp;":"&amp;ADDRESS(73,COLUMN()+6,4)),MATCH($B29,INDIRECT($B$1&amp;"!$A$8:$A$73"),0)),CONFIG!$A$15:$B$40,2,FALSE)&amp;"","")</f>
        <v/>
      </c>
      <c r="O29" s="181">
        <f>IFERROR(VLOOKUP(INDEX(INDIRECT($B$1&amp;"!"&amp;ADDRESS(8,COLUMN()+6,4)&amp;":"&amp;ADDRESS(73,COLUMN()+6,4)),MATCH($B29,INDIRECT($B$1&amp;"!$A$8:$A$73"),0)),CONFIG!$A$15:$B$40,2,FALSE)&amp;"","")</f>
        <v/>
      </c>
      <c r="P29" s="181">
        <f>IFERROR(VLOOKUP(INDEX(INDIRECT($B$1&amp;"!"&amp;ADDRESS(8,COLUMN()+6,4)&amp;":"&amp;ADDRESS(73,COLUMN()+6,4)),MATCH($B29,INDIRECT($B$1&amp;"!$A$8:$A$73"),0)),CONFIG!$A$15:$B$40,2,FALSE)&amp;"","")</f>
        <v/>
      </c>
      <c r="Q29" s="181">
        <f>IFERROR(VLOOKUP(INDEX(INDIRECT($B$1&amp;"!"&amp;ADDRESS(8,COLUMN()+6,4)&amp;":"&amp;ADDRESS(73,COLUMN()+6,4)),MATCH($B29,INDIRECT($B$1&amp;"!$A$8:$A$73"),0)),CONFIG!$A$15:$B$40,2,FALSE)&amp;"","")</f>
        <v/>
      </c>
      <c r="R29" s="181">
        <f>IFERROR(VLOOKUP(INDEX(INDIRECT($B$1&amp;"!"&amp;ADDRESS(8,COLUMN()+6,4)&amp;":"&amp;ADDRESS(73,COLUMN()+6,4)),MATCH($B29,INDIRECT($B$1&amp;"!$A$8:$A$73"),0)),CONFIG!$A$15:$B$40,2,FALSE)&amp;"","")</f>
        <v/>
      </c>
      <c r="S29" s="181">
        <f>IFERROR(VLOOKUP(INDEX(INDIRECT($B$1&amp;"!"&amp;ADDRESS(8,COLUMN()+6,4)&amp;":"&amp;ADDRESS(73,COLUMN()+6,4)),MATCH($B29,INDIRECT($B$1&amp;"!$A$8:$A$73"),0)),CONFIG!$A$15:$B$40,2,FALSE)&amp;"","")</f>
        <v/>
      </c>
      <c r="T29" s="181">
        <f>IFERROR(VLOOKUP(INDEX(INDIRECT($B$1&amp;"!"&amp;ADDRESS(8,COLUMN()+6,4)&amp;":"&amp;ADDRESS(73,COLUMN()+6,4)),MATCH($B29,INDIRECT($B$1&amp;"!$A$8:$A$73"),0)),CONFIG!$A$15:$B$40,2,FALSE)&amp;"","")</f>
        <v/>
      </c>
      <c r="U29" s="181">
        <f>IFERROR(VLOOKUP(INDEX(INDIRECT($B$1&amp;"!"&amp;ADDRESS(8,COLUMN()+6,4)&amp;":"&amp;ADDRESS(73,COLUMN()+6,4)),MATCH($B29,INDIRECT($B$1&amp;"!$A$8:$A$73"),0)),CONFIG!$A$15:$B$40,2,FALSE)&amp;"","")</f>
        <v/>
      </c>
      <c r="V29" s="181">
        <f>IFERROR(VLOOKUP(INDEX(INDIRECT($B$1&amp;"!"&amp;ADDRESS(8,COLUMN()+6,4)&amp;":"&amp;ADDRESS(73,COLUMN()+6,4)),MATCH($B29,INDIRECT($B$1&amp;"!$A$8:$A$73"),0)),CONFIG!$A$15:$B$40,2,FALSE)&amp;"","")</f>
        <v/>
      </c>
      <c r="W29" s="181">
        <f>IFERROR(VLOOKUP(INDEX(INDIRECT($B$1&amp;"!"&amp;ADDRESS(8,COLUMN()+6,4)&amp;":"&amp;ADDRESS(73,COLUMN()+6,4)),MATCH($B29,INDIRECT($B$1&amp;"!$A$8:$A$73"),0)),CONFIG!$A$15:$B$40,2,FALSE)&amp;"","")</f>
        <v/>
      </c>
      <c r="X29" s="181">
        <f>IFERROR(VLOOKUP(INDEX(INDIRECT($B$1&amp;"!"&amp;ADDRESS(8,COLUMN()+6,4)&amp;":"&amp;ADDRESS(73,COLUMN()+6,4)),MATCH($B29,INDIRECT($B$1&amp;"!$A$8:$A$73"),0)),CONFIG!$A$15:$B$40,2,FALSE)&amp;"","")</f>
        <v/>
      </c>
      <c r="Y29" s="181">
        <f>IFERROR(VLOOKUP(INDEX(INDIRECT($B$1&amp;"!"&amp;ADDRESS(8,COLUMN()+6,4)&amp;":"&amp;ADDRESS(73,COLUMN()+6,4)),MATCH($B29,INDIRECT($B$1&amp;"!$A$8:$A$73"),0)),CONFIG!$A$15:$B$40,2,FALSE)&amp;"","")</f>
        <v/>
      </c>
      <c r="Z29" s="181">
        <f>IFERROR(VLOOKUP(INDEX(INDIRECT($B$1&amp;"!"&amp;ADDRESS(8,COLUMN()+6,4)&amp;":"&amp;ADDRESS(73,COLUMN()+6,4)),MATCH($B29,INDIRECT($B$1&amp;"!$A$8:$A$73"),0)),CONFIG!$A$15:$B$40,2,FALSE)&amp;"","")</f>
        <v/>
      </c>
      <c r="AA29" s="181">
        <f>IFERROR(VLOOKUP(INDEX(INDIRECT($B$1&amp;"!"&amp;ADDRESS(8,COLUMN()+6,4)&amp;":"&amp;ADDRESS(73,COLUMN()+6,4)),MATCH($B29,INDIRECT($B$1&amp;"!$A$8:$A$73"),0)),CONFIG!$A$15:$B$40,2,FALSE)&amp;"","")</f>
        <v/>
      </c>
      <c r="AB29" s="181">
        <f>IFERROR(VLOOKUP(INDEX(INDIRECT($B$1&amp;"!"&amp;ADDRESS(8,COLUMN()+6,4)&amp;":"&amp;ADDRESS(73,COLUMN()+6,4)),MATCH($B29,INDIRECT($B$1&amp;"!$A$8:$A$73"),0)),CONFIG!$A$15:$B$40,2,FALSE)&amp;"","")</f>
        <v/>
      </c>
      <c r="AC29" s="181">
        <f>IFERROR(VLOOKUP(INDEX(INDIRECT($B$1&amp;"!"&amp;ADDRESS(8,COLUMN()+6,4)&amp;":"&amp;ADDRESS(73,COLUMN()+6,4)),MATCH($B29,INDIRECT($B$1&amp;"!$A$8:$A$73"),0)),CONFIG!$A$15:$B$40,2,FALSE)&amp;"","")</f>
        <v/>
      </c>
      <c r="AD29" s="181">
        <f>IFERROR(VLOOKUP(INDEX(INDIRECT($B$1&amp;"!"&amp;ADDRESS(8,COLUMN()+6,4)&amp;":"&amp;ADDRESS(73,COLUMN()+6,4)),MATCH($B29,INDIRECT($B$1&amp;"!$A$8:$A$73"),0)),CONFIG!$A$15:$B$40,2,FALSE)&amp;"","")</f>
        <v/>
      </c>
      <c r="AE29" s="181">
        <f>IFERROR(VLOOKUP(INDEX(INDIRECT($B$1&amp;"!"&amp;ADDRESS(8,COLUMN()+6,4)&amp;":"&amp;ADDRESS(73,COLUMN()+6,4)),MATCH($B29,INDIRECT($B$1&amp;"!$A$8:$A$73"),0)),CONFIG!$A$15:$B$40,2,FALSE)&amp;"","")</f>
        <v/>
      </c>
      <c r="AF29" s="181">
        <f>IFERROR(VLOOKUP(INDEX(INDIRECT($B$1&amp;"!"&amp;ADDRESS(8,COLUMN()+6,4)&amp;":"&amp;ADDRESS(73,COLUMN()+6,4)),MATCH($B29,INDIRECT($B$1&amp;"!$A$8:$A$73"),0)),CONFIG!$A$15:$B$40,2,FALSE)&amp;"","")</f>
        <v/>
      </c>
      <c r="AG29" s="181">
        <f>IFERROR(VLOOKUP(INDEX(INDIRECT($B$1&amp;"!"&amp;ADDRESS(8,COLUMN()+6,4)&amp;":"&amp;ADDRESS(73,COLUMN()+6,4)),MATCH($B29,INDIRECT($B$1&amp;"!$A$8:$A$73"),0)),CONFIG!$A$15:$B$40,2,FALSE)&amp;"","")</f>
        <v/>
      </c>
      <c r="AH29" s="181">
        <f>IFERROR(VLOOKUP(INDEX(INDIRECT($B$1&amp;"!"&amp;ADDRESS(8,COLUMN()+6,4)&amp;":"&amp;ADDRESS(73,COLUMN()+6,4)),MATCH($B29,INDIRECT($B$1&amp;"!$A$8:$A$73"),0)),CONFIG!$A$15:$B$40,2,FALSE)&amp;"","")</f>
        <v/>
      </c>
      <c r="AI29" s="39" t="n"/>
    </row>
    <row r="30">
      <c r="A30" s="179" t="inlineStr">
        <is>
          <t>João</t>
        </is>
      </c>
      <c r="B30" s="180" t="inlineStr">
        <is>
          <t>João</t>
        </is>
      </c>
      <c r="C30" s="181">
        <f>IFERROR(VLOOKUP(INDEX(INDIRECT($B$1&amp;"!"&amp;ADDRESS(8,COLUMN()+6,4)&amp;":"&amp;ADDRESS(73,COLUMN()+6,4)),MATCH($B30,INDIRECT($B$1&amp;"!$A$8:$A$73"),0)),CONFIG!$A$15:$B$40,2,FALSE)&amp;"","")</f>
        <v/>
      </c>
      <c r="D30" s="181">
        <f>IFERROR(VLOOKUP(INDEX(INDIRECT($B$1&amp;"!"&amp;ADDRESS(8,COLUMN()+6,4)&amp;":"&amp;ADDRESS(73,COLUMN()+6,4)),MATCH($B30,INDIRECT($B$1&amp;"!$A$8:$A$73"),0)),CONFIG!$A$15:$B$40,2,FALSE)&amp;"","")</f>
        <v/>
      </c>
      <c r="E30" s="181">
        <f>IFERROR(VLOOKUP(INDEX(INDIRECT($B$1&amp;"!"&amp;ADDRESS(8,COLUMN()+6,4)&amp;":"&amp;ADDRESS(73,COLUMN()+6,4)),MATCH($B30,INDIRECT($B$1&amp;"!$A$8:$A$73"),0)),CONFIG!$A$15:$B$40,2,FALSE)&amp;"","")</f>
        <v/>
      </c>
      <c r="F30" s="181">
        <f>IFERROR(VLOOKUP(INDEX(INDIRECT($B$1&amp;"!"&amp;ADDRESS(8,COLUMN()+6,4)&amp;":"&amp;ADDRESS(73,COLUMN()+6,4)),MATCH($B30,INDIRECT($B$1&amp;"!$A$8:$A$73"),0)),CONFIG!$A$15:$B$40,2,FALSE)&amp;"","")</f>
        <v/>
      </c>
      <c r="G30" s="181">
        <f>IFERROR(VLOOKUP(INDEX(INDIRECT($B$1&amp;"!"&amp;ADDRESS(8,COLUMN()+6,4)&amp;":"&amp;ADDRESS(73,COLUMN()+6,4)),MATCH($B30,INDIRECT($B$1&amp;"!$A$8:$A$73"),0)),CONFIG!$A$15:$B$40,2,FALSE)&amp;"","")</f>
        <v/>
      </c>
      <c r="H30" s="181">
        <f>IFERROR(VLOOKUP(INDEX(INDIRECT($B$1&amp;"!"&amp;ADDRESS(8,COLUMN()+6,4)&amp;":"&amp;ADDRESS(73,COLUMN()+6,4)),MATCH($B30,INDIRECT($B$1&amp;"!$A$8:$A$73"),0)),CONFIG!$A$15:$B$40,2,FALSE)&amp;"","")</f>
        <v/>
      </c>
      <c r="I30" s="181">
        <f>IFERROR(VLOOKUP(INDEX(INDIRECT($B$1&amp;"!"&amp;ADDRESS(8,COLUMN()+6,4)&amp;":"&amp;ADDRESS(73,COLUMN()+6,4)),MATCH($B30,INDIRECT($B$1&amp;"!$A$8:$A$73"),0)),CONFIG!$A$15:$B$40,2,FALSE)&amp;"","")</f>
        <v/>
      </c>
      <c r="J30" s="181">
        <f>IFERROR(VLOOKUP(INDEX(INDIRECT($B$1&amp;"!"&amp;ADDRESS(8,COLUMN()+6,4)&amp;":"&amp;ADDRESS(73,COLUMN()+6,4)),MATCH($B30,INDIRECT($B$1&amp;"!$A$8:$A$73"),0)),CONFIG!$A$15:$B$40,2,FALSE)&amp;"","")</f>
        <v/>
      </c>
      <c r="K30" s="181">
        <f>IFERROR(VLOOKUP(INDEX(INDIRECT($B$1&amp;"!"&amp;ADDRESS(8,COLUMN()+6,4)&amp;":"&amp;ADDRESS(73,COLUMN()+6,4)),MATCH($B30,INDIRECT($B$1&amp;"!$A$8:$A$73"),0)),CONFIG!$A$15:$B$40,2,FALSE)&amp;"","")</f>
        <v/>
      </c>
      <c r="L30" s="181">
        <f>IFERROR(VLOOKUP(INDEX(INDIRECT($B$1&amp;"!"&amp;ADDRESS(8,COLUMN()+6,4)&amp;":"&amp;ADDRESS(73,COLUMN()+6,4)),MATCH($B30,INDIRECT($B$1&amp;"!$A$8:$A$73"),0)),CONFIG!$A$15:$B$40,2,FALSE)&amp;"","")</f>
        <v/>
      </c>
      <c r="M30" s="181">
        <f>IFERROR(VLOOKUP(INDEX(INDIRECT($B$1&amp;"!"&amp;ADDRESS(8,COLUMN()+6,4)&amp;":"&amp;ADDRESS(73,COLUMN()+6,4)),MATCH($B30,INDIRECT($B$1&amp;"!$A$8:$A$73"),0)),CONFIG!$A$15:$B$40,2,FALSE)&amp;"","")</f>
        <v/>
      </c>
      <c r="N30" s="181">
        <f>IFERROR(VLOOKUP(INDEX(INDIRECT($B$1&amp;"!"&amp;ADDRESS(8,COLUMN()+6,4)&amp;":"&amp;ADDRESS(73,COLUMN()+6,4)),MATCH($B30,INDIRECT($B$1&amp;"!$A$8:$A$73"),0)),CONFIG!$A$15:$B$40,2,FALSE)&amp;"","")</f>
        <v/>
      </c>
      <c r="O30" s="181">
        <f>IFERROR(VLOOKUP(INDEX(INDIRECT($B$1&amp;"!"&amp;ADDRESS(8,COLUMN()+6,4)&amp;":"&amp;ADDRESS(73,COLUMN()+6,4)),MATCH($B30,INDIRECT($B$1&amp;"!$A$8:$A$73"),0)),CONFIG!$A$15:$B$40,2,FALSE)&amp;"","")</f>
        <v/>
      </c>
      <c r="P30" s="181">
        <f>IFERROR(VLOOKUP(INDEX(INDIRECT($B$1&amp;"!"&amp;ADDRESS(8,COLUMN()+6,4)&amp;":"&amp;ADDRESS(73,COLUMN()+6,4)),MATCH($B30,INDIRECT($B$1&amp;"!$A$8:$A$73"),0)),CONFIG!$A$15:$B$40,2,FALSE)&amp;"","")</f>
        <v/>
      </c>
      <c r="Q30" s="181">
        <f>IFERROR(VLOOKUP(INDEX(INDIRECT($B$1&amp;"!"&amp;ADDRESS(8,COLUMN()+6,4)&amp;":"&amp;ADDRESS(73,COLUMN()+6,4)),MATCH($B30,INDIRECT($B$1&amp;"!$A$8:$A$73"),0)),CONFIG!$A$15:$B$40,2,FALSE)&amp;"","")</f>
        <v/>
      </c>
      <c r="R30" s="181">
        <f>IFERROR(VLOOKUP(INDEX(INDIRECT($B$1&amp;"!"&amp;ADDRESS(8,COLUMN()+6,4)&amp;":"&amp;ADDRESS(73,COLUMN()+6,4)),MATCH($B30,INDIRECT($B$1&amp;"!$A$8:$A$73"),0)),CONFIG!$A$15:$B$40,2,FALSE)&amp;"","")</f>
        <v/>
      </c>
      <c r="S30" s="181">
        <f>IFERROR(VLOOKUP(INDEX(INDIRECT($B$1&amp;"!"&amp;ADDRESS(8,COLUMN()+6,4)&amp;":"&amp;ADDRESS(73,COLUMN()+6,4)),MATCH($B30,INDIRECT($B$1&amp;"!$A$8:$A$73"),0)),CONFIG!$A$15:$B$40,2,FALSE)&amp;"","")</f>
        <v/>
      </c>
      <c r="T30" s="181">
        <f>IFERROR(VLOOKUP(INDEX(INDIRECT($B$1&amp;"!"&amp;ADDRESS(8,COLUMN()+6,4)&amp;":"&amp;ADDRESS(73,COLUMN()+6,4)),MATCH($B30,INDIRECT($B$1&amp;"!$A$8:$A$73"),0)),CONFIG!$A$15:$B$40,2,FALSE)&amp;"","")</f>
        <v/>
      </c>
      <c r="U30" s="181">
        <f>IFERROR(VLOOKUP(INDEX(INDIRECT($B$1&amp;"!"&amp;ADDRESS(8,COLUMN()+6,4)&amp;":"&amp;ADDRESS(73,COLUMN()+6,4)),MATCH($B30,INDIRECT($B$1&amp;"!$A$8:$A$73"),0)),CONFIG!$A$15:$B$40,2,FALSE)&amp;"","")</f>
        <v/>
      </c>
      <c r="V30" s="181">
        <f>IFERROR(VLOOKUP(INDEX(INDIRECT($B$1&amp;"!"&amp;ADDRESS(8,COLUMN()+6,4)&amp;":"&amp;ADDRESS(73,COLUMN()+6,4)),MATCH($B30,INDIRECT($B$1&amp;"!$A$8:$A$73"),0)),CONFIG!$A$15:$B$40,2,FALSE)&amp;"","")</f>
        <v/>
      </c>
      <c r="W30" s="181">
        <f>IFERROR(VLOOKUP(INDEX(INDIRECT($B$1&amp;"!"&amp;ADDRESS(8,COLUMN()+6,4)&amp;":"&amp;ADDRESS(73,COLUMN()+6,4)),MATCH($B30,INDIRECT($B$1&amp;"!$A$8:$A$73"),0)),CONFIG!$A$15:$B$40,2,FALSE)&amp;"","")</f>
        <v/>
      </c>
      <c r="X30" s="181">
        <f>IFERROR(VLOOKUP(INDEX(INDIRECT($B$1&amp;"!"&amp;ADDRESS(8,COLUMN()+6,4)&amp;":"&amp;ADDRESS(73,COLUMN()+6,4)),MATCH($B30,INDIRECT($B$1&amp;"!$A$8:$A$73"),0)),CONFIG!$A$15:$B$40,2,FALSE)&amp;"","")</f>
        <v/>
      </c>
      <c r="Y30" s="181">
        <f>IFERROR(VLOOKUP(INDEX(INDIRECT($B$1&amp;"!"&amp;ADDRESS(8,COLUMN()+6,4)&amp;":"&amp;ADDRESS(73,COLUMN()+6,4)),MATCH($B30,INDIRECT($B$1&amp;"!$A$8:$A$73"),0)),CONFIG!$A$15:$B$40,2,FALSE)&amp;"","")</f>
        <v/>
      </c>
      <c r="Z30" s="181">
        <f>IFERROR(VLOOKUP(INDEX(INDIRECT($B$1&amp;"!"&amp;ADDRESS(8,COLUMN()+6,4)&amp;":"&amp;ADDRESS(73,COLUMN()+6,4)),MATCH($B30,INDIRECT($B$1&amp;"!$A$8:$A$73"),0)),CONFIG!$A$15:$B$40,2,FALSE)&amp;"","")</f>
        <v/>
      </c>
      <c r="AA30" s="181">
        <f>IFERROR(VLOOKUP(INDEX(INDIRECT($B$1&amp;"!"&amp;ADDRESS(8,COLUMN()+6,4)&amp;":"&amp;ADDRESS(73,COLUMN()+6,4)),MATCH($B30,INDIRECT($B$1&amp;"!$A$8:$A$73"),0)),CONFIG!$A$15:$B$40,2,FALSE)&amp;"","")</f>
        <v/>
      </c>
      <c r="AB30" s="181">
        <f>IFERROR(VLOOKUP(INDEX(INDIRECT($B$1&amp;"!"&amp;ADDRESS(8,COLUMN()+6,4)&amp;":"&amp;ADDRESS(73,COLUMN()+6,4)),MATCH($B30,INDIRECT($B$1&amp;"!$A$8:$A$73"),0)),CONFIG!$A$15:$B$40,2,FALSE)&amp;"","")</f>
        <v/>
      </c>
      <c r="AC30" s="181">
        <f>IFERROR(VLOOKUP(INDEX(INDIRECT($B$1&amp;"!"&amp;ADDRESS(8,COLUMN()+6,4)&amp;":"&amp;ADDRESS(73,COLUMN()+6,4)),MATCH($B30,INDIRECT($B$1&amp;"!$A$8:$A$73"),0)),CONFIG!$A$15:$B$40,2,FALSE)&amp;"","")</f>
        <v/>
      </c>
      <c r="AD30" s="181">
        <f>IFERROR(VLOOKUP(INDEX(INDIRECT($B$1&amp;"!"&amp;ADDRESS(8,COLUMN()+6,4)&amp;":"&amp;ADDRESS(73,COLUMN()+6,4)),MATCH($B30,INDIRECT($B$1&amp;"!$A$8:$A$73"),0)),CONFIG!$A$15:$B$40,2,FALSE)&amp;"","")</f>
        <v/>
      </c>
      <c r="AE30" s="181">
        <f>IFERROR(VLOOKUP(INDEX(INDIRECT($B$1&amp;"!"&amp;ADDRESS(8,COLUMN()+6,4)&amp;":"&amp;ADDRESS(73,COLUMN()+6,4)),MATCH($B30,INDIRECT($B$1&amp;"!$A$8:$A$73"),0)),CONFIG!$A$15:$B$40,2,FALSE)&amp;"","")</f>
        <v/>
      </c>
      <c r="AF30" s="181">
        <f>IFERROR(VLOOKUP(INDEX(INDIRECT($B$1&amp;"!"&amp;ADDRESS(8,COLUMN()+6,4)&amp;":"&amp;ADDRESS(73,COLUMN()+6,4)),MATCH($B30,INDIRECT($B$1&amp;"!$A$8:$A$73"),0)),CONFIG!$A$15:$B$40,2,FALSE)&amp;"","")</f>
        <v/>
      </c>
      <c r="AG30" s="181">
        <f>IFERROR(VLOOKUP(INDEX(INDIRECT($B$1&amp;"!"&amp;ADDRESS(8,COLUMN()+6,4)&amp;":"&amp;ADDRESS(73,COLUMN()+6,4)),MATCH($B30,INDIRECT($B$1&amp;"!$A$8:$A$73"),0)),CONFIG!$A$15:$B$40,2,FALSE)&amp;"","")</f>
        <v/>
      </c>
      <c r="AH30" s="181">
        <f>IFERROR(VLOOKUP(INDEX(INDIRECT($B$1&amp;"!"&amp;ADDRESS(8,COLUMN()+6,4)&amp;":"&amp;ADDRESS(73,COLUMN()+6,4)),MATCH($B30,INDIRECT($B$1&amp;"!$A$8:$A$73"),0)),CONFIG!$A$15:$B$40,2,FALSE)&amp;"","")</f>
        <v/>
      </c>
      <c r="AI30" s="39" t="n"/>
    </row>
    <row r="31">
      <c r="A31" s="179" t="inlineStr">
        <is>
          <t>Juliana Coutinho</t>
        </is>
      </c>
      <c r="B31" s="180" t="inlineStr">
        <is>
          <t>JuCoutinho</t>
        </is>
      </c>
      <c r="C31" s="181">
        <f>IFERROR(VLOOKUP(INDEX(INDIRECT($B$1&amp;"!"&amp;ADDRESS(8,COLUMN()+6,4)&amp;":"&amp;ADDRESS(73,COLUMN()+6,4)),MATCH($B31,INDIRECT($B$1&amp;"!$A$8:$A$73"),0)),CONFIG!$A$15:$B$40,2,FALSE)&amp;"","")</f>
        <v/>
      </c>
      <c r="D31" s="181">
        <f>IFERROR(VLOOKUP(INDEX(INDIRECT($B$1&amp;"!"&amp;ADDRESS(8,COLUMN()+6,4)&amp;":"&amp;ADDRESS(73,COLUMN()+6,4)),MATCH($B31,INDIRECT($B$1&amp;"!$A$8:$A$73"),0)),CONFIG!$A$15:$B$40,2,FALSE)&amp;"","")</f>
        <v/>
      </c>
      <c r="E31" s="181">
        <f>IFERROR(VLOOKUP(INDEX(INDIRECT($B$1&amp;"!"&amp;ADDRESS(8,COLUMN()+6,4)&amp;":"&amp;ADDRESS(73,COLUMN()+6,4)),MATCH($B31,INDIRECT($B$1&amp;"!$A$8:$A$73"),0)),CONFIG!$A$15:$B$40,2,FALSE)&amp;"","")</f>
        <v/>
      </c>
      <c r="F31" s="181">
        <f>IFERROR(VLOOKUP(INDEX(INDIRECT($B$1&amp;"!"&amp;ADDRESS(8,COLUMN()+6,4)&amp;":"&amp;ADDRESS(73,COLUMN()+6,4)),MATCH($B31,INDIRECT($B$1&amp;"!$A$8:$A$73"),0)),CONFIG!$A$15:$B$40,2,FALSE)&amp;"","")</f>
        <v/>
      </c>
      <c r="G31" s="181">
        <f>IFERROR(VLOOKUP(INDEX(INDIRECT($B$1&amp;"!"&amp;ADDRESS(8,COLUMN()+6,4)&amp;":"&amp;ADDRESS(73,COLUMN()+6,4)),MATCH($B31,INDIRECT($B$1&amp;"!$A$8:$A$73"),0)),CONFIG!$A$15:$B$40,2,FALSE)&amp;"","")</f>
        <v/>
      </c>
      <c r="H31" s="181">
        <f>IFERROR(VLOOKUP(INDEX(INDIRECT($B$1&amp;"!"&amp;ADDRESS(8,COLUMN()+6,4)&amp;":"&amp;ADDRESS(73,COLUMN()+6,4)),MATCH($B31,INDIRECT($B$1&amp;"!$A$8:$A$73"),0)),CONFIG!$A$15:$B$40,2,FALSE)&amp;"","")</f>
        <v/>
      </c>
      <c r="I31" s="181">
        <f>IFERROR(VLOOKUP(INDEX(INDIRECT($B$1&amp;"!"&amp;ADDRESS(8,COLUMN()+6,4)&amp;":"&amp;ADDRESS(73,COLUMN()+6,4)),MATCH($B31,INDIRECT($B$1&amp;"!$A$8:$A$73"),0)),CONFIG!$A$15:$B$40,2,FALSE)&amp;"","")</f>
        <v/>
      </c>
      <c r="J31" s="181">
        <f>IFERROR(VLOOKUP(INDEX(INDIRECT($B$1&amp;"!"&amp;ADDRESS(8,COLUMN()+6,4)&amp;":"&amp;ADDRESS(73,COLUMN()+6,4)),MATCH($B31,INDIRECT($B$1&amp;"!$A$8:$A$73"),0)),CONFIG!$A$15:$B$40,2,FALSE)&amp;"","")</f>
        <v/>
      </c>
      <c r="K31" s="181">
        <f>IFERROR(VLOOKUP(INDEX(INDIRECT($B$1&amp;"!"&amp;ADDRESS(8,COLUMN()+6,4)&amp;":"&amp;ADDRESS(73,COLUMN()+6,4)),MATCH($B31,INDIRECT($B$1&amp;"!$A$8:$A$73"),0)),CONFIG!$A$15:$B$40,2,FALSE)&amp;"","")</f>
        <v/>
      </c>
      <c r="L31" s="181">
        <f>IFERROR(VLOOKUP(INDEX(INDIRECT($B$1&amp;"!"&amp;ADDRESS(8,COLUMN()+6,4)&amp;":"&amp;ADDRESS(73,COLUMN()+6,4)),MATCH($B31,INDIRECT($B$1&amp;"!$A$8:$A$73"),0)),CONFIG!$A$15:$B$40,2,FALSE)&amp;"","")</f>
        <v/>
      </c>
      <c r="M31" s="181">
        <f>IFERROR(VLOOKUP(INDEX(INDIRECT($B$1&amp;"!"&amp;ADDRESS(8,COLUMN()+6,4)&amp;":"&amp;ADDRESS(73,COLUMN()+6,4)),MATCH($B31,INDIRECT($B$1&amp;"!$A$8:$A$73"),0)),CONFIG!$A$15:$B$40,2,FALSE)&amp;"","")</f>
        <v/>
      </c>
      <c r="N31" s="181">
        <f>IFERROR(VLOOKUP(INDEX(INDIRECT($B$1&amp;"!"&amp;ADDRESS(8,COLUMN()+6,4)&amp;":"&amp;ADDRESS(73,COLUMN()+6,4)),MATCH($B31,INDIRECT($B$1&amp;"!$A$8:$A$73"),0)),CONFIG!$A$15:$B$40,2,FALSE)&amp;"","")</f>
        <v/>
      </c>
      <c r="O31" s="181">
        <f>IFERROR(VLOOKUP(INDEX(INDIRECT($B$1&amp;"!"&amp;ADDRESS(8,COLUMN()+6,4)&amp;":"&amp;ADDRESS(73,COLUMN()+6,4)),MATCH($B31,INDIRECT($B$1&amp;"!$A$8:$A$73"),0)),CONFIG!$A$15:$B$40,2,FALSE)&amp;"","")</f>
        <v/>
      </c>
      <c r="P31" s="181">
        <f>IFERROR(VLOOKUP(INDEX(INDIRECT($B$1&amp;"!"&amp;ADDRESS(8,COLUMN()+6,4)&amp;":"&amp;ADDRESS(73,COLUMN()+6,4)),MATCH($B31,INDIRECT($B$1&amp;"!$A$8:$A$73"),0)),CONFIG!$A$15:$B$40,2,FALSE)&amp;"","")</f>
        <v/>
      </c>
      <c r="Q31" s="181">
        <f>IFERROR(VLOOKUP(INDEX(INDIRECT($B$1&amp;"!"&amp;ADDRESS(8,COLUMN()+6,4)&amp;":"&amp;ADDRESS(73,COLUMN()+6,4)),MATCH($B31,INDIRECT($B$1&amp;"!$A$8:$A$73"),0)),CONFIG!$A$15:$B$40,2,FALSE)&amp;"","")</f>
        <v/>
      </c>
      <c r="R31" s="181">
        <f>IFERROR(VLOOKUP(INDEX(INDIRECT($B$1&amp;"!"&amp;ADDRESS(8,COLUMN()+6,4)&amp;":"&amp;ADDRESS(73,COLUMN()+6,4)),MATCH($B31,INDIRECT($B$1&amp;"!$A$8:$A$73"),0)),CONFIG!$A$15:$B$40,2,FALSE)&amp;"","")</f>
        <v/>
      </c>
      <c r="S31" s="181">
        <f>IFERROR(VLOOKUP(INDEX(INDIRECT($B$1&amp;"!"&amp;ADDRESS(8,COLUMN()+6,4)&amp;":"&amp;ADDRESS(73,COLUMN()+6,4)),MATCH($B31,INDIRECT($B$1&amp;"!$A$8:$A$73"),0)),CONFIG!$A$15:$B$40,2,FALSE)&amp;"","")</f>
        <v/>
      </c>
      <c r="T31" s="181">
        <f>IFERROR(VLOOKUP(INDEX(INDIRECT($B$1&amp;"!"&amp;ADDRESS(8,COLUMN()+6,4)&amp;":"&amp;ADDRESS(73,COLUMN()+6,4)),MATCH($B31,INDIRECT($B$1&amp;"!$A$8:$A$73"),0)),CONFIG!$A$15:$B$40,2,FALSE)&amp;"","")</f>
        <v/>
      </c>
      <c r="U31" s="181">
        <f>IFERROR(VLOOKUP(INDEX(INDIRECT($B$1&amp;"!"&amp;ADDRESS(8,COLUMN()+6,4)&amp;":"&amp;ADDRESS(73,COLUMN()+6,4)),MATCH($B31,INDIRECT($B$1&amp;"!$A$8:$A$73"),0)),CONFIG!$A$15:$B$40,2,FALSE)&amp;"","")</f>
        <v/>
      </c>
      <c r="V31" s="181">
        <f>IFERROR(VLOOKUP(INDEX(INDIRECT($B$1&amp;"!"&amp;ADDRESS(8,COLUMN()+6,4)&amp;":"&amp;ADDRESS(73,COLUMN()+6,4)),MATCH($B31,INDIRECT($B$1&amp;"!$A$8:$A$73"),0)),CONFIG!$A$15:$B$40,2,FALSE)&amp;"","")</f>
        <v/>
      </c>
      <c r="W31" s="181">
        <f>IFERROR(VLOOKUP(INDEX(INDIRECT($B$1&amp;"!"&amp;ADDRESS(8,COLUMN()+6,4)&amp;":"&amp;ADDRESS(73,COLUMN()+6,4)),MATCH($B31,INDIRECT($B$1&amp;"!$A$8:$A$73"),0)),CONFIG!$A$15:$B$40,2,FALSE)&amp;"","")</f>
        <v/>
      </c>
      <c r="X31" s="181">
        <f>IFERROR(VLOOKUP(INDEX(INDIRECT($B$1&amp;"!"&amp;ADDRESS(8,COLUMN()+6,4)&amp;":"&amp;ADDRESS(73,COLUMN()+6,4)),MATCH($B31,INDIRECT($B$1&amp;"!$A$8:$A$73"),0)),CONFIG!$A$15:$B$40,2,FALSE)&amp;"","")</f>
        <v/>
      </c>
      <c r="Y31" s="181">
        <f>IFERROR(VLOOKUP(INDEX(INDIRECT($B$1&amp;"!"&amp;ADDRESS(8,COLUMN()+6,4)&amp;":"&amp;ADDRESS(73,COLUMN()+6,4)),MATCH($B31,INDIRECT($B$1&amp;"!$A$8:$A$73"),0)),CONFIG!$A$15:$B$40,2,FALSE)&amp;"","")</f>
        <v/>
      </c>
      <c r="Z31" s="181">
        <f>IFERROR(VLOOKUP(INDEX(INDIRECT($B$1&amp;"!"&amp;ADDRESS(8,COLUMN()+6,4)&amp;":"&amp;ADDRESS(73,COLUMN()+6,4)),MATCH($B31,INDIRECT($B$1&amp;"!$A$8:$A$73"),0)),CONFIG!$A$15:$B$40,2,FALSE)&amp;"","")</f>
        <v/>
      </c>
      <c r="AA31" s="181">
        <f>IFERROR(VLOOKUP(INDEX(INDIRECT($B$1&amp;"!"&amp;ADDRESS(8,COLUMN()+6,4)&amp;":"&amp;ADDRESS(73,COLUMN()+6,4)),MATCH($B31,INDIRECT($B$1&amp;"!$A$8:$A$73"),0)),CONFIG!$A$15:$B$40,2,FALSE)&amp;"","")</f>
        <v/>
      </c>
      <c r="AB31" s="181">
        <f>IFERROR(VLOOKUP(INDEX(INDIRECT($B$1&amp;"!"&amp;ADDRESS(8,COLUMN()+6,4)&amp;":"&amp;ADDRESS(73,COLUMN()+6,4)),MATCH($B31,INDIRECT($B$1&amp;"!$A$8:$A$73"),0)),CONFIG!$A$15:$B$40,2,FALSE)&amp;"","")</f>
        <v/>
      </c>
      <c r="AC31" s="181">
        <f>IFERROR(VLOOKUP(INDEX(INDIRECT($B$1&amp;"!"&amp;ADDRESS(8,COLUMN()+6,4)&amp;":"&amp;ADDRESS(73,COLUMN()+6,4)),MATCH($B31,INDIRECT($B$1&amp;"!$A$8:$A$73"),0)),CONFIG!$A$15:$B$40,2,FALSE)&amp;"","")</f>
        <v/>
      </c>
      <c r="AD31" s="181">
        <f>IFERROR(VLOOKUP(INDEX(INDIRECT($B$1&amp;"!"&amp;ADDRESS(8,COLUMN()+6,4)&amp;":"&amp;ADDRESS(73,COLUMN()+6,4)),MATCH($B31,INDIRECT($B$1&amp;"!$A$8:$A$73"),0)),CONFIG!$A$15:$B$40,2,FALSE)&amp;"","")</f>
        <v/>
      </c>
      <c r="AE31" s="181">
        <f>IFERROR(VLOOKUP(INDEX(INDIRECT($B$1&amp;"!"&amp;ADDRESS(8,COLUMN()+6,4)&amp;":"&amp;ADDRESS(73,COLUMN()+6,4)),MATCH($B31,INDIRECT($B$1&amp;"!$A$8:$A$73"),0)),CONFIG!$A$15:$B$40,2,FALSE)&amp;"","")</f>
        <v/>
      </c>
      <c r="AF31" s="181">
        <f>IFERROR(VLOOKUP(INDEX(INDIRECT($B$1&amp;"!"&amp;ADDRESS(8,COLUMN()+6,4)&amp;":"&amp;ADDRESS(73,COLUMN()+6,4)),MATCH($B31,INDIRECT($B$1&amp;"!$A$8:$A$73"),0)),CONFIG!$A$15:$B$40,2,FALSE)&amp;"","")</f>
        <v/>
      </c>
      <c r="AG31" s="181">
        <f>IFERROR(VLOOKUP(INDEX(INDIRECT($B$1&amp;"!"&amp;ADDRESS(8,COLUMN()+6,4)&amp;":"&amp;ADDRESS(73,COLUMN()+6,4)),MATCH($B31,INDIRECT($B$1&amp;"!$A$8:$A$73"),0)),CONFIG!$A$15:$B$40,2,FALSE)&amp;"","")</f>
        <v/>
      </c>
      <c r="AH31" s="181">
        <f>IFERROR(VLOOKUP(INDEX(INDIRECT($B$1&amp;"!"&amp;ADDRESS(8,COLUMN()+6,4)&amp;":"&amp;ADDRESS(73,COLUMN()+6,4)),MATCH($B31,INDIRECT($B$1&amp;"!$A$8:$A$73"),0)),CONFIG!$A$15:$B$40,2,FALSE)&amp;"","")</f>
        <v/>
      </c>
      <c r="AI31" s="39" t="n"/>
    </row>
    <row r="32">
      <c r="A32" s="179" t="inlineStr">
        <is>
          <t>Leticia Lemos</t>
        </is>
      </c>
      <c r="B32" s="180" t="inlineStr">
        <is>
          <t>LeLemos</t>
        </is>
      </c>
      <c r="C32" s="181">
        <f>IFERROR(VLOOKUP(INDEX(INDIRECT($B$1&amp;"!"&amp;ADDRESS(8,COLUMN()+6,4)&amp;":"&amp;ADDRESS(73,COLUMN()+6,4)),MATCH($B32,INDIRECT($B$1&amp;"!$A$8:$A$73"),0)),CONFIG!$A$15:$B$40,2,FALSE)&amp;"","")</f>
        <v/>
      </c>
      <c r="D32" s="181">
        <f>IFERROR(VLOOKUP(INDEX(INDIRECT($B$1&amp;"!"&amp;ADDRESS(8,COLUMN()+6,4)&amp;":"&amp;ADDRESS(73,COLUMN()+6,4)),MATCH($B32,INDIRECT($B$1&amp;"!$A$8:$A$73"),0)),CONFIG!$A$15:$B$40,2,FALSE)&amp;"","")</f>
        <v/>
      </c>
      <c r="E32" s="181">
        <f>IFERROR(VLOOKUP(INDEX(INDIRECT($B$1&amp;"!"&amp;ADDRESS(8,COLUMN()+6,4)&amp;":"&amp;ADDRESS(73,COLUMN()+6,4)),MATCH($B32,INDIRECT($B$1&amp;"!$A$8:$A$73"),0)),CONFIG!$A$15:$B$40,2,FALSE)&amp;"","")</f>
        <v/>
      </c>
      <c r="F32" s="181">
        <f>IFERROR(VLOOKUP(INDEX(INDIRECT($B$1&amp;"!"&amp;ADDRESS(8,COLUMN()+6,4)&amp;":"&amp;ADDRESS(73,COLUMN()+6,4)),MATCH($B32,INDIRECT($B$1&amp;"!$A$8:$A$73"),0)),CONFIG!$A$15:$B$40,2,FALSE)&amp;"","")</f>
        <v/>
      </c>
      <c r="G32" s="181">
        <f>IFERROR(VLOOKUP(INDEX(INDIRECT($B$1&amp;"!"&amp;ADDRESS(8,COLUMN()+6,4)&amp;":"&amp;ADDRESS(73,COLUMN()+6,4)),MATCH($B32,INDIRECT($B$1&amp;"!$A$8:$A$73"),0)),CONFIG!$A$15:$B$40,2,FALSE)&amp;"","")</f>
        <v/>
      </c>
      <c r="H32" s="181">
        <f>IFERROR(VLOOKUP(INDEX(INDIRECT($B$1&amp;"!"&amp;ADDRESS(8,COLUMN()+6,4)&amp;":"&amp;ADDRESS(73,COLUMN()+6,4)),MATCH($B32,INDIRECT($B$1&amp;"!$A$8:$A$73"),0)),CONFIG!$A$15:$B$40,2,FALSE)&amp;"","")</f>
        <v/>
      </c>
      <c r="I32" s="181">
        <f>IFERROR(VLOOKUP(INDEX(INDIRECT($B$1&amp;"!"&amp;ADDRESS(8,COLUMN()+6,4)&amp;":"&amp;ADDRESS(73,COLUMN()+6,4)),MATCH($B32,INDIRECT($B$1&amp;"!$A$8:$A$73"),0)),CONFIG!$A$15:$B$40,2,FALSE)&amp;"","")</f>
        <v/>
      </c>
      <c r="J32" s="181">
        <f>IFERROR(VLOOKUP(INDEX(INDIRECT($B$1&amp;"!"&amp;ADDRESS(8,COLUMN()+6,4)&amp;":"&amp;ADDRESS(73,COLUMN()+6,4)),MATCH($B32,INDIRECT($B$1&amp;"!$A$8:$A$73"),0)),CONFIG!$A$15:$B$40,2,FALSE)&amp;"","")</f>
        <v/>
      </c>
      <c r="K32" s="181">
        <f>IFERROR(VLOOKUP(INDEX(INDIRECT($B$1&amp;"!"&amp;ADDRESS(8,COLUMN()+6,4)&amp;":"&amp;ADDRESS(73,COLUMN()+6,4)),MATCH($B32,INDIRECT($B$1&amp;"!$A$8:$A$73"),0)),CONFIG!$A$15:$B$40,2,FALSE)&amp;"","")</f>
        <v/>
      </c>
      <c r="L32" s="181">
        <f>IFERROR(VLOOKUP(INDEX(INDIRECT($B$1&amp;"!"&amp;ADDRESS(8,COLUMN()+6,4)&amp;":"&amp;ADDRESS(73,COLUMN()+6,4)),MATCH($B32,INDIRECT($B$1&amp;"!$A$8:$A$73"),0)),CONFIG!$A$15:$B$40,2,FALSE)&amp;"","")</f>
        <v/>
      </c>
      <c r="M32" s="181">
        <f>IFERROR(VLOOKUP(INDEX(INDIRECT($B$1&amp;"!"&amp;ADDRESS(8,COLUMN()+6,4)&amp;":"&amp;ADDRESS(73,COLUMN()+6,4)),MATCH($B32,INDIRECT($B$1&amp;"!$A$8:$A$73"),0)),CONFIG!$A$15:$B$40,2,FALSE)&amp;"","")</f>
        <v/>
      </c>
      <c r="N32" s="181">
        <f>IFERROR(VLOOKUP(INDEX(INDIRECT($B$1&amp;"!"&amp;ADDRESS(8,COLUMN()+6,4)&amp;":"&amp;ADDRESS(73,COLUMN()+6,4)),MATCH($B32,INDIRECT($B$1&amp;"!$A$8:$A$73"),0)),CONFIG!$A$15:$B$40,2,FALSE)&amp;"","")</f>
        <v/>
      </c>
      <c r="O32" s="181">
        <f>IFERROR(VLOOKUP(INDEX(INDIRECT($B$1&amp;"!"&amp;ADDRESS(8,COLUMN()+6,4)&amp;":"&amp;ADDRESS(73,COLUMN()+6,4)),MATCH($B32,INDIRECT($B$1&amp;"!$A$8:$A$73"),0)),CONFIG!$A$15:$B$40,2,FALSE)&amp;"","")</f>
        <v/>
      </c>
      <c r="P32" s="181">
        <f>IFERROR(VLOOKUP(INDEX(INDIRECT($B$1&amp;"!"&amp;ADDRESS(8,COLUMN()+6,4)&amp;":"&amp;ADDRESS(73,COLUMN()+6,4)),MATCH($B32,INDIRECT($B$1&amp;"!$A$8:$A$73"),0)),CONFIG!$A$15:$B$40,2,FALSE)&amp;"","")</f>
        <v/>
      </c>
      <c r="Q32" s="181">
        <f>IFERROR(VLOOKUP(INDEX(INDIRECT($B$1&amp;"!"&amp;ADDRESS(8,COLUMN()+6,4)&amp;":"&amp;ADDRESS(73,COLUMN()+6,4)),MATCH($B32,INDIRECT($B$1&amp;"!$A$8:$A$73"),0)),CONFIG!$A$15:$B$40,2,FALSE)&amp;"","")</f>
        <v/>
      </c>
      <c r="R32" s="181">
        <f>IFERROR(VLOOKUP(INDEX(INDIRECT($B$1&amp;"!"&amp;ADDRESS(8,COLUMN()+6,4)&amp;":"&amp;ADDRESS(73,COLUMN()+6,4)),MATCH($B32,INDIRECT($B$1&amp;"!$A$8:$A$73"),0)),CONFIG!$A$15:$B$40,2,FALSE)&amp;"","")</f>
        <v/>
      </c>
      <c r="S32" s="181">
        <f>IFERROR(VLOOKUP(INDEX(INDIRECT($B$1&amp;"!"&amp;ADDRESS(8,COLUMN()+6,4)&amp;":"&amp;ADDRESS(73,COLUMN()+6,4)),MATCH($B32,INDIRECT($B$1&amp;"!$A$8:$A$73"),0)),CONFIG!$A$15:$B$40,2,FALSE)&amp;"","")</f>
        <v/>
      </c>
      <c r="T32" s="181">
        <f>IFERROR(VLOOKUP(INDEX(INDIRECT($B$1&amp;"!"&amp;ADDRESS(8,COLUMN()+6,4)&amp;":"&amp;ADDRESS(73,COLUMN()+6,4)),MATCH($B32,INDIRECT($B$1&amp;"!$A$8:$A$73"),0)),CONFIG!$A$15:$B$40,2,FALSE)&amp;"","")</f>
        <v/>
      </c>
      <c r="U32" s="181">
        <f>IFERROR(VLOOKUP(INDEX(INDIRECT($B$1&amp;"!"&amp;ADDRESS(8,COLUMN()+6,4)&amp;":"&amp;ADDRESS(73,COLUMN()+6,4)),MATCH($B32,INDIRECT($B$1&amp;"!$A$8:$A$73"),0)),CONFIG!$A$15:$B$40,2,FALSE)&amp;"","")</f>
        <v/>
      </c>
      <c r="V32" s="181">
        <f>IFERROR(VLOOKUP(INDEX(INDIRECT($B$1&amp;"!"&amp;ADDRESS(8,COLUMN()+6,4)&amp;":"&amp;ADDRESS(73,COLUMN()+6,4)),MATCH($B32,INDIRECT($B$1&amp;"!$A$8:$A$73"),0)),CONFIG!$A$15:$B$40,2,FALSE)&amp;"","")</f>
        <v/>
      </c>
      <c r="W32" s="181">
        <f>IFERROR(VLOOKUP(INDEX(INDIRECT($B$1&amp;"!"&amp;ADDRESS(8,COLUMN()+6,4)&amp;":"&amp;ADDRESS(73,COLUMN()+6,4)),MATCH($B32,INDIRECT($B$1&amp;"!$A$8:$A$73"),0)),CONFIG!$A$15:$B$40,2,FALSE)&amp;"","")</f>
        <v/>
      </c>
      <c r="X32" s="181">
        <f>IFERROR(VLOOKUP(INDEX(INDIRECT($B$1&amp;"!"&amp;ADDRESS(8,COLUMN()+6,4)&amp;":"&amp;ADDRESS(73,COLUMN()+6,4)),MATCH($B32,INDIRECT($B$1&amp;"!$A$8:$A$73"),0)),CONFIG!$A$15:$B$40,2,FALSE)&amp;"","")</f>
        <v/>
      </c>
      <c r="Y32" s="181">
        <f>IFERROR(VLOOKUP(INDEX(INDIRECT($B$1&amp;"!"&amp;ADDRESS(8,COLUMN()+6,4)&amp;":"&amp;ADDRESS(73,COLUMN()+6,4)),MATCH($B32,INDIRECT($B$1&amp;"!$A$8:$A$73"),0)),CONFIG!$A$15:$B$40,2,FALSE)&amp;"","")</f>
        <v/>
      </c>
      <c r="Z32" s="181">
        <f>IFERROR(VLOOKUP(INDEX(INDIRECT($B$1&amp;"!"&amp;ADDRESS(8,COLUMN()+6,4)&amp;":"&amp;ADDRESS(73,COLUMN()+6,4)),MATCH($B32,INDIRECT($B$1&amp;"!$A$8:$A$73"),0)),CONFIG!$A$15:$B$40,2,FALSE)&amp;"","")</f>
        <v/>
      </c>
      <c r="AA32" s="181">
        <f>IFERROR(VLOOKUP(INDEX(INDIRECT($B$1&amp;"!"&amp;ADDRESS(8,COLUMN()+6,4)&amp;":"&amp;ADDRESS(73,COLUMN()+6,4)),MATCH($B32,INDIRECT($B$1&amp;"!$A$8:$A$73"),0)),CONFIG!$A$15:$B$40,2,FALSE)&amp;"","")</f>
        <v/>
      </c>
      <c r="AB32" s="181">
        <f>IFERROR(VLOOKUP(INDEX(INDIRECT($B$1&amp;"!"&amp;ADDRESS(8,COLUMN()+6,4)&amp;":"&amp;ADDRESS(73,COLUMN()+6,4)),MATCH($B32,INDIRECT($B$1&amp;"!$A$8:$A$73"),0)),CONFIG!$A$15:$B$40,2,FALSE)&amp;"","")</f>
        <v/>
      </c>
      <c r="AC32" s="181">
        <f>IFERROR(VLOOKUP(INDEX(INDIRECT($B$1&amp;"!"&amp;ADDRESS(8,COLUMN()+6,4)&amp;":"&amp;ADDRESS(73,COLUMN()+6,4)),MATCH($B32,INDIRECT($B$1&amp;"!$A$8:$A$73"),0)),CONFIG!$A$15:$B$40,2,FALSE)&amp;"","")</f>
        <v/>
      </c>
      <c r="AD32" s="181">
        <f>IFERROR(VLOOKUP(INDEX(INDIRECT($B$1&amp;"!"&amp;ADDRESS(8,COLUMN()+6,4)&amp;":"&amp;ADDRESS(73,COLUMN()+6,4)),MATCH($B32,INDIRECT($B$1&amp;"!$A$8:$A$73"),0)),CONFIG!$A$15:$B$40,2,FALSE)&amp;"","")</f>
        <v/>
      </c>
      <c r="AE32" s="181">
        <f>IFERROR(VLOOKUP(INDEX(INDIRECT($B$1&amp;"!"&amp;ADDRESS(8,COLUMN()+6,4)&amp;":"&amp;ADDRESS(73,COLUMN()+6,4)),MATCH($B32,INDIRECT($B$1&amp;"!$A$8:$A$73"),0)),CONFIG!$A$15:$B$40,2,FALSE)&amp;"","")</f>
        <v/>
      </c>
      <c r="AF32" s="181">
        <f>IFERROR(VLOOKUP(INDEX(INDIRECT($B$1&amp;"!"&amp;ADDRESS(8,COLUMN()+6,4)&amp;":"&amp;ADDRESS(73,COLUMN()+6,4)),MATCH($B32,INDIRECT($B$1&amp;"!$A$8:$A$73"),0)),CONFIG!$A$15:$B$40,2,FALSE)&amp;"","")</f>
        <v/>
      </c>
      <c r="AG32" s="181">
        <f>IFERROR(VLOOKUP(INDEX(INDIRECT($B$1&amp;"!"&amp;ADDRESS(8,COLUMN()+6,4)&amp;":"&amp;ADDRESS(73,COLUMN()+6,4)),MATCH($B32,INDIRECT($B$1&amp;"!$A$8:$A$73"),0)),CONFIG!$A$15:$B$40,2,FALSE)&amp;"","")</f>
        <v/>
      </c>
      <c r="AH32" s="181">
        <f>IFERROR(VLOOKUP(INDEX(INDIRECT($B$1&amp;"!"&amp;ADDRESS(8,COLUMN()+6,4)&amp;":"&amp;ADDRESS(73,COLUMN()+6,4)),MATCH($B32,INDIRECT($B$1&amp;"!$A$8:$A$73"),0)),CONFIG!$A$15:$B$40,2,FALSE)&amp;"","")</f>
        <v/>
      </c>
      <c r="AI32" s="39" t="n"/>
    </row>
    <row r="33">
      <c r="A33" s="179" t="inlineStr">
        <is>
          <t>Leomara</t>
        </is>
      </c>
      <c r="B33" s="180" t="inlineStr">
        <is>
          <t>Leomara</t>
        </is>
      </c>
      <c r="C33" s="181">
        <f>IFERROR(VLOOKUP(INDEX(INDIRECT($B$1&amp;"!"&amp;ADDRESS(8,COLUMN()+6,4)&amp;":"&amp;ADDRESS(73,COLUMN()+6,4)),MATCH($B33,INDIRECT($B$1&amp;"!$A$8:$A$73"),0)),CONFIG!$A$15:$B$40,2,FALSE)&amp;"","")</f>
        <v/>
      </c>
      <c r="D33" s="181">
        <f>IFERROR(VLOOKUP(INDEX(INDIRECT($B$1&amp;"!"&amp;ADDRESS(8,COLUMN()+6,4)&amp;":"&amp;ADDRESS(73,COLUMN()+6,4)),MATCH($B33,INDIRECT($B$1&amp;"!$A$8:$A$73"),0)),CONFIG!$A$15:$B$40,2,FALSE)&amp;"","")</f>
        <v/>
      </c>
      <c r="E33" s="181">
        <f>IFERROR(VLOOKUP(INDEX(INDIRECT($B$1&amp;"!"&amp;ADDRESS(8,COLUMN()+6,4)&amp;":"&amp;ADDRESS(73,COLUMN()+6,4)),MATCH($B33,INDIRECT($B$1&amp;"!$A$8:$A$73"),0)),CONFIG!$A$15:$B$40,2,FALSE)&amp;"","")</f>
        <v/>
      </c>
      <c r="F33" s="181">
        <f>IFERROR(VLOOKUP(INDEX(INDIRECT($B$1&amp;"!"&amp;ADDRESS(8,COLUMN()+6,4)&amp;":"&amp;ADDRESS(73,COLUMN()+6,4)),MATCH($B33,INDIRECT($B$1&amp;"!$A$8:$A$73"),0)),CONFIG!$A$15:$B$40,2,FALSE)&amp;"","")</f>
        <v/>
      </c>
      <c r="G33" s="181">
        <f>IFERROR(VLOOKUP(INDEX(INDIRECT($B$1&amp;"!"&amp;ADDRESS(8,COLUMN()+6,4)&amp;":"&amp;ADDRESS(73,COLUMN()+6,4)),MATCH($B33,INDIRECT($B$1&amp;"!$A$8:$A$73"),0)),CONFIG!$A$15:$B$40,2,FALSE)&amp;"","")</f>
        <v/>
      </c>
      <c r="H33" s="181">
        <f>IFERROR(VLOOKUP(INDEX(INDIRECT($B$1&amp;"!"&amp;ADDRESS(8,COLUMN()+6,4)&amp;":"&amp;ADDRESS(73,COLUMN()+6,4)),MATCH($B33,INDIRECT($B$1&amp;"!$A$8:$A$73"),0)),CONFIG!$A$15:$B$40,2,FALSE)&amp;"","")</f>
        <v/>
      </c>
      <c r="I33" s="181">
        <f>IFERROR(VLOOKUP(INDEX(INDIRECT($B$1&amp;"!"&amp;ADDRESS(8,COLUMN()+6,4)&amp;":"&amp;ADDRESS(73,COLUMN()+6,4)),MATCH($B33,INDIRECT($B$1&amp;"!$A$8:$A$73"),0)),CONFIG!$A$15:$B$40,2,FALSE)&amp;"","")</f>
        <v/>
      </c>
      <c r="J33" s="181">
        <f>IFERROR(VLOOKUP(INDEX(INDIRECT($B$1&amp;"!"&amp;ADDRESS(8,COLUMN()+6,4)&amp;":"&amp;ADDRESS(73,COLUMN()+6,4)),MATCH($B33,INDIRECT($B$1&amp;"!$A$8:$A$73"),0)),CONFIG!$A$15:$B$40,2,FALSE)&amp;"","")</f>
        <v/>
      </c>
      <c r="K33" s="181">
        <f>IFERROR(VLOOKUP(INDEX(INDIRECT($B$1&amp;"!"&amp;ADDRESS(8,COLUMN()+6,4)&amp;":"&amp;ADDRESS(73,COLUMN()+6,4)),MATCH($B33,INDIRECT($B$1&amp;"!$A$8:$A$73"),0)),CONFIG!$A$15:$B$40,2,FALSE)&amp;"","")</f>
        <v/>
      </c>
      <c r="L33" s="181">
        <f>IFERROR(VLOOKUP(INDEX(INDIRECT($B$1&amp;"!"&amp;ADDRESS(8,COLUMN()+6,4)&amp;":"&amp;ADDRESS(73,COLUMN()+6,4)),MATCH($B33,INDIRECT($B$1&amp;"!$A$8:$A$73"),0)),CONFIG!$A$15:$B$40,2,FALSE)&amp;"","")</f>
        <v/>
      </c>
      <c r="M33" s="181">
        <f>IFERROR(VLOOKUP(INDEX(INDIRECT($B$1&amp;"!"&amp;ADDRESS(8,COLUMN()+6,4)&amp;":"&amp;ADDRESS(73,COLUMN()+6,4)),MATCH($B33,INDIRECT($B$1&amp;"!$A$8:$A$73"),0)),CONFIG!$A$15:$B$40,2,FALSE)&amp;"","")</f>
        <v/>
      </c>
      <c r="N33" s="181">
        <f>IFERROR(VLOOKUP(INDEX(INDIRECT($B$1&amp;"!"&amp;ADDRESS(8,COLUMN()+6,4)&amp;":"&amp;ADDRESS(73,COLUMN()+6,4)),MATCH($B33,INDIRECT($B$1&amp;"!$A$8:$A$73"),0)),CONFIG!$A$15:$B$40,2,FALSE)&amp;"","")</f>
        <v/>
      </c>
      <c r="O33" s="181">
        <f>IFERROR(VLOOKUP(INDEX(INDIRECT($B$1&amp;"!"&amp;ADDRESS(8,COLUMN()+6,4)&amp;":"&amp;ADDRESS(73,COLUMN()+6,4)),MATCH($B33,INDIRECT($B$1&amp;"!$A$8:$A$73"),0)),CONFIG!$A$15:$B$40,2,FALSE)&amp;"","")</f>
        <v/>
      </c>
      <c r="P33" s="181">
        <f>IFERROR(VLOOKUP(INDEX(INDIRECT($B$1&amp;"!"&amp;ADDRESS(8,COLUMN()+6,4)&amp;":"&amp;ADDRESS(73,COLUMN()+6,4)),MATCH($B33,INDIRECT($B$1&amp;"!$A$8:$A$73"),0)),CONFIG!$A$15:$B$40,2,FALSE)&amp;"","")</f>
        <v/>
      </c>
      <c r="Q33" s="181">
        <f>IFERROR(VLOOKUP(INDEX(INDIRECT($B$1&amp;"!"&amp;ADDRESS(8,COLUMN()+6,4)&amp;":"&amp;ADDRESS(73,COLUMN()+6,4)),MATCH($B33,INDIRECT($B$1&amp;"!$A$8:$A$73"),0)),CONFIG!$A$15:$B$40,2,FALSE)&amp;"","")</f>
        <v/>
      </c>
      <c r="R33" s="181">
        <f>IFERROR(VLOOKUP(INDEX(INDIRECT($B$1&amp;"!"&amp;ADDRESS(8,COLUMN()+6,4)&amp;":"&amp;ADDRESS(73,COLUMN()+6,4)),MATCH($B33,INDIRECT($B$1&amp;"!$A$8:$A$73"),0)),CONFIG!$A$15:$B$40,2,FALSE)&amp;"","")</f>
        <v/>
      </c>
      <c r="S33" s="181">
        <f>IFERROR(VLOOKUP(INDEX(INDIRECT($B$1&amp;"!"&amp;ADDRESS(8,COLUMN()+6,4)&amp;":"&amp;ADDRESS(73,COLUMN()+6,4)),MATCH($B33,INDIRECT($B$1&amp;"!$A$8:$A$73"),0)),CONFIG!$A$15:$B$40,2,FALSE)&amp;"","")</f>
        <v/>
      </c>
      <c r="T33" s="181">
        <f>IFERROR(VLOOKUP(INDEX(INDIRECT($B$1&amp;"!"&amp;ADDRESS(8,COLUMN()+6,4)&amp;":"&amp;ADDRESS(73,COLUMN()+6,4)),MATCH($B33,INDIRECT($B$1&amp;"!$A$8:$A$73"),0)),CONFIG!$A$15:$B$40,2,FALSE)&amp;"","")</f>
        <v/>
      </c>
      <c r="U33" s="181">
        <f>IFERROR(VLOOKUP(INDEX(INDIRECT($B$1&amp;"!"&amp;ADDRESS(8,COLUMN()+6,4)&amp;":"&amp;ADDRESS(73,COLUMN()+6,4)),MATCH($B33,INDIRECT($B$1&amp;"!$A$8:$A$73"),0)),CONFIG!$A$15:$B$40,2,FALSE)&amp;"","")</f>
        <v/>
      </c>
      <c r="V33" s="181">
        <f>IFERROR(VLOOKUP(INDEX(INDIRECT($B$1&amp;"!"&amp;ADDRESS(8,COLUMN()+6,4)&amp;":"&amp;ADDRESS(73,COLUMN()+6,4)),MATCH($B33,INDIRECT($B$1&amp;"!$A$8:$A$73"),0)),CONFIG!$A$15:$B$40,2,FALSE)&amp;"","")</f>
        <v/>
      </c>
      <c r="W33" s="181">
        <f>IFERROR(VLOOKUP(INDEX(INDIRECT($B$1&amp;"!"&amp;ADDRESS(8,COLUMN()+6,4)&amp;":"&amp;ADDRESS(73,COLUMN()+6,4)),MATCH($B33,INDIRECT($B$1&amp;"!$A$8:$A$73"),0)),CONFIG!$A$15:$B$40,2,FALSE)&amp;"","")</f>
        <v/>
      </c>
      <c r="X33" s="181">
        <f>IFERROR(VLOOKUP(INDEX(INDIRECT($B$1&amp;"!"&amp;ADDRESS(8,COLUMN()+6,4)&amp;":"&amp;ADDRESS(73,COLUMN()+6,4)),MATCH($B33,INDIRECT($B$1&amp;"!$A$8:$A$73"),0)),CONFIG!$A$15:$B$40,2,FALSE)&amp;"","")</f>
        <v/>
      </c>
      <c r="Y33" s="181">
        <f>IFERROR(VLOOKUP(INDEX(INDIRECT($B$1&amp;"!"&amp;ADDRESS(8,COLUMN()+6,4)&amp;":"&amp;ADDRESS(73,COLUMN()+6,4)),MATCH($B33,INDIRECT($B$1&amp;"!$A$8:$A$73"),0)),CONFIG!$A$15:$B$40,2,FALSE)&amp;"","")</f>
        <v/>
      </c>
      <c r="Z33" s="181">
        <f>IFERROR(VLOOKUP(INDEX(INDIRECT($B$1&amp;"!"&amp;ADDRESS(8,COLUMN()+6,4)&amp;":"&amp;ADDRESS(73,COLUMN()+6,4)),MATCH($B33,INDIRECT($B$1&amp;"!$A$8:$A$73"),0)),CONFIG!$A$15:$B$40,2,FALSE)&amp;"","")</f>
        <v/>
      </c>
      <c r="AA33" s="181">
        <f>IFERROR(VLOOKUP(INDEX(INDIRECT($B$1&amp;"!"&amp;ADDRESS(8,COLUMN()+6,4)&amp;":"&amp;ADDRESS(73,COLUMN()+6,4)),MATCH($B33,INDIRECT($B$1&amp;"!$A$8:$A$73"),0)),CONFIG!$A$15:$B$40,2,FALSE)&amp;"","")</f>
        <v/>
      </c>
      <c r="AB33" s="181">
        <f>IFERROR(VLOOKUP(INDEX(INDIRECT($B$1&amp;"!"&amp;ADDRESS(8,COLUMN()+6,4)&amp;":"&amp;ADDRESS(73,COLUMN()+6,4)),MATCH($B33,INDIRECT($B$1&amp;"!$A$8:$A$73"),0)),CONFIG!$A$15:$B$40,2,FALSE)&amp;"","")</f>
        <v/>
      </c>
      <c r="AC33" s="181">
        <f>IFERROR(VLOOKUP(INDEX(INDIRECT($B$1&amp;"!"&amp;ADDRESS(8,COLUMN()+6,4)&amp;":"&amp;ADDRESS(73,COLUMN()+6,4)),MATCH($B33,INDIRECT($B$1&amp;"!$A$8:$A$73"),0)),CONFIG!$A$15:$B$40,2,FALSE)&amp;"","")</f>
        <v/>
      </c>
      <c r="AD33" s="181">
        <f>IFERROR(VLOOKUP(INDEX(INDIRECT($B$1&amp;"!"&amp;ADDRESS(8,COLUMN()+6,4)&amp;":"&amp;ADDRESS(73,COLUMN()+6,4)),MATCH($B33,INDIRECT($B$1&amp;"!$A$8:$A$73"),0)),CONFIG!$A$15:$B$40,2,FALSE)&amp;"","")</f>
        <v/>
      </c>
      <c r="AE33" s="181">
        <f>IFERROR(VLOOKUP(INDEX(INDIRECT($B$1&amp;"!"&amp;ADDRESS(8,COLUMN()+6,4)&amp;":"&amp;ADDRESS(73,COLUMN()+6,4)),MATCH($B33,INDIRECT($B$1&amp;"!$A$8:$A$73"),0)),CONFIG!$A$15:$B$40,2,FALSE)&amp;"","")</f>
        <v/>
      </c>
      <c r="AF33" s="181">
        <f>IFERROR(VLOOKUP(INDEX(INDIRECT($B$1&amp;"!"&amp;ADDRESS(8,COLUMN()+6,4)&amp;":"&amp;ADDRESS(73,COLUMN()+6,4)),MATCH($B33,INDIRECT($B$1&amp;"!$A$8:$A$73"),0)),CONFIG!$A$15:$B$40,2,FALSE)&amp;"","")</f>
        <v/>
      </c>
      <c r="AG33" s="181">
        <f>IFERROR(VLOOKUP(INDEX(INDIRECT($B$1&amp;"!"&amp;ADDRESS(8,COLUMN()+6,4)&amp;":"&amp;ADDRESS(73,COLUMN()+6,4)),MATCH($B33,INDIRECT($B$1&amp;"!$A$8:$A$73"),0)),CONFIG!$A$15:$B$40,2,FALSE)&amp;"","")</f>
        <v/>
      </c>
      <c r="AH33" s="181">
        <f>IFERROR(VLOOKUP(INDEX(INDIRECT($B$1&amp;"!"&amp;ADDRESS(8,COLUMN()+6,4)&amp;":"&amp;ADDRESS(73,COLUMN()+6,4)),MATCH($B33,INDIRECT($B$1&amp;"!$A$8:$A$73"),0)),CONFIG!$A$15:$B$40,2,FALSE)&amp;"","")</f>
        <v/>
      </c>
      <c r="AI33" s="39" t="n"/>
    </row>
    <row r="34">
      <c r="A34" s="179" t="inlineStr">
        <is>
          <t>Marilia</t>
        </is>
      </c>
      <c r="B34" s="180" t="inlineStr">
        <is>
          <t>Marilia</t>
        </is>
      </c>
      <c r="C34" s="181">
        <f>IFERROR(VLOOKUP(INDEX(INDIRECT($B$1&amp;"!"&amp;ADDRESS(8,COLUMN()+6,4)&amp;":"&amp;ADDRESS(73,COLUMN()+6,4)),MATCH($B34,INDIRECT($B$1&amp;"!$A$8:$A$73"),0)),CONFIG!$A$15:$B$40,2,FALSE)&amp;"","")</f>
        <v/>
      </c>
      <c r="D34" s="181">
        <f>IFERROR(VLOOKUP(INDEX(INDIRECT($B$1&amp;"!"&amp;ADDRESS(8,COLUMN()+6,4)&amp;":"&amp;ADDRESS(73,COLUMN()+6,4)),MATCH($B34,INDIRECT($B$1&amp;"!$A$8:$A$73"),0)),CONFIG!$A$15:$B$40,2,FALSE)&amp;"","")</f>
        <v/>
      </c>
      <c r="E34" s="181">
        <f>IFERROR(VLOOKUP(INDEX(INDIRECT($B$1&amp;"!"&amp;ADDRESS(8,COLUMN()+6,4)&amp;":"&amp;ADDRESS(73,COLUMN()+6,4)),MATCH($B34,INDIRECT($B$1&amp;"!$A$8:$A$73"),0)),CONFIG!$A$15:$B$40,2,FALSE)&amp;"","")</f>
        <v/>
      </c>
      <c r="F34" s="181">
        <f>IFERROR(VLOOKUP(INDEX(INDIRECT($B$1&amp;"!"&amp;ADDRESS(8,COLUMN()+6,4)&amp;":"&amp;ADDRESS(73,COLUMN()+6,4)),MATCH($B34,INDIRECT($B$1&amp;"!$A$8:$A$73"),0)),CONFIG!$A$15:$B$40,2,FALSE)&amp;"","")</f>
        <v/>
      </c>
      <c r="G34" s="181">
        <f>IFERROR(VLOOKUP(INDEX(INDIRECT($B$1&amp;"!"&amp;ADDRESS(8,COLUMN()+6,4)&amp;":"&amp;ADDRESS(73,COLUMN()+6,4)),MATCH($B34,INDIRECT($B$1&amp;"!$A$8:$A$73"),0)),CONFIG!$A$15:$B$40,2,FALSE)&amp;"","")</f>
        <v/>
      </c>
      <c r="H34" s="181">
        <f>IFERROR(VLOOKUP(INDEX(INDIRECT($B$1&amp;"!"&amp;ADDRESS(8,COLUMN()+6,4)&amp;":"&amp;ADDRESS(73,COLUMN()+6,4)),MATCH($B34,INDIRECT($B$1&amp;"!$A$8:$A$73"),0)),CONFIG!$A$15:$B$40,2,FALSE)&amp;"","")</f>
        <v/>
      </c>
      <c r="I34" s="181">
        <f>IFERROR(VLOOKUP(INDEX(INDIRECT($B$1&amp;"!"&amp;ADDRESS(8,COLUMN()+6,4)&amp;":"&amp;ADDRESS(73,COLUMN()+6,4)),MATCH($B34,INDIRECT($B$1&amp;"!$A$8:$A$73"),0)),CONFIG!$A$15:$B$40,2,FALSE)&amp;"","")</f>
        <v/>
      </c>
      <c r="J34" s="181">
        <f>IFERROR(VLOOKUP(INDEX(INDIRECT($B$1&amp;"!"&amp;ADDRESS(8,COLUMN()+6,4)&amp;":"&amp;ADDRESS(73,COLUMN()+6,4)),MATCH($B34,INDIRECT($B$1&amp;"!$A$8:$A$73"),0)),CONFIG!$A$15:$B$40,2,FALSE)&amp;"","")</f>
        <v/>
      </c>
      <c r="K34" s="181">
        <f>IFERROR(VLOOKUP(INDEX(INDIRECT($B$1&amp;"!"&amp;ADDRESS(8,COLUMN()+6,4)&amp;":"&amp;ADDRESS(73,COLUMN()+6,4)),MATCH($B34,INDIRECT($B$1&amp;"!$A$8:$A$73"),0)),CONFIG!$A$15:$B$40,2,FALSE)&amp;"","")</f>
        <v/>
      </c>
      <c r="L34" s="181">
        <f>IFERROR(VLOOKUP(INDEX(INDIRECT($B$1&amp;"!"&amp;ADDRESS(8,COLUMN()+6,4)&amp;":"&amp;ADDRESS(73,COLUMN()+6,4)),MATCH($B34,INDIRECT($B$1&amp;"!$A$8:$A$73"),0)),CONFIG!$A$15:$B$40,2,FALSE)&amp;"","")</f>
        <v/>
      </c>
      <c r="M34" s="181">
        <f>IFERROR(VLOOKUP(INDEX(INDIRECT($B$1&amp;"!"&amp;ADDRESS(8,COLUMN()+6,4)&amp;":"&amp;ADDRESS(73,COLUMN()+6,4)),MATCH($B34,INDIRECT($B$1&amp;"!$A$8:$A$73"),0)),CONFIG!$A$15:$B$40,2,FALSE)&amp;"","")</f>
        <v/>
      </c>
      <c r="N34" s="181">
        <f>IFERROR(VLOOKUP(INDEX(INDIRECT($B$1&amp;"!"&amp;ADDRESS(8,COLUMN()+6,4)&amp;":"&amp;ADDRESS(73,COLUMN()+6,4)),MATCH($B34,INDIRECT($B$1&amp;"!$A$8:$A$73"),0)),CONFIG!$A$15:$B$40,2,FALSE)&amp;"","")</f>
        <v/>
      </c>
      <c r="O34" s="181">
        <f>IFERROR(VLOOKUP(INDEX(INDIRECT($B$1&amp;"!"&amp;ADDRESS(8,COLUMN()+6,4)&amp;":"&amp;ADDRESS(73,COLUMN()+6,4)),MATCH($B34,INDIRECT($B$1&amp;"!$A$8:$A$73"),0)),CONFIG!$A$15:$B$40,2,FALSE)&amp;"","")</f>
        <v/>
      </c>
      <c r="P34" s="181">
        <f>IFERROR(VLOOKUP(INDEX(INDIRECT($B$1&amp;"!"&amp;ADDRESS(8,COLUMN()+6,4)&amp;":"&amp;ADDRESS(73,COLUMN()+6,4)),MATCH($B34,INDIRECT($B$1&amp;"!$A$8:$A$73"),0)),CONFIG!$A$15:$B$40,2,FALSE)&amp;"","")</f>
        <v/>
      </c>
      <c r="Q34" s="181">
        <f>IFERROR(VLOOKUP(INDEX(INDIRECT($B$1&amp;"!"&amp;ADDRESS(8,COLUMN()+6,4)&amp;":"&amp;ADDRESS(73,COLUMN()+6,4)),MATCH($B34,INDIRECT($B$1&amp;"!$A$8:$A$73"),0)),CONFIG!$A$15:$B$40,2,FALSE)&amp;"","")</f>
        <v/>
      </c>
      <c r="R34" s="181">
        <f>IFERROR(VLOOKUP(INDEX(INDIRECT($B$1&amp;"!"&amp;ADDRESS(8,COLUMN()+6,4)&amp;":"&amp;ADDRESS(73,COLUMN()+6,4)),MATCH($B34,INDIRECT($B$1&amp;"!$A$8:$A$73"),0)),CONFIG!$A$15:$B$40,2,FALSE)&amp;"","")</f>
        <v/>
      </c>
      <c r="S34" s="181">
        <f>IFERROR(VLOOKUP(INDEX(INDIRECT($B$1&amp;"!"&amp;ADDRESS(8,COLUMN()+6,4)&amp;":"&amp;ADDRESS(73,COLUMN()+6,4)),MATCH($B34,INDIRECT($B$1&amp;"!$A$8:$A$73"),0)),CONFIG!$A$15:$B$40,2,FALSE)&amp;"","")</f>
        <v/>
      </c>
      <c r="T34" s="181">
        <f>IFERROR(VLOOKUP(INDEX(INDIRECT($B$1&amp;"!"&amp;ADDRESS(8,COLUMN()+6,4)&amp;":"&amp;ADDRESS(73,COLUMN()+6,4)),MATCH($B34,INDIRECT($B$1&amp;"!$A$8:$A$73"),0)),CONFIG!$A$15:$B$40,2,FALSE)&amp;"","")</f>
        <v/>
      </c>
      <c r="U34" s="181">
        <f>IFERROR(VLOOKUP(INDEX(INDIRECT($B$1&amp;"!"&amp;ADDRESS(8,COLUMN()+6,4)&amp;":"&amp;ADDRESS(73,COLUMN()+6,4)),MATCH($B34,INDIRECT($B$1&amp;"!$A$8:$A$73"),0)),CONFIG!$A$15:$B$40,2,FALSE)&amp;"","")</f>
        <v/>
      </c>
      <c r="V34" s="181">
        <f>IFERROR(VLOOKUP(INDEX(INDIRECT($B$1&amp;"!"&amp;ADDRESS(8,COLUMN()+6,4)&amp;":"&amp;ADDRESS(73,COLUMN()+6,4)),MATCH($B34,INDIRECT($B$1&amp;"!$A$8:$A$73"),0)),CONFIG!$A$15:$B$40,2,FALSE)&amp;"","")</f>
        <v/>
      </c>
      <c r="W34" s="181">
        <f>IFERROR(VLOOKUP(INDEX(INDIRECT($B$1&amp;"!"&amp;ADDRESS(8,COLUMN()+6,4)&amp;":"&amp;ADDRESS(73,COLUMN()+6,4)),MATCH($B34,INDIRECT($B$1&amp;"!$A$8:$A$73"),0)),CONFIG!$A$15:$B$40,2,FALSE)&amp;"","")</f>
        <v/>
      </c>
      <c r="X34" s="181">
        <f>IFERROR(VLOOKUP(INDEX(INDIRECT($B$1&amp;"!"&amp;ADDRESS(8,COLUMN()+6,4)&amp;":"&amp;ADDRESS(73,COLUMN()+6,4)),MATCH($B34,INDIRECT($B$1&amp;"!$A$8:$A$73"),0)),CONFIG!$A$15:$B$40,2,FALSE)&amp;"","")</f>
        <v/>
      </c>
      <c r="Y34" s="181">
        <f>IFERROR(VLOOKUP(INDEX(INDIRECT($B$1&amp;"!"&amp;ADDRESS(8,COLUMN()+6,4)&amp;":"&amp;ADDRESS(73,COLUMN()+6,4)),MATCH($B34,INDIRECT($B$1&amp;"!$A$8:$A$73"),0)),CONFIG!$A$15:$B$40,2,FALSE)&amp;"","")</f>
        <v/>
      </c>
      <c r="Z34" s="181">
        <f>IFERROR(VLOOKUP(INDEX(INDIRECT($B$1&amp;"!"&amp;ADDRESS(8,COLUMN()+6,4)&amp;":"&amp;ADDRESS(73,COLUMN()+6,4)),MATCH($B34,INDIRECT($B$1&amp;"!$A$8:$A$73"),0)),CONFIG!$A$15:$B$40,2,FALSE)&amp;"","")</f>
        <v/>
      </c>
      <c r="AA34" s="181">
        <f>IFERROR(VLOOKUP(INDEX(INDIRECT($B$1&amp;"!"&amp;ADDRESS(8,COLUMN()+6,4)&amp;":"&amp;ADDRESS(73,COLUMN()+6,4)),MATCH($B34,INDIRECT($B$1&amp;"!$A$8:$A$73"),0)),CONFIG!$A$15:$B$40,2,FALSE)&amp;"","")</f>
        <v/>
      </c>
      <c r="AB34" s="181">
        <f>IFERROR(VLOOKUP(INDEX(INDIRECT($B$1&amp;"!"&amp;ADDRESS(8,COLUMN()+6,4)&amp;":"&amp;ADDRESS(73,COLUMN()+6,4)),MATCH($B34,INDIRECT($B$1&amp;"!$A$8:$A$73"),0)),CONFIG!$A$15:$B$40,2,FALSE)&amp;"","")</f>
        <v/>
      </c>
      <c r="AC34" s="181">
        <f>IFERROR(VLOOKUP(INDEX(INDIRECT($B$1&amp;"!"&amp;ADDRESS(8,COLUMN()+6,4)&amp;":"&amp;ADDRESS(73,COLUMN()+6,4)),MATCH($B34,INDIRECT($B$1&amp;"!$A$8:$A$73"),0)),CONFIG!$A$15:$B$40,2,FALSE)&amp;"","")</f>
        <v/>
      </c>
      <c r="AD34" s="181">
        <f>IFERROR(VLOOKUP(INDEX(INDIRECT($B$1&amp;"!"&amp;ADDRESS(8,COLUMN()+6,4)&amp;":"&amp;ADDRESS(73,COLUMN()+6,4)),MATCH($B34,INDIRECT($B$1&amp;"!$A$8:$A$73"),0)),CONFIG!$A$15:$B$40,2,FALSE)&amp;"","")</f>
        <v/>
      </c>
      <c r="AE34" s="181">
        <f>IFERROR(VLOOKUP(INDEX(INDIRECT($B$1&amp;"!"&amp;ADDRESS(8,COLUMN()+6,4)&amp;":"&amp;ADDRESS(73,COLUMN()+6,4)),MATCH($B34,INDIRECT($B$1&amp;"!$A$8:$A$73"),0)),CONFIG!$A$15:$B$40,2,FALSE)&amp;"","")</f>
        <v/>
      </c>
      <c r="AF34" s="181">
        <f>IFERROR(VLOOKUP(INDEX(INDIRECT($B$1&amp;"!"&amp;ADDRESS(8,COLUMN()+6,4)&amp;":"&amp;ADDRESS(73,COLUMN()+6,4)),MATCH($B34,INDIRECT($B$1&amp;"!$A$8:$A$73"),0)),CONFIG!$A$15:$B$40,2,FALSE)&amp;"","")</f>
        <v/>
      </c>
      <c r="AG34" s="181">
        <f>IFERROR(VLOOKUP(INDEX(INDIRECT($B$1&amp;"!"&amp;ADDRESS(8,COLUMN()+6,4)&amp;":"&amp;ADDRESS(73,COLUMN()+6,4)),MATCH($B34,INDIRECT($B$1&amp;"!$A$8:$A$73"),0)),CONFIG!$A$15:$B$40,2,FALSE)&amp;"","")</f>
        <v/>
      </c>
      <c r="AH34" s="181">
        <f>IFERROR(VLOOKUP(INDEX(INDIRECT($B$1&amp;"!"&amp;ADDRESS(8,COLUMN()+6,4)&amp;":"&amp;ADDRESS(73,COLUMN()+6,4)),MATCH($B34,INDIRECT($B$1&amp;"!$A$8:$A$73"),0)),CONFIG!$A$15:$B$40,2,FALSE)&amp;"","")</f>
        <v/>
      </c>
      <c r="AI34" s="39" t="n"/>
    </row>
    <row r="35">
      <c r="A35" s="179" t="inlineStr">
        <is>
          <t>Daniel Raylander</t>
        </is>
      </c>
      <c r="B35" s="180" t="inlineStr">
        <is>
          <t>Raylander</t>
        </is>
      </c>
      <c r="C35" s="181">
        <f>IFERROR(VLOOKUP(INDEX(INDIRECT($B$1&amp;"!"&amp;ADDRESS(8,COLUMN()+6,4)&amp;":"&amp;ADDRESS(73,COLUMN()+6,4)),MATCH($B35,INDIRECT($B$1&amp;"!$A$8:$A$73"),0)),CONFIG!$A$15:$B$40,2,FALSE)&amp;"","")</f>
        <v/>
      </c>
      <c r="D35" s="181">
        <f>IFERROR(VLOOKUP(INDEX(INDIRECT($B$1&amp;"!"&amp;ADDRESS(8,COLUMN()+6,4)&amp;":"&amp;ADDRESS(73,COLUMN()+6,4)),MATCH($B35,INDIRECT($B$1&amp;"!$A$8:$A$73"),0)),CONFIG!$A$15:$B$40,2,FALSE)&amp;"","")</f>
        <v/>
      </c>
      <c r="E35" s="181">
        <f>IFERROR(VLOOKUP(INDEX(INDIRECT($B$1&amp;"!"&amp;ADDRESS(8,COLUMN()+6,4)&amp;":"&amp;ADDRESS(73,COLUMN()+6,4)),MATCH($B35,INDIRECT($B$1&amp;"!$A$8:$A$73"),0)),CONFIG!$A$15:$B$40,2,FALSE)&amp;"","")</f>
        <v/>
      </c>
      <c r="F35" s="181">
        <f>IFERROR(VLOOKUP(INDEX(INDIRECT($B$1&amp;"!"&amp;ADDRESS(8,COLUMN()+6,4)&amp;":"&amp;ADDRESS(73,COLUMN()+6,4)),MATCH($B35,INDIRECT($B$1&amp;"!$A$8:$A$73"),0)),CONFIG!$A$15:$B$40,2,FALSE)&amp;"","")</f>
        <v/>
      </c>
      <c r="G35" s="181">
        <f>IFERROR(VLOOKUP(INDEX(INDIRECT($B$1&amp;"!"&amp;ADDRESS(8,COLUMN()+6,4)&amp;":"&amp;ADDRESS(73,COLUMN()+6,4)),MATCH($B35,INDIRECT($B$1&amp;"!$A$8:$A$73"),0)),CONFIG!$A$15:$B$40,2,FALSE)&amp;"","")</f>
        <v/>
      </c>
      <c r="H35" s="181">
        <f>IFERROR(VLOOKUP(INDEX(INDIRECT($B$1&amp;"!"&amp;ADDRESS(8,COLUMN()+6,4)&amp;":"&amp;ADDRESS(73,COLUMN()+6,4)),MATCH($B35,INDIRECT($B$1&amp;"!$A$8:$A$73"),0)),CONFIG!$A$15:$B$40,2,FALSE)&amp;"","")</f>
        <v/>
      </c>
      <c r="I35" s="181">
        <f>IFERROR(VLOOKUP(INDEX(INDIRECT($B$1&amp;"!"&amp;ADDRESS(8,COLUMN()+6,4)&amp;":"&amp;ADDRESS(73,COLUMN()+6,4)),MATCH($B35,INDIRECT($B$1&amp;"!$A$8:$A$73"),0)),CONFIG!$A$15:$B$40,2,FALSE)&amp;"","")</f>
        <v/>
      </c>
      <c r="J35" s="181">
        <f>IFERROR(VLOOKUP(INDEX(INDIRECT($B$1&amp;"!"&amp;ADDRESS(8,COLUMN()+6,4)&amp;":"&amp;ADDRESS(73,COLUMN()+6,4)),MATCH($B35,INDIRECT($B$1&amp;"!$A$8:$A$73"),0)),CONFIG!$A$15:$B$40,2,FALSE)&amp;"","")</f>
        <v/>
      </c>
      <c r="K35" s="181">
        <f>IFERROR(VLOOKUP(INDEX(INDIRECT($B$1&amp;"!"&amp;ADDRESS(8,COLUMN()+6,4)&amp;":"&amp;ADDRESS(73,COLUMN()+6,4)),MATCH($B35,INDIRECT($B$1&amp;"!$A$8:$A$73"),0)),CONFIG!$A$15:$B$40,2,FALSE)&amp;"","")</f>
        <v/>
      </c>
      <c r="L35" s="181">
        <f>IFERROR(VLOOKUP(INDEX(INDIRECT($B$1&amp;"!"&amp;ADDRESS(8,COLUMN()+6,4)&amp;":"&amp;ADDRESS(73,COLUMN()+6,4)),MATCH($B35,INDIRECT($B$1&amp;"!$A$8:$A$73"),0)),CONFIG!$A$15:$B$40,2,FALSE)&amp;"","")</f>
        <v/>
      </c>
      <c r="M35" s="181">
        <f>IFERROR(VLOOKUP(INDEX(INDIRECT($B$1&amp;"!"&amp;ADDRESS(8,COLUMN()+6,4)&amp;":"&amp;ADDRESS(73,COLUMN()+6,4)),MATCH($B35,INDIRECT($B$1&amp;"!$A$8:$A$73"),0)),CONFIG!$A$15:$B$40,2,FALSE)&amp;"","")</f>
        <v/>
      </c>
      <c r="N35" s="181">
        <f>IFERROR(VLOOKUP(INDEX(INDIRECT($B$1&amp;"!"&amp;ADDRESS(8,COLUMN()+6,4)&amp;":"&amp;ADDRESS(73,COLUMN()+6,4)),MATCH($B35,INDIRECT($B$1&amp;"!$A$8:$A$73"),0)),CONFIG!$A$15:$B$40,2,FALSE)&amp;"","")</f>
        <v/>
      </c>
      <c r="O35" s="181">
        <f>IFERROR(VLOOKUP(INDEX(INDIRECT($B$1&amp;"!"&amp;ADDRESS(8,COLUMN()+6,4)&amp;":"&amp;ADDRESS(73,COLUMN()+6,4)),MATCH($B35,INDIRECT($B$1&amp;"!$A$8:$A$73"),0)),CONFIG!$A$15:$B$40,2,FALSE)&amp;"","")</f>
        <v/>
      </c>
      <c r="P35" s="181">
        <f>IFERROR(VLOOKUP(INDEX(INDIRECT($B$1&amp;"!"&amp;ADDRESS(8,COLUMN()+6,4)&amp;":"&amp;ADDRESS(73,COLUMN()+6,4)),MATCH($B35,INDIRECT($B$1&amp;"!$A$8:$A$73"),0)),CONFIG!$A$15:$B$40,2,FALSE)&amp;"","")</f>
        <v/>
      </c>
      <c r="Q35" s="181">
        <f>IFERROR(VLOOKUP(INDEX(INDIRECT($B$1&amp;"!"&amp;ADDRESS(8,COLUMN()+6,4)&amp;":"&amp;ADDRESS(73,COLUMN()+6,4)),MATCH($B35,INDIRECT($B$1&amp;"!$A$8:$A$73"),0)),CONFIG!$A$15:$B$40,2,FALSE)&amp;"","")</f>
        <v/>
      </c>
      <c r="R35" s="181">
        <f>IFERROR(VLOOKUP(INDEX(INDIRECT($B$1&amp;"!"&amp;ADDRESS(8,COLUMN()+6,4)&amp;":"&amp;ADDRESS(73,COLUMN()+6,4)),MATCH($B35,INDIRECT($B$1&amp;"!$A$8:$A$73"),0)),CONFIG!$A$15:$B$40,2,FALSE)&amp;"","")</f>
        <v/>
      </c>
      <c r="S35" s="181">
        <f>IFERROR(VLOOKUP(INDEX(INDIRECT($B$1&amp;"!"&amp;ADDRESS(8,COLUMN()+6,4)&amp;":"&amp;ADDRESS(73,COLUMN()+6,4)),MATCH($B35,INDIRECT($B$1&amp;"!$A$8:$A$73"),0)),CONFIG!$A$15:$B$40,2,FALSE)&amp;"","")</f>
        <v/>
      </c>
      <c r="T35" s="181">
        <f>IFERROR(VLOOKUP(INDEX(INDIRECT($B$1&amp;"!"&amp;ADDRESS(8,COLUMN()+6,4)&amp;":"&amp;ADDRESS(73,COLUMN()+6,4)),MATCH($B35,INDIRECT($B$1&amp;"!$A$8:$A$73"),0)),CONFIG!$A$15:$B$40,2,FALSE)&amp;"","")</f>
        <v/>
      </c>
      <c r="U35" s="181">
        <f>IFERROR(VLOOKUP(INDEX(INDIRECT($B$1&amp;"!"&amp;ADDRESS(8,COLUMN()+6,4)&amp;":"&amp;ADDRESS(73,COLUMN()+6,4)),MATCH($B35,INDIRECT($B$1&amp;"!$A$8:$A$73"),0)),CONFIG!$A$15:$B$40,2,FALSE)&amp;"","")</f>
        <v/>
      </c>
      <c r="V35" s="181">
        <f>IFERROR(VLOOKUP(INDEX(INDIRECT($B$1&amp;"!"&amp;ADDRESS(8,COLUMN()+6,4)&amp;":"&amp;ADDRESS(73,COLUMN()+6,4)),MATCH($B35,INDIRECT($B$1&amp;"!$A$8:$A$73"),0)),CONFIG!$A$15:$B$40,2,FALSE)&amp;"","")</f>
        <v/>
      </c>
      <c r="W35" s="181">
        <f>IFERROR(VLOOKUP(INDEX(INDIRECT($B$1&amp;"!"&amp;ADDRESS(8,COLUMN()+6,4)&amp;":"&amp;ADDRESS(73,COLUMN()+6,4)),MATCH($B35,INDIRECT($B$1&amp;"!$A$8:$A$73"),0)),CONFIG!$A$15:$B$40,2,FALSE)&amp;"","")</f>
        <v/>
      </c>
      <c r="X35" s="181">
        <f>IFERROR(VLOOKUP(INDEX(INDIRECT($B$1&amp;"!"&amp;ADDRESS(8,COLUMN()+6,4)&amp;":"&amp;ADDRESS(73,COLUMN()+6,4)),MATCH($B35,INDIRECT($B$1&amp;"!$A$8:$A$73"),0)),CONFIG!$A$15:$B$40,2,FALSE)&amp;"","")</f>
        <v/>
      </c>
      <c r="Y35" s="181">
        <f>IFERROR(VLOOKUP(INDEX(INDIRECT($B$1&amp;"!"&amp;ADDRESS(8,COLUMN()+6,4)&amp;":"&amp;ADDRESS(73,COLUMN()+6,4)),MATCH($B35,INDIRECT($B$1&amp;"!$A$8:$A$73"),0)),CONFIG!$A$15:$B$40,2,FALSE)&amp;"","")</f>
        <v/>
      </c>
      <c r="Z35" s="181">
        <f>IFERROR(VLOOKUP(INDEX(INDIRECT($B$1&amp;"!"&amp;ADDRESS(8,COLUMN()+6,4)&amp;":"&amp;ADDRESS(73,COLUMN()+6,4)),MATCH($B35,INDIRECT($B$1&amp;"!$A$8:$A$73"),0)),CONFIG!$A$15:$B$40,2,FALSE)&amp;"","")</f>
        <v/>
      </c>
      <c r="AA35" s="181">
        <f>IFERROR(VLOOKUP(INDEX(INDIRECT($B$1&amp;"!"&amp;ADDRESS(8,COLUMN()+6,4)&amp;":"&amp;ADDRESS(73,COLUMN()+6,4)),MATCH($B35,INDIRECT($B$1&amp;"!$A$8:$A$73"),0)),CONFIG!$A$15:$B$40,2,FALSE)&amp;"","")</f>
        <v/>
      </c>
      <c r="AB35" s="181">
        <f>IFERROR(VLOOKUP(INDEX(INDIRECT($B$1&amp;"!"&amp;ADDRESS(8,COLUMN()+6,4)&amp;":"&amp;ADDRESS(73,COLUMN()+6,4)),MATCH($B35,INDIRECT($B$1&amp;"!$A$8:$A$73"),0)),CONFIG!$A$15:$B$40,2,FALSE)&amp;"","")</f>
        <v/>
      </c>
      <c r="AC35" s="181">
        <f>IFERROR(VLOOKUP(INDEX(INDIRECT($B$1&amp;"!"&amp;ADDRESS(8,COLUMN()+6,4)&amp;":"&amp;ADDRESS(73,COLUMN()+6,4)),MATCH($B35,INDIRECT($B$1&amp;"!$A$8:$A$73"),0)),CONFIG!$A$15:$B$40,2,FALSE)&amp;"","")</f>
        <v/>
      </c>
      <c r="AD35" s="181">
        <f>IFERROR(VLOOKUP(INDEX(INDIRECT($B$1&amp;"!"&amp;ADDRESS(8,COLUMN()+6,4)&amp;":"&amp;ADDRESS(73,COLUMN()+6,4)),MATCH($B35,INDIRECT($B$1&amp;"!$A$8:$A$73"),0)),CONFIG!$A$15:$B$40,2,FALSE)&amp;"","")</f>
        <v/>
      </c>
      <c r="AE35" s="181">
        <f>IFERROR(VLOOKUP(INDEX(INDIRECT($B$1&amp;"!"&amp;ADDRESS(8,COLUMN()+6,4)&amp;":"&amp;ADDRESS(73,COLUMN()+6,4)),MATCH($B35,INDIRECT($B$1&amp;"!$A$8:$A$73"),0)),CONFIG!$A$15:$B$40,2,FALSE)&amp;"","")</f>
        <v/>
      </c>
      <c r="AF35" s="181">
        <f>IFERROR(VLOOKUP(INDEX(INDIRECT($B$1&amp;"!"&amp;ADDRESS(8,COLUMN()+6,4)&amp;":"&amp;ADDRESS(73,COLUMN()+6,4)),MATCH($B35,INDIRECT($B$1&amp;"!$A$8:$A$73"),0)),CONFIG!$A$15:$B$40,2,FALSE)&amp;"","")</f>
        <v/>
      </c>
      <c r="AG35" s="181">
        <f>IFERROR(VLOOKUP(INDEX(INDIRECT($B$1&amp;"!"&amp;ADDRESS(8,COLUMN()+6,4)&amp;":"&amp;ADDRESS(73,COLUMN()+6,4)),MATCH($B35,INDIRECT($B$1&amp;"!$A$8:$A$73"),0)),CONFIG!$A$15:$B$40,2,FALSE)&amp;"","")</f>
        <v/>
      </c>
      <c r="AH35" s="181">
        <f>IFERROR(VLOOKUP(INDEX(INDIRECT($B$1&amp;"!"&amp;ADDRESS(8,COLUMN()+6,4)&amp;":"&amp;ADDRESS(73,COLUMN()+6,4)),MATCH($B35,INDIRECT($B$1&amp;"!$A$8:$A$73"),0)),CONFIG!$A$15:$B$40,2,FALSE)&amp;"","")</f>
        <v/>
      </c>
      <c r="AI35" s="39" t="n"/>
    </row>
    <row r="36">
      <c r="A36" s="179" t="inlineStr">
        <is>
          <t>Ricardo</t>
        </is>
      </c>
      <c r="B36" s="180" t="inlineStr">
        <is>
          <t>Ricardo</t>
        </is>
      </c>
      <c r="C36" s="181">
        <f>IFERROR(VLOOKUP(INDEX(INDIRECT($B$1&amp;"!"&amp;ADDRESS(8,COLUMN()+6,4)&amp;":"&amp;ADDRESS(73,COLUMN()+6,4)),MATCH($B36,INDIRECT($B$1&amp;"!$A$8:$A$73"),0)),CONFIG!$A$15:$B$40,2,FALSE)&amp;"","")</f>
        <v/>
      </c>
      <c r="D36" s="181">
        <f>IFERROR(VLOOKUP(INDEX(INDIRECT($B$1&amp;"!"&amp;ADDRESS(8,COLUMN()+6,4)&amp;":"&amp;ADDRESS(73,COLUMN()+6,4)),MATCH($B36,INDIRECT($B$1&amp;"!$A$8:$A$73"),0)),CONFIG!$A$15:$B$40,2,FALSE)&amp;"","")</f>
        <v/>
      </c>
      <c r="E36" s="181">
        <f>IFERROR(VLOOKUP(INDEX(INDIRECT($B$1&amp;"!"&amp;ADDRESS(8,COLUMN()+6,4)&amp;":"&amp;ADDRESS(73,COLUMN()+6,4)),MATCH($B36,INDIRECT($B$1&amp;"!$A$8:$A$73"),0)),CONFIG!$A$15:$B$40,2,FALSE)&amp;"","")</f>
        <v/>
      </c>
      <c r="F36" s="181">
        <f>IFERROR(VLOOKUP(INDEX(INDIRECT($B$1&amp;"!"&amp;ADDRESS(8,COLUMN()+6,4)&amp;":"&amp;ADDRESS(73,COLUMN()+6,4)),MATCH($B36,INDIRECT($B$1&amp;"!$A$8:$A$73"),0)),CONFIG!$A$15:$B$40,2,FALSE)&amp;"","")</f>
        <v/>
      </c>
      <c r="G36" s="181">
        <f>IFERROR(VLOOKUP(INDEX(INDIRECT($B$1&amp;"!"&amp;ADDRESS(8,COLUMN()+6,4)&amp;":"&amp;ADDRESS(73,COLUMN()+6,4)),MATCH($B36,INDIRECT($B$1&amp;"!$A$8:$A$73"),0)),CONFIG!$A$15:$B$40,2,FALSE)&amp;"","")</f>
        <v/>
      </c>
      <c r="H36" s="181">
        <f>IFERROR(VLOOKUP(INDEX(INDIRECT($B$1&amp;"!"&amp;ADDRESS(8,COLUMN()+6,4)&amp;":"&amp;ADDRESS(73,COLUMN()+6,4)),MATCH($B36,INDIRECT($B$1&amp;"!$A$8:$A$73"),0)),CONFIG!$A$15:$B$40,2,FALSE)&amp;"","")</f>
        <v/>
      </c>
      <c r="I36" s="181">
        <f>IFERROR(VLOOKUP(INDEX(INDIRECT($B$1&amp;"!"&amp;ADDRESS(8,COLUMN()+6,4)&amp;":"&amp;ADDRESS(73,COLUMN()+6,4)),MATCH($B36,INDIRECT($B$1&amp;"!$A$8:$A$73"),0)),CONFIG!$A$15:$B$40,2,FALSE)&amp;"","")</f>
        <v/>
      </c>
      <c r="J36" s="181">
        <f>IFERROR(VLOOKUP(INDEX(INDIRECT($B$1&amp;"!"&amp;ADDRESS(8,COLUMN()+6,4)&amp;":"&amp;ADDRESS(73,COLUMN()+6,4)),MATCH($B36,INDIRECT($B$1&amp;"!$A$8:$A$73"),0)),CONFIG!$A$15:$B$40,2,FALSE)&amp;"","")</f>
        <v/>
      </c>
      <c r="K36" s="181">
        <f>IFERROR(VLOOKUP(INDEX(INDIRECT($B$1&amp;"!"&amp;ADDRESS(8,COLUMN()+6,4)&amp;":"&amp;ADDRESS(73,COLUMN()+6,4)),MATCH($B36,INDIRECT($B$1&amp;"!$A$8:$A$73"),0)),CONFIG!$A$15:$B$40,2,FALSE)&amp;"","")</f>
        <v/>
      </c>
      <c r="L36" s="181">
        <f>IFERROR(VLOOKUP(INDEX(INDIRECT($B$1&amp;"!"&amp;ADDRESS(8,COLUMN()+6,4)&amp;":"&amp;ADDRESS(73,COLUMN()+6,4)),MATCH($B36,INDIRECT($B$1&amp;"!$A$8:$A$73"),0)),CONFIG!$A$15:$B$40,2,FALSE)&amp;"","")</f>
        <v/>
      </c>
      <c r="M36" s="181">
        <f>IFERROR(VLOOKUP(INDEX(INDIRECT($B$1&amp;"!"&amp;ADDRESS(8,COLUMN()+6,4)&amp;":"&amp;ADDRESS(73,COLUMN()+6,4)),MATCH($B36,INDIRECT($B$1&amp;"!$A$8:$A$73"),0)),CONFIG!$A$15:$B$40,2,FALSE)&amp;"","")</f>
        <v/>
      </c>
      <c r="N36" s="181">
        <f>IFERROR(VLOOKUP(INDEX(INDIRECT($B$1&amp;"!"&amp;ADDRESS(8,COLUMN()+6,4)&amp;":"&amp;ADDRESS(73,COLUMN()+6,4)),MATCH($B36,INDIRECT($B$1&amp;"!$A$8:$A$73"),0)),CONFIG!$A$15:$B$40,2,FALSE)&amp;"","")</f>
        <v/>
      </c>
      <c r="O36" s="181">
        <f>IFERROR(VLOOKUP(INDEX(INDIRECT($B$1&amp;"!"&amp;ADDRESS(8,COLUMN()+6,4)&amp;":"&amp;ADDRESS(73,COLUMN()+6,4)),MATCH($B36,INDIRECT($B$1&amp;"!$A$8:$A$73"),0)),CONFIG!$A$15:$B$40,2,FALSE)&amp;"","")</f>
        <v/>
      </c>
      <c r="P36" s="181">
        <f>IFERROR(VLOOKUP(INDEX(INDIRECT($B$1&amp;"!"&amp;ADDRESS(8,COLUMN()+6,4)&amp;":"&amp;ADDRESS(73,COLUMN()+6,4)),MATCH($B36,INDIRECT($B$1&amp;"!$A$8:$A$73"),0)),CONFIG!$A$15:$B$40,2,FALSE)&amp;"","")</f>
        <v/>
      </c>
      <c r="Q36" s="181">
        <f>IFERROR(VLOOKUP(INDEX(INDIRECT($B$1&amp;"!"&amp;ADDRESS(8,COLUMN()+6,4)&amp;":"&amp;ADDRESS(73,COLUMN()+6,4)),MATCH($B36,INDIRECT($B$1&amp;"!$A$8:$A$73"),0)),CONFIG!$A$15:$B$40,2,FALSE)&amp;"","")</f>
        <v/>
      </c>
      <c r="R36" s="181">
        <f>IFERROR(VLOOKUP(INDEX(INDIRECT($B$1&amp;"!"&amp;ADDRESS(8,COLUMN()+6,4)&amp;":"&amp;ADDRESS(73,COLUMN()+6,4)),MATCH($B36,INDIRECT($B$1&amp;"!$A$8:$A$73"),0)),CONFIG!$A$15:$B$40,2,FALSE)&amp;"","")</f>
        <v/>
      </c>
      <c r="S36" s="181">
        <f>IFERROR(VLOOKUP(INDEX(INDIRECT($B$1&amp;"!"&amp;ADDRESS(8,COLUMN()+6,4)&amp;":"&amp;ADDRESS(73,COLUMN()+6,4)),MATCH($B36,INDIRECT($B$1&amp;"!$A$8:$A$73"),0)),CONFIG!$A$15:$B$40,2,FALSE)&amp;"","")</f>
        <v/>
      </c>
      <c r="T36" s="181">
        <f>IFERROR(VLOOKUP(INDEX(INDIRECT($B$1&amp;"!"&amp;ADDRESS(8,COLUMN()+6,4)&amp;":"&amp;ADDRESS(73,COLUMN()+6,4)),MATCH($B36,INDIRECT($B$1&amp;"!$A$8:$A$73"),0)),CONFIG!$A$15:$B$40,2,FALSE)&amp;"","")</f>
        <v/>
      </c>
      <c r="U36" s="181">
        <f>IFERROR(VLOOKUP(INDEX(INDIRECT($B$1&amp;"!"&amp;ADDRESS(8,COLUMN()+6,4)&amp;":"&amp;ADDRESS(73,COLUMN()+6,4)),MATCH($B36,INDIRECT($B$1&amp;"!$A$8:$A$73"),0)),CONFIG!$A$15:$B$40,2,FALSE)&amp;"","")</f>
        <v/>
      </c>
      <c r="V36" s="181">
        <f>IFERROR(VLOOKUP(INDEX(INDIRECT($B$1&amp;"!"&amp;ADDRESS(8,COLUMN()+6,4)&amp;":"&amp;ADDRESS(73,COLUMN()+6,4)),MATCH($B36,INDIRECT($B$1&amp;"!$A$8:$A$73"),0)),CONFIG!$A$15:$B$40,2,FALSE)&amp;"","")</f>
        <v/>
      </c>
      <c r="W36" s="181">
        <f>IFERROR(VLOOKUP(INDEX(INDIRECT($B$1&amp;"!"&amp;ADDRESS(8,COLUMN()+6,4)&amp;":"&amp;ADDRESS(73,COLUMN()+6,4)),MATCH($B36,INDIRECT($B$1&amp;"!$A$8:$A$73"),0)),CONFIG!$A$15:$B$40,2,FALSE)&amp;"","")</f>
        <v/>
      </c>
      <c r="X36" s="181">
        <f>IFERROR(VLOOKUP(INDEX(INDIRECT($B$1&amp;"!"&amp;ADDRESS(8,COLUMN()+6,4)&amp;":"&amp;ADDRESS(73,COLUMN()+6,4)),MATCH($B36,INDIRECT($B$1&amp;"!$A$8:$A$73"),0)),CONFIG!$A$15:$B$40,2,FALSE)&amp;"","")</f>
        <v/>
      </c>
      <c r="Y36" s="181">
        <f>IFERROR(VLOOKUP(INDEX(INDIRECT($B$1&amp;"!"&amp;ADDRESS(8,COLUMN()+6,4)&amp;":"&amp;ADDRESS(73,COLUMN()+6,4)),MATCH($B36,INDIRECT($B$1&amp;"!$A$8:$A$73"),0)),CONFIG!$A$15:$B$40,2,FALSE)&amp;"","")</f>
        <v/>
      </c>
      <c r="Z36" s="181">
        <f>IFERROR(VLOOKUP(INDEX(INDIRECT($B$1&amp;"!"&amp;ADDRESS(8,COLUMN()+6,4)&amp;":"&amp;ADDRESS(73,COLUMN()+6,4)),MATCH($B36,INDIRECT($B$1&amp;"!$A$8:$A$73"),0)),CONFIG!$A$15:$B$40,2,FALSE)&amp;"","")</f>
        <v/>
      </c>
      <c r="AA36" s="181">
        <f>IFERROR(VLOOKUP(INDEX(INDIRECT($B$1&amp;"!"&amp;ADDRESS(8,COLUMN()+6,4)&amp;":"&amp;ADDRESS(73,COLUMN()+6,4)),MATCH($B36,INDIRECT($B$1&amp;"!$A$8:$A$73"),0)),CONFIG!$A$15:$B$40,2,FALSE)&amp;"","")</f>
        <v/>
      </c>
      <c r="AB36" s="181">
        <f>IFERROR(VLOOKUP(INDEX(INDIRECT($B$1&amp;"!"&amp;ADDRESS(8,COLUMN()+6,4)&amp;":"&amp;ADDRESS(73,COLUMN()+6,4)),MATCH($B36,INDIRECT($B$1&amp;"!$A$8:$A$73"),0)),CONFIG!$A$15:$B$40,2,FALSE)&amp;"","")</f>
        <v/>
      </c>
      <c r="AC36" s="181">
        <f>IFERROR(VLOOKUP(INDEX(INDIRECT($B$1&amp;"!"&amp;ADDRESS(8,COLUMN()+6,4)&amp;":"&amp;ADDRESS(73,COLUMN()+6,4)),MATCH($B36,INDIRECT($B$1&amp;"!$A$8:$A$73"),0)),CONFIG!$A$15:$B$40,2,FALSE)&amp;"","")</f>
        <v/>
      </c>
      <c r="AD36" s="181">
        <f>IFERROR(VLOOKUP(INDEX(INDIRECT($B$1&amp;"!"&amp;ADDRESS(8,COLUMN()+6,4)&amp;":"&amp;ADDRESS(73,COLUMN()+6,4)),MATCH($B36,INDIRECT($B$1&amp;"!$A$8:$A$73"),0)),CONFIG!$A$15:$B$40,2,FALSE)&amp;"","")</f>
        <v/>
      </c>
      <c r="AE36" s="181">
        <f>IFERROR(VLOOKUP(INDEX(INDIRECT($B$1&amp;"!"&amp;ADDRESS(8,COLUMN()+6,4)&amp;":"&amp;ADDRESS(73,COLUMN()+6,4)),MATCH($B36,INDIRECT($B$1&amp;"!$A$8:$A$73"),0)),CONFIG!$A$15:$B$40,2,FALSE)&amp;"","")</f>
        <v/>
      </c>
      <c r="AF36" s="181">
        <f>IFERROR(VLOOKUP(INDEX(INDIRECT($B$1&amp;"!"&amp;ADDRESS(8,COLUMN()+6,4)&amp;":"&amp;ADDRESS(73,COLUMN()+6,4)),MATCH($B36,INDIRECT($B$1&amp;"!$A$8:$A$73"),0)),CONFIG!$A$15:$B$40,2,FALSE)&amp;"","")</f>
        <v/>
      </c>
      <c r="AG36" s="181">
        <f>IFERROR(VLOOKUP(INDEX(INDIRECT($B$1&amp;"!"&amp;ADDRESS(8,COLUMN()+6,4)&amp;":"&amp;ADDRESS(73,COLUMN()+6,4)),MATCH($B36,INDIRECT($B$1&amp;"!$A$8:$A$73"),0)),CONFIG!$A$15:$B$40,2,FALSE)&amp;"","")</f>
        <v/>
      </c>
      <c r="AH36" s="181">
        <f>IFERROR(VLOOKUP(INDEX(INDIRECT($B$1&amp;"!"&amp;ADDRESS(8,COLUMN()+6,4)&amp;":"&amp;ADDRESS(73,COLUMN()+6,4)),MATCH($B36,INDIRECT($B$1&amp;"!$A$8:$A$73"),0)),CONFIG!$A$15:$B$40,2,FALSE)&amp;"","")</f>
        <v/>
      </c>
      <c r="AI36" s="39" t="n"/>
    </row>
    <row r="37">
      <c r="A37" s="179" t="inlineStr">
        <is>
          <t>Rosana</t>
        </is>
      </c>
      <c r="B37" s="180" t="inlineStr">
        <is>
          <t>Rosana</t>
        </is>
      </c>
      <c r="C37" s="181">
        <f>IFERROR(VLOOKUP(INDEX(INDIRECT($B$1&amp;"!"&amp;ADDRESS(8,COLUMN()+6,4)&amp;":"&amp;ADDRESS(73,COLUMN()+6,4)),MATCH($B37,INDIRECT($B$1&amp;"!$A$8:$A$73"),0)),CONFIG!$A$15:$B$40,2,FALSE)&amp;"","")</f>
        <v/>
      </c>
      <c r="D37" s="181">
        <f>IFERROR(VLOOKUP(INDEX(INDIRECT($B$1&amp;"!"&amp;ADDRESS(8,COLUMN()+6,4)&amp;":"&amp;ADDRESS(73,COLUMN()+6,4)),MATCH($B37,INDIRECT($B$1&amp;"!$A$8:$A$73"),0)),CONFIG!$A$15:$B$40,2,FALSE)&amp;"","")</f>
        <v/>
      </c>
      <c r="E37" s="181">
        <f>IFERROR(VLOOKUP(INDEX(INDIRECT($B$1&amp;"!"&amp;ADDRESS(8,COLUMN()+6,4)&amp;":"&amp;ADDRESS(73,COLUMN()+6,4)),MATCH($B37,INDIRECT($B$1&amp;"!$A$8:$A$73"),0)),CONFIG!$A$15:$B$40,2,FALSE)&amp;"","")</f>
        <v/>
      </c>
      <c r="F37" s="181">
        <f>IFERROR(VLOOKUP(INDEX(INDIRECT($B$1&amp;"!"&amp;ADDRESS(8,COLUMN()+6,4)&amp;":"&amp;ADDRESS(73,COLUMN()+6,4)),MATCH($B37,INDIRECT($B$1&amp;"!$A$8:$A$73"),0)),CONFIG!$A$15:$B$40,2,FALSE)&amp;"","")</f>
        <v/>
      </c>
      <c r="G37" s="181">
        <f>IFERROR(VLOOKUP(INDEX(INDIRECT($B$1&amp;"!"&amp;ADDRESS(8,COLUMN()+6,4)&amp;":"&amp;ADDRESS(73,COLUMN()+6,4)),MATCH($B37,INDIRECT($B$1&amp;"!$A$8:$A$73"),0)),CONFIG!$A$15:$B$40,2,FALSE)&amp;"","")</f>
        <v/>
      </c>
      <c r="H37" s="181">
        <f>IFERROR(VLOOKUP(INDEX(INDIRECT($B$1&amp;"!"&amp;ADDRESS(8,COLUMN()+6,4)&amp;":"&amp;ADDRESS(73,COLUMN()+6,4)),MATCH($B37,INDIRECT($B$1&amp;"!$A$8:$A$73"),0)),CONFIG!$A$15:$B$40,2,FALSE)&amp;"","")</f>
        <v/>
      </c>
      <c r="I37" s="181">
        <f>IFERROR(VLOOKUP(INDEX(INDIRECT($B$1&amp;"!"&amp;ADDRESS(8,COLUMN()+6,4)&amp;":"&amp;ADDRESS(73,COLUMN()+6,4)),MATCH($B37,INDIRECT($B$1&amp;"!$A$8:$A$73"),0)),CONFIG!$A$15:$B$40,2,FALSE)&amp;"","")</f>
        <v/>
      </c>
      <c r="J37" s="181">
        <f>IFERROR(VLOOKUP(INDEX(INDIRECT($B$1&amp;"!"&amp;ADDRESS(8,COLUMN()+6,4)&amp;":"&amp;ADDRESS(73,COLUMN()+6,4)),MATCH($B37,INDIRECT($B$1&amp;"!$A$8:$A$73"),0)),CONFIG!$A$15:$B$40,2,FALSE)&amp;"","")</f>
        <v/>
      </c>
      <c r="K37" s="181">
        <f>IFERROR(VLOOKUP(INDEX(INDIRECT($B$1&amp;"!"&amp;ADDRESS(8,COLUMN()+6,4)&amp;":"&amp;ADDRESS(73,COLUMN()+6,4)),MATCH($B37,INDIRECT($B$1&amp;"!$A$8:$A$73"),0)),CONFIG!$A$15:$B$40,2,FALSE)&amp;"","")</f>
        <v/>
      </c>
      <c r="L37" s="181">
        <f>IFERROR(VLOOKUP(INDEX(INDIRECT($B$1&amp;"!"&amp;ADDRESS(8,COLUMN()+6,4)&amp;":"&amp;ADDRESS(73,COLUMN()+6,4)),MATCH($B37,INDIRECT($B$1&amp;"!$A$8:$A$73"),0)),CONFIG!$A$15:$B$40,2,FALSE)&amp;"","")</f>
        <v/>
      </c>
      <c r="M37" s="181">
        <f>IFERROR(VLOOKUP(INDEX(INDIRECT($B$1&amp;"!"&amp;ADDRESS(8,COLUMN()+6,4)&amp;":"&amp;ADDRESS(73,COLUMN()+6,4)),MATCH($B37,INDIRECT($B$1&amp;"!$A$8:$A$73"),0)),CONFIG!$A$15:$B$40,2,FALSE)&amp;"","")</f>
        <v/>
      </c>
      <c r="N37" s="181">
        <f>IFERROR(VLOOKUP(INDEX(INDIRECT($B$1&amp;"!"&amp;ADDRESS(8,COLUMN()+6,4)&amp;":"&amp;ADDRESS(73,COLUMN()+6,4)),MATCH($B37,INDIRECT($B$1&amp;"!$A$8:$A$73"),0)),CONFIG!$A$15:$B$40,2,FALSE)&amp;"","")</f>
        <v/>
      </c>
      <c r="O37" s="181">
        <f>IFERROR(VLOOKUP(INDEX(INDIRECT($B$1&amp;"!"&amp;ADDRESS(8,COLUMN()+6,4)&amp;":"&amp;ADDRESS(73,COLUMN()+6,4)),MATCH($B37,INDIRECT($B$1&amp;"!$A$8:$A$73"),0)),CONFIG!$A$15:$B$40,2,FALSE)&amp;"","")</f>
        <v/>
      </c>
      <c r="P37" s="181">
        <f>IFERROR(VLOOKUP(INDEX(INDIRECT($B$1&amp;"!"&amp;ADDRESS(8,COLUMN()+6,4)&amp;":"&amp;ADDRESS(73,COLUMN()+6,4)),MATCH($B37,INDIRECT($B$1&amp;"!$A$8:$A$73"),0)),CONFIG!$A$15:$B$40,2,FALSE)&amp;"","")</f>
        <v/>
      </c>
      <c r="Q37" s="181">
        <f>IFERROR(VLOOKUP(INDEX(INDIRECT($B$1&amp;"!"&amp;ADDRESS(8,COLUMN()+6,4)&amp;":"&amp;ADDRESS(73,COLUMN()+6,4)),MATCH($B37,INDIRECT($B$1&amp;"!$A$8:$A$73"),0)),CONFIG!$A$15:$B$40,2,FALSE)&amp;"","")</f>
        <v/>
      </c>
      <c r="R37" s="181">
        <f>IFERROR(VLOOKUP(INDEX(INDIRECT($B$1&amp;"!"&amp;ADDRESS(8,COLUMN()+6,4)&amp;":"&amp;ADDRESS(73,COLUMN()+6,4)),MATCH($B37,INDIRECT($B$1&amp;"!$A$8:$A$73"),0)),CONFIG!$A$15:$B$40,2,FALSE)&amp;"","")</f>
        <v/>
      </c>
      <c r="S37" s="181">
        <f>IFERROR(VLOOKUP(INDEX(INDIRECT($B$1&amp;"!"&amp;ADDRESS(8,COLUMN()+6,4)&amp;":"&amp;ADDRESS(73,COLUMN()+6,4)),MATCH($B37,INDIRECT($B$1&amp;"!$A$8:$A$73"),0)),CONFIG!$A$15:$B$40,2,FALSE)&amp;"","")</f>
        <v/>
      </c>
      <c r="T37" s="181">
        <f>IFERROR(VLOOKUP(INDEX(INDIRECT($B$1&amp;"!"&amp;ADDRESS(8,COLUMN()+6,4)&amp;":"&amp;ADDRESS(73,COLUMN()+6,4)),MATCH($B37,INDIRECT($B$1&amp;"!$A$8:$A$73"),0)),CONFIG!$A$15:$B$40,2,FALSE)&amp;"","")</f>
        <v/>
      </c>
      <c r="U37" s="181">
        <f>IFERROR(VLOOKUP(INDEX(INDIRECT($B$1&amp;"!"&amp;ADDRESS(8,COLUMN()+6,4)&amp;":"&amp;ADDRESS(73,COLUMN()+6,4)),MATCH($B37,INDIRECT($B$1&amp;"!$A$8:$A$73"),0)),CONFIG!$A$15:$B$40,2,FALSE)&amp;"","")</f>
        <v/>
      </c>
      <c r="V37" s="181">
        <f>IFERROR(VLOOKUP(INDEX(INDIRECT($B$1&amp;"!"&amp;ADDRESS(8,COLUMN()+6,4)&amp;":"&amp;ADDRESS(73,COLUMN()+6,4)),MATCH($B37,INDIRECT($B$1&amp;"!$A$8:$A$73"),0)),CONFIG!$A$15:$B$40,2,FALSE)&amp;"","")</f>
        <v/>
      </c>
      <c r="W37" s="181">
        <f>IFERROR(VLOOKUP(INDEX(INDIRECT($B$1&amp;"!"&amp;ADDRESS(8,COLUMN()+6,4)&amp;":"&amp;ADDRESS(73,COLUMN()+6,4)),MATCH($B37,INDIRECT($B$1&amp;"!$A$8:$A$73"),0)),CONFIG!$A$15:$B$40,2,FALSE)&amp;"","")</f>
        <v/>
      </c>
      <c r="X37" s="181">
        <f>IFERROR(VLOOKUP(INDEX(INDIRECT($B$1&amp;"!"&amp;ADDRESS(8,COLUMN()+6,4)&amp;":"&amp;ADDRESS(73,COLUMN()+6,4)),MATCH($B37,INDIRECT($B$1&amp;"!$A$8:$A$73"),0)),CONFIG!$A$15:$B$40,2,FALSE)&amp;"","")</f>
        <v/>
      </c>
      <c r="Y37" s="181">
        <f>IFERROR(VLOOKUP(INDEX(INDIRECT($B$1&amp;"!"&amp;ADDRESS(8,COLUMN()+6,4)&amp;":"&amp;ADDRESS(73,COLUMN()+6,4)),MATCH($B37,INDIRECT($B$1&amp;"!$A$8:$A$73"),0)),CONFIG!$A$15:$B$40,2,FALSE)&amp;"","")</f>
        <v/>
      </c>
      <c r="Z37" s="181">
        <f>IFERROR(VLOOKUP(INDEX(INDIRECT($B$1&amp;"!"&amp;ADDRESS(8,COLUMN()+6,4)&amp;":"&amp;ADDRESS(73,COLUMN()+6,4)),MATCH($B37,INDIRECT($B$1&amp;"!$A$8:$A$73"),0)),CONFIG!$A$15:$B$40,2,FALSE)&amp;"","")</f>
        <v/>
      </c>
      <c r="AA37" s="181">
        <f>IFERROR(VLOOKUP(INDEX(INDIRECT($B$1&amp;"!"&amp;ADDRESS(8,COLUMN()+6,4)&amp;":"&amp;ADDRESS(73,COLUMN()+6,4)),MATCH($B37,INDIRECT($B$1&amp;"!$A$8:$A$73"),0)),CONFIG!$A$15:$B$40,2,FALSE)&amp;"","")</f>
        <v/>
      </c>
      <c r="AB37" s="181">
        <f>IFERROR(VLOOKUP(INDEX(INDIRECT($B$1&amp;"!"&amp;ADDRESS(8,COLUMN()+6,4)&amp;":"&amp;ADDRESS(73,COLUMN()+6,4)),MATCH($B37,INDIRECT($B$1&amp;"!$A$8:$A$73"),0)),CONFIG!$A$15:$B$40,2,FALSE)&amp;"","")</f>
        <v/>
      </c>
      <c r="AC37" s="181">
        <f>IFERROR(VLOOKUP(INDEX(INDIRECT($B$1&amp;"!"&amp;ADDRESS(8,COLUMN()+6,4)&amp;":"&amp;ADDRESS(73,COLUMN()+6,4)),MATCH($B37,INDIRECT($B$1&amp;"!$A$8:$A$73"),0)),CONFIG!$A$15:$B$40,2,FALSE)&amp;"","")</f>
        <v/>
      </c>
      <c r="AD37" s="181">
        <f>IFERROR(VLOOKUP(INDEX(INDIRECT($B$1&amp;"!"&amp;ADDRESS(8,COLUMN()+6,4)&amp;":"&amp;ADDRESS(73,COLUMN()+6,4)),MATCH($B37,INDIRECT($B$1&amp;"!$A$8:$A$73"),0)),CONFIG!$A$15:$B$40,2,FALSE)&amp;"","")</f>
        <v/>
      </c>
      <c r="AE37" s="181">
        <f>IFERROR(VLOOKUP(INDEX(INDIRECT($B$1&amp;"!"&amp;ADDRESS(8,COLUMN()+6,4)&amp;":"&amp;ADDRESS(73,COLUMN()+6,4)),MATCH($B37,INDIRECT($B$1&amp;"!$A$8:$A$73"),0)),CONFIG!$A$15:$B$40,2,FALSE)&amp;"","")</f>
        <v/>
      </c>
      <c r="AF37" s="181">
        <f>IFERROR(VLOOKUP(INDEX(INDIRECT($B$1&amp;"!"&amp;ADDRESS(8,COLUMN()+6,4)&amp;":"&amp;ADDRESS(73,COLUMN()+6,4)),MATCH($B37,INDIRECT($B$1&amp;"!$A$8:$A$73"),0)),CONFIG!$A$15:$B$40,2,FALSE)&amp;"","")</f>
        <v/>
      </c>
      <c r="AG37" s="181">
        <f>IFERROR(VLOOKUP(INDEX(INDIRECT($B$1&amp;"!"&amp;ADDRESS(8,COLUMN()+6,4)&amp;":"&amp;ADDRESS(73,COLUMN()+6,4)),MATCH($B37,INDIRECT($B$1&amp;"!$A$8:$A$73"),0)),CONFIG!$A$15:$B$40,2,FALSE)&amp;"","")</f>
        <v/>
      </c>
      <c r="AH37" s="181">
        <f>IFERROR(VLOOKUP(INDEX(INDIRECT($B$1&amp;"!"&amp;ADDRESS(8,COLUMN()+6,4)&amp;":"&amp;ADDRESS(73,COLUMN()+6,4)),MATCH($B37,INDIRECT($B$1&amp;"!$A$8:$A$73"),0)),CONFIG!$A$15:$B$40,2,FALSE)&amp;"","")</f>
        <v/>
      </c>
      <c r="AI37" s="39" t="n"/>
    </row>
    <row r="38">
      <c r="A38" s="179" t="inlineStr">
        <is>
          <t>Ana Severino</t>
        </is>
      </c>
      <c r="B38" s="180" t="inlineStr">
        <is>
          <t>AnaSeverino</t>
        </is>
      </c>
      <c r="C38" s="181">
        <f>IFERROR(VLOOKUP(INDEX(INDIRECT($B$1&amp;"!"&amp;ADDRESS(8,COLUMN()+6,4)&amp;":"&amp;ADDRESS(73,COLUMN()+6,4)),MATCH($B38,INDIRECT($B$1&amp;"!$A$8:$A$73"),0)),CONFIG!$A$15:$B$40,2,FALSE)&amp;"","")</f>
        <v/>
      </c>
      <c r="D38" s="181">
        <f>IFERROR(VLOOKUP(INDEX(INDIRECT($B$1&amp;"!"&amp;ADDRESS(8,COLUMN()+6,4)&amp;":"&amp;ADDRESS(73,COLUMN()+6,4)),MATCH($B38,INDIRECT($B$1&amp;"!$A$8:$A$73"),0)),CONFIG!$A$15:$B$40,2,FALSE)&amp;"","")</f>
        <v/>
      </c>
      <c r="E38" s="181">
        <f>IFERROR(VLOOKUP(INDEX(INDIRECT($B$1&amp;"!"&amp;ADDRESS(8,COLUMN()+6,4)&amp;":"&amp;ADDRESS(73,COLUMN()+6,4)),MATCH($B38,INDIRECT($B$1&amp;"!$A$8:$A$73"),0)),CONFIG!$A$15:$B$40,2,FALSE)&amp;"","")</f>
        <v/>
      </c>
      <c r="F38" s="181">
        <f>IFERROR(VLOOKUP(INDEX(INDIRECT($B$1&amp;"!"&amp;ADDRESS(8,COLUMN()+6,4)&amp;":"&amp;ADDRESS(73,COLUMN()+6,4)),MATCH($B38,INDIRECT($B$1&amp;"!$A$8:$A$73"),0)),CONFIG!$A$15:$B$40,2,FALSE)&amp;"","")</f>
        <v/>
      </c>
      <c r="G38" s="181">
        <f>IFERROR(VLOOKUP(INDEX(INDIRECT($B$1&amp;"!"&amp;ADDRESS(8,COLUMN()+6,4)&amp;":"&amp;ADDRESS(73,COLUMN()+6,4)),MATCH($B38,INDIRECT($B$1&amp;"!$A$8:$A$73"),0)),CONFIG!$A$15:$B$40,2,FALSE)&amp;"","")</f>
        <v/>
      </c>
      <c r="H38" s="181">
        <f>IFERROR(VLOOKUP(INDEX(INDIRECT($B$1&amp;"!"&amp;ADDRESS(8,COLUMN()+6,4)&amp;":"&amp;ADDRESS(73,COLUMN()+6,4)),MATCH($B38,INDIRECT($B$1&amp;"!$A$8:$A$73"),0)),CONFIG!$A$15:$B$40,2,FALSE)&amp;"","")</f>
        <v/>
      </c>
      <c r="I38" s="181">
        <f>IFERROR(VLOOKUP(INDEX(INDIRECT($B$1&amp;"!"&amp;ADDRESS(8,COLUMN()+6,4)&amp;":"&amp;ADDRESS(73,COLUMN()+6,4)),MATCH($B38,INDIRECT($B$1&amp;"!$A$8:$A$73"),0)),CONFIG!$A$15:$B$40,2,FALSE)&amp;"","")</f>
        <v/>
      </c>
      <c r="J38" s="181">
        <f>IFERROR(VLOOKUP(INDEX(INDIRECT($B$1&amp;"!"&amp;ADDRESS(8,COLUMN()+6,4)&amp;":"&amp;ADDRESS(73,COLUMN()+6,4)),MATCH($B38,INDIRECT($B$1&amp;"!$A$8:$A$73"),0)),CONFIG!$A$15:$B$40,2,FALSE)&amp;"","")</f>
        <v/>
      </c>
      <c r="K38" s="181">
        <f>IFERROR(VLOOKUP(INDEX(INDIRECT($B$1&amp;"!"&amp;ADDRESS(8,COLUMN()+6,4)&amp;":"&amp;ADDRESS(73,COLUMN()+6,4)),MATCH($B38,INDIRECT($B$1&amp;"!$A$8:$A$73"),0)),CONFIG!$A$15:$B$40,2,FALSE)&amp;"","")</f>
        <v/>
      </c>
      <c r="L38" s="181">
        <f>IFERROR(VLOOKUP(INDEX(INDIRECT($B$1&amp;"!"&amp;ADDRESS(8,COLUMN()+6,4)&amp;":"&amp;ADDRESS(73,COLUMN()+6,4)),MATCH($B38,INDIRECT($B$1&amp;"!$A$8:$A$73"),0)),CONFIG!$A$15:$B$40,2,FALSE)&amp;"","")</f>
        <v/>
      </c>
      <c r="M38" s="181">
        <f>IFERROR(VLOOKUP(INDEX(INDIRECT($B$1&amp;"!"&amp;ADDRESS(8,COLUMN()+6,4)&amp;":"&amp;ADDRESS(73,COLUMN()+6,4)),MATCH($B38,INDIRECT($B$1&amp;"!$A$8:$A$73"),0)),CONFIG!$A$15:$B$40,2,FALSE)&amp;"","")</f>
        <v/>
      </c>
      <c r="N38" s="181">
        <f>IFERROR(VLOOKUP(INDEX(INDIRECT($B$1&amp;"!"&amp;ADDRESS(8,COLUMN()+6,4)&amp;":"&amp;ADDRESS(73,COLUMN()+6,4)),MATCH($B38,INDIRECT($B$1&amp;"!$A$8:$A$73"),0)),CONFIG!$A$15:$B$40,2,FALSE)&amp;"","")</f>
        <v/>
      </c>
      <c r="O38" s="181">
        <f>IFERROR(VLOOKUP(INDEX(INDIRECT($B$1&amp;"!"&amp;ADDRESS(8,COLUMN()+6,4)&amp;":"&amp;ADDRESS(73,COLUMN()+6,4)),MATCH($B38,INDIRECT($B$1&amp;"!$A$8:$A$73"),0)),CONFIG!$A$15:$B$40,2,FALSE)&amp;"","")</f>
        <v/>
      </c>
      <c r="P38" s="181">
        <f>IFERROR(VLOOKUP(INDEX(INDIRECT($B$1&amp;"!"&amp;ADDRESS(8,COLUMN()+6,4)&amp;":"&amp;ADDRESS(73,COLUMN()+6,4)),MATCH($B38,INDIRECT($B$1&amp;"!$A$8:$A$73"),0)),CONFIG!$A$15:$B$40,2,FALSE)&amp;"","")</f>
        <v/>
      </c>
      <c r="Q38" s="181">
        <f>IFERROR(VLOOKUP(INDEX(INDIRECT($B$1&amp;"!"&amp;ADDRESS(8,COLUMN()+6,4)&amp;":"&amp;ADDRESS(73,COLUMN()+6,4)),MATCH($B38,INDIRECT($B$1&amp;"!$A$8:$A$73"),0)),CONFIG!$A$15:$B$40,2,FALSE)&amp;"","")</f>
        <v/>
      </c>
      <c r="R38" s="181">
        <f>IFERROR(VLOOKUP(INDEX(INDIRECT($B$1&amp;"!"&amp;ADDRESS(8,COLUMN()+6,4)&amp;":"&amp;ADDRESS(73,COLUMN()+6,4)),MATCH($B38,INDIRECT($B$1&amp;"!$A$8:$A$73"),0)),CONFIG!$A$15:$B$40,2,FALSE)&amp;"","")</f>
        <v/>
      </c>
      <c r="S38" s="181">
        <f>IFERROR(VLOOKUP(INDEX(INDIRECT($B$1&amp;"!"&amp;ADDRESS(8,COLUMN()+6,4)&amp;":"&amp;ADDRESS(73,COLUMN()+6,4)),MATCH($B38,INDIRECT($B$1&amp;"!$A$8:$A$73"),0)),CONFIG!$A$15:$B$40,2,FALSE)&amp;"","")</f>
        <v/>
      </c>
      <c r="T38" s="181">
        <f>IFERROR(VLOOKUP(INDEX(INDIRECT($B$1&amp;"!"&amp;ADDRESS(8,COLUMN()+6,4)&amp;":"&amp;ADDRESS(73,COLUMN()+6,4)),MATCH($B38,INDIRECT($B$1&amp;"!$A$8:$A$73"),0)),CONFIG!$A$15:$B$40,2,FALSE)&amp;"","")</f>
        <v/>
      </c>
      <c r="U38" s="181">
        <f>IFERROR(VLOOKUP(INDEX(INDIRECT($B$1&amp;"!"&amp;ADDRESS(8,COLUMN()+6,4)&amp;":"&amp;ADDRESS(73,COLUMN()+6,4)),MATCH($B38,INDIRECT($B$1&amp;"!$A$8:$A$73"),0)),CONFIG!$A$15:$B$40,2,FALSE)&amp;"","")</f>
        <v/>
      </c>
      <c r="V38" s="181">
        <f>IFERROR(VLOOKUP(INDEX(INDIRECT($B$1&amp;"!"&amp;ADDRESS(8,COLUMN()+6,4)&amp;":"&amp;ADDRESS(73,COLUMN()+6,4)),MATCH($B38,INDIRECT($B$1&amp;"!$A$8:$A$73"),0)),CONFIG!$A$15:$B$40,2,FALSE)&amp;"","")</f>
        <v/>
      </c>
      <c r="W38" s="181">
        <f>IFERROR(VLOOKUP(INDEX(INDIRECT($B$1&amp;"!"&amp;ADDRESS(8,COLUMN()+6,4)&amp;":"&amp;ADDRESS(73,COLUMN()+6,4)),MATCH($B38,INDIRECT($B$1&amp;"!$A$8:$A$73"),0)),CONFIG!$A$15:$B$40,2,FALSE)&amp;"","")</f>
        <v/>
      </c>
      <c r="X38" s="181">
        <f>IFERROR(VLOOKUP(INDEX(INDIRECT($B$1&amp;"!"&amp;ADDRESS(8,COLUMN()+6,4)&amp;":"&amp;ADDRESS(73,COLUMN()+6,4)),MATCH($B38,INDIRECT($B$1&amp;"!$A$8:$A$73"),0)),CONFIG!$A$15:$B$40,2,FALSE)&amp;"","")</f>
        <v/>
      </c>
      <c r="Y38" s="181">
        <f>IFERROR(VLOOKUP(INDEX(INDIRECT($B$1&amp;"!"&amp;ADDRESS(8,COLUMN()+6,4)&amp;":"&amp;ADDRESS(73,COLUMN()+6,4)),MATCH($B38,INDIRECT($B$1&amp;"!$A$8:$A$73"),0)),CONFIG!$A$15:$B$40,2,FALSE)&amp;"","")</f>
        <v/>
      </c>
      <c r="Z38" s="181">
        <f>IFERROR(VLOOKUP(INDEX(INDIRECT($B$1&amp;"!"&amp;ADDRESS(8,COLUMN()+6,4)&amp;":"&amp;ADDRESS(73,COLUMN()+6,4)),MATCH($B38,INDIRECT($B$1&amp;"!$A$8:$A$73"),0)),CONFIG!$A$15:$B$40,2,FALSE)&amp;"","")</f>
        <v/>
      </c>
      <c r="AA38" s="181">
        <f>IFERROR(VLOOKUP(INDEX(INDIRECT($B$1&amp;"!"&amp;ADDRESS(8,COLUMN()+6,4)&amp;":"&amp;ADDRESS(73,COLUMN()+6,4)),MATCH($B38,INDIRECT($B$1&amp;"!$A$8:$A$73"),0)),CONFIG!$A$15:$B$40,2,FALSE)&amp;"","")</f>
        <v/>
      </c>
      <c r="AB38" s="181">
        <f>IFERROR(VLOOKUP(INDEX(INDIRECT($B$1&amp;"!"&amp;ADDRESS(8,COLUMN()+6,4)&amp;":"&amp;ADDRESS(73,COLUMN()+6,4)),MATCH($B38,INDIRECT($B$1&amp;"!$A$8:$A$73"),0)),CONFIG!$A$15:$B$40,2,FALSE)&amp;"","")</f>
        <v/>
      </c>
      <c r="AC38" s="181">
        <f>IFERROR(VLOOKUP(INDEX(INDIRECT($B$1&amp;"!"&amp;ADDRESS(8,COLUMN()+6,4)&amp;":"&amp;ADDRESS(73,COLUMN()+6,4)),MATCH($B38,INDIRECT($B$1&amp;"!$A$8:$A$73"),0)),CONFIG!$A$15:$B$40,2,FALSE)&amp;"","")</f>
        <v/>
      </c>
      <c r="AD38" s="181">
        <f>IFERROR(VLOOKUP(INDEX(INDIRECT($B$1&amp;"!"&amp;ADDRESS(8,COLUMN()+6,4)&amp;":"&amp;ADDRESS(73,COLUMN()+6,4)),MATCH($B38,INDIRECT($B$1&amp;"!$A$8:$A$73"),0)),CONFIG!$A$15:$B$40,2,FALSE)&amp;"","")</f>
        <v/>
      </c>
      <c r="AE38" s="181">
        <f>IFERROR(VLOOKUP(INDEX(INDIRECT($B$1&amp;"!"&amp;ADDRESS(8,COLUMN()+6,4)&amp;":"&amp;ADDRESS(73,COLUMN()+6,4)),MATCH($B38,INDIRECT($B$1&amp;"!$A$8:$A$73"),0)),CONFIG!$A$15:$B$40,2,FALSE)&amp;"","")</f>
        <v/>
      </c>
      <c r="AF38" s="181">
        <f>IFERROR(VLOOKUP(INDEX(INDIRECT($B$1&amp;"!"&amp;ADDRESS(8,COLUMN()+6,4)&amp;":"&amp;ADDRESS(73,COLUMN()+6,4)),MATCH($B38,INDIRECT($B$1&amp;"!$A$8:$A$73"),0)),CONFIG!$A$15:$B$40,2,FALSE)&amp;"","")</f>
        <v/>
      </c>
      <c r="AG38" s="181">
        <f>IFERROR(VLOOKUP(INDEX(INDIRECT($B$1&amp;"!"&amp;ADDRESS(8,COLUMN()+6,4)&amp;":"&amp;ADDRESS(73,COLUMN()+6,4)),MATCH($B38,INDIRECT($B$1&amp;"!$A$8:$A$73"),0)),CONFIG!$A$15:$B$40,2,FALSE)&amp;"","")</f>
        <v/>
      </c>
      <c r="AH38" s="181">
        <f>IFERROR(VLOOKUP(INDEX(INDIRECT($B$1&amp;"!"&amp;ADDRESS(8,COLUMN()+6,4)&amp;":"&amp;ADDRESS(73,COLUMN()+6,4)),MATCH($B38,INDIRECT($B$1&amp;"!$A$8:$A$73"),0)),CONFIG!$A$15:$B$40,2,FALSE)&amp;"","")</f>
        <v/>
      </c>
      <c r="AI38" s="39" t="n"/>
    </row>
    <row r="39">
      <c r="A39" s="179" t="inlineStr">
        <is>
          <t>Anna Jorge</t>
        </is>
      </c>
      <c r="B39" s="180" t="inlineStr">
        <is>
          <t>Anna</t>
        </is>
      </c>
      <c r="C39" s="181">
        <f>IFERROR(VLOOKUP(INDEX(INDIRECT($B$1&amp;"!"&amp;ADDRESS(8,COLUMN()+6,4)&amp;":"&amp;ADDRESS(73,COLUMN()+6,4)),MATCH($B39,INDIRECT($B$1&amp;"!$A$8:$A$73"),0)),CONFIG!$A$15:$B$40,2,FALSE)&amp;"","")</f>
        <v/>
      </c>
      <c r="D39" s="181">
        <f>IFERROR(VLOOKUP(INDEX(INDIRECT($B$1&amp;"!"&amp;ADDRESS(8,COLUMN()+6,4)&amp;":"&amp;ADDRESS(73,COLUMN()+6,4)),MATCH($B39,INDIRECT($B$1&amp;"!$A$8:$A$73"),0)),CONFIG!$A$15:$B$40,2,FALSE)&amp;"","")</f>
        <v/>
      </c>
      <c r="E39" s="181">
        <f>IFERROR(VLOOKUP(INDEX(INDIRECT($B$1&amp;"!"&amp;ADDRESS(8,COLUMN()+6,4)&amp;":"&amp;ADDRESS(73,COLUMN()+6,4)),MATCH($B39,INDIRECT($B$1&amp;"!$A$8:$A$73"),0)),CONFIG!$A$15:$B$40,2,FALSE)&amp;"","")</f>
        <v/>
      </c>
      <c r="F39" s="181">
        <f>IFERROR(VLOOKUP(INDEX(INDIRECT($B$1&amp;"!"&amp;ADDRESS(8,COLUMN()+6,4)&amp;":"&amp;ADDRESS(73,COLUMN()+6,4)),MATCH($B39,INDIRECT($B$1&amp;"!$A$8:$A$73"),0)),CONFIG!$A$15:$B$40,2,FALSE)&amp;"","")</f>
        <v/>
      </c>
      <c r="G39" s="181">
        <f>IFERROR(VLOOKUP(INDEX(INDIRECT($B$1&amp;"!"&amp;ADDRESS(8,COLUMN()+6,4)&amp;":"&amp;ADDRESS(73,COLUMN()+6,4)),MATCH($B39,INDIRECT($B$1&amp;"!$A$8:$A$73"),0)),CONFIG!$A$15:$B$40,2,FALSE)&amp;"","")</f>
        <v/>
      </c>
      <c r="H39" s="181">
        <f>IFERROR(VLOOKUP(INDEX(INDIRECT($B$1&amp;"!"&amp;ADDRESS(8,COLUMN()+6,4)&amp;":"&amp;ADDRESS(73,COLUMN()+6,4)),MATCH($B39,INDIRECT($B$1&amp;"!$A$8:$A$73"),0)),CONFIG!$A$15:$B$40,2,FALSE)&amp;"","")</f>
        <v/>
      </c>
      <c r="I39" s="181">
        <f>IFERROR(VLOOKUP(INDEX(INDIRECT($B$1&amp;"!"&amp;ADDRESS(8,COLUMN()+6,4)&amp;":"&amp;ADDRESS(73,COLUMN()+6,4)),MATCH($B39,INDIRECT($B$1&amp;"!$A$8:$A$73"),0)),CONFIG!$A$15:$B$40,2,FALSE)&amp;"","")</f>
        <v/>
      </c>
      <c r="J39" s="181">
        <f>IFERROR(VLOOKUP(INDEX(INDIRECT($B$1&amp;"!"&amp;ADDRESS(8,COLUMN()+6,4)&amp;":"&amp;ADDRESS(73,COLUMN()+6,4)),MATCH($B39,INDIRECT($B$1&amp;"!$A$8:$A$73"),0)),CONFIG!$A$15:$B$40,2,FALSE)&amp;"","")</f>
        <v/>
      </c>
      <c r="K39" s="181">
        <f>IFERROR(VLOOKUP(INDEX(INDIRECT($B$1&amp;"!"&amp;ADDRESS(8,COLUMN()+6,4)&amp;":"&amp;ADDRESS(73,COLUMN()+6,4)),MATCH($B39,INDIRECT($B$1&amp;"!$A$8:$A$73"),0)),CONFIG!$A$15:$B$40,2,FALSE)&amp;"","")</f>
        <v/>
      </c>
      <c r="L39" s="181">
        <f>IFERROR(VLOOKUP(INDEX(INDIRECT($B$1&amp;"!"&amp;ADDRESS(8,COLUMN()+6,4)&amp;":"&amp;ADDRESS(73,COLUMN()+6,4)),MATCH($B39,INDIRECT($B$1&amp;"!$A$8:$A$73"),0)),CONFIG!$A$15:$B$40,2,FALSE)&amp;"","")</f>
        <v/>
      </c>
      <c r="M39" s="181">
        <f>IFERROR(VLOOKUP(INDEX(INDIRECT($B$1&amp;"!"&amp;ADDRESS(8,COLUMN()+6,4)&amp;":"&amp;ADDRESS(73,COLUMN()+6,4)),MATCH($B39,INDIRECT($B$1&amp;"!$A$8:$A$73"),0)),CONFIG!$A$15:$B$40,2,FALSE)&amp;"","")</f>
        <v/>
      </c>
      <c r="N39" s="181">
        <f>IFERROR(VLOOKUP(INDEX(INDIRECT($B$1&amp;"!"&amp;ADDRESS(8,COLUMN()+6,4)&amp;":"&amp;ADDRESS(73,COLUMN()+6,4)),MATCH($B39,INDIRECT($B$1&amp;"!$A$8:$A$73"),0)),CONFIG!$A$15:$B$40,2,FALSE)&amp;"","")</f>
        <v/>
      </c>
      <c r="O39" s="181">
        <f>IFERROR(VLOOKUP(INDEX(INDIRECT($B$1&amp;"!"&amp;ADDRESS(8,COLUMN()+6,4)&amp;":"&amp;ADDRESS(73,COLUMN()+6,4)),MATCH($B39,INDIRECT($B$1&amp;"!$A$8:$A$73"),0)),CONFIG!$A$15:$B$40,2,FALSE)&amp;"","")</f>
        <v/>
      </c>
      <c r="P39" s="181">
        <f>IFERROR(VLOOKUP(INDEX(INDIRECT($B$1&amp;"!"&amp;ADDRESS(8,COLUMN()+6,4)&amp;":"&amp;ADDRESS(73,COLUMN()+6,4)),MATCH($B39,INDIRECT($B$1&amp;"!$A$8:$A$73"),0)),CONFIG!$A$15:$B$40,2,FALSE)&amp;"","")</f>
        <v/>
      </c>
      <c r="Q39" s="181">
        <f>IFERROR(VLOOKUP(INDEX(INDIRECT($B$1&amp;"!"&amp;ADDRESS(8,COLUMN()+6,4)&amp;":"&amp;ADDRESS(73,COLUMN()+6,4)),MATCH($B39,INDIRECT($B$1&amp;"!$A$8:$A$73"),0)),CONFIG!$A$15:$B$40,2,FALSE)&amp;"","")</f>
        <v/>
      </c>
      <c r="R39" s="181">
        <f>IFERROR(VLOOKUP(INDEX(INDIRECT($B$1&amp;"!"&amp;ADDRESS(8,COLUMN()+6,4)&amp;":"&amp;ADDRESS(73,COLUMN()+6,4)),MATCH($B39,INDIRECT($B$1&amp;"!$A$8:$A$73"),0)),CONFIG!$A$15:$B$40,2,FALSE)&amp;"","")</f>
        <v/>
      </c>
      <c r="S39" s="181">
        <f>IFERROR(VLOOKUP(INDEX(INDIRECT($B$1&amp;"!"&amp;ADDRESS(8,COLUMN()+6,4)&amp;":"&amp;ADDRESS(73,COLUMN()+6,4)),MATCH($B39,INDIRECT($B$1&amp;"!$A$8:$A$73"),0)),CONFIG!$A$15:$B$40,2,FALSE)&amp;"","")</f>
        <v/>
      </c>
      <c r="T39" s="181">
        <f>IFERROR(VLOOKUP(INDEX(INDIRECT($B$1&amp;"!"&amp;ADDRESS(8,COLUMN()+6,4)&amp;":"&amp;ADDRESS(73,COLUMN()+6,4)),MATCH($B39,INDIRECT($B$1&amp;"!$A$8:$A$73"),0)),CONFIG!$A$15:$B$40,2,FALSE)&amp;"","")</f>
        <v/>
      </c>
      <c r="U39" s="181">
        <f>IFERROR(VLOOKUP(INDEX(INDIRECT($B$1&amp;"!"&amp;ADDRESS(8,COLUMN()+6,4)&amp;":"&amp;ADDRESS(73,COLUMN()+6,4)),MATCH($B39,INDIRECT($B$1&amp;"!$A$8:$A$73"),0)),CONFIG!$A$15:$B$40,2,FALSE)&amp;"","")</f>
        <v/>
      </c>
      <c r="V39" s="181">
        <f>IFERROR(VLOOKUP(INDEX(INDIRECT($B$1&amp;"!"&amp;ADDRESS(8,COLUMN()+6,4)&amp;":"&amp;ADDRESS(73,COLUMN()+6,4)),MATCH($B39,INDIRECT($B$1&amp;"!$A$8:$A$73"),0)),CONFIG!$A$15:$B$40,2,FALSE)&amp;"","")</f>
        <v/>
      </c>
      <c r="W39" s="181">
        <f>IFERROR(VLOOKUP(INDEX(INDIRECT($B$1&amp;"!"&amp;ADDRESS(8,COLUMN()+6,4)&amp;":"&amp;ADDRESS(73,COLUMN()+6,4)),MATCH($B39,INDIRECT($B$1&amp;"!$A$8:$A$73"),0)),CONFIG!$A$15:$B$40,2,FALSE)&amp;"","")</f>
        <v/>
      </c>
      <c r="X39" s="181">
        <f>IFERROR(VLOOKUP(INDEX(INDIRECT($B$1&amp;"!"&amp;ADDRESS(8,COLUMN()+6,4)&amp;":"&amp;ADDRESS(73,COLUMN()+6,4)),MATCH($B39,INDIRECT($B$1&amp;"!$A$8:$A$73"),0)),CONFIG!$A$15:$B$40,2,FALSE)&amp;"","")</f>
        <v/>
      </c>
      <c r="Y39" s="181">
        <f>IFERROR(VLOOKUP(INDEX(INDIRECT($B$1&amp;"!"&amp;ADDRESS(8,COLUMN()+6,4)&amp;":"&amp;ADDRESS(73,COLUMN()+6,4)),MATCH($B39,INDIRECT($B$1&amp;"!$A$8:$A$73"),0)),CONFIG!$A$15:$B$40,2,FALSE)&amp;"","")</f>
        <v/>
      </c>
      <c r="Z39" s="181">
        <f>IFERROR(VLOOKUP(INDEX(INDIRECT($B$1&amp;"!"&amp;ADDRESS(8,COLUMN()+6,4)&amp;":"&amp;ADDRESS(73,COLUMN()+6,4)),MATCH($B39,INDIRECT($B$1&amp;"!$A$8:$A$73"),0)),CONFIG!$A$15:$B$40,2,FALSE)&amp;"","")</f>
        <v/>
      </c>
      <c r="AA39" s="181">
        <f>IFERROR(VLOOKUP(INDEX(INDIRECT($B$1&amp;"!"&amp;ADDRESS(8,COLUMN()+6,4)&amp;":"&amp;ADDRESS(73,COLUMN()+6,4)),MATCH($B39,INDIRECT($B$1&amp;"!$A$8:$A$73"),0)),CONFIG!$A$15:$B$40,2,FALSE)&amp;"","")</f>
        <v/>
      </c>
      <c r="AB39" s="181">
        <f>IFERROR(VLOOKUP(INDEX(INDIRECT($B$1&amp;"!"&amp;ADDRESS(8,COLUMN()+6,4)&amp;":"&amp;ADDRESS(73,COLUMN()+6,4)),MATCH($B39,INDIRECT($B$1&amp;"!$A$8:$A$73"),0)),CONFIG!$A$15:$B$40,2,FALSE)&amp;"","")</f>
        <v/>
      </c>
      <c r="AC39" s="181">
        <f>IFERROR(VLOOKUP(INDEX(INDIRECT($B$1&amp;"!"&amp;ADDRESS(8,COLUMN()+6,4)&amp;":"&amp;ADDRESS(73,COLUMN()+6,4)),MATCH($B39,INDIRECT($B$1&amp;"!$A$8:$A$73"),0)),CONFIG!$A$15:$B$40,2,FALSE)&amp;"","")</f>
        <v/>
      </c>
      <c r="AD39" s="181">
        <f>IFERROR(VLOOKUP(INDEX(INDIRECT($B$1&amp;"!"&amp;ADDRESS(8,COLUMN()+6,4)&amp;":"&amp;ADDRESS(73,COLUMN()+6,4)),MATCH($B39,INDIRECT($B$1&amp;"!$A$8:$A$73"),0)),CONFIG!$A$15:$B$40,2,FALSE)&amp;"","")</f>
        <v/>
      </c>
      <c r="AE39" s="181">
        <f>IFERROR(VLOOKUP(INDEX(INDIRECT($B$1&amp;"!"&amp;ADDRESS(8,COLUMN()+6,4)&amp;":"&amp;ADDRESS(73,COLUMN()+6,4)),MATCH($B39,INDIRECT($B$1&amp;"!$A$8:$A$73"),0)),CONFIG!$A$15:$B$40,2,FALSE)&amp;"","")</f>
        <v/>
      </c>
      <c r="AF39" s="181">
        <f>IFERROR(VLOOKUP(INDEX(INDIRECT($B$1&amp;"!"&amp;ADDRESS(8,COLUMN()+6,4)&amp;":"&amp;ADDRESS(73,COLUMN()+6,4)),MATCH($B39,INDIRECT($B$1&amp;"!$A$8:$A$73"),0)),CONFIG!$A$15:$B$40,2,FALSE)&amp;"","")</f>
        <v/>
      </c>
      <c r="AG39" s="181">
        <f>IFERROR(VLOOKUP(INDEX(INDIRECT($B$1&amp;"!"&amp;ADDRESS(8,COLUMN()+6,4)&amp;":"&amp;ADDRESS(73,COLUMN()+6,4)),MATCH($B39,INDIRECT($B$1&amp;"!$A$8:$A$73"),0)),CONFIG!$A$15:$B$40,2,FALSE)&amp;"","")</f>
        <v/>
      </c>
      <c r="AH39" s="181">
        <f>IFERROR(VLOOKUP(INDEX(INDIRECT($B$1&amp;"!"&amp;ADDRESS(8,COLUMN()+6,4)&amp;":"&amp;ADDRESS(73,COLUMN()+6,4)),MATCH($B39,INDIRECT($B$1&amp;"!$A$8:$A$73"),0)),CONFIG!$A$15:$B$40,2,FALSE)&amp;"","")</f>
        <v/>
      </c>
      <c r="AI39" s="39" t="n"/>
    </row>
    <row r="40">
      <c r="A40" s="179" t="inlineStr">
        <is>
          <t>Ariadne</t>
        </is>
      </c>
      <c r="B40" s="180" t="inlineStr">
        <is>
          <t>Ariadne</t>
        </is>
      </c>
      <c r="C40" s="181">
        <f>IFERROR(VLOOKUP(INDEX(INDIRECT($B$1&amp;"!"&amp;ADDRESS(8,COLUMN()+6,4)&amp;":"&amp;ADDRESS(73,COLUMN()+6,4)),MATCH($B40,INDIRECT($B$1&amp;"!$A$8:$A$73"),0)),CONFIG!$A$15:$B$40,2,FALSE)&amp;"","")</f>
        <v/>
      </c>
      <c r="D40" s="181">
        <f>IFERROR(VLOOKUP(INDEX(INDIRECT($B$1&amp;"!"&amp;ADDRESS(8,COLUMN()+6,4)&amp;":"&amp;ADDRESS(73,COLUMN()+6,4)),MATCH($B40,INDIRECT($B$1&amp;"!$A$8:$A$73"),0)),CONFIG!$A$15:$B$40,2,FALSE)&amp;"","")</f>
        <v/>
      </c>
      <c r="E40" s="181">
        <f>IFERROR(VLOOKUP(INDEX(INDIRECT($B$1&amp;"!"&amp;ADDRESS(8,COLUMN()+6,4)&amp;":"&amp;ADDRESS(73,COLUMN()+6,4)),MATCH($B40,INDIRECT($B$1&amp;"!$A$8:$A$73"),0)),CONFIG!$A$15:$B$40,2,FALSE)&amp;"","")</f>
        <v/>
      </c>
      <c r="F40" s="181">
        <f>IFERROR(VLOOKUP(INDEX(INDIRECT($B$1&amp;"!"&amp;ADDRESS(8,COLUMN()+6,4)&amp;":"&amp;ADDRESS(73,COLUMN()+6,4)),MATCH($B40,INDIRECT($B$1&amp;"!$A$8:$A$73"),0)),CONFIG!$A$15:$B$40,2,FALSE)&amp;"","")</f>
        <v/>
      </c>
      <c r="G40" s="181">
        <f>IFERROR(VLOOKUP(INDEX(INDIRECT($B$1&amp;"!"&amp;ADDRESS(8,COLUMN()+6,4)&amp;":"&amp;ADDRESS(73,COLUMN()+6,4)),MATCH($B40,INDIRECT($B$1&amp;"!$A$8:$A$73"),0)),CONFIG!$A$15:$B$40,2,FALSE)&amp;"","")</f>
        <v/>
      </c>
      <c r="H40" s="181">
        <f>IFERROR(VLOOKUP(INDEX(INDIRECT($B$1&amp;"!"&amp;ADDRESS(8,COLUMN()+6,4)&amp;":"&amp;ADDRESS(73,COLUMN()+6,4)),MATCH($B40,INDIRECT($B$1&amp;"!$A$8:$A$73"),0)),CONFIG!$A$15:$B$40,2,FALSE)&amp;"","")</f>
        <v/>
      </c>
      <c r="I40" s="181">
        <f>IFERROR(VLOOKUP(INDEX(INDIRECT($B$1&amp;"!"&amp;ADDRESS(8,COLUMN()+6,4)&amp;":"&amp;ADDRESS(73,COLUMN()+6,4)),MATCH($B40,INDIRECT($B$1&amp;"!$A$8:$A$73"),0)),CONFIG!$A$15:$B$40,2,FALSE)&amp;"","")</f>
        <v/>
      </c>
      <c r="J40" s="181">
        <f>IFERROR(VLOOKUP(INDEX(INDIRECT($B$1&amp;"!"&amp;ADDRESS(8,COLUMN()+6,4)&amp;":"&amp;ADDRESS(73,COLUMN()+6,4)),MATCH($B40,INDIRECT($B$1&amp;"!$A$8:$A$73"),0)),CONFIG!$A$15:$B$40,2,FALSE)&amp;"","")</f>
        <v/>
      </c>
      <c r="K40" s="181">
        <f>IFERROR(VLOOKUP(INDEX(INDIRECT($B$1&amp;"!"&amp;ADDRESS(8,COLUMN()+6,4)&amp;":"&amp;ADDRESS(73,COLUMN()+6,4)),MATCH($B40,INDIRECT($B$1&amp;"!$A$8:$A$73"),0)),CONFIG!$A$15:$B$40,2,FALSE)&amp;"","")</f>
        <v/>
      </c>
      <c r="L40" s="181">
        <f>IFERROR(VLOOKUP(INDEX(INDIRECT($B$1&amp;"!"&amp;ADDRESS(8,COLUMN()+6,4)&amp;":"&amp;ADDRESS(73,COLUMN()+6,4)),MATCH($B40,INDIRECT($B$1&amp;"!$A$8:$A$73"),0)),CONFIG!$A$15:$B$40,2,FALSE)&amp;"","")</f>
        <v/>
      </c>
      <c r="M40" s="181">
        <f>IFERROR(VLOOKUP(INDEX(INDIRECT($B$1&amp;"!"&amp;ADDRESS(8,COLUMN()+6,4)&amp;":"&amp;ADDRESS(73,COLUMN()+6,4)),MATCH($B40,INDIRECT($B$1&amp;"!$A$8:$A$73"),0)),CONFIG!$A$15:$B$40,2,FALSE)&amp;"","")</f>
        <v/>
      </c>
      <c r="N40" s="181">
        <f>IFERROR(VLOOKUP(INDEX(INDIRECT($B$1&amp;"!"&amp;ADDRESS(8,COLUMN()+6,4)&amp;":"&amp;ADDRESS(73,COLUMN()+6,4)),MATCH($B40,INDIRECT($B$1&amp;"!$A$8:$A$73"),0)),CONFIG!$A$15:$B$40,2,FALSE)&amp;"","")</f>
        <v/>
      </c>
      <c r="O40" s="181">
        <f>IFERROR(VLOOKUP(INDEX(INDIRECT($B$1&amp;"!"&amp;ADDRESS(8,COLUMN()+6,4)&amp;":"&amp;ADDRESS(73,COLUMN()+6,4)),MATCH($B40,INDIRECT($B$1&amp;"!$A$8:$A$73"),0)),CONFIG!$A$15:$B$40,2,FALSE)&amp;"","")</f>
        <v/>
      </c>
      <c r="P40" s="181">
        <f>IFERROR(VLOOKUP(INDEX(INDIRECT($B$1&amp;"!"&amp;ADDRESS(8,COLUMN()+6,4)&amp;":"&amp;ADDRESS(73,COLUMN()+6,4)),MATCH($B40,INDIRECT($B$1&amp;"!$A$8:$A$73"),0)),CONFIG!$A$15:$B$40,2,FALSE)&amp;"","")</f>
        <v/>
      </c>
      <c r="Q40" s="181">
        <f>IFERROR(VLOOKUP(INDEX(INDIRECT($B$1&amp;"!"&amp;ADDRESS(8,COLUMN()+6,4)&amp;":"&amp;ADDRESS(73,COLUMN()+6,4)),MATCH($B40,INDIRECT($B$1&amp;"!$A$8:$A$73"),0)),CONFIG!$A$15:$B$40,2,FALSE)&amp;"","")</f>
        <v/>
      </c>
      <c r="R40" s="181">
        <f>IFERROR(VLOOKUP(INDEX(INDIRECT($B$1&amp;"!"&amp;ADDRESS(8,COLUMN()+6,4)&amp;":"&amp;ADDRESS(73,COLUMN()+6,4)),MATCH($B40,INDIRECT($B$1&amp;"!$A$8:$A$73"),0)),CONFIG!$A$15:$B$40,2,FALSE)&amp;"","")</f>
        <v/>
      </c>
      <c r="S40" s="181">
        <f>IFERROR(VLOOKUP(INDEX(INDIRECT($B$1&amp;"!"&amp;ADDRESS(8,COLUMN()+6,4)&amp;":"&amp;ADDRESS(73,COLUMN()+6,4)),MATCH($B40,INDIRECT($B$1&amp;"!$A$8:$A$73"),0)),CONFIG!$A$15:$B$40,2,FALSE)&amp;"","")</f>
        <v/>
      </c>
      <c r="T40" s="181">
        <f>IFERROR(VLOOKUP(INDEX(INDIRECT($B$1&amp;"!"&amp;ADDRESS(8,COLUMN()+6,4)&amp;":"&amp;ADDRESS(73,COLUMN()+6,4)),MATCH($B40,INDIRECT($B$1&amp;"!$A$8:$A$73"),0)),CONFIG!$A$15:$B$40,2,FALSE)&amp;"","")</f>
        <v/>
      </c>
      <c r="U40" s="181">
        <f>IFERROR(VLOOKUP(INDEX(INDIRECT($B$1&amp;"!"&amp;ADDRESS(8,COLUMN()+6,4)&amp;":"&amp;ADDRESS(73,COLUMN()+6,4)),MATCH($B40,INDIRECT($B$1&amp;"!$A$8:$A$73"),0)),CONFIG!$A$15:$B$40,2,FALSE)&amp;"","")</f>
        <v/>
      </c>
      <c r="V40" s="181">
        <f>IFERROR(VLOOKUP(INDEX(INDIRECT($B$1&amp;"!"&amp;ADDRESS(8,COLUMN()+6,4)&amp;":"&amp;ADDRESS(73,COLUMN()+6,4)),MATCH($B40,INDIRECT($B$1&amp;"!$A$8:$A$73"),0)),CONFIG!$A$15:$B$40,2,FALSE)&amp;"","")</f>
        <v/>
      </c>
      <c r="W40" s="181">
        <f>IFERROR(VLOOKUP(INDEX(INDIRECT($B$1&amp;"!"&amp;ADDRESS(8,COLUMN()+6,4)&amp;":"&amp;ADDRESS(73,COLUMN()+6,4)),MATCH($B40,INDIRECT($B$1&amp;"!$A$8:$A$73"),0)),CONFIG!$A$15:$B$40,2,FALSE)&amp;"","")</f>
        <v/>
      </c>
      <c r="X40" s="181">
        <f>IFERROR(VLOOKUP(INDEX(INDIRECT($B$1&amp;"!"&amp;ADDRESS(8,COLUMN()+6,4)&amp;":"&amp;ADDRESS(73,COLUMN()+6,4)),MATCH($B40,INDIRECT($B$1&amp;"!$A$8:$A$73"),0)),CONFIG!$A$15:$B$40,2,FALSE)&amp;"","")</f>
        <v/>
      </c>
      <c r="Y40" s="181">
        <f>IFERROR(VLOOKUP(INDEX(INDIRECT($B$1&amp;"!"&amp;ADDRESS(8,COLUMN()+6,4)&amp;":"&amp;ADDRESS(73,COLUMN()+6,4)),MATCH($B40,INDIRECT($B$1&amp;"!$A$8:$A$73"),0)),CONFIG!$A$15:$B$40,2,FALSE)&amp;"","")</f>
        <v/>
      </c>
      <c r="Z40" s="181">
        <f>IFERROR(VLOOKUP(INDEX(INDIRECT($B$1&amp;"!"&amp;ADDRESS(8,COLUMN()+6,4)&amp;":"&amp;ADDRESS(73,COLUMN()+6,4)),MATCH($B40,INDIRECT($B$1&amp;"!$A$8:$A$73"),0)),CONFIG!$A$15:$B$40,2,FALSE)&amp;"","")</f>
        <v/>
      </c>
      <c r="AA40" s="181">
        <f>IFERROR(VLOOKUP(INDEX(INDIRECT($B$1&amp;"!"&amp;ADDRESS(8,COLUMN()+6,4)&amp;":"&amp;ADDRESS(73,COLUMN()+6,4)),MATCH($B40,INDIRECT($B$1&amp;"!$A$8:$A$73"),0)),CONFIG!$A$15:$B$40,2,FALSE)&amp;"","")</f>
        <v/>
      </c>
      <c r="AB40" s="181">
        <f>IFERROR(VLOOKUP(INDEX(INDIRECT($B$1&amp;"!"&amp;ADDRESS(8,COLUMN()+6,4)&amp;":"&amp;ADDRESS(73,COLUMN()+6,4)),MATCH($B40,INDIRECT($B$1&amp;"!$A$8:$A$73"),0)),CONFIG!$A$15:$B$40,2,FALSE)&amp;"","")</f>
        <v/>
      </c>
      <c r="AC40" s="181">
        <f>IFERROR(VLOOKUP(INDEX(INDIRECT($B$1&amp;"!"&amp;ADDRESS(8,COLUMN()+6,4)&amp;":"&amp;ADDRESS(73,COLUMN()+6,4)),MATCH($B40,INDIRECT($B$1&amp;"!$A$8:$A$73"),0)),CONFIG!$A$15:$B$40,2,FALSE)&amp;"","")</f>
        <v/>
      </c>
      <c r="AD40" s="181">
        <f>IFERROR(VLOOKUP(INDEX(INDIRECT($B$1&amp;"!"&amp;ADDRESS(8,COLUMN()+6,4)&amp;":"&amp;ADDRESS(73,COLUMN()+6,4)),MATCH($B40,INDIRECT($B$1&amp;"!$A$8:$A$73"),0)),CONFIG!$A$15:$B$40,2,FALSE)&amp;"","")</f>
        <v/>
      </c>
      <c r="AE40" s="181">
        <f>IFERROR(VLOOKUP(INDEX(INDIRECT($B$1&amp;"!"&amp;ADDRESS(8,COLUMN()+6,4)&amp;":"&amp;ADDRESS(73,COLUMN()+6,4)),MATCH($B40,INDIRECT($B$1&amp;"!$A$8:$A$73"),0)),CONFIG!$A$15:$B$40,2,FALSE)&amp;"","")</f>
        <v/>
      </c>
      <c r="AF40" s="181">
        <f>IFERROR(VLOOKUP(INDEX(INDIRECT($B$1&amp;"!"&amp;ADDRESS(8,COLUMN()+6,4)&amp;":"&amp;ADDRESS(73,COLUMN()+6,4)),MATCH($B40,INDIRECT($B$1&amp;"!$A$8:$A$73"),0)),CONFIG!$A$15:$B$40,2,FALSE)&amp;"","")</f>
        <v/>
      </c>
      <c r="AG40" s="181">
        <f>IFERROR(VLOOKUP(INDEX(INDIRECT($B$1&amp;"!"&amp;ADDRESS(8,COLUMN()+6,4)&amp;":"&amp;ADDRESS(73,COLUMN()+6,4)),MATCH($B40,INDIRECT($B$1&amp;"!$A$8:$A$73"),0)),CONFIG!$A$15:$B$40,2,FALSE)&amp;"","")</f>
        <v/>
      </c>
      <c r="AH40" s="181">
        <f>IFERROR(VLOOKUP(INDEX(INDIRECT($B$1&amp;"!"&amp;ADDRESS(8,COLUMN()+6,4)&amp;":"&amp;ADDRESS(73,COLUMN()+6,4)),MATCH($B40,INDIRECT($B$1&amp;"!$A$8:$A$73"),0)),CONFIG!$A$15:$B$40,2,FALSE)&amp;"","")</f>
        <v/>
      </c>
      <c r="AI40" s="39" t="n"/>
    </row>
    <row r="41">
      <c r="A41" s="179" t="inlineStr">
        <is>
          <t>Beatriz</t>
        </is>
      </c>
      <c r="B41" s="180" t="inlineStr">
        <is>
          <t>Beatriz</t>
        </is>
      </c>
      <c r="C41" s="181">
        <f>IFERROR(VLOOKUP(INDEX(INDIRECT($B$1&amp;"!"&amp;ADDRESS(8,COLUMN()+6,4)&amp;":"&amp;ADDRESS(73,COLUMN()+6,4)),MATCH($B41,INDIRECT($B$1&amp;"!$A$8:$A$73"),0)),CONFIG!$A$15:$B$40,2,FALSE)&amp;"","")</f>
        <v/>
      </c>
      <c r="D41" s="181">
        <f>IFERROR(VLOOKUP(INDEX(INDIRECT($B$1&amp;"!"&amp;ADDRESS(8,COLUMN()+6,4)&amp;":"&amp;ADDRESS(73,COLUMN()+6,4)),MATCH($B41,INDIRECT($B$1&amp;"!$A$8:$A$73"),0)),CONFIG!$A$15:$B$40,2,FALSE)&amp;"","")</f>
        <v/>
      </c>
      <c r="E41" s="181">
        <f>IFERROR(VLOOKUP(INDEX(INDIRECT($B$1&amp;"!"&amp;ADDRESS(8,COLUMN()+6,4)&amp;":"&amp;ADDRESS(73,COLUMN()+6,4)),MATCH($B41,INDIRECT($B$1&amp;"!$A$8:$A$73"),0)),CONFIG!$A$15:$B$40,2,FALSE)&amp;"","")</f>
        <v/>
      </c>
      <c r="F41" s="181">
        <f>IFERROR(VLOOKUP(INDEX(INDIRECT($B$1&amp;"!"&amp;ADDRESS(8,COLUMN()+6,4)&amp;":"&amp;ADDRESS(73,COLUMN()+6,4)),MATCH($B41,INDIRECT($B$1&amp;"!$A$8:$A$73"),0)),CONFIG!$A$15:$B$40,2,FALSE)&amp;"","")</f>
        <v/>
      </c>
      <c r="G41" s="181">
        <f>IFERROR(VLOOKUP(INDEX(INDIRECT($B$1&amp;"!"&amp;ADDRESS(8,COLUMN()+6,4)&amp;":"&amp;ADDRESS(73,COLUMN()+6,4)),MATCH($B41,INDIRECT($B$1&amp;"!$A$8:$A$73"),0)),CONFIG!$A$15:$B$40,2,FALSE)&amp;"","")</f>
        <v/>
      </c>
      <c r="H41" s="181">
        <f>IFERROR(VLOOKUP(INDEX(INDIRECT($B$1&amp;"!"&amp;ADDRESS(8,COLUMN()+6,4)&amp;":"&amp;ADDRESS(73,COLUMN()+6,4)),MATCH($B41,INDIRECT($B$1&amp;"!$A$8:$A$73"),0)),CONFIG!$A$15:$B$40,2,FALSE)&amp;"","")</f>
        <v/>
      </c>
      <c r="I41" s="181">
        <f>IFERROR(VLOOKUP(INDEX(INDIRECT($B$1&amp;"!"&amp;ADDRESS(8,COLUMN()+6,4)&amp;":"&amp;ADDRESS(73,COLUMN()+6,4)),MATCH($B41,INDIRECT($B$1&amp;"!$A$8:$A$73"),0)),CONFIG!$A$15:$B$40,2,FALSE)&amp;"","")</f>
        <v/>
      </c>
      <c r="J41" s="181">
        <f>IFERROR(VLOOKUP(INDEX(INDIRECT($B$1&amp;"!"&amp;ADDRESS(8,COLUMN()+6,4)&amp;":"&amp;ADDRESS(73,COLUMN()+6,4)),MATCH($B41,INDIRECT($B$1&amp;"!$A$8:$A$73"),0)),CONFIG!$A$15:$B$40,2,FALSE)&amp;"","")</f>
        <v/>
      </c>
      <c r="K41" s="181">
        <f>IFERROR(VLOOKUP(INDEX(INDIRECT($B$1&amp;"!"&amp;ADDRESS(8,COLUMN()+6,4)&amp;":"&amp;ADDRESS(73,COLUMN()+6,4)),MATCH($B41,INDIRECT($B$1&amp;"!$A$8:$A$73"),0)),CONFIG!$A$15:$B$40,2,FALSE)&amp;"","")</f>
        <v/>
      </c>
      <c r="L41" s="181">
        <f>IFERROR(VLOOKUP(INDEX(INDIRECT($B$1&amp;"!"&amp;ADDRESS(8,COLUMN()+6,4)&amp;":"&amp;ADDRESS(73,COLUMN()+6,4)),MATCH($B41,INDIRECT($B$1&amp;"!$A$8:$A$73"),0)),CONFIG!$A$15:$B$40,2,FALSE)&amp;"","")</f>
        <v/>
      </c>
      <c r="M41" s="181">
        <f>IFERROR(VLOOKUP(INDEX(INDIRECT($B$1&amp;"!"&amp;ADDRESS(8,COLUMN()+6,4)&amp;":"&amp;ADDRESS(73,COLUMN()+6,4)),MATCH($B41,INDIRECT($B$1&amp;"!$A$8:$A$73"),0)),CONFIG!$A$15:$B$40,2,FALSE)&amp;"","")</f>
        <v/>
      </c>
      <c r="N41" s="181">
        <f>IFERROR(VLOOKUP(INDEX(INDIRECT($B$1&amp;"!"&amp;ADDRESS(8,COLUMN()+6,4)&amp;":"&amp;ADDRESS(73,COLUMN()+6,4)),MATCH($B41,INDIRECT($B$1&amp;"!$A$8:$A$73"),0)),CONFIG!$A$15:$B$40,2,FALSE)&amp;"","")</f>
        <v/>
      </c>
      <c r="O41" s="181">
        <f>IFERROR(VLOOKUP(INDEX(INDIRECT($B$1&amp;"!"&amp;ADDRESS(8,COLUMN()+6,4)&amp;":"&amp;ADDRESS(73,COLUMN()+6,4)),MATCH($B41,INDIRECT($B$1&amp;"!$A$8:$A$73"),0)),CONFIG!$A$15:$B$40,2,FALSE)&amp;"","")</f>
        <v/>
      </c>
      <c r="P41" s="181">
        <f>IFERROR(VLOOKUP(INDEX(INDIRECT($B$1&amp;"!"&amp;ADDRESS(8,COLUMN()+6,4)&amp;":"&amp;ADDRESS(73,COLUMN()+6,4)),MATCH($B41,INDIRECT($B$1&amp;"!$A$8:$A$73"),0)),CONFIG!$A$15:$B$40,2,FALSE)&amp;"","")</f>
        <v/>
      </c>
      <c r="Q41" s="181">
        <f>IFERROR(VLOOKUP(INDEX(INDIRECT($B$1&amp;"!"&amp;ADDRESS(8,COLUMN()+6,4)&amp;":"&amp;ADDRESS(73,COLUMN()+6,4)),MATCH($B41,INDIRECT($B$1&amp;"!$A$8:$A$73"),0)),CONFIG!$A$15:$B$40,2,FALSE)&amp;"","")</f>
        <v/>
      </c>
      <c r="R41" s="181">
        <f>IFERROR(VLOOKUP(INDEX(INDIRECT($B$1&amp;"!"&amp;ADDRESS(8,COLUMN()+6,4)&amp;":"&amp;ADDRESS(73,COLUMN()+6,4)),MATCH($B41,INDIRECT($B$1&amp;"!$A$8:$A$73"),0)),CONFIG!$A$15:$B$40,2,FALSE)&amp;"","")</f>
        <v/>
      </c>
      <c r="S41" s="181">
        <f>IFERROR(VLOOKUP(INDEX(INDIRECT($B$1&amp;"!"&amp;ADDRESS(8,COLUMN()+6,4)&amp;":"&amp;ADDRESS(73,COLUMN()+6,4)),MATCH($B41,INDIRECT($B$1&amp;"!$A$8:$A$73"),0)),CONFIG!$A$15:$B$40,2,FALSE)&amp;"","")</f>
        <v/>
      </c>
      <c r="T41" s="181">
        <f>IFERROR(VLOOKUP(INDEX(INDIRECT($B$1&amp;"!"&amp;ADDRESS(8,COLUMN()+6,4)&amp;":"&amp;ADDRESS(73,COLUMN()+6,4)),MATCH($B41,INDIRECT($B$1&amp;"!$A$8:$A$73"),0)),CONFIG!$A$15:$B$40,2,FALSE)&amp;"","")</f>
        <v/>
      </c>
      <c r="U41" s="181">
        <f>IFERROR(VLOOKUP(INDEX(INDIRECT($B$1&amp;"!"&amp;ADDRESS(8,COLUMN()+6,4)&amp;":"&amp;ADDRESS(73,COLUMN()+6,4)),MATCH($B41,INDIRECT($B$1&amp;"!$A$8:$A$73"),0)),CONFIG!$A$15:$B$40,2,FALSE)&amp;"","")</f>
        <v/>
      </c>
      <c r="V41" s="181">
        <f>IFERROR(VLOOKUP(INDEX(INDIRECT($B$1&amp;"!"&amp;ADDRESS(8,COLUMN()+6,4)&amp;":"&amp;ADDRESS(73,COLUMN()+6,4)),MATCH($B41,INDIRECT($B$1&amp;"!$A$8:$A$73"),0)),CONFIG!$A$15:$B$40,2,FALSE)&amp;"","")</f>
        <v/>
      </c>
      <c r="W41" s="181">
        <f>IFERROR(VLOOKUP(INDEX(INDIRECT($B$1&amp;"!"&amp;ADDRESS(8,COLUMN()+6,4)&amp;":"&amp;ADDRESS(73,COLUMN()+6,4)),MATCH($B41,INDIRECT($B$1&amp;"!$A$8:$A$73"),0)),CONFIG!$A$15:$B$40,2,FALSE)&amp;"","")</f>
        <v/>
      </c>
      <c r="X41" s="181">
        <f>IFERROR(VLOOKUP(INDEX(INDIRECT($B$1&amp;"!"&amp;ADDRESS(8,COLUMN()+6,4)&amp;":"&amp;ADDRESS(73,COLUMN()+6,4)),MATCH($B41,INDIRECT($B$1&amp;"!$A$8:$A$73"),0)),CONFIG!$A$15:$B$40,2,FALSE)&amp;"","")</f>
        <v/>
      </c>
      <c r="Y41" s="181">
        <f>IFERROR(VLOOKUP(INDEX(INDIRECT($B$1&amp;"!"&amp;ADDRESS(8,COLUMN()+6,4)&amp;":"&amp;ADDRESS(73,COLUMN()+6,4)),MATCH($B41,INDIRECT($B$1&amp;"!$A$8:$A$73"),0)),CONFIG!$A$15:$B$40,2,FALSE)&amp;"","")</f>
        <v/>
      </c>
      <c r="Z41" s="181">
        <f>IFERROR(VLOOKUP(INDEX(INDIRECT($B$1&amp;"!"&amp;ADDRESS(8,COLUMN()+6,4)&amp;":"&amp;ADDRESS(73,COLUMN()+6,4)),MATCH($B41,INDIRECT($B$1&amp;"!$A$8:$A$73"),0)),CONFIG!$A$15:$B$40,2,FALSE)&amp;"","")</f>
        <v/>
      </c>
      <c r="AA41" s="181">
        <f>IFERROR(VLOOKUP(INDEX(INDIRECT($B$1&amp;"!"&amp;ADDRESS(8,COLUMN()+6,4)&amp;":"&amp;ADDRESS(73,COLUMN()+6,4)),MATCH($B41,INDIRECT($B$1&amp;"!$A$8:$A$73"),0)),CONFIG!$A$15:$B$40,2,FALSE)&amp;"","")</f>
        <v/>
      </c>
      <c r="AB41" s="181">
        <f>IFERROR(VLOOKUP(INDEX(INDIRECT($B$1&amp;"!"&amp;ADDRESS(8,COLUMN()+6,4)&amp;":"&amp;ADDRESS(73,COLUMN()+6,4)),MATCH($B41,INDIRECT($B$1&amp;"!$A$8:$A$73"),0)),CONFIG!$A$15:$B$40,2,FALSE)&amp;"","")</f>
        <v/>
      </c>
      <c r="AC41" s="181">
        <f>IFERROR(VLOOKUP(INDEX(INDIRECT($B$1&amp;"!"&amp;ADDRESS(8,COLUMN()+6,4)&amp;":"&amp;ADDRESS(73,COLUMN()+6,4)),MATCH($B41,INDIRECT($B$1&amp;"!$A$8:$A$73"),0)),CONFIG!$A$15:$B$40,2,FALSE)&amp;"","")</f>
        <v/>
      </c>
      <c r="AD41" s="181">
        <f>IFERROR(VLOOKUP(INDEX(INDIRECT($B$1&amp;"!"&amp;ADDRESS(8,COLUMN()+6,4)&amp;":"&amp;ADDRESS(73,COLUMN()+6,4)),MATCH($B41,INDIRECT($B$1&amp;"!$A$8:$A$73"),0)),CONFIG!$A$15:$B$40,2,FALSE)&amp;"","")</f>
        <v/>
      </c>
      <c r="AE41" s="181">
        <f>IFERROR(VLOOKUP(INDEX(INDIRECT($B$1&amp;"!"&amp;ADDRESS(8,COLUMN()+6,4)&amp;":"&amp;ADDRESS(73,COLUMN()+6,4)),MATCH($B41,INDIRECT($B$1&amp;"!$A$8:$A$73"),0)),CONFIG!$A$15:$B$40,2,FALSE)&amp;"","")</f>
        <v/>
      </c>
      <c r="AF41" s="181">
        <f>IFERROR(VLOOKUP(INDEX(INDIRECT($B$1&amp;"!"&amp;ADDRESS(8,COLUMN()+6,4)&amp;":"&amp;ADDRESS(73,COLUMN()+6,4)),MATCH($B41,INDIRECT($B$1&amp;"!$A$8:$A$73"),0)),CONFIG!$A$15:$B$40,2,FALSE)&amp;"","")</f>
        <v/>
      </c>
      <c r="AG41" s="181">
        <f>IFERROR(VLOOKUP(INDEX(INDIRECT($B$1&amp;"!"&amp;ADDRESS(8,COLUMN()+6,4)&amp;":"&amp;ADDRESS(73,COLUMN()+6,4)),MATCH($B41,INDIRECT($B$1&amp;"!$A$8:$A$73"),0)),CONFIG!$A$15:$B$40,2,FALSE)&amp;"","")</f>
        <v/>
      </c>
      <c r="AH41" s="181">
        <f>IFERROR(VLOOKUP(INDEX(INDIRECT($B$1&amp;"!"&amp;ADDRESS(8,COLUMN()+6,4)&amp;":"&amp;ADDRESS(73,COLUMN()+6,4)),MATCH($B41,INDIRECT($B$1&amp;"!$A$8:$A$73"),0)),CONFIG!$A$15:$B$40,2,FALSE)&amp;"","")</f>
        <v/>
      </c>
      <c r="AI41" s="39" t="n"/>
    </row>
    <row r="42">
      <c r="A42" s="179" t="inlineStr">
        <is>
          <t>Bruna</t>
        </is>
      </c>
      <c r="B42" s="180" t="inlineStr">
        <is>
          <t>Bruna</t>
        </is>
      </c>
      <c r="C42" s="181">
        <f>IFERROR(VLOOKUP(INDEX(INDIRECT($B$1&amp;"!"&amp;ADDRESS(8,COLUMN()+6,4)&amp;":"&amp;ADDRESS(73,COLUMN()+6,4)),MATCH($B42,INDIRECT($B$1&amp;"!$A$8:$A$73"),0)),CONFIG!$A$15:$B$40,2,FALSE)&amp;"","")</f>
        <v/>
      </c>
      <c r="D42" s="181">
        <f>IFERROR(VLOOKUP(INDEX(INDIRECT($B$1&amp;"!"&amp;ADDRESS(8,COLUMN()+6,4)&amp;":"&amp;ADDRESS(73,COLUMN()+6,4)),MATCH($B42,INDIRECT($B$1&amp;"!$A$8:$A$73"),0)),CONFIG!$A$15:$B$40,2,FALSE)&amp;"","")</f>
        <v/>
      </c>
      <c r="E42" s="181">
        <f>IFERROR(VLOOKUP(INDEX(INDIRECT($B$1&amp;"!"&amp;ADDRESS(8,COLUMN()+6,4)&amp;":"&amp;ADDRESS(73,COLUMN()+6,4)),MATCH($B42,INDIRECT($B$1&amp;"!$A$8:$A$73"),0)),CONFIG!$A$15:$B$40,2,FALSE)&amp;"","")</f>
        <v/>
      </c>
      <c r="F42" s="181">
        <f>IFERROR(VLOOKUP(INDEX(INDIRECT($B$1&amp;"!"&amp;ADDRESS(8,COLUMN()+6,4)&amp;":"&amp;ADDRESS(73,COLUMN()+6,4)),MATCH($B42,INDIRECT($B$1&amp;"!$A$8:$A$73"),0)),CONFIG!$A$15:$B$40,2,FALSE)&amp;"","")</f>
        <v/>
      </c>
      <c r="G42" s="181">
        <f>IFERROR(VLOOKUP(INDEX(INDIRECT($B$1&amp;"!"&amp;ADDRESS(8,COLUMN()+6,4)&amp;":"&amp;ADDRESS(73,COLUMN()+6,4)),MATCH($B42,INDIRECT($B$1&amp;"!$A$8:$A$73"),0)),CONFIG!$A$15:$B$40,2,FALSE)&amp;"","")</f>
        <v/>
      </c>
      <c r="H42" s="181">
        <f>IFERROR(VLOOKUP(INDEX(INDIRECT($B$1&amp;"!"&amp;ADDRESS(8,COLUMN()+6,4)&amp;":"&amp;ADDRESS(73,COLUMN()+6,4)),MATCH($B42,INDIRECT($B$1&amp;"!$A$8:$A$73"),0)),CONFIG!$A$15:$B$40,2,FALSE)&amp;"","")</f>
        <v/>
      </c>
      <c r="I42" s="181">
        <f>IFERROR(VLOOKUP(INDEX(INDIRECT($B$1&amp;"!"&amp;ADDRESS(8,COLUMN()+6,4)&amp;":"&amp;ADDRESS(73,COLUMN()+6,4)),MATCH($B42,INDIRECT($B$1&amp;"!$A$8:$A$73"),0)),CONFIG!$A$15:$B$40,2,FALSE)&amp;"","")</f>
        <v/>
      </c>
      <c r="J42" s="181">
        <f>IFERROR(VLOOKUP(INDEX(INDIRECT($B$1&amp;"!"&amp;ADDRESS(8,COLUMN()+6,4)&amp;":"&amp;ADDRESS(73,COLUMN()+6,4)),MATCH($B42,INDIRECT($B$1&amp;"!$A$8:$A$73"),0)),CONFIG!$A$15:$B$40,2,FALSE)&amp;"","")</f>
        <v/>
      </c>
      <c r="K42" s="181">
        <f>IFERROR(VLOOKUP(INDEX(INDIRECT($B$1&amp;"!"&amp;ADDRESS(8,COLUMN()+6,4)&amp;":"&amp;ADDRESS(73,COLUMN()+6,4)),MATCH($B42,INDIRECT($B$1&amp;"!$A$8:$A$73"),0)),CONFIG!$A$15:$B$40,2,FALSE)&amp;"","")</f>
        <v/>
      </c>
      <c r="L42" s="181">
        <f>IFERROR(VLOOKUP(INDEX(INDIRECT($B$1&amp;"!"&amp;ADDRESS(8,COLUMN()+6,4)&amp;":"&amp;ADDRESS(73,COLUMN()+6,4)),MATCH($B42,INDIRECT($B$1&amp;"!$A$8:$A$73"),0)),CONFIG!$A$15:$B$40,2,FALSE)&amp;"","")</f>
        <v/>
      </c>
      <c r="M42" s="181">
        <f>IFERROR(VLOOKUP(INDEX(INDIRECT($B$1&amp;"!"&amp;ADDRESS(8,COLUMN()+6,4)&amp;":"&amp;ADDRESS(73,COLUMN()+6,4)),MATCH($B42,INDIRECT($B$1&amp;"!$A$8:$A$73"),0)),CONFIG!$A$15:$B$40,2,FALSE)&amp;"","")</f>
        <v/>
      </c>
      <c r="N42" s="181">
        <f>IFERROR(VLOOKUP(INDEX(INDIRECT($B$1&amp;"!"&amp;ADDRESS(8,COLUMN()+6,4)&amp;":"&amp;ADDRESS(73,COLUMN()+6,4)),MATCH($B42,INDIRECT($B$1&amp;"!$A$8:$A$73"),0)),CONFIG!$A$15:$B$40,2,FALSE)&amp;"","")</f>
        <v/>
      </c>
      <c r="O42" s="181">
        <f>IFERROR(VLOOKUP(INDEX(INDIRECT($B$1&amp;"!"&amp;ADDRESS(8,COLUMN()+6,4)&amp;":"&amp;ADDRESS(73,COLUMN()+6,4)),MATCH($B42,INDIRECT($B$1&amp;"!$A$8:$A$73"),0)),CONFIG!$A$15:$B$40,2,FALSE)&amp;"","")</f>
        <v/>
      </c>
      <c r="P42" s="181">
        <f>IFERROR(VLOOKUP(INDEX(INDIRECT($B$1&amp;"!"&amp;ADDRESS(8,COLUMN()+6,4)&amp;":"&amp;ADDRESS(73,COLUMN()+6,4)),MATCH($B42,INDIRECT($B$1&amp;"!$A$8:$A$73"),0)),CONFIG!$A$15:$B$40,2,FALSE)&amp;"","")</f>
        <v/>
      </c>
      <c r="Q42" s="181">
        <f>IFERROR(VLOOKUP(INDEX(INDIRECT($B$1&amp;"!"&amp;ADDRESS(8,COLUMN()+6,4)&amp;":"&amp;ADDRESS(73,COLUMN()+6,4)),MATCH($B42,INDIRECT($B$1&amp;"!$A$8:$A$73"),0)),CONFIG!$A$15:$B$40,2,FALSE)&amp;"","")</f>
        <v/>
      </c>
      <c r="R42" s="181">
        <f>IFERROR(VLOOKUP(INDEX(INDIRECT($B$1&amp;"!"&amp;ADDRESS(8,COLUMN()+6,4)&amp;":"&amp;ADDRESS(73,COLUMN()+6,4)),MATCH($B42,INDIRECT($B$1&amp;"!$A$8:$A$73"),0)),CONFIG!$A$15:$B$40,2,FALSE)&amp;"","")</f>
        <v/>
      </c>
      <c r="S42" s="181">
        <f>IFERROR(VLOOKUP(INDEX(INDIRECT($B$1&amp;"!"&amp;ADDRESS(8,COLUMN()+6,4)&amp;":"&amp;ADDRESS(73,COLUMN()+6,4)),MATCH($B42,INDIRECT($B$1&amp;"!$A$8:$A$73"),0)),CONFIG!$A$15:$B$40,2,FALSE)&amp;"","")</f>
        <v/>
      </c>
      <c r="T42" s="181">
        <f>IFERROR(VLOOKUP(INDEX(INDIRECT($B$1&amp;"!"&amp;ADDRESS(8,COLUMN()+6,4)&amp;":"&amp;ADDRESS(73,COLUMN()+6,4)),MATCH($B42,INDIRECT($B$1&amp;"!$A$8:$A$73"),0)),CONFIG!$A$15:$B$40,2,FALSE)&amp;"","")</f>
        <v/>
      </c>
      <c r="U42" s="181">
        <f>IFERROR(VLOOKUP(INDEX(INDIRECT($B$1&amp;"!"&amp;ADDRESS(8,COLUMN()+6,4)&amp;":"&amp;ADDRESS(73,COLUMN()+6,4)),MATCH($B42,INDIRECT($B$1&amp;"!$A$8:$A$73"),0)),CONFIG!$A$15:$B$40,2,FALSE)&amp;"","")</f>
        <v/>
      </c>
      <c r="V42" s="181">
        <f>IFERROR(VLOOKUP(INDEX(INDIRECT($B$1&amp;"!"&amp;ADDRESS(8,COLUMN()+6,4)&amp;":"&amp;ADDRESS(73,COLUMN()+6,4)),MATCH($B42,INDIRECT($B$1&amp;"!$A$8:$A$73"),0)),CONFIG!$A$15:$B$40,2,FALSE)&amp;"","")</f>
        <v/>
      </c>
      <c r="W42" s="181">
        <f>IFERROR(VLOOKUP(INDEX(INDIRECT($B$1&amp;"!"&amp;ADDRESS(8,COLUMN()+6,4)&amp;":"&amp;ADDRESS(73,COLUMN()+6,4)),MATCH($B42,INDIRECT($B$1&amp;"!$A$8:$A$73"),0)),CONFIG!$A$15:$B$40,2,FALSE)&amp;"","")</f>
        <v/>
      </c>
      <c r="X42" s="181">
        <f>IFERROR(VLOOKUP(INDEX(INDIRECT($B$1&amp;"!"&amp;ADDRESS(8,COLUMN()+6,4)&amp;":"&amp;ADDRESS(73,COLUMN()+6,4)),MATCH($B42,INDIRECT($B$1&amp;"!$A$8:$A$73"),0)),CONFIG!$A$15:$B$40,2,FALSE)&amp;"","")</f>
        <v/>
      </c>
      <c r="Y42" s="181">
        <f>IFERROR(VLOOKUP(INDEX(INDIRECT($B$1&amp;"!"&amp;ADDRESS(8,COLUMN()+6,4)&amp;":"&amp;ADDRESS(73,COLUMN()+6,4)),MATCH($B42,INDIRECT($B$1&amp;"!$A$8:$A$73"),0)),CONFIG!$A$15:$B$40,2,FALSE)&amp;"","")</f>
        <v/>
      </c>
      <c r="Z42" s="181">
        <f>IFERROR(VLOOKUP(INDEX(INDIRECT($B$1&amp;"!"&amp;ADDRESS(8,COLUMN()+6,4)&amp;":"&amp;ADDRESS(73,COLUMN()+6,4)),MATCH($B42,INDIRECT($B$1&amp;"!$A$8:$A$73"),0)),CONFIG!$A$15:$B$40,2,FALSE)&amp;"","")</f>
        <v/>
      </c>
      <c r="AA42" s="181">
        <f>IFERROR(VLOOKUP(INDEX(INDIRECT($B$1&amp;"!"&amp;ADDRESS(8,COLUMN()+6,4)&amp;":"&amp;ADDRESS(73,COLUMN()+6,4)),MATCH($B42,INDIRECT($B$1&amp;"!$A$8:$A$73"),0)),CONFIG!$A$15:$B$40,2,FALSE)&amp;"","")</f>
        <v/>
      </c>
      <c r="AB42" s="181">
        <f>IFERROR(VLOOKUP(INDEX(INDIRECT($B$1&amp;"!"&amp;ADDRESS(8,COLUMN()+6,4)&amp;":"&amp;ADDRESS(73,COLUMN()+6,4)),MATCH($B42,INDIRECT($B$1&amp;"!$A$8:$A$73"),0)),CONFIG!$A$15:$B$40,2,FALSE)&amp;"","")</f>
        <v/>
      </c>
      <c r="AC42" s="181">
        <f>IFERROR(VLOOKUP(INDEX(INDIRECT($B$1&amp;"!"&amp;ADDRESS(8,COLUMN()+6,4)&amp;":"&amp;ADDRESS(73,COLUMN()+6,4)),MATCH($B42,INDIRECT($B$1&amp;"!$A$8:$A$73"),0)),CONFIG!$A$15:$B$40,2,FALSE)&amp;"","")</f>
        <v/>
      </c>
      <c r="AD42" s="181">
        <f>IFERROR(VLOOKUP(INDEX(INDIRECT($B$1&amp;"!"&amp;ADDRESS(8,COLUMN()+6,4)&amp;":"&amp;ADDRESS(73,COLUMN()+6,4)),MATCH($B42,INDIRECT($B$1&amp;"!$A$8:$A$73"),0)),CONFIG!$A$15:$B$40,2,FALSE)&amp;"","")</f>
        <v/>
      </c>
      <c r="AE42" s="181">
        <f>IFERROR(VLOOKUP(INDEX(INDIRECT($B$1&amp;"!"&amp;ADDRESS(8,COLUMN()+6,4)&amp;":"&amp;ADDRESS(73,COLUMN()+6,4)),MATCH($B42,INDIRECT($B$1&amp;"!$A$8:$A$73"),0)),CONFIG!$A$15:$B$40,2,FALSE)&amp;"","")</f>
        <v/>
      </c>
      <c r="AF42" s="181">
        <f>IFERROR(VLOOKUP(INDEX(INDIRECT($B$1&amp;"!"&amp;ADDRESS(8,COLUMN()+6,4)&amp;":"&amp;ADDRESS(73,COLUMN()+6,4)),MATCH($B42,INDIRECT($B$1&amp;"!$A$8:$A$73"),0)),CONFIG!$A$15:$B$40,2,FALSE)&amp;"","")</f>
        <v/>
      </c>
      <c r="AG42" s="181">
        <f>IFERROR(VLOOKUP(INDEX(INDIRECT($B$1&amp;"!"&amp;ADDRESS(8,COLUMN()+6,4)&amp;":"&amp;ADDRESS(73,COLUMN()+6,4)),MATCH($B42,INDIRECT($B$1&amp;"!$A$8:$A$73"),0)),CONFIG!$A$15:$B$40,2,FALSE)&amp;"","")</f>
        <v/>
      </c>
      <c r="AH42" s="181">
        <f>IFERROR(VLOOKUP(INDEX(INDIRECT($B$1&amp;"!"&amp;ADDRESS(8,COLUMN()+6,4)&amp;":"&amp;ADDRESS(73,COLUMN()+6,4)),MATCH($B42,INDIRECT($B$1&amp;"!$A$8:$A$73"),0)),CONFIG!$A$15:$B$40,2,FALSE)&amp;"","")</f>
        <v/>
      </c>
      <c r="AI42" s="39" t="n"/>
    </row>
    <row r="43">
      <c r="A43" s="179" t="inlineStr">
        <is>
          <t>Fernanda Constantino</t>
        </is>
      </c>
      <c r="B43" s="180" t="inlineStr">
        <is>
          <t>Constantino</t>
        </is>
      </c>
      <c r="C43" s="181">
        <f>IFERROR(VLOOKUP(INDEX(INDIRECT($B$1&amp;"!"&amp;ADDRESS(8,COLUMN()+6,4)&amp;":"&amp;ADDRESS(73,COLUMN()+6,4)),MATCH($B43,INDIRECT($B$1&amp;"!$A$8:$A$73"),0)),CONFIG!$A$15:$B$40,2,FALSE)&amp;"","")</f>
        <v/>
      </c>
      <c r="D43" s="181">
        <f>IFERROR(VLOOKUP(INDEX(INDIRECT($B$1&amp;"!"&amp;ADDRESS(8,COLUMN()+6,4)&amp;":"&amp;ADDRESS(73,COLUMN()+6,4)),MATCH($B43,INDIRECT($B$1&amp;"!$A$8:$A$73"),0)),CONFIG!$A$15:$B$40,2,FALSE)&amp;"","")</f>
        <v/>
      </c>
      <c r="E43" s="181">
        <f>IFERROR(VLOOKUP(INDEX(INDIRECT($B$1&amp;"!"&amp;ADDRESS(8,COLUMN()+6,4)&amp;":"&amp;ADDRESS(73,COLUMN()+6,4)),MATCH($B43,INDIRECT($B$1&amp;"!$A$8:$A$73"),0)),CONFIG!$A$15:$B$40,2,FALSE)&amp;"","")</f>
        <v/>
      </c>
      <c r="F43" s="181">
        <f>IFERROR(VLOOKUP(INDEX(INDIRECT($B$1&amp;"!"&amp;ADDRESS(8,COLUMN()+6,4)&amp;":"&amp;ADDRESS(73,COLUMN()+6,4)),MATCH($B43,INDIRECT($B$1&amp;"!$A$8:$A$73"),0)),CONFIG!$A$15:$B$40,2,FALSE)&amp;"","")</f>
        <v/>
      </c>
      <c r="G43" s="181">
        <f>IFERROR(VLOOKUP(INDEX(INDIRECT($B$1&amp;"!"&amp;ADDRESS(8,COLUMN()+6,4)&amp;":"&amp;ADDRESS(73,COLUMN()+6,4)),MATCH($B43,INDIRECT($B$1&amp;"!$A$8:$A$73"),0)),CONFIG!$A$15:$B$40,2,FALSE)&amp;"","")</f>
        <v/>
      </c>
      <c r="H43" s="181">
        <f>IFERROR(VLOOKUP(INDEX(INDIRECT($B$1&amp;"!"&amp;ADDRESS(8,COLUMN()+6,4)&amp;":"&amp;ADDRESS(73,COLUMN()+6,4)),MATCH($B43,INDIRECT($B$1&amp;"!$A$8:$A$73"),0)),CONFIG!$A$15:$B$40,2,FALSE)&amp;"","")</f>
        <v/>
      </c>
      <c r="I43" s="181">
        <f>IFERROR(VLOOKUP(INDEX(INDIRECT($B$1&amp;"!"&amp;ADDRESS(8,COLUMN()+6,4)&amp;":"&amp;ADDRESS(73,COLUMN()+6,4)),MATCH($B43,INDIRECT($B$1&amp;"!$A$8:$A$73"),0)),CONFIG!$A$15:$B$40,2,FALSE)&amp;"","")</f>
        <v/>
      </c>
      <c r="J43" s="181">
        <f>IFERROR(VLOOKUP(INDEX(INDIRECT($B$1&amp;"!"&amp;ADDRESS(8,COLUMN()+6,4)&amp;":"&amp;ADDRESS(73,COLUMN()+6,4)),MATCH($B43,INDIRECT($B$1&amp;"!$A$8:$A$73"),0)),CONFIG!$A$15:$B$40,2,FALSE)&amp;"","")</f>
        <v/>
      </c>
      <c r="K43" s="181">
        <f>IFERROR(VLOOKUP(INDEX(INDIRECT($B$1&amp;"!"&amp;ADDRESS(8,COLUMN()+6,4)&amp;":"&amp;ADDRESS(73,COLUMN()+6,4)),MATCH($B43,INDIRECT($B$1&amp;"!$A$8:$A$73"),0)),CONFIG!$A$15:$B$40,2,FALSE)&amp;"","")</f>
        <v/>
      </c>
      <c r="L43" s="181">
        <f>IFERROR(VLOOKUP(INDEX(INDIRECT($B$1&amp;"!"&amp;ADDRESS(8,COLUMN()+6,4)&amp;":"&amp;ADDRESS(73,COLUMN()+6,4)),MATCH($B43,INDIRECT($B$1&amp;"!$A$8:$A$73"),0)),CONFIG!$A$15:$B$40,2,FALSE)&amp;"","")</f>
        <v/>
      </c>
      <c r="M43" s="181">
        <f>IFERROR(VLOOKUP(INDEX(INDIRECT($B$1&amp;"!"&amp;ADDRESS(8,COLUMN()+6,4)&amp;":"&amp;ADDRESS(73,COLUMN()+6,4)),MATCH($B43,INDIRECT($B$1&amp;"!$A$8:$A$73"),0)),CONFIG!$A$15:$B$40,2,FALSE)&amp;"","")</f>
        <v/>
      </c>
      <c r="N43" s="181">
        <f>IFERROR(VLOOKUP(INDEX(INDIRECT($B$1&amp;"!"&amp;ADDRESS(8,COLUMN()+6,4)&amp;":"&amp;ADDRESS(73,COLUMN()+6,4)),MATCH($B43,INDIRECT($B$1&amp;"!$A$8:$A$73"),0)),CONFIG!$A$15:$B$40,2,FALSE)&amp;"","")</f>
        <v/>
      </c>
      <c r="O43" s="181">
        <f>IFERROR(VLOOKUP(INDEX(INDIRECT($B$1&amp;"!"&amp;ADDRESS(8,COLUMN()+6,4)&amp;":"&amp;ADDRESS(73,COLUMN()+6,4)),MATCH($B43,INDIRECT($B$1&amp;"!$A$8:$A$73"),0)),CONFIG!$A$15:$B$40,2,FALSE)&amp;"","")</f>
        <v/>
      </c>
      <c r="P43" s="181">
        <f>IFERROR(VLOOKUP(INDEX(INDIRECT($B$1&amp;"!"&amp;ADDRESS(8,COLUMN()+6,4)&amp;":"&amp;ADDRESS(73,COLUMN()+6,4)),MATCH($B43,INDIRECT($B$1&amp;"!$A$8:$A$73"),0)),CONFIG!$A$15:$B$40,2,FALSE)&amp;"","")</f>
        <v/>
      </c>
      <c r="Q43" s="181">
        <f>IFERROR(VLOOKUP(INDEX(INDIRECT($B$1&amp;"!"&amp;ADDRESS(8,COLUMN()+6,4)&amp;":"&amp;ADDRESS(73,COLUMN()+6,4)),MATCH($B43,INDIRECT($B$1&amp;"!$A$8:$A$73"),0)),CONFIG!$A$15:$B$40,2,FALSE)&amp;"","")</f>
        <v/>
      </c>
      <c r="R43" s="181">
        <f>IFERROR(VLOOKUP(INDEX(INDIRECT($B$1&amp;"!"&amp;ADDRESS(8,COLUMN()+6,4)&amp;":"&amp;ADDRESS(73,COLUMN()+6,4)),MATCH($B43,INDIRECT($B$1&amp;"!$A$8:$A$73"),0)),CONFIG!$A$15:$B$40,2,FALSE)&amp;"","")</f>
        <v/>
      </c>
      <c r="S43" s="181">
        <f>IFERROR(VLOOKUP(INDEX(INDIRECT($B$1&amp;"!"&amp;ADDRESS(8,COLUMN()+6,4)&amp;":"&amp;ADDRESS(73,COLUMN()+6,4)),MATCH($B43,INDIRECT($B$1&amp;"!$A$8:$A$73"),0)),CONFIG!$A$15:$B$40,2,FALSE)&amp;"","")</f>
        <v/>
      </c>
      <c r="T43" s="181">
        <f>IFERROR(VLOOKUP(INDEX(INDIRECT($B$1&amp;"!"&amp;ADDRESS(8,COLUMN()+6,4)&amp;":"&amp;ADDRESS(73,COLUMN()+6,4)),MATCH($B43,INDIRECT($B$1&amp;"!$A$8:$A$73"),0)),CONFIG!$A$15:$B$40,2,FALSE)&amp;"","")</f>
        <v/>
      </c>
      <c r="U43" s="181">
        <f>IFERROR(VLOOKUP(INDEX(INDIRECT($B$1&amp;"!"&amp;ADDRESS(8,COLUMN()+6,4)&amp;":"&amp;ADDRESS(73,COLUMN()+6,4)),MATCH($B43,INDIRECT($B$1&amp;"!$A$8:$A$73"),0)),CONFIG!$A$15:$B$40,2,FALSE)&amp;"","")</f>
        <v/>
      </c>
      <c r="V43" s="181">
        <f>IFERROR(VLOOKUP(INDEX(INDIRECT($B$1&amp;"!"&amp;ADDRESS(8,COLUMN()+6,4)&amp;":"&amp;ADDRESS(73,COLUMN()+6,4)),MATCH($B43,INDIRECT($B$1&amp;"!$A$8:$A$73"),0)),CONFIG!$A$15:$B$40,2,FALSE)&amp;"","")</f>
        <v/>
      </c>
      <c r="W43" s="181">
        <f>IFERROR(VLOOKUP(INDEX(INDIRECT($B$1&amp;"!"&amp;ADDRESS(8,COLUMN()+6,4)&amp;":"&amp;ADDRESS(73,COLUMN()+6,4)),MATCH($B43,INDIRECT($B$1&amp;"!$A$8:$A$73"),0)),CONFIG!$A$15:$B$40,2,FALSE)&amp;"","")</f>
        <v/>
      </c>
      <c r="X43" s="181">
        <f>IFERROR(VLOOKUP(INDEX(INDIRECT($B$1&amp;"!"&amp;ADDRESS(8,COLUMN()+6,4)&amp;":"&amp;ADDRESS(73,COLUMN()+6,4)),MATCH($B43,INDIRECT($B$1&amp;"!$A$8:$A$73"),0)),CONFIG!$A$15:$B$40,2,FALSE)&amp;"","")</f>
        <v/>
      </c>
      <c r="Y43" s="181">
        <f>IFERROR(VLOOKUP(INDEX(INDIRECT($B$1&amp;"!"&amp;ADDRESS(8,COLUMN()+6,4)&amp;":"&amp;ADDRESS(73,COLUMN()+6,4)),MATCH($B43,INDIRECT($B$1&amp;"!$A$8:$A$73"),0)),CONFIG!$A$15:$B$40,2,FALSE)&amp;"","")</f>
        <v/>
      </c>
      <c r="Z43" s="181">
        <f>IFERROR(VLOOKUP(INDEX(INDIRECT($B$1&amp;"!"&amp;ADDRESS(8,COLUMN()+6,4)&amp;":"&amp;ADDRESS(73,COLUMN()+6,4)),MATCH($B43,INDIRECT($B$1&amp;"!$A$8:$A$73"),0)),CONFIG!$A$15:$B$40,2,FALSE)&amp;"","")</f>
        <v/>
      </c>
      <c r="AA43" s="181">
        <f>IFERROR(VLOOKUP(INDEX(INDIRECT($B$1&amp;"!"&amp;ADDRESS(8,COLUMN()+6,4)&amp;":"&amp;ADDRESS(73,COLUMN()+6,4)),MATCH($B43,INDIRECT($B$1&amp;"!$A$8:$A$73"),0)),CONFIG!$A$15:$B$40,2,FALSE)&amp;"","")</f>
        <v/>
      </c>
      <c r="AB43" s="181">
        <f>IFERROR(VLOOKUP(INDEX(INDIRECT($B$1&amp;"!"&amp;ADDRESS(8,COLUMN()+6,4)&amp;":"&amp;ADDRESS(73,COLUMN()+6,4)),MATCH($B43,INDIRECT($B$1&amp;"!$A$8:$A$73"),0)),CONFIG!$A$15:$B$40,2,FALSE)&amp;"","")</f>
        <v/>
      </c>
      <c r="AC43" s="181">
        <f>IFERROR(VLOOKUP(INDEX(INDIRECT($B$1&amp;"!"&amp;ADDRESS(8,COLUMN()+6,4)&amp;":"&amp;ADDRESS(73,COLUMN()+6,4)),MATCH($B43,INDIRECT($B$1&amp;"!$A$8:$A$73"),0)),CONFIG!$A$15:$B$40,2,FALSE)&amp;"","")</f>
        <v/>
      </c>
      <c r="AD43" s="181">
        <f>IFERROR(VLOOKUP(INDEX(INDIRECT($B$1&amp;"!"&amp;ADDRESS(8,COLUMN()+6,4)&amp;":"&amp;ADDRESS(73,COLUMN()+6,4)),MATCH($B43,INDIRECT($B$1&amp;"!$A$8:$A$73"),0)),CONFIG!$A$15:$B$40,2,FALSE)&amp;"","")</f>
        <v/>
      </c>
      <c r="AE43" s="181">
        <f>IFERROR(VLOOKUP(INDEX(INDIRECT($B$1&amp;"!"&amp;ADDRESS(8,COLUMN()+6,4)&amp;":"&amp;ADDRESS(73,COLUMN()+6,4)),MATCH($B43,INDIRECT($B$1&amp;"!$A$8:$A$73"),0)),CONFIG!$A$15:$B$40,2,FALSE)&amp;"","")</f>
        <v/>
      </c>
      <c r="AF43" s="181">
        <f>IFERROR(VLOOKUP(INDEX(INDIRECT($B$1&amp;"!"&amp;ADDRESS(8,COLUMN()+6,4)&amp;":"&amp;ADDRESS(73,COLUMN()+6,4)),MATCH($B43,INDIRECT($B$1&amp;"!$A$8:$A$73"),0)),CONFIG!$A$15:$B$40,2,FALSE)&amp;"","")</f>
        <v/>
      </c>
      <c r="AG43" s="181">
        <f>IFERROR(VLOOKUP(INDEX(INDIRECT($B$1&amp;"!"&amp;ADDRESS(8,COLUMN()+6,4)&amp;":"&amp;ADDRESS(73,COLUMN()+6,4)),MATCH($B43,INDIRECT($B$1&amp;"!$A$8:$A$73"),0)),CONFIG!$A$15:$B$40,2,FALSE)&amp;"","")</f>
        <v/>
      </c>
      <c r="AH43" s="181">
        <f>IFERROR(VLOOKUP(INDEX(INDIRECT($B$1&amp;"!"&amp;ADDRESS(8,COLUMN()+6,4)&amp;":"&amp;ADDRESS(73,COLUMN()+6,4)),MATCH($B43,INDIRECT($B$1&amp;"!$A$8:$A$73"),0)),CONFIG!$A$15:$B$40,2,FALSE)&amp;"","")</f>
        <v/>
      </c>
      <c r="AI43" s="39" t="n"/>
    </row>
    <row r="44">
      <c r="A44" s="179" t="inlineStr">
        <is>
          <t>Debora Matias</t>
        </is>
      </c>
      <c r="B44" s="180" t="inlineStr">
        <is>
          <t>DebMatias</t>
        </is>
      </c>
      <c r="C44" s="181">
        <f>IFERROR(VLOOKUP(INDEX(INDIRECT($B$1&amp;"!"&amp;ADDRESS(8,COLUMN()+6,4)&amp;":"&amp;ADDRESS(73,COLUMN()+6,4)),MATCH($B44,INDIRECT($B$1&amp;"!$A$8:$A$73"),0)),CONFIG!$A$15:$B$40,2,FALSE)&amp;"","")</f>
        <v/>
      </c>
      <c r="D44" s="181">
        <f>IFERROR(VLOOKUP(INDEX(INDIRECT($B$1&amp;"!"&amp;ADDRESS(8,COLUMN()+6,4)&amp;":"&amp;ADDRESS(73,COLUMN()+6,4)),MATCH($B44,INDIRECT($B$1&amp;"!$A$8:$A$73"),0)),CONFIG!$A$15:$B$40,2,FALSE)&amp;"","")</f>
        <v/>
      </c>
      <c r="E44" s="181">
        <f>IFERROR(VLOOKUP(INDEX(INDIRECT($B$1&amp;"!"&amp;ADDRESS(8,COLUMN()+6,4)&amp;":"&amp;ADDRESS(73,COLUMN()+6,4)),MATCH($B44,INDIRECT($B$1&amp;"!$A$8:$A$73"),0)),CONFIG!$A$15:$B$40,2,FALSE)&amp;"","")</f>
        <v/>
      </c>
      <c r="F44" s="181">
        <f>IFERROR(VLOOKUP(INDEX(INDIRECT($B$1&amp;"!"&amp;ADDRESS(8,COLUMN()+6,4)&amp;":"&amp;ADDRESS(73,COLUMN()+6,4)),MATCH($B44,INDIRECT($B$1&amp;"!$A$8:$A$73"),0)),CONFIG!$A$15:$B$40,2,FALSE)&amp;"","")</f>
        <v/>
      </c>
      <c r="G44" s="181">
        <f>IFERROR(VLOOKUP(INDEX(INDIRECT($B$1&amp;"!"&amp;ADDRESS(8,COLUMN()+6,4)&amp;":"&amp;ADDRESS(73,COLUMN()+6,4)),MATCH($B44,INDIRECT($B$1&amp;"!$A$8:$A$73"),0)),CONFIG!$A$15:$B$40,2,FALSE)&amp;"","")</f>
        <v/>
      </c>
      <c r="H44" s="181">
        <f>IFERROR(VLOOKUP(INDEX(INDIRECT($B$1&amp;"!"&amp;ADDRESS(8,COLUMN()+6,4)&amp;":"&amp;ADDRESS(73,COLUMN()+6,4)),MATCH($B44,INDIRECT($B$1&amp;"!$A$8:$A$73"),0)),CONFIG!$A$15:$B$40,2,FALSE)&amp;"","")</f>
        <v/>
      </c>
      <c r="I44" s="181">
        <f>IFERROR(VLOOKUP(INDEX(INDIRECT($B$1&amp;"!"&amp;ADDRESS(8,COLUMN()+6,4)&amp;":"&amp;ADDRESS(73,COLUMN()+6,4)),MATCH($B44,INDIRECT($B$1&amp;"!$A$8:$A$73"),0)),CONFIG!$A$15:$B$40,2,FALSE)&amp;"","")</f>
        <v/>
      </c>
      <c r="J44" s="181">
        <f>IFERROR(VLOOKUP(INDEX(INDIRECT($B$1&amp;"!"&amp;ADDRESS(8,COLUMN()+6,4)&amp;":"&amp;ADDRESS(73,COLUMN()+6,4)),MATCH($B44,INDIRECT($B$1&amp;"!$A$8:$A$73"),0)),CONFIG!$A$15:$B$40,2,FALSE)&amp;"","")</f>
        <v/>
      </c>
      <c r="K44" s="181">
        <f>IFERROR(VLOOKUP(INDEX(INDIRECT($B$1&amp;"!"&amp;ADDRESS(8,COLUMN()+6,4)&amp;":"&amp;ADDRESS(73,COLUMN()+6,4)),MATCH($B44,INDIRECT($B$1&amp;"!$A$8:$A$73"),0)),CONFIG!$A$15:$B$40,2,FALSE)&amp;"","")</f>
        <v/>
      </c>
      <c r="L44" s="181">
        <f>IFERROR(VLOOKUP(INDEX(INDIRECT($B$1&amp;"!"&amp;ADDRESS(8,COLUMN()+6,4)&amp;":"&amp;ADDRESS(73,COLUMN()+6,4)),MATCH($B44,INDIRECT($B$1&amp;"!$A$8:$A$73"),0)),CONFIG!$A$15:$B$40,2,FALSE)&amp;"","")</f>
        <v/>
      </c>
      <c r="M44" s="181">
        <f>IFERROR(VLOOKUP(INDEX(INDIRECT($B$1&amp;"!"&amp;ADDRESS(8,COLUMN()+6,4)&amp;":"&amp;ADDRESS(73,COLUMN()+6,4)),MATCH($B44,INDIRECT($B$1&amp;"!$A$8:$A$73"),0)),CONFIG!$A$15:$B$40,2,FALSE)&amp;"","")</f>
        <v/>
      </c>
      <c r="N44" s="181">
        <f>IFERROR(VLOOKUP(INDEX(INDIRECT($B$1&amp;"!"&amp;ADDRESS(8,COLUMN()+6,4)&amp;":"&amp;ADDRESS(73,COLUMN()+6,4)),MATCH($B44,INDIRECT($B$1&amp;"!$A$8:$A$73"),0)),CONFIG!$A$15:$B$40,2,FALSE)&amp;"","")</f>
        <v/>
      </c>
      <c r="O44" s="181">
        <f>IFERROR(VLOOKUP(INDEX(INDIRECT($B$1&amp;"!"&amp;ADDRESS(8,COLUMN()+6,4)&amp;":"&amp;ADDRESS(73,COLUMN()+6,4)),MATCH($B44,INDIRECT($B$1&amp;"!$A$8:$A$73"),0)),CONFIG!$A$15:$B$40,2,FALSE)&amp;"","")</f>
        <v/>
      </c>
      <c r="P44" s="181">
        <f>IFERROR(VLOOKUP(INDEX(INDIRECT($B$1&amp;"!"&amp;ADDRESS(8,COLUMN()+6,4)&amp;":"&amp;ADDRESS(73,COLUMN()+6,4)),MATCH($B44,INDIRECT($B$1&amp;"!$A$8:$A$73"),0)),CONFIG!$A$15:$B$40,2,FALSE)&amp;"","")</f>
        <v/>
      </c>
      <c r="Q44" s="181">
        <f>IFERROR(VLOOKUP(INDEX(INDIRECT($B$1&amp;"!"&amp;ADDRESS(8,COLUMN()+6,4)&amp;":"&amp;ADDRESS(73,COLUMN()+6,4)),MATCH($B44,INDIRECT($B$1&amp;"!$A$8:$A$73"),0)),CONFIG!$A$15:$B$40,2,FALSE)&amp;"","")</f>
        <v/>
      </c>
      <c r="R44" s="181">
        <f>IFERROR(VLOOKUP(INDEX(INDIRECT($B$1&amp;"!"&amp;ADDRESS(8,COLUMN()+6,4)&amp;":"&amp;ADDRESS(73,COLUMN()+6,4)),MATCH($B44,INDIRECT($B$1&amp;"!$A$8:$A$73"),0)),CONFIG!$A$15:$B$40,2,FALSE)&amp;"","")</f>
        <v/>
      </c>
      <c r="S44" s="181">
        <f>IFERROR(VLOOKUP(INDEX(INDIRECT($B$1&amp;"!"&amp;ADDRESS(8,COLUMN()+6,4)&amp;":"&amp;ADDRESS(73,COLUMN()+6,4)),MATCH($B44,INDIRECT($B$1&amp;"!$A$8:$A$73"),0)),CONFIG!$A$15:$B$40,2,FALSE)&amp;"","")</f>
        <v/>
      </c>
      <c r="T44" s="181">
        <f>IFERROR(VLOOKUP(INDEX(INDIRECT($B$1&amp;"!"&amp;ADDRESS(8,COLUMN()+6,4)&amp;":"&amp;ADDRESS(73,COLUMN()+6,4)),MATCH($B44,INDIRECT($B$1&amp;"!$A$8:$A$73"),0)),CONFIG!$A$15:$B$40,2,FALSE)&amp;"","")</f>
        <v/>
      </c>
      <c r="U44" s="181">
        <f>IFERROR(VLOOKUP(INDEX(INDIRECT($B$1&amp;"!"&amp;ADDRESS(8,COLUMN()+6,4)&amp;":"&amp;ADDRESS(73,COLUMN()+6,4)),MATCH($B44,INDIRECT($B$1&amp;"!$A$8:$A$73"),0)),CONFIG!$A$15:$B$40,2,FALSE)&amp;"","")</f>
        <v/>
      </c>
      <c r="V44" s="181">
        <f>IFERROR(VLOOKUP(INDEX(INDIRECT($B$1&amp;"!"&amp;ADDRESS(8,COLUMN()+6,4)&amp;":"&amp;ADDRESS(73,COLUMN()+6,4)),MATCH($B44,INDIRECT($B$1&amp;"!$A$8:$A$73"),0)),CONFIG!$A$15:$B$40,2,FALSE)&amp;"","")</f>
        <v/>
      </c>
      <c r="W44" s="181">
        <f>IFERROR(VLOOKUP(INDEX(INDIRECT($B$1&amp;"!"&amp;ADDRESS(8,COLUMN()+6,4)&amp;":"&amp;ADDRESS(73,COLUMN()+6,4)),MATCH($B44,INDIRECT($B$1&amp;"!$A$8:$A$73"),0)),CONFIG!$A$15:$B$40,2,FALSE)&amp;"","")</f>
        <v/>
      </c>
      <c r="X44" s="181">
        <f>IFERROR(VLOOKUP(INDEX(INDIRECT($B$1&amp;"!"&amp;ADDRESS(8,COLUMN()+6,4)&amp;":"&amp;ADDRESS(73,COLUMN()+6,4)),MATCH($B44,INDIRECT($B$1&amp;"!$A$8:$A$73"),0)),CONFIG!$A$15:$B$40,2,FALSE)&amp;"","")</f>
        <v/>
      </c>
      <c r="Y44" s="181">
        <f>IFERROR(VLOOKUP(INDEX(INDIRECT($B$1&amp;"!"&amp;ADDRESS(8,COLUMN()+6,4)&amp;":"&amp;ADDRESS(73,COLUMN()+6,4)),MATCH($B44,INDIRECT($B$1&amp;"!$A$8:$A$73"),0)),CONFIG!$A$15:$B$40,2,FALSE)&amp;"","")</f>
        <v/>
      </c>
      <c r="Z44" s="181">
        <f>IFERROR(VLOOKUP(INDEX(INDIRECT($B$1&amp;"!"&amp;ADDRESS(8,COLUMN()+6,4)&amp;":"&amp;ADDRESS(73,COLUMN()+6,4)),MATCH($B44,INDIRECT($B$1&amp;"!$A$8:$A$73"),0)),CONFIG!$A$15:$B$40,2,FALSE)&amp;"","")</f>
        <v/>
      </c>
      <c r="AA44" s="181">
        <f>IFERROR(VLOOKUP(INDEX(INDIRECT($B$1&amp;"!"&amp;ADDRESS(8,COLUMN()+6,4)&amp;":"&amp;ADDRESS(73,COLUMN()+6,4)),MATCH($B44,INDIRECT($B$1&amp;"!$A$8:$A$73"),0)),CONFIG!$A$15:$B$40,2,FALSE)&amp;"","")</f>
        <v/>
      </c>
      <c r="AB44" s="181">
        <f>IFERROR(VLOOKUP(INDEX(INDIRECT($B$1&amp;"!"&amp;ADDRESS(8,COLUMN()+6,4)&amp;":"&amp;ADDRESS(73,COLUMN()+6,4)),MATCH($B44,INDIRECT($B$1&amp;"!$A$8:$A$73"),0)),CONFIG!$A$15:$B$40,2,FALSE)&amp;"","")</f>
        <v/>
      </c>
      <c r="AC44" s="181">
        <f>IFERROR(VLOOKUP(INDEX(INDIRECT($B$1&amp;"!"&amp;ADDRESS(8,COLUMN()+6,4)&amp;":"&amp;ADDRESS(73,COLUMN()+6,4)),MATCH($B44,INDIRECT($B$1&amp;"!$A$8:$A$73"),0)),CONFIG!$A$15:$B$40,2,FALSE)&amp;"","")</f>
        <v/>
      </c>
      <c r="AD44" s="181">
        <f>IFERROR(VLOOKUP(INDEX(INDIRECT($B$1&amp;"!"&amp;ADDRESS(8,COLUMN()+6,4)&amp;":"&amp;ADDRESS(73,COLUMN()+6,4)),MATCH($B44,INDIRECT($B$1&amp;"!$A$8:$A$73"),0)),CONFIG!$A$15:$B$40,2,FALSE)&amp;"","")</f>
        <v/>
      </c>
      <c r="AE44" s="181">
        <f>IFERROR(VLOOKUP(INDEX(INDIRECT($B$1&amp;"!"&amp;ADDRESS(8,COLUMN()+6,4)&amp;":"&amp;ADDRESS(73,COLUMN()+6,4)),MATCH($B44,INDIRECT($B$1&amp;"!$A$8:$A$73"),0)),CONFIG!$A$15:$B$40,2,FALSE)&amp;"","")</f>
        <v/>
      </c>
      <c r="AF44" s="181">
        <f>IFERROR(VLOOKUP(INDEX(INDIRECT($B$1&amp;"!"&amp;ADDRESS(8,COLUMN()+6,4)&amp;":"&amp;ADDRESS(73,COLUMN()+6,4)),MATCH($B44,INDIRECT($B$1&amp;"!$A$8:$A$73"),0)),CONFIG!$A$15:$B$40,2,FALSE)&amp;"","")</f>
        <v/>
      </c>
      <c r="AG44" s="181">
        <f>IFERROR(VLOOKUP(INDEX(INDIRECT($B$1&amp;"!"&amp;ADDRESS(8,COLUMN()+6,4)&amp;":"&amp;ADDRESS(73,COLUMN()+6,4)),MATCH($B44,INDIRECT($B$1&amp;"!$A$8:$A$73"),0)),CONFIG!$A$15:$B$40,2,FALSE)&amp;"","")</f>
        <v/>
      </c>
      <c r="AH44" s="181">
        <f>IFERROR(VLOOKUP(INDEX(INDIRECT($B$1&amp;"!"&amp;ADDRESS(8,COLUMN()+6,4)&amp;":"&amp;ADDRESS(73,COLUMN()+6,4)),MATCH($B44,INDIRECT($B$1&amp;"!$A$8:$A$73"),0)),CONFIG!$A$15:$B$40,2,FALSE)&amp;"","")</f>
        <v/>
      </c>
      <c r="AI44" s="39" t="n"/>
    </row>
    <row r="45">
      <c r="A45" s="179" t="inlineStr">
        <is>
          <t>Denise</t>
        </is>
      </c>
      <c r="B45" s="180" t="inlineStr">
        <is>
          <t>Denise</t>
        </is>
      </c>
      <c r="C45" s="181">
        <f>IFERROR(VLOOKUP(INDEX(INDIRECT($B$1&amp;"!"&amp;ADDRESS(8,COLUMN()+6,4)&amp;":"&amp;ADDRESS(73,COLUMN()+6,4)),MATCH($B45,INDIRECT($B$1&amp;"!$A$8:$A$73"),0)),CONFIG!$A$15:$B$40,2,FALSE)&amp;"","")</f>
        <v/>
      </c>
      <c r="D45" s="181">
        <f>IFERROR(VLOOKUP(INDEX(INDIRECT($B$1&amp;"!"&amp;ADDRESS(8,COLUMN()+6,4)&amp;":"&amp;ADDRESS(73,COLUMN()+6,4)),MATCH($B45,INDIRECT($B$1&amp;"!$A$8:$A$73"),0)),CONFIG!$A$15:$B$40,2,FALSE)&amp;"","")</f>
        <v/>
      </c>
      <c r="E45" s="181">
        <f>IFERROR(VLOOKUP(INDEX(INDIRECT($B$1&amp;"!"&amp;ADDRESS(8,COLUMN()+6,4)&amp;":"&amp;ADDRESS(73,COLUMN()+6,4)),MATCH($B45,INDIRECT($B$1&amp;"!$A$8:$A$73"),0)),CONFIG!$A$15:$B$40,2,FALSE)&amp;"","")</f>
        <v/>
      </c>
      <c r="F45" s="181">
        <f>IFERROR(VLOOKUP(INDEX(INDIRECT($B$1&amp;"!"&amp;ADDRESS(8,COLUMN()+6,4)&amp;":"&amp;ADDRESS(73,COLUMN()+6,4)),MATCH($B45,INDIRECT($B$1&amp;"!$A$8:$A$73"),0)),CONFIG!$A$15:$B$40,2,FALSE)&amp;"","")</f>
        <v/>
      </c>
      <c r="G45" s="181">
        <f>IFERROR(VLOOKUP(INDEX(INDIRECT($B$1&amp;"!"&amp;ADDRESS(8,COLUMN()+6,4)&amp;":"&amp;ADDRESS(73,COLUMN()+6,4)),MATCH($B45,INDIRECT($B$1&amp;"!$A$8:$A$73"),0)),CONFIG!$A$15:$B$40,2,FALSE)&amp;"","")</f>
        <v/>
      </c>
      <c r="H45" s="181">
        <f>IFERROR(VLOOKUP(INDEX(INDIRECT($B$1&amp;"!"&amp;ADDRESS(8,COLUMN()+6,4)&amp;":"&amp;ADDRESS(73,COLUMN()+6,4)),MATCH($B45,INDIRECT($B$1&amp;"!$A$8:$A$73"),0)),CONFIG!$A$15:$B$40,2,FALSE)&amp;"","")</f>
        <v/>
      </c>
      <c r="I45" s="181">
        <f>IFERROR(VLOOKUP(INDEX(INDIRECT($B$1&amp;"!"&amp;ADDRESS(8,COLUMN()+6,4)&amp;":"&amp;ADDRESS(73,COLUMN()+6,4)),MATCH($B45,INDIRECT($B$1&amp;"!$A$8:$A$73"),0)),CONFIG!$A$15:$B$40,2,FALSE)&amp;"","")</f>
        <v/>
      </c>
      <c r="J45" s="181">
        <f>IFERROR(VLOOKUP(INDEX(INDIRECT($B$1&amp;"!"&amp;ADDRESS(8,COLUMN()+6,4)&amp;":"&amp;ADDRESS(73,COLUMN()+6,4)),MATCH($B45,INDIRECT($B$1&amp;"!$A$8:$A$73"),0)),CONFIG!$A$15:$B$40,2,FALSE)&amp;"","")</f>
        <v/>
      </c>
      <c r="K45" s="181">
        <f>IFERROR(VLOOKUP(INDEX(INDIRECT($B$1&amp;"!"&amp;ADDRESS(8,COLUMN()+6,4)&amp;":"&amp;ADDRESS(73,COLUMN()+6,4)),MATCH($B45,INDIRECT($B$1&amp;"!$A$8:$A$73"),0)),CONFIG!$A$15:$B$40,2,FALSE)&amp;"","")</f>
        <v/>
      </c>
      <c r="L45" s="181">
        <f>IFERROR(VLOOKUP(INDEX(INDIRECT($B$1&amp;"!"&amp;ADDRESS(8,COLUMN()+6,4)&amp;":"&amp;ADDRESS(73,COLUMN()+6,4)),MATCH($B45,INDIRECT($B$1&amp;"!$A$8:$A$73"),0)),CONFIG!$A$15:$B$40,2,FALSE)&amp;"","")</f>
        <v/>
      </c>
      <c r="M45" s="181">
        <f>IFERROR(VLOOKUP(INDEX(INDIRECT($B$1&amp;"!"&amp;ADDRESS(8,COLUMN()+6,4)&amp;":"&amp;ADDRESS(73,COLUMN()+6,4)),MATCH($B45,INDIRECT($B$1&amp;"!$A$8:$A$73"),0)),CONFIG!$A$15:$B$40,2,FALSE)&amp;"","")</f>
        <v/>
      </c>
      <c r="N45" s="181">
        <f>IFERROR(VLOOKUP(INDEX(INDIRECT($B$1&amp;"!"&amp;ADDRESS(8,COLUMN()+6,4)&amp;":"&amp;ADDRESS(73,COLUMN()+6,4)),MATCH($B45,INDIRECT($B$1&amp;"!$A$8:$A$73"),0)),CONFIG!$A$15:$B$40,2,FALSE)&amp;"","")</f>
        <v/>
      </c>
      <c r="O45" s="181">
        <f>IFERROR(VLOOKUP(INDEX(INDIRECT($B$1&amp;"!"&amp;ADDRESS(8,COLUMN()+6,4)&amp;":"&amp;ADDRESS(73,COLUMN()+6,4)),MATCH($B45,INDIRECT($B$1&amp;"!$A$8:$A$73"),0)),CONFIG!$A$15:$B$40,2,FALSE)&amp;"","")</f>
        <v/>
      </c>
      <c r="P45" s="181">
        <f>IFERROR(VLOOKUP(INDEX(INDIRECT($B$1&amp;"!"&amp;ADDRESS(8,COLUMN()+6,4)&amp;":"&amp;ADDRESS(73,COLUMN()+6,4)),MATCH($B45,INDIRECT($B$1&amp;"!$A$8:$A$73"),0)),CONFIG!$A$15:$B$40,2,FALSE)&amp;"","")</f>
        <v/>
      </c>
      <c r="Q45" s="181">
        <f>IFERROR(VLOOKUP(INDEX(INDIRECT($B$1&amp;"!"&amp;ADDRESS(8,COLUMN()+6,4)&amp;":"&amp;ADDRESS(73,COLUMN()+6,4)),MATCH($B45,INDIRECT($B$1&amp;"!$A$8:$A$73"),0)),CONFIG!$A$15:$B$40,2,FALSE)&amp;"","")</f>
        <v/>
      </c>
      <c r="R45" s="181">
        <f>IFERROR(VLOOKUP(INDEX(INDIRECT($B$1&amp;"!"&amp;ADDRESS(8,COLUMN()+6,4)&amp;":"&amp;ADDRESS(73,COLUMN()+6,4)),MATCH($B45,INDIRECT($B$1&amp;"!$A$8:$A$73"),0)),CONFIG!$A$15:$B$40,2,FALSE)&amp;"","")</f>
        <v/>
      </c>
      <c r="S45" s="181">
        <f>IFERROR(VLOOKUP(INDEX(INDIRECT($B$1&amp;"!"&amp;ADDRESS(8,COLUMN()+6,4)&amp;":"&amp;ADDRESS(73,COLUMN()+6,4)),MATCH($B45,INDIRECT($B$1&amp;"!$A$8:$A$73"),0)),CONFIG!$A$15:$B$40,2,FALSE)&amp;"","")</f>
        <v/>
      </c>
      <c r="T45" s="181">
        <f>IFERROR(VLOOKUP(INDEX(INDIRECT($B$1&amp;"!"&amp;ADDRESS(8,COLUMN()+6,4)&amp;":"&amp;ADDRESS(73,COLUMN()+6,4)),MATCH($B45,INDIRECT($B$1&amp;"!$A$8:$A$73"),0)),CONFIG!$A$15:$B$40,2,FALSE)&amp;"","")</f>
        <v/>
      </c>
      <c r="U45" s="181">
        <f>IFERROR(VLOOKUP(INDEX(INDIRECT($B$1&amp;"!"&amp;ADDRESS(8,COLUMN()+6,4)&amp;":"&amp;ADDRESS(73,COLUMN()+6,4)),MATCH($B45,INDIRECT($B$1&amp;"!$A$8:$A$73"),0)),CONFIG!$A$15:$B$40,2,FALSE)&amp;"","")</f>
        <v/>
      </c>
      <c r="V45" s="181">
        <f>IFERROR(VLOOKUP(INDEX(INDIRECT($B$1&amp;"!"&amp;ADDRESS(8,COLUMN()+6,4)&amp;":"&amp;ADDRESS(73,COLUMN()+6,4)),MATCH($B45,INDIRECT($B$1&amp;"!$A$8:$A$73"),0)),CONFIG!$A$15:$B$40,2,FALSE)&amp;"","")</f>
        <v/>
      </c>
      <c r="W45" s="181">
        <f>IFERROR(VLOOKUP(INDEX(INDIRECT($B$1&amp;"!"&amp;ADDRESS(8,COLUMN()+6,4)&amp;":"&amp;ADDRESS(73,COLUMN()+6,4)),MATCH($B45,INDIRECT($B$1&amp;"!$A$8:$A$73"),0)),CONFIG!$A$15:$B$40,2,FALSE)&amp;"","")</f>
        <v/>
      </c>
      <c r="X45" s="181">
        <f>IFERROR(VLOOKUP(INDEX(INDIRECT($B$1&amp;"!"&amp;ADDRESS(8,COLUMN()+6,4)&amp;":"&amp;ADDRESS(73,COLUMN()+6,4)),MATCH($B45,INDIRECT($B$1&amp;"!$A$8:$A$73"),0)),CONFIG!$A$15:$B$40,2,FALSE)&amp;"","")</f>
        <v/>
      </c>
      <c r="Y45" s="181">
        <f>IFERROR(VLOOKUP(INDEX(INDIRECT($B$1&amp;"!"&amp;ADDRESS(8,COLUMN()+6,4)&amp;":"&amp;ADDRESS(73,COLUMN()+6,4)),MATCH($B45,INDIRECT($B$1&amp;"!$A$8:$A$73"),0)),CONFIG!$A$15:$B$40,2,FALSE)&amp;"","")</f>
        <v/>
      </c>
      <c r="Z45" s="181">
        <f>IFERROR(VLOOKUP(INDEX(INDIRECT($B$1&amp;"!"&amp;ADDRESS(8,COLUMN()+6,4)&amp;":"&amp;ADDRESS(73,COLUMN()+6,4)),MATCH($B45,INDIRECT($B$1&amp;"!$A$8:$A$73"),0)),CONFIG!$A$15:$B$40,2,FALSE)&amp;"","")</f>
        <v/>
      </c>
      <c r="AA45" s="181">
        <f>IFERROR(VLOOKUP(INDEX(INDIRECT($B$1&amp;"!"&amp;ADDRESS(8,COLUMN()+6,4)&amp;":"&amp;ADDRESS(73,COLUMN()+6,4)),MATCH($B45,INDIRECT($B$1&amp;"!$A$8:$A$73"),0)),CONFIG!$A$15:$B$40,2,FALSE)&amp;"","")</f>
        <v/>
      </c>
      <c r="AB45" s="181">
        <f>IFERROR(VLOOKUP(INDEX(INDIRECT($B$1&amp;"!"&amp;ADDRESS(8,COLUMN()+6,4)&amp;":"&amp;ADDRESS(73,COLUMN()+6,4)),MATCH($B45,INDIRECT($B$1&amp;"!$A$8:$A$73"),0)),CONFIG!$A$15:$B$40,2,FALSE)&amp;"","")</f>
        <v/>
      </c>
      <c r="AC45" s="181">
        <f>IFERROR(VLOOKUP(INDEX(INDIRECT($B$1&amp;"!"&amp;ADDRESS(8,COLUMN()+6,4)&amp;":"&amp;ADDRESS(73,COLUMN()+6,4)),MATCH($B45,INDIRECT($B$1&amp;"!$A$8:$A$73"),0)),CONFIG!$A$15:$B$40,2,FALSE)&amp;"","")</f>
        <v/>
      </c>
      <c r="AD45" s="181">
        <f>IFERROR(VLOOKUP(INDEX(INDIRECT($B$1&amp;"!"&amp;ADDRESS(8,COLUMN()+6,4)&amp;":"&amp;ADDRESS(73,COLUMN()+6,4)),MATCH($B45,INDIRECT($B$1&amp;"!$A$8:$A$73"),0)),CONFIG!$A$15:$B$40,2,FALSE)&amp;"","")</f>
        <v/>
      </c>
      <c r="AE45" s="181">
        <f>IFERROR(VLOOKUP(INDEX(INDIRECT($B$1&amp;"!"&amp;ADDRESS(8,COLUMN()+6,4)&amp;":"&amp;ADDRESS(73,COLUMN()+6,4)),MATCH($B45,INDIRECT($B$1&amp;"!$A$8:$A$73"),0)),CONFIG!$A$15:$B$40,2,FALSE)&amp;"","")</f>
        <v/>
      </c>
      <c r="AF45" s="181">
        <f>IFERROR(VLOOKUP(INDEX(INDIRECT($B$1&amp;"!"&amp;ADDRESS(8,COLUMN()+6,4)&amp;":"&amp;ADDRESS(73,COLUMN()+6,4)),MATCH($B45,INDIRECT($B$1&amp;"!$A$8:$A$73"),0)),CONFIG!$A$15:$B$40,2,FALSE)&amp;"","")</f>
        <v/>
      </c>
      <c r="AG45" s="181">
        <f>IFERROR(VLOOKUP(INDEX(INDIRECT($B$1&amp;"!"&amp;ADDRESS(8,COLUMN()+6,4)&amp;":"&amp;ADDRESS(73,COLUMN()+6,4)),MATCH($B45,INDIRECT($B$1&amp;"!$A$8:$A$73"),0)),CONFIG!$A$15:$B$40,2,FALSE)&amp;"","")</f>
        <v/>
      </c>
      <c r="AH45" s="181">
        <f>IFERROR(VLOOKUP(INDEX(INDIRECT($B$1&amp;"!"&amp;ADDRESS(8,COLUMN()+6,4)&amp;":"&amp;ADDRESS(73,COLUMN()+6,4)),MATCH($B45,INDIRECT($B$1&amp;"!$A$8:$A$73"),0)),CONFIG!$A$15:$B$40,2,FALSE)&amp;"","")</f>
        <v/>
      </c>
      <c r="AI45" s="39" t="n"/>
    </row>
    <row r="46">
      <c r="A46" s="179" t="inlineStr">
        <is>
          <t>Carlos Ernesto</t>
        </is>
      </c>
      <c r="B46" s="180" t="inlineStr">
        <is>
          <t>Ernesto</t>
        </is>
      </c>
      <c r="C46" s="181">
        <f>IFERROR(VLOOKUP(INDEX(INDIRECT($B$1&amp;"!"&amp;ADDRESS(8,COLUMN()+6,4)&amp;":"&amp;ADDRESS(73,COLUMN()+6,4)),MATCH($B46,INDIRECT($B$1&amp;"!$A$8:$A$73"),0)),CONFIG!$A$15:$B$40,2,FALSE)&amp;"","")</f>
        <v/>
      </c>
      <c r="D46" s="181">
        <f>IFERROR(VLOOKUP(INDEX(INDIRECT($B$1&amp;"!"&amp;ADDRESS(8,COLUMN()+6,4)&amp;":"&amp;ADDRESS(73,COLUMN()+6,4)),MATCH($B46,INDIRECT($B$1&amp;"!$A$8:$A$73"),0)),CONFIG!$A$15:$B$40,2,FALSE)&amp;"","")</f>
        <v/>
      </c>
      <c r="E46" s="181">
        <f>IFERROR(VLOOKUP(INDEX(INDIRECT($B$1&amp;"!"&amp;ADDRESS(8,COLUMN()+6,4)&amp;":"&amp;ADDRESS(73,COLUMN()+6,4)),MATCH($B46,INDIRECT($B$1&amp;"!$A$8:$A$73"),0)),CONFIG!$A$15:$B$40,2,FALSE)&amp;"","")</f>
        <v/>
      </c>
      <c r="F46" s="181">
        <f>IFERROR(VLOOKUP(INDEX(INDIRECT($B$1&amp;"!"&amp;ADDRESS(8,COLUMN()+6,4)&amp;":"&amp;ADDRESS(73,COLUMN()+6,4)),MATCH($B46,INDIRECT($B$1&amp;"!$A$8:$A$73"),0)),CONFIG!$A$15:$B$40,2,FALSE)&amp;"","")</f>
        <v/>
      </c>
      <c r="G46" s="181">
        <f>IFERROR(VLOOKUP(INDEX(INDIRECT($B$1&amp;"!"&amp;ADDRESS(8,COLUMN()+6,4)&amp;":"&amp;ADDRESS(73,COLUMN()+6,4)),MATCH($B46,INDIRECT($B$1&amp;"!$A$8:$A$73"),0)),CONFIG!$A$15:$B$40,2,FALSE)&amp;"","")</f>
        <v/>
      </c>
      <c r="H46" s="181">
        <f>IFERROR(VLOOKUP(INDEX(INDIRECT($B$1&amp;"!"&amp;ADDRESS(8,COLUMN()+6,4)&amp;":"&amp;ADDRESS(73,COLUMN()+6,4)),MATCH($B46,INDIRECT($B$1&amp;"!$A$8:$A$73"),0)),CONFIG!$A$15:$B$40,2,FALSE)&amp;"","")</f>
        <v/>
      </c>
      <c r="I46" s="181">
        <f>IFERROR(VLOOKUP(INDEX(INDIRECT($B$1&amp;"!"&amp;ADDRESS(8,COLUMN()+6,4)&amp;":"&amp;ADDRESS(73,COLUMN()+6,4)),MATCH($B46,INDIRECT($B$1&amp;"!$A$8:$A$73"),0)),CONFIG!$A$15:$B$40,2,FALSE)&amp;"","")</f>
        <v/>
      </c>
      <c r="J46" s="181">
        <f>IFERROR(VLOOKUP(INDEX(INDIRECT($B$1&amp;"!"&amp;ADDRESS(8,COLUMN()+6,4)&amp;":"&amp;ADDRESS(73,COLUMN()+6,4)),MATCH($B46,INDIRECT($B$1&amp;"!$A$8:$A$73"),0)),CONFIG!$A$15:$B$40,2,FALSE)&amp;"","")</f>
        <v/>
      </c>
      <c r="K46" s="181">
        <f>IFERROR(VLOOKUP(INDEX(INDIRECT($B$1&amp;"!"&amp;ADDRESS(8,COLUMN()+6,4)&amp;":"&amp;ADDRESS(73,COLUMN()+6,4)),MATCH($B46,INDIRECT($B$1&amp;"!$A$8:$A$73"),0)),CONFIG!$A$15:$B$40,2,FALSE)&amp;"","")</f>
        <v/>
      </c>
      <c r="L46" s="181">
        <f>IFERROR(VLOOKUP(INDEX(INDIRECT($B$1&amp;"!"&amp;ADDRESS(8,COLUMN()+6,4)&amp;":"&amp;ADDRESS(73,COLUMN()+6,4)),MATCH($B46,INDIRECT($B$1&amp;"!$A$8:$A$73"),0)),CONFIG!$A$15:$B$40,2,FALSE)&amp;"","")</f>
        <v/>
      </c>
      <c r="M46" s="181">
        <f>IFERROR(VLOOKUP(INDEX(INDIRECT($B$1&amp;"!"&amp;ADDRESS(8,COLUMN()+6,4)&amp;":"&amp;ADDRESS(73,COLUMN()+6,4)),MATCH($B46,INDIRECT($B$1&amp;"!$A$8:$A$73"),0)),CONFIG!$A$15:$B$40,2,FALSE)&amp;"","")</f>
        <v/>
      </c>
      <c r="N46" s="181">
        <f>IFERROR(VLOOKUP(INDEX(INDIRECT($B$1&amp;"!"&amp;ADDRESS(8,COLUMN()+6,4)&amp;":"&amp;ADDRESS(73,COLUMN()+6,4)),MATCH($B46,INDIRECT($B$1&amp;"!$A$8:$A$73"),0)),CONFIG!$A$15:$B$40,2,FALSE)&amp;"","")</f>
        <v/>
      </c>
      <c r="O46" s="181">
        <f>IFERROR(VLOOKUP(INDEX(INDIRECT($B$1&amp;"!"&amp;ADDRESS(8,COLUMN()+6,4)&amp;":"&amp;ADDRESS(73,COLUMN()+6,4)),MATCH($B46,INDIRECT($B$1&amp;"!$A$8:$A$73"),0)),CONFIG!$A$15:$B$40,2,FALSE)&amp;"","")</f>
        <v/>
      </c>
      <c r="P46" s="181">
        <f>IFERROR(VLOOKUP(INDEX(INDIRECT($B$1&amp;"!"&amp;ADDRESS(8,COLUMN()+6,4)&amp;":"&amp;ADDRESS(73,COLUMN()+6,4)),MATCH($B46,INDIRECT($B$1&amp;"!$A$8:$A$73"),0)),CONFIG!$A$15:$B$40,2,FALSE)&amp;"","")</f>
        <v/>
      </c>
      <c r="Q46" s="181">
        <f>IFERROR(VLOOKUP(INDEX(INDIRECT($B$1&amp;"!"&amp;ADDRESS(8,COLUMN()+6,4)&amp;":"&amp;ADDRESS(73,COLUMN()+6,4)),MATCH($B46,INDIRECT($B$1&amp;"!$A$8:$A$73"),0)),CONFIG!$A$15:$B$40,2,FALSE)&amp;"","")</f>
        <v/>
      </c>
      <c r="R46" s="181">
        <f>IFERROR(VLOOKUP(INDEX(INDIRECT($B$1&amp;"!"&amp;ADDRESS(8,COLUMN()+6,4)&amp;":"&amp;ADDRESS(73,COLUMN()+6,4)),MATCH($B46,INDIRECT($B$1&amp;"!$A$8:$A$73"),0)),CONFIG!$A$15:$B$40,2,FALSE)&amp;"","")</f>
        <v/>
      </c>
      <c r="S46" s="181">
        <f>IFERROR(VLOOKUP(INDEX(INDIRECT($B$1&amp;"!"&amp;ADDRESS(8,COLUMN()+6,4)&amp;":"&amp;ADDRESS(73,COLUMN()+6,4)),MATCH($B46,INDIRECT($B$1&amp;"!$A$8:$A$73"),0)),CONFIG!$A$15:$B$40,2,FALSE)&amp;"","")</f>
        <v/>
      </c>
      <c r="T46" s="181">
        <f>IFERROR(VLOOKUP(INDEX(INDIRECT($B$1&amp;"!"&amp;ADDRESS(8,COLUMN()+6,4)&amp;":"&amp;ADDRESS(73,COLUMN()+6,4)),MATCH($B46,INDIRECT($B$1&amp;"!$A$8:$A$73"),0)),CONFIG!$A$15:$B$40,2,FALSE)&amp;"","")</f>
        <v/>
      </c>
      <c r="U46" s="181">
        <f>IFERROR(VLOOKUP(INDEX(INDIRECT($B$1&amp;"!"&amp;ADDRESS(8,COLUMN()+6,4)&amp;":"&amp;ADDRESS(73,COLUMN()+6,4)),MATCH($B46,INDIRECT($B$1&amp;"!$A$8:$A$73"),0)),CONFIG!$A$15:$B$40,2,FALSE)&amp;"","")</f>
        <v/>
      </c>
      <c r="V46" s="181">
        <f>IFERROR(VLOOKUP(INDEX(INDIRECT($B$1&amp;"!"&amp;ADDRESS(8,COLUMN()+6,4)&amp;":"&amp;ADDRESS(73,COLUMN()+6,4)),MATCH($B46,INDIRECT($B$1&amp;"!$A$8:$A$73"),0)),CONFIG!$A$15:$B$40,2,FALSE)&amp;"","")</f>
        <v/>
      </c>
      <c r="W46" s="181">
        <f>IFERROR(VLOOKUP(INDEX(INDIRECT($B$1&amp;"!"&amp;ADDRESS(8,COLUMN()+6,4)&amp;":"&amp;ADDRESS(73,COLUMN()+6,4)),MATCH($B46,INDIRECT($B$1&amp;"!$A$8:$A$73"),0)),CONFIG!$A$15:$B$40,2,FALSE)&amp;"","")</f>
        <v/>
      </c>
      <c r="X46" s="181">
        <f>IFERROR(VLOOKUP(INDEX(INDIRECT($B$1&amp;"!"&amp;ADDRESS(8,COLUMN()+6,4)&amp;":"&amp;ADDRESS(73,COLUMN()+6,4)),MATCH($B46,INDIRECT($B$1&amp;"!$A$8:$A$73"),0)),CONFIG!$A$15:$B$40,2,FALSE)&amp;"","")</f>
        <v/>
      </c>
      <c r="Y46" s="181">
        <f>IFERROR(VLOOKUP(INDEX(INDIRECT($B$1&amp;"!"&amp;ADDRESS(8,COLUMN()+6,4)&amp;":"&amp;ADDRESS(73,COLUMN()+6,4)),MATCH($B46,INDIRECT($B$1&amp;"!$A$8:$A$73"),0)),CONFIG!$A$15:$B$40,2,FALSE)&amp;"","")</f>
        <v/>
      </c>
      <c r="Z46" s="181">
        <f>IFERROR(VLOOKUP(INDEX(INDIRECT($B$1&amp;"!"&amp;ADDRESS(8,COLUMN()+6,4)&amp;":"&amp;ADDRESS(73,COLUMN()+6,4)),MATCH($B46,INDIRECT($B$1&amp;"!$A$8:$A$73"),0)),CONFIG!$A$15:$B$40,2,FALSE)&amp;"","")</f>
        <v/>
      </c>
      <c r="AA46" s="181">
        <f>IFERROR(VLOOKUP(INDEX(INDIRECT($B$1&amp;"!"&amp;ADDRESS(8,COLUMN()+6,4)&amp;":"&amp;ADDRESS(73,COLUMN()+6,4)),MATCH($B46,INDIRECT($B$1&amp;"!$A$8:$A$73"),0)),CONFIG!$A$15:$B$40,2,FALSE)&amp;"","")</f>
        <v/>
      </c>
      <c r="AB46" s="181">
        <f>IFERROR(VLOOKUP(INDEX(INDIRECT($B$1&amp;"!"&amp;ADDRESS(8,COLUMN()+6,4)&amp;":"&amp;ADDRESS(73,COLUMN()+6,4)),MATCH($B46,INDIRECT($B$1&amp;"!$A$8:$A$73"),0)),CONFIG!$A$15:$B$40,2,FALSE)&amp;"","")</f>
        <v/>
      </c>
      <c r="AC46" s="181">
        <f>IFERROR(VLOOKUP(INDEX(INDIRECT($B$1&amp;"!"&amp;ADDRESS(8,COLUMN()+6,4)&amp;":"&amp;ADDRESS(73,COLUMN()+6,4)),MATCH($B46,INDIRECT($B$1&amp;"!$A$8:$A$73"),0)),CONFIG!$A$15:$B$40,2,FALSE)&amp;"","")</f>
        <v/>
      </c>
      <c r="AD46" s="181">
        <f>IFERROR(VLOOKUP(INDEX(INDIRECT($B$1&amp;"!"&amp;ADDRESS(8,COLUMN()+6,4)&amp;":"&amp;ADDRESS(73,COLUMN()+6,4)),MATCH($B46,INDIRECT($B$1&amp;"!$A$8:$A$73"),0)),CONFIG!$A$15:$B$40,2,FALSE)&amp;"","")</f>
        <v/>
      </c>
      <c r="AE46" s="181">
        <f>IFERROR(VLOOKUP(INDEX(INDIRECT($B$1&amp;"!"&amp;ADDRESS(8,COLUMN()+6,4)&amp;":"&amp;ADDRESS(73,COLUMN()+6,4)),MATCH($B46,INDIRECT($B$1&amp;"!$A$8:$A$73"),0)),CONFIG!$A$15:$B$40,2,FALSE)&amp;"","")</f>
        <v/>
      </c>
      <c r="AF46" s="181">
        <f>IFERROR(VLOOKUP(INDEX(INDIRECT($B$1&amp;"!"&amp;ADDRESS(8,COLUMN()+6,4)&amp;":"&amp;ADDRESS(73,COLUMN()+6,4)),MATCH($B46,INDIRECT($B$1&amp;"!$A$8:$A$73"),0)),CONFIG!$A$15:$B$40,2,FALSE)&amp;"","")</f>
        <v/>
      </c>
      <c r="AG46" s="181">
        <f>IFERROR(VLOOKUP(INDEX(INDIRECT($B$1&amp;"!"&amp;ADDRESS(8,COLUMN()+6,4)&amp;":"&amp;ADDRESS(73,COLUMN()+6,4)),MATCH($B46,INDIRECT($B$1&amp;"!$A$8:$A$73"),0)),CONFIG!$A$15:$B$40,2,FALSE)&amp;"","")</f>
        <v/>
      </c>
      <c r="AH46" s="181">
        <f>IFERROR(VLOOKUP(INDEX(INDIRECT($B$1&amp;"!"&amp;ADDRESS(8,COLUMN()+6,4)&amp;":"&amp;ADDRESS(73,COLUMN()+6,4)),MATCH($B46,INDIRECT($B$1&amp;"!$A$8:$A$73"),0)),CONFIG!$A$15:$B$40,2,FALSE)&amp;"","")</f>
        <v/>
      </c>
      <c r="AI46" s="39" t="n"/>
    </row>
    <row r="47">
      <c r="A47" s="179" t="inlineStr">
        <is>
          <t>Grayce Maya</t>
        </is>
      </c>
      <c r="B47" s="180" t="inlineStr">
        <is>
          <t>Grayce</t>
        </is>
      </c>
      <c r="C47" s="181">
        <f>IFERROR(VLOOKUP(INDEX(INDIRECT($B$1&amp;"!"&amp;ADDRESS(8,COLUMN()+6,4)&amp;":"&amp;ADDRESS(73,COLUMN()+6,4)),MATCH($B47,INDIRECT($B$1&amp;"!$A$8:$A$73"),0)),CONFIG!$A$15:$B$40,2,FALSE)&amp;"","")</f>
        <v/>
      </c>
      <c r="D47" s="181">
        <f>IFERROR(VLOOKUP(INDEX(INDIRECT($B$1&amp;"!"&amp;ADDRESS(8,COLUMN()+6,4)&amp;":"&amp;ADDRESS(73,COLUMN()+6,4)),MATCH($B47,INDIRECT($B$1&amp;"!$A$8:$A$73"),0)),CONFIG!$A$15:$B$40,2,FALSE)&amp;"","")</f>
        <v/>
      </c>
      <c r="E47" s="181">
        <f>IFERROR(VLOOKUP(INDEX(INDIRECT($B$1&amp;"!"&amp;ADDRESS(8,COLUMN()+6,4)&amp;":"&amp;ADDRESS(73,COLUMN()+6,4)),MATCH($B47,INDIRECT($B$1&amp;"!$A$8:$A$73"),0)),CONFIG!$A$15:$B$40,2,FALSE)&amp;"","")</f>
        <v/>
      </c>
      <c r="F47" s="181">
        <f>IFERROR(VLOOKUP(INDEX(INDIRECT($B$1&amp;"!"&amp;ADDRESS(8,COLUMN()+6,4)&amp;":"&amp;ADDRESS(73,COLUMN()+6,4)),MATCH($B47,INDIRECT($B$1&amp;"!$A$8:$A$73"),0)),CONFIG!$A$15:$B$40,2,FALSE)&amp;"","")</f>
        <v/>
      </c>
      <c r="G47" s="181">
        <f>IFERROR(VLOOKUP(INDEX(INDIRECT($B$1&amp;"!"&amp;ADDRESS(8,COLUMN()+6,4)&amp;":"&amp;ADDRESS(73,COLUMN()+6,4)),MATCH($B47,INDIRECT($B$1&amp;"!$A$8:$A$73"),0)),CONFIG!$A$15:$B$40,2,FALSE)&amp;"","")</f>
        <v/>
      </c>
      <c r="H47" s="181">
        <f>IFERROR(VLOOKUP(INDEX(INDIRECT($B$1&amp;"!"&amp;ADDRESS(8,COLUMN()+6,4)&amp;":"&amp;ADDRESS(73,COLUMN()+6,4)),MATCH($B47,INDIRECT($B$1&amp;"!$A$8:$A$73"),0)),CONFIG!$A$15:$B$40,2,FALSE)&amp;"","")</f>
        <v/>
      </c>
      <c r="I47" s="181">
        <f>IFERROR(VLOOKUP(INDEX(INDIRECT($B$1&amp;"!"&amp;ADDRESS(8,COLUMN()+6,4)&amp;":"&amp;ADDRESS(73,COLUMN()+6,4)),MATCH($B47,INDIRECT($B$1&amp;"!$A$8:$A$73"),0)),CONFIG!$A$15:$B$40,2,FALSE)&amp;"","")</f>
        <v/>
      </c>
      <c r="J47" s="181">
        <f>IFERROR(VLOOKUP(INDEX(INDIRECT($B$1&amp;"!"&amp;ADDRESS(8,COLUMN()+6,4)&amp;":"&amp;ADDRESS(73,COLUMN()+6,4)),MATCH($B47,INDIRECT($B$1&amp;"!$A$8:$A$73"),0)),CONFIG!$A$15:$B$40,2,FALSE)&amp;"","")</f>
        <v/>
      </c>
      <c r="K47" s="181">
        <f>IFERROR(VLOOKUP(INDEX(INDIRECT($B$1&amp;"!"&amp;ADDRESS(8,COLUMN()+6,4)&amp;":"&amp;ADDRESS(73,COLUMN()+6,4)),MATCH($B47,INDIRECT($B$1&amp;"!$A$8:$A$73"),0)),CONFIG!$A$15:$B$40,2,FALSE)&amp;"","")</f>
        <v/>
      </c>
      <c r="L47" s="181">
        <f>IFERROR(VLOOKUP(INDEX(INDIRECT($B$1&amp;"!"&amp;ADDRESS(8,COLUMN()+6,4)&amp;":"&amp;ADDRESS(73,COLUMN()+6,4)),MATCH($B47,INDIRECT($B$1&amp;"!$A$8:$A$73"),0)),CONFIG!$A$15:$B$40,2,FALSE)&amp;"","")</f>
        <v/>
      </c>
      <c r="M47" s="181">
        <f>IFERROR(VLOOKUP(INDEX(INDIRECT($B$1&amp;"!"&amp;ADDRESS(8,COLUMN()+6,4)&amp;":"&amp;ADDRESS(73,COLUMN()+6,4)),MATCH($B47,INDIRECT($B$1&amp;"!$A$8:$A$73"),0)),CONFIG!$A$15:$B$40,2,FALSE)&amp;"","")</f>
        <v/>
      </c>
      <c r="N47" s="181">
        <f>IFERROR(VLOOKUP(INDEX(INDIRECT($B$1&amp;"!"&amp;ADDRESS(8,COLUMN()+6,4)&amp;":"&amp;ADDRESS(73,COLUMN()+6,4)),MATCH($B47,INDIRECT($B$1&amp;"!$A$8:$A$73"),0)),CONFIG!$A$15:$B$40,2,FALSE)&amp;"","")</f>
        <v/>
      </c>
      <c r="O47" s="181">
        <f>IFERROR(VLOOKUP(INDEX(INDIRECT($B$1&amp;"!"&amp;ADDRESS(8,COLUMN()+6,4)&amp;":"&amp;ADDRESS(73,COLUMN()+6,4)),MATCH($B47,INDIRECT($B$1&amp;"!$A$8:$A$73"),0)),CONFIG!$A$15:$B$40,2,FALSE)&amp;"","")</f>
        <v/>
      </c>
      <c r="P47" s="181">
        <f>IFERROR(VLOOKUP(INDEX(INDIRECT($B$1&amp;"!"&amp;ADDRESS(8,COLUMN()+6,4)&amp;":"&amp;ADDRESS(73,COLUMN()+6,4)),MATCH($B47,INDIRECT($B$1&amp;"!$A$8:$A$73"),0)),CONFIG!$A$15:$B$40,2,FALSE)&amp;"","")</f>
        <v/>
      </c>
      <c r="Q47" s="181">
        <f>IFERROR(VLOOKUP(INDEX(INDIRECT($B$1&amp;"!"&amp;ADDRESS(8,COLUMN()+6,4)&amp;":"&amp;ADDRESS(73,COLUMN()+6,4)),MATCH($B47,INDIRECT($B$1&amp;"!$A$8:$A$73"),0)),CONFIG!$A$15:$B$40,2,FALSE)&amp;"","")</f>
        <v/>
      </c>
      <c r="R47" s="181">
        <f>IFERROR(VLOOKUP(INDEX(INDIRECT($B$1&amp;"!"&amp;ADDRESS(8,COLUMN()+6,4)&amp;":"&amp;ADDRESS(73,COLUMN()+6,4)),MATCH($B47,INDIRECT($B$1&amp;"!$A$8:$A$73"),0)),CONFIG!$A$15:$B$40,2,FALSE)&amp;"","")</f>
        <v/>
      </c>
      <c r="S47" s="181">
        <f>IFERROR(VLOOKUP(INDEX(INDIRECT($B$1&amp;"!"&amp;ADDRESS(8,COLUMN()+6,4)&amp;":"&amp;ADDRESS(73,COLUMN()+6,4)),MATCH($B47,INDIRECT($B$1&amp;"!$A$8:$A$73"),0)),CONFIG!$A$15:$B$40,2,FALSE)&amp;"","")</f>
        <v/>
      </c>
      <c r="T47" s="181">
        <f>IFERROR(VLOOKUP(INDEX(INDIRECT($B$1&amp;"!"&amp;ADDRESS(8,COLUMN()+6,4)&amp;":"&amp;ADDRESS(73,COLUMN()+6,4)),MATCH($B47,INDIRECT($B$1&amp;"!$A$8:$A$73"),0)),CONFIG!$A$15:$B$40,2,FALSE)&amp;"","")</f>
        <v/>
      </c>
      <c r="U47" s="181">
        <f>IFERROR(VLOOKUP(INDEX(INDIRECT($B$1&amp;"!"&amp;ADDRESS(8,COLUMN()+6,4)&amp;":"&amp;ADDRESS(73,COLUMN()+6,4)),MATCH($B47,INDIRECT($B$1&amp;"!$A$8:$A$73"),0)),CONFIG!$A$15:$B$40,2,FALSE)&amp;"","")</f>
        <v/>
      </c>
      <c r="V47" s="181">
        <f>IFERROR(VLOOKUP(INDEX(INDIRECT($B$1&amp;"!"&amp;ADDRESS(8,COLUMN()+6,4)&amp;":"&amp;ADDRESS(73,COLUMN()+6,4)),MATCH($B47,INDIRECT($B$1&amp;"!$A$8:$A$73"),0)),CONFIG!$A$15:$B$40,2,FALSE)&amp;"","")</f>
        <v/>
      </c>
      <c r="W47" s="181">
        <f>IFERROR(VLOOKUP(INDEX(INDIRECT($B$1&amp;"!"&amp;ADDRESS(8,COLUMN()+6,4)&amp;":"&amp;ADDRESS(73,COLUMN()+6,4)),MATCH($B47,INDIRECT($B$1&amp;"!$A$8:$A$73"),0)),CONFIG!$A$15:$B$40,2,FALSE)&amp;"","")</f>
        <v/>
      </c>
      <c r="X47" s="181">
        <f>IFERROR(VLOOKUP(INDEX(INDIRECT($B$1&amp;"!"&amp;ADDRESS(8,COLUMN()+6,4)&amp;":"&amp;ADDRESS(73,COLUMN()+6,4)),MATCH($B47,INDIRECT($B$1&amp;"!$A$8:$A$73"),0)),CONFIG!$A$15:$B$40,2,FALSE)&amp;"","")</f>
        <v/>
      </c>
      <c r="Y47" s="181">
        <f>IFERROR(VLOOKUP(INDEX(INDIRECT($B$1&amp;"!"&amp;ADDRESS(8,COLUMN()+6,4)&amp;":"&amp;ADDRESS(73,COLUMN()+6,4)),MATCH($B47,INDIRECT($B$1&amp;"!$A$8:$A$73"),0)),CONFIG!$A$15:$B$40,2,FALSE)&amp;"","")</f>
        <v/>
      </c>
      <c r="Z47" s="181">
        <f>IFERROR(VLOOKUP(INDEX(INDIRECT($B$1&amp;"!"&amp;ADDRESS(8,COLUMN()+6,4)&amp;":"&amp;ADDRESS(73,COLUMN()+6,4)),MATCH($B47,INDIRECT($B$1&amp;"!$A$8:$A$73"),0)),CONFIG!$A$15:$B$40,2,FALSE)&amp;"","")</f>
        <v/>
      </c>
      <c r="AA47" s="181">
        <f>IFERROR(VLOOKUP(INDEX(INDIRECT($B$1&amp;"!"&amp;ADDRESS(8,COLUMN()+6,4)&amp;":"&amp;ADDRESS(73,COLUMN()+6,4)),MATCH($B47,INDIRECT($B$1&amp;"!$A$8:$A$73"),0)),CONFIG!$A$15:$B$40,2,FALSE)&amp;"","")</f>
        <v/>
      </c>
      <c r="AB47" s="181">
        <f>IFERROR(VLOOKUP(INDEX(INDIRECT($B$1&amp;"!"&amp;ADDRESS(8,COLUMN()+6,4)&amp;":"&amp;ADDRESS(73,COLUMN()+6,4)),MATCH($B47,INDIRECT($B$1&amp;"!$A$8:$A$73"),0)),CONFIG!$A$15:$B$40,2,FALSE)&amp;"","")</f>
        <v/>
      </c>
      <c r="AC47" s="181">
        <f>IFERROR(VLOOKUP(INDEX(INDIRECT($B$1&amp;"!"&amp;ADDRESS(8,COLUMN()+6,4)&amp;":"&amp;ADDRESS(73,COLUMN()+6,4)),MATCH($B47,INDIRECT($B$1&amp;"!$A$8:$A$73"),0)),CONFIG!$A$15:$B$40,2,FALSE)&amp;"","")</f>
        <v/>
      </c>
      <c r="AD47" s="181">
        <f>IFERROR(VLOOKUP(INDEX(INDIRECT($B$1&amp;"!"&amp;ADDRESS(8,COLUMN()+6,4)&amp;":"&amp;ADDRESS(73,COLUMN()+6,4)),MATCH($B47,INDIRECT($B$1&amp;"!$A$8:$A$73"),0)),CONFIG!$A$15:$B$40,2,FALSE)&amp;"","")</f>
        <v/>
      </c>
      <c r="AE47" s="181">
        <f>IFERROR(VLOOKUP(INDEX(INDIRECT($B$1&amp;"!"&amp;ADDRESS(8,COLUMN()+6,4)&amp;":"&amp;ADDRESS(73,COLUMN()+6,4)),MATCH($B47,INDIRECT($B$1&amp;"!$A$8:$A$73"),0)),CONFIG!$A$15:$B$40,2,FALSE)&amp;"","")</f>
        <v/>
      </c>
      <c r="AF47" s="181">
        <f>IFERROR(VLOOKUP(INDEX(INDIRECT($B$1&amp;"!"&amp;ADDRESS(8,COLUMN()+6,4)&amp;":"&amp;ADDRESS(73,COLUMN()+6,4)),MATCH($B47,INDIRECT($B$1&amp;"!$A$8:$A$73"),0)),CONFIG!$A$15:$B$40,2,FALSE)&amp;"","")</f>
        <v/>
      </c>
      <c r="AG47" s="181">
        <f>IFERROR(VLOOKUP(INDEX(INDIRECT($B$1&amp;"!"&amp;ADDRESS(8,COLUMN()+6,4)&amp;":"&amp;ADDRESS(73,COLUMN()+6,4)),MATCH($B47,INDIRECT($B$1&amp;"!$A$8:$A$73"),0)),CONFIG!$A$15:$B$40,2,FALSE)&amp;"","")</f>
        <v/>
      </c>
      <c r="AH47" s="181">
        <f>IFERROR(VLOOKUP(INDEX(INDIRECT($B$1&amp;"!"&amp;ADDRESS(8,COLUMN()+6,4)&amp;":"&amp;ADDRESS(73,COLUMN()+6,4)),MATCH($B47,INDIRECT($B$1&amp;"!$A$8:$A$73"),0)),CONFIG!$A$15:$B$40,2,FALSE)&amp;"","")</f>
        <v/>
      </c>
      <c r="AI47" s="39" t="n"/>
    </row>
    <row r="48">
      <c r="A48" s="179" t="inlineStr">
        <is>
          <t>Heloa</t>
        </is>
      </c>
      <c r="B48" s="180" t="inlineStr">
        <is>
          <t>Heloa</t>
        </is>
      </c>
      <c r="C48" s="181">
        <f>IFERROR(VLOOKUP(INDEX(INDIRECT($B$1&amp;"!"&amp;ADDRESS(8,COLUMN()+6,4)&amp;":"&amp;ADDRESS(73,COLUMN()+6,4)),MATCH($B48,INDIRECT($B$1&amp;"!$A$8:$A$73"),0)),CONFIG!$A$15:$B$40,2,FALSE)&amp;"","")</f>
        <v/>
      </c>
      <c r="D48" s="181">
        <f>IFERROR(VLOOKUP(INDEX(INDIRECT($B$1&amp;"!"&amp;ADDRESS(8,COLUMN()+6,4)&amp;":"&amp;ADDRESS(73,COLUMN()+6,4)),MATCH($B48,INDIRECT($B$1&amp;"!$A$8:$A$73"),0)),CONFIG!$A$15:$B$40,2,FALSE)&amp;"","")</f>
        <v/>
      </c>
      <c r="E48" s="181">
        <f>IFERROR(VLOOKUP(INDEX(INDIRECT($B$1&amp;"!"&amp;ADDRESS(8,COLUMN()+6,4)&amp;":"&amp;ADDRESS(73,COLUMN()+6,4)),MATCH($B48,INDIRECT($B$1&amp;"!$A$8:$A$73"),0)),CONFIG!$A$15:$B$40,2,FALSE)&amp;"","")</f>
        <v/>
      </c>
      <c r="F48" s="181">
        <f>IFERROR(VLOOKUP(INDEX(INDIRECT($B$1&amp;"!"&amp;ADDRESS(8,COLUMN()+6,4)&amp;":"&amp;ADDRESS(73,COLUMN()+6,4)),MATCH($B48,INDIRECT($B$1&amp;"!$A$8:$A$73"),0)),CONFIG!$A$15:$B$40,2,FALSE)&amp;"","")</f>
        <v/>
      </c>
      <c r="G48" s="181">
        <f>IFERROR(VLOOKUP(INDEX(INDIRECT($B$1&amp;"!"&amp;ADDRESS(8,COLUMN()+6,4)&amp;":"&amp;ADDRESS(73,COLUMN()+6,4)),MATCH($B48,INDIRECT($B$1&amp;"!$A$8:$A$73"),0)),CONFIG!$A$15:$B$40,2,FALSE)&amp;"","")</f>
        <v/>
      </c>
      <c r="H48" s="181">
        <f>IFERROR(VLOOKUP(INDEX(INDIRECT($B$1&amp;"!"&amp;ADDRESS(8,COLUMN()+6,4)&amp;":"&amp;ADDRESS(73,COLUMN()+6,4)),MATCH($B48,INDIRECT($B$1&amp;"!$A$8:$A$73"),0)),CONFIG!$A$15:$B$40,2,FALSE)&amp;"","")</f>
        <v/>
      </c>
      <c r="I48" s="181">
        <f>IFERROR(VLOOKUP(INDEX(INDIRECT($B$1&amp;"!"&amp;ADDRESS(8,COLUMN()+6,4)&amp;":"&amp;ADDRESS(73,COLUMN()+6,4)),MATCH($B48,INDIRECT($B$1&amp;"!$A$8:$A$73"),0)),CONFIG!$A$15:$B$40,2,FALSE)&amp;"","")</f>
        <v/>
      </c>
      <c r="J48" s="181">
        <f>IFERROR(VLOOKUP(INDEX(INDIRECT($B$1&amp;"!"&amp;ADDRESS(8,COLUMN()+6,4)&amp;":"&amp;ADDRESS(73,COLUMN()+6,4)),MATCH($B48,INDIRECT($B$1&amp;"!$A$8:$A$73"),0)),CONFIG!$A$15:$B$40,2,FALSE)&amp;"","")</f>
        <v/>
      </c>
      <c r="K48" s="181">
        <f>IFERROR(VLOOKUP(INDEX(INDIRECT($B$1&amp;"!"&amp;ADDRESS(8,COLUMN()+6,4)&amp;":"&amp;ADDRESS(73,COLUMN()+6,4)),MATCH($B48,INDIRECT($B$1&amp;"!$A$8:$A$73"),0)),CONFIG!$A$15:$B$40,2,FALSE)&amp;"","")</f>
        <v/>
      </c>
      <c r="L48" s="181">
        <f>IFERROR(VLOOKUP(INDEX(INDIRECT($B$1&amp;"!"&amp;ADDRESS(8,COLUMN()+6,4)&amp;":"&amp;ADDRESS(73,COLUMN()+6,4)),MATCH($B48,INDIRECT($B$1&amp;"!$A$8:$A$73"),0)),CONFIG!$A$15:$B$40,2,FALSE)&amp;"","")</f>
        <v/>
      </c>
      <c r="M48" s="181">
        <f>IFERROR(VLOOKUP(INDEX(INDIRECT($B$1&amp;"!"&amp;ADDRESS(8,COLUMN()+6,4)&amp;":"&amp;ADDRESS(73,COLUMN()+6,4)),MATCH($B48,INDIRECT($B$1&amp;"!$A$8:$A$73"),0)),CONFIG!$A$15:$B$40,2,FALSE)&amp;"","")</f>
        <v/>
      </c>
      <c r="N48" s="181">
        <f>IFERROR(VLOOKUP(INDEX(INDIRECT($B$1&amp;"!"&amp;ADDRESS(8,COLUMN()+6,4)&amp;":"&amp;ADDRESS(73,COLUMN()+6,4)),MATCH($B48,INDIRECT($B$1&amp;"!$A$8:$A$73"),0)),CONFIG!$A$15:$B$40,2,FALSE)&amp;"","")</f>
        <v/>
      </c>
      <c r="O48" s="181">
        <f>IFERROR(VLOOKUP(INDEX(INDIRECT($B$1&amp;"!"&amp;ADDRESS(8,COLUMN()+6,4)&amp;":"&amp;ADDRESS(73,COLUMN()+6,4)),MATCH($B48,INDIRECT($B$1&amp;"!$A$8:$A$73"),0)),CONFIG!$A$15:$B$40,2,FALSE)&amp;"","")</f>
        <v/>
      </c>
      <c r="P48" s="181">
        <f>IFERROR(VLOOKUP(INDEX(INDIRECT($B$1&amp;"!"&amp;ADDRESS(8,COLUMN()+6,4)&amp;":"&amp;ADDRESS(73,COLUMN()+6,4)),MATCH($B48,INDIRECT($B$1&amp;"!$A$8:$A$73"),0)),CONFIG!$A$15:$B$40,2,FALSE)&amp;"","")</f>
        <v/>
      </c>
      <c r="Q48" s="181">
        <f>IFERROR(VLOOKUP(INDEX(INDIRECT($B$1&amp;"!"&amp;ADDRESS(8,COLUMN()+6,4)&amp;":"&amp;ADDRESS(73,COLUMN()+6,4)),MATCH($B48,INDIRECT($B$1&amp;"!$A$8:$A$73"),0)),CONFIG!$A$15:$B$40,2,FALSE)&amp;"","")</f>
        <v/>
      </c>
      <c r="R48" s="181">
        <f>IFERROR(VLOOKUP(INDEX(INDIRECT($B$1&amp;"!"&amp;ADDRESS(8,COLUMN()+6,4)&amp;":"&amp;ADDRESS(73,COLUMN()+6,4)),MATCH($B48,INDIRECT($B$1&amp;"!$A$8:$A$73"),0)),CONFIG!$A$15:$B$40,2,FALSE)&amp;"","")</f>
        <v/>
      </c>
      <c r="S48" s="181">
        <f>IFERROR(VLOOKUP(INDEX(INDIRECT($B$1&amp;"!"&amp;ADDRESS(8,COLUMN()+6,4)&amp;":"&amp;ADDRESS(73,COLUMN()+6,4)),MATCH($B48,INDIRECT($B$1&amp;"!$A$8:$A$73"),0)),CONFIG!$A$15:$B$40,2,FALSE)&amp;"","")</f>
        <v/>
      </c>
      <c r="T48" s="181">
        <f>IFERROR(VLOOKUP(INDEX(INDIRECT($B$1&amp;"!"&amp;ADDRESS(8,COLUMN()+6,4)&amp;":"&amp;ADDRESS(73,COLUMN()+6,4)),MATCH($B48,INDIRECT($B$1&amp;"!$A$8:$A$73"),0)),CONFIG!$A$15:$B$40,2,FALSE)&amp;"","")</f>
        <v/>
      </c>
      <c r="U48" s="181">
        <f>IFERROR(VLOOKUP(INDEX(INDIRECT($B$1&amp;"!"&amp;ADDRESS(8,COLUMN()+6,4)&amp;":"&amp;ADDRESS(73,COLUMN()+6,4)),MATCH($B48,INDIRECT($B$1&amp;"!$A$8:$A$73"),0)),CONFIG!$A$15:$B$40,2,FALSE)&amp;"","")</f>
        <v/>
      </c>
      <c r="V48" s="181">
        <f>IFERROR(VLOOKUP(INDEX(INDIRECT($B$1&amp;"!"&amp;ADDRESS(8,COLUMN()+6,4)&amp;":"&amp;ADDRESS(73,COLUMN()+6,4)),MATCH($B48,INDIRECT($B$1&amp;"!$A$8:$A$73"),0)),CONFIG!$A$15:$B$40,2,FALSE)&amp;"","")</f>
        <v/>
      </c>
      <c r="W48" s="181">
        <f>IFERROR(VLOOKUP(INDEX(INDIRECT($B$1&amp;"!"&amp;ADDRESS(8,COLUMN()+6,4)&amp;":"&amp;ADDRESS(73,COLUMN()+6,4)),MATCH($B48,INDIRECT($B$1&amp;"!$A$8:$A$73"),0)),CONFIG!$A$15:$B$40,2,FALSE)&amp;"","")</f>
        <v/>
      </c>
      <c r="X48" s="181">
        <f>IFERROR(VLOOKUP(INDEX(INDIRECT($B$1&amp;"!"&amp;ADDRESS(8,COLUMN()+6,4)&amp;":"&amp;ADDRESS(73,COLUMN()+6,4)),MATCH($B48,INDIRECT($B$1&amp;"!$A$8:$A$73"),0)),CONFIG!$A$15:$B$40,2,FALSE)&amp;"","")</f>
        <v/>
      </c>
      <c r="Y48" s="181">
        <f>IFERROR(VLOOKUP(INDEX(INDIRECT($B$1&amp;"!"&amp;ADDRESS(8,COLUMN()+6,4)&amp;":"&amp;ADDRESS(73,COLUMN()+6,4)),MATCH($B48,INDIRECT($B$1&amp;"!$A$8:$A$73"),0)),CONFIG!$A$15:$B$40,2,FALSE)&amp;"","")</f>
        <v/>
      </c>
      <c r="Z48" s="181">
        <f>IFERROR(VLOOKUP(INDEX(INDIRECT($B$1&amp;"!"&amp;ADDRESS(8,COLUMN()+6,4)&amp;":"&amp;ADDRESS(73,COLUMN()+6,4)),MATCH($B48,INDIRECT($B$1&amp;"!$A$8:$A$73"),0)),CONFIG!$A$15:$B$40,2,FALSE)&amp;"","")</f>
        <v/>
      </c>
      <c r="AA48" s="181">
        <f>IFERROR(VLOOKUP(INDEX(INDIRECT($B$1&amp;"!"&amp;ADDRESS(8,COLUMN()+6,4)&amp;":"&amp;ADDRESS(73,COLUMN()+6,4)),MATCH($B48,INDIRECT($B$1&amp;"!$A$8:$A$73"),0)),CONFIG!$A$15:$B$40,2,FALSE)&amp;"","")</f>
        <v/>
      </c>
      <c r="AB48" s="181">
        <f>IFERROR(VLOOKUP(INDEX(INDIRECT($B$1&amp;"!"&amp;ADDRESS(8,COLUMN()+6,4)&amp;":"&amp;ADDRESS(73,COLUMN()+6,4)),MATCH($B48,INDIRECT($B$1&amp;"!$A$8:$A$73"),0)),CONFIG!$A$15:$B$40,2,FALSE)&amp;"","")</f>
        <v/>
      </c>
      <c r="AC48" s="181">
        <f>IFERROR(VLOOKUP(INDEX(INDIRECT($B$1&amp;"!"&amp;ADDRESS(8,COLUMN()+6,4)&amp;":"&amp;ADDRESS(73,COLUMN()+6,4)),MATCH($B48,INDIRECT($B$1&amp;"!$A$8:$A$73"),0)),CONFIG!$A$15:$B$40,2,FALSE)&amp;"","")</f>
        <v/>
      </c>
      <c r="AD48" s="181">
        <f>IFERROR(VLOOKUP(INDEX(INDIRECT($B$1&amp;"!"&amp;ADDRESS(8,COLUMN()+6,4)&amp;":"&amp;ADDRESS(73,COLUMN()+6,4)),MATCH($B48,INDIRECT($B$1&amp;"!$A$8:$A$73"),0)),CONFIG!$A$15:$B$40,2,FALSE)&amp;"","")</f>
        <v/>
      </c>
      <c r="AE48" s="181">
        <f>IFERROR(VLOOKUP(INDEX(INDIRECT($B$1&amp;"!"&amp;ADDRESS(8,COLUMN()+6,4)&amp;":"&amp;ADDRESS(73,COLUMN()+6,4)),MATCH($B48,INDIRECT($B$1&amp;"!$A$8:$A$73"),0)),CONFIG!$A$15:$B$40,2,FALSE)&amp;"","")</f>
        <v/>
      </c>
      <c r="AF48" s="181">
        <f>IFERROR(VLOOKUP(INDEX(INDIRECT($B$1&amp;"!"&amp;ADDRESS(8,COLUMN()+6,4)&amp;":"&amp;ADDRESS(73,COLUMN()+6,4)),MATCH($B48,INDIRECT($B$1&amp;"!$A$8:$A$73"),0)),CONFIG!$A$15:$B$40,2,FALSE)&amp;"","")</f>
        <v/>
      </c>
      <c r="AG48" s="181">
        <f>IFERROR(VLOOKUP(INDEX(INDIRECT($B$1&amp;"!"&amp;ADDRESS(8,COLUMN()+6,4)&amp;":"&amp;ADDRESS(73,COLUMN()+6,4)),MATCH($B48,INDIRECT($B$1&amp;"!$A$8:$A$73"),0)),CONFIG!$A$15:$B$40,2,FALSE)&amp;"","")</f>
        <v/>
      </c>
      <c r="AH48" s="181">
        <f>IFERROR(VLOOKUP(INDEX(INDIRECT($B$1&amp;"!"&amp;ADDRESS(8,COLUMN()+6,4)&amp;":"&amp;ADDRESS(73,COLUMN()+6,4)),MATCH($B48,INDIRECT($B$1&amp;"!$A$8:$A$73"),0)),CONFIG!$A$15:$B$40,2,FALSE)&amp;"","")</f>
        <v/>
      </c>
      <c r="AI48" s="39" t="n"/>
    </row>
    <row r="49">
      <c r="A49" s="179" t="inlineStr">
        <is>
          <t>Iggor Almeida</t>
        </is>
      </c>
      <c r="B49" s="180" t="inlineStr">
        <is>
          <t>Iggor</t>
        </is>
      </c>
      <c r="C49" s="181">
        <f>IFERROR(VLOOKUP(INDEX(INDIRECT($B$1&amp;"!"&amp;ADDRESS(8,COLUMN()+6,4)&amp;":"&amp;ADDRESS(73,COLUMN()+6,4)),MATCH($B49,INDIRECT($B$1&amp;"!$A$8:$A$73"),0)),CONFIG!$A$15:$B$40,2,FALSE)&amp;"","")</f>
        <v/>
      </c>
      <c r="D49" s="181">
        <f>IFERROR(VLOOKUP(INDEX(INDIRECT($B$1&amp;"!"&amp;ADDRESS(8,COLUMN()+6,4)&amp;":"&amp;ADDRESS(73,COLUMN()+6,4)),MATCH($B49,INDIRECT($B$1&amp;"!$A$8:$A$73"),0)),CONFIG!$A$15:$B$40,2,FALSE)&amp;"","")</f>
        <v/>
      </c>
      <c r="E49" s="181">
        <f>IFERROR(VLOOKUP(INDEX(INDIRECT($B$1&amp;"!"&amp;ADDRESS(8,COLUMN()+6,4)&amp;":"&amp;ADDRESS(73,COLUMN()+6,4)),MATCH($B49,INDIRECT($B$1&amp;"!$A$8:$A$73"),0)),CONFIG!$A$15:$B$40,2,FALSE)&amp;"","")</f>
        <v/>
      </c>
      <c r="F49" s="181">
        <f>IFERROR(VLOOKUP(INDEX(INDIRECT($B$1&amp;"!"&amp;ADDRESS(8,COLUMN()+6,4)&amp;":"&amp;ADDRESS(73,COLUMN()+6,4)),MATCH($B49,INDIRECT($B$1&amp;"!$A$8:$A$73"),0)),CONFIG!$A$15:$B$40,2,FALSE)&amp;"","")</f>
        <v/>
      </c>
      <c r="G49" s="181">
        <f>IFERROR(VLOOKUP(INDEX(INDIRECT($B$1&amp;"!"&amp;ADDRESS(8,COLUMN()+6,4)&amp;":"&amp;ADDRESS(73,COLUMN()+6,4)),MATCH($B49,INDIRECT($B$1&amp;"!$A$8:$A$73"),0)),CONFIG!$A$15:$B$40,2,FALSE)&amp;"","")</f>
        <v/>
      </c>
      <c r="H49" s="181">
        <f>IFERROR(VLOOKUP(INDEX(INDIRECT($B$1&amp;"!"&amp;ADDRESS(8,COLUMN()+6,4)&amp;":"&amp;ADDRESS(73,COLUMN()+6,4)),MATCH($B49,INDIRECT($B$1&amp;"!$A$8:$A$73"),0)),CONFIG!$A$15:$B$40,2,FALSE)&amp;"","")</f>
        <v/>
      </c>
      <c r="I49" s="181">
        <f>IFERROR(VLOOKUP(INDEX(INDIRECT($B$1&amp;"!"&amp;ADDRESS(8,COLUMN()+6,4)&amp;":"&amp;ADDRESS(73,COLUMN()+6,4)),MATCH($B49,INDIRECT($B$1&amp;"!$A$8:$A$73"),0)),CONFIG!$A$15:$B$40,2,FALSE)&amp;"","")</f>
        <v/>
      </c>
      <c r="J49" s="181">
        <f>IFERROR(VLOOKUP(INDEX(INDIRECT($B$1&amp;"!"&amp;ADDRESS(8,COLUMN()+6,4)&amp;":"&amp;ADDRESS(73,COLUMN()+6,4)),MATCH($B49,INDIRECT($B$1&amp;"!$A$8:$A$73"),0)),CONFIG!$A$15:$B$40,2,FALSE)&amp;"","")</f>
        <v/>
      </c>
      <c r="K49" s="181">
        <f>IFERROR(VLOOKUP(INDEX(INDIRECT($B$1&amp;"!"&amp;ADDRESS(8,COLUMN()+6,4)&amp;":"&amp;ADDRESS(73,COLUMN()+6,4)),MATCH($B49,INDIRECT($B$1&amp;"!$A$8:$A$73"),0)),CONFIG!$A$15:$B$40,2,FALSE)&amp;"","")</f>
        <v/>
      </c>
      <c r="L49" s="181">
        <f>IFERROR(VLOOKUP(INDEX(INDIRECT($B$1&amp;"!"&amp;ADDRESS(8,COLUMN()+6,4)&amp;":"&amp;ADDRESS(73,COLUMN()+6,4)),MATCH($B49,INDIRECT($B$1&amp;"!$A$8:$A$73"),0)),CONFIG!$A$15:$B$40,2,FALSE)&amp;"","")</f>
        <v/>
      </c>
      <c r="M49" s="181">
        <f>IFERROR(VLOOKUP(INDEX(INDIRECT($B$1&amp;"!"&amp;ADDRESS(8,COLUMN()+6,4)&amp;":"&amp;ADDRESS(73,COLUMN()+6,4)),MATCH($B49,INDIRECT($B$1&amp;"!$A$8:$A$73"),0)),CONFIG!$A$15:$B$40,2,FALSE)&amp;"","")</f>
        <v/>
      </c>
      <c r="N49" s="181">
        <f>IFERROR(VLOOKUP(INDEX(INDIRECT($B$1&amp;"!"&amp;ADDRESS(8,COLUMN()+6,4)&amp;":"&amp;ADDRESS(73,COLUMN()+6,4)),MATCH($B49,INDIRECT($B$1&amp;"!$A$8:$A$73"),0)),CONFIG!$A$15:$B$40,2,FALSE)&amp;"","")</f>
        <v/>
      </c>
      <c r="O49" s="181">
        <f>IFERROR(VLOOKUP(INDEX(INDIRECT($B$1&amp;"!"&amp;ADDRESS(8,COLUMN()+6,4)&amp;":"&amp;ADDRESS(73,COLUMN()+6,4)),MATCH($B49,INDIRECT($B$1&amp;"!$A$8:$A$73"),0)),CONFIG!$A$15:$B$40,2,FALSE)&amp;"","")</f>
        <v/>
      </c>
      <c r="P49" s="181">
        <f>IFERROR(VLOOKUP(INDEX(INDIRECT($B$1&amp;"!"&amp;ADDRESS(8,COLUMN()+6,4)&amp;":"&amp;ADDRESS(73,COLUMN()+6,4)),MATCH($B49,INDIRECT($B$1&amp;"!$A$8:$A$73"),0)),CONFIG!$A$15:$B$40,2,FALSE)&amp;"","")</f>
        <v/>
      </c>
      <c r="Q49" s="181">
        <f>IFERROR(VLOOKUP(INDEX(INDIRECT($B$1&amp;"!"&amp;ADDRESS(8,COLUMN()+6,4)&amp;":"&amp;ADDRESS(73,COLUMN()+6,4)),MATCH($B49,INDIRECT($B$1&amp;"!$A$8:$A$73"),0)),CONFIG!$A$15:$B$40,2,FALSE)&amp;"","")</f>
        <v/>
      </c>
      <c r="R49" s="181">
        <f>IFERROR(VLOOKUP(INDEX(INDIRECT($B$1&amp;"!"&amp;ADDRESS(8,COLUMN()+6,4)&amp;":"&amp;ADDRESS(73,COLUMN()+6,4)),MATCH($B49,INDIRECT($B$1&amp;"!$A$8:$A$73"),0)),CONFIG!$A$15:$B$40,2,FALSE)&amp;"","")</f>
        <v/>
      </c>
      <c r="S49" s="181">
        <f>IFERROR(VLOOKUP(INDEX(INDIRECT($B$1&amp;"!"&amp;ADDRESS(8,COLUMN()+6,4)&amp;":"&amp;ADDRESS(73,COLUMN()+6,4)),MATCH($B49,INDIRECT($B$1&amp;"!$A$8:$A$73"),0)),CONFIG!$A$15:$B$40,2,FALSE)&amp;"","")</f>
        <v/>
      </c>
      <c r="T49" s="181">
        <f>IFERROR(VLOOKUP(INDEX(INDIRECT($B$1&amp;"!"&amp;ADDRESS(8,COLUMN()+6,4)&amp;":"&amp;ADDRESS(73,COLUMN()+6,4)),MATCH($B49,INDIRECT($B$1&amp;"!$A$8:$A$73"),0)),CONFIG!$A$15:$B$40,2,FALSE)&amp;"","")</f>
        <v/>
      </c>
      <c r="U49" s="181">
        <f>IFERROR(VLOOKUP(INDEX(INDIRECT($B$1&amp;"!"&amp;ADDRESS(8,COLUMN()+6,4)&amp;":"&amp;ADDRESS(73,COLUMN()+6,4)),MATCH($B49,INDIRECT($B$1&amp;"!$A$8:$A$73"),0)),CONFIG!$A$15:$B$40,2,FALSE)&amp;"","")</f>
        <v/>
      </c>
      <c r="V49" s="181">
        <f>IFERROR(VLOOKUP(INDEX(INDIRECT($B$1&amp;"!"&amp;ADDRESS(8,COLUMN()+6,4)&amp;":"&amp;ADDRESS(73,COLUMN()+6,4)),MATCH($B49,INDIRECT($B$1&amp;"!$A$8:$A$73"),0)),CONFIG!$A$15:$B$40,2,FALSE)&amp;"","")</f>
        <v/>
      </c>
      <c r="W49" s="181">
        <f>IFERROR(VLOOKUP(INDEX(INDIRECT($B$1&amp;"!"&amp;ADDRESS(8,COLUMN()+6,4)&amp;":"&amp;ADDRESS(73,COLUMN()+6,4)),MATCH($B49,INDIRECT($B$1&amp;"!$A$8:$A$73"),0)),CONFIG!$A$15:$B$40,2,FALSE)&amp;"","")</f>
        <v/>
      </c>
      <c r="X49" s="181">
        <f>IFERROR(VLOOKUP(INDEX(INDIRECT($B$1&amp;"!"&amp;ADDRESS(8,COLUMN()+6,4)&amp;":"&amp;ADDRESS(73,COLUMN()+6,4)),MATCH($B49,INDIRECT($B$1&amp;"!$A$8:$A$73"),0)),CONFIG!$A$15:$B$40,2,FALSE)&amp;"","")</f>
        <v/>
      </c>
      <c r="Y49" s="181">
        <f>IFERROR(VLOOKUP(INDEX(INDIRECT($B$1&amp;"!"&amp;ADDRESS(8,COLUMN()+6,4)&amp;":"&amp;ADDRESS(73,COLUMN()+6,4)),MATCH($B49,INDIRECT($B$1&amp;"!$A$8:$A$73"),0)),CONFIG!$A$15:$B$40,2,FALSE)&amp;"","")</f>
        <v/>
      </c>
      <c r="Z49" s="181">
        <f>IFERROR(VLOOKUP(INDEX(INDIRECT($B$1&amp;"!"&amp;ADDRESS(8,COLUMN()+6,4)&amp;":"&amp;ADDRESS(73,COLUMN()+6,4)),MATCH($B49,INDIRECT($B$1&amp;"!$A$8:$A$73"),0)),CONFIG!$A$15:$B$40,2,FALSE)&amp;"","")</f>
        <v/>
      </c>
      <c r="AA49" s="181">
        <f>IFERROR(VLOOKUP(INDEX(INDIRECT($B$1&amp;"!"&amp;ADDRESS(8,COLUMN()+6,4)&amp;":"&amp;ADDRESS(73,COLUMN()+6,4)),MATCH($B49,INDIRECT($B$1&amp;"!$A$8:$A$73"),0)),CONFIG!$A$15:$B$40,2,FALSE)&amp;"","")</f>
        <v/>
      </c>
      <c r="AB49" s="181">
        <f>IFERROR(VLOOKUP(INDEX(INDIRECT($B$1&amp;"!"&amp;ADDRESS(8,COLUMN()+6,4)&amp;":"&amp;ADDRESS(73,COLUMN()+6,4)),MATCH($B49,INDIRECT($B$1&amp;"!$A$8:$A$73"),0)),CONFIG!$A$15:$B$40,2,FALSE)&amp;"","")</f>
        <v/>
      </c>
      <c r="AC49" s="181">
        <f>IFERROR(VLOOKUP(INDEX(INDIRECT($B$1&amp;"!"&amp;ADDRESS(8,COLUMN()+6,4)&amp;":"&amp;ADDRESS(73,COLUMN()+6,4)),MATCH($B49,INDIRECT($B$1&amp;"!$A$8:$A$73"),0)),CONFIG!$A$15:$B$40,2,FALSE)&amp;"","")</f>
        <v/>
      </c>
      <c r="AD49" s="181">
        <f>IFERROR(VLOOKUP(INDEX(INDIRECT($B$1&amp;"!"&amp;ADDRESS(8,COLUMN()+6,4)&amp;":"&amp;ADDRESS(73,COLUMN()+6,4)),MATCH($B49,INDIRECT($B$1&amp;"!$A$8:$A$73"),0)),CONFIG!$A$15:$B$40,2,FALSE)&amp;"","")</f>
        <v/>
      </c>
      <c r="AE49" s="181">
        <f>IFERROR(VLOOKUP(INDEX(INDIRECT($B$1&amp;"!"&amp;ADDRESS(8,COLUMN()+6,4)&amp;":"&amp;ADDRESS(73,COLUMN()+6,4)),MATCH($B49,INDIRECT($B$1&amp;"!$A$8:$A$73"),0)),CONFIG!$A$15:$B$40,2,FALSE)&amp;"","")</f>
        <v/>
      </c>
      <c r="AF49" s="181">
        <f>IFERROR(VLOOKUP(INDEX(INDIRECT($B$1&amp;"!"&amp;ADDRESS(8,COLUMN()+6,4)&amp;":"&amp;ADDRESS(73,COLUMN()+6,4)),MATCH($B49,INDIRECT($B$1&amp;"!$A$8:$A$73"),0)),CONFIG!$A$15:$B$40,2,FALSE)&amp;"","")</f>
        <v/>
      </c>
      <c r="AG49" s="181">
        <f>IFERROR(VLOOKUP(INDEX(INDIRECT($B$1&amp;"!"&amp;ADDRESS(8,COLUMN()+6,4)&amp;":"&amp;ADDRESS(73,COLUMN()+6,4)),MATCH($B49,INDIRECT($B$1&amp;"!$A$8:$A$73"),0)),CONFIG!$A$15:$B$40,2,FALSE)&amp;"","")</f>
        <v/>
      </c>
      <c r="AH49" s="181">
        <f>IFERROR(VLOOKUP(INDEX(INDIRECT($B$1&amp;"!"&amp;ADDRESS(8,COLUMN()+6,4)&amp;":"&amp;ADDRESS(73,COLUMN()+6,4)),MATCH($B49,INDIRECT($B$1&amp;"!$A$8:$A$73"),0)),CONFIG!$A$15:$B$40,2,FALSE)&amp;"","")</f>
        <v/>
      </c>
      <c r="AI49" s="39" t="n"/>
    </row>
    <row r="50">
      <c r="A50" s="179" t="inlineStr">
        <is>
          <t>Isabela Ribeiro</t>
        </is>
      </c>
      <c r="B50" s="180" t="inlineStr">
        <is>
          <t>IsaRibeiro</t>
        </is>
      </c>
      <c r="C50" s="181">
        <f>IFERROR(VLOOKUP(INDEX(INDIRECT($B$1&amp;"!"&amp;ADDRESS(8,COLUMN()+6,4)&amp;":"&amp;ADDRESS(73,COLUMN()+6,4)),MATCH($B50,INDIRECT($B$1&amp;"!$A$8:$A$73"),0)),CONFIG!$A$15:$B$40,2,FALSE)&amp;"","")</f>
        <v/>
      </c>
      <c r="D50" s="181">
        <f>IFERROR(VLOOKUP(INDEX(INDIRECT($B$1&amp;"!"&amp;ADDRESS(8,COLUMN()+6,4)&amp;":"&amp;ADDRESS(73,COLUMN()+6,4)),MATCH($B50,INDIRECT($B$1&amp;"!$A$8:$A$73"),0)),CONFIG!$A$15:$B$40,2,FALSE)&amp;"","")</f>
        <v/>
      </c>
      <c r="E50" s="181">
        <f>IFERROR(VLOOKUP(INDEX(INDIRECT($B$1&amp;"!"&amp;ADDRESS(8,COLUMN()+6,4)&amp;":"&amp;ADDRESS(73,COLUMN()+6,4)),MATCH($B50,INDIRECT($B$1&amp;"!$A$8:$A$73"),0)),CONFIG!$A$15:$B$40,2,FALSE)&amp;"","")</f>
        <v/>
      </c>
      <c r="F50" s="181">
        <f>IFERROR(VLOOKUP(INDEX(INDIRECT($B$1&amp;"!"&amp;ADDRESS(8,COLUMN()+6,4)&amp;":"&amp;ADDRESS(73,COLUMN()+6,4)),MATCH($B50,INDIRECT($B$1&amp;"!$A$8:$A$73"),0)),CONFIG!$A$15:$B$40,2,FALSE)&amp;"","")</f>
        <v/>
      </c>
      <c r="G50" s="181">
        <f>IFERROR(VLOOKUP(INDEX(INDIRECT($B$1&amp;"!"&amp;ADDRESS(8,COLUMN()+6,4)&amp;":"&amp;ADDRESS(73,COLUMN()+6,4)),MATCH($B50,INDIRECT($B$1&amp;"!$A$8:$A$73"),0)),CONFIG!$A$15:$B$40,2,FALSE)&amp;"","")</f>
        <v/>
      </c>
      <c r="H50" s="181">
        <f>IFERROR(VLOOKUP(INDEX(INDIRECT($B$1&amp;"!"&amp;ADDRESS(8,COLUMN()+6,4)&amp;":"&amp;ADDRESS(73,COLUMN()+6,4)),MATCH($B50,INDIRECT($B$1&amp;"!$A$8:$A$73"),0)),CONFIG!$A$15:$B$40,2,FALSE)&amp;"","")</f>
        <v/>
      </c>
      <c r="I50" s="181">
        <f>IFERROR(VLOOKUP(INDEX(INDIRECT($B$1&amp;"!"&amp;ADDRESS(8,COLUMN()+6,4)&amp;":"&amp;ADDRESS(73,COLUMN()+6,4)),MATCH($B50,INDIRECT($B$1&amp;"!$A$8:$A$73"),0)),CONFIG!$A$15:$B$40,2,FALSE)&amp;"","")</f>
        <v/>
      </c>
      <c r="J50" s="181">
        <f>IFERROR(VLOOKUP(INDEX(INDIRECT($B$1&amp;"!"&amp;ADDRESS(8,COLUMN()+6,4)&amp;":"&amp;ADDRESS(73,COLUMN()+6,4)),MATCH($B50,INDIRECT($B$1&amp;"!$A$8:$A$73"),0)),CONFIG!$A$15:$B$40,2,FALSE)&amp;"","")</f>
        <v/>
      </c>
      <c r="K50" s="181">
        <f>IFERROR(VLOOKUP(INDEX(INDIRECT($B$1&amp;"!"&amp;ADDRESS(8,COLUMN()+6,4)&amp;":"&amp;ADDRESS(73,COLUMN()+6,4)),MATCH($B50,INDIRECT($B$1&amp;"!$A$8:$A$73"),0)),CONFIG!$A$15:$B$40,2,FALSE)&amp;"","")</f>
        <v/>
      </c>
      <c r="L50" s="181">
        <f>IFERROR(VLOOKUP(INDEX(INDIRECT($B$1&amp;"!"&amp;ADDRESS(8,COLUMN()+6,4)&amp;":"&amp;ADDRESS(73,COLUMN()+6,4)),MATCH($B50,INDIRECT($B$1&amp;"!$A$8:$A$73"),0)),CONFIG!$A$15:$B$40,2,FALSE)&amp;"","")</f>
        <v/>
      </c>
      <c r="M50" s="181">
        <f>IFERROR(VLOOKUP(INDEX(INDIRECT($B$1&amp;"!"&amp;ADDRESS(8,COLUMN()+6,4)&amp;":"&amp;ADDRESS(73,COLUMN()+6,4)),MATCH($B50,INDIRECT($B$1&amp;"!$A$8:$A$73"),0)),CONFIG!$A$15:$B$40,2,FALSE)&amp;"","")</f>
        <v/>
      </c>
      <c r="N50" s="181">
        <f>IFERROR(VLOOKUP(INDEX(INDIRECT($B$1&amp;"!"&amp;ADDRESS(8,COLUMN()+6,4)&amp;":"&amp;ADDRESS(73,COLUMN()+6,4)),MATCH($B50,INDIRECT($B$1&amp;"!$A$8:$A$73"),0)),CONFIG!$A$15:$B$40,2,FALSE)&amp;"","")</f>
        <v/>
      </c>
      <c r="O50" s="181">
        <f>IFERROR(VLOOKUP(INDEX(INDIRECT($B$1&amp;"!"&amp;ADDRESS(8,COLUMN()+6,4)&amp;":"&amp;ADDRESS(73,COLUMN()+6,4)),MATCH($B50,INDIRECT($B$1&amp;"!$A$8:$A$73"),0)),CONFIG!$A$15:$B$40,2,FALSE)&amp;"","")</f>
        <v/>
      </c>
      <c r="P50" s="181">
        <f>IFERROR(VLOOKUP(INDEX(INDIRECT($B$1&amp;"!"&amp;ADDRESS(8,COLUMN()+6,4)&amp;":"&amp;ADDRESS(73,COLUMN()+6,4)),MATCH($B50,INDIRECT($B$1&amp;"!$A$8:$A$73"),0)),CONFIG!$A$15:$B$40,2,FALSE)&amp;"","")</f>
        <v/>
      </c>
      <c r="Q50" s="181">
        <f>IFERROR(VLOOKUP(INDEX(INDIRECT($B$1&amp;"!"&amp;ADDRESS(8,COLUMN()+6,4)&amp;":"&amp;ADDRESS(73,COLUMN()+6,4)),MATCH($B50,INDIRECT($B$1&amp;"!$A$8:$A$73"),0)),CONFIG!$A$15:$B$40,2,FALSE)&amp;"","")</f>
        <v/>
      </c>
      <c r="R50" s="181">
        <f>IFERROR(VLOOKUP(INDEX(INDIRECT($B$1&amp;"!"&amp;ADDRESS(8,COLUMN()+6,4)&amp;":"&amp;ADDRESS(73,COLUMN()+6,4)),MATCH($B50,INDIRECT($B$1&amp;"!$A$8:$A$73"),0)),CONFIG!$A$15:$B$40,2,FALSE)&amp;"","")</f>
        <v/>
      </c>
      <c r="S50" s="181">
        <f>IFERROR(VLOOKUP(INDEX(INDIRECT($B$1&amp;"!"&amp;ADDRESS(8,COLUMN()+6,4)&amp;":"&amp;ADDRESS(73,COLUMN()+6,4)),MATCH($B50,INDIRECT($B$1&amp;"!$A$8:$A$73"),0)),CONFIG!$A$15:$B$40,2,FALSE)&amp;"","")</f>
        <v/>
      </c>
      <c r="T50" s="181">
        <f>IFERROR(VLOOKUP(INDEX(INDIRECT($B$1&amp;"!"&amp;ADDRESS(8,COLUMN()+6,4)&amp;":"&amp;ADDRESS(73,COLUMN()+6,4)),MATCH($B50,INDIRECT($B$1&amp;"!$A$8:$A$73"),0)),CONFIG!$A$15:$B$40,2,FALSE)&amp;"","")</f>
        <v/>
      </c>
      <c r="U50" s="181">
        <f>IFERROR(VLOOKUP(INDEX(INDIRECT($B$1&amp;"!"&amp;ADDRESS(8,COLUMN()+6,4)&amp;":"&amp;ADDRESS(73,COLUMN()+6,4)),MATCH($B50,INDIRECT($B$1&amp;"!$A$8:$A$73"),0)),CONFIG!$A$15:$B$40,2,FALSE)&amp;"","")</f>
        <v/>
      </c>
      <c r="V50" s="181">
        <f>IFERROR(VLOOKUP(INDEX(INDIRECT($B$1&amp;"!"&amp;ADDRESS(8,COLUMN()+6,4)&amp;":"&amp;ADDRESS(73,COLUMN()+6,4)),MATCH($B50,INDIRECT($B$1&amp;"!$A$8:$A$73"),0)),CONFIG!$A$15:$B$40,2,FALSE)&amp;"","")</f>
        <v/>
      </c>
      <c r="W50" s="181">
        <f>IFERROR(VLOOKUP(INDEX(INDIRECT($B$1&amp;"!"&amp;ADDRESS(8,COLUMN()+6,4)&amp;":"&amp;ADDRESS(73,COLUMN()+6,4)),MATCH($B50,INDIRECT($B$1&amp;"!$A$8:$A$73"),0)),CONFIG!$A$15:$B$40,2,FALSE)&amp;"","")</f>
        <v/>
      </c>
      <c r="X50" s="181">
        <f>IFERROR(VLOOKUP(INDEX(INDIRECT($B$1&amp;"!"&amp;ADDRESS(8,COLUMN()+6,4)&amp;":"&amp;ADDRESS(73,COLUMN()+6,4)),MATCH($B50,INDIRECT($B$1&amp;"!$A$8:$A$73"),0)),CONFIG!$A$15:$B$40,2,FALSE)&amp;"","")</f>
        <v/>
      </c>
      <c r="Y50" s="181">
        <f>IFERROR(VLOOKUP(INDEX(INDIRECT($B$1&amp;"!"&amp;ADDRESS(8,COLUMN()+6,4)&amp;":"&amp;ADDRESS(73,COLUMN()+6,4)),MATCH($B50,INDIRECT($B$1&amp;"!$A$8:$A$73"),0)),CONFIG!$A$15:$B$40,2,FALSE)&amp;"","")</f>
        <v/>
      </c>
      <c r="Z50" s="181">
        <f>IFERROR(VLOOKUP(INDEX(INDIRECT($B$1&amp;"!"&amp;ADDRESS(8,COLUMN()+6,4)&amp;":"&amp;ADDRESS(73,COLUMN()+6,4)),MATCH($B50,INDIRECT($B$1&amp;"!$A$8:$A$73"),0)),CONFIG!$A$15:$B$40,2,FALSE)&amp;"","")</f>
        <v/>
      </c>
      <c r="AA50" s="181">
        <f>IFERROR(VLOOKUP(INDEX(INDIRECT($B$1&amp;"!"&amp;ADDRESS(8,COLUMN()+6,4)&amp;":"&amp;ADDRESS(73,COLUMN()+6,4)),MATCH($B50,INDIRECT($B$1&amp;"!$A$8:$A$73"),0)),CONFIG!$A$15:$B$40,2,FALSE)&amp;"","")</f>
        <v/>
      </c>
      <c r="AB50" s="181">
        <f>IFERROR(VLOOKUP(INDEX(INDIRECT($B$1&amp;"!"&amp;ADDRESS(8,COLUMN()+6,4)&amp;":"&amp;ADDRESS(73,COLUMN()+6,4)),MATCH($B50,INDIRECT($B$1&amp;"!$A$8:$A$73"),0)),CONFIG!$A$15:$B$40,2,FALSE)&amp;"","")</f>
        <v/>
      </c>
      <c r="AC50" s="181">
        <f>IFERROR(VLOOKUP(INDEX(INDIRECT($B$1&amp;"!"&amp;ADDRESS(8,COLUMN()+6,4)&amp;":"&amp;ADDRESS(73,COLUMN()+6,4)),MATCH($B50,INDIRECT($B$1&amp;"!$A$8:$A$73"),0)),CONFIG!$A$15:$B$40,2,FALSE)&amp;"","")</f>
        <v/>
      </c>
      <c r="AD50" s="181">
        <f>IFERROR(VLOOKUP(INDEX(INDIRECT($B$1&amp;"!"&amp;ADDRESS(8,COLUMN()+6,4)&amp;":"&amp;ADDRESS(73,COLUMN()+6,4)),MATCH($B50,INDIRECT($B$1&amp;"!$A$8:$A$73"),0)),CONFIG!$A$15:$B$40,2,FALSE)&amp;"","")</f>
        <v/>
      </c>
      <c r="AE50" s="181">
        <f>IFERROR(VLOOKUP(INDEX(INDIRECT($B$1&amp;"!"&amp;ADDRESS(8,COLUMN()+6,4)&amp;":"&amp;ADDRESS(73,COLUMN()+6,4)),MATCH($B50,INDIRECT($B$1&amp;"!$A$8:$A$73"),0)),CONFIG!$A$15:$B$40,2,FALSE)&amp;"","")</f>
        <v/>
      </c>
      <c r="AF50" s="181">
        <f>IFERROR(VLOOKUP(INDEX(INDIRECT($B$1&amp;"!"&amp;ADDRESS(8,COLUMN()+6,4)&amp;":"&amp;ADDRESS(73,COLUMN()+6,4)),MATCH($B50,INDIRECT($B$1&amp;"!$A$8:$A$73"),0)),CONFIG!$A$15:$B$40,2,FALSE)&amp;"","")</f>
        <v/>
      </c>
      <c r="AG50" s="181">
        <f>IFERROR(VLOOKUP(INDEX(INDIRECT($B$1&amp;"!"&amp;ADDRESS(8,COLUMN()+6,4)&amp;":"&amp;ADDRESS(73,COLUMN()+6,4)),MATCH($B50,INDIRECT($B$1&amp;"!$A$8:$A$73"),0)),CONFIG!$A$15:$B$40,2,FALSE)&amp;"","")</f>
        <v/>
      </c>
      <c r="AH50" s="181">
        <f>IFERROR(VLOOKUP(INDEX(INDIRECT($B$1&amp;"!"&amp;ADDRESS(8,COLUMN()+6,4)&amp;":"&amp;ADDRESS(73,COLUMN()+6,4)),MATCH($B50,INDIRECT($B$1&amp;"!$A$8:$A$73"),0)),CONFIG!$A$15:$B$40,2,FALSE)&amp;"","")</f>
        <v/>
      </c>
      <c r="AI50" s="39" t="n"/>
    </row>
    <row r="51">
      <c r="A51" s="179" t="inlineStr">
        <is>
          <t>Jaqueline</t>
        </is>
      </c>
      <c r="B51" s="180" t="inlineStr">
        <is>
          <t>Jaqueline</t>
        </is>
      </c>
      <c r="C51" s="181">
        <f>IFERROR(VLOOKUP(INDEX(INDIRECT($B$1&amp;"!"&amp;ADDRESS(8,COLUMN()+6,4)&amp;":"&amp;ADDRESS(73,COLUMN()+6,4)),MATCH($B51,INDIRECT($B$1&amp;"!$A$8:$A$73"),0)),CONFIG!$A$15:$B$40,2,FALSE)&amp;"","")</f>
        <v/>
      </c>
      <c r="D51" s="181">
        <f>IFERROR(VLOOKUP(INDEX(INDIRECT($B$1&amp;"!"&amp;ADDRESS(8,COLUMN()+6,4)&amp;":"&amp;ADDRESS(73,COLUMN()+6,4)),MATCH($B51,INDIRECT($B$1&amp;"!$A$8:$A$73"),0)),CONFIG!$A$15:$B$40,2,FALSE)&amp;"","")</f>
        <v/>
      </c>
      <c r="E51" s="181">
        <f>IFERROR(VLOOKUP(INDEX(INDIRECT($B$1&amp;"!"&amp;ADDRESS(8,COLUMN()+6,4)&amp;":"&amp;ADDRESS(73,COLUMN()+6,4)),MATCH($B51,INDIRECT($B$1&amp;"!$A$8:$A$73"),0)),CONFIG!$A$15:$B$40,2,FALSE)&amp;"","")</f>
        <v/>
      </c>
      <c r="F51" s="181">
        <f>IFERROR(VLOOKUP(INDEX(INDIRECT($B$1&amp;"!"&amp;ADDRESS(8,COLUMN()+6,4)&amp;":"&amp;ADDRESS(73,COLUMN()+6,4)),MATCH($B51,INDIRECT($B$1&amp;"!$A$8:$A$73"),0)),CONFIG!$A$15:$B$40,2,FALSE)&amp;"","")</f>
        <v/>
      </c>
      <c r="G51" s="181">
        <f>IFERROR(VLOOKUP(INDEX(INDIRECT($B$1&amp;"!"&amp;ADDRESS(8,COLUMN()+6,4)&amp;":"&amp;ADDRESS(73,COLUMN()+6,4)),MATCH($B51,INDIRECT($B$1&amp;"!$A$8:$A$73"),0)),CONFIG!$A$15:$B$40,2,FALSE)&amp;"","")</f>
        <v/>
      </c>
      <c r="H51" s="181">
        <f>IFERROR(VLOOKUP(INDEX(INDIRECT($B$1&amp;"!"&amp;ADDRESS(8,COLUMN()+6,4)&amp;":"&amp;ADDRESS(73,COLUMN()+6,4)),MATCH($B51,INDIRECT($B$1&amp;"!$A$8:$A$73"),0)),CONFIG!$A$15:$B$40,2,FALSE)&amp;"","")</f>
        <v/>
      </c>
      <c r="I51" s="181">
        <f>IFERROR(VLOOKUP(INDEX(INDIRECT($B$1&amp;"!"&amp;ADDRESS(8,COLUMN()+6,4)&amp;":"&amp;ADDRESS(73,COLUMN()+6,4)),MATCH($B51,INDIRECT($B$1&amp;"!$A$8:$A$73"),0)),CONFIG!$A$15:$B$40,2,FALSE)&amp;"","")</f>
        <v/>
      </c>
      <c r="J51" s="181">
        <f>IFERROR(VLOOKUP(INDEX(INDIRECT($B$1&amp;"!"&amp;ADDRESS(8,COLUMN()+6,4)&amp;":"&amp;ADDRESS(73,COLUMN()+6,4)),MATCH($B51,INDIRECT($B$1&amp;"!$A$8:$A$73"),0)),CONFIG!$A$15:$B$40,2,FALSE)&amp;"","")</f>
        <v/>
      </c>
      <c r="K51" s="181">
        <f>IFERROR(VLOOKUP(INDEX(INDIRECT($B$1&amp;"!"&amp;ADDRESS(8,COLUMN()+6,4)&amp;":"&amp;ADDRESS(73,COLUMN()+6,4)),MATCH($B51,INDIRECT($B$1&amp;"!$A$8:$A$73"),0)),CONFIG!$A$15:$B$40,2,FALSE)&amp;"","")</f>
        <v/>
      </c>
      <c r="L51" s="181">
        <f>IFERROR(VLOOKUP(INDEX(INDIRECT($B$1&amp;"!"&amp;ADDRESS(8,COLUMN()+6,4)&amp;":"&amp;ADDRESS(73,COLUMN()+6,4)),MATCH($B51,INDIRECT($B$1&amp;"!$A$8:$A$73"),0)),CONFIG!$A$15:$B$40,2,FALSE)&amp;"","")</f>
        <v/>
      </c>
      <c r="M51" s="181">
        <f>IFERROR(VLOOKUP(INDEX(INDIRECT($B$1&amp;"!"&amp;ADDRESS(8,COLUMN()+6,4)&amp;":"&amp;ADDRESS(73,COLUMN()+6,4)),MATCH($B51,INDIRECT($B$1&amp;"!$A$8:$A$73"),0)),CONFIG!$A$15:$B$40,2,FALSE)&amp;"","")</f>
        <v/>
      </c>
      <c r="N51" s="181">
        <f>IFERROR(VLOOKUP(INDEX(INDIRECT($B$1&amp;"!"&amp;ADDRESS(8,COLUMN()+6,4)&amp;":"&amp;ADDRESS(73,COLUMN()+6,4)),MATCH($B51,INDIRECT($B$1&amp;"!$A$8:$A$73"),0)),CONFIG!$A$15:$B$40,2,FALSE)&amp;"","")</f>
        <v/>
      </c>
      <c r="O51" s="181">
        <f>IFERROR(VLOOKUP(INDEX(INDIRECT($B$1&amp;"!"&amp;ADDRESS(8,COLUMN()+6,4)&amp;":"&amp;ADDRESS(73,COLUMN()+6,4)),MATCH($B51,INDIRECT($B$1&amp;"!$A$8:$A$73"),0)),CONFIG!$A$15:$B$40,2,FALSE)&amp;"","")</f>
        <v/>
      </c>
      <c r="P51" s="181">
        <f>IFERROR(VLOOKUP(INDEX(INDIRECT($B$1&amp;"!"&amp;ADDRESS(8,COLUMN()+6,4)&amp;":"&amp;ADDRESS(73,COLUMN()+6,4)),MATCH($B51,INDIRECT($B$1&amp;"!$A$8:$A$73"),0)),CONFIG!$A$15:$B$40,2,FALSE)&amp;"","")</f>
        <v/>
      </c>
      <c r="Q51" s="181">
        <f>IFERROR(VLOOKUP(INDEX(INDIRECT($B$1&amp;"!"&amp;ADDRESS(8,COLUMN()+6,4)&amp;":"&amp;ADDRESS(73,COLUMN()+6,4)),MATCH($B51,INDIRECT($B$1&amp;"!$A$8:$A$73"),0)),CONFIG!$A$15:$B$40,2,FALSE)&amp;"","")</f>
        <v/>
      </c>
      <c r="R51" s="181">
        <f>IFERROR(VLOOKUP(INDEX(INDIRECT($B$1&amp;"!"&amp;ADDRESS(8,COLUMN()+6,4)&amp;":"&amp;ADDRESS(73,COLUMN()+6,4)),MATCH($B51,INDIRECT($B$1&amp;"!$A$8:$A$73"),0)),CONFIG!$A$15:$B$40,2,FALSE)&amp;"","")</f>
        <v/>
      </c>
      <c r="S51" s="181">
        <f>IFERROR(VLOOKUP(INDEX(INDIRECT($B$1&amp;"!"&amp;ADDRESS(8,COLUMN()+6,4)&amp;":"&amp;ADDRESS(73,COLUMN()+6,4)),MATCH($B51,INDIRECT($B$1&amp;"!$A$8:$A$73"),0)),CONFIG!$A$15:$B$40,2,FALSE)&amp;"","")</f>
        <v/>
      </c>
      <c r="T51" s="181">
        <f>IFERROR(VLOOKUP(INDEX(INDIRECT($B$1&amp;"!"&amp;ADDRESS(8,COLUMN()+6,4)&amp;":"&amp;ADDRESS(73,COLUMN()+6,4)),MATCH($B51,INDIRECT($B$1&amp;"!$A$8:$A$73"),0)),CONFIG!$A$15:$B$40,2,FALSE)&amp;"","")</f>
        <v/>
      </c>
      <c r="U51" s="181">
        <f>IFERROR(VLOOKUP(INDEX(INDIRECT($B$1&amp;"!"&amp;ADDRESS(8,COLUMN()+6,4)&amp;":"&amp;ADDRESS(73,COLUMN()+6,4)),MATCH($B51,INDIRECT($B$1&amp;"!$A$8:$A$73"),0)),CONFIG!$A$15:$B$40,2,FALSE)&amp;"","")</f>
        <v/>
      </c>
      <c r="V51" s="181">
        <f>IFERROR(VLOOKUP(INDEX(INDIRECT($B$1&amp;"!"&amp;ADDRESS(8,COLUMN()+6,4)&amp;":"&amp;ADDRESS(73,COLUMN()+6,4)),MATCH($B51,INDIRECT($B$1&amp;"!$A$8:$A$73"),0)),CONFIG!$A$15:$B$40,2,FALSE)&amp;"","")</f>
        <v/>
      </c>
      <c r="W51" s="181">
        <f>IFERROR(VLOOKUP(INDEX(INDIRECT($B$1&amp;"!"&amp;ADDRESS(8,COLUMN()+6,4)&amp;":"&amp;ADDRESS(73,COLUMN()+6,4)),MATCH($B51,INDIRECT($B$1&amp;"!$A$8:$A$73"),0)),CONFIG!$A$15:$B$40,2,FALSE)&amp;"","")</f>
        <v/>
      </c>
      <c r="X51" s="181">
        <f>IFERROR(VLOOKUP(INDEX(INDIRECT($B$1&amp;"!"&amp;ADDRESS(8,COLUMN()+6,4)&amp;":"&amp;ADDRESS(73,COLUMN()+6,4)),MATCH($B51,INDIRECT($B$1&amp;"!$A$8:$A$73"),0)),CONFIG!$A$15:$B$40,2,FALSE)&amp;"","")</f>
        <v/>
      </c>
      <c r="Y51" s="181">
        <f>IFERROR(VLOOKUP(INDEX(INDIRECT($B$1&amp;"!"&amp;ADDRESS(8,COLUMN()+6,4)&amp;":"&amp;ADDRESS(73,COLUMN()+6,4)),MATCH($B51,INDIRECT($B$1&amp;"!$A$8:$A$73"),0)),CONFIG!$A$15:$B$40,2,FALSE)&amp;"","")</f>
        <v/>
      </c>
      <c r="Z51" s="181">
        <f>IFERROR(VLOOKUP(INDEX(INDIRECT($B$1&amp;"!"&amp;ADDRESS(8,COLUMN()+6,4)&amp;":"&amp;ADDRESS(73,COLUMN()+6,4)),MATCH($B51,INDIRECT($B$1&amp;"!$A$8:$A$73"),0)),CONFIG!$A$15:$B$40,2,FALSE)&amp;"","")</f>
        <v/>
      </c>
      <c r="AA51" s="181">
        <f>IFERROR(VLOOKUP(INDEX(INDIRECT($B$1&amp;"!"&amp;ADDRESS(8,COLUMN()+6,4)&amp;":"&amp;ADDRESS(73,COLUMN()+6,4)),MATCH($B51,INDIRECT($B$1&amp;"!$A$8:$A$73"),0)),CONFIG!$A$15:$B$40,2,FALSE)&amp;"","")</f>
        <v/>
      </c>
      <c r="AB51" s="181">
        <f>IFERROR(VLOOKUP(INDEX(INDIRECT($B$1&amp;"!"&amp;ADDRESS(8,COLUMN()+6,4)&amp;":"&amp;ADDRESS(73,COLUMN()+6,4)),MATCH($B51,INDIRECT($B$1&amp;"!$A$8:$A$73"),0)),CONFIG!$A$15:$B$40,2,FALSE)&amp;"","")</f>
        <v/>
      </c>
      <c r="AC51" s="181">
        <f>IFERROR(VLOOKUP(INDEX(INDIRECT($B$1&amp;"!"&amp;ADDRESS(8,COLUMN()+6,4)&amp;":"&amp;ADDRESS(73,COLUMN()+6,4)),MATCH($B51,INDIRECT($B$1&amp;"!$A$8:$A$73"),0)),CONFIG!$A$15:$B$40,2,FALSE)&amp;"","")</f>
        <v/>
      </c>
      <c r="AD51" s="181">
        <f>IFERROR(VLOOKUP(INDEX(INDIRECT($B$1&amp;"!"&amp;ADDRESS(8,COLUMN()+6,4)&amp;":"&amp;ADDRESS(73,COLUMN()+6,4)),MATCH($B51,INDIRECT($B$1&amp;"!$A$8:$A$73"),0)),CONFIG!$A$15:$B$40,2,FALSE)&amp;"","")</f>
        <v/>
      </c>
      <c r="AE51" s="181">
        <f>IFERROR(VLOOKUP(INDEX(INDIRECT($B$1&amp;"!"&amp;ADDRESS(8,COLUMN()+6,4)&amp;":"&amp;ADDRESS(73,COLUMN()+6,4)),MATCH($B51,INDIRECT($B$1&amp;"!$A$8:$A$73"),0)),CONFIG!$A$15:$B$40,2,FALSE)&amp;"","")</f>
        <v/>
      </c>
      <c r="AF51" s="181">
        <f>IFERROR(VLOOKUP(INDEX(INDIRECT($B$1&amp;"!"&amp;ADDRESS(8,COLUMN()+6,4)&amp;":"&amp;ADDRESS(73,COLUMN()+6,4)),MATCH($B51,INDIRECT($B$1&amp;"!$A$8:$A$73"),0)),CONFIG!$A$15:$B$40,2,FALSE)&amp;"","")</f>
        <v/>
      </c>
      <c r="AG51" s="181">
        <f>IFERROR(VLOOKUP(INDEX(INDIRECT($B$1&amp;"!"&amp;ADDRESS(8,COLUMN()+6,4)&amp;":"&amp;ADDRESS(73,COLUMN()+6,4)),MATCH($B51,INDIRECT($B$1&amp;"!$A$8:$A$73"),0)),CONFIG!$A$15:$B$40,2,FALSE)&amp;"","")</f>
        <v/>
      </c>
      <c r="AH51" s="181">
        <f>IFERROR(VLOOKUP(INDEX(INDIRECT($B$1&amp;"!"&amp;ADDRESS(8,COLUMN()+6,4)&amp;":"&amp;ADDRESS(73,COLUMN()+6,4)),MATCH($B51,INDIRECT($B$1&amp;"!$A$8:$A$73"),0)),CONFIG!$A$15:$B$40,2,FALSE)&amp;"","")</f>
        <v/>
      </c>
      <c r="AI51" s="39" t="n"/>
    </row>
    <row r="52">
      <c r="A52" s="179" t="inlineStr">
        <is>
          <t>Joaquim</t>
        </is>
      </c>
      <c r="B52" s="180" t="inlineStr">
        <is>
          <t>Joaquim</t>
        </is>
      </c>
      <c r="C52" s="181">
        <f>IFERROR(VLOOKUP(INDEX(INDIRECT($B$1&amp;"!"&amp;ADDRESS(8,COLUMN()+6,4)&amp;":"&amp;ADDRESS(73,COLUMN()+6,4)),MATCH($B52,INDIRECT($B$1&amp;"!$A$8:$A$73"),0)),CONFIG!$A$15:$B$40,2,FALSE)&amp;"","")</f>
        <v/>
      </c>
      <c r="D52" s="181">
        <f>IFERROR(VLOOKUP(INDEX(INDIRECT($B$1&amp;"!"&amp;ADDRESS(8,COLUMN()+6,4)&amp;":"&amp;ADDRESS(73,COLUMN()+6,4)),MATCH($B52,INDIRECT($B$1&amp;"!$A$8:$A$73"),0)),CONFIG!$A$15:$B$40,2,FALSE)&amp;"","")</f>
        <v/>
      </c>
      <c r="E52" s="181">
        <f>IFERROR(VLOOKUP(INDEX(INDIRECT($B$1&amp;"!"&amp;ADDRESS(8,COLUMN()+6,4)&amp;":"&amp;ADDRESS(73,COLUMN()+6,4)),MATCH($B52,INDIRECT($B$1&amp;"!$A$8:$A$73"),0)),CONFIG!$A$15:$B$40,2,FALSE)&amp;"","")</f>
        <v/>
      </c>
      <c r="F52" s="181">
        <f>IFERROR(VLOOKUP(INDEX(INDIRECT($B$1&amp;"!"&amp;ADDRESS(8,COLUMN()+6,4)&amp;":"&amp;ADDRESS(73,COLUMN()+6,4)),MATCH($B52,INDIRECT($B$1&amp;"!$A$8:$A$73"),0)),CONFIG!$A$15:$B$40,2,FALSE)&amp;"","")</f>
        <v/>
      </c>
      <c r="G52" s="181">
        <f>IFERROR(VLOOKUP(INDEX(INDIRECT($B$1&amp;"!"&amp;ADDRESS(8,COLUMN()+6,4)&amp;":"&amp;ADDRESS(73,COLUMN()+6,4)),MATCH($B52,INDIRECT($B$1&amp;"!$A$8:$A$73"),0)),CONFIG!$A$15:$B$40,2,FALSE)&amp;"","")</f>
        <v/>
      </c>
      <c r="H52" s="181">
        <f>IFERROR(VLOOKUP(INDEX(INDIRECT($B$1&amp;"!"&amp;ADDRESS(8,COLUMN()+6,4)&amp;":"&amp;ADDRESS(73,COLUMN()+6,4)),MATCH($B52,INDIRECT($B$1&amp;"!$A$8:$A$73"),0)),CONFIG!$A$15:$B$40,2,FALSE)&amp;"","")</f>
        <v/>
      </c>
      <c r="I52" s="181">
        <f>IFERROR(VLOOKUP(INDEX(INDIRECT($B$1&amp;"!"&amp;ADDRESS(8,COLUMN()+6,4)&amp;":"&amp;ADDRESS(73,COLUMN()+6,4)),MATCH($B52,INDIRECT($B$1&amp;"!$A$8:$A$73"),0)),CONFIG!$A$15:$B$40,2,FALSE)&amp;"","")</f>
        <v/>
      </c>
      <c r="J52" s="181">
        <f>IFERROR(VLOOKUP(INDEX(INDIRECT($B$1&amp;"!"&amp;ADDRESS(8,COLUMN()+6,4)&amp;":"&amp;ADDRESS(73,COLUMN()+6,4)),MATCH($B52,INDIRECT($B$1&amp;"!$A$8:$A$73"),0)),CONFIG!$A$15:$B$40,2,FALSE)&amp;"","")</f>
        <v/>
      </c>
      <c r="K52" s="181">
        <f>IFERROR(VLOOKUP(INDEX(INDIRECT($B$1&amp;"!"&amp;ADDRESS(8,COLUMN()+6,4)&amp;":"&amp;ADDRESS(73,COLUMN()+6,4)),MATCH($B52,INDIRECT($B$1&amp;"!$A$8:$A$73"),0)),CONFIG!$A$15:$B$40,2,FALSE)&amp;"","")</f>
        <v/>
      </c>
      <c r="L52" s="181">
        <f>IFERROR(VLOOKUP(INDEX(INDIRECT($B$1&amp;"!"&amp;ADDRESS(8,COLUMN()+6,4)&amp;":"&amp;ADDRESS(73,COLUMN()+6,4)),MATCH($B52,INDIRECT($B$1&amp;"!$A$8:$A$73"),0)),CONFIG!$A$15:$B$40,2,FALSE)&amp;"","")</f>
        <v/>
      </c>
      <c r="M52" s="181">
        <f>IFERROR(VLOOKUP(INDEX(INDIRECT($B$1&amp;"!"&amp;ADDRESS(8,COLUMN()+6,4)&amp;":"&amp;ADDRESS(73,COLUMN()+6,4)),MATCH($B52,INDIRECT($B$1&amp;"!$A$8:$A$73"),0)),CONFIG!$A$15:$B$40,2,FALSE)&amp;"","")</f>
        <v/>
      </c>
      <c r="N52" s="181">
        <f>IFERROR(VLOOKUP(INDEX(INDIRECT($B$1&amp;"!"&amp;ADDRESS(8,COLUMN()+6,4)&amp;":"&amp;ADDRESS(73,COLUMN()+6,4)),MATCH($B52,INDIRECT($B$1&amp;"!$A$8:$A$73"),0)),CONFIG!$A$15:$B$40,2,FALSE)&amp;"","")</f>
        <v/>
      </c>
      <c r="O52" s="181">
        <f>IFERROR(VLOOKUP(INDEX(INDIRECT($B$1&amp;"!"&amp;ADDRESS(8,COLUMN()+6,4)&amp;":"&amp;ADDRESS(73,COLUMN()+6,4)),MATCH($B52,INDIRECT($B$1&amp;"!$A$8:$A$73"),0)),CONFIG!$A$15:$B$40,2,FALSE)&amp;"","")</f>
        <v/>
      </c>
      <c r="P52" s="181">
        <f>IFERROR(VLOOKUP(INDEX(INDIRECT($B$1&amp;"!"&amp;ADDRESS(8,COLUMN()+6,4)&amp;":"&amp;ADDRESS(73,COLUMN()+6,4)),MATCH($B52,INDIRECT($B$1&amp;"!$A$8:$A$73"),0)),CONFIG!$A$15:$B$40,2,FALSE)&amp;"","")</f>
        <v/>
      </c>
      <c r="Q52" s="181">
        <f>IFERROR(VLOOKUP(INDEX(INDIRECT($B$1&amp;"!"&amp;ADDRESS(8,COLUMN()+6,4)&amp;":"&amp;ADDRESS(73,COLUMN()+6,4)),MATCH($B52,INDIRECT($B$1&amp;"!$A$8:$A$73"),0)),CONFIG!$A$15:$B$40,2,FALSE)&amp;"","")</f>
        <v/>
      </c>
      <c r="R52" s="181">
        <f>IFERROR(VLOOKUP(INDEX(INDIRECT($B$1&amp;"!"&amp;ADDRESS(8,COLUMN()+6,4)&amp;":"&amp;ADDRESS(73,COLUMN()+6,4)),MATCH($B52,INDIRECT($B$1&amp;"!$A$8:$A$73"),0)),CONFIG!$A$15:$B$40,2,FALSE)&amp;"","")</f>
        <v/>
      </c>
      <c r="S52" s="181">
        <f>IFERROR(VLOOKUP(INDEX(INDIRECT($B$1&amp;"!"&amp;ADDRESS(8,COLUMN()+6,4)&amp;":"&amp;ADDRESS(73,COLUMN()+6,4)),MATCH($B52,INDIRECT($B$1&amp;"!$A$8:$A$73"),0)),CONFIG!$A$15:$B$40,2,FALSE)&amp;"","")</f>
        <v/>
      </c>
      <c r="T52" s="181">
        <f>IFERROR(VLOOKUP(INDEX(INDIRECT($B$1&amp;"!"&amp;ADDRESS(8,COLUMN()+6,4)&amp;":"&amp;ADDRESS(73,COLUMN()+6,4)),MATCH($B52,INDIRECT($B$1&amp;"!$A$8:$A$73"),0)),CONFIG!$A$15:$B$40,2,FALSE)&amp;"","")</f>
        <v/>
      </c>
      <c r="U52" s="181">
        <f>IFERROR(VLOOKUP(INDEX(INDIRECT($B$1&amp;"!"&amp;ADDRESS(8,COLUMN()+6,4)&amp;":"&amp;ADDRESS(73,COLUMN()+6,4)),MATCH($B52,INDIRECT($B$1&amp;"!$A$8:$A$73"),0)),CONFIG!$A$15:$B$40,2,FALSE)&amp;"","")</f>
        <v/>
      </c>
      <c r="V52" s="181">
        <f>IFERROR(VLOOKUP(INDEX(INDIRECT($B$1&amp;"!"&amp;ADDRESS(8,COLUMN()+6,4)&amp;":"&amp;ADDRESS(73,COLUMN()+6,4)),MATCH($B52,INDIRECT($B$1&amp;"!$A$8:$A$73"),0)),CONFIG!$A$15:$B$40,2,FALSE)&amp;"","")</f>
        <v/>
      </c>
      <c r="W52" s="181">
        <f>IFERROR(VLOOKUP(INDEX(INDIRECT($B$1&amp;"!"&amp;ADDRESS(8,COLUMN()+6,4)&amp;":"&amp;ADDRESS(73,COLUMN()+6,4)),MATCH($B52,INDIRECT($B$1&amp;"!$A$8:$A$73"),0)),CONFIG!$A$15:$B$40,2,FALSE)&amp;"","")</f>
        <v/>
      </c>
      <c r="X52" s="181">
        <f>IFERROR(VLOOKUP(INDEX(INDIRECT($B$1&amp;"!"&amp;ADDRESS(8,COLUMN()+6,4)&amp;":"&amp;ADDRESS(73,COLUMN()+6,4)),MATCH($B52,INDIRECT($B$1&amp;"!$A$8:$A$73"),0)),CONFIG!$A$15:$B$40,2,FALSE)&amp;"","")</f>
        <v/>
      </c>
      <c r="Y52" s="181">
        <f>IFERROR(VLOOKUP(INDEX(INDIRECT($B$1&amp;"!"&amp;ADDRESS(8,COLUMN()+6,4)&amp;":"&amp;ADDRESS(73,COLUMN()+6,4)),MATCH($B52,INDIRECT($B$1&amp;"!$A$8:$A$73"),0)),CONFIG!$A$15:$B$40,2,FALSE)&amp;"","")</f>
        <v/>
      </c>
      <c r="Z52" s="181">
        <f>IFERROR(VLOOKUP(INDEX(INDIRECT($B$1&amp;"!"&amp;ADDRESS(8,COLUMN()+6,4)&amp;":"&amp;ADDRESS(73,COLUMN()+6,4)),MATCH($B52,INDIRECT($B$1&amp;"!$A$8:$A$73"),0)),CONFIG!$A$15:$B$40,2,FALSE)&amp;"","")</f>
        <v/>
      </c>
      <c r="AA52" s="181">
        <f>IFERROR(VLOOKUP(INDEX(INDIRECT($B$1&amp;"!"&amp;ADDRESS(8,COLUMN()+6,4)&amp;":"&amp;ADDRESS(73,COLUMN()+6,4)),MATCH($B52,INDIRECT($B$1&amp;"!$A$8:$A$73"),0)),CONFIG!$A$15:$B$40,2,FALSE)&amp;"","")</f>
        <v/>
      </c>
      <c r="AB52" s="181">
        <f>IFERROR(VLOOKUP(INDEX(INDIRECT($B$1&amp;"!"&amp;ADDRESS(8,COLUMN()+6,4)&amp;":"&amp;ADDRESS(73,COLUMN()+6,4)),MATCH($B52,INDIRECT($B$1&amp;"!$A$8:$A$73"),0)),CONFIG!$A$15:$B$40,2,FALSE)&amp;"","")</f>
        <v/>
      </c>
      <c r="AC52" s="181">
        <f>IFERROR(VLOOKUP(INDEX(INDIRECT($B$1&amp;"!"&amp;ADDRESS(8,COLUMN()+6,4)&amp;":"&amp;ADDRESS(73,COLUMN()+6,4)),MATCH($B52,INDIRECT($B$1&amp;"!$A$8:$A$73"),0)),CONFIG!$A$15:$B$40,2,FALSE)&amp;"","")</f>
        <v/>
      </c>
      <c r="AD52" s="181">
        <f>IFERROR(VLOOKUP(INDEX(INDIRECT($B$1&amp;"!"&amp;ADDRESS(8,COLUMN()+6,4)&amp;":"&amp;ADDRESS(73,COLUMN()+6,4)),MATCH($B52,INDIRECT($B$1&amp;"!$A$8:$A$73"),0)),CONFIG!$A$15:$B$40,2,FALSE)&amp;"","")</f>
        <v/>
      </c>
      <c r="AE52" s="181">
        <f>IFERROR(VLOOKUP(INDEX(INDIRECT($B$1&amp;"!"&amp;ADDRESS(8,COLUMN()+6,4)&amp;":"&amp;ADDRESS(73,COLUMN()+6,4)),MATCH($B52,INDIRECT($B$1&amp;"!$A$8:$A$73"),0)),CONFIG!$A$15:$B$40,2,FALSE)&amp;"","")</f>
        <v/>
      </c>
      <c r="AF52" s="181">
        <f>IFERROR(VLOOKUP(INDEX(INDIRECT($B$1&amp;"!"&amp;ADDRESS(8,COLUMN()+6,4)&amp;":"&amp;ADDRESS(73,COLUMN()+6,4)),MATCH($B52,INDIRECT($B$1&amp;"!$A$8:$A$73"),0)),CONFIG!$A$15:$B$40,2,FALSE)&amp;"","")</f>
        <v/>
      </c>
      <c r="AG52" s="181">
        <f>IFERROR(VLOOKUP(INDEX(INDIRECT($B$1&amp;"!"&amp;ADDRESS(8,COLUMN()+6,4)&amp;":"&amp;ADDRESS(73,COLUMN()+6,4)),MATCH($B52,INDIRECT($B$1&amp;"!$A$8:$A$73"),0)),CONFIG!$A$15:$B$40,2,FALSE)&amp;"","")</f>
        <v/>
      </c>
      <c r="AH52" s="181">
        <f>IFERROR(VLOOKUP(INDEX(INDIRECT($B$1&amp;"!"&amp;ADDRESS(8,COLUMN()+6,4)&amp;":"&amp;ADDRESS(73,COLUMN()+6,4)),MATCH($B52,INDIRECT($B$1&amp;"!$A$8:$A$73"),0)),CONFIG!$A$15:$B$40,2,FALSE)&amp;"","")</f>
        <v/>
      </c>
      <c r="AI52" s="39" t="n"/>
    </row>
    <row r="53">
      <c r="A53" s="179" t="inlineStr">
        <is>
          <t>Julia Figueiredo</t>
        </is>
      </c>
      <c r="B53" s="180" t="inlineStr">
        <is>
          <t>JuliaFig</t>
        </is>
      </c>
      <c r="C53" s="181">
        <f>IFERROR(VLOOKUP(INDEX(INDIRECT($B$1&amp;"!"&amp;ADDRESS(8,COLUMN()+6,4)&amp;":"&amp;ADDRESS(73,COLUMN()+6,4)),MATCH($B53,INDIRECT($B$1&amp;"!$A$8:$A$73"),0)),CONFIG!$A$15:$B$40,2,FALSE)&amp;"","")</f>
        <v/>
      </c>
      <c r="D53" s="181">
        <f>IFERROR(VLOOKUP(INDEX(INDIRECT($B$1&amp;"!"&amp;ADDRESS(8,COLUMN()+6,4)&amp;":"&amp;ADDRESS(73,COLUMN()+6,4)),MATCH($B53,INDIRECT($B$1&amp;"!$A$8:$A$73"),0)),CONFIG!$A$15:$B$40,2,FALSE)&amp;"","")</f>
        <v/>
      </c>
      <c r="E53" s="181">
        <f>IFERROR(VLOOKUP(INDEX(INDIRECT($B$1&amp;"!"&amp;ADDRESS(8,COLUMN()+6,4)&amp;":"&amp;ADDRESS(73,COLUMN()+6,4)),MATCH($B53,INDIRECT($B$1&amp;"!$A$8:$A$73"),0)),CONFIG!$A$15:$B$40,2,FALSE)&amp;"","")</f>
        <v/>
      </c>
      <c r="F53" s="181">
        <f>IFERROR(VLOOKUP(INDEX(INDIRECT($B$1&amp;"!"&amp;ADDRESS(8,COLUMN()+6,4)&amp;":"&amp;ADDRESS(73,COLUMN()+6,4)),MATCH($B53,INDIRECT($B$1&amp;"!$A$8:$A$73"),0)),CONFIG!$A$15:$B$40,2,FALSE)&amp;"","")</f>
        <v/>
      </c>
      <c r="G53" s="181">
        <f>IFERROR(VLOOKUP(INDEX(INDIRECT($B$1&amp;"!"&amp;ADDRESS(8,COLUMN()+6,4)&amp;":"&amp;ADDRESS(73,COLUMN()+6,4)),MATCH($B53,INDIRECT($B$1&amp;"!$A$8:$A$73"),0)),CONFIG!$A$15:$B$40,2,FALSE)&amp;"","")</f>
        <v/>
      </c>
      <c r="H53" s="181">
        <f>IFERROR(VLOOKUP(INDEX(INDIRECT($B$1&amp;"!"&amp;ADDRESS(8,COLUMN()+6,4)&amp;":"&amp;ADDRESS(73,COLUMN()+6,4)),MATCH($B53,INDIRECT($B$1&amp;"!$A$8:$A$73"),0)),CONFIG!$A$15:$B$40,2,FALSE)&amp;"","")</f>
        <v/>
      </c>
      <c r="I53" s="181">
        <f>IFERROR(VLOOKUP(INDEX(INDIRECT($B$1&amp;"!"&amp;ADDRESS(8,COLUMN()+6,4)&amp;":"&amp;ADDRESS(73,COLUMN()+6,4)),MATCH($B53,INDIRECT($B$1&amp;"!$A$8:$A$73"),0)),CONFIG!$A$15:$B$40,2,FALSE)&amp;"","")</f>
        <v/>
      </c>
      <c r="J53" s="181">
        <f>IFERROR(VLOOKUP(INDEX(INDIRECT($B$1&amp;"!"&amp;ADDRESS(8,COLUMN()+6,4)&amp;":"&amp;ADDRESS(73,COLUMN()+6,4)),MATCH($B53,INDIRECT($B$1&amp;"!$A$8:$A$73"),0)),CONFIG!$A$15:$B$40,2,FALSE)&amp;"","")</f>
        <v/>
      </c>
      <c r="K53" s="181">
        <f>IFERROR(VLOOKUP(INDEX(INDIRECT($B$1&amp;"!"&amp;ADDRESS(8,COLUMN()+6,4)&amp;":"&amp;ADDRESS(73,COLUMN()+6,4)),MATCH($B53,INDIRECT($B$1&amp;"!$A$8:$A$73"),0)),CONFIG!$A$15:$B$40,2,FALSE)&amp;"","")</f>
        <v/>
      </c>
      <c r="L53" s="181">
        <f>IFERROR(VLOOKUP(INDEX(INDIRECT($B$1&amp;"!"&amp;ADDRESS(8,COLUMN()+6,4)&amp;":"&amp;ADDRESS(73,COLUMN()+6,4)),MATCH($B53,INDIRECT($B$1&amp;"!$A$8:$A$73"),0)),CONFIG!$A$15:$B$40,2,FALSE)&amp;"","")</f>
        <v/>
      </c>
      <c r="M53" s="181">
        <f>IFERROR(VLOOKUP(INDEX(INDIRECT($B$1&amp;"!"&amp;ADDRESS(8,COLUMN()+6,4)&amp;":"&amp;ADDRESS(73,COLUMN()+6,4)),MATCH($B53,INDIRECT($B$1&amp;"!$A$8:$A$73"),0)),CONFIG!$A$15:$B$40,2,FALSE)&amp;"","")</f>
        <v/>
      </c>
      <c r="N53" s="181">
        <f>IFERROR(VLOOKUP(INDEX(INDIRECT($B$1&amp;"!"&amp;ADDRESS(8,COLUMN()+6,4)&amp;":"&amp;ADDRESS(73,COLUMN()+6,4)),MATCH($B53,INDIRECT($B$1&amp;"!$A$8:$A$73"),0)),CONFIG!$A$15:$B$40,2,FALSE)&amp;"","")</f>
        <v/>
      </c>
      <c r="O53" s="181">
        <f>IFERROR(VLOOKUP(INDEX(INDIRECT($B$1&amp;"!"&amp;ADDRESS(8,COLUMN()+6,4)&amp;":"&amp;ADDRESS(73,COLUMN()+6,4)),MATCH($B53,INDIRECT($B$1&amp;"!$A$8:$A$73"),0)),CONFIG!$A$15:$B$40,2,FALSE)&amp;"","")</f>
        <v/>
      </c>
      <c r="P53" s="181">
        <f>IFERROR(VLOOKUP(INDEX(INDIRECT($B$1&amp;"!"&amp;ADDRESS(8,COLUMN()+6,4)&amp;":"&amp;ADDRESS(73,COLUMN()+6,4)),MATCH($B53,INDIRECT($B$1&amp;"!$A$8:$A$73"),0)),CONFIG!$A$15:$B$40,2,FALSE)&amp;"","")</f>
        <v/>
      </c>
      <c r="Q53" s="181">
        <f>IFERROR(VLOOKUP(INDEX(INDIRECT($B$1&amp;"!"&amp;ADDRESS(8,COLUMN()+6,4)&amp;":"&amp;ADDRESS(73,COLUMN()+6,4)),MATCH($B53,INDIRECT($B$1&amp;"!$A$8:$A$73"),0)),CONFIG!$A$15:$B$40,2,FALSE)&amp;"","")</f>
        <v/>
      </c>
      <c r="R53" s="181">
        <f>IFERROR(VLOOKUP(INDEX(INDIRECT($B$1&amp;"!"&amp;ADDRESS(8,COLUMN()+6,4)&amp;":"&amp;ADDRESS(73,COLUMN()+6,4)),MATCH($B53,INDIRECT($B$1&amp;"!$A$8:$A$73"),0)),CONFIG!$A$15:$B$40,2,FALSE)&amp;"","")</f>
        <v/>
      </c>
      <c r="S53" s="181">
        <f>IFERROR(VLOOKUP(INDEX(INDIRECT($B$1&amp;"!"&amp;ADDRESS(8,COLUMN()+6,4)&amp;":"&amp;ADDRESS(73,COLUMN()+6,4)),MATCH($B53,INDIRECT($B$1&amp;"!$A$8:$A$73"),0)),CONFIG!$A$15:$B$40,2,FALSE)&amp;"","")</f>
        <v/>
      </c>
      <c r="T53" s="181">
        <f>IFERROR(VLOOKUP(INDEX(INDIRECT($B$1&amp;"!"&amp;ADDRESS(8,COLUMN()+6,4)&amp;":"&amp;ADDRESS(73,COLUMN()+6,4)),MATCH($B53,INDIRECT($B$1&amp;"!$A$8:$A$73"),0)),CONFIG!$A$15:$B$40,2,FALSE)&amp;"","")</f>
        <v/>
      </c>
      <c r="U53" s="181">
        <f>IFERROR(VLOOKUP(INDEX(INDIRECT($B$1&amp;"!"&amp;ADDRESS(8,COLUMN()+6,4)&amp;":"&amp;ADDRESS(73,COLUMN()+6,4)),MATCH($B53,INDIRECT($B$1&amp;"!$A$8:$A$73"),0)),CONFIG!$A$15:$B$40,2,FALSE)&amp;"","")</f>
        <v/>
      </c>
      <c r="V53" s="181">
        <f>IFERROR(VLOOKUP(INDEX(INDIRECT($B$1&amp;"!"&amp;ADDRESS(8,COLUMN()+6,4)&amp;":"&amp;ADDRESS(73,COLUMN()+6,4)),MATCH($B53,INDIRECT($B$1&amp;"!$A$8:$A$73"),0)),CONFIG!$A$15:$B$40,2,FALSE)&amp;"","")</f>
        <v/>
      </c>
      <c r="W53" s="181">
        <f>IFERROR(VLOOKUP(INDEX(INDIRECT($B$1&amp;"!"&amp;ADDRESS(8,COLUMN()+6,4)&amp;":"&amp;ADDRESS(73,COLUMN()+6,4)),MATCH($B53,INDIRECT($B$1&amp;"!$A$8:$A$73"),0)),CONFIG!$A$15:$B$40,2,FALSE)&amp;"","")</f>
        <v/>
      </c>
      <c r="X53" s="181">
        <f>IFERROR(VLOOKUP(INDEX(INDIRECT($B$1&amp;"!"&amp;ADDRESS(8,COLUMN()+6,4)&amp;":"&amp;ADDRESS(73,COLUMN()+6,4)),MATCH($B53,INDIRECT($B$1&amp;"!$A$8:$A$73"),0)),CONFIG!$A$15:$B$40,2,FALSE)&amp;"","")</f>
        <v/>
      </c>
      <c r="Y53" s="181">
        <f>IFERROR(VLOOKUP(INDEX(INDIRECT($B$1&amp;"!"&amp;ADDRESS(8,COLUMN()+6,4)&amp;":"&amp;ADDRESS(73,COLUMN()+6,4)),MATCH($B53,INDIRECT($B$1&amp;"!$A$8:$A$73"),0)),CONFIG!$A$15:$B$40,2,FALSE)&amp;"","")</f>
        <v/>
      </c>
      <c r="Z53" s="181">
        <f>IFERROR(VLOOKUP(INDEX(INDIRECT($B$1&amp;"!"&amp;ADDRESS(8,COLUMN()+6,4)&amp;":"&amp;ADDRESS(73,COLUMN()+6,4)),MATCH($B53,INDIRECT($B$1&amp;"!$A$8:$A$73"),0)),CONFIG!$A$15:$B$40,2,FALSE)&amp;"","")</f>
        <v/>
      </c>
      <c r="AA53" s="181">
        <f>IFERROR(VLOOKUP(INDEX(INDIRECT($B$1&amp;"!"&amp;ADDRESS(8,COLUMN()+6,4)&amp;":"&amp;ADDRESS(73,COLUMN()+6,4)),MATCH($B53,INDIRECT($B$1&amp;"!$A$8:$A$73"),0)),CONFIG!$A$15:$B$40,2,FALSE)&amp;"","")</f>
        <v/>
      </c>
      <c r="AB53" s="181">
        <f>IFERROR(VLOOKUP(INDEX(INDIRECT($B$1&amp;"!"&amp;ADDRESS(8,COLUMN()+6,4)&amp;":"&amp;ADDRESS(73,COLUMN()+6,4)),MATCH($B53,INDIRECT($B$1&amp;"!$A$8:$A$73"),0)),CONFIG!$A$15:$B$40,2,FALSE)&amp;"","")</f>
        <v/>
      </c>
      <c r="AC53" s="181">
        <f>IFERROR(VLOOKUP(INDEX(INDIRECT($B$1&amp;"!"&amp;ADDRESS(8,COLUMN()+6,4)&amp;":"&amp;ADDRESS(73,COLUMN()+6,4)),MATCH($B53,INDIRECT($B$1&amp;"!$A$8:$A$73"),0)),CONFIG!$A$15:$B$40,2,FALSE)&amp;"","")</f>
        <v/>
      </c>
      <c r="AD53" s="181">
        <f>IFERROR(VLOOKUP(INDEX(INDIRECT($B$1&amp;"!"&amp;ADDRESS(8,COLUMN()+6,4)&amp;":"&amp;ADDRESS(73,COLUMN()+6,4)),MATCH($B53,INDIRECT($B$1&amp;"!$A$8:$A$73"),0)),CONFIG!$A$15:$B$40,2,FALSE)&amp;"","")</f>
        <v/>
      </c>
      <c r="AE53" s="181">
        <f>IFERROR(VLOOKUP(INDEX(INDIRECT($B$1&amp;"!"&amp;ADDRESS(8,COLUMN()+6,4)&amp;":"&amp;ADDRESS(73,COLUMN()+6,4)),MATCH($B53,INDIRECT($B$1&amp;"!$A$8:$A$73"),0)),CONFIG!$A$15:$B$40,2,FALSE)&amp;"","")</f>
        <v/>
      </c>
      <c r="AF53" s="181">
        <f>IFERROR(VLOOKUP(INDEX(INDIRECT($B$1&amp;"!"&amp;ADDRESS(8,COLUMN()+6,4)&amp;":"&amp;ADDRESS(73,COLUMN()+6,4)),MATCH($B53,INDIRECT($B$1&amp;"!$A$8:$A$73"),0)),CONFIG!$A$15:$B$40,2,FALSE)&amp;"","")</f>
        <v/>
      </c>
      <c r="AG53" s="181">
        <f>IFERROR(VLOOKUP(INDEX(INDIRECT($B$1&amp;"!"&amp;ADDRESS(8,COLUMN()+6,4)&amp;":"&amp;ADDRESS(73,COLUMN()+6,4)),MATCH($B53,INDIRECT($B$1&amp;"!$A$8:$A$73"),0)),CONFIG!$A$15:$B$40,2,FALSE)&amp;"","")</f>
        <v/>
      </c>
      <c r="AH53" s="181">
        <f>IFERROR(VLOOKUP(INDEX(INDIRECT($B$1&amp;"!"&amp;ADDRESS(8,COLUMN()+6,4)&amp;":"&amp;ADDRESS(73,COLUMN()+6,4)),MATCH($B53,INDIRECT($B$1&amp;"!$A$8:$A$73"),0)),CONFIG!$A$15:$B$40,2,FALSE)&amp;"","")</f>
        <v/>
      </c>
      <c r="AI53" s="39" t="n"/>
    </row>
    <row r="54">
      <c r="A54" s="179" t="inlineStr">
        <is>
          <t>Ana Kozak</t>
        </is>
      </c>
      <c r="B54" s="180" t="inlineStr">
        <is>
          <t>Kozak</t>
        </is>
      </c>
      <c r="C54" s="181">
        <f>IFERROR(VLOOKUP(INDEX(INDIRECT($B$1&amp;"!"&amp;ADDRESS(8,COLUMN()+6,4)&amp;":"&amp;ADDRESS(73,COLUMN()+6,4)),MATCH($B54,INDIRECT($B$1&amp;"!$A$8:$A$73"),0)),CONFIG!$A$15:$B$40,2,FALSE)&amp;"","")</f>
        <v/>
      </c>
      <c r="D54" s="181">
        <f>IFERROR(VLOOKUP(INDEX(INDIRECT($B$1&amp;"!"&amp;ADDRESS(8,COLUMN()+6,4)&amp;":"&amp;ADDRESS(73,COLUMN()+6,4)),MATCH($B54,INDIRECT($B$1&amp;"!$A$8:$A$73"),0)),CONFIG!$A$15:$B$40,2,FALSE)&amp;"","")</f>
        <v/>
      </c>
      <c r="E54" s="181">
        <f>IFERROR(VLOOKUP(INDEX(INDIRECT($B$1&amp;"!"&amp;ADDRESS(8,COLUMN()+6,4)&amp;":"&amp;ADDRESS(73,COLUMN()+6,4)),MATCH($B54,INDIRECT($B$1&amp;"!$A$8:$A$73"),0)),CONFIG!$A$15:$B$40,2,FALSE)&amp;"","")</f>
        <v/>
      </c>
      <c r="F54" s="181">
        <f>IFERROR(VLOOKUP(INDEX(INDIRECT($B$1&amp;"!"&amp;ADDRESS(8,COLUMN()+6,4)&amp;":"&amp;ADDRESS(73,COLUMN()+6,4)),MATCH($B54,INDIRECT($B$1&amp;"!$A$8:$A$73"),0)),CONFIG!$A$15:$B$40,2,FALSE)&amp;"","")</f>
        <v/>
      </c>
      <c r="G54" s="181">
        <f>IFERROR(VLOOKUP(INDEX(INDIRECT($B$1&amp;"!"&amp;ADDRESS(8,COLUMN()+6,4)&amp;":"&amp;ADDRESS(73,COLUMN()+6,4)),MATCH($B54,INDIRECT($B$1&amp;"!$A$8:$A$73"),0)),CONFIG!$A$15:$B$40,2,FALSE)&amp;"","")</f>
        <v/>
      </c>
      <c r="H54" s="181">
        <f>IFERROR(VLOOKUP(INDEX(INDIRECT($B$1&amp;"!"&amp;ADDRESS(8,COLUMN()+6,4)&amp;":"&amp;ADDRESS(73,COLUMN()+6,4)),MATCH($B54,INDIRECT($B$1&amp;"!$A$8:$A$73"),0)),CONFIG!$A$15:$B$40,2,FALSE)&amp;"","")</f>
        <v/>
      </c>
      <c r="I54" s="181">
        <f>IFERROR(VLOOKUP(INDEX(INDIRECT($B$1&amp;"!"&amp;ADDRESS(8,COLUMN()+6,4)&amp;":"&amp;ADDRESS(73,COLUMN()+6,4)),MATCH($B54,INDIRECT($B$1&amp;"!$A$8:$A$73"),0)),CONFIG!$A$15:$B$40,2,FALSE)&amp;"","")</f>
        <v/>
      </c>
      <c r="J54" s="181">
        <f>IFERROR(VLOOKUP(INDEX(INDIRECT($B$1&amp;"!"&amp;ADDRESS(8,COLUMN()+6,4)&amp;":"&amp;ADDRESS(73,COLUMN()+6,4)),MATCH($B54,INDIRECT($B$1&amp;"!$A$8:$A$73"),0)),CONFIG!$A$15:$B$40,2,FALSE)&amp;"","")</f>
        <v/>
      </c>
      <c r="K54" s="181">
        <f>IFERROR(VLOOKUP(INDEX(INDIRECT($B$1&amp;"!"&amp;ADDRESS(8,COLUMN()+6,4)&amp;":"&amp;ADDRESS(73,COLUMN()+6,4)),MATCH($B54,INDIRECT($B$1&amp;"!$A$8:$A$73"),0)),CONFIG!$A$15:$B$40,2,FALSE)&amp;"","")</f>
        <v/>
      </c>
      <c r="L54" s="181">
        <f>IFERROR(VLOOKUP(INDEX(INDIRECT($B$1&amp;"!"&amp;ADDRESS(8,COLUMN()+6,4)&amp;":"&amp;ADDRESS(73,COLUMN()+6,4)),MATCH($B54,INDIRECT($B$1&amp;"!$A$8:$A$73"),0)),CONFIG!$A$15:$B$40,2,FALSE)&amp;"","")</f>
        <v/>
      </c>
      <c r="M54" s="181">
        <f>IFERROR(VLOOKUP(INDEX(INDIRECT($B$1&amp;"!"&amp;ADDRESS(8,COLUMN()+6,4)&amp;":"&amp;ADDRESS(73,COLUMN()+6,4)),MATCH($B54,INDIRECT($B$1&amp;"!$A$8:$A$73"),0)),CONFIG!$A$15:$B$40,2,FALSE)&amp;"","")</f>
        <v/>
      </c>
      <c r="N54" s="181">
        <f>IFERROR(VLOOKUP(INDEX(INDIRECT($B$1&amp;"!"&amp;ADDRESS(8,COLUMN()+6,4)&amp;":"&amp;ADDRESS(73,COLUMN()+6,4)),MATCH($B54,INDIRECT($B$1&amp;"!$A$8:$A$73"),0)),CONFIG!$A$15:$B$40,2,FALSE)&amp;"","")</f>
        <v/>
      </c>
      <c r="O54" s="181">
        <f>IFERROR(VLOOKUP(INDEX(INDIRECT($B$1&amp;"!"&amp;ADDRESS(8,COLUMN()+6,4)&amp;":"&amp;ADDRESS(73,COLUMN()+6,4)),MATCH($B54,INDIRECT($B$1&amp;"!$A$8:$A$73"),0)),CONFIG!$A$15:$B$40,2,FALSE)&amp;"","")</f>
        <v/>
      </c>
      <c r="P54" s="181">
        <f>IFERROR(VLOOKUP(INDEX(INDIRECT($B$1&amp;"!"&amp;ADDRESS(8,COLUMN()+6,4)&amp;":"&amp;ADDRESS(73,COLUMN()+6,4)),MATCH($B54,INDIRECT($B$1&amp;"!$A$8:$A$73"),0)),CONFIG!$A$15:$B$40,2,FALSE)&amp;"","")</f>
        <v/>
      </c>
      <c r="Q54" s="181">
        <f>IFERROR(VLOOKUP(INDEX(INDIRECT($B$1&amp;"!"&amp;ADDRESS(8,COLUMN()+6,4)&amp;":"&amp;ADDRESS(73,COLUMN()+6,4)),MATCH($B54,INDIRECT($B$1&amp;"!$A$8:$A$73"),0)),CONFIG!$A$15:$B$40,2,FALSE)&amp;"","")</f>
        <v/>
      </c>
      <c r="R54" s="181">
        <f>IFERROR(VLOOKUP(INDEX(INDIRECT($B$1&amp;"!"&amp;ADDRESS(8,COLUMN()+6,4)&amp;":"&amp;ADDRESS(73,COLUMN()+6,4)),MATCH($B54,INDIRECT($B$1&amp;"!$A$8:$A$73"),0)),CONFIG!$A$15:$B$40,2,FALSE)&amp;"","")</f>
        <v/>
      </c>
      <c r="S54" s="181">
        <f>IFERROR(VLOOKUP(INDEX(INDIRECT($B$1&amp;"!"&amp;ADDRESS(8,COLUMN()+6,4)&amp;":"&amp;ADDRESS(73,COLUMN()+6,4)),MATCH($B54,INDIRECT($B$1&amp;"!$A$8:$A$73"),0)),CONFIG!$A$15:$B$40,2,FALSE)&amp;"","")</f>
        <v/>
      </c>
      <c r="T54" s="181">
        <f>IFERROR(VLOOKUP(INDEX(INDIRECT($B$1&amp;"!"&amp;ADDRESS(8,COLUMN()+6,4)&amp;":"&amp;ADDRESS(73,COLUMN()+6,4)),MATCH($B54,INDIRECT($B$1&amp;"!$A$8:$A$73"),0)),CONFIG!$A$15:$B$40,2,FALSE)&amp;"","")</f>
        <v/>
      </c>
      <c r="U54" s="181">
        <f>IFERROR(VLOOKUP(INDEX(INDIRECT($B$1&amp;"!"&amp;ADDRESS(8,COLUMN()+6,4)&amp;":"&amp;ADDRESS(73,COLUMN()+6,4)),MATCH($B54,INDIRECT($B$1&amp;"!$A$8:$A$73"),0)),CONFIG!$A$15:$B$40,2,FALSE)&amp;"","")</f>
        <v/>
      </c>
      <c r="V54" s="181">
        <f>IFERROR(VLOOKUP(INDEX(INDIRECT($B$1&amp;"!"&amp;ADDRESS(8,COLUMN()+6,4)&amp;":"&amp;ADDRESS(73,COLUMN()+6,4)),MATCH($B54,INDIRECT($B$1&amp;"!$A$8:$A$73"),0)),CONFIG!$A$15:$B$40,2,FALSE)&amp;"","")</f>
        <v/>
      </c>
      <c r="W54" s="181">
        <f>IFERROR(VLOOKUP(INDEX(INDIRECT($B$1&amp;"!"&amp;ADDRESS(8,COLUMN()+6,4)&amp;":"&amp;ADDRESS(73,COLUMN()+6,4)),MATCH($B54,INDIRECT($B$1&amp;"!$A$8:$A$73"),0)),CONFIG!$A$15:$B$40,2,FALSE)&amp;"","")</f>
        <v/>
      </c>
      <c r="X54" s="181">
        <f>IFERROR(VLOOKUP(INDEX(INDIRECT($B$1&amp;"!"&amp;ADDRESS(8,COLUMN()+6,4)&amp;":"&amp;ADDRESS(73,COLUMN()+6,4)),MATCH($B54,INDIRECT($B$1&amp;"!$A$8:$A$73"),0)),CONFIG!$A$15:$B$40,2,FALSE)&amp;"","")</f>
        <v/>
      </c>
      <c r="Y54" s="181">
        <f>IFERROR(VLOOKUP(INDEX(INDIRECT($B$1&amp;"!"&amp;ADDRESS(8,COLUMN()+6,4)&amp;":"&amp;ADDRESS(73,COLUMN()+6,4)),MATCH($B54,INDIRECT($B$1&amp;"!$A$8:$A$73"),0)),CONFIG!$A$15:$B$40,2,FALSE)&amp;"","")</f>
        <v/>
      </c>
      <c r="Z54" s="181">
        <f>IFERROR(VLOOKUP(INDEX(INDIRECT($B$1&amp;"!"&amp;ADDRESS(8,COLUMN()+6,4)&amp;":"&amp;ADDRESS(73,COLUMN()+6,4)),MATCH($B54,INDIRECT($B$1&amp;"!$A$8:$A$73"),0)),CONFIG!$A$15:$B$40,2,FALSE)&amp;"","")</f>
        <v/>
      </c>
      <c r="AA54" s="181">
        <f>IFERROR(VLOOKUP(INDEX(INDIRECT($B$1&amp;"!"&amp;ADDRESS(8,COLUMN()+6,4)&amp;":"&amp;ADDRESS(73,COLUMN()+6,4)),MATCH($B54,INDIRECT($B$1&amp;"!$A$8:$A$73"),0)),CONFIG!$A$15:$B$40,2,FALSE)&amp;"","")</f>
        <v/>
      </c>
      <c r="AB54" s="181">
        <f>IFERROR(VLOOKUP(INDEX(INDIRECT($B$1&amp;"!"&amp;ADDRESS(8,COLUMN()+6,4)&amp;":"&amp;ADDRESS(73,COLUMN()+6,4)),MATCH($B54,INDIRECT($B$1&amp;"!$A$8:$A$73"),0)),CONFIG!$A$15:$B$40,2,FALSE)&amp;"","")</f>
        <v/>
      </c>
      <c r="AC54" s="181">
        <f>IFERROR(VLOOKUP(INDEX(INDIRECT($B$1&amp;"!"&amp;ADDRESS(8,COLUMN()+6,4)&amp;":"&amp;ADDRESS(73,COLUMN()+6,4)),MATCH($B54,INDIRECT($B$1&amp;"!$A$8:$A$73"),0)),CONFIG!$A$15:$B$40,2,FALSE)&amp;"","")</f>
        <v/>
      </c>
      <c r="AD54" s="181">
        <f>IFERROR(VLOOKUP(INDEX(INDIRECT($B$1&amp;"!"&amp;ADDRESS(8,COLUMN()+6,4)&amp;":"&amp;ADDRESS(73,COLUMN()+6,4)),MATCH($B54,INDIRECT($B$1&amp;"!$A$8:$A$73"),0)),CONFIG!$A$15:$B$40,2,FALSE)&amp;"","")</f>
        <v/>
      </c>
      <c r="AE54" s="181">
        <f>IFERROR(VLOOKUP(INDEX(INDIRECT($B$1&amp;"!"&amp;ADDRESS(8,COLUMN()+6,4)&amp;":"&amp;ADDRESS(73,COLUMN()+6,4)),MATCH($B54,INDIRECT($B$1&amp;"!$A$8:$A$73"),0)),CONFIG!$A$15:$B$40,2,FALSE)&amp;"","")</f>
        <v/>
      </c>
      <c r="AF54" s="181">
        <f>IFERROR(VLOOKUP(INDEX(INDIRECT($B$1&amp;"!"&amp;ADDRESS(8,COLUMN()+6,4)&amp;":"&amp;ADDRESS(73,COLUMN()+6,4)),MATCH($B54,INDIRECT($B$1&amp;"!$A$8:$A$73"),0)),CONFIG!$A$15:$B$40,2,FALSE)&amp;"","")</f>
        <v/>
      </c>
      <c r="AG54" s="181">
        <f>IFERROR(VLOOKUP(INDEX(INDIRECT($B$1&amp;"!"&amp;ADDRESS(8,COLUMN()+6,4)&amp;":"&amp;ADDRESS(73,COLUMN()+6,4)),MATCH($B54,INDIRECT($B$1&amp;"!$A$8:$A$73"),0)),CONFIG!$A$15:$B$40,2,FALSE)&amp;"","")</f>
        <v/>
      </c>
      <c r="AH54" s="181">
        <f>IFERROR(VLOOKUP(INDEX(INDIRECT($B$1&amp;"!"&amp;ADDRESS(8,COLUMN()+6,4)&amp;":"&amp;ADDRESS(73,COLUMN()+6,4)),MATCH($B54,INDIRECT($B$1&amp;"!$A$8:$A$73"),0)),CONFIG!$A$15:$B$40,2,FALSE)&amp;"","")</f>
        <v/>
      </c>
      <c r="AI54" s="39" t="n"/>
    </row>
    <row r="55">
      <c r="A55" s="179" t="inlineStr">
        <is>
          <t>Laura Haydee</t>
        </is>
      </c>
      <c r="B55" s="180" t="inlineStr">
        <is>
          <t>Laura</t>
        </is>
      </c>
      <c r="C55" s="181">
        <f>IFERROR(VLOOKUP(INDEX(INDIRECT($B$1&amp;"!"&amp;ADDRESS(8,COLUMN()+6,4)&amp;":"&amp;ADDRESS(73,COLUMN()+6,4)),MATCH($B55,INDIRECT($B$1&amp;"!$A$8:$A$73"),0)),CONFIG!$A$15:$B$40,2,FALSE)&amp;"","")</f>
        <v/>
      </c>
      <c r="D55" s="181">
        <f>IFERROR(VLOOKUP(INDEX(INDIRECT($B$1&amp;"!"&amp;ADDRESS(8,COLUMN()+6,4)&amp;":"&amp;ADDRESS(73,COLUMN()+6,4)),MATCH($B55,INDIRECT($B$1&amp;"!$A$8:$A$73"),0)),CONFIG!$A$15:$B$40,2,FALSE)&amp;"","")</f>
        <v/>
      </c>
      <c r="E55" s="181">
        <f>IFERROR(VLOOKUP(INDEX(INDIRECT($B$1&amp;"!"&amp;ADDRESS(8,COLUMN()+6,4)&amp;":"&amp;ADDRESS(73,COLUMN()+6,4)),MATCH($B55,INDIRECT($B$1&amp;"!$A$8:$A$73"),0)),CONFIG!$A$15:$B$40,2,FALSE)&amp;"","")</f>
        <v/>
      </c>
      <c r="F55" s="181">
        <f>IFERROR(VLOOKUP(INDEX(INDIRECT($B$1&amp;"!"&amp;ADDRESS(8,COLUMN()+6,4)&amp;":"&amp;ADDRESS(73,COLUMN()+6,4)),MATCH($B55,INDIRECT($B$1&amp;"!$A$8:$A$73"),0)),CONFIG!$A$15:$B$40,2,FALSE)&amp;"","")</f>
        <v/>
      </c>
      <c r="G55" s="181">
        <f>IFERROR(VLOOKUP(INDEX(INDIRECT($B$1&amp;"!"&amp;ADDRESS(8,COLUMN()+6,4)&amp;":"&amp;ADDRESS(73,COLUMN()+6,4)),MATCH($B55,INDIRECT($B$1&amp;"!$A$8:$A$73"),0)),CONFIG!$A$15:$B$40,2,FALSE)&amp;"","")</f>
        <v/>
      </c>
      <c r="H55" s="181">
        <f>IFERROR(VLOOKUP(INDEX(INDIRECT($B$1&amp;"!"&amp;ADDRESS(8,COLUMN()+6,4)&amp;":"&amp;ADDRESS(73,COLUMN()+6,4)),MATCH($B55,INDIRECT($B$1&amp;"!$A$8:$A$73"),0)),CONFIG!$A$15:$B$40,2,FALSE)&amp;"","")</f>
        <v/>
      </c>
      <c r="I55" s="181">
        <f>IFERROR(VLOOKUP(INDEX(INDIRECT($B$1&amp;"!"&amp;ADDRESS(8,COLUMN()+6,4)&amp;":"&amp;ADDRESS(73,COLUMN()+6,4)),MATCH($B55,INDIRECT($B$1&amp;"!$A$8:$A$73"),0)),CONFIG!$A$15:$B$40,2,FALSE)&amp;"","")</f>
        <v/>
      </c>
      <c r="J55" s="181">
        <f>IFERROR(VLOOKUP(INDEX(INDIRECT($B$1&amp;"!"&amp;ADDRESS(8,COLUMN()+6,4)&amp;":"&amp;ADDRESS(73,COLUMN()+6,4)),MATCH($B55,INDIRECT($B$1&amp;"!$A$8:$A$73"),0)),CONFIG!$A$15:$B$40,2,FALSE)&amp;"","")</f>
        <v/>
      </c>
      <c r="K55" s="181">
        <f>IFERROR(VLOOKUP(INDEX(INDIRECT($B$1&amp;"!"&amp;ADDRESS(8,COLUMN()+6,4)&amp;":"&amp;ADDRESS(73,COLUMN()+6,4)),MATCH($B55,INDIRECT($B$1&amp;"!$A$8:$A$73"),0)),CONFIG!$A$15:$B$40,2,FALSE)&amp;"","")</f>
        <v/>
      </c>
      <c r="L55" s="181">
        <f>IFERROR(VLOOKUP(INDEX(INDIRECT($B$1&amp;"!"&amp;ADDRESS(8,COLUMN()+6,4)&amp;":"&amp;ADDRESS(73,COLUMN()+6,4)),MATCH($B55,INDIRECT($B$1&amp;"!$A$8:$A$73"),0)),CONFIG!$A$15:$B$40,2,FALSE)&amp;"","")</f>
        <v/>
      </c>
      <c r="M55" s="181">
        <f>IFERROR(VLOOKUP(INDEX(INDIRECT($B$1&amp;"!"&amp;ADDRESS(8,COLUMN()+6,4)&amp;":"&amp;ADDRESS(73,COLUMN()+6,4)),MATCH($B55,INDIRECT($B$1&amp;"!$A$8:$A$73"),0)),CONFIG!$A$15:$B$40,2,FALSE)&amp;"","")</f>
        <v/>
      </c>
      <c r="N55" s="181">
        <f>IFERROR(VLOOKUP(INDEX(INDIRECT($B$1&amp;"!"&amp;ADDRESS(8,COLUMN()+6,4)&amp;":"&amp;ADDRESS(73,COLUMN()+6,4)),MATCH($B55,INDIRECT($B$1&amp;"!$A$8:$A$73"),0)),CONFIG!$A$15:$B$40,2,FALSE)&amp;"","")</f>
        <v/>
      </c>
      <c r="O55" s="181">
        <f>IFERROR(VLOOKUP(INDEX(INDIRECT($B$1&amp;"!"&amp;ADDRESS(8,COLUMN()+6,4)&amp;":"&amp;ADDRESS(73,COLUMN()+6,4)),MATCH($B55,INDIRECT($B$1&amp;"!$A$8:$A$73"),0)),CONFIG!$A$15:$B$40,2,FALSE)&amp;"","")</f>
        <v/>
      </c>
      <c r="P55" s="181">
        <f>IFERROR(VLOOKUP(INDEX(INDIRECT($B$1&amp;"!"&amp;ADDRESS(8,COLUMN()+6,4)&amp;":"&amp;ADDRESS(73,COLUMN()+6,4)),MATCH($B55,INDIRECT($B$1&amp;"!$A$8:$A$73"),0)),CONFIG!$A$15:$B$40,2,FALSE)&amp;"","")</f>
        <v/>
      </c>
      <c r="Q55" s="181">
        <f>IFERROR(VLOOKUP(INDEX(INDIRECT($B$1&amp;"!"&amp;ADDRESS(8,COLUMN()+6,4)&amp;":"&amp;ADDRESS(73,COLUMN()+6,4)),MATCH($B55,INDIRECT($B$1&amp;"!$A$8:$A$73"),0)),CONFIG!$A$15:$B$40,2,FALSE)&amp;"","")</f>
        <v/>
      </c>
      <c r="R55" s="181">
        <f>IFERROR(VLOOKUP(INDEX(INDIRECT($B$1&amp;"!"&amp;ADDRESS(8,COLUMN()+6,4)&amp;":"&amp;ADDRESS(73,COLUMN()+6,4)),MATCH($B55,INDIRECT($B$1&amp;"!$A$8:$A$73"),0)),CONFIG!$A$15:$B$40,2,FALSE)&amp;"","")</f>
        <v/>
      </c>
      <c r="S55" s="181">
        <f>IFERROR(VLOOKUP(INDEX(INDIRECT($B$1&amp;"!"&amp;ADDRESS(8,COLUMN()+6,4)&amp;":"&amp;ADDRESS(73,COLUMN()+6,4)),MATCH($B55,INDIRECT($B$1&amp;"!$A$8:$A$73"),0)),CONFIG!$A$15:$B$40,2,FALSE)&amp;"","")</f>
        <v/>
      </c>
      <c r="T55" s="181">
        <f>IFERROR(VLOOKUP(INDEX(INDIRECT($B$1&amp;"!"&amp;ADDRESS(8,COLUMN()+6,4)&amp;":"&amp;ADDRESS(73,COLUMN()+6,4)),MATCH($B55,INDIRECT($B$1&amp;"!$A$8:$A$73"),0)),CONFIG!$A$15:$B$40,2,FALSE)&amp;"","")</f>
        <v/>
      </c>
      <c r="U55" s="181">
        <f>IFERROR(VLOOKUP(INDEX(INDIRECT($B$1&amp;"!"&amp;ADDRESS(8,COLUMN()+6,4)&amp;":"&amp;ADDRESS(73,COLUMN()+6,4)),MATCH($B55,INDIRECT($B$1&amp;"!$A$8:$A$73"),0)),CONFIG!$A$15:$B$40,2,FALSE)&amp;"","")</f>
        <v/>
      </c>
      <c r="V55" s="181">
        <f>IFERROR(VLOOKUP(INDEX(INDIRECT($B$1&amp;"!"&amp;ADDRESS(8,COLUMN()+6,4)&amp;":"&amp;ADDRESS(73,COLUMN()+6,4)),MATCH($B55,INDIRECT($B$1&amp;"!$A$8:$A$73"),0)),CONFIG!$A$15:$B$40,2,FALSE)&amp;"","")</f>
        <v/>
      </c>
      <c r="W55" s="181">
        <f>IFERROR(VLOOKUP(INDEX(INDIRECT($B$1&amp;"!"&amp;ADDRESS(8,COLUMN()+6,4)&amp;":"&amp;ADDRESS(73,COLUMN()+6,4)),MATCH($B55,INDIRECT($B$1&amp;"!$A$8:$A$73"),0)),CONFIG!$A$15:$B$40,2,FALSE)&amp;"","")</f>
        <v/>
      </c>
      <c r="X55" s="181">
        <f>IFERROR(VLOOKUP(INDEX(INDIRECT($B$1&amp;"!"&amp;ADDRESS(8,COLUMN()+6,4)&amp;":"&amp;ADDRESS(73,COLUMN()+6,4)),MATCH($B55,INDIRECT($B$1&amp;"!$A$8:$A$73"),0)),CONFIG!$A$15:$B$40,2,FALSE)&amp;"","")</f>
        <v/>
      </c>
      <c r="Y55" s="181">
        <f>IFERROR(VLOOKUP(INDEX(INDIRECT($B$1&amp;"!"&amp;ADDRESS(8,COLUMN()+6,4)&amp;":"&amp;ADDRESS(73,COLUMN()+6,4)),MATCH($B55,INDIRECT($B$1&amp;"!$A$8:$A$73"),0)),CONFIG!$A$15:$B$40,2,FALSE)&amp;"","")</f>
        <v/>
      </c>
      <c r="Z55" s="181">
        <f>IFERROR(VLOOKUP(INDEX(INDIRECT($B$1&amp;"!"&amp;ADDRESS(8,COLUMN()+6,4)&amp;":"&amp;ADDRESS(73,COLUMN()+6,4)),MATCH($B55,INDIRECT($B$1&amp;"!$A$8:$A$73"),0)),CONFIG!$A$15:$B$40,2,FALSE)&amp;"","")</f>
        <v/>
      </c>
      <c r="AA55" s="181">
        <f>IFERROR(VLOOKUP(INDEX(INDIRECT($B$1&amp;"!"&amp;ADDRESS(8,COLUMN()+6,4)&amp;":"&amp;ADDRESS(73,COLUMN()+6,4)),MATCH($B55,INDIRECT($B$1&amp;"!$A$8:$A$73"),0)),CONFIG!$A$15:$B$40,2,FALSE)&amp;"","")</f>
        <v/>
      </c>
      <c r="AB55" s="181">
        <f>IFERROR(VLOOKUP(INDEX(INDIRECT($B$1&amp;"!"&amp;ADDRESS(8,COLUMN()+6,4)&amp;":"&amp;ADDRESS(73,COLUMN()+6,4)),MATCH($B55,INDIRECT($B$1&amp;"!$A$8:$A$73"),0)),CONFIG!$A$15:$B$40,2,FALSE)&amp;"","")</f>
        <v/>
      </c>
      <c r="AC55" s="181">
        <f>IFERROR(VLOOKUP(INDEX(INDIRECT($B$1&amp;"!"&amp;ADDRESS(8,COLUMN()+6,4)&amp;":"&amp;ADDRESS(73,COLUMN()+6,4)),MATCH($B55,INDIRECT($B$1&amp;"!$A$8:$A$73"),0)),CONFIG!$A$15:$B$40,2,FALSE)&amp;"","")</f>
        <v/>
      </c>
      <c r="AD55" s="181">
        <f>IFERROR(VLOOKUP(INDEX(INDIRECT($B$1&amp;"!"&amp;ADDRESS(8,COLUMN()+6,4)&amp;":"&amp;ADDRESS(73,COLUMN()+6,4)),MATCH($B55,INDIRECT($B$1&amp;"!$A$8:$A$73"),0)),CONFIG!$A$15:$B$40,2,FALSE)&amp;"","")</f>
        <v/>
      </c>
      <c r="AE55" s="181">
        <f>IFERROR(VLOOKUP(INDEX(INDIRECT($B$1&amp;"!"&amp;ADDRESS(8,COLUMN()+6,4)&amp;":"&amp;ADDRESS(73,COLUMN()+6,4)),MATCH($B55,INDIRECT($B$1&amp;"!$A$8:$A$73"),0)),CONFIG!$A$15:$B$40,2,FALSE)&amp;"","")</f>
        <v/>
      </c>
      <c r="AF55" s="181">
        <f>IFERROR(VLOOKUP(INDEX(INDIRECT($B$1&amp;"!"&amp;ADDRESS(8,COLUMN()+6,4)&amp;":"&amp;ADDRESS(73,COLUMN()+6,4)),MATCH($B55,INDIRECT($B$1&amp;"!$A$8:$A$73"),0)),CONFIG!$A$15:$B$40,2,FALSE)&amp;"","")</f>
        <v/>
      </c>
      <c r="AG55" s="181">
        <f>IFERROR(VLOOKUP(INDEX(INDIRECT($B$1&amp;"!"&amp;ADDRESS(8,COLUMN()+6,4)&amp;":"&amp;ADDRESS(73,COLUMN()+6,4)),MATCH($B55,INDIRECT($B$1&amp;"!$A$8:$A$73"),0)),CONFIG!$A$15:$B$40,2,FALSE)&amp;"","")</f>
        <v/>
      </c>
      <c r="AH55" s="181">
        <f>IFERROR(VLOOKUP(INDEX(INDIRECT($B$1&amp;"!"&amp;ADDRESS(8,COLUMN()+6,4)&amp;":"&amp;ADDRESS(73,COLUMN()+6,4)),MATCH($B55,INDIRECT($B$1&amp;"!$A$8:$A$73"),0)),CONFIG!$A$15:$B$40,2,FALSE)&amp;"","")</f>
        <v/>
      </c>
      <c r="AI55" s="39" t="n"/>
    </row>
    <row r="56">
      <c r="A56" s="179" t="inlineStr">
        <is>
          <t>Letícia Café</t>
        </is>
      </c>
      <c r="B56" s="180" t="inlineStr">
        <is>
          <t>Leticia</t>
        </is>
      </c>
      <c r="C56" s="181">
        <f>IFERROR(VLOOKUP(INDEX(INDIRECT($B$1&amp;"!"&amp;ADDRESS(8,COLUMN()+6,4)&amp;":"&amp;ADDRESS(73,COLUMN()+6,4)),MATCH($B56,INDIRECT($B$1&amp;"!$A$8:$A$73"),0)),CONFIG!$A$15:$B$40,2,FALSE)&amp;"","")</f>
        <v/>
      </c>
      <c r="D56" s="181">
        <f>IFERROR(VLOOKUP(INDEX(INDIRECT($B$1&amp;"!"&amp;ADDRESS(8,COLUMN()+6,4)&amp;":"&amp;ADDRESS(73,COLUMN()+6,4)),MATCH($B56,INDIRECT($B$1&amp;"!$A$8:$A$73"),0)),CONFIG!$A$15:$B$40,2,FALSE)&amp;"","")</f>
        <v/>
      </c>
      <c r="E56" s="181">
        <f>IFERROR(VLOOKUP(INDEX(INDIRECT($B$1&amp;"!"&amp;ADDRESS(8,COLUMN()+6,4)&amp;":"&amp;ADDRESS(73,COLUMN()+6,4)),MATCH($B56,INDIRECT($B$1&amp;"!$A$8:$A$73"),0)),CONFIG!$A$15:$B$40,2,FALSE)&amp;"","")</f>
        <v/>
      </c>
      <c r="F56" s="181">
        <f>IFERROR(VLOOKUP(INDEX(INDIRECT($B$1&amp;"!"&amp;ADDRESS(8,COLUMN()+6,4)&amp;":"&amp;ADDRESS(73,COLUMN()+6,4)),MATCH($B56,INDIRECT($B$1&amp;"!$A$8:$A$73"),0)),CONFIG!$A$15:$B$40,2,FALSE)&amp;"","")</f>
        <v/>
      </c>
      <c r="G56" s="181">
        <f>IFERROR(VLOOKUP(INDEX(INDIRECT($B$1&amp;"!"&amp;ADDRESS(8,COLUMN()+6,4)&amp;":"&amp;ADDRESS(73,COLUMN()+6,4)),MATCH($B56,INDIRECT($B$1&amp;"!$A$8:$A$73"),0)),CONFIG!$A$15:$B$40,2,FALSE)&amp;"","")</f>
        <v/>
      </c>
      <c r="H56" s="181">
        <f>IFERROR(VLOOKUP(INDEX(INDIRECT($B$1&amp;"!"&amp;ADDRESS(8,COLUMN()+6,4)&amp;":"&amp;ADDRESS(73,COLUMN()+6,4)),MATCH($B56,INDIRECT($B$1&amp;"!$A$8:$A$73"),0)),CONFIG!$A$15:$B$40,2,FALSE)&amp;"","")</f>
        <v/>
      </c>
      <c r="I56" s="181">
        <f>IFERROR(VLOOKUP(INDEX(INDIRECT($B$1&amp;"!"&amp;ADDRESS(8,COLUMN()+6,4)&amp;":"&amp;ADDRESS(73,COLUMN()+6,4)),MATCH($B56,INDIRECT($B$1&amp;"!$A$8:$A$73"),0)),CONFIG!$A$15:$B$40,2,FALSE)&amp;"","")</f>
        <v/>
      </c>
      <c r="J56" s="181">
        <f>IFERROR(VLOOKUP(INDEX(INDIRECT($B$1&amp;"!"&amp;ADDRESS(8,COLUMN()+6,4)&amp;":"&amp;ADDRESS(73,COLUMN()+6,4)),MATCH($B56,INDIRECT($B$1&amp;"!$A$8:$A$73"),0)),CONFIG!$A$15:$B$40,2,FALSE)&amp;"","")</f>
        <v/>
      </c>
      <c r="K56" s="181">
        <f>IFERROR(VLOOKUP(INDEX(INDIRECT($B$1&amp;"!"&amp;ADDRESS(8,COLUMN()+6,4)&amp;":"&amp;ADDRESS(73,COLUMN()+6,4)),MATCH($B56,INDIRECT($B$1&amp;"!$A$8:$A$73"),0)),CONFIG!$A$15:$B$40,2,FALSE)&amp;"","")</f>
        <v/>
      </c>
      <c r="L56" s="181">
        <f>IFERROR(VLOOKUP(INDEX(INDIRECT($B$1&amp;"!"&amp;ADDRESS(8,COLUMN()+6,4)&amp;":"&amp;ADDRESS(73,COLUMN()+6,4)),MATCH($B56,INDIRECT($B$1&amp;"!$A$8:$A$73"),0)),CONFIG!$A$15:$B$40,2,FALSE)&amp;"","")</f>
        <v/>
      </c>
      <c r="M56" s="181">
        <f>IFERROR(VLOOKUP(INDEX(INDIRECT($B$1&amp;"!"&amp;ADDRESS(8,COLUMN()+6,4)&amp;":"&amp;ADDRESS(73,COLUMN()+6,4)),MATCH($B56,INDIRECT($B$1&amp;"!$A$8:$A$73"),0)),CONFIG!$A$15:$B$40,2,FALSE)&amp;"","")</f>
        <v/>
      </c>
      <c r="N56" s="181">
        <f>IFERROR(VLOOKUP(INDEX(INDIRECT($B$1&amp;"!"&amp;ADDRESS(8,COLUMN()+6,4)&amp;":"&amp;ADDRESS(73,COLUMN()+6,4)),MATCH($B56,INDIRECT($B$1&amp;"!$A$8:$A$73"),0)),CONFIG!$A$15:$B$40,2,FALSE)&amp;"","")</f>
        <v/>
      </c>
      <c r="O56" s="181">
        <f>IFERROR(VLOOKUP(INDEX(INDIRECT($B$1&amp;"!"&amp;ADDRESS(8,COLUMN()+6,4)&amp;":"&amp;ADDRESS(73,COLUMN()+6,4)),MATCH($B56,INDIRECT($B$1&amp;"!$A$8:$A$73"),0)),CONFIG!$A$15:$B$40,2,FALSE)&amp;"","")</f>
        <v/>
      </c>
      <c r="P56" s="181">
        <f>IFERROR(VLOOKUP(INDEX(INDIRECT($B$1&amp;"!"&amp;ADDRESS(8,COLUMN()+6,4)&amp;":"&amp;ADDRESS(73,COLUMN()+6,4)),MATCH($B56,INDIRECT($B$1&amp;"!$A$8:$A$73"),0)),CONFIG!$A$15:$B$40,2,FALSE)&amp;"","")</f>
        <v/>
      </c>
      <c r="Q56" s="181">
        <f>IFERROR(VLOOKUP(INDEX(INDIRECT($B$1&amp;"!"&amp;ADDRESS(8,COLUMN()+6,4)&amp;":"&amp;ADDRESS(73,COLUMN()+6,4)),MATCH($B56,INDIRECT($B$1&amp;"!$A$8:$A$73"),0)),CONFIG!$A$15:$B$40,2,FALSE)&amp;"","")</f>
        <v/>
      </c>
      <c r="R56" s="181">
        <f>IFERROR(VLOOKUP(INDEX(INDIRECT($B$1&amp;"!"&amp;ADDRESS(8,COLUMN()+6,4)&amp;":"&amp;ADDRESS(73,COLUMN()+6,4)),MATCH($B56,INDIRECT($B$1&amp;"!$A$8:$A$73"),0)),CONFIG!$A$15:$B$40,2,FALSE)&amp;"","")</f>
        <v/>
      </c>
      <c r="S56" s="181">
        <f>IFERROR(VLOOKUP(INDEX(INDIRECT($B$1&amp;"!"&amp;ADDRESS(8,COLUMN()+6,4)&amp;":"&amp;ADDRESS(73,COLUMN()+6,4)),MATCH($B56,INDIRECT($B$1&amp;"!$A$8:$A$73"),0)),CONFIG!$A$15:$B$40,2,FALSE)&amp;"","")</f>
        <v/>
      </c>
      <c r="T56" s="181">
        <f>IFERROR(VLOOKUP(INDEX(INDIRECT($B$1&amp;"!"&amp;ADDRESS(8,COLUMN()+6,4)&amp;":"&amp;ADDRESS(73,COLUMN()+6,4)),MATCH($B56,INDIRECT($B$1&amp;"!$A$8:$A$73"),0)),CONFIG!$A$15:$B$40,2,FALSE)&amp;"","")</f>
        <v/>
      </c>
      <c r="U56" s="181">
        <f>IFERROR(VLOOKUP(INDEX(INDIRECT($B$1&amp;"!"&amp;ADDRESS(8,COLUMN()+6,4)&amp;":"&amp;ADDRESS(73,COLUMN()+6,4)),MATCH($B56,INDIRECT($B$1&amp;"!$A$8:$A$73"),0)),CONFIG!$A$15:$B$40,2,FALSE)&amp;"","")</f>
        <v/>
      </c>
      <c r="V56" s="181">
        <f>IFERROR(VLOOKUP(INDEX(INDIRECT($B$1&amp;"!"&amp;ADDRESS(8,COLUMN()+6,4)&amp;":"&amp;ADDRESS(73,COLUMN()+6,4)),MATCH($B56,INDIRECT($B$1&amp;"!$A$8:$A$73"),0)),CONFIG!$A$15:$B$40,2,FALSE)&amp;"","")</f>
        <v/>
      </c>
      <c r="W56" s="181">
        <f>IFERROR(VLOOKUP(INDEX(INDIRECT($B$1&amp;"!"&amp;ADDRESS(8,COLUMN()+6,4)&amp;":"&amp;ADDRESS(73,COLUMN()+6,4)),MATCH($B56,INDIRECT($B$1&amp;"!$A$8:$A$73"),0)),CONFIG!$A$15:$B$40,2,FALSE)&amp;"","")</f>
        <v/>
      </c>
      <c r="X56" s="181">
        <f>IFERROR(VLOOKUP(INDEX(INDIRECT($B$1&amp;"!"&amp;ADDRESS(8,COLUMN()+6,4)&amp;":"&amp;ADDRESS(73,COLUMN()+6,4)),MATCH($B56,INDIRECT($B$1&amp;"!$A$8:$A$73"),0)),CONFIG!$A$15:$B$40,2,FALSE)&amp;"","")</f>
        <v/>
      </c>
      <c r="Y56" s="181">
        <f>IFERROR(VLOOKUP(INDEX(INDIRECT($B$1&amp;"!"&amp;ADDRESS(8,COLUMN()+6,4)&amp;":"&amp;ADDRESS(73,COLUMN()+6,4)),MATCH($B56,INDIRECT($B$1&amp;"!$A$8:$A$73"),0)),CONFIG!$A$15:$B$40,2,FALSE)&amp;"","")</f>
        <v/>
      </c>
      <c r="Z56" s="181">
        <f>IFERROR(VLOOKUP(INDEX(INDIRECT($B$1&amp;"!"&amp;ADDRESS(8,COLUMN()+6,4)&amp;":"&amp;ADDRESS(73,COLUMN()+6,4)),MATCH($B56,INDIRECT($B$1&amp;"!$A$8:$A$73"),0)),CONFIG!$A$15:$B$40,2,FALSE)&amp;"","")</f>
        <v/>
      </c>
      <c r="AA56" s="181">
        <f>IFERROR(VLOOKUP(INDEX(INDIRECT($B$1&amp;"!"&amp;ADDRESS(8,COLUMN()+6,4)&amp;":"&amp;ADDRESS(73,COLUMN()+6,4)),MATCH($B56,INDIRECT($B$1&amp;"!$A$8:$A$73"),0)),CONFIG!$A$15:$B$40,2,FALSE)&amp;"","")</f>
        <v/>
      </c>
      <c r="AB56" s="181">
        <f>IFERROR(VLOOKUP(INDEX(INDIRECT($B$1&amp;"!"&amp;ADDRESS(8,COLUMN()+6,4)&amp;":"&amp;ADDRESS(73,COLUMN()+6,4)),MATCH($B56,INDIRECT($B$1&amp;"!$A$8:$A$73"),0)),CONFIG!$A$15:$B$40,2,FALSE)&amp;"","")</f>
        <v/>
      </c>
      <c r="AC56" s="181">
        <f>IFERROR(VLOOKUP(INDEX(INDIRECT($B$1&amp;"!"&amp;ADDRESS(8,COLUMN()+6,4)&amp;":"&amp;ADDRESS(73,COLUMN()+6,4)),MATCH($B56,INDIRECT($B$1&amp;"!$A$8:$A$73"),0)),CONFIG!$A$15:$B$40,2,FALSE)&amp;"","")</f>
        <v/>
      </c>
      <c r="AD56" s="181">
        <f>IFERROR(VLOOKUP(INDEX(INDIRECT($B$1&amp;"!"&amp;ADDRESS(8,COLUMN()+6,4)&amp;":"&amp;ADDRESS(73,COLUMN()+6,4)),MATCH($B56,INDIRECT($B$1&amp;"!$A$8:$A$73"),0)),CONFIG!$A$15:$B$40,2,FALSE)&amp;"","")</f>
        <v/>
      </c>
      <c r="AE56" s="181">
        <f>IFERROR(VLOOKUP(INDEX(INDIRECT($B$1&amp;"!"&amp;ADDRESS(8,COLUMN()+6,4)&amp;":"&amp;ADDRESS(73,COLUMN()+6,4)),MATCH($B56,INDIRECT($B$1&amp;"!$A$8:$A$73"),0)),CONFIG!$A$15:$B$40,2,FALSE)&amp;"","")</f>
        <v/>
      </c>
      <c r="AF56" s="181">
        <f>IFERROR(VLOOKUP(INDEX(INDIRECT($B$1&amp;"!"&amp;ADDRESS(8,COLUMN()+6,4)&amp;":"&amp;ADDRESS(73,COLUMN()+6,4)),MATCH($B56,INDIRECT($B$1&amp;"!$A$8:$A$73"),0)),CONFIG!$A$15:$B$40,2,FALSE)&amp;"","")</f>
        <v/>
      </c>
      <c r="AG56" s="181">
        <f>IFERROR(VLOOKUP(INDEX(INDIRECT($B$1&amp;"!"&amp;ADDRESS(8,COLUMN()+6,4)&amp;":"&amp;ADDRESS(73,COLUMN()+6,4)),MATCH($B56,INDIRECT($B$1&amp;"!$A$8:$A$73"),0)),CONFIG!$A$15:$B$40,2,FALSE)&amp;"","")</f>
        <v/>
      </c>
      <c r="AH56" s="181">
        <f>IFERROR(VLOOKUP(INDEX(INDIRECT($B$1&amp;"!"&amp;ADDRESS(8,COLUMN()+6,4)&amp;":"&amp;ADDRESS(73,COLUMN()+6,4)),MATCH($B56,INDIRECT($B$1&amp;"!$A$8:$A$73"),0)),CONFIG!$A$15:$B$40,2,FALSE)&amp;"","")</f>
        <v/>
      </c>
      <c r="AI56" s="39" t="n"/>
    </row>
    <row r="57">
      <c r="A57" s="179" t="inlineStr">
        <is>
          <t>Luciana Costa</t>
        </is>
      </c>
      <c r="B57" s="180" t="inlineStr">
        <is>
          <t>LuCosta</t>
        </is>
      </c>
      <c r="C57" s="181">
        <f>IFERROR(VLOOKUP(INDEX(INDIRECT($B$1&amp;"!"&amp;ADDRESS(8,COLUMN()+6,4)&amp;":"&amp;ADDRESS(73,COLUMN()+6,4)),MATCH($B57,INDIRECT($B$1&amp;"!$A$8:$A$73"),0)),CONFIG!$A$15:$B$40,2,FALSE)&amp;"","")</f>
        <v/>
      </c>
      <c r="D57" s="181">
        <f>IFERROR(VLOOKUP(INDEX(INDIRECT($B$1&amp;"!"&amp;ADDRESS(8,COLUMN()+6,4)&amp;":"&amp;ADDRESS(73,COLUMN()+6,4)),MATCH($B57,INDIRECT($B$1&amp;"!$A$8:$A$73"),0)),CONFIG!$A$15:$B$40,2,FALSE)&amp;"","")</f>
        <v/>
      </c>
      <c r="E57" s="181">
        <f>IFERROR(VLOOKUP(INDEX(INDIRECT($B$1&amp;"!"&amp;ADDRESS(8,COLUMN()+6,4)&amp;":"&amp;ADDRESS(73,COLUMN()+6,4)),MATCH($B57,INDIRECT($B$1&amp;"!$A$8:$A$73"),0)),CONFIG!$A$15:$B$40,2,FALSE)&amp;"","")</f>
        <v/>
      </c>
      <c r="F57" s="181">
        <f>IFERROR(VLOOKUP(INDEX(INDIRECT($B$1&amp;"!"&amp;ADDRESS(8,COLUMN()+6,4)&amp;":"&amp;ADDRESS(73,COLUMN()+6,4)),MATCH($B57,INDIRECT($B$1&amp;"!$A$8:$A$73"),0)),CONFIG!$A$15:$B$40,2,FALSE)&amp;"","")</f>
        <v/>
      </c>
      <c r="G57" s="181">
        <f>IFERROR(VLOOKUP(INDEX(INDIRECT($B$1&amp;"!"&amp;ADDRESS(8,COLUMN()+6,4)&amp;":"&amp;ADDRESS(73,COLUMN()+6,4)),MATCH($B57,INDIRECT($B$1&amp;"!$A$8:$A$73"),0)),CONFIG!$A$15:$B$40,2,FALSE)&amp;"","")</f>
        <v/>
      </c>
      <c r="H57" s="181">
        <f>IFERROR(VLOOKUP(INDEX(INDIRECT($B$1&amp;"!"&amp;ADDRESS(8,COLUMN()+6,4)&amp;":"&amp;ADDRESS(73,COLUMN()+6,4)),MATCH($B57,INDIRECT($B$1&amp;"!$A$8:$A$73"),0)),CONFIG!$A$15:$B$40,2,FALSE)&amp;"","")</f>
        <v/>
      </c>
      <c r="I57" s="181">
        <f>IFERROR(VLOOKUP(INDEX(INDIRECT($B$1&amp;"!"&amp;ADDRESS(8,COLUMN()+6,4)&amp;":"&amp;ADDRESS(73,COLUMN()+6,4)),MATCH($B57,INDIRECT($B$1&amp;"!$A$8:$A$73"),0)),CONFIG!$A$15:$B$40,2,FALSE)&amp;"","")</f>
        <v/>
      </c>
      <c r="J57" s="181">
        <f>IFERROR(VLOOKUP(INDEX(INDIRECT($B$1&amp;"!"&amp;ADDRESS(8,COLUMN()+6,4)&amp;":"&amp;ADDRESS(73,COLUMN()+6,4)),MATCH($B57,INDIRECT($B$1&amp;"!$A$8:$A$73"),0)),CONFIG!$A$15:$B$40,2,FALSE)&amp;"","")</f>
        <v/>
      </c>
      <c r="K57" s="181">
        <f>IFERROR(VLOOKUP(INDEX(INDIRECT($B$1&amp;"!"&amp;ADDRESS(8,COLUMN()+6,4)&amp;":"&amp;ADDRESS(73,COLUMN()+6,4)),MATCH($B57,INDIRECT($B$1&amp;"!$A$8:$A$73"),0)),CONFIG!$A$15:$B$40,2,FALSE)&amp;"","")</f>
        <v/>
      </c>
      <c r="L57" s="181">
        <f>IFERROR(VLOOKUP(INDEX(INDIRECT($B$1&amp;"!"&amp;ADDRESS(8,COLUMN()+6,4)&amp;":"&amp;ADDRESS(73,COLUMN()+6,4)),MATCH($B57,INDIRECT($B$1&amp;"!$A$8:$A$73"),0)),CONFIG!$A$15:$B$40,2,FALSE)&amp;"","")</f>
        <v/>
      </c>
      <c r="M57" s="181">
        <f>IFERROR(VLOOKUP(INDEX(INDIRECT($B$1&amp;"!"&amp;ADDRESS(8,COLUMN()+6,4)&amp;":"&amp;ADDRESS(73,COLUMN()+6,4)),MATCH($B57,INDIRECT($B$1&amp;"!$A$8:$A$73"),0)),CONFIG!$A$15:$B$40,2,FALSE)&amp;"","")</f>
        <v/>
      </c>
      <c r="N57" s="181">
        <f>IFERROR(VLOOKUP(INDEX(INDIRECT($B$1&amp;"!"&amp;ADDRESS(8,COLUMN()+6,4)&amp;":"&amp;ADDRESS(73,COLUMN()+6,4)),MATCH($B57,INDIRECT($B$1&amp;"!$A$8:$A$73"),0)),CONFIG!$A$15:$B$40,2,FALSE)&amp;"","")</f>
        <v/>
      </c>
      <c r="O57" s="181">
        <f>IFERROR(VLOOKUP(INDEX(INDIRECT($B$1&amp;"!"&amp;ADDRESS(8,COLUMN()+6,4)&amp;":"&amp;ADDRESS(73,COLUMN()+6,4)),MATCH($B57,INDIRECT($B$1&amp;"!$A$8:$A$73"),0)),CONFIG!$A$15:$B$40,2,FALSE)&amp;"","")</f>
        <v/>
      </c>
      <c r="P57" s="181">
        <f>IFERROR(VLOOKUP(INDEX(INDIRECT($B$1&amp;"!"&amp;ADDRESS(8,COLUMN()+6,4)&amp;":"&amp;ADDRESS(73,COLUMN()+6,4)),MATCH($B57,INDIRECT($B$1&amp;"!$A$8:$A$73"),0)),CONFIG!$A$15:$B$40,2,FALSE)&amp;"","")</f>
        <v/>
      </c>
      <c r="Q57" s="181">
        <f>IFERROR(VLOOKUP(INDEX(INDIRECT($B$1&amp;"!"&amp;ADDRESS(8,COLUMN()+6,4)&amp;":"&amp;ADDRESS(73,COLUMN()+6,4)),MATCH($B57,INDIRECT($B$1&amp;"!$A$8:$A$73"),0)),CONFIG!$A$15:$B$40,2,FALSE)&amp;"","")</f>
        <v/>
      </c>
      <c r="R57" s="181">
        <f>IFERROR(VLOOKUP(INDEX(INDIRECT($B$1&amp;"!"&amp;ADDRESS(8,COLUMN()+6,4)&amp;":"&amp;ADDRESS(73,COLUMN()+6,4)),MATCH($B57,INDIRECT($B$1&amp;"!$A$8:$A$73"),0)),CONFIG!$A$15:$B$40,2,FALSE)&amp;"","")</f>
        <v/>
      </c>
      <c r="S57" s="181">
        <f>IFERROR(VLOOKUP(INDEX(INDIRECT($B$1&amp;"!"&amp;ADDRESS(8,COLUMN()+6,4)&amp;":"&amp;ADDRESS(73,COLUMN()+6,4)),MATCH($B57,INDIRECT($B$1&amp;"!$A$8:$A$73"),0)),CONFIG!$A$15:$B$40,2,FALSE)&amp;"","")</f>
        <v/>
      </c>
      <c r="T57" s="181">
        <f>IFERROR(VLOOKUP(INDEX(INDIRECT($B$1&amp;"!"&amp;ADDRESS(8,COLUMN()+6,4)&amp;":"&amp;ADDRESS(73,COLUMN()+6,4)),MATCH($B57,INDIRECT($B$1&amp;"!$A$8:$A$73"),0)),CONFIG!$A$15:$B$40,2,FALSE)&amp;"","")</f>
        <v/>
      </c>
      <c r="U57" s="181">
        <f>IFERROR(VLOOKUP(INDEX(INDIRECT($B$1&amp;"!"&amp;ADDRESS(8,COLUMN()+6,4)&amp;":"&amp;ADDRESS(73,COLUMN()+6,4)),MATCH($B57,INDIRECT($B$1&amp;"!$A$8:$A$73"),0)),CONFIG!$A$15:$B$40,2,FALSE)&amp;"","")</f>
        <v/>
      </c>
      <c r="V57" s="181">
        <f>IFERROR(VLOOKUP(INDEX(INDIRECT($B$1&amp;"!"&amp;ADDRESS(8,COLUMN()+6,4)&amp;":"&amp;ADDRESS(73,COLUMN()+6,4)),MATCH($B57,INDIRECT($B$1&amp;"!$A$8:$A$73"),0)),CONFIG!$A$15:$B$40,2,FALSE)&amp;"","")</f>
        <v/>
      </c>
      <c r="W57" s="181">
        <f>IFERROR(VLOOKUP(INDEX(INDIRECT($B$1&amp;"!"&amp;ADDRESS(8,COLUMN()+6,4)&amp;":"&amp;ADDRESS(73,COLUMN()+6,4)),MATCH($B57,INDIRECT($B$1&amp;"!$A$8:$A$73"),0)),CONFIG!$A$15:$B$40,2,FALSE)&amp;"","")</f>
        <v/>
      </c>
      <c r="X57" s="181">
        <f>IFERROR(VLOOKUP(INDEX(INDIRECT($B$1&amp;"!"&amp;ADDRESS(8,COLUMN()+6,4)&amp;":"&amp;ADDRESS(73,COLUMN()+6,4)),MATCH($B57,INDIRECT($B$1&amp;"!$A$8:$A$73"),0)),CONFIG!$A$15:$B$40,2,FALSE)&amp;"","")</f>
        <v/>
      </c>
      <c r="Y57" s="181">
        <f>IFERROR(VLOOKUP(INDEX(INDIRECT($B$1&amp;"!"&amp;ADDRESS(8,COLUMN()+6,4)&amp;":"&amp;ADDRESS(73,COLUMN()+6,4)),MATCH($B57,INDIRECT($B$1&amp;"!$A$8:$A$73"),0)),CONFIG!$A$15:$B$40,2,FALSE)&amp;"","")</f>
        <v/>
      </c>
      <c r="Z57" s="181">
        <f>IFERROR(VLOOKUP(INDEX(INDIRECT($B$1&amp;"!"&amp;ADDRESS(8,COLUMN()+6,4)&amp;":"&amp;ADDRESS(73,COLUMN()+6,4)),MATCH($B57,INDIRECT($B$1&amp;"!$A$8:$A$73"),0)),CONFIG!$A$15:$B$40,2,FALSE)&amp;"","")</f>
        <v/>
      </c>
      <c r="AA57" s="181">
        <f>IFERROR(VLOOKUP(INDEX(INDIRECT($B$1&amp;"!"&amp;ADDRESS(8,COLUMN()+6,4)&amp;":"&amp;ADDRESS(73,COLUMN()+6,4)),MATCH($B57,INDIRECT($B$1&amp;"!$A$8:$A$73"),0)),CONFIG!$A$15:$B$40,2,FALSE)&amp;"","")</f>
        <v/>
      </c>
      <c r="AB57" s="181">
        <f>IFERROR(VLOOKUP(INDEX(INDIRECT($B$1&amp;"!"&amp;ADDRESS(8,COLUMN()+6,4)&amp;":"&amp;ADDRESS(73,COLUMN()+6,4)),MATCH($B57,INDIRECT($B$1&amp;"!$A$8:$A$73"),0)),CONFIG!$A$15:$B$40,2,FALSE)&amp;"","")</f>
        <v/>
      </c>
      <c r="AC57" s="181">
        <f>IFERROR(VLOOKUP(INDEX(INDIRECT($B$1&amp;"!"&amp;ADDRESS(8,COLUMN()+6,4)&amp;":"&amp;ADDRESS(73,COLUMN()+6,4)),MATCH($B57,INDIRECT($B$1&amp;"!$A$8:$A$73"),0)),CONFIG!$A$15:$B$40,2,FALSE)&amp;"","")</f>
        <v/>
      </c>
      <c r="AD57" s="181">
        <f>IFERROR(VLOOKUP(INDEX(INDIRECT($B$1&amp;"!"&amp;ADDRESS(8,COLUMN()+6,4)&amp;":"&amp;ADDRESS(73,COLUMN()+6,4)),MATCH($B57,INDIRECT($B$1&amp;"!$A$8:$A$73"),0)),CONFIG!$A$15:$B$40,2,FALSE)&amp;"","")</f>
        <v/>
      </c>
      <c r="AE57" s="181">
        <f>IFERROR(VLOOKUP(INDEX(INDIRECT($B$1&amp;"!"&amp;ADDRESS(8,COLUMN()+6,4)&amp;":"&amp;ADDRESS(73,COLUMN()+6,4)),MATCH($B57,INDIRECT($B$1&amp;"!$A$8:$A$73"),0)),CONFIG!$A$15:$B$40,2,FALSE)&amp;"","")</f>
        <v/>
      </c>
      <c r="AF57" s="181">
        <f>IFERROR(VLOOKUP(INDEX(INDIRECT($B$1&amp;"!"&amp;ADDRESS(8,COLUMN()+6,4)&amp;":"&amp;ADDRESS(73,COLUMN()+6,4)),MATCH($B57,INDIRECT($B$1&amp;"!$A$8:$A$73"),0)),CONFIG!$A$15:$B$40,2,FALSE)&amp;"","")</f>
        <v/>
      </c>
      <c r="AG57" s="181">
        <f>IFERROR(VLOOKUP(INDEX(INDIRECT($B$1&amp;"!"&amp;ADDRESS(8,COLUMN()+6,4)&amp;":"&amp;ADDRESS(73,COLUMN()+6,4)),MATCH($B57,INDIRECT($B$1&amp;"!$A$8:$A$73"),0)),CONFIG!$A$15:$B$40,2,FALSE)&amp;"","")</f>
        <v/>
      </c>
      <c r="AH57" s="181">
        <f>IFERROR(VLOOKUP(INDEX(INDIRECT($B$1&amp;"!"&amp;ADDRESS(8,COLUMN()+6,4)&amp;":"&amp;ADDRESS(73,COLUMN()+6,4)),MATCH($B57,INDIRECT($B$1&amp;"!$A$8:$A$73"),0)),CONFIG!$A$15:$B$40,2,FALSE)&amp;"","")</f>
        <v/>
      </c>
      <c r="AI57" s="39" t="n"/>
    </row>
    <row r="58">
      <c r="A58" s="179" t="inlineStr">
        <is>
          <t>Marcia</t>
        </is>
      </c>
      <c r="B58" s="180" t="inlineStr">
        <is>
          <t>Marcia</t>
        </is>
      </c>
      <c r="C58" s="181">
        <f>IFERROR(VLOOKUP(INDEX(INDIRECT($B$1&amp;"!"&amp;ADDRESS(8,COLUMN()+6,4)&amp;":"&amp;ADDRESS(73,COLUMN()+6,4)),MATCH($B58,INDIRECT($B$1&amp;"!$A$8:$A$73"),0)),CONFIG!$A$15:$B$40,2,FALSE)&amp;"","")</f>
        <v/>
      </c>
      <c r="D58" s="181">
        <f>IFERROR(VLOOKUP(INDEX(INDIRECT($B$1&amp;"!"&amp;ADDRESS(8,COLUMN()+6,4)&amp;":"&amp;ADDRESS(73,COLUMN()+6,4)),MATCH($B58,INDIRECT($B$1&amp;"!$A$8:$A$73"),0)),CONFIG!$A$15:$B$40,2,FALSE)&amp;"","")</f>
        <v/>
      </c>
      <c r="E58" s="181">
        <f>IFERROR(VLOOKUP(INDEX(INDIRECT($B$1&amp;"!"&amp;ADDRESS(8,COLUMN()+6,4)&amp;":"&amp;ADDRESS(73,COLUMN()+6,4)),MATCH($B58,INDIRECT($B$1&amp;"!$A$8:$A$73"),0)),CONFIG!$A$15:$B$40,2,FALSE)&amp;"","")</f>
        <v/>
      </c>
      <c r="F58" s="181">
        <f>IFERROR(VLOOKUP(INDEX(INDIRECT($B$1&amp;"!"&amp;ADDRESS(8,COLUMN()+6,4)&amp;":"&amp;ADDRESS(73,COLUMN()+6,4)),MATCH($B58,INDIRECT($B$1&amp;"!$A$8:$A$73"),0)),CONFIG!$A$15:$B$40,2,FALSE)&amp;"","")</f>
        <v/>
      </c>
      <c r="G58" s="181">
        <f>IFERROR(VLOOKUP(INDEX(INDIRECT($B$1&amp;"!"&amp;ADDRESS(8,COLUMN()+6,4)&amp;":"&amp;ADDRESS(73,COLUMN()+6,4)),MATCH($B58,INDIRECT($B$1&amp;"!$A$8:$A$73"),0)),CONFIG!$A$15:$B$40,2,FALSE)&amp;"","")</f>
        <v/>
      </c>
      <c r="H58" s="181">
        <f>IFERROR(VLOOKUP(INDEX(INDIRECT($B$1&amp;"!"&amp;ADDRESS(8,COLUMN()+6,4)&amp;":"&amp;ADDRESS(73,COLUMN()+6,4)),MATCH($B58,INDIRECT($B$1&amp;"!$A$8:$A$73"),0)),CONFIG!$A$15:$B$40,2,FALSE)&amp;"","")</f>
        <v/>
      </c>
      <c r="I58" s="181">
        <f>IFERROR(VLOOKUP(INDEX(INDIRECT($B$1&amp;"!"&amp;ADDRESS(8,COLUMN()+6,4)&amp;":"&amp;ADDRESS(73,COLUMN()+6,4)),MATCH($B58,INDIRECT($B$1&amp;"!$A$8:$A$73"),0)),CONFIG!$A$15:$B$40,2,FALSE)&amp;"","")</f>
        <v/>
      </c>
      <c r="J58" s="181">
        <f>IFERROR(VLOOKUP(INDEX(INDIRECT($B$1&amp;"!"&amp;ADDRESS(8,COLUMN()+6,4)&amp;":"&amp;ADDRESS(73,COLUMN()+6,4)),MATCH($B58,INDIRECT($B$1&amp;"!$A$8:$A$73"),0)),CONFIG!$A$15:$B$40,2,FALSE)&amp;"","")</f>
        <v/>
      </c>
      <c r="K58" s="181">
        <f>IFERROR(VLOOKUP(INDEX(INDIRECT($B$1&amp;"!"&amp;ADDRESS(8,COLUMN()+6,4)&amp;":"&amp;ADDRESS(73,COLUMN()+6,4)),MATCH($B58,INDIRECT($B$1&amp;"!$A$8:$A$73"),0)),CONFIG!$A$15:$B$40,2,FALSE)&amp;"","")</f>
        <v/>
      </c>
      <c r="L58" s="181">
        <f>IFERROR(VLOOKUP(INDEX(INDIRECT($B$1&amp;"!"&amp;ADDRESS(8,COLUMN()+6,4)&amp;":"&amp;ADDRESS(73,COLUMN()+6,4)),MATCH($B58,INDIRECT($B$1&amp;"!$A$8:$A$73"),0)),CONFIG!$A$15:$B$40,2,FALSE)&amp;"","")</f>
        <v/>
      </c>
      <c r="M58" s="181">
        <f>IFERROR(VLOOKUP(INDEX(INDIRECT($B$1&amp;"!"&amp;ADDRESS(8,COLUMN()+6,4)&amp;":"&amp;ADDRESS(73,COLUMN()+6,4)),MATCH($B58,INDIRECT($B$1&amp;"!$A$8:$A$73"),0)),CONFIG!$A$15:$B$40,2,FALSE)&amp;"","")</f>
        <v/>
      </c>
      <c r="N58" s="181">
        <f>IFERROR(VLOOKUP(INDEX(INDIRECT($B$1&amp;"!"&amp;ADDRESS(8,COLUMN()+6,4)&amp;":"&amp;ADDRESS(73,COLUMN()+6,4)),MATCH($B58,INDIRECT($B$1&amp;"!$A$8:$A$73"),0)),CONFIG!$A$15:$B$40,2,FALSE)&amp;"","")</f>
        <v/>
      </c>
      <c r="O58" s="181">
        <f>IFERROR(VLOOKUP(INDEX(INDIRECT($B$1&amp;"!"&amp;ADDRESS(8,COLUMN()+6,4)&amp;":"&amp;ADDRESS(73,COLUMN()+6,4)),MATCH($B58,INDIRECT($B$1&amp;"!$A$8:$A$73"),0)),CONFIG!$A$15:$B$40,2,FALSE)&amp;"","")</f>
        <v/>
      </c>
      <c r="P58" s="181">
        <f>IFERROR(VLOOKUP(INDEX(INDIRECT($B$1&amp;"!"&amp;ADDRESS(8,COLUMN()+6,4)&amp;":"&amp;ADDRESS(73,COLUMN()+6,4)),MATCH($B58,INDIRECT($B$1&amp;"!$A$8:$A$73"),0)),CONFIG!$A$15:$B$40,2,FALSE)&amp;"","")</f>
        <v/>
      </c>
      <c r="Q58" s="181">
        <f>IFERROR(VLOOKUP(INDEX(INDIRECT($B$1&amp;"!"&amp;ADDRESS(8,COLUMN()+6,4)&amp;":"&amp;ADDRESS(73,COLUMN()+6,4)),MATCH($B58,INDIRECT($B$1&amp;"!$A$8:$A$73"),0)),CONFIG!$A$15:$B$40,2,FALSE)&amp;"","")</f>
        <v/>
      </c>
      <c r="R58" s="181">
        <f>IFERROR(VLOOKUP(INDEX(INDIRECT($B$1&amp;"!"&amp;ADDRESS(8,COLUMN()+6,4)&amp;":"&amp;ADDRESS(73,COLUMN()+6,4)),MATCH($B58,INDIRECT($B$1&amp;"!$A$8:$A$73"),0)),CONFIG!$A$15:$B$40,2,FALSE)&amp;"","")</f>
        <v/>
      </c>
      <c r="S58" s="181">
        <f>IFERROR(VLOOKUP(INDEX(INDIRECT($B$1&amp;"!"&amp;ADDRESS(8,COLUMN()+6,4)&amp;":"&amp;ADDRESS(73,COLUMN()+6,4)),MATCH($B58,INDIRECT($B$1&amp;"!$A$8:$A$73"),0)),CONFIG!$A$15:$B$40,2,FALSE)&amp;"","")</f>
        <v/>
      </c>
      <c r="T58" s="181">
        <f>IFERROR(VLOOKUP(INDEX(INDIRECT($B$1&amp;"!"&amp;ADDRESS(8,COLUMN()+6,4)&amp;":"&amp;ADDRESS(73,COLUMN()+6,4)),MATCH($B58,INDIRECT($B$1&amp;"!$A$8:$A$73"),0)),CONFIG!$A$15:$B$40,2,FALSE)&amp;"","")</f>
        <v/>
      </c>
      <c r="U58" s="181">
        <f>IFERROR(VLOOKUP(INDEX(INDIRECT($B$1&amp;"!"&amp;ADDRESS(8,COLUMN()+6,4)&amp;":"&amp;ADDRESS(73,COLUMN()+6,4)),MATCH($B58,INDIRECT($B$1&amp;"!$A$8:$A$73"),0)),CONFIG!$A$15:$B$40,2,FALSE)&amp;"","")</f>
        <v/>
      </c>
      <c r="V58" s="181">
        <f>IFERROR(VLOOKUP(INDEX(INDIRECT($B$1&amp;"!"&amp;ADDRESS(8,COLUMN()+6,4)&amp;":"&amp;ADDRESS(73,COLUMN()+6,4)),MATCH($B58,INDIRECT($B$1&amp;"!$A$8:$A$73"),0)),CONFIG!$A$15:$B$40,2,FALSE)&amp;"","")</f>
        <v/>
      </c>
      <c r="W58" s="181">
        <f>IFERROR(VLOOKUP(INDEX(INDIRECT($B$1&amp;"!"&amp;ADDRESS(8,COLUMN()+6,4)&amp;":"&amp;ADDRESS(73,COLUMN()+6,4)),MATCH($B58,INDIRECT($B$1&amp;"!$A$8:$A$73"),0)),CONFIG!$A$15:$B$40,2,FALSE)&amp;"","")</f>
        <v/>
      </c>
      <c r="X58" s="181">
        <f>IFERROR(VLOOKUP(INDEX(INDIRECT($B$1&amp;"!"&amp;ADDRESS(8,COLUMN()+6,4)&amp;":"&amp;ADDRESS(73,COLUMN()+6,4)),MATCH($B58,INDIRECT($B$1&amp;"!$A$8:$A$73"),0)),CONFIG!$A$15:$B$40,2,FALSE)&amp;"","")</f>
        <v/>
      </c>
      <c r="Y58" s="181">
        <f>IFERROR(VLOOKUP(INDEX(INDIRECT($B$1&amp;"!"&amp;ADDRESS(8,COLUMN()+6,4)&amp;":"&amp;ADDRESS(73,COLUMN()+6,4)),MATCH($B58,INDIRECT($B$1&amp;"!$A$8:$A$73"),0)),CONFIG!$A$15:$B$40,2,FALSE)&amp;"","")</f>
        <v/>
      </c>
      <c r="Z58" s="181">
        <f>IFERROR(VLOOKUP(INDEX(INDIRECT($B$1&amp;"!"&amp;ADDRESS(8,COLUMN()+6,4)&amp;":"&amp;ADDRESS(73,COLUMN()+6,4)),MATCH($B58,INDIRECT($B$1&amp;"!$A$8:$A$73"),0)),CONFIG!$A$15:$B$40,2,FALSE)&amp;"","")</f>
        <v/>
      </c>
      <c r="AA58" s="181">
        <f>IFERROR(VLOOKUP(INDEX(INDIRECT($B$1&amp;"!"&amp;ADDRESS(8,COLUMN()+6,4)&amp;":"&amp;ADDRESS(73,COLUMN()+6,4)),MATCH($B58,INDIRECT($B$1&amp;"!$A$8:$A$73"),0)),CONFIG!$A$15:$B$40,2,FALSE)&amp;"","")</f>
        <v/>
      </c>
      <c r="AB58" s="181">
        <f>IFERROR(VLOOKUP(INDEX(INDIRECT($B$1&amp;"!"&amp;ADDRESS(8,COLUMN()+6,4)&amp;":"&amp;ADDRESS(73,COLUMN()+6,4)),MATCH($B58,INDIRECT($B$1&amp;"!$A$8:$A$73"),0)),CONFIG!$A$15:$B$40,2,FALSE)&amp;"","")</f>
        <v/>
      </c>
      <c r="AC58" s="181">
        <f>IFERROR(VLOOKUP(INDEX(INDIRECT($B$1&amp;"!"&amp;ADDRESS(8,COLUMN()+6,4)&amp;":"&amp;ADDRESS(73,COLUMN()+6,4)),MATCH($B58,INDIRECT($B$1&amp;"!$A$8:$A$73"),0)),CONFIG!$A$15:$B$40,2,FALSE)&amp;"","")</f>
        <v/>
      </c>
      <c r="AD58" s="181">
        <f>IFERROR(VLOOKUP(INDEX(INDIRECT($B$1&amp;"!"&amp;ADDRESS(8,COLUMN()+6,4)&amp;":"&amp;ADDRESS(73,COLUMN()+6,4)),MATCH($B58,INDIRECT($B$1&amp;"!$A$8:$A$73"),0)),CONFIG!$A$15:$B$40,2,FALSE)&amp;"","")</f>
        <v/>
      </c>
      <c r="AE58" s="181">
        <f>IFERROR(VLOOKUP(INDEX(INDIRECT($B$1&amp;"!"&amp;ADDRESS(8,COLUMN()+6,4)&amp;":"&amp;ADDRESS(73,COLUMN()+6,4)),MATCH($B58,INDIRECT($B$1&amp;"!$A$8:$A$73"),0)),CONFIG!$A$15:$B$40,2,FALSE)&amp;"","")</f>
        <v/>
      </c>
      <c r="AF58" s="181">
        <f>IFERROR(VLOOKUP(INDEX(INDIRECT($B$1&amp;"!"&amp;ADDRESS(8,COLUMN()+6,4)&amp;":"&amp;ADDRESS(73,COLUMN()+6,4)),MATCH($B58,INDIRECT($B$1&amp;"!$A$8:$A$73"),0)),CONFIG!$A$15:$B$40,2,FALSE)&amp;"","")</f>
        <v/>
      </c>
      <c r="AG58" s="181">
        <f>IFERROR(VLOOKUP(INDEX(INDIRECT($B$1&amp;"!"&amp;ADDRESS(8,COLUMN()+6,4)&amp;":"&amp;ADDRESS(73,COLUMN()+6,4)),MATCH($B58,INDIRECT($B$1&amp;"!$A$8:$A$73"),0)),CONFIG!$A$15:$B$40,2,FALSE)&amp;"","")</f>
        <v/>
      </c>
      <c r="AH58" s="181">
        <f>IFERROR(VLOOKUP(INDEX(INDIRECT($B$1&amp;"!"&amp;ADDRESS(8,COLUMN()+6,4)&amp;":"&amp;ADDRESS(73,COLUMN()+6,4)),MATCH($B58,INDIRECT($B$1&amp;"!$A$8:$A$73"),0)),CONFIG!$A$15:$B$40,2,FALSE)&amp;"","")</f>
        <v/>
      </c>
      <c r="AI58" s="39" t="n"/>
    </row>
    <row r="59">
      <c r="A59" s="179" t="inlineStr">
        <is>
          <t>Mayara Wobido</t>
        </is>
      </c>
      <c r="B59" s="180" t="inlineStr">
        <is>
          <t>MayWobido</t>
        </is>
      </c>
      <c r="C59" s="181">
        <f>IFERROR(VLOOKUP(INDEX(INDIRECT($B$1&amp;"!"&amp;ADDRESS(8,COLUMN()+6,4)&amp;":"&amp;ADDRESS(73,COLUMN()+6,4)),MATCH($B59,INDIRECT($B$1&amp;"!$A$8:$A$73"),0)),CONFIG!$A$15:$B$40,2,FALSE)&amp;"","")</f>
        <v/>
      </c>
      <c r="D59" s="181">
        <f>IFERROR(VLOOKUP(INDEX(INDIRECT($B$1&amp;"!"&amp;ADDRESS(8,COLUMN()+6,4)&amp;":"&amp;ADDRESS(73,COLUMN()+6,4)),MATCH($B59,INDIRECT($B$1&amp;"!$A$8:$A$73"),0)),CONFIG!$A$15:$B$40,2,FALSE)&amp;"","")</f>
        <v/>
      </c>
      <c r="E59" s="181">
        <f>IFERROR(VLOOKUP(INDEX(INDIRECT($B$1&amp;"!"&amp;ADDRESS(8,COLUMN()+6,4)&amp;":"&amp;ADDRESS(73,COLUMN()+6,4)),MATCH($B59,INDIRECT($B$1&amp;"!$A$8:$A$73"),0)),CONFIG!$A$15:$B$40,2,FALSE)&amp;"","")</f>
        <v/>
      </c>
      <c r="F59" s="181">
        <f>IFERROR(VLOOKUP(INDEX(INDIRECT($B$1&amp;"!"&amp;ADDRESS(8,COLUMN()+6,4)&amp;":"&amp;ADDRESS(73,COLUMN()+6,4)),MATCH($B59,INDIRECT($B$1&amp;"!$A$8:$A$73"),0)),CONFIG!$A$15:$B$40,2,FALSE)&amp;"","")</f>
        <v/>
      </c>
      <c r="G59" s="181">
        <f>IFERROR(VLOOKUP(INDEX(INDIRECT($B$1&amp;"!"&amp;ADDRESS(8,COLUMN()+6,4)&amp;":"&amp;ADDRESS(73,COLUMN()+6,4)),MATCH($B59,INDIRECT($B$1&amp;"!$A$8:$A$73"),0)),CONFIG!$A$15:$B$40,2,FALSE)&amp;"","")</f>
        <v/>
      </c>
      <c r="H59" s="181">
        <f>IFERROR(VLOOKUP(INDEX(INDIRECT($B$1&amp;"!"&amp;ADDRESS(8,COLUMN()+6,4)&amp;":"&amp;ADDRESS(73,COLUMN()+6,4)),MATCH($B59,INDIRECT($B$1&amp;"!$A$8:$A$73"),0)),CONFIG!$A$15:$B$40,2,FALSE)&amp;"","")</f>
        <v/>
      </c>
      <c r="I59" s="181">
        <f>IFERROR(VLOOKUP(INDEX(INDIRECT($B$1&amp;"!"&amp;ADDRESS(8,COLUMN()+6,4)&amp;":"&amp;ADDRESS(73,COLUMN()+6,4)),MATCH($B59,INDIRECT($B$1&amp;"!$A$8:$A$73"),0)),CONFIG!$A$15:$B$40,2,FALSE)&amp;"","")</f>
        <v/>
      </c>
      <c r="J59" s="181">
        <f>IFERROR(VLOOKUP(INDEX(INDIRECT($B$1&amp;"!"&amp;ADDRESS(8,COLUMN()+6,4)&amp;":"&amp;ADDRESS(73,COLUMN()+6,4)),MATCH($B59,INDIRECT($B$1&amp;"!$A$8:$A$73"),0)),CONFIG!$A$15:$B$40,2,FALSE)&amp;"","")</f>
        <v/>
      </c>
      <c r="K59" s="181">
        <f>IFERROR(VLOOKUP(INDEX(INDIRECT($B$1&amp;"!"&amp;ADDRESS(8,COLUMN()+6,4)&amp;":"&amp;ADDRESS(73,COLUMN()+6,4)),MATCH($B59,INDIRECT($B$1&amp;"!$A$8:$A$73"),0)),CONFIG!$A$15:$B$40,2,FALSE)&amp;"","")</f>
        <v/>
      </c>
      <c r="L59" s="181">
        <f>IFERROR(VLOOKUP(INDEX(INDIRECT($B$1&amp;"!"&amp;ADDRESS(8,COLUMN()+6,4)&amp;":"&amp;ADDRESS(73,COLUMN()+6,4)),MATCH($B59,INDIRECT($B$1&amp;"!$A$8:$A$73"),0)),CONFIG!$A$15:$B$40,2,FALSE)&amp;"","")</f>
        <v/>
      </c>
      <c r="M59" s="181">
        <f>IFERROR(VLOOKUP(INDEX(INDIRECT($B$1&amp;"!"&amp;ADDRESS(8,COLUMN()+6,4)&amp;":"&amp;ADDRESS(73,COLUMN()+6,4)),MATCH($B59,INDIRECT($B$1&amp;"!$A$8:$A$73"),0)),CONFIG!$A$15:$B$40,2,FALSE)&amp;"","")</f>
        <v/>
      </c>
      <c r="N59" s="181">
        <f>IFERROR(VLOOKUP(INDEX(INDIRECT($B$1&amp;"!"&amp;ADDRESS(8,COLUMN()+6,4)&amp;":"&amp;ADDRESS(73,COLUMN()+6,4)),MATCH($B59,INDIRECT($B$1&amp;"!$A$8:$A$73"),0)),CONFIG!$A$15:$B$40,2,FALSE)&amp;"","")</f>
        <v/>
      </c>
      <c r="O59" s="181">
        <f>IFERROR(VLOOKUP(INDEX(INDIRECT($B$1&amp;"!"&amp;ADDRESS(8,COLUMN()+6,4)&amp;":"&amp;ADDRESS(73,COLUMN()+6,4)),MATCH($B59,INDIRECT($B$1&amp;"!$A$8:$A$73"),0)),CONFIG!$A$15:$B$40,2,FALSE)&amp;"","")</f>
        <v/>
      </c>
      <c r="P59" s="181">
        <f>IFERROR(VLOOKUP(INDEX(INDIRECT($B$1&amp;"!"&amp;ADDRESS(8,COLUMN()+6,4)&amp;":"&amp;ADDRESS(73,COLUMN()+6,4)),MATCH($B59,INDIRECT($B$1&amp;"!$A$8:$A$73"),0)),CONFIG!$A$15:$B$40,2,FALSE)&amp;"","")</f>
        <v/>
      </c>
      <c r="Q59" s="181">
        <f>IFERROR(VLOOKUP(INDEX(INDIRECT($B$1&amp;"!"&amp;ADDRESS(8,COLUMN()+6,4)&amp;":"&amp;ADDRESS(73,COLUMN()+6,4)),MATCH($B59,INDIRECT($B$1&amp;"!$A$8:$A$73"),0)),CONFIG!$A$15:$B$40,2,FALSE)&amp;"","")</f>
        <v/>
      </c>
      <c r="R59" s="181">
        <f>IFERROR(VLOOKUP(INDEX(INDIRECT($B$1&amp;"!"&amp;ADDRESS(8,COLUMN()+6,4)&amp;":"&amp;ADDRESS(73,COLUMN()+6,4)),MATCH($B59,INDIRECT($B$1&amp;"!$A$8:$A$73"),0)),CONFIG!$A$15:$B$40,2,FALSE)&amp;"","")</f>
        <v/>
      </c>
      <c r="S59" s="181">
        <f>IFERROR(VLOOKUP(INDEX(INDIRECT($B$1&amp;"!"&amp;ADDRESS(8,COLUMN()+6,4)&amp;":"&amp;ADDRESS(73,COLUMN()+6,4)),MATCH($B59,INDIRECT($B$1&amp;"!$A$8:$A$73"),0)),CONFIG!$A$15:$B$40,2,FALSE)&amp;"","")</f>
        <v/>
      </c>
      <c r="T59" s="181">
        <f>IFERROR(VLOOKUP(INDEX(INDIRECT($B$1&amp;"!"&amp;ADDRESS(8,COLUMN()+6,4)&amp;":"&amp;ADDRESS(73,COLUMN()+6,4)),MATCH($B59,INDIRECT($B$1&amp;"!$A$8:$A$73"),0)),CONFIG!$A$15:$B$40,2,FALSE)&amp;"","")</f>
        <v/>
      </c>
      <c r="U59" s="181">
        <f>IFERROR(VLOOKUP(INDEX(INDIRECT($B$1&amp;"!"&amp;ADDRESS(8,COLUMN()+6,4)&amp;":"&amp;ADDRESS(73,COLUMN()+6,4)),MATCH($B59,INDIRECT($B$1&amp;"!$A$8:$A$73"),0)),CONFIG!$A$15:$B$40,2,FALSE)&amp;"","")</f>
        <v/>
      </c>
      <c r="V59" s="181">
        <f>IFERROR(VLOOKUP(INDEX(INDIRECT($B$1&amp;"!"&amp;ADDRESS(8,COLUMN()+6,4)&amp;":"&amp;ADDRESS(73,COLUMN()+6,4)),MATCH($B59,INDIRECT($B$1&amp;"!$A$8:$A$73"),0)),CONFIG!$A$15:$B$40,2,FALSE)&amp;"","")</f>
        <v/>
      </c>
      <c r="W59" s="181">
        <f>IFERROR(VLOOKUP(INDEX(INDIRECT($B$1&amp;"!"&amp;ADDRESS(8,COLUMN()+6,4)&amp;":"&amp;ADDRESS(73,COLUMN()+6,4)),MATCH($B59,INDIRECT($B$1&amp;"!$A$8:$A$73"),0)),CONFIG!$A$15:$B$40,2,FALSE)&amp;"","")</f>
        <v/>
      </c>
      <c r="X59" s="181">
        <f>IFERROR(VLOOKUP(INDEX(INDIRECT($B$1&amp;"!"&amp;ADDRESS(8,COLUMN()+6,4)&amp;":"&amp;ADDRESS(73,COLUMN()+6,4)),MATCH($B59,INDIRECT($B$1&amp;"!$A$8:$A$73"),0)),CONFIG!$A$15:$B$40,2,FALSE)&amp;"","")</f>
        <v/>
      </c>
      <c r="Y59" s="181">
        <f>IFERROR(VLOOKUP(INDEX(INDIRECT($B$1&amp;"!"&amp;ADDRESS(8,COLUMN()+6,4)&amp;":"&amp;ADDRESS(73,COLUMN()+6,4)),MATCH($B59,INDIRECT($B$1&amp;"!$A$8:$A$73"),0)),CONFIG!$A$15:$B$40,2,FALSE)&amp;"","")</f>
        <v/>
      </c>
      <c r="Z59" s="181">
        <f>IFERROR(VLOOKUP(INDEX(INDIRECT($B$1&amp;"!"&amp;ADDRESS(8,COLUMN()+6,4)&amp;":"&amp;ADDRESS(73,COLUMN()+6,4)),MATCH($B59,INDIRECT($B$1&amp;"!$A$8:$A$73"),0)),CONFIG!$A$15:$B$40,2,FALSE)&amp;"","")</f>
        <v/>
      </c>
      <c r="AA59" s="181">
        <f>IFERROR(VLOOKUP(INDEX(INDIRECT($B$1&amp;"!"&amp;ADDRESS(8,COLUMN()+6,4)&amp;":"&amp;ADDRESS(73,COLUMN()+6,4)),MATCH($B59,INDIRECT($B$1&amp;"!$A$8:$A$73"),0)),CONFIG!$A$15:$B$40,2,FALSE)&amp;"","")</f>
        <v/>
      </c>
      <c r="AB59" s="181">
        <f>IFERROR(VLOOKUP(INDEX(INDIRECT($B$1&amp;"!"&amp;ADDRESS(8,COLUMN()+6,4)&amp;":"&amp;ADDRESS(73,COLUMN()+6,4)),MATCH($B59,INDIRECT($B$1&amp;"!$A$8:$A$73"),0)),CONFIG!$A$15:$B$40,2,FALSE)&amp;"","")</f>
        <v/>
      </c>
      <c r="AC59" s="181">
        <f>IFERROR(VLOOKUP(INDEX(INDIRECT($B$1&amp;"!"&amp;ADDRESS(8,COLUMN()+6,4)&amp;":"&amp;ADDRESS(73,COLUMN()+6,4)),MATCH($B59,INDIRECT($B$1&amp;"!$A$8:$A$73"),0)),CONFIG!$A$15:$B$40,2,FALSE)&amp;"","")</f>
        <v/>
      </c>
      <c r="AD59" s="181">
        <f>IFERROR(VLOOKUP(INDEX(INDIRECT($B$1&amp;"!"&amp;ADDRESS(8,COLUMN()+6,4)&amp;":"&amp;ADDRESS(73,COLUMN()+6,4)),MATCH($B59,INDIRECT($B$1&amp;"!$A$8:$A$73"),0)),CONFIG!$A$15:$B$40,2,FALSE)&amp;"","")</f>
        <v/>
      </c>
      <c r="AE59" s="181">
        <f>IFERROR(VLOOKUP(INDEX(INDIRECT($B$1&amp;"!"&amp;ADDRESS(8,COLUMN()+6,4)&amp;":"&amp;ADDRESS(73,COLUMN()+6,4)),MATCH($B59,INDIRECT($B$1&amp;"!$A$8:$A$73"),0)),CONFIG!$A$15:$B$40,2,FALSE)&amp;"","")</f>
        <v/>
      </c>
      <c r="AF59" s="181">
        <f>IFERROR(VLOOKUP(INDEX(INDIRECT($B$1&amp;"!"&amp;ADDRESS(8,COLUMN()+6,4)&amp;":"&amp;ADDRESS(73,COLUMN()+6,4)),MATCH($B59,INDIRECT($B$1&amp;"!$A$8:$A$73"),0)),CONFIG!$A$15:$B$40,2,FALSE)&amp;"","")</f>
        <v/>
      </c>
      <c r="AG59" s="181">
        <f>IFERROR(VLOOKUP(INDEX(INDIRECT($B$1&amp;"!"&amp;ADDRESS(8,COLUMN()+6,4)&amp;":"&amp;ADDRESS(73,COLUMN()+6,4)),MATCH($B59,INDIRECT($B$1&amp;"!$A$8:$A$73"),0)),CONFIG!$A$15:$B$40,2,FALSE)&amp;"","")</f>
        <v/>
      </c>
      <c r="AH59" s="181">
        <f>IFERROR(VLOOKUP(INDEX(INDIRECT($B$1&amp;"!"&amp;ADDRESS(8,COLUMN()+6,4)&amp;":"&amp;ADDRESS(73,COLUMN()+6,4)),MATCH($B59,INDIRECT($B$1&amp;"!$A$8:$A$73"),0)),CONFIG!$A$15:$B$40,2,FALSE)&amp;"","")</f>
        <v/>
      </c>
      <c r="AI59" s="39" t="n"/>
    </row>
    <row r="60">
      <c r="A60" s="179" t="inlineStr">
        <is>
          <t>Luciana Melara</t>
        </is>
      </c>
      <c r="B60" s="180" t="inlineStr">
        <is>
          <t>Melara</t>
        </is>
      </c>
      <c r="C60" s="181">
        <f>IFERROR(VLOOKUP(INDEX(INDIRECT($B$1&amp;"!"&amp;ADDRESS(8,COLUMN()+6,4)&amp;":"&amp;ADDRESS(73,COLUMN()+6,4)),MATCH($B60,INDIRECT($B$1&amp;"!$A$8:$A$73"),0)),CONFIG!$A$15:$B$40,2,FALSE)&amp;"","")</f>
        <v/>
      </c>
      <c r="D60" s="181">
        <f>IFERROR(VLOOKUP(INDEX(INDIRECT($B$1&amp;"!"&amp;ADDRESS(8,COLUMN()+6,4)&amp;":"&amp;ADDRESS(73,COLUMN()+6,4)),MATCH($B60,INDIRECT($B$1&amp;"!$A$8:$A$73"),0)),CONFIG!$A$15:$B$40,2,FALSE)&amp;"","")</f>
        <v/>
      </c>
      <c r="E60" s="181">
        <f>IFERROR(VLOOKUP(INDEX(INDIRECT($B$1&amp;"!"&amp;ADDRESS(8,COLUMN()+6,4)&amp;":"&amp;ADDRESS(73,COLUMN()+6,4)),MATCH($B60,INDIRECT($B$1&amp;"!$A$8:$A$73"),0)),CONFIG!$A$15:$B$40,2,FALSE)&amp;"","")</f>
        <v/>
      </c>
      <c r="F60" s="181">
        <f>IFERROR(VLOOKUP(INDEX(INDIRECT($B$1&amp;"!"&amp;ADDRESS(8,COLUMN()+6,4)&amp;":"&amp;ADDRESS(73,COLUMN()+6,4)),MATCH($B60,INDIRECT($B$1&amp;"!$A$8:$A$73"),0)),CONFIG!$A$15:$B$40,2,FALSE)&amp;"","")</f>
        <v/>
      </c>
      <c r="G60" s="181">
        <f>IFERROR(VLOOKUP(INDEX(INDIRECT($B$1&amp;"!"&amp;ADDRESS(8,COLUMN()+6,4)&amp;":"&amp;ADDRESS(73,COLUMN()+6,4)),MATCH($B60,INDIRECT($B$1&amp;"!$A$8:$A$73"),0)),CONFIG!$A$15:$B$40,2,FALSE)&amp;"","")</f>
        <v/>
      </c>
      <c r="H60" s="181">
        <f>IFERROR(VLOOKUP(INDEX(INDIRECT($B$1&amp;"!"&amp;ADDRESS(8,COLUMN()+6,4)&amp;":"&amp;ADDRESS(73,COLUMN()+6,4)),MATCH($B60,INDIRECT($B$1&amp;"!$A$8:$A$73"),0)),CONFIG!$A$15:$B$40,2,FALSE)&amp;"","")</f>
        <v/>
      </c>
      <c r="I60" s="181">
        <f>IFERROR(VLOOKUP(INDEX(INDIRECT($B$1&amp;"!"&amp;ADDRESS(8,COLUMN()+6,4)&amp;":"&amp;ADDRESS(73,COLUMN()+6,4)),MATCH($B60,INDIRECT($B$1&amp;"!$A$8:$A$73"),0)),CONFIG!$A$15:$B$40,2,FALSE)&amp;"","")</f>
        <v/>
      </c>
      <c r="J60" s="181">
        <f>IFERROR(VLOOKUP(INDEX(INDIRECT($B$1&amp;"!"&amp;ADDRESS(8,COLUMN()+6,4)&amp;":"&amp;ADDRESS(73,COLUMN()+6,4)),MATCH($B60,INDIRECT($B$1&amp;"!$A$8:$A$73"),0)),CONFIG!$A$15:$B$40,2,FALSE)&amp;"","")</f>
        <v/>
      </c>
      <c r="K60" s="181">
        <f>IFERROR(VLOOKUP(INDEX(INDIRECT($B$1&amp;"!"&amp;ADDRESS(8,COLUMN()+6,4)&amp;":"&amp;ADDRESS(73,COLUMN()+6,4)),MATCH($B60,INDIRECT($B$1&amp;"!$A$8:$A$73"),0)),CONFIG!$A$15:$B$40,2,FALSE)&amp;"","")</f>
        <v/>
      </c>
      <c r="L60" s="181">
        <f>IFERROR(VLOOKUP(INDEX(INDIRECT($B$1&amp;"!"&amp;ADDRESS(8,COLUMN()+6,4)&amp;":"&amp;ADDRESS(73,COLUMN()+6,4)),MATCH($B60,INDIRECT($B$1&amp;"!$A$8:$A$73"),0)),CONFIG!$A$15:$B$40,2,FALSE)&amp;"","")</f>
        <v/>
      </c>
      <c r="M60" s="181">
        <f>IFERROR(VLOOKUP(INDEX(INDIRECT($B$1&amp;"!"&amp;ADDRESS(8,COLUMN()+6,4)&amp;":"&amp;ADDRESS(73,COLUMN()+6,4)),MATCH($B60,INDIRECT($B$1&amp;"!$A$8:$A$73"),0)),CONFIG!$A$15:$B$40,2,FALSE)&amp;"","")</f>
        <v/>
      </c>
      <c r="N60" s="181">
        <f>IFERROR(VLOOKUP(INDEX(INDIRECT($B$1&amp;"!"&amp;ADDRESS(8,COLUMN()+6,4)&amp;":"&amp;ADDRESS(73,COLUMN()+6,4)),MATCH($B60,INDIRECT($B$1&amp;"!$A$8:$A$73"),0)),CONFIG!$A$15:$B$40,2,FALSE)&amp;"","")</f>
        <v/>
      </c>
      <c r="O60" s="181">
        <f>IFERROR(VLOOKUP(INDEX(INDIRECT($B$1&amp;"!"&amp;ADDRESS(8,COLUMN()+6,4)&amp;":"&amp;ADDRESS(73,COLUMN()+6,4)),MATCH($B60,INDIRECT($B$1&amp;"!$A$8:$A$73"),0)),CONFIG!$A$15:$B$40,2,FALSE)&amp;"","")</f>
        <v/>
      </c>
      <c r="P60" s="181">
        <f>IFERROR(VLOOKUP(INDEX(INDIRECT($B$1&amp;"!"&amp;ADDRESS(8,COLUMN()+6,4)&amp;":"&amp;ADDRESS(73,COLUMN()+6,4)),MATCH($B60,INDIRECT($B$1&amp;"!$A$8:$A$73"),0)),CONFIG!$A$15:$B$40,2,FALSE)&amp;"","")</f>
        <v/>
      </c>
      <c r="Q60" s="181">
        <f>IFERROR(VLOOKUP(INDEX(INDIRECT($B$1&amp;"!"&amp;ADDRESS(8,COLUMN()+6,4)&amp;":"&amp;ADDRESS(73,COLUMN()+6,4)),MATCH($B60,INDIRECT($B$1&amp;"!$A$8:$A$73"),0)),CONFIG!$A$15:$B$40,2,FALSE)&amp;"","")</f>
        <v/>
      </c>
      <c r="R60" s="181">
        <f>IFERROR(VLOOKUP(INDEX(INDIRECT($B$1&amp;"!"&amp;ADDRESS(8,COLUMN()+6,4)&amp;":"&amp;ADDRESS(73,COLUMN()+6,4)),MATCH($B60,INDIRECT($B$1&amp;"!$A$8:$A$73"),0)),CONFIG!$A$15:$B$40,2,FALSE)&amp;"","")</f>
        <v/>
      </c>
      <c r="S60" s="181">
        <f>IFERROR(VLOOKUP(INDEX(INDIRECT($B$1&amp;"!"&amp;ADDRESS(8,COLUMN()+6,4)&amp;":"&amp;ADDRESS(73,COLUMN()+6,4)),MATCH($B60,INDIRECT($B$1&amp;"!$A$8:$A$73"),0)),CONFIG!$A$15:$B$40,2,FALSE)&amp;"","")</f>
        <v/>
      </c>
      <c r="T60" s="181">
        <f>IFERROR(VLOOKUP(INDEX(INDIRECT($B$1&amp;"!"&amp;ADDRESS(8,COLUMN()+6,4)&amp;":"&amp;ADDRESS(73,COLUMN()+6,4)),MATCH($B60,INDIRECT($B$1&amp;"!$A$8:$A$73"),0)),CONFIG!$A$15:$B$40,2,FALSE)&amp;"","")</f>
        <v/>
      </c>
      <c r="U60" s="181">
        <f>IFERROR(VLOOKUP(INDEX(INDIRECT($B$1&amp;"!"&amp;ADDRESS(8,COLUMN()+6,4)&amp;":"&amp;ADDRESS(73,COLUMN()+6,4)),MATCH($B60,INDIRECT($B$1&amp;"!$A$8:$A$73"),0)),CONFIG!$A$15:$B$40,2,FALSE)&amp;"","")</f>
        <v/>
      </c>
      <c r="V60" s="181">
        <f>IFERROR(VLOOKUP(INDEX(INDIRECT($B$1&amp;"!"&amp;ADDRESS(8,COLUMN()+6,4)&amp;":"&amp;ADDRESS(73,COLUMN()+6,4)),MATCH($B60,INDIRECT($B$1&amp;"!$A$8:$A$73"),0)),CONFIG!$A$15:$B$40,2,FALSE)&amp;"","")</f>
        <v/>
      </c>
      <c r="W60" s="181">
        <f>IFERROR(VLOOKUP(INDEX(INDIRECT($B$1&amp;"!"&amp;ADDRESS(8,COLUMN()+6,4)&amp;":"&amp;ADDRESS(73,COLUMN()+6,4)),MATCH($B60,INDIRECT($B$1&amp;"!$A$8:$A$73"),0)),CONFIG!$A$15:$B$40,2,FALSE)&amp;"","")</f>
        <v/>
      </c>
      <c r="X60" s="181">
        <f>IFERROR(VLOOKUP(INDEX(INDIRECT($B$1&amp;"!"&amp;ADDRESS(8,COLUMN()+6,4)&amp;":"&amp;ADDRESS(73,COLUMN()+6,4)),MATCH($B60,INDIRECT($B$1&amp;"!$A$8:$A$73"),0)),CONFIG!$A$15:$B$40,2,FALSE)&amp;"","")</f>
        <v/>
      </c>
      <c r="Y60" s="181">
        <f>IFERROR(VLOOKUP(INDEX(INDIRECT($B$1&amp;"!"&amp;ADDRESS(8,COLUMN()+6,4)&amp;":"&amp;ADDRESS(73,COLUMN()+6,4)),MATCH($B60,INDIRECT($B$1&amp;"!$A$8:$A$73"),0)),CONFIG!$A$15:$B$40,2,FALSE)&amp;"","")</f>
        <v/>
      </c>
      <c r="Z60" s="181">
        <f>IFERROR(VLOOKUP(INDEX(INDIRECT($B$1&amp;"!"&amp;ADDRESS(8,COLUMN()+6,4)&amp;":"&amp;ADDRESS(73,COLUMN()+6,4)),MATCH($B60,INDIRECT($B$1&amp;"!$A$8:$A$73"),0)),CONFIG!$A$15:$B$40,2,FALSE)&amp;"","")</f>
        <v/>
      </c>
      <c r="AA60" s="181">
        <f>IFERROR(VLOOKUP(INDEX(INDIRECT($B$1&amp;"!"&amp;ADDRESS(8,COLUMN()+6,4)&amp;":"&amp;ADDRESS(73,COLUMN()+6,4)),MATCH($B60,INDIRECT($B$1&amp;"!$A$8:$A$73"),0)),CONFIG!$A$15:$B$40,2,FALSE)&amp;"","")</f>
        <v/>
      </c>
      <c r="AB60" s="181">
        <f>IFERROR(VLOOKUP(INDEX(INDIRECT($B$1&amp;"!"&amp;ADDRESS(8,COLUMN()+6,4)&amp;":"&amp;ADDRESS(73,COLUMN()+6,4)),MATCH($B60,INDIRECT($B$1&amp;"!$A$8:$A$73"),0)),CONFIG!$A$15:$B$40,2,FALSE)&amp;"","")</f>
        <v/>
      </c>
      <c r="AC60" s="181">
        <f>IFERROR(VLOOKUP(INDEX(INDIRECT($B$1&amp;"!"&amp;ADDRESS(8,COLUMN()+6,4)&amp;":"&amp;ADDRESS(73,COLUMN()+6,4)),MATCH($B60,INDIRECT($B$1&amp;"!$A$8:$A$73"),0)),CONFIG!$A$15:$B$40,2,FALSE)&amp;"","")</f>
        <v/>
      </c>
      <c r="AD60" s="181">
        <f>IFERROR(VLOOKUP(INDEX(INDIRECT($B$1&amp;"!"&amp;ADDRESS(8,COLUMN()+6,4)&amp;":"&amp;ADDRESS(73,COLUMN()+6,4)),MATCH($B60,INDIRECT($B$1&amp;"!$A$8:$A$73"),0)),CONFIG!$A$15:$B$40,2,FALSE)&amp;"","")</f>
        <v/>
      </c>
      <c r="AE60" s="181">
        <f>IFERROR(VLOOKUP(INDEX(INDIRECT($B$1&amp;"!"&amp;ADDRESS(8,COLUMN()+6,4)&amp;":"&amp;ADDRESS(73,COLUMN()+6,4)),MATCH($B60,INDIRECT($B$1&amp;"!$A$8:$A$73"),0)),CONFIG!$A$15:$B$40,2,FALSE)&amp;"","")</f>
        <v/>
      </c>
      <c r="AF60" s="181">
        <f>IFERROR(VLOOKUP(INDEX(INDIRECT($B$1&amp;"!"&amp;ADDRESS(8,COLUMN()+6,4)&amp;":"&amp;ADDRESS(73,COLUMN()+6,4)),MATCH($B60,INDIRECT($B$1&amp;"!$A$8:$A$73"),0)),CONFIG!$A$15:$B$40,2,FALSE)&amp;"","")</f>
        <v/>
      </c>
      <c r="AG60" s="181">
        <f>IFERROR(VLOOKUP(INDEX(INDIRECT($B$1&amp;"!"&amp;ADDRESS(8,COLUMN()+6,4)&amp;":"&amp;ADDRESS(73,COLUMN()+6,4)),MATCH($B60,INDIRECT($B$1&amp;"!$A$8:$A$73"),0)),CONFIG!$A$15:$B$40,2,FALSE)&amp;"","")</f>
        <v/>
      </c>
      <c r="AH60" s="181">
        <f>IFERROR(VLOOKUP(INDEX(INDIRECT($B$1&amp;"!"&amp;ADDRESS(8,COLUMN()+6,4)&amp;":"&amp;ADDRESS(73,COLUMN()+6,4)),MATCH($B60,INDIRECT($B$1&amp;"!$A$8:$A$73"),0)),CONFIG!$A$15:$B$40,2,FALSE)&amp;"","")</f>
        <v/>
      </c>
      <c r="AI60" s="39" t="n"/>
    </row>
    <row r="61">
      <c r="A61" s="179" t="inlineStr">
        <is>
          <t>Moabe</t>
        </is>
      </c>
      <c r="B61" s="180" t="inlineStr">
        <is>
          <t>Moabe</t>
        </is>
      </c>
      <c r="C61" s="181">
        <f>IFERROR(VLOOKUP(INDEX(INDIRECT($B$1&amp;"!"&amp;ADDRESS(8,COLUMN()+6,4)&amp;":"&amp;ADDRESS(73,COLUMN()+6,4)),MATCH($B61,INDIRECT($B$1&amp;"!$A$8:$A$73"),0)),CONFIG!$A$15:$B$40,2,FALSE)&amp;"","")</f>
        <v/>
      </c>
      <c r="D61" s="181">
        <f>IFERROR(VLOOKUP(INDEX(INDIRECT($B$1&amp;"!"&amp;ADDRESS(8,COLUMN()+6,4)&amp;":"&amp;ADDRESS(73,COLUMN()+6,4)),MATCH($B61,INDIRECT($B$1&amp;"!$A$8:$A$73"),0)),CONFIG!$A$15:$B$40,2,FALSE)&amp;"","")</f>
        <v/>
      </c>
      <c r="E61" s="181">
        <f>IFERROR(VLOOKUP(INDEX(INDIRECT($B$1&amp;"!"&amp;ADDRESS(8,COLUMN()+6,4)&amp;":"&amp;ADDRESS(73,COLUMN()+6,4)),MATCH($B61,INDIRECT($B$1&amp;"!$A$8:$A$73"),0)),CONFIG!$A$15:$B$40,2,FALSE)&amp;"","")</f>
        <v/>
      </c>
      <c r="F61" s="181">
        <f>IFERROR(VLOOKUP(INDEX(INDIRECT($B$1&amp;"!"&amp;ADDRESS(8,COLUMN()+6,4)&amp;":"&amp;ADDRESS(73,COLUMN()+6,4)),MATCH($B61,INDIRECT($B$1&amp;"!$A$8:$A$73"),0)),CONFIG!$A$15:$B$40,2,FALSE)&amp;"","")</f>
        <v/>
      </c>
      <c r="G61" s="181">
        <f>IFERROR(VLOOKUP(INDEX(INDIRECT($B$1&amp;"!"&amp;ADDRESS(8,COLUMN()+6,4)&amp;":"&amp;ADDRESS(73,COLUMN()+6,4)),MATCH($B61,INDIRECT($B$1&amp;"!$A$8:$A$73"),0)),CONFIG!$A$15:$B$40,2,FALSE)&amp;"","")</f>
        <v/>
      </c>
      <c r="H61" s="181">
        <f>IFERROR(VLOOKUP(INDEX(INDIRECT($B$1&amp;"!"&amp;ADDRESS(8,COLUMN()+6,4)&amp;":"&amp;ADDRESS(73,COLUMN()+6,4)),MATCH($B61,INDIRECT($B$1&amp;"!$A$8:$A$73"),0)),CONFIG!$A$15:$B$40,2,FALSE)&amp;"","")</f>
        <v/>
      </c>
      <c r="I61" s="181">
        <f>IFERROR(VLOOKUP(INDEX(INDIRECT($B$1&amp;"!"&amp;ADDRESS(8,COLUMN()+6,4)&amp;":"&amp;ADDRESS(73,COLUMN()+6,4)),MATCH($B61,INDIRECT($B$1&amp;"!$A$8:$A$73"),0)),CONFIG!$A$15:$B$40,2,FALSE)&amp;"","")</f>
        <v/>
      </c>
      <c r="J61" s="181">
        <f>IFERROR(VLOOKUP(INDEX(INDIRECT($B$1&amp;"!"&amp;ADDRESS(8,COLUMN()+6,4)&amp;":"&amp;ADDRESS(73,COLUMN()+6,4)),MATCH($B61,INDIRECT($B$1&amp;"!$A$8:$A$73"),0)),CONFIG!$A$15:$B$40,2,FALSE)&amp;"","")</f>
        <v/>
      </c>
      <c r="K61" s="181">
        <f>IFERROR(VLOOKUP(INDEX(INDIRECT($B$1&amp;"!"&amp;ADDRESS(8,COLUMN()+6,4)&amp;":"&amp;ADDRESS(73,COLUMN()+6,4)),MATCH($B61,INDIRECT($B$1&amp;"!$A$8:$A$73"),0)),CONFIG!$A$15:$B$40,2,FALSE)&amp;"","")</f>
        <v/>
      </c>
      <c r="L61" s="181">
        <f>IFERROR(VLOOKUP(INDEX(INDIRECT($B$1&amp;"!"&amp;ADDRESS(8,COLUMN()+6,4)&amp;":"&amp;ADDRESS(73,COLUMN()+6,4)),MATCH($B61,INDIRECT($B$1&amp;"!$A$8:$A$73"),0)),CONFIG!$A$15:$B$40,2,FALSE)&amp;"","")</f>
        <v/>
      </c>
      <c r="M61" s="181">
        <f>IFERROR(VLOOKUP(INDEX(INDIRECT($B$1&amp;"!"&amp;ADDRESS(8,COLUMN()+6,4)&amp;":"&amp;ADDRESS(73,COLUMN()+6,4)),MATCH($B61,INDIRECT($B$1&amp;"!$A$8:$A$73"),0)),CONFIG!$A$15:$B$40,2,FALSE)&amp;"","")</f>
        <v/>
      </c>
      <c r="N61" s="181">
        <f>IFERROR(VLOOKUP(INDEX(INDIRECT($B$1&amp;"!"&amp;ADDRESS(8,COLUMN()+6,4)&amp;":"&amp;ADDRESS(73,COLUMN()+6,4)),MATCH($B61,INDIRECT($B$1&amp;"!$A$8:$A$73"),0)),CONFIG!$A$15:$B$40,2,FALSE)&amp;"","")</f>
        <v/>
      </c>
      <c r="O61" s="181">
        <f>IFERROR(VLOOKUP(INDEX(INDIRECT($B$1&amp;"!"&amp;ADDRESS(8,COLUMN()+6,4)&amp;":"&amp;ADDRESS(73,COLUMN()+6,4)),MATCH($B61,INDIRECT($B$1&amp;"!$A$8:$A$73"),0)),CONFIG!$A$15:$B$40,2,FALSE)&amp;"","")</f>
        <v/>
      </c>
      <c r="P61" s="181">
        <f>IFERROR(VLOOKUP(INDEX(INDIRECT($B$1&amp;"!"&amp;ADDRESS(8,COLUMN()+6,4)&amp;":"&amp;ADDRESS(73,COLUMN()+6,4)),MATCH($B61,INDIRECT($B$1&amp;"!$A$8:$A$73"),0)),CONFIG!$A$15:$B$40,2,FALSE)&amp;"","")</f>
        <v/>
      </c>
      <c r="Q61" s="181">
        <f>IFERROR(VLOOKUP(INDEX(INDIRECT($B$1&amp;"!"&amp;ADDRESS(8,COLUMN()+6,4)&amp;":"&amp;ADDRESS(73,COLUMN()+6,4)),MATCH($B61,INDIRECT($B$1&amp;"!$A$8:$A$73"),0)),CONFIG!$A$15:$B$40,2,FALSE)&amp;"","")</f>
        <v/>
      </c>
      <c r="R61" s="181">
        <f>IFERROR(VLOOKUP(INDEX(INDIRECT($B$1&amp;"!"&amp;ADDRESS(8,COLUMN()+6,4)&amp;":"&amp;ADDRESS(73,COLUMN()+6,4)),MATCH($B61,INDIRECT($B$1&amp;"!$A$8:$A$73"),0)),CONFIG!$A$15:$B$40,2,FALSE)&amp;"","")</f>
        <v/>
      </c>
      <c r="S61" s="181">
        <f>IFERROR(VLOOKUP(INDEX(INDIRECT($B$1&amp;"!"&amp;ADDRESS(8,COLUMN()+6,4)&amp;":"&amp;ADDRESS(73,COLUMN()+6,4)),MATCH($B61,INDIRECT($B$1&amp;"!$A$8:$A$73"),0)),CONFIG!$A$15:$B$40,2,FALSE)&amp;"","")</f>
        <v/>
      </c>
      <c r="T61" s="181">
        <f>IFERROR(VLOOKUP(INDEX(INDIRECT($B$1&amp;"!"&amp;ADDRESS(8,COLUMN()+6,4)&amp;":"&amp;ADDRESS(73,COLUMN()+6,4)),MATCH($B61,INDIRECT($B$1&amp;"!$A$8:$A$73"),0)),CONFIG!$A$15:$B$40,2,FALSE)&amp;"","")</f>
        <v/>
      </c>
      <c r="U61" s="181">
        <f>IFERROR(VLOOKUP(INDEX(INDIRECT($B$1&amp;"!"&amp;ADDRESS(8,COLUMN()+6,4)&amp;":"&amp;ADDRESS(73,COLUMN()+6,4)),MATCH($B61,INDIRECT($B$1&amp;"!$A$8:$A$73"),0)),CONFIG!$A$15:$B$40,2,FALSE)&amp;"","")</f>
        <v/>
      </c>
      <c r="V61" s="181">
        <f>IFERROR(VLOOKUP(INDEX(INDIRECT($B$1&amp;"!"&amp;ADDRESS(8,COLUMN()+6,4)&amp;":"&amp;ADDRESS(73,COLUMN()+6,4)),MATCH($B61,INDIRECT($B$1&amp;"!$A$8:$A$73"),0)),CONFIG!$A$15:$B$40,2,FALSE)&amp;"","")</f>
        <v/>
      </c>
      <c r="W61" s="181">
        <f>IFERROR(VLOOKUP(INDEX(INDIRECT($B$1&amp;"!"&amp;ADDRESS(8,COLUMN()+6,4)&amp;":"&amp;ADDRESS(73,COLUMN()+6,4)),MATCH($B61,INDIRECT($B$1&amp;"!$A$8:$A$73"),0)),CONFIG!$A$15:$B$40,2,FALSE)&amp;"","")</f>
        <v/>
      </c>
      <c r="X61" s="181">
        <f>IFERROR(VLOOKUP(INDEX(INDIRECT($B$1&amp;"!"&amp;ADDRESS(8,COLUMN()+6,4)&amp;":"&amp;ADDRESS(73,COLUMN()+6,4)),MATCH($B61,INDIRECT($B$1&amp;"!$A$8:$A$73"),0)),CONFIG!$A$15:$B$40,2,FALSE)&amp;"","")</f>
        <v/>
      </c>
      <c r="Y61" s="181">
        <f>IFERROR(VLOOKUP(INDEX(INDIRECT($B$1&amp;"!"&amp;ADDRESS(8,COLUMN()+6,4)&amp;":"&amp;ADDRESS(73,COLUMN()+6,4)),MATCH($B61,INDIRECT($B$1&amp;"!$A$8:$A$73"),0)),CONFIG!$A$15:$B$40,2,FALSE)&amp;"","")</f>
        <v/>
      </c>
      <c r="Z61" s="181">
        <f>IFERROR(VLOOKUP(INDEX(INDIRECT($B$1&amp;"!"&amp;ADDRESS(8,COLUMN()+6,4)&amp;":"&amp;ADDRESS(73,COLUMN()+6,4)),MATCH($B61,INDIRECT($B$1&amp;"!$A$8:$A$73"),0)),CONFIG!$A$15:$B$40,2,FALSE)&amp;"","")</f>
        <v/>
      </c>
      <c r="AA61" s="181">
        <f>IFERROR(VLOOKUP(INDEX(INDIRECT($B$1&amp;"!"&amp;ADDRESS(8,COLUMN()+6,4)&amp;":"&amp;ADDRESS(73,COLUMN()+6,4)),MATCH($B61,INDIRECT($B$1&amp;"!$A$8:$A$73"),0)),CONFIG!$A$15:$B$40,2,FALSE)&amp;"","")</f>
        <v/>
      </c>
      <c r="AB61" s="181">
        <f>IFERROR(VLOOKUP(INDEX(INDIRECT($B$1&amp;"!"&amp;ADDRESS(8,COLUMN()+6,4)&amp;":"&amp;ADDRESS(73,COLUMN()+6,4)),MATCH($B61,INDIRECT($B$1&amp;"!$A$8:$A$73"),0)),CONFIG!$A$15:$B$40,2,FALSE)&amp;"","")</f>
        <v/>
      </c>
      <c r="AC61" s="181">
        <f>IFERROR(VLOOKUP(INDEX(INDIRECT($B$1&amp;"!"&amp;ADDRESS(8,COLUMN()+6,4)&amp;":"&amp;ADDRESS(73,COLUMN()+6,4)),MATCH($B61,INDIRECT($B$1&amp;"!$A$8:$A$73"),0)),CONFIG!$A$15:$B$40,2,FALSE)&amp;"","")</f>
        <v/>
      </c>
      <c r="AD61" s="181">
        <f>IFERROR(VLOOKUP(INDEX(INDIRECT($B$1&amp;"!"&amp;ADDRESS(8,COLUMN()+6,4)&amp;":"&amp;ADDRESS(73,COLUMN()+6,4)),MATCH($B61,INDIRECT($B$1&amp;"!$A$8:$A$73"),0)),CONFIG!$A$15:$B$40,2,FALSE)&amp;"","")</f>
        <v/>
      </c>
      <c r="AE61" s="181">
        <f>IFERROR(VLOOKUP(INDEX(INDIRECT($B$1&amp;"!"&amp;ADDRESS(8,COLUMN()+6,4)&amp;":"&amp;ADDRESS(73,COLUMN()+6,4)),MATCH($B61,INDIRECT($B$1&amp;"!$A$8:$A$73"),0)),CONFIG!$A$15:$B$40,2,FALSE)&amp;"","")</f>
        <v/>
      </c>
      <c r="AF61" s="181">
        <f>IFERROR(VLOOKUP(INDEX(INDIRECT($B$1&amp;"!"&amp;ADDRESS(8,COLUMN()+6,4)&amp;":"&amp;ADDRESS(73,COLUMN()+6,4)),MATCH($B61,INDIRECT($B$1&amp;"!$A$8:$A$73"),0)),CONFIG!$A$15:$B$40,2,FALSE)&amp;"","")</f>
        <v/>
      </c>
      <c r="AG61" s="181">
        <f>IFERROR(VLOOKUP(INDEX(INDIRECT($B$1&amp;"!"&amp;ADDRESS(8,COLUMN()+6,4)&amp;":"&amp;ADDRESS(73,COLUMN()+6,4)),MATCH($B61,INDIRECT($B$1&amp;"!$A$8:$A$73"),0)),CONFIG!$A$15:$B$40,2,FALSE)&amp;"","")</f>
        <v/>
      </c>
      <c r="AH61" s="181">
        <f>IFERROR(VLOOKUP(INDEX(INDIRECT($B$1&amp;"!"&amp;ADDRESS(8,COLUMN()+6,4)&amp;":"&amp;ADDRESS(73,COLUMN()+6,4)),MATCH($B61,INDIRECT($B$1&amp;"!$A$8:$A$73"),0)),CONFIG!$A$15:$B$40,2,FALSE)&amp;"","")</f>
        <v/>
      </c>
      <c r="AI61" s="39" t="n"/>
    </row>
    <row r="62">
      <c r="A62" s="179" t="inlineStr">
        <is>
          <t>Laura Nishioka</t>
        </is>
      </c>
      <c r="B62" s="180" t="inlineStr">
        <is>
          <t>Nishioka</t>
        </is>
      </c>
      <c r="C62" s="181">
        <f>IFERROR(VLOOKUP(INDEX(INDIRECT($B$1&amp;"!"&amp;ADDRESS(8,COLUMN()+6,4)&amp;":"&amp;ADDRESS(73,COLUMN()+6,4)),MATCH($B62,INDIRECT($B$1&amp;"!$A$8:$A$73"),0)),CONFIG!$A$15:$B$40,2,FALSE)&amp;"","")</f>
        <v/>
      </c>
      <c r="D62" s="181">
        <f>IFERROR(VLOOKUP(INDEX(INDIRECT($B$1&amp;"!"&amp;ADDRESS(8,COLUMN()+6,4)&amp;":"&amp;ADDRESS(73,COLUMN()+6,4)),MATCH($B62,INDIRECT($B$1&amp;"!$A$8:$A$73"),0)),CONFIG!$A$15:$B$40,2,FALSE)&amp;"","")</f>
        <v/>
      </c>
      <c r="E62" s="181">
        <f>IFERROR(VLOOKUP(INDEX(INDIRECT($B$1&amp;"!"&amp;ADDRESS(8,COLUMN()+6,4)&amp;":"&amp;ADDRESS(73,COLUMN()+6,4)),MATCH($B62,INDIRECT($B$1&amp;"!$A$8:$A$73"),0)),CONFIG!$A$15:$B$40,2,FALSE)&amp;"","")</f>
        <v/>
      </c>
      <c r="F62" s="181">
        <f>IFERROR(VLOOKUP(INDEX(INDIRECT($B$1&amp;"!"&amp;ADDRESS(8,COLUMN()+6,4)&amp;":"&amp;ADDRESS(73,COLUMN()+6,4)),MATCH($B62,INDIRECT($B$1&amp;"!$A$8:$A$73"),0)),CONFIG!$A$15:$B$40,2,FALSE)&amp;"","")</f>
        <v/>
      </c>
      <c r="G62" s="181">
        <f>IFERROR(VLOOKUP(INDEX(INDIRECT($B$1&amp;"!"&amp;ADDRESS(8,COLUMN()+6,4)&amp;":"&amp;ADDRESS(73,COLUMN()+6,4)),MATCH($B62,INDIRECT($B$1&amp;"!$A$8:$A$73"),0)),CONFIG!$A$15:$B$40,2,FALSE)&amp;"","")</f>
        <v/>
      </c>
      <c r="H62" s="181">
        <f>IFERROR(VLOOKUP(INDEX(INDIRECT($B$1&amp;"!"&amp;ADDRESS(8,COLUMN()+6,4)&amp;":"&amp;ADDRESS(73,COLUMN()+6,4)),MATCH($B62,INDIRECT($B$1&amp;"!$A$8:$A$73"),0)),CONFIG!$A$15:$B$40,2,FALSE)&amp;"","")</f>
        <v/>
      </c>
      <c r="I62" s="181">
        <f>IFERROR(VLOOKUP(INDEX(INDIRECT($B$1&amp;"!"&amp;ADDRESS(8,COLUMN()+6,4)&amp;":"&amp;ADDRESS(73,COLUMN()+6,4)),MATCH($B62,INDIRECT($B$1&amp;"!$A$8:$A$73"),0)),CONFIG!$A$15:$B$40,2,FALSE)&amp;"","")</f>
        <v/>
      </c>
      <c r="J62" s="181">
        <f>IFERROR(VLOOKUP(INDEX(INDIRECT($B$1&amp;"!"&amp;ADDRESS(8,COLUMN()+6,4)&amp;":"&amp;ADDRESS(73,COLUMN()+6,4)),MATCH($B62,INDIRECT($B$1&amp;"!$A$8:$A$73"),0)),CONFIG!$A$15:$B$40,2,FALSE)&amp;"","")</f>
        <v/>
      </c>
      <c r="K62" s="181">
        <f>IFERROR(VLOOKUP(INDEX(INDIRECT($B$1&amp;"!"&amp;ADDRESS(8,COLUMN()+6,4)&amp;":"&amp;ADDRESS(73,COLUMN()+6,4)),MATCH($B62,INDIRECT($B$1&amp;"!$A$8:$A$73"),0)),CONFIG!$A$15:$B$40,2,FALSE)&amp;"","")</f>
        <v/>
      </c>
      <c r="L62" s="181">
        <f>IFERROR(VLOOKUP(INDEX(INDIRECT($B$1&amp;"!"&amp;ADDRESS(8,COLUMN()+6,4)&amp;":"&amp;ADDRESS(73,COLUMN()+6,4)),MATCH($B62,INDIRECT($B$1&amp;"!$A$8:$A$73"),0)),CONFIG!$A$15:$B$40,2,FALSE)&amp;"","")</f>
        <v/>
      </c>
      <c r="M62" s="181">
        <f>IFERROR(VLOOKUP(INDEX(INDIRECT($B$1&amp;"!"&amp;ADDRESS(8,COLUMN()+6,4)&amp;":"&amp;ADDRESS(73,COLUMN()+6,4)),MATCH($B62,INDIRECT($B$1&amp;"!$A$8:$A$73"),0)),CONFIG!$A$15:$B$40,2,FALSE)&amp;"","")</f>
        <v/>
      </c>
      <c r="N62" s="181">
        <f>IFERROR(VLOOKUP(INDEX(INDIRECT($B$1&amp;"!"&amp;ADDRESS(8,COLUMN()+6,4)&amp;":"&amp;ADDRESS(73,COLUMN()+6,4)),MATCH($B62,INDIRECT($B$1&amp;"!$A$8:$A$73"),0)),CONFIG!$A$15:$B$40,2,FALSE)&amp;"","")</f>
        <v/>
      </c>
      <c r="O62" s="181">
        <f>IFERROR(VLOOKUP(INDEX(INDIRECT($B$1&amp;"!"&amp;ADDRESS(8,COLUMN()+6,4)&amp;":"&amp;ADDRESS(73,COLUMN()+6,4)),MATCH($B62,INDIRECT($B$1&amp;"!$A$8:$A$73"),0)),CONFIG!$A$15:$B$40,2,FALSE)&amp;"","")</f>
        <v/>
      </c>
      <c r="P62" s="181">
        <f>IFERROR(VLOOKUP(INDEX(INDIRECT($B$1&amp;"!"&amp;ADDRESS(8,COLUMN()+6,4)&amp;":"&amp;ADDRESS(73,COLUMN()+6,4)),MATCH($B62,INDIRECT($B$1&amp;"!$A$8:$A$73"),0)),CONFIG!$A$15:$B$40,2,FALSE)&amp;"","")</f>
        <v/>
      </c>
      <c r="Q62" s="181">
        <f>IFERROR(VLOOKUP(INDEX(INDIRECT($B$1&amp;"!"&amp;ADDRESS(8,COLUMN()+6,4)&amp;":"&amp;ADDRESS(73,COLUMN()+6,4)),MATCH($B62,INDIRECT($B$1&amp;"!$A$8:$A$73"),0)),CONFIG!$A$15:$B$40,2,FALSE)&amp;"","")</f>
        <v/>
      </c>
      <c r="R62" s="181">
        <f>IFERROR(VLOOKUP(INDEX(INDIRECT($B$1&amp;"!"&amp;ADDRESS(8,COLUMN()+6,4)&amp;":"&amp;ADDRESS(73,COLUMN()+6,4)),MATCH($B62,INDIRECT($B$1&amp;"!$A$8:$A$73"),0)),CONFIG!$A$15:$B$40,2,FALSE)&amp;"","")</f>
        <v/>
      </c>
      <c r="S62" s="181">
        <f>IFERROR(VLOOKUP(INDEX(INDIRECT($B$1&amp;"!"&amp;ADDRESS(8,COLUMN()+6,4)&amp;":"&amp;ADDRESS(73,COLUMN()+6,4)),MATCH($B62,INDIRECT($B$1&amp;"!$A$8:$A$73"),0)),CONFIG!$A$15:$B$40,2,FALSE)&amp;"","")</f>
        <v/>
      </c>
      <c r="T62" s="181">
        <f>IFERROR(VLOOKUP(INDEX(INDIRECT($B$1&amp;"!"&amp;ADDRESS(8,COLUMN()+6,4)&amp;":"&amp;ADDRESS(73,COLUMN()+6,4)),MATCH($B62,INDIRECT($B$1&amp;"!$A$8:$A$73"),0)),CONFIG!$A$15:$B$40,2,FALSE)&amp;"","")</f>
        <v/>
      </c>
      <c r="U62" s="181">
        <f>IFERROR(VLOOKUP(INDEX(INDIRECT($B$1&amp;"!"&amp;ADDRESS(8,COLUMN()+6,4)&amp;":"&amp;ADDRESS(73,COLUMN()+6,4)),MATCH($B62,INDIRECT($B$1&amp;"!$A$8:$A$73"),0)),CONFIG!$A$15:$B$40,2,FALSE)&amp;"","")</f>
        <v/>
      </c>
      <c r="V62" s="181">
        <f>IFERROR(VLOOKUP(INDEX(INDIRECT($B$1&amp;"!"&amp;ADDRESS(8,COLUMN()+6,4)&amp;":"&amp;ADDRESS(73,COLUMN()+6,4)),MATCH($B62,INDIRECT($B$1&amp;"!$A$8:$A$73"),0)),CONFIG!$A$15:$B$40,2,FALSE)&amp;"","")</f>
        <v/>
      </c>
      <c r="W62" s="181">
        <f>IFERROR(VLOOKUP(INDEX(INDIRECT($B$1&amp;"!"&amp;ADDRESS(8,COLUMN()+6,4)&amp;":"&amp;ADDRESS(73,COLUMN()+6,4)),MATCH($B62,INDIRECT($B$1&amp;"!$A$8:$A$73"),0)),CONFIG!$A$15:$B$40,2,FALSE)&amp;"","")</f>
        <v/>
      </c>
      <c r="X62" s="181">
        <f>IFERROR(VLOOKUP(INDEX(INDIRECT($B$1&amp;"!"&amp;ADDRESS(8,COLUMN()+6,4)&amp;":"&amp;ADDRESS(73,COLUMN()+6,4)),MATCH($B62,INDIRECT($B$1&amp;"!$A$8:$A$73"),0)),CONFIG!$A$15:$B$40,2,FALSE)&amp;"","")</f>
        <v/>
      </c>
      <c r="Y62" s="181">
        <f>IFERROR(VLOOKUP(INDEX(INDIRECT($B$1&amp;"!"&amp;ADDRESS(8,COLUMN()+6,4)&amp;":"&amp;ADDRESS(73,COLUMN()+6,4)),MATCH($B62,INDIRECT($B$1&amp;"!$A$8:$A$73"),0)),CONFIG!$A$15:$B$40,2,FALSE)&amp;"","")</f>
        <v/>
      </c>
      <c r="Z62" s="181">
        <f>IFERROR(VLOOKUP(INDEX(INDIRECT($B$1&amp;"!"&amp;ADDRESS(8,COLUMN()+6,4)&amp;":"&amp;ADDRESS(73,COLUMN()+6,4)),MATCH($B62,INDIRECT($B$1&amp;"!$A$8:$A$73"),0)),CONFIG!$A$15:$B$40,2,FALSE)&amp;"","")</f>
        <v/>
      </c>
      <c r="AA62" s="181">
        <f>IFERROR(VLOOKUP(INDEX(INDIRECT($B$1&amp;"!"&amp;ADDRESS(8,COLUMN()+6,4)&amp;":"&amp;ADDRESS(73,COLUMN()+6,4)),MATCH($B62,INDIRECT($B$1&amp;"!$A$8:$A$73"),0)),CONFIG!$A$15:$B$40,2,FALSE)&amp;"","")</f>
        <v/>
      </c>
      <c r="AB62" s="181">
        <f>IFERROR(VLOOKUP(INDEX(INDIRECT($B$1&amp;"!"&amp;ADDRESS(8,COLUMN()+6,4)&amp;":"&amp;ADDRESS(73,COLUMN()+6,4)),MATCH($B62,INDIRECT($B$1&amp;"!$A$8:$A$73"),0)),CONFIG!$A$15:$B$40,2,FALSE)&amp;"","")</f>
        <v/>
      </c>
      <c r="AC62" s="181">
        <f>IFERROR(VLOOKUP(INDEX(INDIRECT($B$1&amp;"!"&amp;ADDRESS(8,COLUMN()+6,4)&amp;":"&amp;ADDRESS(73,COLUMN()+6,4)),MATCH($B62,INDIRECT($B$1&amp;"!$A$8:$A$73"),0)),CONFIG!$A$15:$B$40,2,FALSE)&amp;"","")</f>
        <v/>
      </c>
      <c r="AD62" s="181">
        <f>IFERROR(VLOOKUP(INDEX(INDIRECT($B$1&amp;"!"&amp;ADDRESS(8,COLUMN()+6,4)&amp;":"&amp;ADDRESS(73,COLUMN()+6,4)),MATCH($B62,INDIRECT($B$1&amp;"!$A$8:$A$73"),0)),CONFIG!$A$15:$B$40,2,FALSE)&amp;"","")</f>
        <v/>
      </c>
      <c r="AE62" s="181">
        <f>IFERROR(VLOOKUP(INDEX(INDIRECT($B$1&amp;"!"&amp;ADDRESS(8,COLUMN()+6,4)&amp;":"&amp;ADDRESS(73,COLUMN()+6,4)),MATCH($B62,INDIRECT($B$1&amp;"!$A$8:$A$73"),0)),CONFIG!$A$15:$B$40,2,FALSE)&amp;"","")</f>
        <v/>
      </c>
      <c r="AF62" s="181">
        <f>IFERROR(VLOOKUP(INDEX(INDIRECT($B$1&amp;"!"&amp;ADDRESS(8,COLUMN()+6,4)&amp;":"&amp;ADDRESS(73,COLUMN()+6,4)),MATCH($B62,INDIRECT($B$1&amp;"!$A$8:$A$73"),0)),CONFIG!$A$15:$B$40,2,FALSE)&amp;"","")</f>
        <v/>
      </c>
      <c r="AG62" s="181">
        <f>IFERROR(VLOOKUP(INDEX(INDIRECT($B$1&amp;"!"&amp;ADDRESS(8,COLUMN()+6,4)&amp;":"&amp;ADDRESS(73,COLUMN()+6,4)),MATCH($B62,INDIRECT($B$1&amp;"!$A$8:$A$73"),0)),CONFIG!$A$15:$B$40,2,FALSE)&amp;"","")</f>
        <v/>
      </c>
      <c r="AH62" s="181">
        <f>IFERROR(VLOOKUP(INDEX(INDIRECT($B$1&amp;"!"&amp;ADDRESS(8,COLUMN()+6,4)&amp;":"&amp;ADDRESS(73,COLUMN()+6,4)),MATCH($B62,INDIRECT($B$1&amp;"!$A$8:$A$73"),0)),CONFIG!$A$15:$B$40,2,FALSE)&amp;"","")</f>
        <v/>
      </c>
      <c r="AI62" s="39" t="n"/>
    </row>
    <row r="63">
      <c r="A63" s="179" t="inlineStr">
        <is>
          <t>Patricia Abreu</t>
        </is>
      </c>
      <c r="B63" s="180" t="inlineStr">
        <is>
          <t>Patricia</t>
        </is>
      </c>
      <c r="C63" s="181">
        <f>IFERROR(VLOOKUP(INDEX(INDIRECT($B$1&amp;"!"&amp;ADDRESS(8,COLUMN()+6,4)&amp;":"&amp;ADDRESS(73,COLUMN()+6,4)),MATCH($B63,INDIRECT($B$1&amp;"!$A$8:$A$73"),0)),CONFIG!$A$15:$B$40,2,FALSE)&amp;"","")</f>
        <v/>
      </c>
      <c r="D63" s="181">
        <f>IFERROR(VLOOKUP(INDEX(INDIRECT($B$1&amp;"!"&amp;ADDRESS(8,COLUMN()+6,4)&amp;":"&amp;ADDRESS(73,COLUMN()+6,4)),MATCH($B63,INDIRECT($B$1&amp;"!$A$8:$A$73"),0)),CONFIG!$A$15:$B$40,2,FALSE)&amp;"","")</f>
        <v/>
      </c>
      <c r="E63" s="181">
        <f>IFERROR(VLOOKUP(INDEX(INDIRECT($B$1&amp;"!"&amp;ADDRESS(8,COLUMN()+6,4)&amp;":"&amp;ADDRESS(73,COLUMN()+6,4)),MATCH($B63,INDIRECT($B$1&amp;"!$A$8:$A$73"),0)),CONFIG!$A$15:$B$40,2,FALSE)&amp;"","")</f>
        <v/>
      </c>
      <c r="F63" s="181">
        <f>IFERROR(VLOOKUP(INDEX(INDIRECT($B$1&amp;"!"&amp;ADDRESS(8,COLUMN()+6,4)&amp;":"&amp;ADDRESS(73,COLUMN()+6,4)),MATCH($B63,INDIRECT($B$1&amp;"!$A$8:$A$73"),0)),CONFIG!$A$15:$B$40,2,FALSE)&amp;"","")</f>
        <v/>
      </c>
      <c r="G63" s="181">
        <f>IFERROR(VLOOKUP(INDEX(INDIRECT($B$1&amp;"!"&amp;ADDRESS(8,COLUMN()+6,4)&amp;":"&amp;ADDRESS(73,COLUMN()+6,4)),MATCH($B63,INDIRECT($B$1&amp;"!$A$8:$A$73"),0)),CONFIG!$A$15:$B$40,2,FALSE)&amp;"","")</f>
        <v/>
      </c>
      <c r="H63" s="181">
        <f>IFERROR(VLOOKUP(INDEX(INDIRECT($B$1&amp;"!"&amp;ADDRESS(8,COLUMN()+6,4)&amp;":"&amp;ADDRESS(73,COLUMN()+6,4)),MATCH($B63,INDIRECT($B$1&amp;"!$A$8:$A$73"),0)),CONFIG!$A$15:$B$40,2,FALSE)&amp;"","")</f>
        <v/>
      </c>
      <c r="I63" s="181">
        <f>IFERROR(VLOOKUP(INDEX(INDIRECT($B$1&amp;"!"&amp;ADDRESS(8,COLUMN()+6,4)&amp;":"&amp;ADDRESS(73,COLUMN()+6,4)),MATCH($B63,INDIRECT($B$1&amp;"!$A$8:$A$73"),0)),CONFIG!$A$15:$B$40,2,FALSE)&amp;"","")</f>
        <v/>
      </c>
      <c r="J63" s="181">
        <f>IFERROR(VLOOKUP(INDEX(INDIRECT($B$1&amp;"!"&amp;ADDRESS(8,COLUMN()+6,4)&amp;":"&amp;ADDRESS(73,COLUMN()+6,4)),MATCH($B63,INDIRECT($B$1&amp;"!$A$8:$A$73"),0)),CONFIG!$A$15:$B$40,2,FALSE)&amp;"","")</f>
        <v/>
      </c>
      <c r="K63" s="181">
        <f>IFERROR(VLOOKUP(INDEX(INDIRECT($B$1&amp;"!"&amp;ADDRESS(8,COLUMN()+6,4)&amp;":"&amp;ADDRESS(73,COLUMN()+6,4)),MATCH($B63,INDIRECT($B$1&amp;"!$A$8:$A$73"),0)),CONFIG!$A$15:$B$40,2,FALSE)&amp;"","")</f>
        <v/>
      </c>
      <c r="L63" s="181">
        <f>IFERROR(VLOOKUP(INDEX(INDIRECT($B$1&amp;"!"&amp;ADDRESS(8,COLUMN()+6,4)&amp;":"&amp;ADDRESS(73,COLUMN()+6,4)),MATCH($B63,INDIRECT($B$1&amp;"!$A$8:$A$73"),0)),CONFIG!$A$15:$B$40,2,FALSE)&amp;"","")</f>
        <v/>
      </c>
      <c r="M63" s="181">
        <f>IFERROR(VLOOKUP(INDEX(INDIRECT($B$1&amp;"!"&amp;ADDRESS(8,COLUMN()+6,4)&amp;":"&amp;ADDRESS(73,COLUMN()+6,4)),MATCH($B63,INDIRECT($B$1&amp;"!$A$8:$A$73"),0)),CONFIG!$A$15:$B$40,2,FALSE)&amp;"","")</f>
        <v/>
      </c>
      <c r="N63" s="181">
        <f>IFERROR(VLOOKUP(INDEX(INDIRECT($B$1&amp;"!"&amp;ADDRESS(8,COLUMN()+6,4)&amp;":"&amp;ADDRESS(73,COLUMN()+6,4)),MATCH($B63,INDIRECT($B$1&amp;"!$A$8:$A$73"),0)),CONFIG!$A$15:$B$40,2,FALSE)&amp;"","")</f>
        <v/>
      </c>
      <c r="O63" s="181">
        <f>IFERROR(VLOOKUP(INDEX(INDIRECT($B$1&amp;"!"&amp;ADDRESS(8,COLUMN()+6,4)&amp;":"&amp;ADDRESS(73,COLUMN()+6,4)),MATCH($B63,INDIRECT($B$1&amp;"!$A$8:$A$73"),0)),CONFIG!$A$15:$B$40,2,FALSE)&amp;"","")</f>
        <v/>
      </c>
      <c r="P63" s="181">
        <f>IFERROR(VLOOKUP(INDEX(INDIRECT($B$1&amp;"!"&amp;ADDRESS(8,COLUMN()+6,4)&amp;":"&amp;ADDRESS(73,COLUMN()+6,4)),MATCH($B63,INDIRECT($B$1&amp;"!$A$8:$A$73"),0)),CONFIG!$A$15:$B$40,2,FALSE)&amp;"","")</f>
        <v/>
      </c>
      <c r="Q63" s="181">
        <f>IFERROR(VLOOKUP(INDEX(INDIRECT($B$1&amp;"!"&amp;ADDRESS(8,COLUMN()+6,4)&amp;":"&amp;ADDRESS(73,COLUMN()+6,4)),MATCH($B63,INDIRECT($B$1&amp;"!$A$8:$A$73"),0)),CONFIG!$A$15:$B$40,2,FALSE)&amp;"","")</f>
        <v/>
      </c>
      <c r="R63" s="181">
        <f>IFERROR(VLOOKUP(INDEX(INDIRECT($B$1&amp;"!"&amp;ADDRESS(8,COLUMN()+6,4)&amp;":"&amp;ADDRESS(73,COLUMN()+6,4)),MATCH($B63,INDIRECT($B$1&amp;"!$A$8:$A$73"),0)),CONFIG!$A$15:$B$40,2,FALSE)&amp;"","")</f>
        <v/>
      </c>
      <c r="S63" s="181">
        <f>IFERROR(VLOOKUP(INDEX(INDIRECT($B$1&amp;"!"&amp;ADDRESS(8,COLUMN()+6,4)&amp;":"&amp;ADDRESS(73,COLUMN()+6,4)),MATCH($B63,INDIRECT($B$1&amp;"!$A$8:$A$73"),0)),CONFIG!$A$15:$B$40,2,FALSE)&amp;"","")</f>
        <v/>
      </c>
      <c r="T63" s="181">
        <f>IFERROR(VLOOKUP(INDEX(INDIRECT($B$1&amp;"!"&amp;ADDRESS(8,COLUMN()+6,4)&amp;":"&amp;ADDRESS(73,COLUMN()+6,4)),MATCH($B63,INDIRECT($B$1&amp;"!$A$8:$A$73"),0)),CONFIG!$A$15:$B$40,2,FALSE)&amp;"","")</f>
        <v/>
      </c>
      <c r="U63" s="181">
        <f>IFERROR(VLOOKUP(INDEX(INDIRECT($B$1&amp;"!"&amp;ADDRESS(8,COLUMN()+6,4)&amp;":"&amp;ADDRESS(73,COLUMN()+6,4)),MATCH($B63,INDIRECT($B$1&amp;"!$A$8:$A$73"),0)),CONFIG!$A$15:$B$40,2,FALSE)&amp;"","")</f>
        <v/>
      </c>
      <c r="V63" s="181">
        <f>IFERROR(VLOOKUP(INDEX(INDIRECT($B$1&amp;"!"&amp;ADDRESS(8,COLUMN()+6,4)&amp;":"&amp;ADDRESS(73,COLUMN()+6,4)),MATCH($B63,INDIRECT($B$1&amp;"!$A$8:$A$73"),0)),CONFIG!$A$15:$B$40,2,FALSE)&amp;"","")</f>
        <v/>
      </c>
      <c r="W63" s="181">
        <f>IFERROR(VLOOKUP(INDEX(INDIRECT($B$1&amp;"!"&amp;ADDRESS(8,COLUMN()+6,4)&amp;":"&amp;ADDRESS(73,COLUMN()+6,4)),MATCH($B63,INDIRECT($B$1&amp;"!$A$8:$A$73"),0)),CONFIG!$A$15:$B$40,2,FALSE)&amp;"","")</f>
        <v/>
      </c>
      <c r="X63" s="181">
        <f>IFERROR(VLOOKUP(INDEX(INDIRECT($B$1&amp;"!"&amp;ADDRESS(8,COLUMN()+6,4)&amp;":"&amp;ADDRESS(73,COLUMN()+6,4)),MATCH($B63,INDIRECT($B$1&amp;"!$A$8:$A$73"),0)),CONFIG!$A$15:$B$40,2,FALSE)&amp;"","")</f>
        <v/>
      </c>
      <c r="Y63" s="181">
        <f>IFERROR(VLOOKUP(INDEX(INDIRECT($B$1&amp;"!"&amp;ADDRESS(8,COLUMN()+6,4)&amp;":"&amp;ADDRESS(73,COLUMN()+6,4)),MATCH($B63,INDIRECT($B$1&amp;"!$A$8:$A$73"),0)),CONFIG!$A$15:$B$40,2,FALSE)&amp;"","")</f>
        <v/>
      </c>
      <c r="Z63" s="181">
        <f>IFERROR(VLOOKUP(INDEX(INDIRECT($B$1&amp;"!"&amp;ADDRESS(8,COLUMN()+6,4)&amp;":"&amp;ADDRESS(73,COLUMN()+6,4)),MATCH($B63,INDIRECT($B$1&amp;"!$A$8:$A$73"),0)),CONFIG!$A$15:$B$40,2,FALSE)&amp;"","")</f>
        <v/>
      </c>
      <c r="AA63" s="181">
        <f>IFERROR(VLOOKUP(INDEX(INDIRECT($B$1&amp;"!"&amp;ADDRESS(8,COLUMN()+6,4)&amp;":"&amp;ADDRESS(73,COLUMN()+6,4)),MATCH($B63,INDIRECT($B$1&amp;"!$A$8:$A$73"),0)),CONFIG!$A$15:$B$40,2,FALSE)&amp;"","")</f>
        <v/>
      </c>
      <c r="AB63" s="181">
        <f>IFERROR(VLOOKUP(INDEX(INDIRECT($B$1&amp;"!"&amp;ADDRESS(8,COLUMN()+6,4)&amp;":"&amp;ADDRESS(73,COLUMN()+6,4)),MATCH($B63,INDIRECT($B$1&amp;"!$A$8:$A$73"),0)),CONFIG!$A$15:$B$40,2,FALSE)&amp;"","")</f>
        <v/>
      </c>
      <c r="AC63" s="181">
        <f>IFERROR(VLOOKUP(INDEX(INDIRECT($B$1&amp;"!"&amp;ADDRESS(8,COLUMN()+6,4)&amp;":"&amp;ADDRESS(73,COLUMN()+6,4)),MATCH($B63,INDIRECT($B$1&amp;"!$A$8:$A$73"),0)),CONFIG!$A$15:$B$40,2,FALSE)&amp;"","")</f>
        <v/>
      </c>
      <c r="AD63" s="181">
        <f>IFERROR(VLOOKUP(INDEX(INDIRECT($B$1&amp;"!"&amp;ADDRESS(8,COLUMN()+6,4)&amp;":"&amp;ADDRESS(73,COLUMN()+6,4)),MATCH($B63,INDIRECT($B$1&amp;"!$A$8:$A$73"),0)),CONFIG!$A$15:$B$40,2,FALSE)&amp;"","")</f>
        <v/>
      </c>
      <c r="AE63" s="181">
        <f>IFERROR(VLOOKUP(INDEX(INDIRECT($B$1&amp;"!"&amp;ADDRESS(8,COLUMN()+6,4)&amp;":"&amp;ADDRESS(73,COLUMN()+6,4)),MATCH($B63,INDIRECT($B$1&amp;"!$A$8:$A$73"),0)),CONFIG!$A$15:$B$40,2,FALSE)&amp;"","")</f>
        <v/>
      </c>
      <c r="AF63" s="181">
        <f>IFERROR(VLOOKUP(INDEX(INDIRECT($B$1&amp;"!"&amp;ADDRESS(8,COLUMN()+6,4)&amp;":"&amp;ADDRESS(73,COLUMN()+6,4)),MATCH($B63,INDIRECT($B$1&amp;"!$A$8:$A$73"),0)),CONFIG!$A$15:$B$40,2,FALSE)&amp;"","")</f>
        <v/>
      </c>
      <c r="AG63" s="181">
        <f>IFERROR(VLOOKUP(INDEX(INDIRECT($B$1&amp;"!"&amp;ADDRESS(8,COLUMN()+6,4)&amp;":"&amp;ADDRESS(73,COLUMN()+6,4)),MATCH($B63,INDIRECT($B$1&amp;"!$A$8:$A$73"),0)),CONFIG!$A$15:$B$40,2,FALSE)&amp;"","")</f>
        <v/>
      </c>
      <c r="AH63" s="181">
        <f>IFERROR(VLOOKUP(INDEX(INDIRECT($B$1&amp;"!"&amp;ADDRESS(8,COLUMN()+6,4)&amp;":"&amp;ADDRESS(73,COLUMN()+6,4)),MATCH($B63,INDIRECT($B$1&amp;"!$A$8:$A$73"),0)),CONFIG!$A$15:$B$40,2,FALSE)&amp;"","")</f>
        <v/>
      </c>
      <c r="AI63" s="39" t="n"/>
    </row>
    <row r="64">
      <c r="A64" s="179" t="inlineStr">
        <is>
          <t>Pedro</t>
        </is>
      </c>
      <c r="B64" s="180" t="inlineStr">
        <is>
          <t>Pedro</t>
        </is>
      </c>
      <c r="C64" s="181">
        <f>IFERROR(VLOOKUP(INDEX(INDIRECT($B$1&amp;"!"&amp;ADDRESS(8,COLUMN()+6,4)&amp;":"&amp;ADDRESS(73,COLUMN()+6,4)),MATCH($B64,INDIRECT($B$1&amp;"!$A$8:$A$73"),0)),CONFIG!$A$15:$B$40,2,FALSE)&amp;"","")</f>
        <v/>
      </c>
      <c r="D64" s="181">
        <f>IFERROR(VLOOKUP(INDEX(INDIRECT($B$1&amp;"!"&amp;ADDRESS(8,COLUMN()+6,4)&amp;":"&amp;ADDRESS(73,COLUMN()+6,4)),MATCH($B64,INDIRECT($B$1&amp;"!$A$8:$A$73"),0)),CONFIG!$A$15:$B$40,2,FALSE)&amp;"","")</f>
        <v/>
      </c>
      <c r="E64" s="181">
        <f>IFERROR(VLOOKUP(INDEX(INDIRECT($B$1&amp;"!"&amp;ADDRESS(8,COLUMN()+6,4)&amp;":"&amp;ADDRESS(73,COLUMN()+6,4)),MATCH($B64,INDIRECT($B$1&amp;"!$A$8:$A$73"),0)),CONFIG!$A$15:$B$40,2,FALSE)&amp;"","")</f>
        <v/>
      </c>
      <c r="F64" s="181">
        <f>IFERROR(VLOOKUP(INDEX(INDIRECT($B$1&amp;"!"&amp;ADDRESS(8,COLUMN()+6,4)&amp;":"&amp;ADDRESS(73,COLUMN()+6,4)),MATCH($B64,INDIRECT($B$1&amp;"!$A$8:$A$73"),0)),CONFIG!$A$15:$B$40,2,FALSE)&amp;"","")</f>
        <v/>
      </c>
      <c r="G64" s="181">
        <f>IFERROR(VLOOKUP(INDEX(INDIRECT($B$1&amp;"!"&amp;ADDRESS(8,COLUMN()+6,4)&amp;":"&amp;ADDRESS(73,COLUMN()+6,4)),MATCH($B64,INDIRECT($B$1&amp;"!$A$8:$A$73"),0)),CONFIG!$A$15:$B$40,2,FALSE)&amp;"","")</f>
        <v/>
      </c>
      <c r="H64" s="181">
        <f>IFERROR(VLOOKUP(INDEX(INDIRECT($B$1&amp;"!"&amp;ADDRESS(8,COLUMN()+6,4)&amp;":"&amp;ADDRESS(73,COLUMN()+6,4)),MATCH($B64,INDIRECT($B$1&amp;"!$A$8:$A$73"),0)),CONFIG!$A$15:$B$40,2,FALSE)&amp;"","")</f>
        <v/>
      </c>
      <c r="I64" s="181">
        <f>IFERROR(VLOOKUP(INDEX(INDIRECT($B$1&amp;"!"&amp;ADDRESS(8,COLUMN()+6,4)&amp;":"&amp;ADDRESS(73,COLUMN()+6,4)),MATCH($B64,INDIRECT($B$1&amp;"!$A$8:$A$73"),0)),CONFIG!$A$15:$B$40,2,FALSE)&amp;"","")</f>
        <v/>
      </c>
      <c r="J64" s="181">
        <f>IFERROR(VLOOKUP(INDEX(INDIRECT($B$1&amp;"!"&amp;ADDRESS(8,COLUMN()+6,4)&amp;":"&amp;ADDRESS(73,COLUMN()+6,4)),MATCH($B64,INDIRECT($B$1&amp;"!$A$8:$A$73"),0)),CONFIG!$A$15:$B$40,2,FALSE)&amp;"","")</f>
        <v/>
      </c>
      <c r="K64" s="181">
        <f>IFERROR(VLOOKUP(INDEX(INDIRECT($B$1&amp;"!"&amp;ADDRESS(8,COLUMN()+6,4)&amp;":"&amp;ADDRESS(73,COLUMN()+6,4)),MATCH($B64,INDIRECT($B$1&amp;"!$A$8:$A$73"),0)),CONFIG!$A$15:$B$40,2,FALSE)&amp;"","")</f>
        <v/>
      </c>
      <c r="L64" s="181">
        <f>IFERROR(VLOOKUP(INDEX(INDIRECT($B$1&amp;"!"&amp;ADDRESS(8,COLUMN()+6,4)&amp;":"&amp;ADDRESS(73,COLUMN()+6,4)),MATCH($B64,INDIRECT($B$1&amp;"!$A$8:$A$73"),0)),CONFIG!$A$15:$B$40,2,FALSE)&amp;"","")</f>
        <v/>
      </c>
      <c r="M64" s="181">
        <f>IFERROR(VLOOKUP(INDEX(INDIRECT($B$1&amp;"!"&amp;ADDRESS(8,COLUMN()+6,4)&amp;":"&amp;ADDRESS(73,COLUMN()+6,4)),MATCH($B64,INDIRECT($B$1&amp;"!$A$8:$A$73"),0)),CONFIG!$A$15:$B$40,2,FALSE)&amp;"","")</f>
        <v/>
      </c>
      <c r="N64" s="181">
        <f>IFERROR(VLOOKUP(INDEX(INDIRECT($B$1&amp;"!"&amp;ADDRESS(8,COLUMN()+6,4)&amp;":"&amp;ADDRESS(73,COLUMN()+6,4)),MATCH($B64,INDIRECT($B$1&amp;"!$A$8:$A$73"),0)),CONFIG!$A$15:$B$40,2,FALSE)&amp;"","")</f>
        <v/>
      </c>
      <c r="O64" s="181">
        <f>IFERROR(VLOOKUP(INDEX(INDIRECT($B$1&amp;"!"&amp;ADDRESS(8,COLUMN()+6,4)&amp;":"&amp;ADDRESS(73,COLUMN()+6,4)),MATCH($B64,INDIRECT($B$1&amp;"!$A$8:$A$73"),0)),CONFIG!$A$15:$B$40,2,FALSE)&amp;"","")</f>
        <v/>
      </c>
      <c r="P64" s="181">
        <f>IFERROR(VLOOKUP(INDEX(INDIRECT($B$1&amp;"!"&amp;ADDRESS(8,COLUMN()+6,4)&amp;":"&amp;ADDRESS(73,COLUMN()+6,4)),MATCH($B64,INDIRECT($B$1&amp;"!$A$8:$A$73"),0)),CONFIG!$A$15:$B$40,2,FALSE)&amp;"","")</f>
        <v/>
      </c>
      <c r="Q64" s="181">
        <f>IFERROR(VLOOKUP(INDEX(INDIRECT($B$1&amp;"!"&amp;ADDRESS(8,COLUMN()+6,4)&amp;":"&amp;ADDRESS(73,COLUMN()+6,4)),MATCH($B64,INDIRECT($B$1&amp;"!$A$8:$A$73"),0)),CONFIG!$A$15:$B$40,2,FALSE)&amp;"","")</f>
        <v/>
      </c>
      <c r="R64" s="181">
        <f>IFERROR(VLOOKUP(INDEX(INDIRECT($B$1&amp;"!"&amp;ADDRESS(8,COLUMN()+6,4)&amp;":"&amp;ADDRESS(73,COLUMN()+6,4)),MATCH($B64,INDIRECT($B$1&amp;"!$A$8:$A$73"),0)),CONFIG!$A$15:$B$40,2,FALSE)&amp;"","")</f>
        <v/>
      </c>
      <c r="S64" s="181">
        <f>IFERROR(VLOOKUP(INDEX(INDIRECT($B$1&amp;"!"&amp;ADDRESS(8,COLUMN()+6,4)&amp;":"&amp;ADDRESS(73,COLUMN()+6,4)),MATCH($B64,INDIRECT($B$1&amp;"!$A$8:$A$73"),0)),CONFIG!$A$15:$B$40,2,FALSE)&amp;"","")</f>
        <v/>
      </c>
      <c r="T64" s="181">
        <f>IFERROR(VLOOKUP(INDEX(INDIRECT($B$1&amp;"!"&amp;ADDRESS(8,COLUMN()+6,4)&amp;":"&amp;ADDRESS(73,COLUMN()+6,4)),MATCH($B64,INDIRECT($B$1&amp;"!$A$8:$A$73"),0)),CONFIG!$A$15:$B$40,2,FALSE)&amp;"","")</f>
        <v/>
      </c>
      <c r="U64" s="181">
        <f>IFERROR(VLOOKUP(INDEX(INDIRECT($B$1&amp;"!"&amp;ADDRESS(8,COLUMN()+6,4)&amp;":"&amp;ADDRESS(73,COLUMN()+6,4)),MATCH($B64,INDIRECT($B$1&amp;"!$A$8:$A$73"),0)),CONFIG!$A$15:$B$40,2,FALSE)&amp;"","")</f>
        <v/>
      </c>
      <c r="V64" s="181">
        <f>IFERROR(VLOOKUP(INDEX(INDIRECT($B$1&amp;"!"&amp;ADDRESS(8,COLUMN()+6,4)&amp;":"&amp;ADDRESS(73,COLUMN()+6,4)),MATCH($B64,INDIRECT($B$1&amp;"!$A$8:$A$73"),0)),CONFIG!$A$15:$B$40,2,FALSE)&amp;"","")</f>
        <v/>
      </c>
      <c r="W64" s="181">
        <f>IFERROR(VLOOKUP(INDEX(INDIRECT($B$1&amp;"!"&amp;ADDRESS(8,COLUMN()+6,4)&amp;":"&amp;ADDRESS(73,COLUMN()+6,4)),MATCH($B64,INDIRECT($B$1&amp;"!$A$8:$A$73"),0)),CONFIG!$A$15:$B$40,2,FALSE)&amp;"","")</f>
        <v/>
      </c>
      <c r="X64" s="181">
        <f>IFERROR(VLOOKUP(INDEX(INDIRECT($B$1&amp;"!"&amp;ADDRESS(8,COLUMN()+6,4)&amp;":"&amp;ADDRESS(73,COLUMN()+6,4)),MATCH($B64,INDIRECT($B$1&amp;"!$A$8:$A$73"),0)),CONFIG!$A$15:$B$40,2,FALSE)&amp;"","")</f>
        <v/>
      </c>
      <c r="Y64" s="181">
        <f>IFERROR(VLOOKUP(INDEX(INDIRECT($B$1&amp;"!"&amp;ADDRESS(8,COLUMN()+6,4)&amp;":"&amp;ADDRESS(73,COLUMN()+6,4)),MATCH($B64,INDIRECT($B$1&amp;"!$A$8:$A$73"),0)),CONFIG!$A$15:$B$40,2,FALSE)&amp;"","")</f>
        <v/>
      </c>
      <c r="Z64" s="181">
        <f>IFERROR(VLOOKUP(INDEX(INDIRECT($B$1&amp;"!"&amp;ADDRESS(8,COLUMN()+6,4)&amp;":"&amp;ADDRESS(73,COLUMN()+6,4)),MATCH($B64,INDIRECT($B$1&amp;"!$A$8:$A$73"),0)),CONFIG!$A$15:$B$40,2,FALSE)&amp;"","")</f>
        <v/>
      </c>
      <c r="AA64" s="181">
        <f>IFERROR(VLOOKUP(INDEX(INDIRECT($B$1&amp;"!"&amp;ADDRESS(8,COLUMN()+6,4)&amp;":"&amp;ADDRESS(73,COLUMN()+6,4)),MATCH($B64,INDIRECT($B$1&amp;"!$A$8:$A$73"),0)),CONFIG!$A$15:$B$40,2,FALSE)&amp;"","")</f>
        <v/>
      </c>
      <c r="AB64" s="181">
        <f>IFERROR(VLOOKUP(INDEX(INDIRECT($B$1&amp;"!"&amp;ADDRESS(8,COLUMN()+6,4)&amp;":"&amp;ADDRESS(73,COLUMN()+6,4)),MATCH($B64,INDIRECT($B$1&amp;"!$A$8:$A$73"),0)),CONFIG!$A$15:$B$40,2,FALSE)&amp;"","")</f>
        <v/>
      </c>
      <c r="AC64" s="181">
        <f>IFERROR(VLOOKUP(INDEX(INDIRECT($B$1&amp;"!"&amp;ADDRESS(8,COLUMN()+6,4)&amp;":"&amp;ADDRESS(73,COLUMN()+6,4)),MATCH($B64,INDIRECT($B$1&amp;"!$A$8:$A$73"),0)),CONFIG!$A$15:$B$40,2,FALSE)&amp;"","")</f>
        <v/>
      </c>
      <c r="AD64" s="181">
        <f>IFERROR(VLOOKUP(INDEX(INDIRECT($B$1&amp;"!"&amp;ADDRESS(8,COLUMN()+6,4)&amp;":"&amp;ADDRESS(73,COLUMN()+6,4)),MATCH($B64,INDIRECT($B$1&amp;"!$A$8:$A$73"),0)),CONFIG!$A$15:$B$40,2,FALSE)&amp;"","")</f>
        <v/>
      </c>
      <c r="AE64" s="181">
        <f>IFERROR(VLOOKUP(INDEX(INDIRECT($B$1&amp;"!"&amp;ADDRESS(8,COLUMN()+6,4)&amp;":"&amp;ADDRESS(73,COLUMN()+6,4)),MATCH($B64,INDIRECT($B$1&amp;"!$A$8:$A$73"),0)),CONFIG!$A$15:$B$40,2,FALSE)&amp;"","")</f>
        <v/>
      </c>
      <c r="AF64" s="181">
        <f>IFERROR(VLOOKUP(INDEX(INDIRECT($B$1&amp;"!"&amp;ADDRESS(8,COLUMN()+6,4)&amp;":"&amp;ADDRESS(73,COLUMN()+6,4)),MATCH($B64,INDIRECT($B$1&amp;"!$A$8:$A$73"),0)),CONFIG!$A$15:$B$40,2,FALSE)&amp;"","")</f>
        <v/>
      </c>
      <c r="AG64" s="181">
        <f>IFERROR(VLOOKUP(INDEX(INDIRECT($B$1&amp;"!"&amp;ADDRESS(8,COLUMN()+6,4)&amp;":"&amp;ADDRESS(73,COLUMN()+6,4)),MATCH($B64,INDIRECT($B$1&amp;"!$A$8:$A$73"),0)),CONFIG!$A$15:$B$40,2,FALSE)&amp;"","")</f>
        <v/>
      </c>
      <c r="AH64" s="181">
        <f>IFERROR(VLOOKUP(INDEX(INDIRECT($B$1&amp;"!"&amp;ADDRESS(8,COLUMN()+6,4)&amp;":"&amp;ADDRESS(73,COLUMN()+6,4)),MATCH($B64,INDIRECT($B$1&amp;"!$A$8:$A$73"),0)),CONFIG!$A$15:$B$40,2,FALSE)&amp;"","")</f>
        <v/>
      </c>
      <c r="AI64" s="39" t="n"/>
    </row>
    <row r="65">
      <c r="A65" s="179" t="inlineStr">
        <is>
          <t>Paula Jamile</t>
        </is>
      </c>
      <c r="B65" s="180" t="inlineStr">
        <is>
          <t>Pjamile</t>
        </is>
      </c>
      <c r="C65" s="181">
        <f>IFERROR(VLOOKUP(INDEX(INDIRECT($B$1&amp;"!"&amp;ADDRESS(8,COLUMN()+6,4)&amp;":"&amp;ADDRESS(73,COLUMN()+6,4)),MATCH($B65,INDIRECT($B$1&amp;"!$A$8:$A$73"),0)),CONFIG!$A$15:$B$40,2,FALSE)&amp;"","")</f>
        <v/>
      </c>
      <c r="D65" s="181">
        <f>IFERROR(VLOOKUP(INDEX(INDIRECT($B$1&amp;"!"&amp;ADDRESS(8,COLUMN()+6,4)&amp;":"&amp;ADDRESS(73,COLUMN()+6,4)),MATCH($B65,INDIRECT($B$1&amp;"!$A$8:$A$73"),0)),CONFIG!$A$15:$B$40,2,FALSE)&amp;"","")</f>
        <v/>
      </c>
      <c r="E65" s="181">
        <f>IFERROR(VLOOKUP(INDEX(INDIRECT($B$1&amp;"!"&amp;ADDRESS(8,COLUMN()+6,4)&amp;":"&amp;ADDRESS(73,COLUMN()+6,4)),MATCH($B65,INDIRECT($B$1&amp;"!$A$8:$A$73"),0)),CONFIG!$A$15:$B$40,2,FALSE)&amp;"","")</f>
        <v/>
      </c>
      <c r="F65" s="181">
        <f>IFERROR(VLOOKUP(INDEX(INDIRECT($B$1&amp;"!"&amp;ADDRESS(8,COLUMN()+6,4)&amp;":"&amp;ADDRESS(73,COLUMN()+6,4)),MATCH($B65,INDIRECT($B$1&amp;"!$A$8:$A$73"),0)),CONFIG!$A$15:$B$40,2,FALSE)&amp;"","")</f>
        <v/>
      </c>
      <c r="G65" s="181">
        <f>IFERROR(VLOOKUP(INDEX(INDIRECT($B$1&amp;"!"&amp;ADDRESS(8,COLUMN()+6,4)&amp;":"&amp;ADDRESS(73,COLUMN()+6,4)),MATCH($B65,INDIRECT($B$1&amp;"!$A$8:$A$73"),0)),CONFIG!$A$15:$B$40,2,FALSE)&amp;"","")</f>
        <v/>
      </c>
      <c r="H65" s="181">
        <f>IFERROR(VLOOKUP(INDEX(INDIRECT($B$1&amp;"!"&amp;ADDRESS(8,COLUMN()+6,4)&amp;":"&amp;ADDRESS(73,COLUMN()+6,4)),MATCH($B65,INDIRECT($B$1&amp;"!$A$8:$A$73"),0)),CONFIG!$A$15:$B$40,2,FALSE)&amp;"","")</f>
        <v/>
      </c>
      <c r="I65" s="181">
        <f>IFERROR(VLOOKUP(INDEX(INDIRECT($B$1&amp;"!"&amp;ADDRESS(8,COLUMN()+6,4)&amp;":"&amp;ADDRESS(73,COLUMN()+6,4)),MATCH($B65,INDIRECT($B$1&amp;"!$A$8:$A$73"),0)),CONFIG!$A$15:$B$40,2,FALSE)&amp;"","")</f>
        <v/>
      </c>
      <c r="J65" s="181">
        <f>IFERROR(VLOOKUP(INDEX(INDIRECT($B$1&amp;"!"&amp;ADDRESS(8,COLUMN()+6,4)&amp;":"&amp;ADDRESS(73,COLUMN()+6,4)),MATCH($B65,INDIRECT($B$1&amp;"!$A$8:$A$73"),0)),CONFIG!$A$15:$B$40,2,FALSE)&amp;"","")</f>
        <v/>
      </c>
      <c r="K65" s="181">
        <f>IFERROR(VLOOKUP(INDEX(INDIRECT($B$1&amp;"!"&amp;ADDRESS(8,COLUMN()+6,4)&amp;":"&amp;ADDRESS(73,COLUMN()+6,4)),MATCH($B65,INDIRECT($B$1&amp;"!$A$8:$A$73"),0)),CONFIG!$A$15:$B$40,2,FALSE)&amp;"","")</f>
        <v/>
      </c>
      <c r="L65" s="181">
        <f>IFERROR(VLOOKUP(INDEX(INDIRECT($B$1&amp;"!"&amp;ADDRESS(8,COLUMN()+6,4)&amp;":"&amp;ADDRESS(73,COLUMN()+6,4)),MATCH($B65,INDIRECT($B$1&amp;"!$A$8:$A$73"),0)),CONFIG!$A$15:$B$40,2,FALSE)&amp;"","")</f>
        <v/>
      </c>
      <c r="M65" s="181">
        <f>IFERROR(VLOOKUP(INDEX(INDIRECT($B$1&amp;"!"&amp;ADDRESS(8,COLUMN()+6,4)&amp;":"&amp;ADDRESS(73,COLUMN()+6,4)),MATCH($B65,INDIRECT($B$1&amp;"!$A$8:$A$73"),0)),CONFIG!$A$15:$B$40,2,FALSE)&amp;"","")</f>
        <v/>
      </c>
      <c r="N65" s="181">
        <f>IFERROR(VLOOKUP(INDEX(INDIRECT($B$1&amp;"!"&amp;ADDRESS(8,COLUMN()+6,4)&amp;":"&amp;ADDRESS(73,COLUMN()+6,4)),MATCH($B65,INDIRECT($B$1&amp;"!$A$8:$A$73"),0)),CONFIG!$A$15:$B$40,2,FALSE)&amp;"","")</f>
        <v/>
      </c>
      <c r="O65" s="181">
        <f>IFERROR(VLOOKUP(INDEX(INDIRECT($B$1&amp;"!"&amp;ADDRESS(8,COLUMN()+6,4)&amp;":"&amp;ADDRESS(73,COLUMN()+6,4)),MATCH($B65,INDIRECT($B$1&amp;"!$A$8:$A$73"),0)),CONFIG!$A$15:$B$40,2,FALSE)&amp;"","")</f>
        <v/>
      </c>
      <c r="P65" s="181">
        <f>IFERROR(VLOOKUP(INDEX(INDIRECT($B$1&amp;"!"&amp;ADDRESS(8,COLUMN()+6,4)&amp;":"&amp;ADDRESS(73,COLUMN()+6,4)),MATCH($B65,INDIRECT($B$1&amp;"!$A$8:$A$73"),0)),CONFIG!$A$15:$B$40,2,FALSE)&amp;"","")</f>
        <v/>
      </c>
      <c r="Q65" s="181">
        <f>IFERROR(VLOOKUP(INDEX(INDIRECT($B$1&amp;"!"&amp;ADDRESS(8,COLUMN()+6,4)&amp;":"&amp;ADDRESS(73,COLUMN()+6,4)),MATCH($B65,INDIRECT($B$1&amp;"!$A$8:$A$73"),0)),CONFIG!$A$15:$B$40,2,FALSE)&amp;"","")</f>
        <v/>
      </c>
      <c r="R65" s="181">
        <f>IFERROR(VLOOKUP(INDEX(INDIRECT($B$1&amp;"!"&amp;ADDRESS(8,COLUMN()+6,4)&amp;":"&amp;ADDRESS(73,COLUMN()+6,4)),MATCH($B65,INDIRECT($B$1&amp;"!$A$8:$A$73"),0)),CONFIG!$A$15:$B$40,2,FALSE)&amp;"","")</f>
        <v/>
      </c>
      <c r="S65" s="181">
        <f>IFERROR(VLOOKUP(INDEX(INDIRECT($B$1&amp;"!"&amp;ADDRESS(8,COLUMN()+6,4)&amp;":"&amp;ADDRESS(73,COLUMN()+6,4)),MATCH($B65,INDIRECT($B$1&amp;"!$A$8:$A$73"),0)),CONFIG!$A$15:$B$40,2,FALSE)&amp;"","")</f>
        <v/>
      </c>
      <c r="T65" s="181">
        <f>IFERROR(VLOOKUP(INDEX(INDIRECT($B$1&amp;"!"&amp;ADDRESS(8,COLUMN()+6,4)&amp;":"&amp;ADDRESS(73,COLUMN()+6,4)),MATCH($B65,INDIRECT($B$1&amp;"!$A$8:$A$73"),0)),CONFIG!$A$15:$B$40,2,FALSE)&amp;"","")</f>
        <v/>
      </c>
      <c r="U65" s="181">
        <f>IFERROR(VLOOKUP(INDEX(INDIRECT($B$1&amp;"!"&amp;ADDRESS(8,COLUMN()+6,4)&amp;":"&amp;ADDRESS(73,COLUMN()+6,4)),MATCH($B65,INDIRECT($B$1&amp;"!$A$8:$A$73"),0)),CONFIG!$A$15:$B$40,2,FALSE)&amp;"","")</f>
        <v/>
      </c>
      <c r="V65" s="181">
        <f>IFERROR(VLOOKUP(INDEX(INDIRECT($B$1&amp;"!"&amp;ADDRESS(8,COLUMN()+6,4)&amp;":"&amp;ADDRESS(73,COLUMN()+6,4)),MATCH($B65,INDIRECT($B$1&amp;"!$A$8:$A$73"),0)),CONFIG!$A$15:$B$40,2,FALSE)&amp;"","")</f>
        <v/>
      </c>
      <c r="W65" s="181">
        <f>IFERROR(VLOOKUP(INDEX(INDIRECT($B$1&amp;"!"&amp;ADDRESS(8,COLUMN()+6,4)&amp;":"&amp;ADDRESS(73,COLUMN()+6,4)),MATCH($B65,INDIRECT($B$1&amp;"!$A$8:$A$73"),0)),CONFIG!$A$15:$B$40,2,FALSE)&amp;"","")</f>
        <v/>
      </c>
      <c r="X65" s="181">
        <f>IFERROR(VLOOKUP(INDEX(INDIRECT($B$1&amp;"!"&amp;ADDRESS(8,COLUMN()+6,4)&amp;":"&amp;ADDRESS(73,COLUMN()+6,4)),MATCH($B65,INDIRECT($B$1&amp;"!$A$8:$A$73"),0)),CONFIG!$A$15:$B$40,2,FALSE)&amp;"","")</f>
        <v/>
      </c>
      <c r="Y65" s="181">
        <f>IFERROR(VLOOKUP(INDEX(INDIRECT($B$1&amp;"!"&amp;ADDRESS(8,COLUMN()+6,4)&amp;":"&amp;ADDRESS(73,COLUMN()+6,4)),MATCH($B65,INDIRECT($B$1&amp;"!$A$8:$A$73"),0)),CONFIG!$A$15:$B$40,2,FALSE)&amp;"","")</f>
        <v/>
      </c>
      <c r="Z65" s="181">
        <f>IFERROR(VLOOKUP(INDEX(INDIRECT($B$1&amp;"!"&amp;ADDRESS(8,COLUMN()+6,4)&amp;":"&amp;ADDRESS(73,COLUMN()+6,4)),MATCH($B65,INDIRECT($B$1&amp;"!$A$8:$A$73"),0)),CONFIG!$A$15:$B$40,2,FALSE)&amp;"","")</f>
        <v/>
      </c>
      <c r="AA65" s="181">
        <f>IFERROR(VLOOKUP(INDEX(INDIRECT($B$1&amp;"!"&amp;ADDRESS(8,COLUMN()+6,4)&amp;":"&amp;ADDRESS(73,COLUMN()+6,4)),MATCH($B65,INDIRECT($B$1&amp;"!$A$8:$A$73"),0)),CONFIG!$A$15:$B$40,2,FALSE)&amp;"","")</f>
        <v/>
      </c>
      <c r="AB65" s="181">
        <f>IFERROR(VLOOKUP(INDEX(INDIRECT($B$1&amp;"!"&amp;ADDRESS(8,COLUMN()+6,4)&amp;":"&amp;ADDRESS(73,COLUMN()+6,4)),MATCH($B65,INDIRECT($B$1&amp;"!$A$8:$A$73"),0)),CONFIG!$A$15:$B$40,2,FALSE)&amp;"","")</f>
        <v/>
      </c>
      <c r="AC65" s="181">
        <f>IFERROR(VLOOKUP(INDEX(INDIRECT($B$1&amp;"!"&amp;ADDRESS(8,COLUMN()+6,4)&amp;":"&amp;ADDRESS(73,COLUMN()+6,4)),MATCH($B65,INDIRECT($B$1&amp;"!$A$8:$A$73"),0)),CONFIG!$A$15:$B$40,2,FALSE)&amp;"","")</f>
        <v/>
      </c>
      <c r="AD65" s="181">
        <f>IFERROR(VLOOKUP(INDEX(INDIRECT($B$1&amp;"!"&amp;ADDRESS(8,COLUMN()+6,4)&amp;":"&amp;ADDRESS(73,COLUMN()+6,4)),MATCH($B65,INDIRECT($B$1&amp;"!$A$8:$A$73"),0)),CONFIG!$A$15:$B$40,2,FALSE)&amp;"","")</f>
        <v/>
      </c>
      <c r="AE65" s="181">
        <f>IFERROR(VLOOKUP(INDEX(INDIRECT($B$1&amp;"!"&amp;ADDRESS(8,COLUMN()+6,4)&amp;":"&amp;ADDRESS(73,COLUMN()+6,4)),MATCH($B65,INDIRECT($B$1&amp;"!$A$8:$A$73"),0)),CONFIG!$A$15:$B$40,2,FALSE)&amp;"","")</f>
        <v/>
      </c>
      <c r="AF65" s="181">
        <f>IFERROR(VLOOKUP(INDEX(INDIRECT($B$1&amp;"!"&amp;ADDRESS(8,COLUMN()+6,4)&amp;":"&amp;ADDRESS(73,COLUMN()+6,4)),MATCH($B65,INDIRECT($B$1&amp;"!$A$8:$A$73"),0)),CONFIG!$A$15:$B$40,2,FALSE)&amp;"","")</f>
        <v/>
      </c>
      <c r="AG65" s="181">
        <f>IFERROR(VLOOKUP(INDEX(INDIRECT($B$1&amp;"!"&amp;ADDRESS(8,COLUMN()+6,4)&amp;":"&amp;ADDRESS(73,COLUMN()+6,4)),MATCH($B65,INDIRECT($B$1&amp;"!$A$8:$A$73"),0)),CONFIG!$A$15:$B$40,2,FALSE)&amp;"","")</f>
        <v/>
      </c>
      <c r="AH65" s="181">
        <f>IFERROR(VLOOKUP(INDEX(INDIRECT($B$1&amp;"!"&amp;ADDRESS(8,COLUMN()+6,4)&amp;":"&amp;ADDRESS(73,COLUMN()+6,4)),MATCH($B65,INDIRECT($B$1&amp;"!$A$8:$A$73"),0)),CONFIG!$A$15:$B$40,2,FALSE)&amp;"","")</f>
        <v/>
      </c>
      <c r="AI65" s="39" t="n"/>
    </row>
    <row r="66">
      <c r="A66" s="179" t="inlineStr">
        <is>
          <t>Raphael Costa</t>
        </is>
      </c>
      <c r="B66" s="180" t="inlineStr">
        <is>
          <t>Raphael</t>
        </is>
      </c>
      <c r="C66" s="181">
        <f>IFERROR(VLOOKUP(INDEX(INDIRECT($B$1&amp;"!"&amp;ADDRESS(8,COLUMN()+6,4)&amp;":"&amp;ADDRESS(73,COLUMN()+6,4)),MATCH($B66,INDIRECT($B$1&amp;"!$A$8:$A$73"),0)),CONFIG!$A$15:$B$40,2,FALSE)&amp;"","")</f>
        <v/>
      </c>
      <c r="D66" s="181">
        <f>IFERROR(VLOOKUP(INDEX(INDIRECT($B$1&amp;"!"&amp;ADDRESS(8,COLUMN()+6,4)&amp;":"&amp;ADDRESS(73,COLUMN()+6,4)),MATCH($B66,INDIRECT($B$1&amp;"!$A$8:$A$73"),0)),CONFIG!$A$15:$B$40,2,FALSE)&amp;"","")</f>
        <v/>
      </c>
      <c r="E66" s="181">
        <f>IFERROR(VLOOKUP(INDEX(INDIRECT($B$1&amp;"!"&amp;ADDRESS(8,COLUMN()+6,4)&amp;":"&amp;ADDRESS(73,COLUMN()+6,4)),MATCH($B66,INDIRECT($B$1&amp;"!$A$8:$A$73"),0)),CONFIG!$A$15:$B$40,2,FALSE)&amp;"","")</f>
        <v/>
      </c>
      <c r="F66" s="181">
        <f>IFERROR(VLOOKUP(INDEX(INDIRECT($B$1&amp;"!"&amp;ADDRESS(8,COLUMN()+6,4)&amp;":"&amp;ADDRESS(73,COLUMN()+6,4)),MATCH($B66,INDIRECT($B$1&amp;"!$A$8:$A$73"),0)),CONFIG!$A$15:$B$40,2,FALSE)&amp;"","")</f>
        <v/>
      </c>
      <c r="G66" s="181">
        <f>IFERROR(VLOOKUP(INDEX(INDIRECT($B$1&amp;"!"&amp;ADDRESS(8,COLUMN()+6,4)&amp;":"&amp;ADDRESS(73,COLUMN()+6,4)),MATCH($B66,INDIRECT($B$1&amp;"!$A$8:$A$73"),0)),CONFIG!$A$15:$B$40,2,FALSE)&amp;"","")</f>
        <v/>
      </c>
      <c r="H66" s="181">
        <f>IFERROR(VLOOKUP(INDEX(INDIRECT($B$1&amp;"!"&amp;ADDRESS(8,COLUMN()+6,4)&amp;":"&amp;ADDRESS(73,COLUMN()+6,4)),MATCH($B66,INDIRECT($B$1&amp;"!$A$8:$A$73"),0)),CONFIG!$A$15:$B$40,2,FALSE)&amp;"","")</f>
        <v/>
      </c>
      <c r="I66" s="181">
        <f>IFERROR(VLOOKUP(INDEX(INDIRECT($B$1&amp;"!"&amp;ADDRESS(8,COLUMN()+6,4)&amp;":"&amp;ADDRESS(73,COLUMN()+6,4)),MATCH($B66,INDIRECT($B$1&amp;"!$A$8:$A$73"),0)),CONFIG!$A$15:$B$40,2,FALSE)&amp;"","")</f>
        <v/>
      </c>
      <c r="J66" s="181">
        <f>IFERROR(VLOOKUP(INDEX(INDIRECT($B$1&amp;"!"&amp;ADDRESS(8,COLUMN()+6,4)&amp;":"&amp;ADDRESS(73,COLUMN()+6,4)),MATCH($B66,INDIRECT($B$1&amp;"!$A$8:$A$73"),0)),CONFIG!$A$15:$B$40,2,FALSE)&amp;"","")</f>
        <v/>
      </c>
      <c r="K66" s="181">
        <f>IFERROR(VLOOKUP(INDEX(INDIRECT($B$1&amp;"!"&amp;ADDRESS(8,COLUMN()+6,4)&amp;":"&amp;ADDRESS(73,COLUMN()+6,4)),MATCH($B66,INDIRECT($B$1&amp;"!$A$8:$A$73"),0)),CONFIG!$A$15:$B$40,2,FALSE)&amp;"","")</f>
        <v/>
      </c>
      <c r="L66" s="181">
        <f>IFERROR(VLOOKUP(INDEX(INDIRECT($B$1&amp;"!"&amp;ADDRESS(8,COLUMN()+6,4)&amp;":"&amp;ADDRESS(73,COLUMN()+6,4)),MATCH($B66,INDIRECT($B$1&amp;"!$A$8:$A$73"),0)),CONFIG!$A$15:$B$40,2,FALSE)&amp;"","")</f>
        <v/>
      </c>
      <c r="M66" s="181">
        <f>IFERROR(VLOOKUP(INDEX(INDIRECT($B$1&amp;"!"&amp;ADDRESS(8,COLUMN()+6,4)&amp;":"&amp;ADDRESS(73,COLUMN()+6,4)),MATCH($B66,INDIRECT($B$1&amp;"!$A$8:$A$73"),0)),CONFIG!$A$15:$B$40,2,FALSE)&amp;"","")</f>
        <v/>
      </c>
      <c r="N66" s="181">
        <f>IFERROR(VLOOKUP(INDEX(INDIRECT($B$1&amp;"!"&amp;ADDRESS(8,COLUMN()+6,4)&amp;":"&amp;ADDRESS(73,COLUMN()+6,4)),MATCH($B66,INDIRECT($B$1&amp;"!$A$8:$A$73"),0)),CONFIG!$A$15:$B$40,2,FALSE)&amp;"","")</f>
        <v/>
      </c>
      <c r="O66" s="181">
        <f>IFERROR(VLOOKUP(INDEX(INDIRECT($B$1&amp;"!"&amp;ADDRESS(8,COLUMN()+6,4)&amp;":"&amp;ADDRESS(73,COLUMN()+6,4)),MATCH($B66,INDIRECT($B$1&amp;"!$A$8:$A$73"),0)),CONFIG!$A$15:$B$40,2,FALSE)&amp;"","")</f>
        <v/>
      </c>
      <c r="P66" s="181">
        <f>IFERROR(VLOOKUP(INDEX(INDIRECT($B$1&amp;"!"&amp;ADDRESS(8,COLUMN()+6,4)&amp;":"&amp;ADDRESS(73,COLUMN()+6,4)),MATCH($B66,INDIRECT($B$1&amp;"!$A$8:$A$73"),0)),CONFIG!$A$15:$B$40,2,FALSE)&amp;"","")</f>
        <v/>
      </c>
      <c r="Q66" s="181">
        <f>IFERROR(VLOOKUP(INDEX(INDIRECT($B$1&amp;"!"&amp;ADDRESS(8,COLUMN()+6,4)&amp;":"&amp;ADDRESS(73,COLUMN()+6,4)),MATCH($B66,INDIRECT($B$1&amp;"!$A$8:$A$73"),0)),CONFIG!$A$15:$B$40,2,FALSE)&amp;"","")</f>
        <v/>
      </c>
      <c r="R66" s="181">
        <f>IFERROR(VLOOKUP(INDEX(INDIRECT($B$1&amp;"!"&amp;ADDRESS(8,COLUMN()+6,4)&amp;":"&amp;ADDRESS(73,COLUMN()+6,4)),MATCH($B66,INDIRECT($B$1&amp;"!$A$8:$A$73"),0)),CONFIG!$A$15:$B$40,2,FALSE)&amp;"","")</f>
        <v/>
      </c>
      <c r="S66" s="181">
        <f>IFERROR(VLOOKUP(INDEX(INDIRECT($B$1&amp;"!"&amp;ADDRESS(8,COLUMN()+6,4)&amp;":"&amp;ADDRESS(73,COLUMN()+6,4)),MATCH($B66,INDIRECT($B$1&amp;"!$A$8:$A$73"),0)),CONFIG!$A$15:$B$40,2,FALSE)&amp;"","")</f>
        <v/>
      </c>
      <c r="T66" s="181">
        <f>IFERROR(VLOOKUP(INDEX(INDIRECT($B$1&amp;"!"&amp;ADDRESS(8,COLUMN()+6,4)&amp;":"&amp;ADDRESS(73,COLUMN()+6,4)),MATCH($B66,INDIRECT($B$1&amp;"!$A$8:$A$73"),0)),CONFIG!$A$15:$B$40,2,FALSE)&amp;"","")</f>
        <v/>
      </c>
      <c r="U66" s="181">
        <f>IFERROR(VLOOKUP(INDEX(INDIRECT($B$1&amp;"!"&amp;ADDRESS(8,COLUMN()+6,4)&amp;":"&amp;ADDRESS(73,COLUMN()+6,4)),MATCH($B66,INDIRECT($B$1&amp;"!$A$8:$A$73"),0)),CONFIG!$A$15:$B$40,2,FALSE)&amp;"","")</f>
        <v/>
      </c>
      <c r="V66" s="181">
        <f>IFERROR(VLOOKUP(INDEX(INDIRECT($B$1&amp;"!"&amp;ADDRESS(8,COLUMN()+6,4)&amp;":"&amp;ADDRESS(73,COLUMN()+6,4)),MATCH($B66,INDIRECT($B$1&amp;"!$A$8:$A$73"),0)),CONFIG!$A$15:$B$40,2,FALSE)&amp;"","")</f>
        <v/>
      </c>
      <c r="W66" s="181">
        <f>IFERROR(VLOOKUP(INDEX(INDIRECT($B$1&amp;"!"&amp;ADDRESS(8,COLUMN()+6,4)&amp;":"&amp;ADDRESS(73,COLUMN()+6,4)),MATCH($B66,INDIRECT($B$1&amp;"!$A$8:$A$73"),0)),CONFIG!$A$15:$B$40,2,FALSE)&amp;"","")</f>
        <v/>
      </c>
      <c r="X66" s="181">
        <f>IFERROR(VLOOKUP(INDEX(INDIRECT($B$1&amp;"!"&amp;ADDRESS(8,COLUMN()+6,4)&amp;":"&amp;ADDRESS(73,COLUMN()+6,4)),MATCH($B66,INDIRECT($B$1&amp;"!$A$8:$A$73"),0)),CONFIG!$A$15:$B$40,2,FALSE)&amp;"","")</f>
        <v/>
      </c>
      <c r="Y66" s="181">
        <f>IFERROR(VLOOKUP(INDEX(INDIRECT($B$1&amp;"!"&amp;ADDRESS(8,COLUMN()+6,4)&amp;":"&amp;ADDRESS(73,COLUMN()+6,4)),MATCH($B66,INDIRECT($B$1&amp;"!$A$8:$A$73"),0)),CONFIG!$A$15:$B$40,2,FALSE)&amp;"","")</f>
        <v/>
      </c>
      <c r="Z66" s="181">
        <f>IFERROR(VLOOKUP(INDEX(INDIRECT($B$1&amp;"!"&amp;ADDRESS(8,COLUMN()+6,4)&amp;":"&amp;ADDRESS(73,COLUMN()+6,4)),MATCH($B66,INDIRECT($B$1&amp;"!$A$8:$A$73"),0)),CONFIG!$A$15:$B$40,2,FALSE)&amp;"","")</f>
        <v/>
      </c>
      <c r="AA66" s="181">
        <f>IFERROR(VLOOKUP(INDEX(INDIRECT($B$1&amp;"!"&amp;ADDRESS(8,COLUMN()+6,4)&amp;":"&amp;ADDRESS(73,COLUMN()+6,4)),MATCH($B66,INDIRECT($B$1&amp;"!$A$8:$A$73"),0)),CONFIG!$A$15:$B$40,2,FALSE)&amp;"","")</f>
        <v/>
      </c>
      <c r="AB66" s="181">
        <f>IFERROR(VLOOKUP(INDEX(INDIRECT($B$1&amp;"!"&amp;ADDRESS(8,COLUMN()+6,4)&amp;":"&amp;ADDRESS(73,COLUMN()+6,4)),MATCH($B66,INDIRECT($B$1&amp;"!$A$8:$A$73"),0)),CONFIG!$A$15:$B$40,2,FALSE)&amp;"","")</f>
        <v/>
      </c>
      <c r="AC66" s="181">
        <f>IFERROR(VLOOKUP(INDEX(INDIRECT($B$1&amp;"!"&amp;ADDRESS(8,COLUMN()+6,4)&amp;":"&amp;ADDRESS(73,COLUMN()+6,4)),MATCH($B66,INDIRECT($B$1&amp;"!$A$8:$A$73"),0)),CONFIG!$A$15:$B$40,2,FALSE)&amp;"","")</f>
        <v/>
      </c>
      <c r="AD66" s="181">
        <f>IFERROR(VLOOKUP(INDEX(INDIRECT($B$1&amp;"!"&amp;ADDRESS(8,COLUMN()+6,4)&amp;":"&amp;ADDRESS(73,COLUMN()+6,4)),MATCH($B66,INDIRECT($B$1&amp;"!$A$8:$A$73"),0)),CONFIG!$A$15:$B$40,2,FALSE)&amp;"","")</f>
        <v/>
      </c>
      <c r="AE66" s="181">
        <f>IFERROR(VLOOKUP(INDEX(INDIRECT($B$1&amp;"!"&amp;ADDRESS(8,COLUMN()+6,4)&amp;":"&amp;ADDRESS(73,COLUMN()+6,4)),MATCH($B66,INDIRECT($B$1&amp;"!$A$8:$A$73"),0)),CONFIG!$A$15:$B$40,2,FALSE)&amp;"","")</f>
        <v/>
      </c>
      <c r="AF66" s="181">
        <f>IFERROR(VLOOKUP(INDEX(INDIRECT($B$1&amp;"!"&amp;ADDRESS(8,COLUMN()+6,4)&amp;":"&amp;ADDRESS(73,COLUMN()+6,4)),MATCH($B66,INDIRECT($B$1&amp;"!$A$8:$A$73"),0)),CONFIG!$A$15:$B$40,2,FALSE)&amp;"","")</f>
        <v/>
      </c>
      <c r="AG66" s="181">
        <f>IFERROR(VLOOKUP(INDEX(INDIRECT($B$1&amp;"!"&amp;ADDRESS(8,COLUMN()+6,4)&amp;":"&amp;ADDRESS(73,COLUMN()+6,4)),MATCH($B66,INDIRECT($B$1&amp;"!$A$8:$A$73"),0)),CONFIG!$A$15:$B$40,2,FALSE)&amp;"","")</f>
        <v/>
      </c>
      <c r="AH66" s="181">
        <f>IFERROR(VLOOKUP(INDEX(INDIRECT($B$1&amp;"!"&amp;ADDRESS(8,COLUMN()+6,4)&amp;":"&amp;ADDRESS(73,COLUMN()+6,4)),MATCH($B66,INDIRECT($B$1&amp;"!$A$8:$A$73"),0)),CONFIG!$A$15:$B$40,2,FALSE)&amp;"","")</f>
        <v/>
      </c>
      <c r="AI66" s="39" t="n"/>
    </row>
    <row r="67">
      <c r="A67" s="179" t="inlineStr">
        <is>
          <t>Raquel Assis</t>
        </is>
      </c>
      <c r="B67" s="180" t="inlineStr">
        <is>
          <t>Raquel</t>
        </is>
      </c>
      <c r="C67" s="181">
        <f>IFERROR(VLOOKUP(INDEX(INDIRECT($B$1&amp;"!"&amp;ADDRESS(8,COLUMN()+6,4)&amp;":"&amp;ADDRESS(73,COLUMN()+6,4)),MATCH($B67,INDIRECT($B$1&amp;"!$A$8:$A$73"),0)),CONFIG!$A$15:$B$40,2,FALSE)&amp;"","")</f>
        <v/>
      </c>
      <c r="D67" s="181">
        <f>IFERROR(VLOOKUP(INDEX(INDIRECT($B$1&amp;"!"&amp;ADDRESS(8,COLUMN()+6,4)&amp;":"&amp;ADDRESS(73,COLUMN()+6,4)),MATCH($B67,INDIRECT($B$1&amp;"!$A$8:$A$73"),0)),CONFIG!$A$15:$B$40,2,FALSE)&amp;"","")</f>
        <v/>
      </c>
      <c r="E67" s="181">
        <f>IFERROR(VLOOKUP(INDEX(INDIRECT($B$1&amp;"!"&amp;ADDRESS(8,COLUMN()+6,4)&amp;":"&amp;ADDRESS(73,COLUMN()+6,4)),MATCH($B67,INDIRECT($B$1&amp;"!$A$8:$A$73"),0)),CONFIG!$A$15:$B$40,2,FALSE)&amp;"","")</f>
        <v/>
      </c>
      <c r="F67" s="181">
        <f>IFERROR(VLOOKUP(INDEX(INDIRECT($B$1&amp;"!"&amp;ADDRESS(8,COLUMN()+6,4)&amp;":"&amp;ADDRESS(73,COLUMN()+6,4)),MATCH($B67,INDIRECT($B$1&amp;"!$A$8:$A$73"),0)),CONFIG!$A$15:$B$40,2,FALSE)&amp;"","")</f>
        <v/>
      </c>
      <c r="G67" s="181">
        <f>IFERROR(VLOOKUP(INDEX(INDIRECT($B$1&amp;"!"&amp;ADDRESS(8,COLUMN()+6,4)&amp;":"&amp;ADDRESS(73,COLUMN()+6,4)),MATCH($B67,INDIRECT($B$1&amp;"!$A$8:$A$73"),0)),CONFIG!$A$15:$B$40,2,FALSE)&amp;"","")</f>
        <v/>
      </c>
      <c r="H67" s="181">
        <f>IFERROR(VLOOKUP(INDEX(INDIRECT($B$1&amp;"!"&amp;ADDRESS(8,COLUMN()+6,4)&amp;":"&amp;ADDRESS(73,COLUMN()+6,4)),MATCH($B67,INDIRECT($B$1&amp;"!$A$8:$A$73"),0)),CONFIG!$A$15:$B$40,2,FALSE)&amp;"","")</f>
        <v/>
      </c>
      <c r="I67" s="181">
        <f>IFERROR(VLOOKUP(INDEX(INDIRECT($B$1&amp;"!"&amp;ADDRESS(8,COLUMN()+6,4)&amp;":"&amp;ADDRESS(73,COLUMN()+6,4)),MATCH($B67,INDIRECT($B$1&amp;"!$A$8:$A$73"),0)),CONFIG!$A$15:$B$40,2,FALSE)&amp;"","")</f>
        <v/>
      </c>
      <c r="J67" s="181">
        <f>IFERROR(VLOOKUP(INDEX(INDIRECT($B$1&amp;"!"&amp;ADDRESS(8,COLUMN()+6,4)&amp;":"&amp;ADDRESS(73,COLUMN()+6,4)),MATCH($B67,INDIRECT($B$1&amp;"!$A$8:$A$73"),0)),CONFIG!$A$15:$B$40,2,FALSE)&amp;"","")</f>
        <v/>
      </c>
      <c r="K67" s="181">
        <f>IFERROR(VLOOKUP(INDEX(INDIRECT($B$1&amp;"!"&amp;ADDRESS(8,COLUMN()+6,4)&amp;":"&amp;ADDRESS(73,COLUMN()+6,4)),MATCH($B67,INDIRECT($B$1&amp;"!$A$8:$A$73"),0)),CONFIG!$A$15:$B$40,2,FALSE)&amp;"","")</f>
        <v/>
      </c>
      <c r="L67" s="181">
        <f>IFERROR(VLOOKUP(INDEX(INDIRECT($B$1&amp;"!"&amp;ADDRESS(8,COLUMN()+6,4)&amp;":"&amp;ADDRESS(73,COLUMN()+6,4)),MATCH($B67,INDIRECT($B$1&amp;"!$A$8:$A$73"),0)),CONFIG!$A$15:$B$40,2,FALSE)&amp;"","")</f>
        <v/>
      </c>
      <c r="M67" s="181">
        <f>IFERROR(VLOOKUP(INDEX(INDIRECT($B$1&amp;"!"&amp;ADDRESS(8,COLUMN()+6,4)&amp;":"&amp;ADDRESS(73,COLUMN()+6,4)),MATCH($B67,INDIRECT($B$1&amp;"!$A$8:$A$73"),0)),CONFIG!$A$15:$B$40,2,FALSE)&amp;"","")</f>
        <v/>
      </c>
      <c r="N67" s="181">
        <f>IFERROR(VLOOKUP(INDEX(INDIRECT($B$1&amp;"!"&amp;ADDRESS(8,COLUMN()+6,4)&amp;":"&amp;ADDRESS(73,COLUMN()+6,4)),MATCH($B67,INDIRECT($B$1&amp;"!$A$8:$A$73"),0)),CONFIG!$A$15:$B$40,2,FALSE)&amp;"","")</f>
        <v/>
      </c>
      <c r="O67" s="181">
        <f>IFERROR(VLOOKUP(INDEX(INDIRECT($B$1&amp;"!"&amp;ADDRESS(8,COLUMN()+6,4)&amp;":"&amp;ADDRESS(73,COLUMN()+6,4)),MATCH($B67,INDIRECT($B$1&amp;"!$A$8:$A$73"),0)),CONFIG!$A$15:$B$40,2,FALSE)&amp;"","")</f>
        <v/>
      </c>
      <c r="P67" s="181">
        <f>IFERROR(VLOOKUP(INDEX(INDIRECT($B$1&amp;"!"&amp;ADDRESS(8,COLUMN()+6,4)&amp;":"&amp;ADDRESS(73,COLUMN()+6,4)),MATCH($B67,INDIRECT($B$1&amp;"!$A$8:$A$73"),0)),CONFIG!$A$15:$B$40,2,FALSE)&amp;"","")</f>
        <v/>
      </c>
      <c r="Q67" s="181">
        <f>IFERROR(VLOOKUP(INDEX(INDIRECT($B$1&amp;"!"&amp;ADDRESS(8,COLUMN()+6,4)&amp;":"&amp;ADDRESS(73,COLUMN()+6,4)),MATCH($B67,INDIRECT($B$1&amp;"!$A$8:$A$73"),0)),CONFIG!$A$15:$B$40,2,FALSE)&amp;"","")</f>
        <v/>
      </c>
      <c r="R67" s="181">
        <f>IFERROR(VLOOKUP(INDEX(INDIRECT($B$1&amp;"!"&amp;ADDRESS(8,COLUMN()+6,4)&amp;":"&amp;ADDRESS(73,COLUMN()+6,4)),MATCH($B67,INDIRECT($B$1&amp;"!$A$8:$A$73"),0)),CONFIG!$A$15:$B$40,2,FALSE)&amp;"","")</f>
        <v/>
      </c>
      <c r="S67" s="181">
        <f>IFERROR(VLOOKUP(INDEX(INDIRECT($B$1&amp;"!"&amp;ADDRESS(8,COLUMN()+6,4)&amp;":"&amp;ADDRESS(73,COLUMN()+6,4)),MATCH($B67,INDIRECT($B$1&amp;"!$A$8:$A$73"),0)),CONFIG!$A$15:$B$40,2,FALSE)&amp;"","")</f>
        <v/>
      </c>
      <c r="T67" s="181">
        <f>IFERROR(VLOOKUP(INDEX(INDIRECT($B$1&amp;"!"&amp;ADDRESS(8,COLUMN()+6,4)&amp;":"&amp;ADDRESS(73,COLUMN()+6,4)),MATCH($B67,INDIRECT($B$1&amp;"!$A$8:$A$73"),0)),CONFIG!$A$15:$B$40,2,FALSE)&amp;"","")</f>
        <v/>
      </c>
      <c r="U67" s="181">
        <f>IFERROR(VLOOKUP(INDEX(INDIRECT($B$1&amp;"!"&amp;ADDRESS(8,COLUMN()+6,4)&amp;":"&amp;ADDRESS(73,COLUMN()+6,4)),MATCH($B67,INDIRECT($B$1&amp;"!$A$8:$A$73"),0)),CONFIG!$A$15:$B$40,2,FALSE)&amp;"","")</f>
        <v/>
      </c>
      <c r="V67" s="181">
        <f>IFERROR(VLOOKUP(INDEX(INDIRECT($B$1&amp;"!"&amp;ADDRESS(8,COLUMN()+6,4)&amp;":"&amp;ADDRESS(73,COLUMN()+6,4)),MATCH($B67,INDIRECT($B$1&amp;"!$A$8:$A$73"),0)),CONFIG!$A$15:$B$40,2,FALSE)&amp;"","")</f>
        <v/>
      </c>
      <c r="W67" s="181">
        <f>IFERROR(VLOOKUP(INDEX(INDIRECT($B$1&amp;"!"&amp;ADDRESS(8,COLUMN()+6,4)&amp;":"&amp;ADDRESS(73,COLUMN()+6,4)),MATCH($B67,INDIRECT($B$1&amp;"!$A$8:$A$73"),0)),CONFIG!$A$15:$B$40,2,FALSE)&amp;"","")</f>
        <v/>
      </c>
      <c r="X67" s="181">
        <f>IFERROR(VLOOKUP(INDEX(INDIRECT($B$1&amp;"!"&amp;ADDRESS(8,COLUMN()+6,4)&amp;":"&amp;ADDRESS(73,COLUMN()+6,4)),MATCH($B67,INDIRECT($B$1&amp;"!$A$8:$A$73"),0)),CONFIG!$A$15:$B$40,2,FALSE)&amp;"","")</f>
        <v/>
      </c>
      <c r="Y67" s="181">
        <f>IFERROR(VLOOKUP(INDEX(INDIRECT($B$1&amp;"!"&amp;ADDRESS(8,COLUMN()+6,4)&amp;":"&amp;ADDRESS(73,COLUMN()+6,4)),MATCH($B67,INDIRECT($B$1&amp;"!$A$8:$A$73"),0)),CONFIG!$A$15:$B$40,2,FALSE)&amp;"","")</f>
        <v/>
      </c>
      <c r="Z67" s="181">
        <f>IFERROR(VLOOKUP(INDEX(INDIRECT($B$1&amp;"!"&amp;ADDRESS(8,COLUMN()+6,4)&amp;":"&amp;ADDRESS(73,COLUMN()+6,4)),MATCH($B67,INDIRECT($B$1&amp;"!$A$8:$A$73"),0)),CONFIG!$A$15:$B$40,2,FALSE)&amp;"","")</f>
        <v/>
      </c>
      <c r="AA67" s="181">
        <f>IFERROR(VLOOKUP(INDEX(INDIRECT($B$1&amp;"!"&amp;ADDRESS(8,COLUMN()+6,4)&amp;":"&amp;ADDRESS(73,COLUMN()+6,4)),MATCH($B67,INDIRECT($B$1&amp;"!$A$8:$A$73"),0)),CONFIG!$A$15:$B$40,2,FALSE)&amp;"","")</f>
        <v/>
      </c>
      <c r="AB67" s="181">
        <f>IFERROR(VLOOKUP(INDEX(INDIRECT($B$1&amp;"!"&amp;ADDRESS(8,COLUMN()+6,4)&amp;":"&amp;ADDRESS(73,COLUMN()+6,4)),MATCH($B67,INDIRECT($B$1&amp;"!$A$8:$A$73"),0)),CONFIG!$A$15:$B$40,2,FALSE)&amp;"","")</f>
        <v/>
      </c>
      <c r="AC67" s="181">
        <f>IFERROR(VLOOKUP(INDEX(INDIRECT($B$1&amp;"!"&amp;ADDRESS(8,COLUMN()+6,4)&amp;":"&amp;ADDRESS(73,COLUMN()+6,4)),MATCH($B67,INDIRECT($B$1&amp;"!$A$8:$A$73"),0)),CONFIG!$A$15:$B$40,2,FALSE)&amp;"","")</f>
        <v/>
      </c>
      <c r="AD67" s="181">
        <f>IFERROR(VLOOKUP(INDEX(INDIRECT($B$1&amp;"!"&amp;ADDRESS(8,COLUMN()+6,4)&amp;":"&amp;ADDRESS(73,COLUMN()+6,4)),MATCH($B67,INDIRECT($B$1&amp;"!$A$8:$A$73"),0)),CONFIG!$A$15:$B$40,2,FALSE)&amp;"","")</f>
        <v/>
      </c>
      <c r="AE67" s="181">
        <f>IFERROR(VLOOKUP(INDEX(INDIRECT($B$1&amp;"!"&amp;ADDRESS(8,COLUMN()+6,4)&amp;":"&amp;ADDRESS(73,COLUMN()+6,4)),MATCH($B67,INDIRECT($B$1&amp;"!$A$8:$A$73"),0)),CONFIG!$A$15:$B$40,2,FALSE)&amp;"","")</f>
        <v/>
      </c>
      <c r="AF67" s="181">
        <f>IFERROR(VLOOKUP(INDEX(INDIRECT($B$1&amp;"!"&amp;ADDRESS(8,COLUMN()+6,4)&amp;":"&amp;ADDRESS(73,COLUMN()+6,4)),MATCH($B67,INDIRECT($B$1&amp;"!$A$8:$A$73"),0)),CONFIG!$A$15:$B$40,2,FALSE)&amp;"","")</f>
        <v/>
      </c>
      <c r="AG67" s="181">
        <f>IFERROR(VLOOKUP(INDEX(INDIRECT($B$1&amp;"!"&amp;ADDRESS(8,COLUMN()+6,4)&amp;":"&amp;ADDRESS(73,COLUMN()+6,4)),MATCH($B67,INDIRECT($B$1&amp;"!$A$8:$A$73"),0)),CONFIG!$A$15:$B$40,2,FALSE)&amp;"","")</f>
        <v/>
      </c>
      <c r="AH67" s="181">
        <f>IFERROR(VLOOKUP(INDEX(INDIRECT($B$1&amp;"!"&amp;ADDRESS(8,COLUMN()+6,4)&amp;":"&amp;ADDRESS(73,COLUMN()+6,4)),MATCH($B67,INDIRECT($B$1&amp;"!$A$8:$A$73"),0)),CONFIG!$A$15:$B$40,2,FALSE)&amp;"","")</f>
        <v/>
      </c>
      <c r="AI67" s="39" t="n"/>
    </row>
    <row r="68">
      <c r="A68" s="179" t="inlineStr">
        <is>
          <t>Thamyres</t>
        </is>
      </c>
      <c r="B68" s="180" t="inlineStr">
        <is>
          <t>Thamyres</t>
        </is>
      </c>
      <c r="C68" s="181">
        <f>IFERROR(VLOOKUP(INDEX(INDIRECT($B$1&amp;"!"&amp;ADDRESS(8,COLUMN()+6,4)&amp;":"&amp;ADDRESS(73,COLUMN()+6,4)),MATCH($B68,INDIRECT($B$1&amp;"!$A$8:$A$73"),0)),CONFIG!$A$15:$B$40,2,FALSE)&amp;"","")</f>
        <v/>
      </c>
      <c r="D68" s="181">
        <f>IFERROR(VLOOKUP(INDEX(INDIRECT($B$1&amp;"!"&amp;ADDRESS(8,COLUMN()+6,4)&amp;":"&amp;ADDRESS(73,COLUMN()+6,4)),MATCH($B68,INDIRECT($B$1&amp;"!$A$8:$A$73"),0)),CONFIG!$A$15:$B$40,2,FALSE)&amp;"","")</f>
        <v/>
      </c>
      <c r="E68" s="181">
        <f>IFERROR(VLOOKUP(INDEX(INDIRECT($B$1&amp;"!"&amp;ADDRESS(8,COLUMN()+6,4)&amp;":"&amp;ADDRESS(73,COLUMN()+6,4)),MATCH($B68,INDIRECT($B$1&amp;"!$A$8:$A$73"),0)),CONFIG!$A$15:$B$40,2,FALSE)&amp;"","")</f>
        <v/>
      </c>
      <c r="F68" s="181">
        <f>IFERROR(VLOOKUP(INDEX(INDIRECT($B$1&amp;"!"&amp;ADDRESS(8,COLUMN()+6,4)&amp;":"&amp;ADDRESS(73,COLUMN()+6,4)),MATCH($B68,INDIRECT($B$1&amp;"!$A$8:$A$73"),0)),CONFIG!$A$15:$B$40,2,FALSE)&amp;"","")</f>
        <v/>
      </c>
      <c r="G68" s="181">
        <f>IFERROR(VLOOKUP(INDEX(INDIRECT($B$1&amp;"!"&amp;ADDRESS(8,COLUMN()+6,4)&amp;":"&amp;ADDRESS(73,COLUMN()+6,4)),MATCH($B68,INDIRECT($B$1&amp;"!$A$8:$A$73"),0)),CONFIG!$A$15:$B$40,2,FALSE)&amp;"","")</f>
        <v/>
      </c>
      <c r="H68" s="181">
        <f>IFERROR(VLOOKUP(INDEX(INDIRECT($B$1&amp;"!"&amp;ADDRESS(8,COLUMN()+6,4)&amp;":"&amp;ADDRESS(73,COLUMN()+6,4)),MATCH($B68,INDIRECT($B$1&amp;"!$A$8:$A$73"),0)),CONFIG!$A$15:$B$40,2,FALSE)&amp;"","")</f>
        <v/>
      </c>
      <c r="I68" s="181">
        <f>IFERROR(VLOOKUP(INDEX(INDIRECT($B$1&amp;"!"&amp;ADDRESS(8,COLUMN()+6,4)&amp;":"&amp;ADDRESS(73,COLUMN()+6,4)),MATCH($B68,INDIRECT($B$1&amp;"!$A$8:$A$73"),0)),CONFIG!$A$15:$B$40,2,FALSE)&amp;"","")</f>
        <v/>
      </c>
      <c r="J68" s="181">
        <f>IFERROR(VLOOKUP(INDEX(INDIRECT($B$1&amp;"!"&amp;ADDRESS(8,COLUMN()+6,4)&amp;":"&amp;ADDRESS(73,COLUMN()+6,4)),MATCH($B68,INDIRECT($B$1&amp;"!$A$8:$A$73"),0)),CONFIG!$A$15:$B$40,2,FALSE)&amp;"","")</f>
        <v/>
      </c>
      <c r="K68" s="181">
        <f>IFERROR(VLOOKUP(INDEX(INDIRECT($B$1&amp;"!"&amp;ADDRESS(8,COLUMN()+6,4)&amp;":"&amp;ADDRESS(73,COLUMN()+6,4)),MATCH($B68,INDIRECT($B$1&amp;"!$A$8:$A$73"),0)),CONFIG!$A$15:$B$40,2,FALSE)&amp;"","")</f>
        <v/>
      </c>
      <c r="L68" s="181">
        <f>IFERROR(VLOOKUP(INDEX(INDIRECT($B$1&amp;"!"&amp;ADDRESS(8,COLUMN()+6,4)&amp;":"&amp;ADDRESS(73,COLUMN()+6,4)),MATCH($B68,INDIRECT($B$1&amp;"!$A$8:$A$73"),0)),CONFIG!$A$15:$B$40,2,FALSE)&amp;"","")</f>
        <v/>
      </c>
      <c r="M68" s="181">
        <f>IFERROR(VLOOKUP(INDEX(INDIRECT($B$1&amp;"!"&amp;ADDRESS(8,COLUMN()+6,4)&amp;":"&amp;ADDRESS(73,COLUMN()+6,4)),MATCH($B68,INDIRECT($B$1&amp;"!$A$8:$A$73"),0)),CONFIG!$A$15:$B$40,2,FALSE)&amp;"","")</f>
        <v/>
      </c>
      <c r="N68" s="181">
        <f>IFERROR(VLOOKUP(INDEX(INDIRECT($B$1&amp;"!"&amp;ADDRESS(8,COLUMN()+6,4)&amp;":"&amp;ADDRESS(73,COLUMN()+6,4)),MATCH($B68,INDIRECT($B$1&amp;"!$A$8:$A$73"),0)),CONFIG!$A$15:$B$40,2,FALSE)&amp;"","")</f>
        <v/>
      </c>
      <c r="O68" s="181">
        <f>IFERROR(VLOOKUP(INDEX(INDIRECT($B$1&amp;"!"&amp;ADDRESS(8,COLUMN()+6,4)&amp;":"&amp;ADDRESS(73,COLUMN()+6,4)),MATCH($B68,INDIRECT($B$1&amp;"!$A$8:$A$73"),0)),CONFIG!$A$15:$B$40,2,FALSE)&amp;"","")</f>
        <v/>
      </c>
      <c r="P68" s="181">
        <f>IFERROR(VLOOKUP(INDEX(INDIRECT($B$1&amp;"!"&amp;ADDRESS(8,COLUMN()+6,4)&amp;":"&amp;ADDRESS(73,COLUMN()+6,4)),MATCH($B68,INDIRECT($B$1&amp;"!$A$8:$A$73"),0)),CONFIG!$A$15:$B$40,2,FALSE)&amp;"","")</f>
        <v/>
      </c>
      <c r="Q68" s="181">
        <f>IFERROR(VLOOKUP(INDEX(INDIRECT($B$1&amp;"!"&amp;ADDRESS(8,COLUMN()+6,4)&amp;":"&amp;ADDRESS(73,COLUMN()+6,4)),MATCH($B68,INDIRECT($B$1&amp;"!$A$8:$A$73"),0)),CONFIG!$A$15:$B$40,2,FALSE)&amp;"","")</f>
        <v/>
      </c>
      <c r="R68" s="181">
        <f>IFERROR(VLOOKUP(INDEX(INDIRECT($B$1&amp;"!"&amp;ADDRESS(8,COLUMN()+6,4)&amp;":"&amp;ADDRESS(73,COLUMN()+6,4)),MATCH($B68,INDIRECT($B$1&amp;"!$A$8:$A$73"),0)),CONFIG!$A$15:$B$40,2,FALSE)&amp;"","")</f>
        <v/>
      </c>
      <c r="S68" s="181">
        <f>IFERROR(VLOOKUP(INDEX(INDIRECT($B$1&amp;"!"&amp;ADDRESS(8,COLUMN()+6,4)&amp;":"&amp;ADDRESS(73,COLUMN()+6,4)),MATCH($B68,INDIRECT($B$1&amp;"!$A$8:$A$73"),0)),CONFIG!$A$15:$B$40,2,FALSE)&amp;"","")</f>
        <v/>
      </c>
      <c r="T68" s="181">
        <f>IFERROR(VLOOKUP(INDEX(INDIRECT($B$1&amp;"!"&amp;ADDRESS(8,COLUMN()+6,4)&amp;":"&amp;ADDRESS(73,COLUMN()+6,4)),MATCH($B68,INDIRECT($B$1&amp;"!$A$8:$A$73"),0)),CONFIG!$A$15:$B$40,2,FALSE)&amp;"","")</f>
        <v/>
      </c>
      <c r="U68" s="181">
        <f>IFERROR(VLOOKUP(INDEX(INDIRECT($B$1&amp;"!"&amp;ADDRESS(8,COLUMN()+6,4)&amp;":"&amp;ADDRESS(73,COLUMN()+6,4)),MATCH($B68,INDIRECT($B$1&amp;"!$A$8:$A$73"),0)),CONFIG!$A$15:$B$40,2,FALSE)&amp;"","")</f>
        <v/>
      </c>
      <c r="V68" s="181">
        <f>IFERROR(VLOOKUP(INDEX(INDIRECT($B$1&amp;"!"&amp;ADDRESS(8,COLUMN()+6,4)&amp;":"&amp;ADDRESS(73,COLUMN()+6,4)),MATCH($B68,INDIRECT($B$1&amp;"!$A$8:$A$73"),0)),CONFIG!$A$15:$B$40,2,FALSE)&amp;"","")</f>
        <v/>
      </c>
      <c r="W68" s="181">
        <f>IFERROR(VLOOKUP(INDEX(INDIRECT($B$1&amp;"!"&amp;ADDRESS(8,COLUMN()+6,4)&amp;":"&amp;ADDRESS(73,COLUMN()+6,4)),MATCH($B68,INDIRECT($B$1&amp;"!$A$8:$A$73"),0)),CONFIG!$A$15:$B$40,2,FALSE)&amp;"","")</f>
        <v/>
      </c>
      <c r="X68" s="181">
        <f>IFERROR(VLOOKUP(INDEX(INDIRECT($B$1&amp;"!"&amp;ADDRESS(8,COLUMN()+6,4)&amp;":"&amp;ADDRESS(73,COLUMN()+6,4)),MATCH($B68,INDIRECT($B$1&amp;"!$A$8:$A$73"),0)),CONFIG!$A$15:$B$40,2,FALSE)&amp;"","")</f>
        <v/>
      </c>
      <c r="Y68" s="181">
        <f>IFERROR(VLOOKUP(INDEX(INDIRECT($B$1&amp;"!"&amp;ADDRESS(8,COLUMN()+6,4)&amp;":"&amp;ADDRESS(73,COLUMN()+6,4)),MATCH($B68,INDIRECT($B$1&amp;"!$A$8:$A$73"),0)),CONFIG!$A$15:$B$40,2,FALSE)&amp;"","")</f>
        <v/>
      </c>
      <c r="Z68" s="181">
        <f>IFERROR(VLOOKUP(INDEX(INDIRECT($B$1&amp;"!"&amp;ADDRESS(8,COLUMN()+6,4)&amp;":"&amp;ADDRESS(73,COLUMN()+6,4)),MATCH($B68,INDIRECT($B$1&amp;"!$A$8:$A$73"),0)),CONFIG!$A$15:$B$40,2,FALSE)&amp;"","")</f>
        <v/>
      </c>
      <c r="AA68" s="181">
        <f>IFERROR(VLOOKUP(INDEX(INDIRECT($B$1&amp;"!"&amp;ADDRESS(8,COLUMN()+6,4)&amp;":"&amp;ADDRESS(73,COLUMN()+6,4)),MATCH($B68,INDIRECT($B$1&amp;"!$A$8:$A$73"),0)),CONFIG!$A$15:$B$40,2,FALSE)&amp;"","")</f>
        <v/>
      </c>
      <c r="AB68" s="181">
        <f>IFERROR(VLOOKUP(INDEX(INDIRECT($B$1&amp;"!"&amp;ADDRESS(8,COLUMN()+6,4)&amp;":"&amp;ADDRESS(73,COLUMN()+6,4)),MATCH($B68,INDIRECT($B$1&amp;"!$A$8:$A$73"),0)),CONFIG!$A$15:$B$40,2,FALSE)&amp;"","")</f>
        <v/>
      </c>
      <c r="AC68" s="181">
        <f>IFERROR(VLOOKUP(INDEX(INDIRECT($B$1&amp;"!"&amp;ADDRESS(8,COLUMN()+6,4)&amp;":"&amp;ADDRESS(73,COLUMN()+6,4)),MATCH($B68,INDIRECT($B$1&amp;"!$A$8:$A$73"),0)),CONFIG!$A$15:$B$40,2,FALSE)&amp;"","")</f>
        <v/>
      </c>
      <c r="AD68" s="181">
        <f>IFERROR(VLOOKUP(INDEX(INDIRECT($B$1&amp;"!"&amp;ADDRESS(8,COLUMN()+6,4)&amp;":"&amp;ADDRESS(73,COLUMN()+6,4)),MATCH($B68,INDIRECT($B$1&amp;"!$A$8:$A$73"),0)),CONFIG!$A$15:$B$40,2,FALSE)&amp;"","")</f>
        <v/>
      </c>
      <c r="AE68" s="181">
        <f>IFERROR(VLOOKUP(INDEX(INDIRECT($B$1&amp;"!"&amp;ADDRESS(8,COLUMN()+6,4)&amp;":"&amp;ADDRESS(73,COLUMN()+6,4)),MATCH($B68,INDIRECT($B$1&amp;"!$A$8:$A$73"),0)),CONFIG!$A$15:$B$40,2,FALSE)&amp;"","")</f>
        <v/>
      </c>
      <c r="AF68" s="181">
        <f>IFERROR(VLOOKUP(INDEX(INDIRECT($B$1&amp;"!"&amp;ADDRESS(8,COLUMN()+6,4)&amp;":"&amp;ADDRESS(73,COLUMN()+6,4)),MATCH($B68,INDIRECT($B$1&amp;"!$A$8:$A$73"),0)),CONFIG!$A$15:$B$40,2,FALSE)&amp;"","")</f>
        <v/>
      </c>
      <c r="AG68" s="181">
        <f>IFERROR(VLOOKUP(INDEX(INDIRECT($B$1&amp;"!"&amp;ADDRESS(8,COLUMN()+6,4)&amp;":"&amp;ADDRESS(73,COLUMN()+6,4)),MATCH($B68,INDIRECT($B$1&amp;"!$A$8:$A$73"),0)),CONFIG!$A$15:$B$40,2,FALSE)&amp;"","")</f>
        <v/>
      </c>
      <c r="AH68" s="181">
        <f>IFERROR(VLOOKUP(INDEX(INDIRECT($B$1&amp;"!"&amp;ADDRESS(8,COLUMN()+6,4)&amp;":"&amp;ADDRESS(73,COLUMN()+6,4)),MATCH($B68,INDIRECT($B$1&amp;"!$A$8:$A$73"),0)),CONFIG!$A$15:$B$40,2,FALSE)&amp;"","")</f>
        <v/>
      </c>
      <c r="AI68" s="39" t="n"/>
    </row>
    <row r="69">
      <c r="A69" s="179" t="inlineStr">
        <is>
          <t>Vanessa</t>
        </is>
      </c>
      <c r="B69" s="180" t="inlineStr">
        <is>
          <t>Vanessa</t>
        </is>
      </c>
      <c r="C69" s="181">
        <f>IFERROR(VLOOKUP(INDEX(INDIRECT($B$1&amp;"!"&amp;ADDRESS(8,COLUMN()+6,4)&amp;":"&amp;ADDRESS(73,COLUMN()+6,4)),MATCH($B69,INDIRECT($B$1&amp;"!$A$8:$A$73"),0)),CONFIG!$A$15:$B$40,2,FALSE)&amp;"","")</f>
        <v/>
      </c>
      <c r="D69" s="181">
        <f>IFERROR(VLOOKUP(INDEX(INDIRECT($B$1&amp;"!"&amp;ADDRESS(8,COLUMN()+6,4)&amp;":"&amp;ADDRESS(73,COLUMN()+6,4)),MATCH($B69,INDIRECT($B$1&amp;"!$A$8:$A$73"),0)),CONFIG!$A$15:$B$40,2,FALSE)&amp;"","")</f>
        <v/>
      </c>
      <c r="E69" s="181">
        <f>IFERROR(VLOOKUP(INDEX(INDIRECT($B$1&amp;"!"&amp;ADDRESS(8,COLUMN()+6,4)&amp;":"&amp;ADDRESS(73,COLUMN()+6,4)),MATCH($B69,INDIRECT($B$1&amp;"!$A$8:$A$73"),0)),CONFIG!$A$15:$B$40,2,FALSE)&amp;"","")</f>
        <v/>
      </c>
      <c r="F69" s="181">
        <f>IFERROR(VLOOKUP(INDEX(INDIRECT($B$1&amp;"!"&amp;ADDRESS(8,COLUMN()+6,4)&amp;":"&amp;ADDRESS(73,COLUMN()+6,4)),MATCH($B69,INDIRECT($B$1&amp;"!$A$8:$A$73"),0)),CONFIG!$A$15:$B$40,2,FALSE)&amp;"","")</f>
        <v/>
      </c>
      <c r="G69" s="181">
        <f>IFERROR(VLOOKUP(INDEX(INDIRECT($B$1&amp;"!"&amp;ADDRESS(8,COLUMN()+6,4)&amp;":"&amp;ADDRESS(73,COLUMN()+6,4)),MATCH($B69,INDIRECT($B$1&amp;"!$A$8:$A$73"),0)),CONFIG!$A$15:$B$40,2,FALSE)&amp;"","")</f>
        <v/>
      </c>
      <c r="H69" s="181">
        <f>IFERROR(VLOOKUP(INDEX(INDIRECT($B$1&amp;"!"&amp;ADDRESS(8,COLUMN()+6,4)&amp;":"&amp;ADDRESS(73,COLUMN()+6,4)),MATCH($B69,INDIRECT($B$1&amp;"!$A$8:$A$73"),0)),CONFIG!$A$15:$B$40,2,FALSE)&amp;"","")</f>
        <v/>
      </c>
      <c r="I69" s="181">
        <f>IFERROR(VLOOKUP(INDEX(INDIRECT($B$1&amp;"!"&amp;ADDRESS(8,COLUMN()+6,4)&amp;":"&amp;ADDRESS(73,COLUMN()+6,4)),MATCH($B69,INDIRECT($B$1&amp;"!$A$8:$A$73"),0)),CONFIG!$A$15:$B$40,2,FALSE)&amp;"","")</f>
        <v/>
      </c>
      <c r="J69" s="181">
        <f>IFERROR(VLOOKUP(INDEX(INDIRECT($B$1&amp;"!"&amp;ADDRESS(8,COLUMN()+6,4)&amp;":"&amp;ADDRESS(73,COLUMN()+6,4)),MATCH($B69,INDIRECT($B$1&amp;"!$A$8:$A$73"),0)),CONFIG!$A$15:$B$40,2,FALSE)&amp;"","")</f>
        <v/>
      </c>
      <c r="K69" s="181">
        <f>IFERROR(VLOOKUP(INDEX(INDIRECT($B$1&amp;"!"&amp;ADDRESS(8,COLUMN()+6,4)&amp;":"&amp;ADDRESS(73,COLUMN()+6,4)),MATCH($B69,INDIRECT($B$1&amp;"!$A$8:$A$73"),0)),CONFIG!$A$15:$B$40,2,FALSE)&amp;"","")</f>
        <v/>
      </c>
      <c r="L69" s="181">
        <f>IFERROR(VLOOKUP(INDEX(INDIRECT($B$1&amp;"!"&amp;ADDRESS(8,COLUMN()+6,4)&amp;":"&amp;ADDRESS(73,COLUMN()+6,4)),MATCH($B69,INDIRECT($B$1&amp;"!$A$8:$A$73"),0)),CONFIG!$A$15:$B$40,2,FALSE)&amp;"","")</f>
        <v/>
      </c>
      <c r="M69" s="181">
        <f>IFERROR(VLOOKUP(INDEX(INDIRECT($B$1&amp;"!"&amp;ADDRESS(8,COLUMN()+6,4)&amp;":"&amp;ADDRESS(73,COLUMN()+6,4)),MATCH($B69,INDIRECT($B$1&amp;"!$A$8:$A$73"),0)),CONFIG!$A$15:$B$40,2,FALSE)&amp;"","")</f>
        <v/>
      </c>
      <c r="N69" s="181">
        <f>IFERROR(VLOOKUP(INDEX(INDIRECT($B$1&amp;"!"&amp;ADDRESS(8,COLUMN()+6,4)&amp;":"&amp;ADDRESS(73,COLUMN()+6,4)),MATCH($B69,INDIRECT($B$1&amp;"!$A$8:$A$73"),0)),CONFIG!$A$15:$B$40,2,FALSE)&amp;"","")</f>
        <v/>
      </c>
      <c r="O69" s="181">
        <f>IFERROR(VLOOKUP(INDEX(INDIRECT($B$1&amp;"!"&amp;ADDRESS(8,COLUMN()+6,4)&amp;":"&amp;ADDRESS(73,COLUMN()+6,4)),MATCH($B69,INDIRECT($B$1&amp;"!$A$8:$A$73"),0)),CONFIG!$A$15:$B$40,2,FALSE)&amp;"","")</f>
        <v/>
      </c>
      <c r="P69" s="181">
        <f>IFERROR(VLOOKUP(INDEX(INDIRECT($B$1&amp;"!"&amp;ADDRESS(8,COLUMN()+6,4)&amp;":"&amp;ADDRESS(73,COLUMN()+6,4)),MATCH($B69,INDIRECT($B$1&amp;"!$A$8:$A$73"),0)),CONFIG!$A$15:$B$40,2,FALSE)&amp;"","")</f>
        <v/>
      </c>
      <c r="Q69" s="181">
        <f>IFERROR(VLOOKUP(INDEX(INDIRECT($B$1&amp;"!"&amp;ADDRESS(8,COLUMN()+6,4)&amp;":"&amp;ADDRESS(73,COLUMN()+6,4)),MATCH($B69,INDIRECT($B$1&amp;"!$A$8:$A$73"),0)),CONFIG!$A$15:$B$40,2,FALSE)&amp;"","")</f>
        <v/>
      </c>
      <c r="R69" s="181">
        <f>IFERROR(VLOOKUP(INDEX(INDIRECT($B$1&amp;"!"&amp;ADDRESS(8,COLUMN()+6,4)&amp;":"&amp;ADDRESS(73,COLUMN()+6,4)),MATCH($B69,INDIRECT($B$1&amp;"!$A$8:$A$73"),0)),CONFIG!$A$15:$B$40,2,FALSE)&amp;"","")</f>
        <v/>
      </c>
      <c r="S69" s="181">
        <f>IFERROR(VLOOKUP(INDEX(INDIRECT($B$1&amp;"!"&amp;ADDRESS(8,COLUMN()+6,4)&amp;":"&amp;ADDRESS(73,COLUMN()+6,4)),MATCH($B69,INDIRECT($B$1&amp;"!$A$8:$A$73"),0)),CONFIG!$A$15:$B$40,2,FALSE)&amp;"","")</f>
        <v/>
      </c>
      <c r="T69" s="181">
        <f>IFERROR(VLOOKUP(INDEX(INDIRECT($B$1&amp;"!"&amp;ADDRESS(8,COLUMN()+6,4)&amp;":"&amp;ADDRESS(73,COLUMN()+6,4)),MATCH($B69,INDIRECT($B$1&amp;"!$A$8:$A$73"),0)),CONFIG!$A$15:$B$40,2,FALSE)&amp;"","")</f>
        <v/>
      </c>
      <c r="U69" s="181">
        <f>IFERROR(VLOOKUP(INDEX(INDIRECT($B$1&amp;"!"&amp;ADDRESS(8,COLUMN()+6,4)&amp;":"&amp;ADDRESS(73,COLUMN()+6,4)),MATCH($B69,INDIRECT($B$1&amp;"!$A$8:$A$73"),0)),CONFIG!$A$15:$B$40,2,FALSE)&amp;"","")</f>
        <v/>
      </c>
      <c r="V69" s="181">
        <f>IFERROR(VLOOKUP(INDEX(INDIRECT($B$1&amp;"!"&amp;ADDRESS(8,COLUMN()+6,4)&amp;":"&amp;ADDRESS(73,COLUMN()+6,4)),MATCH($B69,INDIRECT($B$1&amp;"!$A$8:$A$73"),0)),CONFIG!$A$15:$B$40,2,FALSE)&amp;"","")</f>
        <v/>
      </c>
      <c r="W69" s="181">
        <f>IFERROR(VLOOKUP(INDEX(INDIRECT($B$1&amp;"!"&amp;ADDRESS(8,COLUMN()+6,4)&amp;":"&amp;ADDRESS(73,COLUMN()+6,4)),MATCH($B69,INDIRECT($B$1&amp;"!$A$8:$A$73"),0)),CONFIG!$A$15:$B$40,2,FALSE)&amp;"","")</f>
        <v/>
      </c>
      <c r="X69" s="181">
        <f>IFERROR(VLOOKUP(INDEX(INDIRECT($B$1&amp;"!"&amp;ADDRESS(8,COLUMN()+6,4)&amp;":"&amp;ADDRESS(73,COLUMN()+6,4)),MATCH($B69,INDIRECT($B$1&amp;"!$A$8:$A$73"),0)),CONFIG!$A$15:$B$40,2,FALSE)&amp;"","")</f>
        <v/>
      </c>
      <c r="Y69" s="181">
        <f>IFERROR(VLOOKUP(INDEX(INDIRECT($B$1&amp;"!"&amp;ADDRESS(8,COLUMN()+6,4)&amp;":"&amp;ADDRESS(73,COLUMN()+6,4)),MATCH($B69,INDIRECT($B$1&amp;"!$A$8:$A$73"),0)),CONFIG!$A$15:$B$40,2,FALSE)&amp;"","")</f>
        <v/>
      </c>
      <c r="Z69" s="181">
        <f>IFERROR(VLOOKUP(INDEX(INDIRECT($B$1&amp;"!"&amp;ADDRESS(8,COLUMN()+6,4)&amp;":"&amp;ADDRESS(73,COLUMN()+6,4)),MATCH($B69,INDIRECT($B$1&amp;"!$A$8:$A$73"),0)),CONFIG!$A$15:$B$40,2,FALSE)&amp;"","")</f>
        <v/>
      </c>
      <c r="AA69" s="181">
        <f>IFERROR(VLOOKUP(INDEX(INDIRECT($B$1&amp;"!"&amp;ADDRESS(8,COLUMN()+6,4)&amp;":"&amp;ADDRESS(73,COLUMN()+6,4)),MATCH($B69,INDIRECT($B$1&amp;"!$A$8:$A$73"),0)),CONFIG!$A$15:$B$40,2,FALSE)&amp;"","")</f>
        <v/>
      </c>
      <c r="AB69" s="181">
        <f>IFERROR(VLOOKUP(INDEX(INDIRECT($B$1&amp;"!"&amp;ADDRESS(8,COLUMN()+6,4)&amp;":"&amp;ADDRESS(73,COLUMN()+6,4)),MATCH($B69,INDIRECT($B$1&amp;"!$A$8:$A$73"),0)),CONFIG!$A$15:$B$40,2,FALSE)&amp;"","")</f>
        <v/>
      </c>
      <c r="AC69" s="181">
        <f>IFERROR(VLOOKUP(INDEX(INDIRECT($B$1&amp;"!"&amp;ADDRESS(8,COLUMN()+6,4)&amp;":"&amp;ADDRESS(73,COLUMN()+6,4)),MATCH($B69,INDIRECT($B$1&amp;"!$A$8:$A$73"),0)),CONFIG!$A$15:$B$40,2,FALSE)&amp;"","")</f>
        <v/>
      </c>
      <c r="AD69" s="181">
        <f>IFERROR(VLOOKUP(INDEX(INDIRECT($B$1&amp;"!"&amp;ADDRESS(8,COLUMN()+6,4)&amp;":"&amp;ADDRESS(73,COLUMN()+6,4)),MATCH($B69,INDIRECT($B$1&amp;"!$A$8:$A$73"),0)),CONFIG!$A$15:$B$40,2,FALSE)&amp;"","")</f>
        <v/>
      </c>
      <c r="AE69" s="181">
        <f>IFERROR(VLOOKUP(INDEX(INDIRECT($B$1&amp;"!"&amp;ADDRESS(8,COLUMN()+6,4)&amp;":"&amp;ADDRESS(73,COLUMN()+6,4)),MATCH($B69,INDIRECT($B$1&amp;"!$A$8:$A$73"),0)),CONFIG!$A$15:$B$40,2,FALSE)&amp;"","")</f>
        <v/>
      </c>
      <c r="AF69" s="181">
        <f>IFERROR(VLOOKUP(INDEX(INDIRECT($B$1&amp;"!"&amp;ADDRESS(8,COLUMN()+6,4)&amp;":"&amp;ADDRESS(73,COLUMN()+6,4)),MATCH($B69,INDIRECT($B$1&amp;"!$A$8:$A$73"),0)),CONFIG!$A$15:$B$40,2,FALSE)&amp;"","")</f>
        <v/>
      </c>
      <c r="AG69" s="181">
        <f>IFERROR(VLOOKUP(INDEX(INDIRECT($B$1&amp;"!"&amp;ADDRESS(8,COLUMN()+6,4)&amp;":"&amp;ADDRESS(73,COLUMN()+6,4)),MATCH($B69,INDIRECT($B$1&amp;"!$A$8:$A$73"),0)),CONFIG!$A$15:$B$40,2,FALSE)&amp;"","")</f>
        <v/>
      </c>
      <c r="AH69" s="181">
        <f>IFERROR(VLOOKUP(INDEX(INDIRECT($B$1&amp;"!"&amp;ADDRESS(8,COLUMN()+6,4)&amp;":"&amp;ADDRESS(73,COLUMN()+6,4)),MATCH($B69,INDIRECT($B$1&amp;"!$A$8:$A$73"),0)),CONFIG!$A$15:$B$40,2,FALSE)&amp;"","")</f>
        <v/>
      </c>
      <c r="AI69" s="39" t="n"/>
    </row>
    <row r="70">
      <c r="A70" s="179" t="inlineStr">
        <is>
          <t>Henrique Yuji</t>
        </is>
      </c>
      <c r="B70" s="180" t="inlineStr">
        <is>
          <t>Yuji</t>
        </is>
      </c>
      <c r="C70" s="181">
        <f>IFERROR(VLOOKUP(INDEX(INDIRECT($B$1&amp;"!"&amp;ADDRESS(8,COLUMN()+6,4)&amp;":"&amp;ADDRESS(73,COLUMN()+6,4)),MATCH($B70,INDIRECT($B$1&amp;"!$A$8:$A$73"),0)),CONFIG!$A$15:$B$40,2,FALSE)&amp;"","")</f>
        <v/>
      </c>
      <c r="D70" s="181">
        <f>IFERROR(VLOOKUP(INDEX(INDIRECT($B$1&amp;"!"&amp;ADDRESS(8,COLUMN()+6,4)&amp;":"&amp;ADDRESS(73,COLUMN()+6,4)),MATCH($B70,INDIRECT($B$1&amp;"!$A$8:$A$73"),0)),CONFIG!$A$15:$B$40,2,FALSE)&amp;"","")</f>
        <v/>
      </c>
      <c r="E70" s="181">
        <f>IFERROR(VLOOKUP(INDEX(INDIRECT($B$1&amp;"!"&amp;ADDRESS(8,COLUMN()+6,4)&amp;":"&amp;ADDRESS(73,COLUMN()+6,4)),MATCH($B70,INDIRECT($B$1&amp;"!$A$8:$A$73"),0)),CONFIG!$A$15:$B$40,2,FALSE)&amp;"","")</f>
        <v/>
      </c>
      <c r="F70" s="181">
        <f>IFERROR(VLOOKUP(INDEX(INDIRECT($B$1&amp;"!"&amp;ADDRESS(8,COLUMN()+6,4)&amp;":"&amp;ADDRESS(73,COLUMN()+6,4)),MATCH($B70,INDIRECT($B$1&amp;"!$A$8:$A$73"),0)),CONFIG!$A$15:$B$40,2,FALSE)&amp;"","")</f>
        <v/>
      </c>
      <c r="G70" s="181">
        <f>IFERROR(VLOOKUP(INDEX(INDIRECT($B$1&amp;"!"&amp;ADDRESS(8,COLUMN()+6,4)&amp;":"&amp;ADDRESS(73,COLUMN()+6,4)),MATCH($B70,INDIRECT($B$1&amp;"!$A$8:$A$73"),0)),CONFIG!$A$15:$B$40,2,FALSE)&amp;"","")</f>
        <v/>
      </c>
      <c r="H70" s="181">
        <f>IFERROR(VLOOKUP(INDEX(INDIRECT($B$1&amp;"!"&amp;ADDRESS(8,COLUMN()+6,4)&amp;":"&amp;ADDRESS(73,COLUMN()+6,4)),MATCH($B70,INDIRECT($B$1&amp;"!$A$8:$A$73"),0)),CONFIG!$A$15:$B$40,2,FALSE)&amp;"","")</f>
        <v/>
      </c>
      <c r="I70" s="181">
        <f>IFERROR(VLOOKUP(INDEX(INDIRECT($B$1&amp;"!"&amp;ADDRESS(8,COLUMN()+6,4)&amp;":"&amp;ADDRESS(73,COLUMN()+6,4)),MATCH($B70,INDIRECT($B$1&amp;"!$A$8:$A$73"),0)),CONFIG!$A$15:$B$40,2,FALSE)&amp;"","")</f>
        <v/>
      </c>
      <c r="J70" s="181">
        <f>IFERROR(VLOOKUP(INDEX(INDIRECT($B$1&amp;"!"&amp;ADDRESS(8,COLUMN()+6,4)&amp;":"&amp;ADDRESS(73,COLUMN()+6,4)),MATCH($B70,INDIRECT($B$1&amp;"!$A$8:$A$73"),0)),CONFIG!$A$15:$B$40,2,FALSE)&amp;"","")</f>
        <v/>
      </c>
      <c r="K70" s="181">
        <f>IFERROR(VLOOKUP(INDEX(INDIRECT($B$1&amp;"!"&amp;ADDRESS(8,COLUMN()+6,4)&amp;":"&amp;ADDRESS(73,COLUMN()+6,4)),MATCH($B70,INDIRECT($B$1&amp;"!$A$8:$A$73"),0)),CONFIG!$A$15:$B$40,2,FALSE)&amp;"","")</f>
        <v/>
      </c>
      <c r="L70" s="181">
        <f>IFERROR(VLOOKUP(INDEX(INDIRECT($B$1&amp;"!"&amp;ADDRESS(8,COLUMN()+6,4)&amp;":"&amp;ADDRESS(73,COLUMN()+6,4)),MATCH($B70,INDIRECT($B$1&amp;"!$A$8:$A$73"),0)),CONFIG!$A$15:$B$40,2,FALSE)&amp;"","")</f>
        <v/>
      </c>
      <c r="M70" s="181">
        <f>IFERROR(VLOOKUP(INDEX(INDIRECT($B$1&amp;"!"&amp;ADDRESS(8,COLUMN()+6,4)&amp;":"&amp;ADDRESS(73,COLUMN()+6,4)),MATCH($B70,INDIRECT($B$1&amp;"!$A$8:$A$73"),0)),CONFIG!$A$15:$B$40,2,FALSE)&amp;"","")</f>
        <v/>
      </c>
      <c r="N70" s="181">
        <f>IFERROR(VLOOKUP(INDEX(INDIRECT($B$1&amp;"!"&amp;ADDRESS(8,COLUMN()+6,4)&amp;":"&amp;ADDRESS(73,COLUMN()+6,4)),MATCH($B70,INDIRECT($B$1&amp;"!$A$8:$A$73"),0)),CONFIG!$A$15:$B$40,2,FALSE)&amp;"","")</f>
        <v/>
      </c>
      <c r="O70" s="181">
        <f>IFERROR(VLOOKUP(INDEX(INDIRECT($B$1&amp;"!"&amp;ADDRESS(8,COLUMN()+6,4)&amp;":"&amp;ADDRESS(73,COLUMN()+6,4)),MATCH($B70,INDIRECT($B$1&amp;"!$A$8:$A$73"),0)),CONFIG!$A$15:$B$40,2,FALSE)&amp;"","")</f>
        <v/>
      </c>
      <c r="P70" s="181">
        <f>IFERROR(VLOOKUP(INDEX(INDIRECT($B$1&amp;"!"&amp;ADDRESS(8,COLUMN()+6,4)&amp;":"&amp;ADDRESS(73,COLUMN()+6,4)),MATCH($B70,INDIRECT($B$1&amp;"!$A$8:$A$73"),0)),CONFIG!$A$15:$B$40,2,FALSE)&amp;"","")</f>
        <v/>
      </c>
      <c r="Q70" s="181">
        <f>IFERROR(VLOOKUP(INDEX(INDIRECT($B$1&amp;"!"&amp;ADDRESS(8,COLUMN()+6,4)&amp;":"&amp;ADDRESS(73,COLUMN()+6,4)),MATCH($B70,INDIRECT($B$1&amp;"!$A$8:$A$73"),0)),CONFIG!$A$15:$B$40,2,FALSE)&amp;"","")</f>
        <v/>
      </c>
      <c r="R70" s="181">
        <f>IFERROR(VLOOKUP(INDEX(INDIRECT($B$1&amp;"!"&amp;ADDRESS(8,COLUMN()+6,4)&amp;":"&amp;ADDRESS(73,COLUMN()+6,4)),MATCH($B70,INDIRECT($B$1&amp;"!$A$8:$A$73"),0)),CONFIG!$A$15:$B$40,2,FALSE)&amp;"","")</f>
        <v/>
      </c>
      <c r="S70" s="181">
        <f>IFERROR(VLOOKUP(INDEX(INDIRECT($B$1&amp;"!"&amp;ADDRESS(8,COLUMN()+6,4)&amp;":"&amp;ADDRESS(73,COLUMN()+6,4)),MATCH($B70,INDIRECT($B$1&amp;"!$A$8:$A$73"),0)),CONFIG!$A$15:$B$40,2,FALSE)&amp;"","")</f>
        <v/>
      </c>
      <c r="T70" s="181">
        <f>IFERROR(VLOOKUP(INDEX(INDIRECT($B$1&amp;"!"&amp;ADDRESS(8,COLUMN()+6,4)&amp;":"&amp;ADDRESS(73,COLUMN()+6,4)),MATCH($B70,INDIRECT($B$1&amp;"!$A$8:$A$73"),0)),CONFIG!$A$15:$B$40,2,FALSE)&amp;"","")</f>
        <v/>
      </c>
      <c r="U70" s="181">
        <f>IFERROR(VLOOKUP(INDEX(INDIRECT($B$1&amp;"!"&amp;ADDRESS(8,COLUMN()+6,4)&amp;":"&amp;ADDRESS(73,COLUMN()+6,4)),MATCH($B70,INDIRECT($B$1&amp;"!$A$8:$A$73"),0)),CONFIG!$A$15:$B$40,2,FALSE)&amp;"","")</f>
        <v/>
      </c>
      <c r="V70" s="181">
        <f>IFERROR(VLOOKUP(INDEX(INDIRECT($B$1&amp;"!"&amp;ADDRESS(8,COLUMN()+6,4)&amp;":"&amp;ADDRESS(73,COLUMN()+6,4)),MATCH($B70,INDIRECT($B$1&amp;"!$A$8:$A$73"),0)),CONFIG!$A$15:$B$40,2,FALSE)&amp;"","")</f>
        <v/>
      </c>
      <c r="W70" s="181">
        <f>IFERROR(VLOOKUP(INDEX(INDIRECT($B$1&amp;"!"&amp;ADDRESS(8,COLUMN()+6,4)&amp;":"&amp;ADDRESS(73,COLUMN()+6,4)),MATCH($B70,INDIRECT($B$1&amp;"!$A$8:$A$73"),0)),CONFIG!$A$15:$B$40,2,FALSE)&amp;"","")</f>
        <v/>
      </c>
      <c r="X70" s="181">
        <f>IFERROR(VLOOKUP(INDEX(INDIRECT($B$1&amp;"!"&amp;ADDRESS(8,COLUMN()+6,4)&amp;":"&amp;ADDRESS(73,COLUMN()+6,4)),MATCH($B70,INDIRECT($B$1&amp;"!$A$8:$A$73"),0)),CONFIG!$A$15:$B$40,2,FALSE)&amp;"","")</f>
        <v/>
      </c>
      <c r="Y70" s="181">
        <f>IFERROR(VLOOKUP(INDEX(INDIRECT($B$1&amp;"!"&amp;ADDRESS(8,COLUMN()+6,4)&amp;":"&amp;ADDRESS(73,COLUMN()+6,4)),MATCH($B70,INDIRECT($B$1&amp;"!$A$8:$A$73"),0)),CONFIG!$A$15:$B$40,2,FALSE)&amp;"","")</f>
        <v/>
      </c>
      <c r="Z70" s="181">
        <f>IFERROR(VLOOKUP(INDEX(INDIRECT($B$1&amp;"!"&amp;ADDRESS(8,COLUMN()+6,4)&amp;":"&amp;ADDRESS(73,COLUMN()+6,4)),MATCH($B70,INDIRECT($B$1&amp;"!$A$8:$A$73"),0)),CONFIG!$A$15:$B$40,2,FALSE)&amp;"","")</f>
        <v/>
      </c>
      <c r="AA70" s="181">
        <f>IFERROR(VLOOKUP(INDEX(INDIRECT($B$1&amp;"!"&amp;ADDRESS(8,COLUMN()+6,4)&amp;":"&amp;ADDRESS(73,COLUMN()+6,4)),MATCH($B70,INDIRECT($B$1&amp;"!$A$8:$A$73"),0)),CONFIG!$A$15:$B$40,2,FALSE)&amp;"","")</f>
        <v/>
      </c>
      <c r="AB70" s="181">
        <f>IFERROR(VLOOKUP(INDEX(INDIRECT($B$1&amp;"!"&amp;ADDRESS(8,COLUMN()+6,4)&amp;":"&amp;ADDRESS(73,COLUMN()+6,4)),MATCH($B70,INDIRECT($B$1&amp;"!$A$8:$A$73"),0)),CONFIG!$A$15:$B$40,2,FALSE)&amp;"","")</f>
        <v/>
      </c>
      <c r="AC70" s="181">
        <f>IFERROR(VLOOKUP(INDEX(INDIRECT($B$1&amp;"!"&amp;ADDRESS(8,COLUMN()+6,4)&amp;":"&amp;ADDRESS(73,COLUMN()+6,4)),MATCH($B70,INDIRECT($B$1&amp;"!$A$8:$A$73"),0)),CONFIG!$A$15:$B$40,2,FALSE)&amp;"","")</f>
        <v/>
      </c>
      <c r="AD70" s="181">
        <f>IFERROR(VLOOKUP(INDEX(INDIRECT($B$1&amp;"!"&amp;ADDRESS(8,COLUMN()+6,4)&amp;":"&amp;ADDRESS(73,COLUMN()+6,4)),MATCH($B70,INDIRECT($B$1&amp;"!$A$8:$A$73"),0)),CONFIG!$A$15:$B$40,2,FALSE)&amp;"","")</f>
        <v/>
      </c>
      <c r="AE70" s="181">
        <f>IFERROR(VLOOKUP(INDEX(INDIRECT($B$1&amp;"!"&amp;ADDRESS(8,COLUMN()+6,4)&amp;":"&amp;ADDRESS(73,COLUMN()+6,4)),MATCH($B70,INDIRECT($B$1&amp;"!$A$8:$A$73"),0)),CONFIG!$A$15:$B$40,2,FALSE)&amp;"","")</f>
        <v/>
      </c>
      <c r="AF70" s="181">
        <f>IFERROR(VLOOKUP(INDEX(INDIRECT($B$1&amp;"!"&amp;ADDRESS(8,COLUMN()+6,4)&amp;":"&amp;ADDRESS(73,COLUMN()+6,4)),MATCH($B70,INDIRECT($B$1&amp;"!$A$8:$A$73"),0)),CONFIG!$A$15:$B$40,2,FALSE)&amp;"","")</f>
        <v/>
      </c>
      <c r="AG70" s="181">
        <f>IFERROR(VLOOKUP(INDEX(INDIRECT($B$1&amp;"!"&amp;ADDRESS(8,COLUMN()+6,4)&amp;":"&amp;ADDRESS(73,COLUMN()+6,4)),MATCH($B70,INDIRECT($B$1&amp;"!$A$8:$A$73"),0)),CONFIG!$A$15:$B$40,2,FALSE)&amp;"","")</f>
        <v/>
      </c>
      <c r="AH70" s="181">
        <f>IFERROR(VLOOKUP(INDEX(INDIRECT($B$1&amp;"!"&amp;ADDRESS(8,COLUMN()+6,4)&amp;":"&amp;ADDRESS(73,COLUMN()+6,4)),MATCH($B70,INDIRECT($B$1&amp;"!$A$8:$A$73"),0)),CONFIG!$A$15:$B$40,2,FALSE)&amp;"","")</f>
        <v/>
      </c>
      <c r="AI70" s="39" t="n"/>
    </row>
    <row r="71">
      <c r="A71" s="179" t="inlineStr">
        <is>
          <t>Julia Isaac</t>
        </is>
      </c>
      <c r="B71" s="180" t="inlineStr">
        <is>
          <t>JuIsaac</t>
        </is>
      </c>
      <c r="C71" s="181">
        <f>IFERROR(VLOOKUP(INDEX(INDIRECT($B$1&amp;"!"&amp;ADDRESS(8,COLUMN()+6,4)&amp;":"&amp;ADDRESS(73,COLUMN()+6,4)),MATCH($B71,INDIRECT($B$1&amp;"!$A$8:$A$73"),0)),CONFIG!$A$15:$B$40,2,FALSE)&amp;"","")</f>
        <v/>
      </c>
      <c r="D71" s="181">
        <f>IFERROR(VLOOKUP(INDEX(INDIRECT($B$1&amp;"!"&amp;ADDRESS(8,COLUMN()+6,4)&amp;":"&amp;ADDRESS(73,COLUMN()+6,4)),MATCH($B71,INDIRECT($B$1&amp;"!$A$8:$A$73"),0)),CONFIG!$A$15:$B$40,2,FALSE)&amp;"","")</f>
        <v/>
      </c>
      <c r="E71" s="181">
        <f>IFERROR(VLOOKUP(INDEX(INDIRECT($B$1&amp;"!"&amp;ADDRESS(8,COLUMN()+6,4)&amp;":"&amp;ADDRESS(73,COLUMN()+6,4)),MATCH($B71,INDIRECT($B$1&amp;"!$A$8:$A$73"),0)),CONFIG!$A$15:$B$40,2,FALSE)&amp;"","")</f>
        <v/>
      </c>
      <c r="F71" s="181">
        <f>IFERROR(VLOOKUP(INDEX(INDIRECT($B$1&amp;"!"&amp;ADDRESS(8,COLUMN()+6,4)&amp;":"&amp;ADDRESS(73,COLUMN()+6,4)),MATCH($B71,INDIRECT($B$1&amp;"!$A$8:$A$73"),0)),CONFIG!$A$15:$B$40,2,FALSE)&amp;"","")</f>
        <v/>
      </c>
      <c r="G71" s="181">
        <f>IFERROR(VLOOKUP(INDEX(INDIRECT($B$1&amp;"!"&amp;ADDRESS(8,COLUMN()+6,4)&amp;":"&amp;ADDRESS(73,COLUMN()+6,4)),MATCH($B71,INDIRECT($B$1&amp;"!$A$8:$A$73"),0)),CONFIG!$A$15:$B$40,2,FALSE)&amp;"","")</f>
        <v/>
      </c>
      <c r="H71" s="181">
        <f>IFERROR(VLOOKUP(INDEX(INDIRECT($B$1&amp;"!"&amp;ADDRESS(8,COLUMN()+6,4)&amp;":"&amp;ADDRESS(73,COLUMN()+6,4)),MATCH($B71,INDIRECT($B$1&amp;"!$A$8:$A$73"),0)),CONFIG!$A$15:$B$40,2,FALSE)&amp;"","")</f>
        <v/>
      </c>
      <c r="I71" s="181">
        <f>IFERROR(VLOOKUP(INDEX(INDIRECT($B$1&amp;"!"&amp;ADDRESS(8,COLUMN()+6,4)&amp;":"&amp;ADDRESS(73,COLUMN()+6,4)),MATCH($B71,INDIRECT($B$1&amp;"!$A$8:$A$73"),0)),CONFIG!$A$15:$B$40,2,FALSE)&amp;"","")</f>
        <v/>
      </c>
      <c r="J71" s="181">
        <f>IFERROR(VLOOKUP(INDEX(INDIRECT($B$1&amp;"!"&amp;ADDRESS(8,COLUMN()+6,4)&amp;":"&amp;ADDRESS(73,COLUMN()+6,4)),MATCH($B71,INDIRECT($B$1&amp;"!$A$8:$A$73"),0)),CONFIG!$A$15:$B$40,2,FALSE)&amp;"","")</f>
        <v/>
      </c>
      <c r="K71" s="181">
        <f>IFERROR(VLOOKUP(INDEX(INDIRECT($B$1&amp;"!"&amp;ADDRESS(8,COLUMN()+6,4)&amp;":"&amp;ADDRESS(73,COLUMN()+6,4)),MATCH($B71,INDIRECT($B$1&amp;"!$A$8:$A$73"),0)),CONFIG!$A$15:$B$40,2,FALSE)&amp;"","")</f>
        <v/>
      </c>
      <c r="L71" s="181">
        <f>IFERROR(VLOOKUP(INDEX(INDIRECT($B$1&amp;"!"&amp;ADDRESS(8,COLUMN()+6,4)&amp;":"&amp;ADDRESS(73,COLUMN()+6,4)),MATCH($B71,INDIRECT($B$1&amp;"!$A$8:$A$73"),0)),CONFIG!$A$15:$B$40,2,FALSE)&amp;"","")</f>
        <v/>
      </c>
      <c r="M71" s="181">
        <f>IFERROR(VLOOKUP(INDEX(INDIRECT($B$1&amp;"!"&amp;ADDRESS(8,COLUMN()+6,4)&amp;":"&amp;ADDRESS(73,COLUMN()+6,4)),MATCH($B71,INDIRECT($B$1&amp;"!$A$8:$A$73"),0)),CONFIG!$A$15:$B$40,2,FALSE)&amp;"","")</f>
        <v/>
      </c>
      <c r="N71" s="181">
        <f>IFERROR(VLOOKUP(INDEX(INDIRECT($B$1&amp;"!"&amp;ADDRESS(8,COLUMN()+6,4)&amp;":"&amp;ADDRESS(73,COLUMN()+6,4)),MATCH($B71,INDIRECT($B$1&amp;"!$A$8:$A$73"),0)),CONFIG!$A$15:$B$40,2,FALSE)&amp;"","")</f>
        <v/>
      </c>
      <c r="O71" s="181">
        <f>IFERROR(VLOOKUP(INDEX(INDIRECT($B$1&amp;"!"&amp;ADDRESS(8,COLUMN()+6,4)&amp;":"&amp;ADDRESS(73,COLUMN()+6,4)),MATCH($B71,INDIRECT($B$1&amp;"!$A$8:$A$73"),0)),CONFIG!$A$15:$B$40,2,FALSE)&amp;"","")</f>
        <v/>
      </c>
      <c r="P71" s="181">
        <f>IFERROR(VLOOKUP(INDEX(INDIRECT($B$1&amp;"!"&amp;ADDRESS(8,COLUMN()+6,4)&amp;":"&amp;ADDRESS(73,COLUMN()+6,4)),MATCH($B71,INDIRECT($B$1&amp;"!$A$8:$A$73"),0)),CONFIG!$A$15:$B$40,2,FALSE)&amp;"","")</f>
        <v/>
      </c>
      <c r="Q71" s="181">
        <f>IFERROR(VLOOKUP(INDEX(INDIRECT($B$1&amp;"!"&amp;ADDRESS(8,COLUMN()+6,4)&amp;":"&amp;ADDRESS(73,COLUMN()+6,4)),MATCH($B71,INDIRECT($B$1&amp;"!$A$8:$A$73"),0)),CONFIG!$A$15:$B$40,2,FALSE)&amp;"","")</f>
        <v/>
      </c>
      <c r="R71" s="181">
        <f>IFERROR(VLOOKUP(INDEX(INDIRECT($B$1&amp;"!"&amp;ADDRESS(8,COLUMN()+6,4)&amp;":"&amp;ADDRESS(73,COLUMN()+6,4)),MATCH($B71,INDIRECT($B$1&amp;"!$A$8:$A$73"),0)),CONFIG!$A$15:$B$40,2,FALSE)&amp;"","")</f>
        <v/>
      </c>
      <c r="S71" s="181">
        <f>IFERROR(VLOOKUP(INDEX(INDIRECT($B$1&amp;"!"&amp;ADDRESS(8,COLUMN()+6,4)&amp;":"&amp;ADDRESS(73,COLUMN()+6,4)),MATCH($B71,INDIRECT($B$1&amp;"!$A$8:$A$73"),0)),CONFIG!$A$15:$B$40,2,FALSE)&amp;"","")</f>
        <v/>
      </c>
      <c r="T71" s="181">
        <f>IFERROR(VLOOKUP(INDEX(INDIRECT($B$1&amp;"!"&amp;ADDRESS(8,COLUMN()+6,4)&amp;":"&amp;ADDRESS(73,COLUMN()+6,4)),MATCH($B71,INDIRECT($B$1&amp;"!$A$8:$A$73"),0)),CONFIG!$A$15:$B$40,2,FALSE)&amp;"","")</f>
        <v/>
      </c>
      <c r="U71" s="181">
        <f>IFERROR(VLOOKUP(INDEX(INDIRECT($B$1&amp;"!"&amp;ADDRESS(8,COLUMN()+6,4)&amp;":"&amp;ADDRESS(73,COLUMN()+6,4)),MATCH($B71,INDIRECT($B$1&amp;"!$A$8:$A$73"),0)),CONFIG!$A$15:$B$40,2,FALSE)&amp;"","")</f>
        <v/>
      </c>
      <c r="V71" s="181">
        <f>IFERROR(VLOOKUP(INDEX(INDIRECT($B$1&amp;"!"&amp;ADDRESS(8,COLUMN()+6,4)&amp;":"&amp;ADDRESS(73,COLUMN()+6,4)),MATCH($B71,INDIRECT($B$1&amp;"!$A$8:$A$73"),0)),CONFIG!$A$15:$B$40,2,FALSE)&amp;"","")</f>
        <v/>
      </c>
      <c r="W71" s="181">
        <f>IFERROR(VLOOKUP(INDEX(INDIRECT($B$1&amp;"!"&amp;ADDRESS(8,COLUMN()+6,4)&amp;":"&amp;ADDRESS(73,COLUMN()+6,4)),MATCH($B71,INDIRECT($B$1&amp;"!$A$8:$A$73"),0)),CONFIG!$A$15:$B$40,2,FALSE)&amp;"","")</f>
        <v/>
      </c>
      <c r="X71" s="181">
        <f>IFERROR(VLOOKUP(INDEX(INDIRECT($B$1&amp;"!"&amp;ADDRESS(8,COLUMN()+6,4)&amp;":"&amp;ADDRESS(73,COLUMN()+6,4)),MATCH($B71,INDIRECT($B$1&amp;"!$A$8:$A$73"),0)),CONFIG!$A$15:$B$40,2,FALSE)&amp;"","")</f>
        <v/>
      </c>
      <c r="Y71" s="181">
        <f>IFERROR(VLOOKUP(INDEX(INDIRECT($B$1&amp;"!"&amp;ADDRESS(8,COLUMN()+6,4)&amp;":"&amp;ADDRESS(73,COLUMN()+6,4)),MATCH($B71,INDIRECT($B$1&amp;"!$A$8:$A$73"),0)),CONFIG!$A$15:$B$40,2,FALSE)&amp;"","")</f>
        <v/>
      </c>
      <c r="Z71" s="181">
        <f>IFERROR(VLOOKUP(INDEX(INDIRECT($B$1&amp;"!"&amp;ADDRESS(8,COLUMN()+6,4)&amp;":"&amp;ADDRESS(73,COLUMN()+6,4)),MATCH($B71,INDIRECT($B$1&amp;"!$A$8:$A$73"),0)),CONFIG!$A$15:$B$40,2,FALSE)&amp;"","")</f>
        <v/>
      </c>
      <c r="AA71" s="181">
        <f>IFERROR(VLOOKUP(INDEX(INDIRECT($B$1&amp;"!"&amp;ADDRESS(8,COLUMN()+6,4)&amp;":"&amp;ADDRESS(73,COLUMN()+6,4)),MATCH($B71,INDIRECT($B$1&amp;"!$A$8:$A$73"),0)),CONFIG!$A$15:$B$40,2,FALSE)&amp;"","")</f>
        <v/>
      </c>
      <c r="AB71" s="181">
        <f>IFERROR(VLOOKUP(INDEX(INDIRECT($B$1&amp;"!"&amp;ADDRESS(8,COLUMN()+6,4)&amp;":"&amp;ADDRESS(73,COLUMN()+6,4)),MATCH($B71,INDIRECT($B$1&amp;"!$A$8:$A$73"),0)),CONFIG!$A$15:$B$40,2,FALSE)&amp;"","")</f>
        <v/>
      </c>
      <c r="AC71" s="181">
        <f>IFERROR(VLOOKUP(INDEX(INDIRECT($B$1&amp;"!"&amp;ADDRESS(8,COLUMN()+6,4)&amp;":"&amp;ADDRESS(73,COLUMN()+6,4)),MATCH($B71,INDIRECT($B$1&amp;"!$A$8:$A$73"),0)),CONFIG!$A$15:$B$40,2,FALSE)&amp;"","")</f>
        <v/>
      </c>
      <c r="AD71" s="181">
        <f>IFERROR(VLOOKUP(INDEX(INDIRECT($B$1&amp;"!"&amp;ADDRESS(8,COLUMN()+6,4)&amp;":"&amp;ADDRESS(73,COLUMN()+6,4)),MATCH($B71,INDIRECT($B$1&amp;"!$A$8:$A$73"),0)),CONFIG!$A$15:$B$40,2,FALSE)&amp;"","")</f>
        <v/>
      </c>
      <c r="AE71" s="181">
        <f>IFERROR(VLOOKUP(INDEX(INDIRECT($B$1&amp;"!"&amp;ADDRESS(8,COLUMN()+6,4)&amp;":"&amp;ADDRESS(73,COLUMN()+6,4)),MATCH($B71,INDIRECT($B$1&amp;"!$A$8:$A$73"),0)),CONFIG!$A$15:$B$40,2,FALSE)&amp;"","")</f>
        <v/>
      </c>
      <c r="AF71" s="181">
        <f>IFERROR(VLOOKUP(INDEX(INDIRECT($B$1&amp;"!"&amp;ADDRESS(8,COLUMN()+6,4)&amp;":"&amp;ADDRESS(73,COLUMN()+6,4)),MATCH($B71,INDIRECT($B$1&amp;"!$A$8:$A$73"),0)),CONFIG!$A$15:$B$40,2,FALSE)&amp;"","")</f>
        <v/>
      </c>
      <c r="AG71" s="181">
        <f>IFERROR(VLOOKUP(INDEX(INDIRECT($B$1&amp;"!"&amp;ADDRESS(8,COLUMN()+6,4)&amp;":"&amp;ADDRESS(73,COLUMN()+6,4)),MATCH($B71,INDIRECT($B$1&amp;"!$A$8:$A$73"),0)),CONFIG!$A$15:$B$40,2,FALSE)&amp;"","")</f>
        <v/>
      </c>
      <c r="AH71" s="181">
        <f>IFERROR(VLOOKUP(INDEX(INDIRECT($B$1&amp;"!"&amp;ADDRESS(8,COLUMN()+6,4)&amp;":"&amp;ADDRESS(73,COLUMN()+6,4)),MATCH($B71,INDIRECT($B$1&amp;"!$A$8:$A$73"),0)),CONFIG!$A$15:$B$40,2,FALSE)&amp;"","")</f>
        <v/>
      </c>
      <c r="AI71" s="39" t="n"/>
    </row>
    <row r="72">
      <c r="A72" s="179" t="inlineStr">
        <is>
          <t>Stephanie</t>
        </is>
      </c>
      <c r="B72" s="180" t="inlineStr">
        <is>
          <t>Stephanie</t>
        </is>
      </c>
      <c r="C72" s="181">
        <f>IFERROR(VLOOKUP(INDEX(INDIRECT($B$1&amp;"!"&amp;ADDRESS(8,COLUMN()+6,4)&amp;":"&amp;ADDRESS(73,COLUMN()+6,4)),MATCH($B72,INDIRECT($B$1&amp;"!$A$8:$A$73"),0)),CONFIG!$A$15:$B$40,2,FALSE)&amp;"","")</f>
        <v/>
      </c>
      <c r="D72" s="181">
        <f>IFERROR(VLOOKUP(INDEX(INDIRECT($B$1&amp;"!"&amp;ADDRESS(8,COLUMN()+6,4)&amp;":"&amp;ADDRESS(73,COLUMN()+6,4)),MATCH($B72,INDIRECT($B$1&amp;"!$A$8:$A$73"),0)),CONFIG!$A$15:$B$40,2,FALSE)&amp;"","")</f>
        <v/>
      </c>
      <c r="E72" s="181">
        <f>IFERROR(VLOOKUP(INDEX(INDIRECT($B$1&amp;"!"&amp;ADDRESS(8,COLUMN()+6,4)&amp;":"&amp;ADDRESS(73,COLUMN()+6,4)),MATCH($B72,INDIRECT($B$1&amp;"!$A$8:$A$73"),0)),CONFIG!$A$15:$B$40,2,FALSE)&amp;"","")</f>
        <v/>
      </c>
      <c r="F72" s="181">
        <f>IFERROR(VLOOKUP(INDEX(INDIRECT($B$1&amp;"!"&amp;ADDRESS(8,COLUMN()+6,4)&amp;":"&amp;ADDRESS(73,COLUMN()+6,4)),MATCH($B72,INDIRECT($B$1&amp;"!$A$8:$A$73"),0)),CONFIG!$A$15:$B$40,2,FALSE)&amp;"","")</f>
        <v/>
      </c>
      <c r="G72" s="181">
        <f>IFERROR(VLOOKUP(INDEX(INDIRECT($B$1&amp;"!"&amp;ADDRESS(8,COLUMN()+6,4)&amp;":"&amp;ADDRESS(73,COLUMN()+6,4)),MATCH($B72,INDIRECT($B$1&amp;"!$A$8:$A$73"),0)),CONFIG!$A$15:$B$40,2,FALSE)&amp;"","")</f>
        <v/>
      </c>
      <c r="H72" s="181">
        <f>IFERROR(VLOOKUP(INDEX(INDIRECT($B$1&amp;"!"&amp;ADDRESS(8,COLUMN()+6,4)&amp;":"&amp;ADDRESS(73,COLUMN()+6,4)),MATCH($B72,INDIRECT($B$1&amp;"!$A$8:$A$73"),0)),CONFIG!$A$15:$B$40,2,FALSE)&amp;"","")</f>
        <v/>
      </c>
      <c r="I72" s="181">
        <f>IFERROR(VLOOKUP(INDEX(INDIRECT($B$1&amp;"!"&amp;ADDRESS(8,COLUMN()+6,4)&amp;":"&amp;ADDRESS(73,COLUMN()+6,4)),MATCH($B72,INDIRECT($B$1&amp;"!$A$8:$A$73"),0)),CONFIG!$A$15:$B$40,2,FALSE)&amp;"","")</f>
        <v/>
      </c>
      <c r="J72" s="181">
        <f>IFERROR(VLOOKUP(INDEX(INDIRECT($B$1&amp;"!"&amp;ADDRESS(8,COLUMN()+6,4)&amp;":"&amp;ADDRESS(73,COLUMN()+6,4)),MATCH($B72,INDIRECT($B$1&amp;"!$A$8:$A$73"),0)),CONFIG!$A$15:$B$40,2,FALSE)&amp;"","")</f>
        <v/>
      </c>
      <c r="K72" s="181">
        <f>IFERROR(VLOOKUP(INDEX(INDIRECT($B$1&amp;"!"&amp;ADDRESS(8,COLUMN()+6,4)&amp;":"&amp;ADDRESS(73,COLUMN()+6,4)),MATCH($B72,INDIRECT($B$1&amp;"!$A$8:$A$73"),0)),CONFIG!$A$15:$B$40,2,FALSE)&amp;"","")</f>
        <v/>
      </c>
      <c r="L72" s="181">
        <f>IFERROR(VLOOKUP(INDEX(INDIRECT($B$1&amp;"!"&amp;ADDRESS(8,COLUMN()+6,4)&amp;":"&amp;ADDRESS(73,COLUMN()+6,4)),MATCH($B72,INDIRECT($B$1&amp;"!$A$8:$A$73"),0)),CONFIG!$A$15:$B$40,2,FALSE)&amp;"","")</f>
        <v/>
      </c>
      <c r="M72" s="181">
        <f>IFERROR(VLOOKUP(INDEX(INDIRECT($B$1&amp;"!"&amp;ADDRESS(8,COLUMN()+6,4)&amp;":"&amp;ADDRESS(73,COLUMN()+6,4)),MATCH($B72,INDIRECT($B$1&amp;"!$A$8:$A$73"),0)),CONFIG!$A$15:$B$40,2,FALSE)&amp;"","")</f>
        <v/>
      </c>
      <c r="N72" s="181">
        <f>IFERROR(VLOOKUP(INDEX(INDIRECT($B$1&amp;"!"&amp;ADDRESS(8,COLUMN()+6,4)&amp;":"&amp;ADDRESS(73,COLUMN()+6,4)),MATCH($B72,INDIRECT($B$1&amp;"!$A$8:$A$73"),0)),CONFIG!$A$15:$B$40,2,FALSE)&amp;"","")</f>
        <v/>
      </c>
      <c r="O72" s="181">
        <f>IFERROR(VLOOKUP(INDEX(INDIRECT($B$1&amp;"!"&amp;ADDRESS(8,COLUMN()+6,4)&amp;":"&amp;ADDRESS(73,COLUMN()+6,4)),MATCH($B72,INDIRECT($B$1&amp;"!$A$8:$A$73"),0)),CONFIG!$A$15:$B$40,2,FALSE)&amp;"","")</f>
        <v/>
      </c>
      <c r="P72" s="181">
        <f>IFERROR(VLOOKUP(INDEX(INDIRECT($B$1&amp;"!"&amp;ADDRESS(8,COLUMN()+6,4)&amp;":"&amp;ADDRESS(73,COLUMN()+6,4)),MATCH($B72,INDIRECT($B$1&amp;"!$A$8:$A$73"),0)),CONFIG!$A$15:$B$40,2,FALSE)&amp;"","")</f>
        <v/>
      </c>
      <c r="Q72" s="181">
        <f>IFERROR(VLOOKUP(INDEX(INDIRECT($B$1&amp;"!"&amp;ADDRESS(8,COLUMN()+6,4)&amp;":"&amp;ADDRESS(73,COLUMN()+6,4)),MATCH($B72,INDIRECT($B$1&amp;"!$A$8:$A$73"),0)),CONFIG!$A$15:$B$40,2,FALSE)&amp;"","")</f>
        <v/>
      </c>
      <c r="R72" s="181">
        <f>IFERROR(VLOOKUP(INDEX(INDIRECT($B$1&amp;"!"&amp;ADDRESS(8,COLUMN()+6,4)&amp;":"&amp;ADDRESS(73,COLUMN()+6,4)),MATCH($B72,INDIRECT($B$1&amp;"!$A$8:$A$73"),0)),CONFIG!$A$15:$B$40,2,FALSE)&amp;"","")</f>
        <v/>
      </c>
      <c r="S72" s="181">
        <f>IFERROR(VLOOKUP(INDEX(INDIRECT($B$1&amp;"!"&amp;ADDRESS(8,COLUMN()+6,4)&amp;":"&amp;ADDRESS(73,COLUMN()+6,4)),MATCH($B72,INDIRECT($B$1&amp;"!$A$8:$A$73"),0)),CONFIG!$A$15:$B$40,2,FALSE)&amp;"","")</f>
        <v/>
      </c>
      <c r="T72" s="181">
        <f>IFERROR(VLOOKUP(INDEX(INDIRECT($B$1&amp;"!"&amp;ADDRESS(8,COLUMN()+6,4)&amp;":"&amp;ADDRESS(73,COLUMN()+6,4)),MATCH($B72,INDIRECT($B$1&amp;"!$A$8:$A$73"),0)),CONFIG!$A$15:$B$40,2,FALSE)&amp;"","")</f>
        <v/>
      </c>
      <c r="U72" s="181">
        <f>IFERROR(VLOOKUP(INDEX(INDIRECT($B$1&amp;"!"&amp;ADDRESS(8,COLUMN()+6,4)&amp;":"&amp;ADDRESS(73,COLUMN()+6,4)),MATCH($B72,INDIRECT($B$1&amp;"!$A$8:$A$73"),0)),CONFIG!$A$15:$B$40,2,FALSE)&amp;"","")</f>
        <v/>
      </c>
      <c r="V72" s="181">
        <f>IFERROR(VLOOKUP(INDEX(INDIRECT($B$1&amp;"!"&amp;ADDRESS(8,COLUMN()+6,4)&amp;":"&amp;ADDRESS(73,COLUMN()+6,4)),MATCH($B72,INDIRECT($B$1&amp;"!$A$8:$A$73"),0)),CONFIG!$A$15:$B$40,2,FALSE)&amp;"","")</f>
        <v/>
      </c>
      <c r="W72" s="181">
        <f>IFERROR(VLOOKUP(INDEX(INDIRECT($B$1&amp;"!"&amp;ADDRESS(8,COLUMN()+6,4)&amp;":"&amp;ADDRESS(73,COLUMN()+6,4)),MATCH($B72,INDIRECT($B$1&amp;"!$A$8:$A$73"),0)),CONFIG!$A$15:$B$40,2,FALSE)&amp;"","")</f>
        <v/>
      </c>
      <c r="X72" s="181">
        <f>IFERROR(VLOOKUP(INDEX(INDIRECT($B$1&amp;"!"&amp;ADDRESS(8,COLUMN()+6,4)&amp;":"&amp;ADDRESS(73,COLUMN()+6,4)),MATCH($B72,INDIRECT($B$1&amp;"!$A$8:$A$73"),0)),CONFIG!$A$15:$B$40,2,FALSE)&amp;"","")</f>
        <v/>
      </c>
      <c r="Y72" s="181">
        <f>IFERROR(VLOOKUP(INDEX(INDIRECT($B$1&amp;"!"&amp;ADDRESS(8,COLUMN()+6,4)&amp;":"&amp;ADDRESS(73,COLUMN()+6,4)),MATCH($B72,INDIRECT($B$1&amp;"!$A$8:$A$73"),0)),CONFIG!$A$15:$B$40,2,FALSE)&amp;"","")</f>
        <v/>
      </c>
      <c r="Z72" s="181">
        <f>IFERROR(VLOOKUP(INDEX(INDIRECT($B$1&amp;"!"&amp;ADDRESS(8,COLUMN()+6,4)&amp;":"&amp;ADDRESS(73,COLUMN()+6,4)),MATCH($B72,INDIRECT($B$1&amp;"!$A$8:$A$73"),0)),CONFIG!$A$15:$B$40,2,FALSE)&amp;"","")</f>
        <v/>
      </c>
      <c r="AA72" s="181">
        <f>IFERROR(VLOOKUP(INDEX(INDIRECT($B$1&amp;"!"&amp;ADDRESS(8,COLUMN()+6,4)&amp;":"&amp;ADDRESS(73,COLUMN()+6,4)),MATCH($B72,INDIRECT($B$1&amp;"!$A$8:$A$73"),0)),CONFIG!$A$15:$B$40,2,FALSE)&amp;"","")</f>
        <v/>
      </c>
      <c r="AB72" s="181">
        <f>IFERROR(VLOOKUP(INDEX(INDIRECT($B$1&amp;"!"&amp;ADDRESS(8,COLUMN()+6,4)&amp;":"&amp;ADDRESS(73,COLUMN()+6,4)),MATCH($B72,INDIRECT($B$1&amp;"!$A$8:$A$73"),0)),CONFIG!$A$15:$B$40,2,FALSE)&amp;"","")</f>
        <v/>
      </c>
      <c r="AC72" s="181">
        <f>IFERROR(VLOOKUP(INDEX(INDIRECT($B$1&amp;"!"&amp;ADDRESS(8,COLUMN()+6,4)&amp;":"&amp;ADDRESS(73,COLUMN()+6,4)),MATCH($B72,INDIRECT($B$1&amp;"!$A$8:$A$73"),0)),CONFIG!$A$15:$B$40,2,FALSE)&amp;"","")</f>
        <v/>
      </c>
      <c r="AD72" s="181">
        <f>IFERROR(VLOOKUP(INDEX(INDIRECT($B$1&amp;"!"&amp;ADDRESS(8,COLUMN()+6,4)&amp;":"&amp;ADDRESS(73,COLUMN()+6,4)),MATCH($B72,INDIRECT($B$1&amp;"!$A$8:$A$73"),0)),CONFIG!$A$15:$B$40,2,FALSE)&amp;"","")</f>
        <v/>
      </c>
      <c r="AE72" s="181">
        <f>IFERROR(VLOOKUP(INDEX(INDIRECT($B$1&amp;"!"&amp;ADDRESS(8,COLUMN()+6,4)&amp;":"&amp;ADDRESS(73,COLUMN()+6,4)),MATCH($B72,INDIRECT($B$1&amp;"!$A$8:$A$73"),0)),CONFIG!$A$15:$B$40,2,FALSE)&amp;"","")</f>
        <v/>
      </c>
      <c r="AF72" s="181">
        <f>IFERROR(VLOOKUP(INDEX(INDIRECT($B$1&amp;"!"&amp;ADDRESS(8,COLUMN()+6,4)&amp;":"&amp;ADDRESS(73,COLUMN()+6,4)),MATCH($B72,INDIRECT($B$1&amp;"!$A$8:$A$73"),0)),CONFIG!$A$15:$B$40,2,FALSE)&amp;"","")</f>
        <v/>
      </c>
      <c r="AG72" s="181">
        <f>IFERROR(VLOOKUP(INDEX(INDIRECT($B$1&amp;"!"&amp;ADDRESS(8,COLUMN()+6,4)&amp;":"&amp;ADDRESS(73,COLUMN()+6,4)),MATCH($B72,INDIRECT($B$1&amp;"!$A$8:$A$73"),0)),CONFIG!$A$15:$B$40,2,FALSE)&amp;"","")</f>
        <v/>
      </c>
      <c r="AH72" s="181">
        <f>IFERROR(VLOOKUP(INDEX(INDIRECT($B$1&amp;"!"&amp;ADDRESS(8,COLUMN()+6,4)&amp;":"&amp;ADDRESS(73,COLUMN()+6,4)),MATCH($B72,INDIRECT($B$1&amp;"!$A$8:$A$73"),0)),CONFIG!$A$15:$B$40,2,FALSE)&amp;"","")</f>
        <v/>
      </c>
      <c r="AI72" s="39" t="n"/>
    </row>
    <row r="73">
      <c r="A73" s="179" t="inlineStr">
        <is>
          <t>Mariana Pinheiro</t>
        </is>
      </c>
      <c r="B73" s="180" t="inlineStr">
        <is>
          <t>MPinheiro</t>
        </is>
      </c>
      <c r="C73" s="181">
        <f>IFERROR(VLOOKUP(INDEX(INDIRECT($B$1&amp;"!"&amp;ADDRESS(8,COLUMN()+6,4)&amp;":"&amp;ADDRESS(73,COLUMN()+6,4)),MATCH($B73,INDIRECT($B$1&amp;"!$A$8:$A$73"),0)),CONFIG!$A$15:$B$40,2,FALSE)&amp;"","")</f>
        <v/>
      </c>
      <c r="D73" s="181">
        <f>IFERROR(VLOOKUP(INDEX(INDIRECT($B$1&amp;"!"&amp;ADDRESS(8,COLUMN()+6,4)&amp;":"&amp;ADDRESS(73,COLUMN()+6,4)),MATCH($B73,INDIRECT($B$1&amp;"!$A$8:$A$73"),0)),CONFIG!$A$15:$B$40,2,FALSE)&amp;"","")</f>
        <v/>
      </c>
      <c r="E73" s="181">
        <f>IFERROR(VLOOKUP(INDEX(INDIRECT($B$1&amp;"!"&amp;ADDRESS(8,COLUMN()+6,4)&amp;":"&amp;ADDRESS(73,COLUMN()+6,4)),MATCH($B73,INDIRECT($B$1&amp;"!$A$8:$A$73"),0)),CONFIG!$A$15:$B$40,2,FALSE)&amp;"","")</f>
        <v/>
      </c>
      <c r="F73" s="181">
        <f>IFERROR(VLOOKUP(INDEX(INDIRECT($B$1&amp;"!"&amp;ADDRESS(8,COLUMN()+6,4)&amp;":"&amp;ADDRESS(73,COLUMN()+6,4)),MATCH($B73,INDIRECT($B$1&amp;"!$A$8:$A$73"),0)),CONFIG!$A$15:$B$40,2,FALSE)&amp;"","")</f>
        <v/>
      </c>
      <c r="G73" s="181">
        <f>IFERROR(VLOOKUP(INDEX(INDIRECT($B$1&amp;"!"&amp;ADDRESS(8,COLUMN()+6,4)&amp;":"&amp;ADDRESS(73,COLUMN()+6,4)),MATCH($B73,INDIRECT($B$1&amp;"!$A$8:$A$73"),0)),CONFIG!$A$15:$B$40,2,FALSE)&amp;"","")</f>
        <v/>
      </c>
      <c r="H73" s="181">
        <f>IFERROR(VLOOKUP(INDEX(INDIRECT($B$1&amp;"!"&amp;ADDRESS(8,COLUMN()+6,4)&amp;":"&amp;ADDRESS(73,COLUMN()+6,4)),MATCH($B73,INDIRECT($B$1&amp;"!$A$8:$A$73"),0)),CONFIG!$A$15:$B$40,2,FALSE)&amp;"","")</f>
        <v/>
      </c>
      <c r="I73" s="181">
        <f>IFERROR(VLOOKUP(INDEX(INDIRECT($B$1&amp;"!"&amp;ADDRESS(8,COLUMN()+6,4)&amp;":"&amp;ADDRESS(73,COLUMN()+6,4)),MATCH($B73,INDIRECT($B$1&amp;"!$A$8:$A$73"),0)),CONFIG!$A$15:$B$40,2,FALSE)&amp;"","")</f>
        <v/>
      </c>
      <c r="J73" s="181">
        <f>IFERROR(VLOOKUP(INDEX(INDIRECT($B$1&amp;"!"&amp;ADDRESS(8,COLUMN()+6,4)&amp;":"&amp;ADDRESS(73,COLUMN()+6,4)),MATCH($B73,INDIRECT($B$1&amp;"!$A$8:$A$73"),0)),CONFIG!$A$15:$B$40,2,FALSE)&amp;"","")</f>
        <v/>
      </c>
      <c r="K73" s="181">
        <f>IFERROR(VLOOKUP(INDEX(INDIRECT($B$1&amp;"!"&amp;ADDRESS(8,COLUMN()+6,4)&amp;":"&amp;ADDRESS(73,COLUMN()+6,4)),MATCH($B73,INDIRECT($B$1&amp;"!$A$8:$A$73"),0)),CONFIG!$A$15:$B$40,2,FALSE)&amp;"","")</f>
        <v/>
      </c>
      <c r="L73" s="181">
        <f>IFERROR(VLOOKUP(INDEX(INDIRECT($B$1&amp;"!"&amp;ADDRESS(8,COLUMN()+6,4)&amp;":"&amp;ADDRESS(73,COLUMN()+6,4)),MATCH($B73,INDIRECT($B$1&amp;"!$A$8:$A$73"),0)),CONFIG!$A$15:$B$40,2,FALSE)&amp;"","")</f>
        <v/>
      </c>
      <c r="M73" s="181">
        <f>IFERROR(VLOOKUP(INDEX(INDIRECT($B$1&amp;"!"&amp;ADDRESS(8,COLUMN()+6,4)&amp;":"&amp;ADDRESS(73,COLUMN()+6,4)),MATCH($B73,INDIRECT($B$1&amp;"!$A$8:$A$73"),0)),CONFIG!$A$15:$B$40,2,FALSE)&amp;"","")</f>
        <v/>
      </c>
      <c r="N73" s="181">
        <f>IFERROR(VLOOKUP(INDEX(INDIRECT($B$1&amp;"!"&amp;ADDRESS(8,COLUMN()+6,4)&amp;":"&amp;ADDRESS(73,COLUMN()+6,4)),MATCH($B73,INDIRECT($B$1&amp;"!$A$8:$A$73"),0)),CONFIG!$A$15:$B$40,2,FALSE)&amp;"","")</f>
        <v/>
      </c>
      <c r="O73" s="181">
        <f>IFERROR(VLOOKUP(INDEX(INDIRECT($B$1&amp;"!"&amp;ADDRESS(8,COLUMN()+6,4)&amp;":"&amp;ADDRESS(73,COLUMN()+6,4)),MATCH($B73,INDIRECT($B$1&amp;"!$A$8:$A$73"),0)),CONFIG!$A$15:$B$40,2,FALSE)&amp;"","")</f>
        <v/>
      </c>
      <c r="P73" s="181">
        <f>IFERROR(VLOOKUP(INDEX(INDIRECT($B$1&amp;"!"&amp;ADDRESS(8,COLUMN()+6,4)&amp;":"&amp;ADDRESS(73,COLUMN()+6,4)),MATCH($B73,INDIRECT($B$1&amp;"!$A$8:$A$73"),0)),CONFIG!$A$15:$B$40,2,FALSE)&amp;"","")</f>
        <v/>
      </c>
      <c r="Q73" s="181">
        <f>IFERROR(VLOOKUP(INDEX(INDIRECT($B$1&amp;"!"&amp;ADDRESS(8,COLUMN()+6,4)&amp;":"&amp;ADDRESS(73,COLUMN()+6,4)),MATCH($B73,INDIRECT($B$1&amp;"!$A$8:$A$73"),0)),CONFIG!$A$15:$B$40,2,FALSE)&amp;"","")</f>
        <v/>
      </c>
      <c r="R73" s="181">
        <f>IFERROR(VLOOKUP(INDEX(INDIRECT($B$1&amp;"!"&amp;ADDRESS(8,COLUMN()+6,4)&amp;":"&amp;ADDRESS(73,COLUMN()+6,4)),MATCH($B73,INDIRECT($B$1&amp;"!$A$8:$A$73"),0)),CONFIG!$A$15:$B$40,2,FALSE)&amp;"","")</f>
        <v/>
      </c>
      <c r="S73" s="181">
        <f>IFERROR(VLOOKUP(INDEX(INDIRECT($B$1&amp;"!"&amp;ADDRESS(8,COLUMN()+6,4)&amp;":"&amp;ADDRESS(73,COLUMN()+6,4)),MATCH($B73,INDIRECT($B$1&amp;"!$A$8:$A$73"),0)),CONFIG!$A$15:$B$40,2,FALSE)&amp;"","")</f>
        <v/>
      </c>
      <c r="T73" s="181">
        <f>IFERROR(VLOOKUP(INDEX(INDIRECT($B$1&amp;"!"&amp;ADDRESS(8,COLUMN()+6,4)&amp;":"&amp;ADDRESS(73,COLUMN()+6,4)),MATCH($B73,INDIRECT($B$1&amp;"!$A$8:$A$73"),0)),CONFIG!$A$15:$B$40,2,FALSE)&amp;"","")</f>
        <v/>
      </c>
      <c r="U73" s="181">
        <f>IFERROR(VLOOKUP(INDEX(INDIRECT($B$1&amp;"!"&amp;ADDRESS(8,COLUMN()+6,4)&amp;":"&amp;ADDRESS(73,COLUMN()+6,4)),MATCH($B73,INDIRECT($B$1&amp;"!$A$8:$A$73"),0)),CONFIG!$A$15:$B$40,2,FALSE)&amp;"","")</f>
        <v/>
      </c>
      <c r="V73" s="181">
        <f>IFERROR(VLOOKUP(INDEX(INDIRECT($B$1&amp;"!"&amp;ADDRESS(8,COLUMN()+6,4)&amp;":"&amp;ADDRESS(73,COLUMN()+6,4)),MATCH($B73,INDIRECT($B$1&amp;"!$A$8:$A$73"),0)),CONFIG!$A$15:$B$40,2,FALSE)&amp;"","")</f>
        <v/>
      </c>
      <c r="W73" s="181">
        <f>IFERROR(VLOOKUP(INDEX(INDIRECT($B$1&amp;"!"&amp;ADDRESS(8,COLUMN()+6,4)&amp;":"&amp;ADDRESS(73,COLUMN()+6,4)),MATCH($B73,INDIRECT($B$1&amp;"!$A$8:$A$73"),0)),CONFIG!$A$15:$B$40,2,FALSE)&amp;"","")</f>
        <v/>
      </c>
      <c r="X73" s="181">
        <f>IFERROR(VLOOKUP(INDEX(INDIRECT($B$1&amp;"!"&amp;ADDRESS(8,COLUMN()+6,4)&amp;":"&amp;ADDRESS(73,COLUMN()+6,4)),MATCH($B73,INDIRECT($B$1&amp;"!$A$8:$A$73"),0)),CONFIG!$A$15:$B$40,2,FALSE)&amp;"","")</f>
        <v/>
      </c>
      <c r="Y73" s="181">
        <f>IFERROR(VLOOKUP(INDEX(INDIRECT($B$1&amp;"!"&amp;ADDRESS(8,COLUMN()+6,4)&amp;":"&amp;ADDRESS(73,COLUMN()+6,4)),MATCH($B73,INDIRECT($B$1&amp;"!$A$8:$A$73"),0)),CONFIG!$A$15:$B$40,2,FALSE)&amp;"","")</f>
        <v/>
      </c>
      <c r="Z73" s="181">
        <f>IFERROR(VLOOKUP(INDEX(INDIRECT($B$1&amp;"!"&amp;ADDRESS(8,COLUMN()+6,4)&amp;":"&amp;ADDRESS(73,COLUMN()+6,4)),MATCH($B73,INDIRECT($B$1&amp;"!$A$8:$A$73"),0)),CONFIG!$A$15:$B$40,2,FALSE)&amp;"","")</f>
        <v/>
      </c>
      <c r="AA73" s="181">
        <f>IFERROR(VLOOKUP(INDEX(INDIRECT($B$1&amp;"!"&amp;ADDRESS(8,COLUMN()+6,4)&amp;":"&amp;ADDRESS(73,COLUMN()+6,4)),MATCH($B73,INDIRECT($B$1&amp;"!$A$8:$A$73"),0)),CONFIG!$A$15:$B$40,2,FALSE)&amp;"","")</f>
        <v/>
      </c>
      <c r="AB73" s="181">
        <f>IFERROR(VLOOKUP(INDEX(INDIRECT($B$1&amp;"!"&amp;ADDRESS(8,COLUMN()+6,4)&amp;":"&amp;ADDRESS(73,COLUMN()+6,4)),MATCH($B73,INDIRECT($B$1&amp;"!$A$8:$A$73"),0)),CONFIG!$A$15:$B$40,2,FALSE)&amp;"","")</f>
        <v/>
      </c>
      <c r="AC73" s="181">
        <f>IFERROR(VLOOKUP(INDEX(INDIRECT($B$1&amp;"!"&amp;ADDRESS(8,COLUMN()+6,4)&amp;":"&amp;ADDRESS(73,COLUMN()+6,4)),MATCH($B73,INDIRECT($B$1&amp;"!$A$8:$A$73"),0)),CONFIG!$A$15:$B$40,2,FALSE)&amp;"","")</f>
        <v/>
      </c>
      <c r="AD73" s="181">
        <f>IFERROR(VLOOKUP(INDEX(INDIRECT($B$1&amp;"!"&amp;ADDRESS(8,COLUMN()+6,4)&amp;":"&amp;ADDRESS(73,COLUMN()+6,4)),MATCH($B73,INDIRECT($B$1&amp;"!$A$8:$A$73"),0)),CONFIG!$A$15:$B$40,2,FALSE)&amp;"","")</f>
        <v/>
      </c>
      <c r="AE73" s="181">
        <f>IFERROR(VLOOKUP(INDEX(INDIRECT($B$1&amp;"!"&amp;ADDRESS(8,COLUMN()+6,4)&amp;":"&amp;ADDRESS(73,COLUMN()+6,4)),MATCH($B73,INDIRECT($B$1&amp;"!$A$8:$A$73"),0)),CONFIG!$A$15:$B$40,2,FALSE)&amp;"","")</f>
        <v/>
      </c>
      <c r="AF73" s="181">
        <f>IFERROR(VLOOKUP(INDEX(INDIRECT($B$1&amp;"!"&amp;ADDRESS(8,COLUMN()+6,4)&amp;":"&amp;ADDRESS(73,COLUMN()+6,4)),MATCH($B73,INDIRECT($B$1&amp;"!$A$8:$A$73"),0)),CONFIG!$A$15:$B$40,2,FALSE)&amp;"","")</f>
        <v/>
      </c>
      <c r="AG73" s="181">
        <f>IFERROR(VLOOKUP(INDEX(INDIRECT($B$1&amp;"!"&amp;ADDRESS(8,COLUMN()+6,4)&amp;":"&amp;ADDRESS(73,COLUMN()+6,4)),MATCH($B73,INDIRECT($B$1&amp;"!$A$8:$A$73"),0)),CONFIG!$A$15:$B$40,2,FALSE)&amp;"","")</f>
        <v/>
      </c>
      <c r="AH73" s="181">
        <f>IFERROR(VLOOKUP(INDEX(INDIRECT($B$1&amp;"!"&amp;ADDRESS(8,COLUMN()+6,4)&amp;":"&amp;ADDRESS(73,COLUMN()+6,4)),MATCH($B73,INDIRECT($B$1&amp;"!$A$8:$A$73"),0)),CONFIG!$A$15:$B$40,2,FALSE)&amp;"","")</f>
        <v/>
      </c>
      <c r="AI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</row>
  </sheetData>
  <dataValidations count="1">
    <dataValidation sqref="B1" showDropDown="0" showInputMessage="0" showErrorMessage="0" allowBlank="0" type="list">
      <formula1>"JAN,FEV,MAR,ABR,MAI,JUN,JUL,AGO,SET,OUT,NOV,DEZ"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77264"/>
    <outlinePr summaryBelow="1" summaryRight="1"/>
    <pageSetUpPr/>
  </sheetPr>
  <dimension ref="A1:N3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62" customWidth="1" min="4" max="4"/>
    <col width="17" customWidth="1" min="5" max="5"/>
    <col width="30" customWidth="1" min="6" max="6"/>
  </cols>
  <sheetData>
    <row r="1">
      <c r="A1" s="38" t="inlineStr">
        <is>
          <t>Validador · O que fere regra dura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>
      <c r="A2" s="67" t="inlineStr">
        <is>
          <t>Estrutural = a forma do contrato · Pontual = erro daquele mês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</row>
    <row r="3">
      <c r="A3" s="157" t="inlineStr">
        <is>
          <t>ESTRUTURAL — decisão de política, não erro de montagem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</row>
    <row r="4" ht="31.1" customHeight="1">
      <c r="A4" s="88" t="inlineStr">
        <is>
          <t>Quem faz 6h de manhã todos os dias tem folga de 18h entre turnos (13h → 07h) e nunca alcança as 24h consecutivas do art. 67. Não é descuido da escala: é a forma do contrato de diarista. Aparece aqui uma vez por semana afetada, pra ficar visível sem virar alarme. Resolver isso é decisão da chefia, não da escalista.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</row>
    <row r="6">
      <c r="A6" s="182" t="inlineStr">
        <is>
          <t>Médico</t>
        </is>
      </c>
      <c r="B6" s="182" t="inlineStr">
        <is>
          <t>Grupo</t>
        </is>
      </c>
      <c r="C6" s="182" t="inlineStr">
        <is>
          <t>Quando</t>
        </is>
      </c>
      <c r="D6" s="182" t="inlineStr">
        <is>
          <t>O que acontece</t>
        </is>
      </c>
      <c r="E6" s="182" t="inlineStr">
        <is>
          <t>Base</t>
        </is>
      </c>
      <c r="F6" s="182" t="inlineStr">
        <is>
          <t>Tratamento</t>
        </is>
      </c>
      <c r="G6" s="39" t="n"/>
      <c r="H6" s="39" t="n"/>
      <c r="I6" s="39" t="n"/>
      <c r="J6" s="39" t="n"/>
      <c r="K6" s="39" t="n"/>
      <c r="L6" s="39" t="n"/>
      <c r="M6" s="39" t="n"/>
      <c r="N6" s="39" t="n"/>
    </row>
    <row r="7" ht="31.1" customHeight="1">
      <c r="A7" s="86" t="inlineStr">
        <is>
          <t>Vinicius</t>
        </is>
      </c>
      <c r="B7" s="121" t="inlineStr">
        <is>
          <t>chefia</t>
        </is>
      </c>
      <c r="C7" s="183" t="inlineStr">
        <is>
          <t>5 semanas</t>
        </is>
      </c>
      <c r="D7" s="72" t="inlineStr">
        <is>
          <t>sem folga de 24h consecutivas nessas semanas: 04/01, 11/01, 22/02, 05/04, 12/07</t>
        </is>
      </c>
      <c r="E7" s="121" t="inlineStr">
        <is>
          <t>art. 67 CLT</t>
        </is>
      </c>
      <c r="F7" s="184" t="inlineStr">
        <is>
          <t>ESTRUTURAL</t>
        </is>
      </c>
      <c r="G7" s="39" t="n"/>
      <c r="H7" s="39" t="n"/>
      <c r="I7" s="39" t="n"/>
      <c r="J7" s="39" t="n"/>
      <c r="K7" s="39" t="n"/>
      <c r="L7" s="39" t="n"/>
      <c r="M7" s="39" t="n"/>
      <c r="N7" s="39" t="n"/>
    </row>
    <row r="8" ht="18.05" customHeight="1">
      <c r="A8" s="86" t="inlineStr">
        <is>
          <t>Amelio</t>
        </is>
      </c>
      <c r="B8" s="121" t="inlineStr">
        <is>
          <t>chefia</t>
        </is>
      </c>
      <c r="C8" s="183" t="inlineStr">
        <is>
          <t>2 semanas</t>
        </is>
      </c>
      <c r="D8" s="72" t="inlineStr">
        <is>
          <t>sem folga de 24h consecutivas nessas semanas: 30/01, 31/07</t>
        </is>
      </c>
      <c r="E8" s="121" t="inlineStr">
        <is>
          <t>art. 67 CLT</t>
        </is>
      </c>
      <c r="F8" s="184" t="inlineStr">
        <is>
          <t>ESTRUTURAL</t>
        </is>
      </c>
      <c r="G8" s="39" t="n"/>
      <c r="H8" s="39" t="n"/>
      <c r="I8" s="39" t="n"/>
      <c r="J8" s="39" t="n"/>
      <c r="K8" s="39" t="n"/>
      <c r="L8" s="39" t="n"/>
      <c r="M8" s="39" t="n"/>
      <c r="N8" s="39" t="n"/>
    </row>
    <row r="9" ht="18.05" customHeight="1">
      <c r="A9" s="86" t="inlineStr">
        <is>
          <t>DebAlves</t>
        </is>
      </c>
      <c r="B9" s="121" t="inlineStr">
        <is>
          <t>chefia</t>
        </is>
      </c>
      <c r="C9" s="183" t="inlineStr">
        <is>
          <t>1 semanas</t>
        </is>
      </c>
      <c r="D9" s="72" t="inlineStr">
        <is>
          <t>sem folga de 24h consecutivas nessas semanas: 21/07</t>
        </is>
      </c>
      <c r="E9" s="121" t="inlineStr">
        <is>
          <t>art. 67 CLT</t>
        </is>
      </c>
      <c r="F9" s="184" t="inlineStr">
        <is>
          <t>ESTRUTURAL</t>
        </is>
      </c>
      <c r="G9" s="39" t="n"/>
      <c r="H9" s="39" t="n"/>
      <c r="I9" s="39" t="n"/>
      <c r="J9" s="39" t="n"/>
      <c r="K9" s="39" t="n"/>
      <c r="L9" s="39" t="n"/>
      <c r="M9" s="39" t="n"/>
      <c r="N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</row>
    <row r="12">
      <c r="A12" s="185" t="inlineStr">
        <is>
          <t>ALERTA — pontual, o alvo é zero (77)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</row>
    <row r="13" ht="31.1" customHeight="1">
      <c r="A13" s="88" t="inlineStr">
        <is>
          <t>Descanso de 2h ou menos entre jornadas: na prática é jornada de 18h emendada. Era ~15 casos por mês no 1º trimestre de 2026 e caiu pra ~2 depois da mudança de abril — a regra apertou e funcionou. O papel desta aba é segurar a linha no zero. Nas abas mensais isto é a coluna 18h⚠, que recalcula sozinha ao digitar.</t>
        </is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</row>
    <row r="15">
      <c r="A15" s="182" t="inlineStr">
        <is>
          <t>Médico</t>
        </is>
      </c>
      <c r="B15" s="182" t="inlineStr">
        <is>
          <t>Grupo</t>
        </is>
      </c>
      <c r="C15" s="182" t="inlineStr">
        <is>
          <t>Quando</t>
        </is>
      </c>
      <c r="D15" s="182" t="inlineStr">
        <is>
          <t>O que acontece</t>
        </is>
      </c>
      <c r="E15" s="182" t="inlineStr">
        <is>
          <t>Base</t>
        </is>
      </c>
      <c r="F15" s="182" t="inlineStr">
        <is>
          <t>Tratamento</t>
        </is>
      </c>
      <c r="G15" s="39" t="n"/>
      <c r="H15" s="39" t="n"/>
      <c r="I15" s="39" t="n"/>
      <c r="J15" s="39" t="n"/>
      <c r="K15" s="39" t="n"/>
      <c r="L15" s="39" t="n"/>
      <c r="M15" s="39" t="n"/>
      <c r="N15" s="39" t="n"/>
    </row>
    <row r="16" ht="18.05" customHeight="1">
      <c r="A16" s="158" t="inlineStr">
        <is>
          <t>Raquel</t>
        </is>
      </c>
      <c r="B16" s="186" t="inlineStr">
        <is>
          <t>24h</t>
        </is>
      </c>
      <c r="C16" s="187" t="inlineStr">
        <is>
          <t>04/01</t>
        </is>
      </c>
      <c r="D16" s="72" t="inlineStr">
        <is>
          <t>N 04/01 → CP 05/01: 0h de descanso (soma 18h)</t>
        </is>
      </c>
      <c r="E16" s="186" t="inlineStr">
        <is>
          <t>art. 66 CLT — 11h</t>
        </is>
      </c>
      <c r="F16" s="188" t="inlineStr">
        <is>
          <t>ALERTA</t>
        </is>
      </c>
      <c r="G16" s="39" t="n"/>
      <c r="H16" s="39" t="n"/>
      <c r="I16" s="39" t="n"/>
      <c r="J16" s="39" t="n"/>
      <c r="K16" s="39" t="n"/>
      <c r="L16" s="39" t="n"/>
      <c r="M16" s="39" t="n"/>
      <c r="N16" s="39" t="n"/>
    </row>
    <row r="17" ht="18.05" customHeight="1">
      <c r="A17" s="158" t="inlineStr">
        <is>
          <t>Denise</t>
        </is>
      </c>
      <c r="B17" s="186" t="inlineStr">
        <is>
          <t>24h</t>
        </is>
      </c>
      <c r="C17" s="187" t="inlineStr">
        <is>
          <t>11/01</t>
        </is>
      </c>
      <c r="D17" s="72" t="inlineStr">
        <is>
          <t>N 11/01 → M 12/01: 0h de descanso (soma 18h)</t>
        </is>
      </c>
      <c r="E17" s="186" t="inlineStr">
        <is>
          <t>art. 66 CLT — 11h</t>
        </is>
      </c>
      <c r="F17" s="188" t="inlineStr">
        <is>
          <t>ALERTA</t>
        </is>
      </c>
      <c r="G17" s="39" t="n"/>
      <c r="H17" s="39" t="n"/>
      <c r="I17" s="39" t="n"/>
      <c r="J17" s="39" t="n"/>
      <c r="K17" s="39" t="n"/>
      <c r="L17" s="39" t="n"/>
      <c r="M17" s="39" t="n"/>
      <c r="N17" s="39" t="n"/>
    </row>
    <row r="18" ht="18.05" customHeight="1">
      <c r="A18" s="158" t="inlineStr">
        <is>
          <t>Vinicius</t>
        </is>
      </c>
      <c r="B18" s="186" t="inlineStr">
        <is>
          <t>chefia</t>
        </is>
      </c>
      <c r="C18" s="187" t="inlineStr">
        <is>
          <t>11/01</t>
        </is>
      </c>
      <c r="D18" s="72" t="inlineStr">
        <is>
          <t>N 11/01 → M 12/01: 0h de descanso (soma 18h)</t>
        </is>
      </c>
      <c r="E18" s="186" t="inlineStr">
        <is>
          <t>art. 66 CLT — 11h</t>
        </is>
      </c>
      <c r="F18" s="188" t="inlineStr">
        <is>
          <t>ALERTA</t>
        </is>
      </c>
      <c r="G18" s="39" t="n"/>
      <c r="H18" s="39" t="n"/>
      <c r="I18" s="39" t="n"/>
      <c r="J18" s="39" t="n"/>
      <c r="K18" s="39" t="n"/>
      <c r="L18" s="39" t="n"/>
      <c r="M18" s="39" t="n"/>
      <c r="N18" s="39" t="n"/>
    </row>
    <row r="19" ht="18.05" customHeight="1">
      <c r="A19" s="158" t="inlineStr">
        <is>
          <t>Aline</t>
        </is>
      </c>
      <c r="B19" s="186" t="inlineStr">
        <is>
          <t>36h</t>
        </is>
      </c>
      <c r="C19" s="187" t="inlineStr">
        <is>
          <t>12/01</t>
        </is>
      </c>
      <c r="D19" s="72" t="inlineStr">
        <is>
          <t>N 12/01 → CEP 13/01: 1h de descanso (soma 16h)</t>
        </is>
      </c>
      <c r="E19" s="186" t="inlineStr">
        <is>
          <t>art. 66 CLT — 11h</t>
        </is>
      </c>
      <c r="F19" s="188" t="inlineStr">
        <is>
          <t>ALERTA</t>
        </is>
      </c>
      <c r="G19" s="39" t="n"/>
      <c r="H19" s="39" t="n"/>
      <c r="I19" s="39" t="n"/>
      <c r="J19" s="39" t="n"/>
      <c r="K19" s="39" t="n"/>
      <c r="L19" s="39" t="n"/>
      <c r="M19" s="39" t="n"/>
      <c r="N19" s="39" t="n"/>
    </row>
    <row r="20" ht="18.05" customHeight="1">
      <c r="A20" s="158" t="inlineStr">
        <is>
          <t>MSalomão</t>
        </is>
      </c>
      <c r="B20" s="186" t="inlineStr">
        <is>
          <t>chefia</t>
        </is>
      </c>
      <c r="C20" s="187" t="inlineStr">
        <is>
          <t>18/01</t>
        </is>
      </c>
      <c r="D20" s="72" t="inlineStr">
        <is>
          <t>N 18/01 → M 19/01: 0h de descanso (soma 18h)</t>
        </is>
      </c>
      <c r="E20" s="186" t="inlineStr">
        <is>
          <t>art. 66 CLT — 11h</t>
        </is>
      </c>
      <c r="F20" s="188" t="inlineStr">
        <is>
          <t>ALERTA</t>
        </is>
      </c>
      <c r="G20" s="39" t="n"/>
      <c r="H20" s="39" t="n"/>
      <c r="I20" s="39" t="n"/>
      <c r="J20" s="39" t="n"/>
      <c r="K20" s="39" t="n"/>
      <c r="L20" s="39" t="n"/>
      <c r="M20" s="39" t="n"/>
      <c r="N20" s="39" t="n"/>
    </row>
    <row r="21" ht="18.05" customHeight="1">
      <c r="A21" s="158" t="inlineStr">
        <is>
          <t>Raquel</t>
        </is>
      </c>
      <c r="B21" s="186" t="inlineStr">
        <is>
          <t>24h</t>
        </is>
      </c>
      <c r="C21" s="187" t="inlineStr">
        <is>
          <t>18/01</t>
        </is>
      </c>
      <c r="D21" s="72" t="inlineStr">
        <is>
          <t>N 18/01 → CP 19/01: 0h de descanso (soma 18h)</t>
        </is>
      </c>
      <c r="E21" s="186" t="inlineStr">
        <is>
          <t>art. 66 CLT — 11h</t>
        </is>
      </c>
      <c r="F21" s="188" t="inlineStr">
        <is>
          <t>ALERTA</t>
        </is>
      </c>
      <c r="G21" s="39" t="n"/>
      <c r="H21" s="39" t="n"/>
      <c r="I21" s="39" t="n"/>
      <c r="J21" s="39" t="n"/>
      <c r="K21" s="39" t="n"/>
      <c r="L21" s="39" t="n"/>
      <c r="M21" s="39" t="n"/>
      <c r="N21" s="39" t="n"/>
    </row>
    <row r="22" ht="18.05" customHeight="1">
      <c r="A22" s="158" t="inlineStr">
        <is>
          <t>Rosana</t>
        </is>
      </c>
      <c r="B22" s="186" t="inlineStr">
        <is>
          <t>30h</t>
        </is>
      </c>
      <c r="C22" s="187" t="inlineStr">
        <is>
          <t>18/01</t>
        </is>
      </c>
      <c r="D22" s="72" t="inlineStr">
        <is>
          <t>N 18/01 → M 19/01: 0h de descanso (soma 18h)</t>
        </is>
      </c>
      <c r="E22" s="186" t="inlineStr">
        <is>
          <t>art. 66 CLT — 11h</t>
        </is>
      </c>
      <c r="F22" s="188" t="inlineStr">
        <is>
          <t>ALERTA</t>
        </is>
      </c>
      <c r="G22" s="39" t="n"/>
      <c r="H22" s="39" t="n"/>
      <c r="I22" s="39" t="n"/>
      <c r="J22" s="39" t="n"/>
      <c r="K22" s="39" t="n"/>
      <c r="L22" s="39" t="n"/>
      <c r="M22" s="39" t="n"/>
      <c r="N22" s="39" t="n"/>
    </row>
    <row r="23" ht="18.05" customHeight="1">
      <c r="A23" s="158" t="inlineStr">
        <is>
          <t>Aline</t>
        </is>
      </c>
      <c r="B23" s="186" t="inlineStr">
        <is>
          <t>36h</t>
        </is>
      </c>
      <c r="C23" s="187" t="inlineStr">
        <is>
          <t>20/01</t>
        </is>
      </c>
      <c r="D23" s="72" t="inlineStr">
        <is>
          <t>N 20/01 → CEP 21/01: 1h de descanso (soma 16h)</t>
        </is>
      </c>
      <c r="E23" s="186" t="inlineStr">
        <is>
          <t>art. 66 CLT — 11h</t>
        </is>
      </c>
      <c r="F23" s="188" t="inlineStr">
        <is>
          <t>ALERTA</t>
        </is>
      </c>
      <c r="G23" s="39" t="n"/>
      <c r="H23" s="39" t="n"/>
      <c r="I23" s="39" t="n"/>
      <c r="J23" s="39" t="n"/>
      <c r="K23" s="39" t="n"/>
      <c r="L23" s="39" t="n"/>
      <c r="M23" s="39" t="n"/>
      <c r="N23" s="39" t="n"/>
    </row>
    <row r="24" ht="18.05" customHeight="1">
      <c r="A24" s="158" t="inlineStr">
        <is>
          <t>Raphael</t>
        </is>
      </c>
      <c r="B24" s="186" t="inlineStr">
        <is>
          <t>24h</t>
        </is>
      </c>
      <c r="C24" s="187" t="inlineStr">
        <is>
          <t>24/01</t>
        </is>
      </c>
      <c r="D24" s="72" t="inlineStr">
        <is>
          <t>N 24/01 → M 25/01: 0h de descanso (soma 18h)</t>
        </is>
      </c>
      <c r="E24" s="186" t="inlineStr">
        <is>
          <t>art. 66 CLT — 11h</t>
        </is>
      </c>
      <c r="F24" s="188" t="inlineStr">
        <is>
          <t>ALERTA</t>
        </is>
      </c>
      <c r="G24" s="39" t="n"/>
      <c r="H24" s="39" t="n"/>
      <c r="I24" s="39" t="n"/>
      <c r="J24" s="39" t="n"/>
      <c r="K24" s="39" t="n"/>
      <c r="L24" s="39" t="n"/>
      <c r="M24" s="39" t="n"/>
      <c r="N24" s="39" t="n"/>
    </row>
    <row r="25" ht="18.05" customHeight="1">
      <c r="A25" s="158" t="inlineStr">
        <is>
          <t>Aline</t>
        </is>
      </c>
      <c r="B25" s="186" t="inlineStr">
        <is>
          <t>36h</t>
        </is>
      </c>
      <c r="C25" s="187" t="inlineStr">
        <is>
          <t>25/01</t>
        </is>
      </c>
      <c r="D25" s="72" t="inlineStr">
        <is>
          <t>N 25/01 → CEP 26/01: 1h de descanso (soma 16h)</t>
        </is>
      </c>
      <c r="E25" s="186" t="inlineStr">
        <is>
          <t>art. 66 CLT — 11h</t>
        </is>
      </c>
      <c r="F25" s="188" t="inlineStr">
        <is>
          <t>ALERTA</t>
        </is>
      </c>
      <c r="G25" s="39" t="n"/>
      <c r="H25" s="39" t="n"/>
      <c r="I25" s="39" t="n"/>
      <c r="J25" s="39" t="n"/>
      <c r="K25" s="39" t="n"/>
      <c r="L25" s="39" t="n"/>
      <c r="M25" s="39" t="n"/>
      <c r="N25" s="39" t="n"/>
    </row>
    <row r="26" ht="18.05" customHeight="1">
      <c r="A26" s="158" t="inlineStr">
        <is>
          <t>Raylander</t>
        </is>
      </c>
      <c r="B26" s="186" t="inlineStr">
        <is>
          <t>30h</t>
        </is>
      </c>
      <c r="C26" s="187" t="inlineStr">
        <is>
          <t>26/01</t>
        </is>
      </c>
      <c r="D26" s="72" t="inlineStr">
        <is>
          <t>N 26/01 → M 27/01: 0h de descanso (soma 18h)</t>
        </is>
      </c>
      <c r="E26" s="186" t="inlineStr">
        <is>
          <t>art. 66 CLT — 11h</t>
        </is>
      </c>
      <c r="F26" s="188" t="inlineStr">
        <is>
          <t>ALERTA</t>
        </is>
      </c>
      <c r="G26" s="39" t="n"/>
      <c r="H26" s="39" t="n"/>
      <c r="I26" s="39" t="n"/>
      <c r="J26" s="39" t="n"/>
      <c r="K26" s="39" t="n"/>
      <c r="L26" s="39" t="n"/>
      <c r="M26" s="39" t="n"/>
      <c r="N26" s="39" t="n"/>
    </row>
    <row r="27" ht="18.05" customHeight="1">
      <c r="A27" s="158" t="inlineStr">
        <is>
          <t>Stephanie</t>
        </is>
      </c>
      <c r="B27" s="186" t="inlineStr">
        <is>
          <t>administrativo</t>
        </is>
      </c>
      <c r="C27" s="187" t="inlineStr">
        <is>
          <t>01/02</t>
        </is>
      </c>
      <c r="D27" s="72" t="inlineStr">
        <is>
          <t>N 01/02 → M 02/02: 0h de descanso (soma 18h)</t>
        </is>
      </c>
      <c r="E27" s="186" t="inlineStr">
        <is>
          <t>art. 66 CLT — 11h</t>
        </is>
      </c>
      <c r="F27" s="188" t="inlineStr">
        <is>
          <t>ALERTA</t>
        </is>
      </c>
      <c r="G27" s="39" t="n"/>
      <c r="H27" s="39" t="n"/>
      <c r="I27" s="39" t="n"/>
      <c r="J27" s="39" t="n"/>
      <c r="K27" s="39" t="n"/>
      <c r="L27" s="39" t="n"/>
      <c r="M27" s="39" t="n"/>
      <c r="N27" s="39" t="n"/>
    </row>
    <row r="28" ht="18.05" customHeight="1">
      <c r="A28" s="158" t="inlineStr">
        <is>
          <t>Aline</t>
        </is>
      </c>
      <c r="B28" s="186" t="inlineStr">
        <is>
          <t>36h</t>
        </is>
      </c>
      <c r="C28" s="187" t="inlineStr">
        <is>
          <t>02/02</t>
        </is>
      </c>
      <c r="D28" s="72" t="inlineStr">
        <is>
          <t>N 02/02 → CEP 03/02: 1h de descanso (soma 16h)</t>
        </is>
      </c>
      <c r="E28" s="186" t="inlineStr">
        <is>
          <t>art. 66 CLT — 11h</t>
        </is>
      </c>
      <c r="F28" s="188" t="inlineStr">
        <is>
          <t>ALERTA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n"/>
    </row>
    <row r="29" ht="18.05" customHeight="1">
      <c r="A29" s="158" t="inlineStr">
        <is>
          <t>Raquel</t>
        </is>
      </c>
      <c r="B29" s="186" t="inlineStr">
        <is>
          <t>24h</t>
        </is>
      </c>
      <c r="C29" s="187" t="inlineStr">
        <is>
          <t>03/02</t>
        </is>
      </c>
      <c r="D29" s="72" t="inlineStr">
        <is>
          <t>N 03/02 → CP 04/02: 0h de descanso (soma 18h)</t>
        </is>
      </c>
      <c r="E29" s="186" t="inlineStr">
        <is>
          <t>art. 66 CLT — 11h</t>
        </is>
      </c>
      <c r="F29" s="188" t="inlineStr">
        <is>
          <t>ALERTA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n"/>
    </row>
    <row r="30" ht="18.05" customHeight="1">
      <c r="A30" s="158" t="inlineStr">
        <is>
          <t>Roberta</t>
        </is>
      </c>
      <c r="B30" s="186" t="inlineStr">
        <is>
          <t>36h</t>
        </is>
      </c>
      <c r="C30" s="187" t="inlineStr">
        <is>
          <t>05/02</t>
        </is>
      </c>
      <c r="D30" s="72" t="inlineStr">
        <is>
          <t>N 05/02 → M 06/02: 0h de descanso (soma 18h)</t>
        </is>
      </c>
      <c r="E30" s="186" t="inlineStr">
        <is>
          <t>art. 66 CLT — 11h</t>
        </is>
      </c>
      <c r="F30" s="188" t="inlineStr">
        <is>
          <t>ALERTA</t>
        </is>
      </c>
      <c r="G30" s="39" t="n"/>
      <c r="H30" s="39" t="n"/>
      <c r="I30" s="39" t="n"/>
      <c r="J30" s="39" t="n"/>
      <c r="K30" s="39" t="n"/>
      <c r="L30" s="39" t="n"/>
      <c r="M30" s="39" t="n"/>
      <c r="N30" s="39" t="n"/>
    </row>
    <row r="31" ht="18.05" customHeight="1">
      <c r="A31" s="158" t="inlineStr">
        <is>
          <t>JuCoutinho</t>
        </is>
      </c>
      <c r="B31" s="186" t="inlineStr">
        <is>
          <t>30h</t>
        </is>
      </c>
      <c r="C31" s="187" t="inlineStr">
        <is>
          <t>06/02</t>
        </is>
      </c>
      <c r="D31" s="72" t="inlineStr">
        <is>
          <t>semana de 06/02: 6 turnos, maior folga 18h (mínimo 24h)</t>
        </is>
      </c>
      <c r="E31" s="186" t="inlineStr">
        <is>
          <t>art. 67 CLT — 24h consecutivas/semana</t>
        </is>
      </c>
      <c r="F31" s="188" t="inlineStr">
        <is>
          <t>ALERTA</t>
        </is>
      </c>
      <c r="G31" s="39" t="n"/>
      <c r="H31" s="39" t="n"/>
      <c r="I31" s="39" t="n"/>
      <c r="J31" s="39" t="n"/>
      <c r="K31" s="39" t="n"/>
      <c r="L31" s="39" t="n"/>
      <c r="M31" s="39" t="n"/>
      <c r="N31" s="39" t="n"/>
    </row>
    <row r="32" ht="18.05" customHeight="1">
      <c r="A32" s="158" t="inlineStr">
        <is>
          <t>JuCoutinho</t>
        </is>
      </c>
      <c r="B32" s="186" t="inlineStr">
        <is>
          <t>30h</t>
        </is>
      </c>
      <c r="C32" s="187" t="inlineStr">
        <is>
          <t>07/02</t>
        </is>
      </c>
      <c r="D32" s="72" t="inlineStr">
        <is>
          <t>N 07/02 → M 08/02: 0h de descanso (soma 18h)</t>
        </is>
      </c>
      <c r="E32" s="186" t="inlineStr">
        <is>
          <t>art. 66 CLT — 11h</t>
        </is>
      </c>
      <c r="F32" s="188" t="inlineStr">
        <is>
          <t>ALERTA</t>
        </is>
      </c>
      <c r="G32" s="39" t="n"/>
      <c r="H32" s="39" t="n"/>
      <c r="I32" s="39" t="n"/>
      <c r="J32" s="39" t="n"/>
      <c r="K32" s="39" t="n"/>
      <c r="L32" s="39" t="n"/>
      <c r="M32" s="39" t="n"/>
      <c r="N32" s="39" t="n"/>
    </row>
    <row r="33" ht="18.05" customHeight="1">
      <c r="A33" s="158" t="inlineStr">
        <is>
          <t>Roberta</t>
        </is>
      </c>
      <c r="B33" s="186" t="inlineStr">
        <is>
          <t>36h</t>
        </is>
      </c>
      <c r="C33" s="187" t="inlineStr">
        <is>
          <t>08/02</t>
        </is>
      </c>
      <c r="D33" s="72" t="inlineStr">
        <is>
          <t>N 08/02 → M 09/02: 0h de descanso (soma 18h)</t>
        </is>
      </c>
      <c r="E33" s="186" t="inlineStr">
        <is>
          <t>art. 66 CLT — 11h</t>
        </is>
      </c>
      <c r="F33" s="188" t="inlineStr">
        <is>
          <t>ALERTA</t>
        </is>
      </c>
      <c r="G33" s="39" t="n"/>
      <c r="H33" s="39" t="n"/>
      <c r="I33" s="39" t="n"/>
      <c r="J33" s="39" t="n"/>
      <c r="K33" s="39" t="n"/>
      <c r="L33" s="39" t="n"/>
      <c r="M33" s="39" t="n"/>
      <c r="N33" s="39" t="n"/>
    </row>
    <row r="34" ht="18.05" customHeight="1">
      <c r="A34" s="158" t="inlineStr">
        <is>
          <t>Roberta</t>
        </is>
      </c>
      <c r="B34" s="186" t="inlineStr">
        <is>
          <t>36h</t>
        </is>
      </c>
      <c r="C34" s="187" t="inlineStr">
        <is>
          <t>12/02</t>
        </is>
      </c>
      <c r="D34" s="72" t="inlineStr">
        <is>
          <t>N 12/02 → M 13/02: 0h de descanso (soma 18h)</t>
        </is>
      </c>
      <c r="E34" s="186" t="inlineStr">
        <is>
          <t>art. 66 CLT — 11h</t>
        </is>
      </c>
      <c r="F34" s="188" t="inlineStr">
        <is>
          <t>ALERTA</t>
        </is>
      </c>
      <c r="G34" s="39" t="n"/>
      <c r="H34" s="39" t="n"/>
      <c r="I34" s="39" t="n"/>
      <c r="J34" s="39" t="n"/>
      <c r="K34" s="39" t="n"/>
      <c r="L34" s="39" t="n"/>
      <c r="M34" s="39" t="n"/>
      <c r="N34" s="39" t="n"/>
    </row>
    <row r="35" ht="18.05" customHeight="1">
      <c r="A35" s="158" t="inlineStr">
        <is>
          <t>MSalomão</t>
        </is>
      </c>
      <c r="B35" s="186" t="inlineStr">
        <is>
          <t>chefia</t>
        </is>
      </c>
      <c r="C35" s="187" t="inlineStr">
        <is>
          <t>14/02</t>
        </is>
      </c>
      <c r="D35" s="72" t="inlineStr">
        <is>
          <t>N 14/02 → M 15/02: 0h de descanso (soma 18h)</t>
        </is>
      </c>
      <c r="E35" s="186" t="inlineStr">
        <is>
          <t>art. 66 CLT — 11h</t>
        </is>
      </c>
      <c r="F35" s="188" t="inlineStr">
        <is>
          <t>ALERTA</t>
        </is>
      </c>
      <c r="G35" s="39" t="n"/>
      <c r="H35" s="39" t="n"/>
      <c r="I35" s="39" t="n"/>
      <c r="J35" s="39" t="n"/>
      <c r="K35" s="39" t="n"/>
      <c r="L35" s="39" t="n"/>
      <c r="M35" s="39" t="n"/>
      <c r="N35" s="39" t="n"/>
    </row>
    <row r="36" ht="18.05" customHeight="1">
      <c r="A36" s="158" t="inlineStr">
        <is>
          <t>Raquel</t>
        </is>
      </c>
      <c r="B36" s="186" t="inlineStr">
        <is>
          <t>24h</t>
        </is>
      </c>
      <c r="C36" s="187" t="inlineStr">
        <is>
          <t>15/02</t>
        </is>
      </c>
      <c r="D36" s="72" t="inlineStr">
        <is>
          <t>N 15/02 → CP 16/02: 0h de descanso (soma 18h)</t>
        </is>
      </c>
      <c r="E36" s="186" t="inlineStr">
        <is>
          <t>art. 66 CLT — 11h</t>
        </is>
      </c>
      <c r="F36" s="188" t="inlineStr">
        <is>
          <t>ALERTA</t>
        </is>
      </c>
      <c r="G36" s="39" t="n"/>
      <c r="H36" s="39" t="n"/>
      <c r="I36" s="39" t="n"/>
      <c r="J36" s="39" t="n"/>
      <c r="K36" s="39" t="n"/>
      <c r="L36" s="39" t="n"/>
      <c r="M36" s="39" t="n"/>
      <c r="N36" s="39" t="n"/>
    </row>
    <row r="37" ht="18.05" customHeight="1">
      <c r="A37" s="158" t="inlineStr">
        <is>
          <t>Aline</t>
        </is>
      </c>
      <c r="B37" s="186" t="inlineStr">
        <is>
          <t>36h</t>
        </is>
      </c>
      <c r="C37" s="187" t="inlineStr">
        <is>
          <t>17/02</t>
        </is>
      </c>
      <c r="D37" s="72" t="inlineStr">
        <is>
          <t>N 17/02 → M 18/02: 0h de descanso (soma 18h)</t>
        </is>
      </c>
      <c r="E37" s="186" t="inlineStr">
        <is>
          <t>art. 66 CLT — 11h</t>
        </is>
      </c>
      <c r="F37" s="188" t="inlineStr">
        <is>
          <t>ALERTA</t>
        </is>
      </c>
      <c r="G37" s="39" t="n"/>
      <c r="H37" s="39" t="n"/>
      <c r="I37" s="39" t="n"/>
      <c r="J37" s="39" t="n"/>
      <c r="K37" s="39" t="n"/>
      <c r="L37" s="39" t="n"/>
      <c r="M37" s="39" t="n"/>
      <c r="N37" s="39" t="n"/>
    </row>
    <row r="38" ht="18.05" customHeight="1">
      <c r="A38" s="158" t="inlineStr">
        <is>
          <t>Roberta</t>
        </is>
      </c>
      <c r="B38" s="186" t="inlineStr">
        <is>
          <t>36h</t>
        </is>
      </c>
      <c r="C38" s="187" t="inlineStr">
        <is>
          <t>19/02</t>
        </is>
      </c>
      <c r="D38" s="72" t="inlineStr">
        <is>
          <t>N 19/02 → M 20/02: 0h de descanso (soma 18h)</t>
        </is>
      </c>
      <c r="E38" s="186" t="inlineStr">
        <is>
          <t>art. 66 CLT — 11h</t>
        </is>
      </c>
      <c r="F38" s="188" t="inlineStr">
        <is>
          <t>ALERTA</t>
        </is>
      </c>
      <c r="G38" s="39" t="n"/>
      <c r="H38" s="39" t="n"/>
      <c r="I38" s="39" t="n"/>
      <c r="J38" s="39" t="n"/>
      <c r="K38" s="39" t="n"/>
      <c r="L38" s="39" t="n"/>
      <c r="M38" s="39" t="n"/>
      <c r="N38" s="39" t="n"/>
    </row>
    <row r="39" ht="18.05" customHeight="1">
      <c r="A39" s="158" t="inlineStr">
        <is>
          <t>Vinicius</t>
        </is>
      </c>
      <c r="B39" s="186" t="inlineStr">
        <is>
          <t>chefia</t>
        </is>
      </c>
      <c r="C39" s="187" t="inlineStr">
        <is>
          <t>22/02</t>
        </is>
      </c>
      <c r="D39" s="72" t="inlineStr">
        <is>
          <t>N 22/02 → M 23/02: 0h de descanso (soma 18h)</t>
        </is>
      </c>
      <c r="E39" s="186" t="inlineStr">
        <is>
          <t>art. 66 CLT — 11h</t>
        </is>
      </c>
      <c r="F39" s="188" t="inlineStr">
        <is>
          <t>ALERTA</t>
        </is>
      </c>
      <c r="G39" s="39" t="n"/>
      <c r="H39" s="39" t="n"/>
      <c r="I39" s="39" t="n"/>
      <c r="J39" s="39" t="n"/>
      <c r="K39" s="39" t="n"/>
      <c r="L39" s="39" t="n"/>
      <c r="M39" s="39" t="n"/>
      <c r="N39" s="39" t="n"/>
    </row>
    <row r="40" ht="18.05" customHeight="1">
      <c r="A40" s="158" t="inlineStr">
        <is>
          <t>Aline</t>
        </is>
      </c>
      <c r="B40" s="186" t="inlineStr">
        <is>
          <t>36h</t>
        </is>
      </c>
      <c r="C40" s="187" t="inlineStr">
        <is>
          <t>24/02</t>
        </is>
      </c>
      <c r="D40" s="72" t="inlineStr">
        <is>
          <t>N 24/02 → M 25/02: 0h de descanso (soma 18h)</t>
        </is>
      </c>
      <c r="E40" s="186" t="inlineStr">
        <is>
          <t>art. 66 CLT — 11h</t>
        </is>
      </c>
      <c r="F40" s="188" t="inlineStr">
        <is>
          <t>ALERTA</t>
        </is>
      </c>
      <c r="G40" s="39" t="n"/>
      <c r="H40" s="39" t="n"/>
      <c r="I40" s="39" t="n"/>
      <c r="J40" s="39" t="n"/>
      <c r="K40" s="39" t="n"/>
      <c r="L40" s="39" t="n"/>
      <c r="M40" s="39" t="n"/>
      <c r="N40" s="39" t="n"/>
    </row>
    <row r="41" ht="18.05" customHeight="1">
      <c r="A41" s="158" t="inlineStr">
        <is>
          <t>Raquel</t>
        </is>
      </c>
      <c r="B41" s="186" t="inlineStr">
        <is>
          <t>24h</t>
        </is>
      </c>
      <c r="C41" s="187" t="inlineStr">
        <is>
          <t>24/02</t>
        </is>
      </c>
      <c r="D41" s="72" t="inlineStr">
        <is>
          <t>N 24/02 → CP 25/02: 0h de descanso (soma 18h)</t>
        </is>
      </c>
      <c r="E41" s="186" t="inlineStr">
        <is>
          <t>art. 66 CLT — 11h</t>
        </is>
      </c>
      <c r="F41" s="188" t="inlineStr">
        <is>
          <t>ALERTA</t>
        </is>
      </c>
      <c r="G41" s="39" t="n"/>
      <c r="H41" s="39" t="n"/>
      <c r="I41" s="39" t="n"/>
      <c r="J41" s="39" t="n"/>
      <c r="K41" s="39" t="n"/>
      <c r="L41" s="39" t="n"/>
      <c r="M41" s="39" t="n"/>
      <c r="N41" s="39" t="n"/>
    </row>
    <row r="42" ht="18.05" customHeight="1">
      <c r="A42" s="158" t="inlineStr">
        <is>
          <t>MPinheiro</t>
        </is>
      </c>
      <c r="B42" s="186" t="inlineStr">
        <is>
          <t>administrativo</t>
        </is>
      </c>
      <c r="C42" s="187" t="inlineStr">
        <is>
          <t>26/02</t>
        </is>
      </c>
      <c r="D42" s="72" t="inlineStr">
        <is>
          <t>N 26/02 → M 27/02: 0h de descanso (soma 18h)</t>
        </is>
      </c>
      <c r="E42" s="186" t="inlineStr">
        <is>
          <t>art. 66 CLT — 11h</t>
        </is>
      </c>
      <c r="F42" s="188" t="inlineStr">
        <is>
          <t>ALERTA</t>
        </is>
      </c>
      <c r="G42" s="39" t="n"/>
      <c r="H42" s="39" t="n"/>
      <c r="I42" s="39" t="n"/>
      <c r="J42" s="39" t="n"/>
      <c r="K42" s="39" t="n"/>
      <c r="L42" s="39" t="n"/>
      <c r="M42" s="39" t="n"/>
      <c r="N42" s="39" t="n"/>
    </row>
    <row r="43" ht="18.05" customHeight="1">
      <c r="A43" s="158" t="inlineStr">
        <is>
          <t>Roberta</t>
        </is>
      </c>
      <c r="B43" s="186" t="inlineStr">
        <is>
          <t>36h</t>
        </is>
      </c>
      <c r="C43" s="187" t="inlineStr">
        <is>
          <t>27/02</t>
        </is>
      </c>
      <c r="D43" s="72" t="inlineStr">
        <is>
          <t>N 27/02 → M 28/02: 0h de descanso (soma 18h)</t>
        </is>
      </c>
      <c r="E43" s="186" t="inlineStr">
        <is>
          <t>art. 66 CLT — 11h</t>
        </is>
      </c>
      <c r="F43" s="188" t="inlineStr">
        <is>
          <t>ALERTA</t>
        </is>
      </c>
      <c r="G43" s="39" t="n"/>
      <c r="H43" s="39" t="n"/>
      <c r="I43" s="39" t="n"/>
      <c r="J43" s="39" t="n"/>
      <c r="K43" s="39" t="n"/>
      <c r="L43" s="39" t="n"/>
      <c r="M43" s="39" t="n"/>
      <c r="N43" s="39" t="n"/>
    </row>
    <row r="44" ht="18.05" customHeight="1">
      <c r="A44" s="158" t="inlineStr">
        <is>
          <t>Raphael</t>
        </is>
      </c>
      <c r="B44" s="186" t="inlineStr">
        <is>
          <t>24h</t>
        </is>
      </c>
      <c r="C44" s="187" t="inlineStr">
        <is>
          <t>28/02</t>
        </is>
      </c>
      <c r="D44" s="72" t="inlineStr">
        <is>
          <t>N 28/02 → M 01/03: 0h de descanso (soma 18h)</t>
        </is>
      </c>
      <c r="E44" s="186" t="inlineStr">
        <is>
          <t>art. 66 CLT — 11h</t>
        </is>
      </c>
      <c r="F44" s="188" t="inlineStr">
        <is>
          <t>ALERTA</t>
        </is>
      </c>
      <c r="G44" s="39" t="n"/>
      <c r="H44" s="39" t="n"/>
      <c r="I44" s="39" t="n"/>
      <c r="J44" s="39" t="n"/>
      <c r="K44" s="39" t="n"/>
      <c r="L44" s="39" t="n"/>
      <c r="M44" s="39" t="n"/>
      <c r="N44" s="39" t="n"/>
    </row>
    <row r="45" ht="18.05" customHeight="1">
      <c r="A45" s="158" t="inlineStr">
        <is>
          <t>MSalomão</t>
        </is>
      </c>
      <c r="B45" s="186" t="inlineStr">
        <is>
          <t>chefia</t>
        </is>
      </c>
      <c r="C45" s="187" t="inlineStr">
        <is>
          <t>01/03</t>
        </is>
      </c>
      <c r="D45" s="72" t="inlineStr">
        <is>
          <t>N 01/03 → M 02/03: 0h de descanso (soma 18h)</t>
        </is>
      </c>
      <c r="E45" s="186" t="inlineStr">
        <is>
          <t>art. 66 CLT — 11h</t>
        </is>
      </c>
      <c r="F45" s="188" t="inlineStr">
        <is>
          <t>ALERTA</t>
        </is>
      </c>
      <c r="G45" s="39" t="n"/>
      <c r="H45" s="39" t="n"/>
      <c r="I45" s="39" t="n"/>
      <c r="J45" s="39" t="n"/>
      <c r="K45" s="39" t="n"/>
      <c r="L45" s="39" t="n"/>
      <c r="M45" s="39" t="n"/>
      <c r="N45" s="39" t="n"/>
    </row>
    <row r="46" ht="18.05" customHeight="1">
      <c r="A46" s="158" t="inlineStr">
        <is>
          <t>Aline</t>
        </is>
      </c>
      <c r="B46" s="186" t="inlineStr">
        <is>
          <t>36h</t>
        </is>
      </c>
      <c r="C46" s="187" t="inlineStr">
        <is>
          <t>02/03</t>
        </is>
      </c>
      <c r="D46" s="72" t="inlineStr">
        <is>
          <t>N 02/03 → CEP 03/03: 1h de descanso (soma 16h)</t>
        </is>
      </c>
      <c r="E46" s="186" t="inlineStr">
        <is>
          <t>art. 66 CLT — 11h</t>
        </is>
      </c>
      <c r="F46" s="188" t="inlineStr">
        <is>
          <t>ALERTA</t>
        </is>
      </c>
      <c r="G46" s="39" t="n"/>
      <c r="H46" s="39" t="n"/>
      <c r="I46" s="39" t="n"/>
      <c r="J46" s="39" t="n"/>
      <c r="K46" s="39" t="n"/>
      <c r="L46" s="39" t="n"/>
      <c r="M46" s="39" t="n"/>
      <c r="N46" s="39" t="n"/>
    </row>
    <row r="47" ht="18.05" customHeight="1">
      <c r="A47" s="158" t="inlineStr">
        <is>
          <t>Raquel</t>
        </is>
      </c>
      <c r="B47" s="186" t="inlineStr">
        <is>
          <t>24h</t>
        </is>
      </c>
      <c r="C47" s="187" t="inlineStr">
        <is>
          <t>03/03</t>
        </is>
      </c>
      <c r="D47" s="72" t="inlineStr">
        <is>
          <t>N 03/03 → CP 04/03: 0h de descanso (soma 18h)</t>
        </is>
      </c>
      <c r="E47" s="186" t="inlineStr">
        <is>
          <t>art. 66 CLT — 11h</t>
        </is>
      </c>
      <c r="F47" s="188" t="inlineStr">
        <is>
          <t>ALERTA</t>
        </is>
      </c>
      <c r="G47" s="39" t="n"/>
      <c r="H47" s="39" t="n"/>
      <c r="I47" s="39" t="n"/>
      <c r="J47" s="39" t="n"/>
      <c r="K47" s="39" t="n"/>
      <c r="L47" s="39" t="n"/>
      <c r="M47" s="39" t="n"/>
      <c r="N47" s="39" t="n"/>
    </row>
    <row r="48" ht="18.05" customHeight="1">
      <c r="A48" s="158" t="inlineStr">
        <is>
          <t>Aline</t>
        </is>
      </c>
      <c r="B48" s="186" t="inlineStr">
        <is>
          <t>36h</t>
        </is>
      </c>
      <c r="C48" s="187" t="inlineStr">
        <is>
          <t>09/03</t>
        </is>
      </c>
      <c r="D48" s="72" t="inlineStr">
        <is>
          <t>N 09/03 → M 10/03: 0h de descanso (soma 18h)</t>
        </is>
      </c>
      <c r="E48" s="186" t="inlineStr">
        <is>
          <t>art. 66 CLT — 11h</t>
        </is>
      </c>
      <c r="F48" s="188" t="inlineStr">
        <is>
          <t>ALERTA</t>
        </is>
      </c>
      <c r="G48" s="39" t="n"/>
      <c r="H48" s="39" t="n"/>
      <c r="I48" s="39" t="n"/>
      <c r="J48" s="39" t="n"/>
      <c r="K48" s="39" t="n"/>
      <c r="L48" s="39" t="n"/>
      <c r="M48" s="39" t="n"/>
      <c r="N48" s="39" t="n"/>
    </row>
    <row r="49" ht="18.05" customHeight="1">
      <c r="A49" s="158" t="inlineStr">
        <is>
          <t>MPinheiro</t>
        </is>
      </c>
      <c r="B49" s="186" t="inlineStr">
        <is>
          <t>administrativo</t>
        </is>
      </c>
      <c r="C49" s="187" t="inlineStr">
        <is>
          <t>12/03</t>
        </is>
      </c>
      <c r="D49" s="72" t="inlineStr">
        <is>
          <t>N 12/03 → M 13/03: 0h de descanso (soma 18h)</t>
        </is>
      </c>
      <c r="E49" s="186" t="inlineStr">
        <is>
          <t>art. 66 CLT — 11h</t>
        </is>
      </c>
      <c r="F49" s="188" t="inlineStr">
        <is>
          <t>ALERTA</t>
        </is>
      </c>
      <c r="G49" s="39" t="n"/>
      <c r="H49" s="39" t="n"/>
      <c r="I49" s="39" t="n"/>
      <c r="J49" s="39" t="n"/>
      <c r="K49" s="39" t="n"/>
      <c r="L49" s="39" t="n"/>
      <c r="M49" s="39" t="n"/>
      <c r="N49" s="39" t="n"/>
    </row>
    <row r="50" ht="18.05" customHeight="1">
      <c r="A50" s="158" t="inlineStr">
        <is>
          <t>Aline</t>
        </is>
      </c>
      <c r="B50" s="186" t="inlineStr">
        <is>
          <t>36h</t>
        </is>
      </c>
      <c r="C50" s="187" t="inlineStr">
        <is>
          <t>15/03</t>
        </is>
      </c>
      <c r="D50" s="72" t="inlineStr">
        <is>
          <t>N 15/03 → CEP 16/03: 1h de descanso (soma 16h)</t>
        </is>
      </c>
      <c r="E50" s="186" t="inlineStr">
        <is>
          <t>art. 66 CLT — 11h</t>
        </is>
      </c>
      <c r="F50" s="188" t="inlineStr">
        <is>
          <t>ALERTA</t>
        </is>
      </c>
      <c r="G50" s="39" t="n"/>
      <c r="H50" s="39" t="n"/>
      <c r="I50" s="39" t="n"/>
      <c r="J50" s="39" t="n"/>
      <c r="K50" s="39" t="n"/>
      <c r="L50" s="39" t="n"/>
      <c r="M50" s="39" t="n"/>
      <c r="N50" s="39" t="n"/>
    </row>
    <row r="51" ht="18.05" customHeight="1">
      <c r="A51" s="158" t="inlineStr">
        <is>
          <t>Roberta</t>
        </is>
      </c>
      <c r="B51" s="186" t="inlineStr">
        <is>
          <t>36h</t>
        </is>
      </c>
      <c r="C51" s="187" t="inlineStr">
        <is>
          <t>15/03</t>
        </is>
      </c>
      <c r="D51" s="72" t="inlineStr">
        <is>
          <t>N 15/03 → M 16/03: 0h de descanso (soma 18h)</t>
        </is>
      </c>
      <c r="E51" s="186" t="inlineStr">
        <is>
          <t>art. 66 CLT — 11h</t>
        </is>
      </c>
      <c r="F51" s="188" t="inlineStr">
        <is>
          <t>ALERTA</t>
        </is>
      </c>
      <c r="G51" s="39" t="n"/>
      <c r="H51" s="39" t="n"/>
      <c r="I51" s="39" t="n"/>
      <c r="J51" s="39" t="n"/>
      <c r="K51" s="39" t="n"/>
      <c r="L51" s="39" t="n"/>
      <c r="M51" s="39" t="n"/>
      <c r="N51" s="39" t="n"/>
    </row>
    <row r="52" ht="18.05" customHeight="1">
      <c r="A52" s="158" t="inlineStr">
        <is>
          <t>Aline</t>
        </is>
      </c>
      <c r="B52" s="186" t="inlineStr">
        <is>
          <t>36h</t>
        </is>
      </c>
      <c r="C52" s="187" t="inlineStr">
        <is>
          <t>17/03</t>
        </is>
      </c>
      <c r="D52" s="72" t="inlineStr">
        <is>
          <t>N 17/03 → M 18/03: 0h de descanso (soma 18h)</t>
        </is>
      </c>
      <c r="E52" s="186" t="inlineStr">
        <is>
          <t>art. 66 CLT — 11h</t>
        </is>
      </c>
      <c r="F52" s="188" t="inlineStr">
        <is>
          <t>ALERTA</t>
        </is>
      </c>
      <c r="G52" s="39" t="n"/>
      <c r="H52" s="39" t="n"/>
      <c r="I52" s="39" t="n"/>
      <c r="J52" s="39" t="n"/>
      <c r="K52" s="39" t="n"/>
      <c r="L52" s="39" t="n"/>
      <c r="M52" s="39" t="n"/>
      <c r="N52" s="39" t="n"/>
    </row>
    <row r="53" ht="18.05" customHeight="1">
      <c r="A53" s="158" t="inlineStr">
        <is>
          <t>Aline</t>
        </is>
      </c>
      <c r="B53" s="186" t="inlineStr">
        <is>
          <t>36h</t>
        </is>
      </c>
      <c r="C53" s="187" t="inlineStr">
        <is>
          <t>24/03</t>
        </is>
      </c>
      <c r="D53" s="72" t="inlineStr">
        <is>
          <t>N 24/03 → M 25/03: 0h de descanso (soma 18h)</t>
        </is>
      </c>
      <c r="E53" s="186" t="inlineStr">
        <is>
          <t>art. 66 CLT — 11h</t>
        </is>
      </c>
      <c r="F53" s="188" t="inlineStr">
        <is>
          <t>ALERTA</t>
        </is>
      </c>
      <c r="G53" s="39" t="n"/>
      <c r="H53" s="39" t="n"/>
      <c r="I53" s="39" t="n"/>
      <c r="J53" s="39" t="n"/>
      <c r="K53" s="39" t="n"/>
      <c r="L53" s="39" t="n"/>
      <c r="M53" s="39" t="n"/>
      <c r="N53" s="39" t="n"/>
    </row>
    <row r="54" ht="18.05" customHeight="1">
      <c r="A54" s="158" t="inlineStr">
        <is>
          <t>MPinheiro</t>
        </is>
      </c>
      <c r="B54" s="186" t="inlineStr">
        <is>
          <t>administrativo</t>
        </is>
      </c>
      <c r="C54" s="187" t="inlineStr">
        <is>
          <t>26/03</t>
        </is>
      </c>
      <c r="D54" s="72" t="inlineStr">
        <is>
          <t>N 26/03 → M 27/03: 0h de descanso (soma 18h)</t>
        </is>
      </c>
      <c r="E54" s="186" t="inlineStr">
        <is>
          <t>art. 66 CLT — 11h</t>
        </is>
      </c>
      <c r="F54" s="188" t="inlineStr">
        <is>
          <t>ALERTA</t>
        </is>
      </c>
      <c r="G54" s="39" t="n"/>
      <c r="H54" s="39" t="n"/>
      <c r="I54" s="39" t="n"/>
      <c r="J54" s="39" t="n"/>
      <c r="K54" s="39" t="n"/>
      <c r="L54" s="39" t="n"/>
      <c r="M54" s="39" t="n"/>
      <c r="N54" s="39" t="n"/>
    </row>
    <row r="55" ht="18.05" customHeight="1">
      <c r="A55" s="158" t="inlineStr">
        <is>
          <t>JuCoutinho</t>
        </is>
      </c>
      <c r="B55" s="186" t="inlineStr">
        <is>
          <t>30h</t>
        </is>
      </c>
      <c r="C55" s="187" t="inlineStr">
        <is>
          <t>28/03</t>
        </is>
      </c>
      <c r="D55" s="72" t="inlineStr">
        <is>
          <t>N 28/03 → M 29/03: 0h de descanso (soma 18h)</t>
        </is>
      </c>
      <c r="E55" s="186" t="inlineStr">
        <is>
          <t>art. 66 CLT — 11h</t>
        </is>
      </c>
      <c r="F55" s="188" t="inlineStr">
        <is>
          <t>ALERTA</t>
        </is>
      </c>
      <c r="G55" s="39" t="n"/>
      <c r="H55" s="39" t="n"/>
      <c r="I55" s="39" t="n"/>
      <c r="J55" s="39" t="n"/>
      <c r="K55" s="39" t="n"/>
      <c r="L55" s="39" t="n"/>
      <c r="M55" s="39" t="n"/>
      <c r="N55" s="39" t="n"/>
    </row>
    <row r="56" ht="18.05" customHeight="1">
      <c r="A56" s="158" t="inlineStr">
        <is>
          <t>MSalomão</t>
        </is>
      </c>
      <c r="B56" s="186" t="inlineStr">
        <is>
          <t>chefia</t>
        </is>
      </c>
      <c r="C56" s="187" t="inlineStr">
        <is>
          <t>29/03</t>
        </is>
      </c>
      <c r="D56" s="72" t="inlineStr">
        <is>
          <t>N 29/03 → M 30/03: 0h de descanso (soma 18h)</t>
        </is>
      </c>
      <c r="E56" s="186" t="inlineStr">
        <is>
          <t>art. 66 CLT — 11h</t>
        </is>
      </c>
      <c r="F56" s="188" t="inlineStr">
        <is>
          <t>ALERTA</t>
        </is>
      </c>
      <c r="G56" s="39" t="n"/>
      <c r="H56" s="39" t="n"/>
      <c r="I56" s="39" t="n"/>
      <c r="J56" s="39" t="n"/>
      <c r="K56" s="39" t="n"/>
      <c r="L56" s="39" t="n"/>
      <c r="M56" s="39" t="n"/>
      <c r="N56" s="39" t="n"/>
    </row>
    <row r="57" ht="18.05" customHeight="1">
      <c r="A57" s="158" t="inlineStr">
        <is>
          <t>Amanda</t>
        </is>
      </c>
      <c r="B57" s="186" t="inlineStr">
        <is>
          <t>30h</t>
        </is>
      </c>
      <c r="C57" s="187" t="inlineStr">
        <is>
          <t>02/04</t>
        </is>
      </c>
      <c r="D57" s="72" t="inlineStr">
        <is>
          <t>N 02/04 → M 03/04: 0h de descanso (soma 18h)</t>
        </is>
      </c>
      <c r="E57" s="186" t="inlineStr">
        <is>
          <t>art. 66 CLT — 11h</t>
        </is>
      </c>
      <c r="F57" s="188" t="inlineStr">
        <is>
          <t>ALERTA</t>
        </is>
      </c>
      <c r="G57" s="39" t="n"/>
      <c r="H57" s="39" t="n"/>
      <c r="I57" s="39" t="n"/>
      <c r="J57" s="39" t="n"/>
      <c r="K57" s="39" t="n"/>
      <c r="L57" s="39" t="n"/>
      <c r="M57" s="39" t="n"/>
      <c r="N57" s="39" t="n"/>
    </row>
    <row r="58" ht="18.05" customHeight="1">
      <c r="A58" s="158" t="inlineStr">
        <is>
          <t>Aline</t>
        </is>
      </c>
      <c r="B58" s="186" t="inlineStr">
        <is>
          <t>36h</t>
        </is>
      </c>
      <c r="C58" s="187" t="inlineStr">
        <is>
          <t>03/04</t>
        </is>
      </c>
      <c r="D58" s="72" t="inlineStr">
        <is>
          <t>N 03/04 → M 04/04: 0h de descanso (soma 18h)</t>
        </is>
      </c>
      <c r="E58" s="186" t="inlineStr">
        <is>
          <t>art. 66 CLT — 11h</t>
        </is>
      </c>
      <c r="F58" s="188" t="inlineStr">
        <is>
          <t>ALERTA</t>
        </is>
      </c>
      <c r="G58" s="39" t="n"/>
      <c r="H58" s="39" t="n"/>
      <c r="I58" s="39" t="n"/>
      <c r="J58" s="39" t="n"/>
      <c r="K58" s="39" t="n"/>
      <c r="L58" s="39" t="n"/>
      <c r="M58" s="39" t="n"/>
      <c r="N58" s="39" t="n"/>
    </row>
    <row r="59" ht="18.05" customHeight="1">
      <c r="A59" s="158" t="inlineStr">
        <is>
          <t>LuCosta</t>
        </is>
      </c>
      <c r="B59" s="186" t="inlineStr">
        <is>
          <t>24h</t>
        </is>
      </c>
      <c r="C59" s="187" t="inlineStr">
        <is>
          <t>03/04</t>
        </is>
      </c>
      <c r="D59" s="72" t="inlineStr">
        <is>
          <t>N 03/04 → M 04/04: 0h de descanso (soma 18h)</t>
        </is>
      </c>
      <c r="E59" s="186" t="inlineStr">
        <is>
          <t>art. 66 CLT — 11h</t>
        </is>
      </c>
      <c r="F59" s="188" t="inlineStr">
        <is>
          <t>ALERTA</t>
        </is>
      </c>
      <c r="G59" s="39" t="n"/>
      <c r="H59" s="39" t="n"/>
      <c r="I59" s="39" t="n"/>
      <c r="J59" s="39" t="n"/>
      <c r="K59" s="39" t="n"/>
      <c r="L59" s="39" t="n"/>
      <c r="M59" s="39" t="n"/>
      <c r="N59" s="39" t="n"/>
    </row>
    <row r="60" ht="18.05" customHeight="1">
      <c r="A60" s="158" t="inlineStr">
        <is>
          <t>Murilo</t>
        </is>
      </c>
      <c r="B60" s="186" t="inlineStr">
        <is>
          <t>rotina</t>
        </is>
      </c>
      <c r="C60" s="187" t="inlineStr">
        <is>
          <t>05/04</t>
        </is>
      </c>
      <c r="D60" s="72" t="inlineStr">
        <is>
          <t>N 05/04 → M 06/04: 0h de descanso (soma 18h)</t>
        </is>
      </c>
      <c r="E60" s="186" t="inlineStr">
        <is>
          <t>art. 66 CLT — 11h</t>
        </is>
      </c>
      <c r="F60" s="188" t="inlineStr">
        <is>
          <t>ALERTA</t>
        </is>
      </c>
      <c r="G60" s="39" t="n"/>
      <c r="H60" s="39" t="n"/>
      <c r="I60" s="39" t="n"/>
      <c r="J60" s="39" t="n"/>
      <c r="K60" s="39" t="n"/>
      <c r="L60" s="39" t="n"/>
      <c r="M60" s="39" t="n"/>
      <c r="N60" s="39" t="n"/>
    </row>
    <row r="61" ht="18.05" customHeight="1">
      <c r="A61" s="158" t="inlineStr">
        <is>
          <t>Roberta</t>
        </is>
      </c>
      <c r="B61" s="186" t="inlineStr">
        <is>
          <t>36h</t>
        </is>
      </c>
      <c r="C61" s="187" t="inlineStr">
        <is>
          <t>05/04</t>
        </is>
      </c>
      <c r="D61" s="72" t="inlineStr">
        <is>
          <t>N 05/04 → M 06/04: 0h de descanso (soma 18h)</t>
        </is>
      </c>
      <c r="E61" s="186" t="inlineStr">
        <is>
          <t>art. 66 CLT — 11h</t>
        </is>
      </c>
      <c r="F61" s="188" t="inlineStr">
        <is>
          <t>ALERTA</t>
        </is>
      </c>
      <c r="G61" s="39" t="n"/>
      <c r="H61" s="39" t="n"/>
      <c r="I61" s="39" t="n"/>
      <c r="J61" s="39" t="n"/>
      <c r="K61" s="39" t="n"/>
      <c r="L61" s="39" t="n"/>
      <c r="M61" s="39" t="n"/>
      <c r="N61" s="39" t="n"/>
    </row>
    <row r="62" ht="18.05" customHeight="1">
      <c r="A62" s="158" t="inlineStr">
        <is>
          <t>Aline</t>
        </is>
      </c>
      <c r="B62" s="186" t="inlineStr">
        <is>
          <t>36h</t>
        </is>
      </c>
      <c r="C62" s="187" t="inlineStr">
        <is>
          <t>06/04</t>
        </is>
      </c>
      <c r="D62" s="72" t="inlineStr">
        <is>
          <t>N 06/04 → CEP 07/04: 1h de descanso (soma 16h)</t>
        </is>
      </c>
      <c r="E62" s="186" t="inlineStr">
        <is>
          <t>art. 66 CLT — 11h</t>
        </is>
      </c>
      <c r="F62" s="188" t="inlineStr">
        <is>
          <t>ALERTA</t>
        </is>
      </c>
      <c r="G62" s="39" t="n"/>
      <c r="H62" s="39" t="n"/>
      <c r="I62" s="39" t="n"/>
      <c r="J62" s="39" t="n"/>
      <c r="K62" s="39" t="n"/>
      <c r="L62" s="39" t="n"/>
      <c r="M62" s="39" t="n"/>
      <c r="N62" s="39" t="n"/>
    </row>
    <row r="63" ht="18.05" customHeight="1">
      <c r="A63" s="158" t="inlineStr">
        <is>
          <t>Raquel</t>
        </is>
      </c>
      <c r="B63" s="186" t="inlineStr">
        <is>
          <t>24h</t>
        </is>
      </c>
      <c r="C63" s="187" t="inlineStr">
        <is>
          <t>11/04</t>
        </is>
      </c>
      <c r="D63" s="72" t="inlineStr">
        <is>
          <t>N 11/04 → M 12/04: 0h de descanso (soma 18h)</t>
        </is>
      </c>
      <c r="E63" s="186" t="inlineStr">
        <is>
          <t>art. 66 CLT — 11h</t>
        </is>
      </c>
      <c r="F63" s="188" t="inlineStr">
        <is>
          <t>ALERTA</t>
        </is>
      </c>
      <c r="G63" s="39" t="n"/>
      <c r="H63" s="39" t="n"/>
      <c r="I63" s="39" t="n"/>
      <c r="J63" s="39" t="n"/>
      <c r="K63" s="39" t="n"/>
      <c r="L63" s="39" t="n"/>
      <c r="M63" s="39" t="n"/>
      <c r="N63" s="39" t="n"/>
    </row>
    <row r="64" ht="18.05" customHeight="1">
      <c r="A64" s="158" t="inlineStr">
        <is>
          <t>Aline</t>
        </is>
      </c>
      <c r="B64" s="186" t="inlineStr">
        <is>
          <t>36h</t>
        </is>
      </c>
      <c r="C64" s="187" t="inlineStr">
        <is>
          <t>13/04</t>
        </is>
      </c>
      <c r="D64" s="72" t="inlineStr">
        <is>
          <t>N 13/04 → CEP 14/04: 1h de descanso (soma 16h)</t>
        </is>
      </c>
      <c r="E64" s="186" t="inlineStr">
        <is>
          <t>art. 66 CLT — 11h</t>
        </is>
      </c>
      <c r="F64" s="188" t="inlineStr">
        <is>
          <t>ALERTA</t>
        </is>
      </c>
      <c r="G64" s="39" t="n"/>
      <c r="H64" s="39" t="n"/>
      <c r="I64" s="39" t="n"/>
      <c r="J64" s="39" t="n"/>
      <c r="K64" s="39" t="n"/>
      <c r="L64" s="39" t="n"/>
      <c r="M64" s="39" t="n"/>
      <c r="N64" s="39" t="n"/>
    </row>
    <row r="65" ht="18.05" customHeight="1">
      <c r="A65" s="158" t="inlineStr">
        <is>
          <t>Raquel</t>
        </is>
      </c>
      <c r="B65" s="186" t="inlineStr">
        <is>
          <t>24h</t>
        </is>
      </c>
      <c r="C65" s="187" t="inlineStr">
        <is>
          <t>19/04</t>
        </is>
      </c>
      <c r="D65" s="72" t="inlineStr">
        <is>
          <t>N 19/04 → CP 20/04: 0h de descanso (soma 18h)</t>
        </is>
      </c>
      <c r="E65" s="186" t="inlineStr">
        <is>
          <t>art. 66 CLT — 11h</t>
        </is>
      </c>
      <c r="F65" s="188" t="inlineStr">
        <is>
          <t>ALERTA</t>
        </is>
      </c>
      <c r="G65" s="39" t="n"/>
      <c r="H65" s="39" t="n"/>
      <c r="I65" s="39" t="n"/>
      <c r="J65" s="39" t="n"/>
      <c r="K65" s="39" t="n"/>
      <c r="L65" s="39" t="n"/>
      <c r="M65" s="39" t="n"/>
      <c r="N65" s="39" t="n"/>
    </row>
    <row r="66" ht="18.05" customHeight="1">
      <c r="A66" s="158" t="inlineStr">
        <is>
          <t>Vinicius</t>
        </is>
      </c>
      <c r="B66" s="186" t="inlineStr">
        <is>
          <t>chefia</t>
        </is>
      </c>
      <c r="C66" s="187" t="inlineStr">
        <is>
          <t>19/04</t>
        </is>
      </c>
      <c r="D66" s="72" t="inlineStr">
        <is>
          <t>N 19/04 → M 20/04: 0h de descanso (soma 18h)</t>
        </is>
      </c>
      <c r="E66" s="186" t="inlineStr">
        <is>
          <t>art. 66 CLT — 11h</t>
        </is>
      </c>
      <c r="F66" s="188" t="inlineStr">
        <is>
          <t>ALERTA</t>
        </is>
      </c>
      <c r="G66" s="39" t="n"/>
      <c r="H66" s="39" t="n"/>
      <c r="I66" s="39" t="n"/>
      <c r="J66" s="39" t="n"/>
      <c r="K66" s="39" t="n"/>
      <c r="L66" s="39" t="n"/>
      <c r="M66" s="39" t="n"/>
      <c r="N66" s="39" t="n"/>
    </row>
    <row r="67" ht="18.05" customHeight="1">
      <c r="A67" s="158" t="inlineStr">
        <is>
          <t>Raquel</t>
        </is>
      </c>
      <c r="B67" s="186" t="inlineStr">
        <is>
          <t>24h</t>
        </is>
      </c>
      <c r="C67" s="187" t="inlineStr">
        <is>
          <t>21/04</t>
        </is>
      </c>
      <c r="D67" s="72" t="inlineStr">
        <is>
          <t>N 21/04 → CP 22/04: 0h de descanso (soma 18h)</t>
        </is>
      </c>
      <c r="E67" s="186" t="inlineStr">
        <is>
          <t>art. 66 CLT — 11h</t>
        </is>
      </c>
      <c r="F67" s="188" t="inlineStr">
        <is>
          <t>ALERTA</t>
        </is>
      </c>
      <c r="G67" s="39" t="n"/>
      <c r="H67" s="39" t="n"/>
      <c r="I67" s="39" t="n"/>
      <c r="J67" s="39" t="n"/>
      <c r="K67" s="39" t="n"/>
      <c r="L67" s="39" t="n"/>
      <c r="M67" s="39" t="n"/>
      <c r="N67" s="39" t="n"/>
    </row>
    <row r="68" ht="18.05" customHeight="1">
      <c r="A68" s="158" t="inlineStr">
        <is>
          <t>MSalomão</t>
        </is>
      </c>
      <c r="B68" s="186" t="inlineStr">
        <is>
          <t>chefia</t>
        </is>
      </c>
      <c r="C68" s="187" t="inlineStr">
        <is>
          <t>26/04</t>
        </is>
      </c>
      <c r="D68" s="72" t="inlineStr">
        <is>
          <t>N 26/04 → M 27/04: 0h de descanso (soma 18h)</t>
        </is>
      </c>
      <c r="E68" s="186" t="inlineStr">
        <is>
          <t>art. 66 CLT — 11h</t>
        </is>
      </c>
      <c r="F68" s="188" t="inlineStr">
        <is>
          <t>ALERTA</t>
        </is>
      </c>
      <c r="G68" s="39" t="n"/>
      <c r="H68" s="39" t="n"/>
      <c r="I68" s="39" t="n"/>
      <c r="J68" s="39" t="n"/>
      <c r="K68" s="39" t="n"/>
      <c r="L68" s="39" t="n"/>
      <c r="M68" s="39" t="n"/>
      <c r="N68" s="39" t="n"/>
    </row>
    <row r="69" ht="18.05" customHeight="1">
      <c r="A69" s="158" t="inlineStr">
        <is>
          <t>Roberta</t>
        </is>
      </c>
      <c r="B69" s="186" t="inlineStr">
        <is>
          <t>36h</t>
        </is>
      </c>
      <c r="C69" s="187" t="inlineStr">
        <is>
          <t>26/04</t>
        </is>
      </c>
      <c r="D69" s="72" t="inlineStr">
        <is>
          <t>N 26/04 → M 27/04: 0h de descanso (soma 18h)</t>
        </is>
      </c>
      <c r="E69" s="186" t="inlineStr">
        <is>
          <t>art. 66 CLT — 11h</t>
        </is>
      </c>
      <c r="F69" s="188" t="inlineStr">
        <is>
          <t>ALERTA</t>
        </is>
      </c>
      <c r="G69" s="39" t="n"/>
      <c r="H69" s="39" t="n"/>
      <c r="I69" s="39" t="n"/>
      <c r="J69" s="39" t="n"/>
      <c r="K69" s="39" t="n"/>
      <c r="L69" s="39" t="n"/>
      <c r="M69" s="39" t="n"/>
      <c r="N69" s="39" t="n"/>
    </row>
    <row r="70" ht="18.05" customHeight="1">
      <c r="A70" s="158" t="inlineStr">
        <is>
          <t>Aline</t>
        </is>
      </c>
      <c r="B70" s="186" t="inlineStr">
        <is>
          <t>36h</t>
        </is>
      </c>
      <c r="C70" s="187" t="inlineStr">
        <is>
          <t>27/04</t>
        </is>
      </c>
      <c r="D70" s="72" t="inlineStr">
        <is>
          <t>N 27/04 → M 28/04: 0h de descanso (soma 18h)</t>
        </is>
      </c>
      <c r="E70" s="186" t="inlineStr">
        <is>
          <t>art. 66 CLT — 11h</t>
        </is>
      </c>
      <c r="F70" s="188" t="inlineStr">
        <is>
          <t>ALERTA</t>
        </is>
      </c>
      <c r="G70" s="39" t="n"/>
      <c r="H70" s="39" t="n"/>
      <c r="I70" s="39" t="n"/>
      <c r="J70" s="39" t="n"/>
      <c r="K70" s="39" t="n"/>
      <c r="L70" s="39" t="n"/>
      <c r="M70" s="39" t="n"/>
      <c r="N70" s="39" t="n"/>
    </row>
    <row r="71" ht="18.05" customHeight="1">
      <c r="A71" s="158" t="inlineStr">
        <is>
          <t>Raquel</t>
        </is>
      </c>
      <c r="B71" s="186" t="inlineStr">
        <is>
          <t>24h</t>
        </is>
      </c>
      <c r="C71" s="187" t="inlineStr">
        <is>
          <t>28/04</t>
        </is>
      </c>
      <c r="D71" s="72" t="inlineStr">
        <is>
          <t>N 28/04 → CP 29/04: 0h de descanso (soma 18h)</t>
        </is>
      </c>
      <c r="E71" s="186" t="inlineStr">
        <is>
          <t>art. 66 CLT — 11h</t>
        </is>
      </c>
      <c r="F71" s="188" t="inlineStr">
        <is>
          <t>ALERTA</t>
        </is>
      </c>
      <c r="G71" s="39" t="n"/>
      <c r="H71" s="39" t="n"/>
      <c r="I71" s="39" t="n"/>
      <c r="J71" s="39" t="n"/>
      <c r="K71" s="39" t="n"/>
      <c r="L71" s="39" t="n"/>
      <c r="M71" s="39" t="n"/>
      <c r="N71" s="39" t="n"/>
    </row>
    <row r="72" ht="18.05" customHeight="1">
      <c r="A72" s="158" t="inlineStr">
        <is>
          <t>Roberta</t>
        </is>
      </c>
      <c r="B72" s="186" t="inlineStr">
        <is>
          <t>36h</t>
        </is>
      </c>
      <c r="C72" s="187" t="inlineStr">
        <is>
          <t>30/04</t>
        </is>
      </c>
      <c r="D72" s="72" t="inlineStr">
        <is>
          <t>N 30/04 → M 01/05: 0h de descanso (soma 18h)</t>
        </is>
      </c>
      <c r="E72" s="186" t="inlineStr">
        <is>
          <t>art. 66 CLT — 11h</t>
        </is>
      </c>
      <c r="F72" s="188" t="inlineStr">
        <is>
          <t>ALERTA</t>
        </is>
      </c>
      <c r="G72" s="39" t="n"/>
      <c r="H72" s="39" t="n"/>
      <c r="I72" s="39" t="n"/>
      <c r="J72" s="39" t="n"/>
      <c r="K72" s="39" t="n"/>
      <c r="L72" s="39" t="n"/>
      <c r="M72" s="39" t="n"/>
      <c r="N72" s="39" t="n"/>
    </row>
    <row r="73" ht="18.05" customHeight="1">
      <c r="A73" s="158" t="inlineStr">
        <is>
          <t>Amelio</t>
        </is>
      </c>
      <c r="B73" s="186" t="inlineStr">
        <is>
          <t>chefia</t>
        </is>
      </c>
      <c r="C73" s="187" t="inlineStr">
        <is>
          <t>03/05</t>
        </is>
      </c>
      <c r="D73" s="72" t="inlineStr">
        <is>
          <t>N 03/05 → M 04/05: 0h de descanso (soma 18h)</t>
        </is>
      </c>
      <c r="E73" s="186" t="inlineStr">
        <is>
          <t>art. 66 CLT — 11h</t>
        </is>
      </c>
      <c r="F73" s="188" t="inlineStr">
        <is>
          <t>ALERTA</t>
        </is>
      </c>
      <c r="G73" s="39" t="n"/>
      <c r="H73" s="39" t="n"/>
      <c r="I73" s="39" t="n"/>
      <c r="J73" s="39" t="n"/>
      <c r="K73" s="39" t="n"/>
      <c r="L73" s="39" t="n"/>
      <c r="M73" s="39" t="n"/>
      <c r="N73" s="39" t="n"/>
    </row>
    <row r="74" ht="18.05" customHeight="1">
      <c r="A74" s="158" t="inlineStr">
        <is>
          <t>MSalomão</t>
        </is>
      </c>
      <c r="B74" s="186" t="inlineStr">
        <is>
          <t>chefia</t>
        </is>
      </c>
      <c r="C74" s="187" t="inlineStr">
        <is>
          <t>24/05</t>
        </is>
      </c>
      <c r="D74" s="72" t="inlineStr">
        <is>
          <t>N 24/05 → M 25/05: 0h de descanso (soma 18h)</t>
        </is>
      </c>
      <c r="E74" s="186" t="inlineStr">
        <is>
          <t>art. 66 CLT — 11h</t>
        </is>
      </c>
      <c r="F74" s="188" t="inlineStr">
        <is>
          <t>ALERTA</t>
        </is>
      </c>
      <c r="G74" s="39" t="n"/>
      <c r="H74" s="39" t="n"/>
      <c r="I74" s="39" t="n"/>
      <c r="J74" s="39" t="n"/>
      <c r="K74" s="39" t="n"/>
      <c r="L74" s="39" t="n"/>
      <c r="M74" s="39" t="n"/>
      <c r="N74" s="39" t="n"/>
    </row>
    <row r="75" ht="18.05" customHeight="1">
      <c r="A75" s="158" t="inlineStr">
        <is>
          <t>Rosana</t>
        </is>
      </c>
      <c r="B75" s="186" t="inlineStr">
        <is>
          <t>30h</t>
        </is>
      </c>
      <c r="C75" s="187" t="inlineStr">
        <is>
          <t>24/05</t>
        </is>
      </c>
      <c r="D75" s="72" t="inlineStr">
        <is>
          <t>N 24/05 → M 25/05: 0h de descanso (soma 18h)</t>
        </is>
      </c>
      <c r="E75" s="186" t="inlineStr">
        <is>
          <t>art. 66 CLT — 11h</t>
        </is>
      </c>
      <c r="F75" s="188" t="inlineStr">
        <is>
          <t>ALERTA</t>
        </is>
      </c>
      <c r="G75" s="39" t="n"/>
      <c r="H75" s="39" t="n"/>
      <c r="I75" s="39" t="n"/>
      <c r="J75" s="39" t="n"/>
      <c r="K75" s="39" t="n"/>
      <c r="L75" s="39" t="n"/>
      <c r="M75" s="39" t="n"/>
      <c r="N75" s="39" t="n"/>
    </row>
    <row r="76" ht="18.05" customHeight="1">
      <c r="A76" s="158" t="inlineStr">
        <is>
          <t>Aline</t>
        </is>
      </c>
      <c r="B76" s="186" t="inlineStr">
        <is>
          <t>36h</t>
        </is>
      </c>
      <c r="C76" s="187" t="inlineStr">
        <is>
          <t>25/05</t>
        </is>
      </c>
      <c r="D76" s="72" t="inlineStr">
        <is>
          <t>N 25/05 → CEP 26/05: 1h de descanso (soma 16h)</t>
        </is>
      </c>
      <c r="E76" s="186" t="inlineStr">
        <is>
          <t>art. 66 CLT — 11h</t>
        </is>
      </c>
      <c r="F76" s="188" t="inlineStr">
        <is>
          <t>ALERTA</t>
        </is>
      </c>
      <c r="G76" s="39" t="n"/>
      <c r="H76" s="39" t="n"/>
      <c r="I76" s="39" t="n"/>
      <c r="J76" s="39" t="n"/>
      <c r="K76" s="39" t="n"/>
      <c r="L76" s="39" t="n"/>
      <c r="M76" s="39" t="n"/>
      <c r="N76" s="39" t="n"/>
    </row>
    <row r="77" ht="18.05" customHeight="1">
      <c r="A77" s="158" t="inlineStr">
        <is>
          <t>Bruna</t>
        </is>
      </c>
      <c r="B77" s="186" t="inlineStr">
        <is>
          <t>24h</t>
        </is>
      </c>
      <c r="C77" s="187" t="inlineStr">
        <is>
          <t>02/06</t>
        </is>
      </c>
      <c r="D77" s="72" t="inlineStr">
        <is>
          <t>N 02/06 → D 03/06: 0h de descanso (soma 24h)</t>
        </is>
      </c>
      <c r="E77" s="186" t="inlineStr">
        <is>
          <t>art. 66 CLT — 11h</t>
        </is>
      </c>
      <c r="F77" s="188" t="inlineStr">
        <is>
          <t>ALERTA</t>
        </is>
      </c>
      <c r="G77" s="39" t="n"/>
      <c r="H77" s="39" t="n"/>
      <c r="I77" s="39" t="n"/>
      <c r="J77" s="39" t="n"/>
      <c r="K77" s="39" t="n"/>
      <c r="L77" s="39" t="n"/>
      <c r="M77" s="39" t="n"/>
      <c r="N77" s="39" t="n"/>
    </row>
    <row r="78" ht="18.05" customHeight="1">
      <c r="A78" s="158" t="inlineStr">
        <is>
          <t>Rosana</t>
        </is>
      </c>
      <c r="B78" s="186" t="inlineStr">
        <is>
          <t>30h</t>
        </is>
      </c>
      <c r="C78" s="187" t="inlineStr">
        <is>
          <t>14/06</t>
        </is>
      </c>
      <c r="D78" s="72" t="inlineStr">
        <is>
          <t>N 14/06 → M 15/06: 0h de descanso (soma 18h)</t>
        </is>
      </c>
      <c r="E78" s="186" t="inlineStr">
        <is>
          <t>art. 66 CLT — 11h</t>
        </is>
      </c>
      <c r="F78" s="188" t="inlineStr">
        <is>
          <t>ALERTA</t>
        </is>
      </c>
      <c r="G78" s="39" t="n"/>
      <c r="H78" s="39" t="n"/>
      <c r="I78" s="39" t="n"/>
      <c r="J78" s="39" t="n"/>
      <c r="K78" s="39" t="n"/>
      <c r="L78" s="39" t="n"/>
      <c r="M78" s="39" t="n"/>
      <c r="N78" s="39" t="n"/>
    </row>
    <row r="79" ht="18.05" customHeight="1">
      <c r="A79" s="158" t="inlineStr">
        <is>
          <t>Raquel</t>
        </is>
      </c>
      <c r="B79" s="186" t="inlineStr">
        <is>
          <t>24h</t>
        </is>
      </c>
      <c r="C79" s="187" t="inlineStr">
        <is>
          <t>05/07</t>
        </is>
      </c>
      <c r="D79" s="72" t="inlineStr">
        <is>
          <t>N 05/07 → CP 06/07: 0h de descanso (soma 18h)</t>
        </is>
      </c>
      <c r="E79" s="186" t="inlineStr">
        <is>
          <t>art. 66 CLT — 11h</t>
        </is>
      </c>
      <c r="F79" s="188" t="inlineStr">
        <is>
          <t>ALERTA</t>
        </is>
      </c>
      <c r="G79" s="39" t="n"/>
      <c r="H79" s="39" t="n"/>
      <c r="I79" s="39" t="n"/>
      <c r="J79" s="39" t="n"/>
      <c r="K79" s="39" t="n"/>
      <c r="L79" s="39" t="n"/>
      <c r="M79" s="39" t="n"/>
      <c r="N79" s="39" t="n"/>
    </row>
    <row r="80" ht="18.05" customHeight="1">
      <c r="A80" s="158" t="inlineStr">
        <is>
          <t>Aline</t>
        </is>
      </c>
      <c r="B80" s="186" t="inlineStr">
        <is>
          <t>36h</t>
        </is>
      </c>
      <c r="C80" s="187" t="inlineStr">
        <is>
          <t>13/07</t>
        </is>
      </c>
      <c r="D80" s="72" t="inlineStr">
        <is>
          <t>N 13/07 → CEP 14/07: 1h de descanso (soma 16h)</t>
        </is>
      </c>
      <c r="E80" s="186" t="inlineStr">
        <is>
          <t>art. 66 CLT — 11h</t>
        </is>
      </c>
      <c r="F80" s="188" t="inlineStr">
        <is>
          <t>ALERTA</t>
        </is>
      </c>
      <c r="G80" s="39" t="n"/>
      <c r="H80" s="39" t="n"/>
      <c r="I80" s="39" t="n"/>
      <c r="J80" s="39" t="n"/>
      <c r="K80" s="39" t="n"/>
      <c r="L80" s="39" t="n"/>
      <c r="M80" s="39" t="n"/>
      <c r="N80" s="39" t="n"/>
    </row>
    <row r="81" ht="18.05" customHeight="1">
      <c r="A81" s="158" t="inlineStr">
        <is>
          <t>MSalomão</t>
        </is>
      </c>
      <c r="B81" s="186" t="inlineStr">
        <is>
          <t>chefia</t>
        </is>
      </c>
      <c r="C81" s="187" t="inlineStr">
        <is>
          <t>19/07</t>
        </is>
      </c>
      <c r="D81" s="72" t="inlineStr">
        <is>
          <t>N 19/07 → M 20/07: 0h de descanso (soma 18h)</t>
        </is>
      </c>
      <c r="E81" s="186" t="inlineStr">
        <is>
          <t>art. 66 CLT — 11h</t>
        </is>
      </c>
      <c r="F81" s="188" t="inlineStr">
        <is>
          <t>ALERTA</t>
        </is>
      </c>
      <c r="G81" s="39" t="n"/>
      <c r="H81" s="39" t="n"/>
      <c r="I81" s="39" t="n"/>
      <c r="J81" s="39" t="n"/>
      <c r="K81" s="39" t="n"/>
      <c r="L81" s="39" t="n"/>
      <c r="M81" s="39" t="n"/>
      <c r="N81" s="39" t="n"/>
    </row>
    <row r="82" ht="18.05" customHeight="1">
      <c r="A82" s="158" t="inlineStr">
        <is>
          <t>Aline</t>
        </is>
      </c>
      <c r="B82" s="186" t="inlineStr">
        <is>
          <t>36h</t>
        </is>
      </c>
      <c r="C82" s="187" t="inlineStr">
        <is>
          <t>27/07</t>
        </is>
      </c>
      <c r="D82" s="72" t="inlineStr">
        <is>
          <t>N 27/07 → CEP 28/07: 1h de descanso (soma 16h)</t>
        </is>
      </c>
      <c r="E82" s="186" t="inlineStr">
        <is>
          <t>art. 66 CLT — 11h</t>
        </is>
      </c>
      <c r="F82" s="188" t="inlineStr">
        <is>
          <t>ALERTA</t>
        </is>
      </c>
      <c r="G82" s="39" t="n"/>
      <c r="H82" s="39" t="n"/>
      <c r="I82" s="39" t="n"/>
      <c r="J82" s="39" t="n"/>
      <c r="K82" s="39" t="n"/>
      <c r="L82" s="39" t="n"/>
      <c r="M82" s="39" t="n"/>
      <c r="N82" s="39" t="n"/>
    </row>
    <row r="83" ht="18.05" customHeight="1">
      <c r="A83" s="158" t="inlineStr">
        <is>
          <t>MSalomão</t>
        </is>
      </c>
      <c r="B83" s="186" t="inlineStr">
        <is>
          <t>chefia</t>
        </is>
      </c>
      <c r="C83" s="187" t="inlineStr">
        <is>
          <t>02/08</t>
        </is>
      </c>
      <c r="D83" s="72" t="inlineStr">
        <is>
          <t>N 02/08 → M 03/08: 0h de descanso (soma 18h)</t>
        </is>
      </c>
      <c r="E83" s="186" t="inlineStr">
        <is>
          <t>art. 66 CLT — 11h</t>
        </is>
      </c>
      <c r="F83" s="188" t="inlineStr">
        <is>
          <t>ALERTA</t>
        </is>
      </c>
      <c r="G83" s="39" t="n"/>
      <c r="H83" s="39" t="n"/>
      <c r="I83" s="39" t="n"/>
      <c r="J83" s="39" t="n"/>
      <c r="K83" s="39" t="n"/>
      <c r="L83" s="39" t="n"/>
      <c r="M83" s="39" t="n"/>
      <c r="N83" s="39" t="n"/>
    </row>
    <row r="84" ht="18.05" customHeight="1">
      <c r="A84" s="158" t="inlineStr">
        <is>
          <t>Aline</t>
        </is>
      </c>
      <c r="B84" s="186" t="inlineStr">
        <is>
          <t>36h</t>
        </is>
      </c>
      <c r="C84" s="187" t="inlineStr">
        <is>
          <t>10/08</t>
        </is>
      </c>
      <c r="D84" s="72" t="inlineStr">
        <is>
          <t>N 10/08 → CEP 11/08: 1h de descanso (soma 16h)</t>
        </is>
      </c>
      <c r="E84" s="186" t="inlineStr">
        <is>
          <t>art. 66 CLT — 11h</t>
        </is>
      </c>
      <c r="F84" s="188" t="inlineStr">
        <is>
          <t>ALERTA</t>
        </is>
      </c>
      <c r="G84" s="39" t="n"/>
      <c r="H84" s="39" t="n"/>
      <c r="I84" s="39" t="n"/>
      <c r="J84" s="39" t="n"/>
      <c r="K84" s="39" t="n"/>
      <c r="L84" s="39" t="n"/>
      <c r="M84" s="39" t="n"/>
      <c r="N84" s="39" t="n"/>
    </row>
    <row r="85" ht="18.05" customHeight="1">
      <c r="A85" s="158" t="inlineStr">
        <is>
          <t>Aline</t>
        </is>
      </c>
      <c r="B85" s="186" t="inlineStr">
        <is>
          <t>36h</t>
        </is>
      </c>
      <c r="C85" s="187" t="inlineStr">
        <is>
          <t>24/08</t>
        </is>
      </c>
      <c r="D85" s="72" t="inlineStr">
        <is>
          <t>N 24/08 → CEP 25/08: 1h de descanso (soma 16h)</t>
        </is>
      </c>
      <c r="E85" s="186" t="inlineStr">
        <is>
          <t>art. 66 CLT — 11h</t>
        </is>
      </c>
      <c r="F85" s="188" t="inlineStr">
        <is>
          <t>ALERTA</t>
        </is>
      </c>
      <c r="G85" s="39" t="n"/>
      <c r="H85" s="39" t="n"/>
      <c r="I85" s="39" t="n"/>
      <c r="J85" s="39" t="n"/>
      <c r="K85" s="39" t="n"/>
      <c r="L85" s="39" t="n"/>
      <c r="M85" s="39" t="n"/>
      <c r="N85" s="39" t="n"/>
    </row>
    <row r="86" ht="18.05" customHeight="1">
      <c r="A86" s="158" t="inlineStr">
        <is>
          <t>MSalomão</t>
        </is>
      </c>
      <c r="B86" s="186" t="inlineStr">
        <is>
          <t>chefia</t>
        </is>
      </c>
      <c r="C86" s="187" t="inlineStr">
        <is>
          <t>13/09</t>
        </is>
      </c>
      <c r="D86" s="72" t="inlineStr">
        <is>
          <t>N 13/09 → M 14/09: 0h de descanso (soma 18h)</t>
        </is>
      </c>
      <c r="E86" s="186" t="inlineStr">
        <is>
          <t>art. 66 CLT — 11h</t>
        </is>
      </c>
      <c r="F86" s="188" t="inlineStr">
        <is>
          <t>ALERTA</t>
        </is>
      </c>
      <c r="G86" s="39" t="n"/>
      <c r="H86" s="39" t="n"/>
      <c r="I86" s="39" t="n"/>
      <c r="J86" s="39" t="n"/>
      <c r="K86" s="39" t="n"/>
      <c r="L86" s="39" t="n"/>
      <c r="M86" s="39" t="n"/>
      <c r="N86" s="39" t="n"/>
    </row>
    <row r="87" ht="18.05" customHeight="1">
      <c r="A87" s="158" t="inlineStr">
        <is>
          <t>MSalomão</t>
        </is>
      </c>
      <c r="B87" s="186" t="inlineStr">
        <is>
          <t>chefia</t>
        </is>
      </c>
      <c r="C87" s="187" t="inlineStr">
        <is>
          <t>27/09</t>
        </is>
      </c>
      <c r="D87" s="72" t="inlineStr">
        <is>
          <t>N 27/09 → M 28/09: 0h de descanso (soma 18h)</t>
        </is>
      </c>
      <c r="E87" s="186" t="inlineStr">
        <is>
          <t>art. 66 CLT — 11h</t>
        </is>
      </c>
      <c r="F87" s="188" t="inlineStr">
        <is>
          <t>ALERTA</t>
        </is>
      </c>
      <c r="G87" s="39" t="n"/>
      <c r="H87" s="39" t="n"/>
      <c r="I87" s="39" t="n"/>
      <c r="J87" s="39" t="n"/>
      <c r="K87" s="39" t="n"/>
      <c r="L87" s="39" t="n"/>
      <c r="M87" s="39" t="n"/>
      <c r="N87" s="39" t="n"/>
    </row>
    <row r="88" ht="18.05" customHeight="1">
      <c r="A88" s="158" t="inlineStr">
        <is>
          <t>Aline</t>
        </is>
      </c>
      <c r="B88" s="186" t="inlineStr">
        <is>
          <t>36h</t>
        </is>
      </c>
      <c r="C88" s="187" t="inlineStr">
        <is>
          <t>28/09</t>
        </is>
      </c>
      <c r="D88" s="72" t="inlineStr">
        <is>
          <t>N 28/09 → CEP 29/09: 1h de descanso (soma 16h)</t>
        </is>
      </c>
      <c r="E88" s="186" t="inlineStr">
        <is>
          <t>art. 66 CLT — 11h</t>
        </is>
      </c>
      <c r="F88" s="188" t="inlineStr">
        <is>
          <t>ALERTA</t>
        </is>
      </c>
      <c r="G88" s="39" t="n"/>
      <c r="H88" s="39" t="n"/>
      <c r="I88" s="39" t="n"/>
      <c r="J88" s="39" t="n"/>
      <c r="K88" s="39" t="n"/>
      <c r="L88" s="39" t="n"/>
      <c r="M88" s="39" t="n"/>
      <c r="N88" s="39" t="n"/>
    </row>
    <row r="89" ht="18.05" customHeight="1">
      <c r="A89" s="158" t="inlineStr">
        <is>
          <t>MSalomão</t>
        </is>
      </c>
      <c r="B89" s="186" t="inlineStr">
        <is>
          <t>chefia</t>
        </is>
      </c>
      <c r="C89" s="187" t="inlineStr">
        <is>
          <t>04/10</t>
        </is>
      </c>
      <c r="D89" s="72" t="inlineStr">
        <is>
          <t>N 04/10 → M 05/10: 0h de descanso (soma 18h)</t>
        </is>
      </c>
      <c r="E89" s="186" t="inlineStr">
        <is>
          <t>art. 66 CLT — 11h</t>
        </is>
      </c>
      <c r="F89" s="188" t="inlineStr">
        <is>
          <t>ALERTA</t>
        </is>
      </c>
      <c r="G89" s="39" t="n"/>
      <c r="H89" s="39" t="n"/>
      <c r="I89" s="39" t="n"/>
      <c r="J89" s="39" t="n"/>
      <c r="K89" s="39" t="n"/>
      <c r="L89" s="39" t="n"/>
      <c r="M89" s="39" t="n"/>
      <c r="N89" s="39" t="n"/>
    </row>
    <row r="90" ht="18.05" customHeight="1">
      <c r="A90" s="158" t="inlineStr">
        <is>
          <t>Aline</t>
        </is>
      </c>
      <c r="B90" s="186" t="inlineStr">
        <is>
          <t>36h</t>
        </is>
      </c>
      <c r="C90" s="187" t="inlineStr">
        <is>
          <t>05/10</t>
        </is>
      </c>
      <c r="D90" s="72" t="inlineStr">
        <is>
          <t>N 05/10 → CEP 06/10: 1h de descanso (soma 16h)</t>
        </is>
      </c>
      <c r="E90" s="186" t="inlineStr">
        <is>
          <t>art. 66 CLT — 11h</t>
        </is>
      </c>
      <c r="F90" s="188" t="inlineStr">
        <is>
          <t>ALERTA</t>
        </is>
      </c>
      <c r="G90" s="39" t="n"/>
      <c r="H90" s="39" t="n"/>
      <c r="I90" s="39" t="n"/>
      <c r="J90" s="39" t="n"/>
      <c r="K90" s="39" t="n"/>
      <c r="L90" s="39" t="n"/>
      <c r="M90" s="39" t="n"/>
      <c r="N90" s="39" t="n"/>
    </row>
    <row r="91" ht="18.05" customHeight="1">
      <c r="A91" s="158" t="inlineStr">
        <is>
          <t>Aline</t>
        </is>
      </c>
      <c r="B91" s="186" t="inlineStr">
        <is>
          <t>36h</t>
        </is>
      </c>
      <c r="C91" s="187" t="inlineStr">
        <is>
          <t>12/10</t>
        </is>
      </c>
      <c r="D91" s="72" t="inlineStr">
        <is>
          <t>N 12/10 → CEP 13/10: 1h de descanso (soma 16h)</t>
        </is>
      </c>
      <c r="E91" s="186" t="inlineStr">
        <is>
          <t>art. 66 CLT — 11h</t>
        </is>
      </c>
      <c r="F91" s="188" t="inlineStr">
        <is>
          <t>ALERTA</t>
        </is>
      </c>
      <c r="G91" s="39" t="n"/>
      <c r="H91" s="39" t="n"/>
      <c r="I91" s="39" t="n"/>
      <c r="J91" s="39" t="n"/>
      <c r="K91" s="39" t="n"/>
      <c r="L91" s="39" t="n"/>
      <c r="M91" s="39" t="n"/>
      <c r="N91" s="39" t="n"/>
    </row>
    <row r="92" ht="18.05" customHeight="1">
      <c r="A92" s="158" t="inlineStr">
        <is>
          <t>MSalomão</t>
        </is>
      </c>
      <c r="B92" s="186" t="inlineStr">
        <is>
          <t>chefia</t>
        </is>
      </c>
      <c r="C92" s="187" t="inlineStr">
        <is>
          <t>18/10</t>
        </is>
      </c>
      <c r="D92" s="72" t="inlineStr">
        <is>
          <t>N 18/10 → M 19/10: 0h de descanso (soma 18h)</t>
        </is>
      </c>
      <c r="E92" s="186" t="inlineStr">
        <is>
          <t>art. 66 CLT — 11h</t>
        </is>
      </c>
      <c r="F92" s="188" t="inlineStr">
        <is>
          <t>ALERTA</t>
        </is>
      </c>
      <c r="G92" s="39" t="n"/>
      <c r="H92" s="39" t="n"/>
      <c r="I92" s="39" t="n"/>
      <c r="J92" s="39" t="n"/>
      <c r="K92" s="39" t="n"/>
      <c r="L92" s="39" t="n"/>
      <c r="M92" s="39" t="n"/>
      <c r="N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</row>
    <row r="95">
      <c r="A95" s="189" t="inlineStr">
        <is>
          <t>REGISTRO — prática estabelecida do serviço (138)</t>
        </is>
      </c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</row>
    <row r="96" ht="44.15" customHeight="1">
      <c r="A96" s="88" t="inlineStr">
        <is>
          <t>Noite 19–07h seguida da tarde 13–19h: 18h de trabalho com 6h de pausa. São 90 casos em 6 meses, 26 pessoas, sem queda no ano — é como o serviço funciona, não acidente. Decisão de 17/08/26: continua e fica registrado, sem alarme. Fica aqui porque está abaixo das 11h do art. 66 e, se algum dia for questionado, o registro existe. Observação honesta: o arquivo de códigos não carrega BHP/BHN nem troca, então parte destes casos pode ser troca documentada.</t>
        </is>
      </c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</row>
    <row r="98">
      <c r="A98" s="182" t="inlineStr">
        <is>
          <t>Médico</t>
        </is>
      </c>
      <c r="B98" s="182" t="inlineStr">
        <is>
          <t>Grupo</t>
        </is>
      </c>
      <c r="C98" s="182" t="inlineStr">
        <is>
          <t>Quando</t>
        </is>
      </c>
      <c r="D98" s="182" t="inlineStr">
        <is>
          <t>O que acontece</t>
        </is>
      </c>
      <c r="E98" s="182" t="inlineStr">
        <is>
          <t>Base</t>
        </is>
      </c>
      <c r="F98" s="182" t="inlineStr">
        <is>
          <t>Tratamento</t>
        </is>
      </c>
      <c r="G98" s="39" t="n"/>
      <c r="H98" s="39" t="n"/>
      <c r="I98" s="39" t="n"/>
      <c r="J98" s="39" t="n"/>
      <c r="K98" s="39" t="n"/>
      <c r="L98" s="39" t="n"/>
      <c r="M98" s="39" t="n"/>
      <c r="N98" s="39" t="n"/>
    </row>
    <row r="99" ht="18.05" customHeight="1">
      <c r="A99" s="158" t="inlineStr">
        <is>
          <t>João</t>
        </is>
      </c>
      <c r="B99" s="186" t="inlineStr">
        <is>
          <t>30h</t>
        </is>
      </c>
      <c r="C99" s="187" t="inlineStr">
        <is>
          <t>06/01</t>
        </is>
      </c>
      <c r="D99" s="72" t="inlineStr">
        <is>
          <t>N 06/01 → T 07/01: 6h de descanso (soma 18h)</t>
        </is>
      </c>
      <c r="E99" s="186" t="inlineStr">
        <is>
          <t>art. 66 CLT — 11h</t>
        </is>
      </c>
      <c r="F99" s="190" t="inlineStr">
        <is>
          <t>REGISTRO</t>
        </is>
      </c>
      <c r="G99" s="39" t="n"/>
      <c r="H99" s="39" t="n"/>
      <c r="I99" s="39" t="n"/>
      <c r="J99" s="39" t="n"/>
      <c r="K99" s="39" t="n"/>
      <c r="L99" s="39" t="n"/>
      <c r="M99" s="39" t="n"/>
      <c r="N99" s="39" t="n"/>
    </row>
    <row r="100" ht="18.05" customHeight="1">
      <c r="A100" s="158" t="inlineStr">
        <is>
          <t>Roberta</t>
        </is>
      </c>
      <c r="B100" s="186" t="inlineStr">
        <is>
          <t>36h</t>
        </is>
      </c>
      <c r="C100" s="187" t="inlineStr">
        <is>
          <t>06/01</t>
        </is>
      </c>
      <c r="D100" s="72" t="inlineStr">
        <is>
          <t>N 06/01 → T 07/01: 6h de descanso (soma 18h)</t>
        </is>
      </c>
      <c r="E100" s="186" t="inlineStr">
        <is>
          <t>art. 66 CLT — 11h</t>
        </is>
      </c>
      <c r="F100" s="190" t="inlineStr">
        <is>
          <t>REGISTRO</t>
        </is>
      </c>
      <c r="G100" s="39" t="n"/>
      <c r="H100" s="39" t="n"/>
      <c r="I100" s="39" t="n"/>
      <c r="J100" s="39" t="n"/>
      <c r="K100" s="39" t="n"/>
      <c r="L100" s="39" t="n"/>
      <c r="M100" s="39" t="n"/>
      <c r="N100" s="39" t="n"/>
    </row>
    <row r="101" ht="18.05" customHeight="1">
      <c r="A101" s="158" t="inlineStr">
        <is>
          <t>Isabella</t>
        </is>
      </c>
      <c r="B101" s="186" t="inlineStr">
        <is>
          <t>36h</t>
        </is>
      </c>
      <c r="C101" s="187" t="inlineStr">
        <is>
          <t>11/01</t>
        </is>
      </c>
      <c r="D101" s="72" t="inlineStr">
        <is>
          <t>N 11/01 → T 12/01: 6h de descanso (soma 18h)</t>
        </is>
      </c>
      <c r="E101" s="186" t="inlineStr">
        <is>
          <t>art. 66 CLT — 11h</t>
        </is>
      </c>
      <c r="F101" s="190" t="inlineStr">
        <is>
          <t>REGISTRO</t>
        </is>
      </c>
      <c r="G101" s="39" t="n"/>
      <c r="H101" s="39" t="n"/>
      <c r="I101" s="39" t="n"/>
      <c r="J101" s="39" t="n"/>
      <c r="K101" s="39" t="n"/>
      <c r="L101" s="39" t="n"/>
      <c r="M101" s="39" t="n"/>
      <c r="N101" s="39" t="n"/>
    </row>
    <row r="102" ht="18.05" customHeight="1">
      <c r="A102" s="158" t="inlineStr">
        <is>
          <t>Amanda</t>
        </is>
      </c>
      <c r="B102" s="186" t="inlineStr">
        <is>
          <t>30h</t>
        </is>
      </c>
      <c r="C102" s="187" t="inlineStr">
        <is>
          <t>12/01</t>
        </is>
      </c>
      <c r="D102" s="72" t="inlineStr">
        <is>
          <t>N 12/01 → T 13/01: 6h de descanso (soma 18h)</t>
        </is>
      </c>
      <c r="E102" s="186" t="inlineStr">
        <is>
          <t>art. 66 CLT — 11h</t>
        </is>
      </c>
      <c r="F102" s="190" t="inlineStr">
        <is>
          <t>REGISTRO</t>
        </is>
      </c>
      <c r="G102" s="39" t="n"/>
      <c r="H102" s="39" t="n"/>
      <c r="I102" s="39" t="n"/>
      <c r="J102" s="39" t="n"/>
      <c r="K102" s="39" t="n"/>
      <c r="L102" s="39" t="n"/>
      <c r="M102" s="39" t="n"/>
      <c r="N102" s="39" t="n"/>
    </row>
    <row r="103" ht="18.05" customHeight="1">
      <c r="A103" s="158" t="inlineStr">
        <is>
          <t>Raphael</t>
        </is>
      </c>
      <c r="B103" s="186" t="inlineStr">
        <is>
          <t>24h</t>
        </is>
      </c>
      <c r="C103" s="187" t="inlineStr">
        <is>
          <t>12/01</t>
        </is>
      </c>
      <c r="D103" s="72" t="inlineStr">
        <is>
          <t>N 12/01 → T 13/01: 6h de descanso (soma 18h)</t>
        </is>
      </c>
      <c r="E103" s="186" t="inlineStr">
        <is>
          <t>art. 66 CLT — 11h</t>
        </is>
      </c>
      <c r="F103" s="190" t="inlineStr">
        <is>
          <t>REGISTRO</t>
        </is>
      </c>
      <c r="G103" s="39" t="n"/>
      <c r="H103" s="39" t="n"/>
      <c r="I103" s="39" t="n"/>
      <c r="J103" s="39" t="n"/>
      <c r="K103" s="39" t="n"/>
      <c r="L103" s="39" t="n"/>
      <c r="M103" s="39" t="n"/>
      <c r="N103" s="39" t="n"/>
    </row>
    <row r="104" ht="18.05" customHeight="1">
      <c r="A104" s="158" t="inlineStr">
        <is>
          <t>Raphael</t>
        </is>
      </c>
      <c r="B104" s="186" t="inlineStr">
        <is>
          <t>24h</t>
        </is>
      </c>
      <c r="C104" s="187" t="inlineStr">
        <is>
          <t>14/01</t>
        </is>
      </c>
      <c r="D104" s="72" t="inlineStr">
        <is>
          <t>N 14/01 → T 15/01: 6h de descanso (soma 18h)</t>
        </is>
      </c>
      <c r="E104" s="186" t="inlineStr">
        <is>
          <t>art. 66 CLT — 11h</t>
        </is>
      </c>
      <c r="F104" s="190" t="inlineStr">
        <is>
          <t>REGISTRO</t>
        </is>
      </c>
      <c r="G104" s="39" t="n"/>
      <c r="H104" s="39" t="n"/>
      <c r="I104" s="39" t="n"/>
      <c r="J104" s="39" t="n"/>
      <c r="K104" s="39" t="n"/>
      <c r="L104" s="39" t="n"/>
      <c r="M104" s="39" t="n"/>
      <c r="N104" s="39" t="n"/>
    </row>
    <row r="105" ht="18.05" customHeight="1">
      <c r="A105" s="158" t="inlineStr">
        <is>
          <t>Amelio</t>
        </is>
      </c>
      <c r="B105" s="186" t="inlineStr">
        <is>
          <t>chefia</t>
        </is>
      </c>
      <c r="C105" s="187" t="inlineStr">
        <is>
          <t>15/01</t>
        </is>
      </c>
      <c r="D105" s="72" t="inlineStr">
        <is>
          <t>N 15/01 → T 16/01: 6h de descanso (soma 18h)</t>
        </is>
      </c>
      <c r="E105" s="186" t="inlineStr">
        <is>
          <t>art. 66 CLT — 11h</t>
        </is>
      </c>
      <c r="F105" s="190" t="inlineStr">
        <is>
          <t>REGISTRO</t>
        </is>
      </c>
      <c r="G105" s="39" t="n"/>
      <c r="H105" s="39" t="n"/>
      <c r="I105" s="39" t="n"/>
      <c r="J105" s="39" t="n"/>
      <c r="K105" s="39" t="n"/>
      <c r="L105" s="39" t="n"/>
      <c r="M105" s="39" t="n"/>
      <c r="N105" s="39" t="n"/>
    </row>
    <row r="106" ht="18.05" customHeight="1">
      <c r="A106" s="158" t="inlineStr">
        <is>
          <t>João</t>
        </is>
      </c>
      <c r="B106" s="186" t="inlineStr">
        <is>
          <t>30h</t>
        </is>
      </c>
      <c r="C106" s="187" t="inlineStr">
        <is>
          <t>20/01</t>
        </is>
      </c>
      <c r="D106" s="72" t="inlineStr">
        <is>
          <t>N 20/01 → T 21/01: 6h de descanso (soma 18h)</t>
        </is>
      </c>
      <c r="E106" s="186" t="inlineStr">
        <is>
          <t>art. 66 CLT — 11h</t>
        </is>
      </c>
      <c r="F106" s="190" t="inlineStr">
        <is>
          <t>REGISTRO</t>
        </is>
      </c>
      <c r="G106" s="39" t="n"/>
      <c r="H106" s="39" t="n"/>
      <c r="I106" s="39" t="n"/>
      <c r="J106" s="39" t="n"/>
      <c r="K106" s="39" t="n"/>
      <c r="L106" s="39" t="n"/>
      <c r="M106" s="39" t="n"/>
      <c r="N106" s="39" t="n"/>
    </row>
    <row r="107" ht="18.05" customHeight="1">
      <c r="A107" s="158" t="inlineStr">
        <is>
          <t>Pedro</t>
        </is>
      </c>
      <c r="B107" s="186" t="inlineStr">
        <is>
          <t>24h</t>
        </is>
      </c>
      <c r="C107" s="187" t="inlineStr">
        <is>
          <t>21/01</t>
        </is>
      </c>
      <c r="D107" s="72" t="inlineStr">
        <is>
          <t>N 21/01 → T 22/01: 6h de descanso (soma 18h)</t>
        </is>
      </c>
      <c r="E107" s="186" t="inlineStr">
        <is>
          <t>art. 66 CLT — 11h</t>
        </is>
      </c>
      <c r="F107" s="190" t="inlineStr">
        <is>
          <t>REGISTRO</t>
        </is>
      </c>
      <c r="G107" s="39" t="n"/>
      <c r="H107" s="39" t="n"/>
      <c r="I107" s="39" t="n"/>
      <c r="J107" s="39" t="n"/>
      <c r="K107" s="39" t="n"/>
      <c r="L107" s="39" t="n"/>
      <c r="M107" s="39" t="n"/>
      <c r="N107" s="39" t="n"/>
    </row>
    <row r="108" ht="18.05" customHeight="1">
      <c r="A108" s="158" t="inlineStr">
        <is>
          <t>Amelio</t>
        </is>
      </c>
      <c r="B108" s="186" t="inlineStr">
        <is>
          <t>chefia</t>
        </is>
      </c>
      <c r="C108" s="187" t="inlineStr">
        <is>
          <t>24/01</t>
        </is>
      </c>
      <c r="D108" s="72" t="inlineStr">
        <is>
          <t>N 24/01 → T 25/01: 6h de descanso (soma 18h)</t>
        </is>
      </c>
      <c r="E108" s="186" t="inlineStr">
        <is>
          <t>art. 66 CLT — 11h</t>
        </is>
      </c>
      <c r="F108" s="190" t="inlineStr">
        <is>
          <t>REGISTRO</t>
        </is>
      </c>
      <c r="G108" s="39" t="n"/>
      <c r="H108" s="39" t="n"/>
      <c r="I108" s="39" t="n"/>
      <c r="J108" s="39" t="n"/>
      <c r="K108" s="39" t="n"/>
      <c r="L108" s="39" t="n"/>
      <c r="M108" s="39" t="n"/>
      <c r="N108" s="39" t="n"/>
    </row>
    <row r="109" ht="18.05" customHeight="1">
      <c r="A109" s="158" t="inlineStr">
        <is>
          <t>Aline</t>
        </is>
      </c>
      <c r="B109" s="186" t="inlineStr">
        <is>
          <t>36h</t>
        </is>
      </c>
      <c r="C109" s="187" t="inlineStr">
        <is>
          <t>27/01</t>
        </is>
      </c>
      <c r="D109" s="72" t="inlineStr">
        <is>
          <t>N 27/01 → T 28/01: 6h de descanso (soma 18h)</t>
        </is>
      </c>
      <c r="E109" s="186" t="inlineStr">
        <is>
          <t>art. 66 CLT — 11h</t>
        </is>
      </c>
      <c r="F109" s="190" t="inlineStr">
        <is>
          <t>REGISTRO</t>
        </is>
      </c>
      <c r="G109" s="39" t="n"/>
      <c r="H109" s="39" t="n"/>
      <c r="I109" s="39" t="n"/>
      <c r="J109" s="39" t="n"/>
      <c r="K109" s="39" t="n"/>
      <c r="L109" s="39" t="n"/>
      <c r="M109" s="39" t="n"/>
      <c r="N109" s="39" t="n"/>
    </row>
    <row r="110" ht="18.05" customHeight="1">
      <c r="A110" s="158" t="inlineStr">
        <is>
          <t>João</t>
        </is>
      </c>
      <c r="B110" s="186" t="inlineStr">
        <is>
          <t>30h</t>
        </is>
      </c>
      <c r="C110" s="187" t="inlineStr">
        <is>
          <t>27/01</t>
        </is>
      </c>
      <c r="D110" s="72" t="inlineStr">
        <is>
          <t>N 27/01 → T 28/01: 6h de descanso (soma 18h)</t>
        </is>
      </c>
      <c r="E110" s="186" t="inlineStr">
        <is>
          <t>art. 66 CLT — 11h</t>
        </is>
      </c>
      <c r="F110" s="190" t="inlineStr">
        <is>
          <t>REGISTRO</t>
        </is>
      </c>
      <c r="G110" s="39" t="n"/>
      <c r="H110" s="39" t="n"/>
      <c r="I110" s="39" t="n"/>
      <c r="J110" s="39" t="n"/>
      <c r="K110" s="39" t="n"/>
      <c r="L110" s="39" t="n"/>
      <c r="M110" s="39" t="n"/>
      <c r="N110" s="39" t="n"/>
    </row>
    <row r="111" ht="18.05" customHeight="1">
      <c r="A111" s="158" t="inlineStr">
        <is>
          <t>LuAlice</t>
        </is>
      </c>
      <c r="B111" s="186" t="inlineStr">
        <is>
          <t>36h</t>
        </is>
      </c>
      <c r="C111" s="187" t="inlineStr">
        <is>
          <t>27/01</t>
        </is>
      </c>
      <c r="D111" s="72" t="inlineStr">
        <is>
          <t>N 27/01 → CRO 28/01: 6h de descanso (soma 18h)</t>
        </is>
      </c>
      <c r="E111" s="186" t="inlineStr">
        <is>
          <t>art. 66 CLT — 11h</t>
        </is>
      </c>
      <c r="F111" s="190" t="inlineStr">
        <is>
          <t>REGISTRO</t>
        </is>
      </c>
      <c r="G111" s="39" t="n"/>
      <c r="H111" s="39" t="n"/>
      <c r="I111" s="39" t="n"/>
      <c r="J111" s="39" t="n"/>
      <c r="K111" s="39" t="n"/>
      <c r="L111" s="39" t="n"/>
      <c r="M111" s="39" t="n"/>
      <c r="N111" s="39" t="n"/>
    </row>
    <row r="112" ht="18.05" customHeight="1">
      <c r="A112" s="158" t="inlineStr">
        <is>
          <t>Pedro</t>
        </is>
      </c>
      <c r="B112" s="186" t="inlineStr">
        <is>
          <t>24h</t>
        </is>
      </c>
      <c r="C112" s="187" t="inlineStr">
        <is>
          <t>28/01</t>
        </is>
      </c>
      <c r="D112" s="72" t="inlineStr">
        <is>
          <t>N 28/01 → T 29/01: 6h de descanso (soma 18h)</t>
        </is>
      </c>
      <c r="E112" s="186" t="inlineStr">
        <is>
          <t>art. 66 CLT — 11h</t>
        </is>
      </c>
      <c r="F112" s="190" t="inlineStr">
        <is>
          <t>REGISTRO</t>
        </is>
      </c>
      <c r="G112" s="39" t="n"/>
      <c r="H112" s="39" t="n"/>
      <c r="I112" s="39" t="n"/>
      <c r="J112" s="39" t="n"/>
      <c r="K112" s="39" t="n"/>
      <c r="L112" s="39" t="n"/>
      <c r="M112" s="39" t="n"/>
      <c r="N112" s="39" t="n"/>
    </row>
    <row r="113" ht="18.05" customHeight="1">
      <c r="A113" s="158" t="inlineStr">
        <is>
          <t>Amelio</t>
        </is>
      </c>
      <c r="B113" s="186" t="inlineStr">
        <is>
          <t>chefia</t>
        </is>
      </c>
      <c r="C113" s="187" t="inlineStr">
        <is>
          <t>30/01</t>
        </is>
      </c>
      <c r="D113" s="72" t="inlineStr">
        <is>
          <t>N 30/01 → T 31/01: 6h de descanso (soma 18h)</t>
        </is>
      </c>
      <c r="E113" s="186" t="inlineStr">
        <is>
          <t>art. 66 CLT — 11h</t>
        </is>
      </c>
      <c r="F113" s="190" t="inlineStr">
        <is>
          <t>REGISTRO</t>
        </is>
      </c>
      <c r="G113" s="39" t="n"/>
      <c r="H113" s="39" t="n"/>
      <c r="I113" s="39" t="n"/>
      <c r="J113" s="39" t="n"/>
      <c r="K113" s="39" t="n"/>
      <c r="L113" s="39" t="n"/>
      <c r="M113" s="39" t="n"/>
      <c r="N113" s="39" t="n"/>
    </row>
    <row r="114" ht="18.05" customHeight="1">
      <c r="A114" s="158" t="inlineStr">
        <is>
          <t>Raphael</t>
        </is>
      </c>
      <c r="B114" s="186" t="inlineStr">
        <is>
          <t>24h</t>
        </is>
      </c>
      <c r="C114" s="187" t="inlineStr">
        <is>
          <t>02/02</t>
        </is>
      </c>
      <c r="D114" s="72" t="inlineStr">
        <is>
          <t>N 02/02 → T 03/02: 6h de descanso (soma 18h)</t>
        </is>
      </c>
      <c r="E114" s="186" t="inlineStr">
        <is>
          <t>art. 66 CLT — 11h</t>
        </is>
      </c>
      <c r="F114" s="190" t="inlineStr">
        <is>
          <t>REGISTRO</t>
        </is>
      </c>
      <c r="G114" s="39" t="n"/>
      <c r="H114" s="39" t="n"/>
      <c r="I114" s="39" t="n"/>
      <c r="J114" s="39" t="n"/>
      <c r="K114" s="39" t="n"/>
      <c r="L114" s="39" t="n"/>
      <c r="M114" s="39" t="n"/>
      <c r="N114" s="39" t="n"/>
    </row>
    <row r="115" ht="18.05" customHeight="1">
      <c r="A115" s="158" t="inlineStr">
        <is>
          <t>João</t>
        </is>
      </c>
      <c r="B115" s="186" t="inlineStr">
        <is>
          <t>30h</t>
        </is>
      </c>
      <c r="C115" s="187" t="inlineStr">
        <is>
          <t>03/02</t>
        </is>
      </c>
      <c r="D115" s="72" t="inlineStr">
        <is>
          <t>N 03/02 → T 04/02: 6h de descanso (soma 18h)</t>
        </is>
      </c>
      <c r="E115" s="186" t="inlineStr">
        <is>
          <t>art. 66 CLT — 11h</t>
        </is>
      </c>
      <c r="F115" s="190" t="inlineStr">
        <is>
          <t>REGISTRO</t>
        </is>
      </c>
      <c r="G115" s="39" t="n"/>
      <c r="H115" s="39" t="n"/>
      <c r="I115" s="39" t="n"/>
      <c r="J115" s="39" t="n"/>
      <c r="K115" s="39" t="n"/>
      <c r="L115" s="39" t="n"/>
      <c r="M115" s="39" t="n"/>
      <c r="N115" s="39" t="n"/>
    </row>
    <row r="116" ht="18.05" customHeight="1">
      <c r="A116" s="158" t="inlineStr">
        <is>
          <t>Pedro</t>
        </is>
      </c>
      <c r="B116" s="186" t="inlineStr">
        <is>
          <t>24h</t>
        </is>
      </c>
      <c r="C116" s="187" t="inlineStr">
        <is>
          <t>04/02</t>
        </is>
      </c>
      <c r="D116" s="72" t="inlineStr">
        <is>
          <t>N 04/02 → T 05/02: 6h de descanso (soma 18h)</t>
        </is>
      </c>
      <c r="E116" s="186" t="inlineStr">
        <is>
          <t>art. 66 CLT — 11h</t>
        </is>
      </c>
      <c r="F116" s="190" t="inlineStr">
        <is>
          <t>REGISTRO</t>
        </is>
      </c>
      <c r="G116" s="39" t="n"/>
      <c r="H116" s="39" t="n"/>
      <c r="I116" s="39" t="n"/>
      <c r="J116" s="39" t="n"/>
      <c r="K116" s="39" t="n"/>
      <c r="L116" s="39" t="n"/>
      <c r="M116" s="39" t="n"/>
      <c r="N116" s="39" t="n"/>
    </row>
    <row r="117" ht="18.05" customHeight="1">
      <c r="A117" s="158" t="inlineStr">
        <is>
          <t>Isabella</t>
        </is>
      </c>
      <c r="B117" s="186" t="inlineStr">
        <is>
          <t>36h</t>
        </is>
      </c>
      <c r="C117" s="187" t="inlineStr">
        <is>
          <t>05/02</t>
        </is>
      </c>
      <c r="D117" s="72" t="inlineStr">
        <is>
          <t>N 05/02 → T 06/02: 6h de descanso (soma 18h)</t>
        </is>
      </c>
      <c r="E117" s="186" t="inlineStr">
        <is>
          <t>art. 66 CLT — 11h</t>
        </is>
      </c>
      <c r="F117" s="190" t="inlineStr">
        <is>
          <t>REGISTRO</t>
        </is>
      </c>
      <c r="G117" s="39" t="n"/>
      <c r="H117" s="39" t="n"/>
      <c r="I117" s="39" t="n"/>
      <c r="J117" s="39" t="n"/>
      <c r="K117" s="39" t="n"/>
      <c r="L117" s="39" t="n"/>
      <c r="M117" s="39" t="n"/>
      <c r="N117" s="39" t="n"/>
    </row>
    <row r="118" ht="18.05" customHeight="1">
      <c r="A118" s="158" t="inlineStr">
        <is>
          <t>MPinheiro</t>
        </is>
      </c>
      <c r="B118" s="186" t="inlineStr">
        <is>
          <t>administrativo</t>
        </is>
      </c>
      <c r="C118" s="187" t="inlineStr">
        <is>
          <t>05/02</t>
        </is>
      </c>
      <c r="D118" s="72" t="inlineStr">
        <is>
          <t>N 05/02 → T 06/02: 6h de descanso (soma 18h)</t>
        </is>
      </c>
      <c r="E118" s="186" t="inlineStr">
        <is>
          <t>art. 66 CLT — 11h</t>
        </is>
      </c>
      <c r="F118" s="190" t="inlineStr">
        <is>
          <t>REGISTRO</t>
        </is>
      </c>
      <c r="G118" s="39" t="n"/>
      <c r="H118" s="39" t="n"/>
      <c r="I118" s="39" t="n"/>
      <c r="J118" s="39" t="n"/>
      <c r="K118" s="39" t="n"/>
      <c r="L118" s="39" t="n"/>
      <c r="M118" s="39" t="n"/>
      <c r="N118" s="39" t="n"/>
    </row>
    <row r="119" ht="18.05" customHeight="1">
      <c r="A119" s="158" t="inlineStr">
        <is>
          <t>Aline</t>
        </is>
      </c>
      <c r="B119" s="186" t="inlineStr">
        <is>
          <t>36h</t>
        </is>
      </c>
      <c r="C119" s="187" t="inlineStr">
        <is>
          <t>09/02</t>
        </is>
      </c>
      <c r="D119" s="72" t="inlineStr">
        <is>
          <t>N 09/02 → T 10/02: 6h de descanso (soma 18h)</t>
        </is>
      </c>
      <c r="E119" s="186" t="inlineStr">
        <is>
          <t>art. 66 CLT — 11h</t>
        </is>
      </c>
      <c r="F119" s="190" t="inlineStr">
        <is>
          <t>REGISTRO</t>
        </is>
      </c>
      <c r="G119" s="39" t="n"/>
      <c r="H119" s="39" t="n"/>
      <c r="I119" s="39" t="n"/>
      <c r="J119" s="39" t="n"/>
      <c r="K119" s="39" t="n"/>
      <c r="L119" s="39" t="n"/>
      <c r="M119" s="39" t="n"/>
      <c r="N119" s="39" t="n"/>
    </row>
    <row r="120" ht="18.05" customHeight="1">
      <c r="A120" s="158" t="inlineStr">
        <is>
          <t>Raphael</t>
        </is>
      </c>
      <c r="B120" s="186" t="inlineStr">
        <is>
          <t>24h</t>
        </is>
      </c>
      <c r="C120" s="187" t="inlineStr">
        <is>
          <t>09/02</t>
        </is>
      </c>
      <c r="D120" s="72" t="inlineStr">
        <is>
          <t>N 09/02 → T 10/02: 6h de descanso (soma 18h)</t>
        </is>
      </c>
      <c r="E120" s="186" t="inlineStr">
        <is>
          <t>art. 66 CLT — 11h</t>
        </is>
      </c>
      <c r="F120" s="190" t="inlineStr">
        <is>
          <t>REGISTRO</t>
        </is>
      </c>
      <c r="G120" s="39" t="n"/>
      <c r="H120" s="39" t="n"/>
      <c r="I120" s="39" t="n"/>
      <c r="J120" s="39" t="n"/>
      <c r="K120" s="39" t="n"/>
      <c r="L120" s="39" t="n"/>
      <c r="M120" s="39" t="n"/>
      <c r="N120" s="39" t="n"/>
    </row>
    <row r="121" ht="18.05" customHeight="1">
      <c r="A121" s="158" t="inlineStr">
        <is>
          <t>João</t>
        </is>
      </c>
      <c r="B121" s="186" t="inlineStr">
        <is>
          <t>30h</t>
        </is>
      </c>
      <c r="C121" s="187" t="inlineStr">
        <is>
          <t>10/02</t>
        </is>
      </c>
      <c r="D121" s="72" t="inlineStr">
        <is>
          <t>N 10/02 → T 11/02: 6h de descanso (soma 18h)</t>
        </is>
      </c>
      <c r="E121" s="186" t="inlineStr">
        <is>
          <t>art. 66 CLT — 11h</t>
        </is>
      </c>
      <c r="F121" s="190" t="inlineStr">
        <is>
          <t>REGISTRO</t>
        </is>
      </c>
      <c r="G121" s="39" t="n"/>
      <c r="H121" s="39" t="n"/>
      <c r="I121" s="39" t="n"/>
      <c r="J121" s="39" t="n"/>
      <c r="K121" s="39" t="n"/>
      <c r="L121" s="39" t="n"/>
      <c r="M121" s="39" t="n"/>
      <c r="N121" s="39" t="n"/>
    </row>
    <row r="122" ht="18.05" customHeight="1">
      <c r="A122" s="158" t="inlineStr">
        <is>
          <t>Pedro</t>
        </is>
      </c>
      <c r="B122" s="186" t="inlineStr">
        <is>
          <t>24h</t>
        </is>
      </c>
      <c r="C122" s="187" t="inlineStr">
        <is>
          <t>11/02</t>
        </is>
      </c>
      <c r="D122" s="72" t="inlineStr">
        <is>
          <t>N 11/02 → T 12/02: 6h de descanso (soma 18h)</t>
        </is>
      </c>
      <c r="E122" s="186" t="inlineStr">
        <is>
          <t>art. 66 CLT — 11h</t>
        </is>
      </c>
      <c r="F122" s="190" t="inlineStr">
        <is>
          <t>REGISTRO</t>
        </is>
      </c>
      <c r="G122" s="39" t="n"/>
      <c r="H122" s="39" t="n"/>
      <c r="I122" s="39" t="n"/>
      <c r="J122" s="39" t="n"/>
      <c r="K122" s="39" t="n"/>
      <c r="L122" s="39" t="n"/>
      <c r="M122" s="39" t="n"/>
      <c r="N122" s="39" t="n"/>
    </row>
    <row r="123" ht="18.05" customHeight="1">
      <c r="A123" s="158" t="inlineStr">
        <is>
          <t>Raphael</t>
        </is>
      </c>
      <c r="B123" s="186" t="inlineStr">
        <is>
          <t>24h</t>
        </is>
      </c>
      <c r="C123" s="187" t="inlineStr">
        <is>
          <t>11/02</t>
        </is>
      </c>
      <c r="D123" s="72" t="inlineStr">
        <is>
          <t>N 11/02 → T 12/02: 6h de descanso (soma 18h)</t>
        </is>
      </c>
      <c r="E123" s="186" t="inlineStr">
        <is>
          <t>art. 66 CLT — 11h</t>
        </is>
      </c>
      <c r="F123" s="190" t="inlineStr">
        <is>
          <t>REGISTRO</t>
        </is>
      </c>
      <c r="G123" s="39" t="n"/>
      <c r="H123" s="39" t="n"/>
      <c r="I123" s="39" t="n"/>
      <c r="J123" s="39" t="n"/>
      <c r="K123" s="39" t="n"/>
      <c r="L123" s="39" t="n"/>
      <c r="M123" s="39" t="n"/>
      <c r="N123" s="39" t="n"/>
    </row>
    <row r="124" ht="18.05" customHeight="1">
      <c r="A124" s="158" t="inlineStr">
        <is>
          <t>João</t>
        </is>
      </c>
      <c r="B124" s="186" t="inlineStr">
        <is>
          <t>30h</t>
        </is>
      </c>
      <c r="C124" s="187" t="inlineStr">
        <is>
          <t>18/02</t>
        </is>
      </c>
      <c r="D124" s="72" t="inlineStr">
        <is>
          <t>N 18/02 → T 19/02: 6h de descanso (soma 18h)</t>
        </is>
      </c>
      <c r="E124" s="186" t="inlineStr">
        <is>
          <t>art. 66 CLT — 11h</t>
        </is>
      </c>
      <c r="F124" s="190" t="inlineStr">
        <is>
          <t>REGISTRO</t>
        </is>
      </c>
      <c r="G124" s="39" t="n"/>
      <c r="H124" s="39" t="n"/>
      <c r="I124" s="39" t="n"/>
      <c r="J124" s="39" t="n"/>
      <c r="K124" s="39" t="n"/>
      <c r="L124" s="39" t="n"/>
      <c r="M124" s="39" t="n"/>
      <c r="N124" s="39" t="n"/>
    </row>
    <row r="125" ht="18.05" customHeight="1">
      <c r="A125" s="158" t="inlineStr">
        <is>
          <t>Isabella</t>
        </is>
      </c>
      <c r="B125" s="186" t="inlineStr">
        <is>
          <t>36h</t>
        </is>
      </c>
      <c r="C125" s="187" t="inlineStr">
        <is>
          <t>22/02</t>
        </is>
      </c>
      <c r="D125" s="72" t="inlineStr">
        <is>
          <t>N 22/02 → T 23/02: 6h de descanso (soma 18h)</t>
        </is>
      </c>
      <c r="E125" s="186" t="inlineStr">
        <is>
          <t>art. 66 CLT — 11h</t>
        </is>
      </c>
      <c r="F125" s="190" t="inlineStr">
        <is>
          <t>REGISTRO</t>
        </is>
      </c>
      <c r="G125" s="39" t="n"/>
      <c r="H125" s="39" t="n"/>
      <c r="I125" s="39" t="n"/>
      <c r="J125" s="39" t="n"/>
      <c r="K125" s="39" t="n"/>
      <c r="L125" s="39" t="n"/>
      <c r="M125" s="39" t="n"/>
      <c r="N125" s="39" t="n"/>
    </row>
    <row r="126" ht="18.05" customHeight="1">
      <c r="A126" s="158" t="inlineStr">
        <is>
          <t>Raphael</t>
        </is>
      </c>
      <c r="B126" s="186" t="inlineStr">
        <is>
          <t>24h</t>
        </is>
      </c>
      <c r="C126" s="187" t="inlineStr">
        <is>
          <t>23/02</t>
        </is>
      </c>
      <c r="D126" s="72" t="inlineStr">
        <is>
          <t>N 23/02 → T 24/02: 6h de descanso (soma 18h)</t>
        </is>
      </c>
      <c r="E126" s="186" t="inlineStr">
        <is>
          <t>art. 66 CLT — 11h</t>
        </is>
      </c>
      <c r="F126" s="190" t="inlineStr">
        <is>
          <t>REGISTRO</t>
        </is>
      </c>
      <c r="G126" s="39" t="n"/>
      <c r="H126" s="39" t="n"/>
      <c r="I126" s="39" t="n"/>
      <c r="J126" s="39" t="n"/>
      <c r="K126" s="39" t="n"/>
      <c r="L126" s="39" t="n"/>
      <c r="M126" s="39" t="n"/>
      <c r="N126" s="39" t="n"/>
    </row>
    <row r="127" ht="18.05" customHeight="1">
      <c r="A127" s="158" t="inlineStr">
        <is>
          <t>João</t>
        </is>
      </c>
      <c r="B127" s="186" t="inlineStr">
        <is>
          <t>30h</t>
        </is>
      </c>
      <c r="C127" s="187" t="inlineStr">
        <is>
          <t>24/02</t>
        </is>
      </c>
      <c r="D127" s="72" t="inlineStr">
        <is>
          <t>N 24/02 → T 25/02: 6h de descanso (soma 18h)</t>
        </is>
      </c>
      <c r="E127" s="186" t="inlineStr">
        <is>
          <t>art. 66 CLT — 11h</t>
        </is>
      </c>
      <c r="F127" s="190" t="inlineStr">
        <is>
          <t>REGISTRO</t>
        </is>
      </c>
      <c r="G127" s="39" t="n"/>
      <c r="H127" s="39" t="n"/>
      <c r="I127" s="39" t="n"/>
      <c r="J127" s="39" t="n"/>
      <c r="K127" s="39" t="n"/>
      <c r="L127" s="39" t="n"/>
      <c r="M127" s="39" t="n"/>
      <c r="N127" s="39" t="n"/>
    </row>
    <row r="128" ht="18.05" customHeight="1">
      <c r="A128" s="158" t="inlineStr">
        <is>
          <t>Roberta</t>
        </is>
      </c>
      <c r="B128" s="186" t="inlineStr">
        <is>
          <t>36h</t>
        </is>
      </c>
      <c r="C128" s="187" t="inlineStr">
        <is>
          <t>01/03</t>
        </is>
      </c>
      <c r="D128" s="72" t="inlineStr">
        <is>
          <t>N 01/03 → T 02/03: 6h de descanso (soma 18h)</t>
        </is>
      </c>
      <c r="E128" s="186" t="inlineStr">
        <is>
          <t>art. 66 CLT — 11h</t>
        </is>
      </c>
      <c r="F128" s="190" t="inlineStr">
        <is>
          <t>REGISTRO</t>
        </is>
      </c>
      <c r="G128" s="39" t="n"/>
      <c r="H128" s="39" t="n"/>
      <c r="I128" s="39" t="n"/>
      <c r="J128" s="39" t="n"/>
      <c r="K128" s="39" t="n"/>
      <c r="L128" s="39" t="n"/>
      <c r="M128" s="39" t="n"/>
      <c r="N128" s="39" t="n"/>
    </row>
    <row r="129" ht="18.05" customHeight="1">
      <c r="A129" s="158" t="inlineStr">
        <is>
          <t>JuBrito</t>
        </is>
      </c>
      <c r="B129" s="186" t="inlineStr">
        <is>
          <t>30h</t>
        </is>
      </c>
      <c r="C129" s="187" t="inlineStr">
        <is>
          <t>02/03</t>
        </is>
      </c>
      <c r="D129" s="72" t="inlineStr">
        <is>
          <t>N 02/03 → T 03/03: 6h de descanso (soma 18h)</t>
        </is>
      </c>
      <c r="E129" s="186" t="inlineStr">
        <is>
          <t>art. 66 CLT — 11h</t>
        </is>
      </c>
      <c r="F129" s="190" t="inlineStr">
        <is>
          <t>REGISTRO</t>
        </is>
      </c>
      <c r="G129" s="39" t="n"/>
      <c r="H129" s="39" t="n"/>
      <c r="I129" s="39" t="n"/>
      <c r="J129" s="39" t="n"/>
      <c r="K129" s="39" t="n"/>
      <c r="L129" s="39" t="n"/>
      <c r="M129" s="39" t="n"/>
      <c r="N129" s="39" t="n"/>
    </row>
    <row r="130" ht="18.05" customHeight="1">
      <c r="A130" s="158" t="inlineStr">
        <is>
          <t>João</t>
        </is>
      </c>
      <c r="B130" s="186" t="inlineStr">
        <is>
          <t>30h</t>
        </is>
      </c>
      <c r="C130" s="187" t="inlineStr">
        <is>
          <t>03/03</t>
        </is>
      </c>
      <c r="D130" s="72" t="inlineStr">
        <is>
          <t>N 03/03 → T 04/03: 6h de descanso (soma 18h)</t>
        </is>
      </c>
      <c r="E130" s="186" t="inlineStr">
        <is>
          <t>art. 66 CLT — 11h</t>
        </is>
      </c>
      <c r="F130" s="190" t="inlineStr">
        <is>
          <t>REGISTRO</t>
        </is>
      </c>
      <c r="G130" s="39" t="n"/>
      <c r="H130" s="39" t="n"/>
      <c r="I130" s="39" t="n"/>
      <c r="J130" s="39" t="n"/>
      <c r="K130" s="39" t="n"/>
      <c r="L130" s="39" t="n"/>
      <c r="M130" s="39" t="n"/>
      <c r="N130" s="39" t="n"/>
    </row>
    <row r="131" ht="18.05" customHeight="1">
      <c r="A131" s="158" t="inlineStr">
        <is>
          <t>JuCoutinho</t>
        </is>
      </c>
      <c r="B131" s="186" t="inlineStr">
        <is>
          <t>30h</t>
        </is>
      </c>
      <c r="C131" s="187" t="inlineStr">
        <is>
          <t>03/03</t>
        </is>
      </c>
      <c r="D131" s="72" t="inlineStr">
        <is>
          <t>N 03/03 → T 04/03: 6h de descanso (soma 18h)</t>
        </is>
      </c>
      <c r="E131" s="186" t="inlineStr">
        <is>
          <t>art. 66 CLT — 11h</t>
        </is>
      </c>
      <c r="F131" s="190" t="inlineStr">
        <is>
          <t>REGISTRO</t>
        </is>
      </c>
      <c r="G131" s="39" t="n"/>
      <c r="H131" s="39" t="n"/>
      <c r="I131" s="39" t="n"/>
      <c r="J131" s="39" t="n"/>
      <c r="K131" s="39" t="n"/>
      <c r="L131" s="39" t="n"/>
      <c r="M131" s="39" t="n"/>
      <c r="N131" s="39" t="n"/>
    </row>
    <row r="132" ht="18.05" customHeight="1">
      <c r="A132" s="158" t="inlineStr">
        <is>
          <t>Pedro</t>
        </is>
      </c>
      <c r="B132" s="186" t="inlineStr">
        <is>
          <t>24h</t>
        </is>
      </c>
      <c r="C132" s="187" t="inlineStr">
        <is>
          <t>07/03</t>
        </is>
      </c>
      <c r="D132" s="72" t="inlineStr">
        <is>
          <t>N 07/03 → T 08/03: 6h de descanso (soma 18h)</t>
        </is>
      </c>
      <c r="E132" s="186" t="inlineStr">
        <is>
          <t>art. 66 CLT — 11h</t>
        </is>
      </c>
      <c r="F132" s="190" t="inlineStr">
        <is>
          <t>REGISTRO</t>
        </is>
      </c>
      <c r="G132" s="39" t="n"/>
      <c r="H132" s="39" t="n"/>
      <c r="I132" s="39" t="n"/>
      <c r="J132" s="39" t="n"/>
      <c r="K132" s="39" t="n"/>
      <c r="L132" s="39" t="n"/>
      <c r="M132" s="39" t="n"/>
      <c r="N132" s="39" t="n"/>
    </row>
    <row r="133" ht="18.05" customHeight="1">
      <c r="A133" s="158" t="inlineStr">
        <is>
          <t>João</t>
        </is>
      </c>
      <c r="B133" s="186" t="inlineStr">
        <is>
          <t>30h</t>
        </is>
      </c>
      <c r="C133" s="187" t="inlineStr">
        <is>
          <t>10/03</t>
        </is>
      </c>
      <c r="D133" s="72" t="inlineStr">
        <is>
          <t>N 10/03 → T 11/03: 6h de descanso (soma 18h)</t>
        </is>
      </c>
      <c r="E133" s="186" t="inlineStr">
        <is>
          <t>art. 66 CLT — 11h</t>
        </is>
      </c>
      <c r="F133" s="190" t="inlineStr">
        <is>
          <t>REGISTRO</t>
        </is>
      </c>
      <c r="G133" s="39" t="n"/>
      <c r="H133" s="39" t="n"/>
      <c r="I133" s="39" t="n"/>
      <c r="J133" s="39" t="n"/>
      <c r="K133" s="39" t="n"/>
      <c r="L133" s="39" t="n"/>
      <c r="M133" s="39" t="n"/>
      <c r="N133" s="39" t="n"/>
    </row>
    <row r="134" ht="18.05" customHeight="1">
      <c r="A134" s="158" t="inlineStr">
        <is>
          <t>Pedro</t>
        </is>
      </c>
      <c r="B134" s="186" t="inlineStr">
        <is>
          <t>24h</t>
        </is>
      </c>
      <c r="C134" s="187" t="inlineStr">
        <is>
          <t>11/03</t>
        </is>
      </c>
      <c r="D134" s="72" t="inlineStr">
        <is>
          <t>N 11/03 → T 12/03: 6h de descanso (soma 18h)</t>
        </is>
      </c>
      <c r="E134" s="186" t="inlineStr">
        <is>
          <t>art. 66 CLT — 11h</t>
        </is>
      </c>
      <c r="F134" s="190" t="inlineStr">
        <is>
          <t>REGISTRO</t>
        </is>
      </c>
      <c r="G134" s="39" t="n"/>
      <c r="H134" s="39" t="n"/>
      <c r="I134" s="39" t="n"/>
      <c r="J134" s="39" t="n"/>
      <c r="K134" s="39" t="n"/>
      <c r="L134" s="39" t="n"/>
      <c r="M134" s="39" t="n"/>
      <c r="N134" s="39" t="n"/>
    </row>
    <row r="135" ht="18.05" customHeight="1">
      <c r="A135" s="158" t="inlineStr">
        <is>
          <t>Vanessa</t>
        </is>
      </c>
      <c r="B135" s="186" t="inlineStr">
        <is>
          <t>24h</t>
        </is>
      </c>
      <c r="C135" s="187" t="inlineStr">
        <is>
          <t>13/03</t>
        </is>
      </c>
      <c r="D135" s="72" t="inlineStr">
        <is>
          <t>N 13/03 → T 14/03: 6h de descanso (soma 18h)</t>
        </is>
      </c>
      <c r="E135" s="186" t="inlineStr">
        <is>
          <t>art. 66 CLT — 11h</t>
        </is>
      </c>
      <c r="F135" s="190" t="inlineStr">
        <is>
          <t>REGISTRO</t>
        </is>
      </c>
      <c r="G135" s="39" t="n"/>
      <c r="H135" s="39" t="n"/>
      <c r="I135" s="39" t="n"/>
      <c r="J135" s="39" t="n"/>
      <c r="K135" s="39" t="n"/>
      <c r="L135" s="39" t="n"/>
      <c r="M135" s="39" t="n"/>
      <c r="N135" s="39" t="n"/>
    </row>
    <row r="136" ht="18.05" customHeight="1">
      <c r="A136" s="158" t="inlineStr">
        <is>
          <t>Raphael</t>
        </is>
      </c>
      <c r="B136" s="186" t="inlineStr">
        <is>
          <t>24h</t>
        </is>
      </c>
      <c r="C136" s="187" t="inlineStr">
        <is>
          <t>16/03</t>
        </is>
      </c>
      <c r="D136" s="72" t="inlineStr">
        <is>
          <t>N 16/03 → T 17/03: 6h de descanso (soma 18h)</t>
        </is>
      </c>
      <c r="E136" s="186" t="inlineStr">
        <is>
          <t>art. 66 CLT — 11h</t>
        </is>
      </c>
      <c r="F136" s="190" t="inlineStr">
        <is>
          <t>REGISTRO</t>
        </is>
      </c>
      <c r="G136" s="39" t="n"/>
      <c r="H136" s="39" t="n"/>
      <c r="I136" s="39" t="n"/>
      <c r="J136" s="39" t="n"/>
      <c r="K136" s="39" t="n"/>
      <c r="L136" s="39" t="n"/>
      <c r="M136" s="39" t="n"/>
      <c r="N136" s="39" t="n"/>
    </row>
    <row r="137" ht="18.05" customHeight="1">
      <c r="A137" s="158" t="inlineStr">
        <is>
          <t>JuCoutinho</t>
        </is>
      </c>
      <c r="B137" s="186" t="inlineStr">
        <is>
          <t>30h</t>
        </is>
      </c>
      <c r="C137" s="187" t="inlineStr">
        <is>
          <t>17/03</t>
        </is>
      </c>
      <c r="D137" s="72" t="inlineStr">
        <is>
          <t>N 17/03 → T 18/03: 6h de descanso (soma 18h)</t>
        </is>
      </c>
      <c r="E137" s="186" t="inlineStr">
        <is>
          <t>art. 66 CLT — 11h</t>
        </is>
      </c>
      <c r="F137" s="190" t="inlineStr">
        <is>
          <t>REGISTRO</t>
        </is>
      </c>
      <c r="G137" s="39" t="n"/>
      <c r="H137" s="39" t="n"/>
      <c r="I137" s="39" t="n"/>
      <c r="J137" s="39" t="n"/>
      <c r="K137" s="39" t="n"/>
      <c r="L137" s="39" t="n"/>
      <c r="M137" s="39" t="n"/>
      <c r="N137" s="39" t="n"/>
    </row>
    <row r="138" ht="18.05" customHeight="1">
      <c r="A138" s="158" t="inlineStr">
        <is>
          <t>Pedro</t>
        </is>
      </c>
      <c r="B138" s="186" t="inlineStr">
        <is>
          <t>24h</t>
        </is>
      </c>
      <c r="C138" s="187" t="inlineStr">
        <is>
          <t>18/03</t>
        </is>
      </c>
      <c r="D138" s="72" t="inlineStr">
        <is>
          <t>N 18/03 → T 19/03: 6h de descanso (soma 18h)</t>
        </is>
      </c>
      <c r="E138" s="186" t="inlineStr">
        <is>
          <t>art. 66 CLT — 11h</t>
        </is>
      </c>
      <c r="F138" s="190" t="inlineStr">
        <is>
          <t>REGISTRO</t>
        </is>
      </c>
      <c r="G138" s="39" t="n"/>
      <c r="H138" s="39" t="n"/>
      <c r="I138" s="39" t="n"/>
      <c r="J138" s="39" t="n"/>
      <c r="K138" s="39" t="n"/>
      <c r="L138" s="39" t="n"/>
      <c r="M138" s="39" t="n"/>
      <c r="N138" s="39" t="n"/>
    </row>
    <row r="139" ht="18.05" customHeight="1">
      <c r="A139" s="158" t="inlineStr">
        <is>
          <t>MPinheiro</t>
        </is>
      </c>
      <c r="B139" s="186" t="inlineStr">
        <is>
          <t>administrativo</t>
        </is>
      </c>
      <c r="C139" s="187" t="inlineStr">
        <is>
          <t>19/03</t>
        </is>
      </c>
      <c r="D139" s="72" t="inlineStr">
        <is>
          <t>N 19/03 → T 20/03: 6h de descanso (soma 18h)</t>
        </is>
      </c>
      <c r="E139" s="186" t="inlineStr">
        <is>
          <t>art. 66 CLT — 11h</t>
        </is>
      </c>
      <c r="F139" s="190" t="inlineStr">
        <is>
          <t>REGISTRO</t>
        </is>
      </c>
      <c r="G139" s="39" t="n"/>
      <c r="H139" s="39" t="n"/>
      <c r="I139" s="39" t="n"/>
      <c r="J139" s="39" t="n"/>
      <c r="K139" s="39" t="n"/>
      <c r="L139" s="39" t="n"/>
      <c r="M139" s="39" t="n"/>
      <c r="N139" s="39" t="n"/>
    </row>
    <row r="140" ht="18.05" customHeight="1">
      <c r="A140" s="158" t="inlineStr">
        <is>
          <t>Rosana</t>
        </is>
      </c>
      <c r="B140" s="186" t="inlineStr">
        <is>
          <t>30h</t>
        </is>
      </c>
      <c r="C140" s="187" t="inlineStr">
        <is>
          <t>22/03</t>
        </is>
      </c>
      <c r="D140" s="72" t="inlineStr">
        <is>
          <t>N 22/03 → T 23/03: 6h de descanso (soma 18h)</t>
        </is>
      </c>
      <c r="E140" s="186" t="inlineStr">
        <is>
          <t>art. 66 CLT — 11h</t>
        </is>
      </c>
      <c r="F140" s="190" t="inlineStr">
        <is>
          <t>REGISTRO</t>
        </is>
      </c>
      <c r="G140" s="39" t="n"/>
      <c r="H140" s="39" t="n"/>
      <c r="I140" s="39" t="n"/>
      <c r="J140" s="39" t="n"/>
      <c r="K140" s="39" t="n"/>
      <c r="L140" s="39" t="n"/>
      <c r="M140" s="39" t="n"/>
      <c r="N140" s="39" t="n"/>
    </row>
    <row r="141" ht="18.05" customHeight="1">
      <c r="A141" s="158" t="inlineStr">
        <is>
          <t>Vanessa</t>
        </is>
      </c>
      <c r="B141" s="186" t="inlineStr">
        <is>
          <t>24h</t>
        </is>
      </c>
      <c r="C141" s="187" t="inlineStr">
        <is>
          <t>22/03</t>
        </is>
      </c>
      <c r="D141" s="72" t="inlineStr">
        <is>
          <t>N 22/03 → T 23/03: 6h de descanso (soma 18h)</t>
        </is>
      </c>
      <c r="E141" s="186" t="inlineStr">
        <is>
          <t>art. 66 CLT — 11h</t>
        </is>
      </c>
      <c r="F141" s="190" t="inlineStr">
        <is>
          <t>REGISTRO</t>
        </is>
      </c>
      <c r="G141" s="39" t="n"/>
      <c r="H141" s="39" t="n"/>
      <c r="I141" s="39" t="n"/>
      <c r="J141" s="39" t="n"/>
      <c r="K141" s="39" t="n"/>
      <c r="L141" s="39" t="n"/>
      <c r="M141" s="39" t="n"/>
      <c r="N141" s="39" t="n"/>
    </row>
    <row r="142" ht="18.05" customHeight="1">
      <c r="A142" s="158" t="inlineStr">
        <is>
          <t>Raphael</t>
        </is>
      </c>
      <c r="B142" s="186" t="inlineStr">
        <is>
          <t>24h</t>
        </is>
      </c>
      <c r="C142" s="187" t="inlineStr">
        <is>
          <t>23/03</t>
        </is>
      </c>
      <c r="D142" s="72" t="inlineStr">
        <is>
          <t>N 23/03 → T 24/03: 6h de descanso (soma 18h)</t>
        </is>
      </c>
      <c r="E142" s="186" t="inlineStr">
        <is>
          <t>art. 66 CLT — 11h</t>
        </is>
      </c>
      <c r="F142" s="190" t="inlineStr">
        <is>
          <t>REGISTRO</t>
        </is>
      </c>
      <c r="G142" s="39" t="n"/>
      <c r="H142" s="39" t="n"/>
      <c r="I142" s="39" t="n"/>
      <c r="J142" s="39" t="n"/>
      <c r="K142" s="39" t="n"/>
      <c r="L142" s="39" t="n"/>
      <c r="M142" s="39" t="n"/>
      <c r="N142" s="39" t="n"/>
    </row>
    <row r="143" ht="18.05" customHeight="1">
      <c r="A143" s="158" t="inlineStr">
        <is>
          <t>Pedro</t>
        </is>
      </c>
      <c r="B143" s="186" t="inlineStr">
        <is>
          <t>24h</t>
        </is>
      </c>
      <c r="C143" s="187" t="inlineStr">
        <is>
          <t>25/03</t>
        </is>
      </c>
      <c r="D143" s="72" t="inlineStr">
        <is>
          <t>N 25/03 → T 26/03: 6h de descanso (soma 18h)</t>
        </is>
      </c>
      <c r="E143" s="186" t="inlineStr">
        <is>
          <t>art. 66 CLT — 11h</t>
        </is>
      </c>
      <c r="F143" s="190" t="inlineStr">
        <is>
          <t>REGISTRO</t>
        </is>
      </c>
      <c r="G143" s="39" t="n"/>
      <c r="H143" s="39" t="n"/>
      <c r="I143" s="39" t="n"/>
      <c r="J143" s="39" t="n"/>
      <c r="K143" s="39" t="n"/>
      <c r="L143" s="39" t="n"/>
      <c r="M143" s="39" t="n"/>
      <c r="N143" s="39" t="n"/>
    </row>
    <row r="144" ht="18.05" customHeight="1">
      <c r="A144" s="158" t="inlineStr">
        <is>
          <t>Fernando</t>
        </is>
      </c>
      <c r="B144" s="186" t="inlineStr">
        <is>
          <t>30h</t>
        </is>
      </c>
      <c r="C144" s="187" t="inlineStr">
        <is>
          <t>30/03</t>
        </is>
      </c>
      <c r="D144" s="72" t="inlineStr">
        <is>
          <t>N 30/03 → T 31/03: 6h de descanso (soma 18h)</t>
        </is>
      </c>
      <c r="E144" s="186" t="inlineStr">
        <is>
          <t>art. 66 CLT — 11h</t>
        </is>
      </c>
      <c r="F144" s="190" t="inlineStr">
        <is>
          <t>REGISTRO</t>
        </is>
      </c>
      <c r="G144" s="39" t="n"/>
      <c r="H144" s="39" t="n"/>
      <c r="I144" s="39" t="n"/>
      <c r="J144" s="39" t="n"/>
      <c r="K144" s="39" t="n"/>
      <c r="L144" s="39" t="n"/>
      <c r="M144" s="39" t="n"/>
      <c r="N144" s="39" t="n"/>
    </row>
    <row r="145" ht="18.05" customHeight="1">
      <c r="A145" s="158" t="inlineStr">
        <is>
          <t>JuCoutinho</t>
        </is>
      </c>
      <c r="B145" s="186" t="inlineStr">
        <is>
          <t>30h</t>
        </is>
      </c>
      <c r="C145" s="187" t="inlineStr">
        <is>
          <t>31/03</t>
        </is>
      </c>
      <c r="D145" s="72" t="inlineStr">
        <is>
          <t>N 31/03 → T 01/04: 6h de descanso (soma 18h)</t>
        </is>
      </c>
      <c r="E145" s="186" t="inlineStr">
        <is>
          <t>art. 66 CLT — 11h</t>
        </is>
      </c>
      <c r="F145" s="190" t="inlineStr">
        <is>
          <t>REGISTRO</t>
        </is>
      </c>
      <c r="G145" s="39" t="n"/>
      <c r="H145" s="39" t="n"/>
      <c r="I145" s="39" t="n"/>
      <c r="J145" s="39" t="n"/>
      <c r="K145" s="39" t="n"/>
      <c r="L145" s="39" t="n"/>
      <c r="M145" s="39" t="n"/>
      <c r="N145" s="39" t="n"/>
    </row>
    <row r="146" ht="18.05" customHeight="1">
      <c r="A146" s="158" t="inlineStr">
        <is>
          <t>LuAlice</t>
        </is>
      </c>
      <c r="B146" s="186" t="inlineStr">
        <is>
          <t>36h</t>
        </is>
      </c>
      <c r="C146" s="187" t="inlineStr">
        <is>
          <t>05/04</t>
        </is>
      </c>
      <c r="D146" s="72" t="inlineStr">
        <is>
          <t>N 05/04 → CRO 06/04: 6h de descanso (soma 18h)</t>
        </is>
      </c>
      <c r="E146" s="186" t="inlineStr">
        <is>
          <t>art. 66 CLT — 11h</t>
        </is>
      </c>
      <c r="F146" s="190" t="inlineStr">
        <is>
          <t>REGISTRO</t>
        </is>
      </c>
      <c r="G146" s="39" t="n"/>
      <c r="H146" s="39" t="n"/>
      <c r="I146" s="39" t="n"/>
      <c r="J146" s="39" t="n"/>
      <c r="K146" s="39" t="n"/>
      <c r="L146" s="39" t="n"/>
      <c r="M146" s="39" t="n"/>
      <c r="N146" s="39" t="n"/>
    </row>
    <row r="147" ht="18.05" customHeight="1">
      <c r="A147" s="158" t="inlineStr">
        <is>
          <t>Raylander</t>
        </is>
      </c>
      <c r="B147" s="186" t="inlineStr">
        <is>
          <t>30h</t>
        </is>
      </c>
      <c r="C147" s="187" t="inlineStr">
        <is>
          <t>06/04</t>
        </is>
      </c>
      <c r="D147" s="72" t="inlineStr">
        <is>
          <t>N 06/04 → T 07/04: 6h de descanso (soma 18h)</t>
        </is>
      </c>
      <c r="E147" s="186" t="inlineStr">
        <is>
          <t>art. 66 CLT — 11h</t>
        </is>
      </c>
      <c r="F147" s="190" t="inlineStr">
        <is>
          <t>REGISTRO</t>
        </is>
      </c>
      <c r="G147" s="39" t="n"/>
      <c r="H147" s="39" t="n"/>
      <c r="I147" s="39" t="n"/>
      <c r="J147" s="39" t="n"/>
      <c r="K147" s="39" t="n"/>
      <c r="L147" s="39" t="n"/>
      <c r="M147" s="39" t="n"/>
      <c r="N147" s="39" t="n"/>
    </row>
    <row r="148" ht="18.05" customHeight="1">
      <c r="A148" s="158" t="inlineStr">
        <is>
          <t>João</t>
        </is>
      </c>
      <c r="B148" s="186" t="inlineStr">
        <is>
          <t>30h</t>
        </is>
      </c>
      <c r="C148" s="187" t="inlineStr">
        <is>
          <t>07/04</t>
        </is>
      </c>
      <c r="D148" s="72" t="inlineStr">
        <is>
          <t>N 07/04 → T 08/04: 6h de descanso (soma 18h)</t>
        </is>
      </c>
      <c r="E148" s="186" t="inlineStr">
        <is>
          <t>art. 66 CLT — 11h</t>
        </is>
      </c>
      <c r="F148" s="190" t="inlineStr">
        <is>
          <t>REGISTRO</t>
        </is>
      </c>
      <c r="G148" s="39" t="n"/>
      <c r="H148" s="39" t="n"/>
      <c r="I148" s="39" t="n"/>
      <c r="J148" s="39" t="n"/>
      <c r="K148" s="39" t="n"/>
      <c r="L148" s="39" t="n"/>
      <c r="M148" s="39" t="n"/>
      <c r="N148" s="39" t="n"/>
    </row>
    <row r="149" ht="18.05" customHeight="1">
      <c r="A149" s="158" t="inlineStr">
        <is>
          <t>JuCoutinho</t>
        </is>
      </c>
      <c r="B149" s="186" t="inlineStr">
        <is>
          <t>30h</t>
        </is>
      </c>
      <c r="C149" s="187" t="inlineStr">
        <is>
          <t>07/04</t>
        </is>
      </c>
      <c r="D149" s="72" t="inlineStr">
        <is>
          <t>N 07/04 → T 08/04: 6h de descanso (soma 18h)</t>
        </is>
      </c>
      <c r="E149" s="186" t="inlineStr">
        <is>
          <t>art. 66 CLT — 11h</t>
        </is>
      </c>
      <c r="F149" s="190" t="inlineStr">
        <is>
          <t>REGISTRO</t>
        </is>
      </c>
      <c r="G149" s="39" t="n"/>
      <c r="H149" s="39" t="n"/>
      <c r="I149" s="39" t="n"/>
      <c r="J149" s="39" t="n"/>
      <c r="K149" s="39" t="n"/>
      <c r="L149" s="39" t="n"/>
      <c r="M149" s="39" t="n"/>
      <c r="N149" s="39" t="n"/>
    </row>
    <row r="150" ht="18.05" customHeight="1">
      <c r="A150" s="158" t="inlineStr">
        <is>
          <t>Raphael</t>
        </is>
      </c>
      <c r="B150" s="186" t="inlineStr">
        <is>
          <t>24h</t>
        </is>
      </c>
      <c r="C150" s="187" t="inlineStr">
        <is>
          <t>09/04</t>
        </is>
      </c>
      <c r="D150" s="72" t="inlineStr">
        <is>
          <t>N 09/04 → T 10/04: 6h de descanso (soma 18h)</t>
        </is>
      </c>
      <c r="E150" s="186" t="inlineStr">
        <is>
          <t>art. 66 CLT — 11h</t>
        </is>
      </c>
      <c r="F150" s="190" t="inlineStr">
        <is>
          <t>REGISTRO</t>
        </is>
      </c>
      <c r="G150" s="39" t="n"/>
      <c r="H150" s="39" t="n"/>
      <c r="I150" s="39" t="n"/>
      <c r="J150" s="39" t="n"/>
      <c r="K150" s="39" t="n"/>
      <c r="L150" s="39" t="n"/>
      <c r="M150" s="39" t="n"/>
      <c r="N150" s="39" t="n"/>
    </row>
    <row r="151" ht="18.05" customHeight="1">
      <c r="A151" s="158" t="inlineStr">
        <is>
          <t>LuAlice</t>
        </is>
      </c>
      <c r="B151" s="186" t="inlineStr">
        <is>
          <t>36h</t>
        </is>
      </c>
      <c r="C151" s="187" t="inlineStr">
        <is>
          <t>12/04</t>
        </is>
      </c>
      <c r="D151" s="72" t="inlineStr">
        <is>
          <t>N 12/04 → CRO 13/04: 6h de descanso (soma 18h)</t>
        </is>
      </c>
      <c r="E151" s="186" t="inlineStr">
        <is>
          <t>art. 66 CLT — 11h</t>
        </is>
      </c>
      <c r="F151" s="190" t="inlineStr">
        <is>
          <t>REGISTRO</t>
        </is>
      </c>
      <c r="G151" s="39" t="n"/>
      <c r="H151" s="39" t="n"/>
      <c r="I151" s="39" t="n"/>
      <c r="J151" s="39" t="n"/>
      <c r="K151" s="39" t="n"/>
      <c r="L151" s="39" t="n"/>
      <c r="M151" s="39" t="n"/>
      <c r="N151" s="39" t="n"/>
    </row>
    <row r="152" ht="18.05" customHeight="1">
      <c r="A152" s="158" t="inlineStr">
        <is>
          <t>Raphael</t>
        </is>
      </c>
      <c r="B152" s="186" t="inlineStr">
        <is>
          <t>24h</t>
        </is>
      </c>
      <c r="C152" s="187" t="inlineStr">
        <is>
          <t>13/04</t>
        </is>
      </c>
      <c r="D152" s="72" t="inlineStr">
        <is>
          <t>N 13/04 → T 14/04: 6h de descanso (soma 18h)</t>
        </is>
      </c>
      <c r="E152" s="186" t="inlineStr">
        <is>
          <t>art. 66 CLT — 11h</t>
        </is>
      </c>
      <c r="F152" s="190" t="inlineStr">
        <is>
          <t>REGISTRO</t>
        </is>
      </c>
      <c r="G152" s="39" t="n"/>
      <c r="H152" s="39" t="n"/>
      <c r="I152" s="39" t="n"/>
      <c r="J152" s="39" t="n"/>
      <c r="K152" s="39" t="n"/>
      <c r="L152" s="39" t="n"/>
      <c r="M152" s="39" t="n"/>
      <c r="N152" s="39" t="n"/>
    </row>
    <row r="153" ht="18.05" customHeight="1">
      <c r="A153" s="158" t="inlineStr">
        <is>
          <t>João</t>
        </is>
      </c>
      <c r="B153" s="186" t="inlineStr">
        <is>
          <t>30h</t>
        </is>
      </c>
      <c r="C153" s="187" t="inlineStr">
        <is>
          <t>14/04</t>
        </is>
      </c>
      <c r="D153" s="72" t="inlineStr">
        <is>
          <t>N 14/04 → T 15/04: 6h de descanso (soma 18h)</t>
        </is>
      </c>
      <c r="E153" s="186" t="inlineStr">
        <is>
          <t>art. 66 CLT — 11h</t>
        </is>
      </c>
      <c r="F153" s="190" t="inlineStr">
        <is>
          <t>REGISTRO</t>
        </is>
      </c>
      <c r="G153" s="39" t="n"/>
      <c r="H153" s="39" t="n"/>
      <c r="I153" s="39" t="n"/>
      <c r="J153" s="39" t="n"/>
      <c r="K153" s="39" t="n"/>
      <c r="L153" s="39" t="n"/>
      <c r="M153" s="39" t="n"/>
      <c r="N153" s="39" t="n"/>
    </row>
    <row r="154" ht="18.05" customHeight="1">
      <c r="A154" s="158" t="inlineStr">
        <is>
          <t>Yuji</t>
        </is>
      </c>
      <c r="B154" s="186" t="inlineStr">
        <is>
          <t>24h</t>
        </is>
      </c>
      <c r="C154" s="187" t="inlineStr">
        <is>
          <t>15/04</t>
        </is>
      </c>
      <c r="D154" s="72" t="inlineStr">
        <is>
          <t>N 15/04 → T 16/04: 6h de descanso (soma 18h)</t>
        </is>
      </c>
      <c r="E154" s="186" t="inlineStr">
        <is>
          <t>art. 66 CLT — 11h</t>
        </is>
      </c>
      <c r="F154" s="190" t="inlineStr">
        <is>
          <t>REGISTRO</t>
        </is>
      </c>
      <c r="G154" s="39" t="n"/>
      <c r="H154" s="39" t="n"/>
      <c r="I154" s="39" t="n"/>
      <c r="J154" s="39" t="n"/>
      <c r="K154" s="39" t="n"/>
      <c r="L154" s="39" t="n"/>
      <c r="M154" s="39" t="n"/>
      <c r="N154" s="39" t="n"/>
    </row>
    <row r="155" ht="18.05" customHeight="1">
      <c r="A155" s="158" t="inlineStr">
        <is>
          <t>Raphael</t>
        </is>
      </c>
      <c r="B155" s="186" t="inlineStr">
        <is>
          <t>24h</t>
        </is>
      </c>
      <c r="C155" s="187" t="inlineStr">
        <is>
          <t>16/04</t>
        </is>
      </c>
      <c r="D155" s="72" t="inlineStr">
        <is>
          <t>N 16/04 → T 17/04: 6h de descanso (soma 18h)</t>
        </is>
      </c>
      <c r="E155" s="186" t="inlineStr">
        <is>
          <t>art. 66 CLT — 11h</t>
        </is>
      </c>
      <c r="F155" s="190" t="inlineStr">
        <is>
          <t>REGISTRO</t>
        </is>
      </c>
      <c r="G155" s="39" t="n"/>
      <c r="H155" s="39" t="n"/>
      <c r="I155" s="39" t="n"/>
      <c r="J155" s="39" t="n"/>
      <c r="K155" s="39" t="n"/>
      <c r="L155" s="39" t="n"/>
      <c r="M155" s="39" t="n"/>
      <c r="N155" s="39" t="n"/>
    </row>
    <row r="156" ht="18.05" customHeight="1">
      <c r="A156" s="158" t="inlineStr">
        <is>
          <t>Ernesto</t>
        </is>
      </c>
      <c r="B156" s="186" t="inlineStr">
        <is>
          <t>24h</t>
        </is>
      </c>
      <c r="C156" s="187" t="inlineStr">
        <is>
          <t>18/04</t>
        </is>
      </c>
      <c r="D156" s="72" t="inlineStr">
        <is>
          <t>N 18/04 → T 19/04: 6h de descanso (soma 18h)</t>
        </is>
      </c>
      <c r="E156" s="186" t="inlineStr">
        <is>
          <t>art. 66 CLT — 11h</t>
        </is>
      </c>
      <c r="F156" s="190" t="inlineStr">
        <is>
          <t>REGISTRO</t>
        </is>
      </c>
      <c r="G156" s="39" t="n"/>
      <c r="H156" s="39" t="n"/>
      <c r="I156" s="39" t="n"/>
      <c r="J156" s="39" t="n"/>
      <c r="K156" s="39" t="n"/>
      <c r="L156" s="39" t="n"/>
      <c r="M156" s="39" t="n"/>
      <c r="N156" s="39" t="n"/>
    </row>
    <row r="157" ht="18.05" customHeight="1">
      <c r="A157" s="158" t="inlineStr">
        <is>
          <t>Kozak</t>
        </is>
      </c>
      <c r="B157" s="186" t="inlineStr">
        <is>
          <t>24h</t>
        </is>
      </c>
      <c r="C157" s="187" t="inlineStr">
        <is>
          <t>19/04</t>
        </is>
      </c>
      <c r="D157" s="72" t="inlineStr">
        <is>
          <t>N 19/04 → T 20/04: 6h de descanso (soma 18h)</t>
        </is>
      </c>
      <c r="E157" s="186" t="inlineStr">
        <is>
          <t>art. 66 CLT — 11h</t>
        </is>
      </c>
      <c r="F157" s="190" t="inlineStr">
        <is>
          <t>REGISTRO</t>
        </is>
      </c>
      <c r="G157" s="39" t="n"/>
      <c r="H157" s="39" t="n"/>
      <c r="I157" s="39" t="n"/>
      <c r="J157" s="39" t="n"/>
      <c r="K157" s="39" t="n"/>
      <c r="L157" s="39" t="n"/>
      <c r="M157" s="39" t="n"/>
      <c r="N157" s="39" t="n"/>
    </row>
    <row r="158" ht="18.05" customHeight="1">
      <c r="A158" s="158" t="inlineStr">
        <is>
          <t>Roberta</t>
        </is>
      </c>
      <c r="B158" s="186" t="inlineStr">
        <is>
          <t>36h</t>
        </is>
      </c>
      <c r="C158" s="187" t="inlineStr">
        <is>
          <t>19/04</t>
        </is>
      </c>
      <c r="D158" s="72" t="inlineStr">
        <is>
          <t>N 19/04 → T 20/04: 6h de descanso (soma 18h)</t>
        </is>
      </c>
      <c r="E158" s="186" t="inlineStr">
        <is>
          <t>art. 66 CLT — 11h</t>
        </is>
      </c>
      <c r="F158" s="190" t="inlineStr">
        <is>
          <t>REGISTRO</t>
        </is>
      </c>
      <c r="G158" s="39" t="n"/>
      <c r="H158" s="39" t="n"/>
      <c r="I158" s="39" t="n"/>
      <c r="J158" s="39" t="n"/>
      <c r="K158" s="39" t="n"/>
      <c r="L158" s="39" t="n"/>
      <c r="M158" s="39" t="n"/>
      <c r="N158" s="39" t="n"/>
    </row>
    <row r="159" ht="18.05" customHeight="1">
      <c r="A159" s="158" t="inlineStr">
        <is>
          <t>Ricardo</t>
        </is>
      </c>
      <c r="B159" s="186" t="inlineStr">
        <is>
          <t>30h</t>
        </is>
      </c>
      <c r="C159" s="187" t="inlineStr">
        <is>
          <t>21/04</t>
        </is>
      </c>
      <c r="D159" s="72" t="inlineStr">
        <is>
          <t>N 21/04 → T 22/04: 6h de descanso (soma 18h)</t>
        </is>
      </c>
      <c r="E159" s="186" t="inlineStr">
        <is>
          <t>art. 66 CLT — 11h</t>
        </is>
      </c>
      <c r="F159" s="190" t="inlineStr">
        <is>
          <t>REGISTRO</t>
        </is>
      </c>
      <c r="G159" s="39" t="n"/>
      <c r="H159" s="39" t="n"/>
      <c r="I159" s="39" t="n"/>
      <c r="J159" s="39" t="n"/>
      <c r="K159" s="39" t="n"/>
      <c r="L159" s="39" t="n"/>
      <c r="M159" s="39" t="n"/>
      <c r="N159" s="39" t="n"/>
    </row>
    <row r="160" ht="18.05" customHeight="1">
      <c r="A160" s="158" t="inlineStr">
        <is>
          <t>Raphael</t>
        </is>
      </c>
      <c r="B160" s="186" t="inlineStr">
        <is>
          <t>24h</t>
        </is>
      </c>
      <c r="C160" s="187" t="inlineStr">
        <is>
          <t>23/04</t>
        </is>
      </c>
      <c r="D160" s="72" t="inlineStr">
        <is>
          <t>N 23/04 → T 24/04: 6h de descanso (soma 18h)</t>
        </is>
      </c>
      <c r="E160" s="186" t="inlineStr">
        <is>
          <t>art. 66 CLT — 11h</t>
        </is>
      </c>
      <c r="F160" s="190" t="inlineStr">
        <is>
          <t>REGISTRO</t>
        </is>
      </c>
      <c r="G160" s="39" t="n"/>
      <c r="H160" s="39" t="n"/>
      <c r="I160" s="39" t="n"/>
      <c r="J160" s="39" t="n"/>
      <c r="K160" s="39" t="n"/>
      <c r="L160" s="39" t="n"/>
      <c r="M160" s="39" t="n"/>
      <c r="N160" s="39" t="n"/>
    </row>
    <row r="161" ht="18.05" customHeight="1">
      <c r="A161" s="158" t="inlineStr">
        <is>
          <t>Stephanie</t>
        </is>
      </c>
      <c r="B161" s="186" t="inlineStr">
        <is>
          <t>administrativo</t>
        </is>
      </c>
      <c r="C161" s="187" t="inlineStr">
        <is>
          <t>25/04</t>
        </is>
      </c>
      <c r="D161" s="72" t="inlineStr">
        <is>
          <t>N 25/04 → T 26/04: 6h de descanso (soma 18h)</t>
        </is>
      </c>
      <c r="E161" s="186" t="inlineStr">
        <is>
          <t>art. 66 CLT — 11h</t>
        </is>
      </c>
      <c r="F161" s="190" t="inlineStr">
        <is>
          <t>REGISTRO</t>
        </is>
      </c>
      <c r="G161" s="39" t="n"/>
      <c r="H161" s="39" t="n"/>
      <c r="I161" s="39" t="n"/>
      <c r="J161" s="39" t="n"/>
      <c r="K161" s="39" t="n"/>
      <c r="L161" s="39" t="n"/>
      <c r="M161" s="39" t="n"/>
      <c r="N161" s="39" t="n"/>
    </row>
    <row r="162" ht="18.05" customHeight="1">
      <c r="A162" s="158" t="inlineStr">
        <is>
          <t>JuCoutinho</t>
        </is>
      </c>
      <c r="B162" s="186" t="inlineStr">
        <is>
          <t>30h</t>
        </is>
      </c>
      <c r="C162" s="187" t="inlineStr">
        <is>
          <t>26/04</t>
        </is>
      </c>
      <c r="D162" s="72" t="inlineStr">
        <is>
          <t>N 26/04 → T 27/04: 6h de descanso (soma 18h)</t>
        </is>
      </c>
      <c r="E162" s="186" t="inlineStr">
        <is>
          <t>art. 66 CLT — 11h</t>
        </is>
      </c>
      <c r="F162" s="190" t="inlineStr">
        <is>
          <t>REGISTRO</t>
        </is>
      </c>
      <c r="G162" s="39" t="n"/>
      <c r="H162" s="39" t="n"/>
      <c r="I162" s="39" t="n"/>
      <c r="J162" s="39" t="n"/>
      <c r="K162" s="39" t="n"/>
      <c r="L162" s="39" t="n"/>
      <c r="M162" s="39" t="n"/>
      <c r="N162" s="39" t="n"/>
    </row>
    <row r="163" ht="18.05" customHeight="1">
      <c r="A163" s="158" t="inlineStr">
        <is>
          <t>João</t>
        </is>
      </c>
      <c r="B163" s="186" t="inlineStr">
        <is>
          <t>30h</t>
        </is>
      </c>
      <c r="C163" s="187" t="inlineStr">
        <is>
          <t>28/04</t>
        </is>
      </c>
      <c r="D163" s="72" t="inlineStr">
        <is>
          <t>N 28/04 → T 29/04: 6h de descanso (soma 18h)</t>
        </is>
      </c>
      <c r="E163" s="186" t="inlineStr">
        <is>
          <t>art. 66 CLT — 11h</t>
        </is>
      </c>
      <c r="F163" s="190" t="inlineStr">
        <is>
          <t>REGISTRO</t>
        </is>
      </c>
      <c r="G163" s="39" t="n"/>
      <c r="H163" s="39" t="n"/>
      <c r="I163" s="39" t="n"/>
      <c r="J163" s="39" t="n"/>
      <c r="K163" s="39" t="n"/>
      <c r="L163" s="39" t="n"/>
      <c r="M163" s="39" t="n"/>
      <c r="N163" s="39" t="n"/>
    </row>
    <row r="164" ht="18.05" customHeight="1">
      <c r="A164" s="158" t="inlineStr">
        <is>
          <t>João</t>
        </is>
      </c>
      <c r="B164" s="186" t="inlineStr">
        <is>
          <t>30h</t>
        </is>
      </c>
      <c r="C164" s="187" t="inlineStr">
        <is>
          <t>06/05</t>
        </is>
      </c>
      <c r="D164" s="72" t="inlineStr">
        <is>
          <t>N 06/05 → T 07/05: 6h de descanso (soma 18h)</t>
        </is>
      </c>
      <c r="E164" s="186" t="inlineStr">
        <is>
          <t>art. 66 CLT — 11h</t>
        </is>
      </c>
      <c r="F164" s="190" t="inlineStr">
        <is>
          <t>REGISTRO</t>
        </is>
      </c>
      <c r="G164" s="39" t="n"/>
      <c r="H164" s="39" t="n"/>
      <c r="I164" s="39" t="n"/>
      <c r="J164" s="39" t="n"/>
      <c r="K164" s="39" t="n"/>
      <c r="L164" s="39" t="n"/>
      <c r="M164" s="39" t="n"/>
      <c r="N164" s="39" t="n"/>
    </row>
    <row r="165" ht="18.05" customHeight="1">
      <c r="A165" s="158" t="inlineStr">
        <is>
          <t>LuAlice</t>
        </is>
      </c>
      <c r="B165" s="186" t="inlineStr">
        <is>
          <t>36h</t>
        </is>
      </c>
      <c r="C165" s="187" t="inlineStr">
        <is>
          <t>07/05</t>
        </is>
      </c>
      <c r="D165" s="72" t="inlineStr">
        <is>
          <t>N 07/05 → T 08/05: 6h de descanso (soma 18h)</t>
        </is>
      </c>
      <c r="E165" s="186" t="inlineStr">
        <is>
          <t>art. 66 CLT — 11h</t>
        </is>
      </c>
      <c r="F165" s="190" t="inlineStr">
        <is>
          <t>REGISTRO</t>
        </is>
      </c>
      <c r="G165" s="39" t="n"/>
      <c r="H165" s="39" t="n"/>
      <c r="I165" s="39" t="n"/>
      <c r="J165" s="39" t="n"/>
      <c r="K165" s="39" t="n"/>
      <c r="L165" s="39" t="n"/>
      <c r="M165" s="39" t="n"/>
      <c r="N165" s="39" t="n"/>
    </row>
    <row r="166" ht="18.05" customHeight="1">
      <c r="A166" s="158" t="inlineStr">
        <is>
          <t>MPinheiro</t>
        </is>
      </c>
      <c r="B166" s="186" t="inlineStr">
        <is>
          <t>administrativo</t>
        </is>
      </c>
      <c r="C166" s="187" t="inlineStr">
        <is>
          <t>07/05</t>
        </is>
      </c>
      <c r="D166" s="72" t="inlineStr">
        <is>
          <t>N 07/05 → T 08/05: 6h de descanso (soma 18h)</t>
        </is>
      </c>
      <c r="E166" s="186" t="inlineStr">
        <is>
          <t>art. 66 CLT — 11h</t>
        </is>
      </c>
      <c r="F166" s="190" t="inlineStr">
        <is>
          <t>REGISTRO</t>
        </is>
      </c>
      <c r="G166" s="39" t="n"/>
      <c r="H166" s="39" t="n"/>
      <c r="I166" s="39" t="n"/>
      <c r="J166" s="39" t="n"/>
      <c r="K166" s="39" t="n"/>
      <c r="L166" s="39" t="n"/>
      <c r="M166" s="39" t="n"/>
      <c r="N166" s="39" t="n"/>
    </row>
    <row r="167" ht="18.05" customHeight="1">
      <c r="A167" s="158" t="inlineStr">
        <is>
          <t>Isabella</t>
        </is>
      </c>
      <c r="B167" s="186" t="inlineStr">
        <is>
          <t>36h</t>
        </is>
      </c>
      <c r="C167" s="187" t="inlineStr">
        <is>
          <t>10/05</t>
        </is>
      </c>
      <c r="D167" s="72" t="inlineStr">
        <is>
          <t>N 10/05 → T 11/05: 6h de descanso (soma 18h)</t>
        </is>
      </c>
      <c r="E167" s="186" t="inlineStr">
        <is>
          <t>art. 66 CLT — 11h</t>
        </is>
      </c>
      <c r="F167" s="190" t="inlineStr">
        <is>
          <t>REGISTRO</t>
        </is>
      </c>
      <c r="G167" s="39" t="n"/>
      <c r="H167" s="39" t="n"/>
      <c r="I167" s="39" t="n"/>
      <c r="J167" s="39" t="n"/>
      <c r="K167" s="39" t="n"/>
      <c r="L167" s="39" t="n"/>
      <c r="M167" s="39" t="n"/>
      <c r="N167" s="39" t="n"/>
    </row>
    <row r="168" ht="18.05" customHeight="1">
      <c r="A168" s="158" t="inlineStr">
        <is>
          <t>JuCoutinho</t>
        </is>
      </c>
      <c r="B168" s="186" t="inlineStr">
        <is>
          <t>30h</t>
        </is>
      </c>
      <c r="C168" s="187" t="inlineStr">
        <is>
          <t>12/05</t>
        </is>
      </c>
      <c r="D168" s="72" t="inlineStr">
        <is>
          <t>N 12/05 → T 13/05: 6h de descanso (soma 18h)</t>
        </is>
      </c>
      <c r="E168" s="186" t="inlineStr">
        <is>
          <t>art. 66 CLT — 11h</t>
        </is>
      </c>
      <c r="F168" s="190" t="inlineStr">
        <is>
          <t>REGISTRO</t>
        </is>
      </c>
      <c r="G168" s="39" t="n"/>
      <c r="H168" s="39" t="n"/>
      <c r="I168" s="39" t="n"/>
      <c r="J168" s="39" t="n"/>
      <c r="K168" s="39" t="n"/>
      <c r="L168" s="39" t="n"/>
      <c r="M168" s="39" t="n"/>
      <c r="N168" s="39" t="n"/>
    </row>
    <row r="169" ht="18.05" customHeight="1">
      <c r="A169" s="158" t="inlineStr">
        <is>
          <t>Raphael</t>
        </is>
      </c>
      <c r="B169" s="186" t="inlineStr">
        <is>
          <t>24h</t>
        </is>
      </c>
      <c r="C169" s="187" t="inlineStr">
        <is>
          <t>13/05</t>
        </is>
      </c>
      <c r="D169" s="72" t="inlineStr">
        <is>
          <t>N 13/05 → T 14/05: 6h de descanso (soma 18h)</t>
        </is>
      </c>
      <c r="E169" s="186" t="inlineStr">
        <is>
          <t>art. 66 CLT — 11h</t>
        </is>
      </c>
      <c r="F169" s="190" t="inlineStr">
        <is>
          <t>REGISTRO</t>
        </is>
      </c>
      <c r="G169" s="39" t="n"/>
      <c r="H169" s="39" t="n"/>
      <c r="I169" s="39" t="n"/>
      <c r="J169" s="39" t="n"/>
      <c r="K169" s="39" t="n"/>
      <c r="L169" s="39" t="n"/>
      <c r="M169" s="39" t="n"/>
      <c r="N169" s="39" t="n"/>
    </row>
    <row r="170" ht="18.05" customHeight="1">
      <c r="A170" s="158" t="inlineStr">
        <is>
          <t>Roberta</t>
        </is>
      </c>
      <c r="B170" s="186" t="inlineStr">
        <is>
          <t>36h</t>
        </is>
      </c>
      <c r="C170" s="187" t="inlineStr">
        <is>
          <t>19/05</t>
        </is>
      </c>
      <c r="D170" s="72" t="inlineStr">
        <is>
          <t>N 19/05 → T 20/05: 6h de descanso (soma 18h)</t>
        </is>
      </c>
      <c r="E170" s="186" t="inlineStr">
        <is>
          <t>art. 66 CLT — 11h</t>
        </is>
      </c>
      <c r="F170" s="190" t="inlineStr">
        <is>
          <t>REGISTRO</t>
        </is>
      </c>
      <c r="G170" s="39" t="n"/>
      <c r="H170" s="39" t="n"/>
      <c r="I170" s="39" t="n"/>
      <c r="J170" s="39" t="n"/>
      <c r="K170" s="39" t="n"/>
      <c r="L170" s="39" t="n"/>
      <c r="M170" s="39" t="n"/>
      <c r="N170" s="39" t="n"/>
    </row>
    <row r="171" ht="18.05" customHeight="1">
      <c r="A171" s="158" t="inlineStr">
        <is>
          <t>João</t>
        </is>
      </c>
      <c r="B171" s="186" t="inlineStr">
        <is>
          <t>30h</t>
        </is>
      </c>
      <c r="C171" s="187" t="inlineStr">
        <is>
          <t>20/05</t>
        </is>
      </c>
      <c r="D171" s="72" t="inlineStr">
        <is>
          <t>N 20/05 → T 21/05: 6h de descanso (soma 18h)</t>
        </is>
      </c>
      <c r="E171" s="186" t="inlineStr">
        <is>
          <t>art. 66 CLT — 11h</t>
        </is>
      </c>
      <c r="F171" s="190" t="inlineStr">
        <is>
          <t>REGISTRO</t>
        </is>
      </c>
      <c r="G171" s="39" t="n"/>
      <c r="H171" s="39" t="n"/>
      <c r="I171" s="39" t="n"/>
      <c r="J171" s="39" t="n"/>
      <c r="K171" s="39" t="n"/>
      <c r="L171" s="39" t="n"/>
      <c r="M171" s="39" t="n"/>
      <c r="N171" s="39" t="n"/>
    </row>
    <row r="172" ht="18.05" customHeight="1">
      <c r="A172" s="158" t="inlineStr">
        <is>
          <t>JuCoutinho</t>
        </is>
      </c>
      <c r="B172" s="186" t="inlineStr">
        <is>
          <t>30h</t>
        </is>
      </c>
      <c r="C172" s="187" t="inlineStr">
        <is>
          <t>26/05</t>
        </is>
      </c>
      <c r="D172" s="72" t="inlineStr">
        <is>
          <t>N 26/05 → T 27/05: 6h de descanso (soma 18h)</t>
        </is>
      </c>
      <c r="E172" s="186" t="inlineStr">
        <is>
          <t>art. 66 CLT — 11h</t>
        </is>
      </c>
      <c r="F172" s="190" t="inlineStr">
        <is>
          <t>REGISTRO</t>
        </is>
      </c>
      <c r="G172" s="39" t="n"/>
      <c r="H172" s="39" t="n"/>
      <c r="I172" s="39" t="n"/>
      <c r="J172" s="39" t="n"/>
      <c r="K172" s="39" t="n"/>
      <c r="L172" s="39" t="n"/>
      <c r="M172" s="39" t="n"/>
      <c r="N172" s="39" t="n"/>
    </row>
    <row r="173" ht="18.05" customHeight="1">
      <c r="A173" s="158" t="inlineStr">
        <is>
          <t>Aline</t>
        </is>
      </c>
      <c r="B173" s="186" t="inlineStr">
        <is>
          <t>36h</t>
        </is>
      </c>
      <c r="C173" s="187" t="inlineStr">
        <is>
          <t>31/05</t>
        </is>
      </c>
      <c r="D173" s="72" t="inlineStr">
        <is>
          <t>N 31/05 → T 01/06: 6h de descanso (soma 18h)</t>
        </is>
      </c>
      <c r="E173" s="186" t="inlineStr">
        <is>
          <t>art. 66 CLT — 11h</t>
        </is>
      </c>
      <c r="F173" s="190" t="inlineStr">
        <is>
          <t>REGISTRO</t>
        </is>
      </c>
      <c r="G173" s="39" t="n"/>
      <c r="H173" s="39" t="n"/>
      <c r="I173" s="39" t="n"/>
      <c r="J173" s="39" t="n"/>
      <c r="K173" s="39" t="n"/>
      <c r="L173" s="39" t="n"/>
      <c r="M173" s="39" t="n"/>
      <c r="N173" s="39" t="n"/>
    </row>
    <row r="174" ht="18.05" customHeight="1">
      <c r="A174" s="158" t="inlineStr">
        <is>
          <t>MPinheiro</t>
        </is>
      </c>
      <c r="B174" s="186" t="inlineStr">
        <is>
          <t>administrativo</t>
        </is>
      </c>
      <c r="C174" s="187" t="inlineStr">
        <is>
          <t>01/06</t>
        </is>
      </c>
      <c r="D174" s="72" t="inlineStr">
        <is>
          <t>N 01/06 → T 02/06: 6h de descanso (soma 18h)</t>
        </is>
      </c>
      <c r="E174" s="186" t="inlineStr">
        <is>
          <t>art. 66 CLT — 11h</t>
        </is>
      </c>
      <c r="F174" s="190" t="inlineStr">
        <is>
          <t>REGISTRO</t>
        </is>
      </c>
      <c r="G174" s="39" t="n"/>
      <c r="H174" s="39" t="n"/>
      <c r="I174" s="39" t="n"/>
      <c r="J174" s="39" t="n"/>
      <c r="K174" s="39" t="n"/>
      <c r="L174" s="39" t="n"/>
      <c r="M174" s="39" t="n"/>
      <c r="N174" s="39" t="n"/>
    </row>
    <row r="175" ht="18.05" customHeight="1">
      <c r="A175" s="158" t="inlineStr">
        <is>
          <t>Aline</t>
        </is>
      </c>
      <c r="B175" s="186" t="inlineStr">
        <is>
          <t>36h</t>
        </is>
      </c>
      <c r="C175" s="187" t="inlineStr">
        <is>
          <t>02/06</t>
        </is>
      </c>
      <c r="D175" s="72" t="inlineStr">
        <is>
          <t>N 02/06 → T 03/06: 6h de descanso (soma 18h)</t>
        </is>
      </c>
      <c r="E175" s="186" t="inlineStr">
        <is>
          <t>art. 66 CLT — 11h</t>
        </is>
      </c>
      <c r="F175" s="190" t="inlineStr">
        <is>
          <t>REGISTRO</t>
        </is>
      </c>
      <c r="G175" s="39" t="n"/>
      <c r="H175" s="39" t="n"/>
      <c r="I175" s="39" t="n"/>
      <c r="J175" s="39" t="n"/>
      <c r="K175" s="39" t="n"/>
      <c r="L175" s="39" t="n"/>
      <c r="M175" s="39" t="n"/>
      <c r="N175" s="39" t="n"/>
    </row>
    <row r="176" ht="18.05" customHeight="1">
      <c r="A176" s="158" t="inlineStr">
        <is>
          <t>Isabella</t>
        </is>
      </c>
      <c r="B176" s="186" t="inlineStr">
        <is>
          <t>36h</t>
        </is>
      </c>
      <c r="C176" s="187" t="inlineStr">
        <is>
          <t>07/06</t>
        </is>
      </c>
      <c r="D176" s="72" t="inlineStr">
        <is>
          <t>N 07/06 → T 08/06: 6h de descanso (soma 18h)</t>
        </is>
      </c>
      <c r="E176" s="186" t="inlineStr">
        <is>
          <t>art. 66 CLT — 11h</t>
        </is>
      </c>
      <c r="F176" s="190" t="inlineStr">
        <is>
          <t>REGISTRO</t>
        </is>
      </c>
      <c r="G176" s="39" t="n"/>
      <c r="H176" s="39" t="n"/>
      <c r="I176" s="39" t="n"/>
      <c r="J176" s="39" t="n"/>
      <c r="K176" s="39" t="n"/>
      <c r="L176" s="39" t="n"/>
      <c r="M176" s="39" t="n"/>
      <c r="N176" s="39" t="n"/>
    </row>
    <row r="177" ht="18.05" customHeight="1">
      <c r="A177" s="158" t="inlineStr">
        <is>
          <t>LeLemos</t>
        </is>
      </c>
      <c r="B177" s="186" t="inlineStr">
        <is>
          <t>30h</t>
        </is>
      </c>
      <c r="C177" s="187" t="inlineStr">
        <is>
          <t>08/06</t>
        </is>
      </c>
      <c r="D177" s="72" t="inlineStr">
        <is>
          <t>N 08/06 → T 09/06: 6h de descanso (soma 18h)</t>
        </is>
      </c>
      <c r="E177" s="186" t="inlineStr">
        <is>
          <t>art. 66 CLT — 11h</t>
        </is>
      </c>
      <c r="F177" s="190" t="inlineStr">
        <is>
          <t>REGISTRO</t>
        </is>
      </c>
      <c r="G177" s="39" t="n"/>
      <c r="H177" s="39" t="n"/>
      <c r="I177" s="39" t="n"/>
      <c r="J177" s="39" t="n"/>
      <c r="K177" s="39" t="n"/>
      <c r="L177" s="39" t="n"/>
      <c r="M177" s="39" t="n"/>
      <c r="N177" s="39" t="n"/>
    </row>
    <row r="178" ht="18.05" customHeight="1">
      <c r="A178" s="158" t="inlineStr">
        <is>
          <t>Roberta</t>
        </is>
      </c>
      <c r="B178" s="186" t="inlineStr">
        <is>
          <t>36h</t>
        </is>
      </c>
      <c r="C178" s="187" t="inlineStr">
        <is>
          <t>14/06</t>
        </is>
      </c>
      <c r="D178" s="72" t="inlineStr">
        <is>
          <t>N 14/06 → T 15/06: 6h de descanso (soma 18h)</t>
        </is>
      </c>
      <c r="E178" s="186" t="inlineStr">
        <is>
          <t>art. 66 CLT — 11h</t>
        </is>
      </c>
      <c r="F178" s="190" t="inlineStr">
        <is>
          <t>REGISTRO</t>
        </is>
      </c>
      <c r="G178" s="39" t="n"/>
      <c r="H178" s="39" t="n"/>
      <c r="I178" s="39" t="n"/>
      <c r="J178" s="39" t="n"/>
      <c r="K178" s="39" t="n"/>
      <c r="L178" s="39" t="n"/>
      <c r="M178" s="39" t="n"/>
      <c r="N178" s="39" t="n"/>
    </row>
    <row r="179" ht="18.05" customHeight="1">
      <c r="A179" s="158" t="inlineStr">
        <is>
          <t>Raphael</t>
        </is>
      </c>
      <c r="B179" s="186" t="inlineStr">
        <is>
          <t>24h</t>
        </is>
      </c>
      <c r="C179" s="187" t="inlineStr">
        <is>
          <t>15/06</t>
        </is>
      </c>
      <c r="D179" s="72" t="inlineStr">
        <is>
          <t>N 15/06 → T 16/06: 6h de descanso (soma 18h)</t>
        </is>
      </c>
      <c r="E179" s="186" t="inlineStr">
        <is>
          <t>art. 66 CLT — 11h</t>
        </is>
      </c>
      <c r="F179" s="190" t="inlineStr">
        <is>
          <t>REGISTRO</t>
        </is>
      </c>
      <c r="G179" s="39" t="n"/>
      <c r="H179" s="39" t="n"/>
      <c r="I179" s="39" t="n"/>
      <c r="J179" s="39" t="n"/>
      <c r="K179" s="39" t="n"/>
      <c r="L179" s="39" t="n"/>
      <c r="M179" s="39" t="n"/>
      <c r="N179" s="39" t="n"/>
    </row>
    <row r="180" ht="18.05" customHeight="1">
      <c r="A180" s="158" t="inlineStr">
        <is>
          <t>Roberta</t>
        </is>
      </c>
      <c r="B180" s="186" t="inlineStr">
        <is>
          <t>36h</t>
        </is>
      </c>
      <c r="C180" s="187" t="inlineStr">
        <is>
          <t>18/06</t>
        </is>
      </c>
      <c r="D180" s="72" t="inlineStr">
        <is>
          <t>N 18/06 → T 19/06: 6h de descanso (soma 18h)</t>
        </is>
      </c>
      <c r="E180" s="186" t="inlineStr">
        <is>
          <t>art. 66 CLT — 11h</t>
        </is>
      </c>
      <c r="F180" s="190" t="inlineStr">
        <is>
          <t>REGISTRO</t>
        </is>
      </c>
      <c r="G180" s="39" t="n"/>
      <c r="H180" s="39" t="n"/>
      <c r="I180" s="39" t="n"/>
      <c r="J180" s="39" t="n"/>
      <c r="K180" s="39" t="n"/>
      <c r="L180" s="39" t="n"/>
      <c r="M180" s="39" t="n"/>
      <c r="N180" s="39" t="n"/>
    </row>
    <row r="181" ht="18.05" customHeight="1">
      <c r="A181" s="158" t="inlineStr">
        <is>
          <t>JuCoutinho</t>
        </is>
      </c>
      <c r="B181" s="186" t="inlineStr">
        <is>
          <t>30h</t>
        </is>
      </c>
      <c r="C181" s="187" t="inlineStr">
        <is>
          <t>21/06</t>
        </is>
      </c>
      <c r="D181" s="72" t="inlineStr">
        <is>
          <t>N 21/06 → T 22/06: 6h de descanso (soma 18h)</t>
        </is>
      </c>
      <c r="E181" s="186" t="inlineStr">
        <is>
          <t>art. 66 CLT — 11h</t>
        </is>
      </c>
      <c r="F181" s="190" t="inlineStr">
        <is>
          <t>REGISTRO</t>
        </is>
      </c>
      <c r="G181" s="39" t="n"/>
      <c r="H181" s="39" t="n"/>
      <c r="I181" s="39" t="n"/>
      <c r="J181" s="39" t="n"/>
      <c r="K181" s="39" t="n"/>
      <c r="L181" s="39" t="n"/>
      <c r="M181" s="39" t="n"/>
      <c r="N181" s="39" t="n"/>
    </row>
    <row r="182" ht="18.05" customHeight="1">
      <c r="A182" s="158" t="inlineStr">
        <is>
          <t>LeLemos</t>
        </is>
      </c>
      <c r="B182" s="186" t="inlineStr">
        <is>
          <t>30h</t>
        </is>
      </c>
      <c r="C182" s="187" t="inlineStr">
        <is>
          <t>22/06</t>
        </is>
      </c>
      <c r="D182" s="72" t="inlineStr">
        <is>
          <t>N 22/06 → T 23/06: 6h de descanso (soma 18h)</t>
        </is>
      </c>
      <c r="E182" s="186" t="inlineStr">
        <is>
          <t>art. 66 CLT — 11h</t>
        </is>
      </c>
      <c r="F182" s="190" t="inlineStr">
        <is>
          <t>REGISTRO</t>
        </is>
      </c>
      <c r="G182" s="39" t="n"/>
      <c r="H182" s="39" t="n"/>
      <c r="I182" s="39" t="n"/>
      <c r="J182" s="39" t="n"/>
      <c r="K182" s="39" t="n"/>
      <c r="L182" s="39" t="n"/>
      <c r="M182" s="39" t="n"/>
      <c r="N182" s="39" t="n"/>
    </row>
    <row r="183" ht="18.05" customHeight="1">
      <c r="A183" s="158" t="inlineStr">
        <is>
          <t>MPinheiro</t>
        </is>
      </c>
      <c r="B183" s="186" t="inlineStr">
        <is>
          <t>administrativo</t>
        </is>
      </c>
      <c r="C183" s="187" t="inlineStr">
        <is>
          <t>22/06</t>
        </is>
      </c>
      <c r="D183" s="72" t="inlineStr">
        <is>
          <t>N 22/06 → T 23/06: 6h de descanso (soma 18h)</t>
        </is>
      </c>
      <c r="E183" s="186" t="inlineStr">
        <is>
          <t>art. 66 CLT — 11h</t>
        </is>
      </c>
      <c r="F183" s="190" t="inlineStr">
        <is>
          <t>REGISTRO</t>
        </is>
      </c>
      <c r="G183" s="39" t="n"/>
      <c r="H183" s="39" t="n"/>
      <c r="I183" s="39" t="n"/>
      <c r="J183" s="39" t="n"/>
      <c r="K183" s="39" t="n"/>
      <c r="L183" s="39" t="n"/>
      <c r="M183" s="39" t="n"/>
      <c r="N183" s="39" t="n"/>
    </row>
    <row r="184" ht="18.05" customHeight="1">
      <c r="A184" s="158" t="inlineStr">
        <is>
          <t>JuCoutinho</t>
        </is>
      </c>
      <c r="B184" s="186" t="inlineStr">
        <is>
          <t>30h</t>
        </is>
      </c>
      <c r="C184" s="187" t="inlineStr">
        <is>
          <t>29/06</t>
        </is>
      </c>
      <c r="D184" s="72" t="inlineStr">
        <is>
          <t>N 29/06 → T 30/06: 6h de descanso (soma 18h)</t>
        </is>
      </c>
      <c r="E184" s="186" t="inlineStr">
        <is>
          <t>art. 66 CLT — 11h</t>
        </is>
      </c>
      <c r="F184" s="190" t="inlineStr">
        <is>
          <t>REGISTRO</t>
        </is>
      </c>
      <c r="G184" s="39" t="n"/>
      <c r="H184" s="39" t="n"/>
      <c r="I184" s="39" t="n"/>
      <c r="J184" s="39" t="n"/>
      <c r="K184" s="39" t="n"/>
      <c r="L184" s="39" t="n"/>
      <c r="M184" s="39" t="n"/>
      <c r="N184" s="39" t="n"/>
    </row>
    <row r="185" ht="18.05" customHeight="1">
      <c r="A185" s="158" t="inlineStr">
        <is>
          <t>JuIsaac</t>
        </is>
      </c>
      <c r="B185" s="186" t="inlineStr">
        <is>
          <t>administrativo</t>
        </is>
      </c>
      <c r="C185" s="187" t="inlineStr">
        <is>
          <t>30/06</t>
        </is>
      </c>
      <c r="D185" s="72" t="inlineStr">
        <is>
          <t>N 30/06 → T 01/07: 6h de descanso (soma 18h)</t>
        </is>
      </c>
      <c r="E185" s="186" t="inlineStr">
        <is>
          <t>art. 66 CLT — 11h</t>
        </is>
      </c>
      <c r="F185" s="190" t="inlineStr">
        <is>
          <t>REGISTRO</t>
        </is>
      </c>
      <c r="G185" s="39" t="n"/>
      <c r="H185" s="39" t="n"/>
      <c r="I185" s="39" t="n"/>
      <c r="J185" s="39" t="n"/>
      <c r="K185" s="39" t="n"/>
      <c r="L185" s="39" t="n"/>
      <c r="M185" s="39" t="n"/>
      <c r="N185" s="39" t="n"/>
    </row>
    <row r="186" ht="18.05" customHeight="1">
      <c r="A186" s="158" t="inlineStr">
        <is>
          <t>Roberta</t>
        </is>
      </c>
      <c r="B186" s="186" t="inlineStr">
        <is>
          <t>36h</t>
        </is>
      </c>
      <c r="C186" s="187" t="inlineStr">
        <is>
          <t>08/07</t>
        </is>
      </c>
      <c r="D186" s="72" t="inlineStr">
        <is>
          <t>N 08/07 → T 09/07: 6h de descanso (soma 18h)</t>
        </is>
      </c>
      <c r="E186" s="186" t="inlineStr">
        <is>
          <t>art. 66 CLT — 11h</t>
        </is>
      </c>
      <c r="F186" s="190" t="inlineStr">
        <is>
          <t>REGISTRO</t>
        </is>
      </c>
      <c r="G186" s="39" t="n"/>
      <c r="H186" s="39" t="n"/>
      <c r="I186" s="39" t="n"/>
      <c r="J186" s="39" t="n"/>
      <c r="K186" s="39" t="n"/>
      <c r="L186" s="39" t="n"/>
      <c r="M186" s="39" t="n"/>
      <c r="N186" s="39" t="n"/>
    </row>
    <row r="187" ht="18.05" customHeight="1">
      <c r="A187" s="158" t="inlineStr">
        <is>
          <t>Amanda</t>
        </is>
      </c>
      <c r="B187" s="186" t="inlineStr">
        <is>
          <t>30h</t>
        </is>
      </c>
      <c r="C187" s="187" t="inlineStr">
        <is>
          <t>09/07</t>
        </is>
      </c>
      <c r="D187" s="72" t="inlineStr">
        <is>
          <t>N 09/07 → T 10/07: 6h de descanso (soma 18h)</t>
        </is>
      </c>
      <c r="E187" s="186" t="inlineStr">
        <is>
          <t>art. 66 CLT — 11h</t>
        </is>
      </c>
      <c r="F187" s="190" t="inlineStr">
        <is>
          <t>REGISTRO</t>
        </is>
      </c>
      <c r="G187" s="39" t="n"/>
      <c r="H187" s="39" t="n"/>
      <c r="I187" s="39" t="n"/>
      <c r="J187" s="39" t="n"/>
      <c r="K187" s="39" t="n"/>
      <c r="L187" s="39" t="n"/>
      <c r="M187" s="39" t="n"/>
      <c r="N187" s="39" t="n"/>
    </row>
    <row r="188" ht="18.05" customHeight="1">
      <c r="A188" s="158" t="inlineStr">
        <is>
          <t>MPinheiro</t>
        </is>
      </c>
      <c r="B188" s="186" t="inlineStr">
        <is>
          <t>administrativo</t>
        </is>
      </c>
      <c r="C188" s="187" t="inlineStr">
        <is>
          <t>09/07</t>
        </is>
      </c>
      <c r="D188" s="72" t="inlineStr">
        <is>
          <t>N 09/07 → T 10/07: 6h de descanso (soma 18h)</t>
        </is>
      </c>
      <c r="E188" s="186" t="inlineStr">
        <is>
          <t>art. 66 CLT — 11h</t>
        </is>
      </c>
      <c r="F188" s="190" t="inlineStr">
        <is>
          <t>REGISTRO</t>
        </is>
      </c>
      <c r="G188" s="39" t="n"/>
      <c r="H188" s="39" t="n"/>
      <c r="I188" s="39" t="n"/>
      <c r="J188" s="39" t="n"/>
      <c r="K188" s="39" t="n"/>
      <c r="L188" s="39" t="n"/>
      <c r="M188" s="39" t="n"/>
      <c r="N188" s="39" t="n"/>
    </row>
    <row r="189" ht="18.05" customHeight="1">
      <c r="A189" s="158" t="inlineStr">
        <is>
          <t>João</t>
        </is>
      </c>
      <c r="B189" s="186" t="inlineStr">
        <is>
          <t>30h</t>
        </is>
      </c>
      <c r="C189" s="187" t="inlineStr">
        <is>
          <t>19/07</t>
        </is>
      </c>
      <c r="D189" s="72" t="inlineStr">
        <is>
          <t>N 19/07 → T 20/07: 6h de descanso (soma 18h)</t>
        </is>
      </c>
      <c r="E189" s="186" t="inlineStr">
        <is>
          <t>art. 66 CLT — 11h</t>
        </is>
      </c>
      <c r="F189" s="190" t="inlineStr">
        <is>
          <t>REGISTRO</t>
        </is>
      </c>
      <c r="G189" s="39" t="n"/>
      <c r="H189" s="39" t="n"/>
      <c r="I189" s="39" t="n"/>
      <c r="J189" s="39" t="n"/>
      <c r="K189" s="39" t="n"/>
      <c r="L189" s="39" t="n"/>
      <c r="M189" s="39" t="n"/>
      <c r="N189" s="39" t="n"/>
    </row>
    <row r="190" ht="18.05" customHeight="1">
      <c r="A190" s="158" t="inlineStr">
        <is>
          <t>IsaRibeiro</t>
        </is>
      </c>
      <c r="B190" s="186" t="inlineStr">
        <is>
          <t>24h</t>
        </is>
      </c>
      <c r="C190" s="187" t="inlineStr">
        <is>
          <t>25/07</t>
        </is>
      </c>
      <c r="D190" s="72" t="inlineStr">
        <is>
          <t>N 25/07 → T 26/07: 6h de descanso (soma 18h)</t>
        </is>
      </c>
      <c r="E190" s="186" t="inlineStr">
        <is>
          <t>art. 66 CLT — 11h</t>
        </is>
      </c>
      <c r="F190" s="190" t="inlineStr">
        <is>
          <t>REGISTRO</t>
        </is>
      </c>
      <c r="G190" s="39" t="n"/>
      <c r="H190" s="39" t="n"/>
      <c r="I190" s="39" t="n"/>
      <c r="J190" s="39" t="n"/>
      <c r="K190" s="39" t="n"/>
      <c r="L190" s="39" t="n"/>
      <c r="M190" s="39" t="n"/>
      <c r="N190" s="39" t="n"/>
    </row>
    <row r="191" ht="18.05" customHeight="1">
      <c r="A191" s="158" t="inlineStr">
        <is>
          <t>LuAlice</t>
        </is>
      </c>
      <c r="B191" s="186" t="inlineStr">
        <is>
          <t>36h</t>
        </is>
      </c>
      <c r="C191" s="187" t="inlineStr">
        <is>
          <t>28/07</t>
        </is>
      </c>
      <c r="D191" s="72" t="inlineStr">
        <is>
          <t>N 28/07 → CRO 29/07: 6h de descanso (soma 18h)</t>
        </is>
      </c>
      <c r="E191" s="186" t="inlineStr">
        <is>
          <t>art. 66 CLT — 11h</t>
        </is>
      </c>
      <c r="F191" s="190" t="inlineStr">
        <is>
          <t>REGISTRO</t>
        </is>
      </c>
      <c r="G191" s="39" t="n"/>
      <c r="H191" s="39" t="n"/>
      <c r="I191" s="39" t="n"/>
      <c r="J191" s="39" t="n"/>
      <c r="K191" s="39" t="n"/>
      <c r="L191" s="39" t="n"/>
      <c r="M191" s="39" t="n"/>
      <c r="N191" s="39" t="n"/>
    </row>
    <row r="192" ht="18.05" customHeight="1">
      <c r="A192" s="158" t="inlineStr">
        <is>
          <t>MPinheiro</t>
        </is>
      </c>
      <c r="B192" s="186" t="inlineStr">
        <is>
          <t>administrativo</t>
        </is>
      </c>
      <c r="C192" s="187" t="inlineStr">
        <is>
          <t>30/07</t>
        </is>
      </c>
      <c r="D192" s="72" t="inlineStr">
        <is>
          <t>N 30/07 → T 31/07: 6h de descanso (soma 18h)</t>
        </is>
      </c>
      <c r="E192" s="186" t="inlineStr">
        <is>
          <t>art. 66 CLT — 11h</t>
        </is>
      </c>
      <c r="F192" s="190" t="inlineStr">
        <is>
          <t>REGISTRO</t>
        </is>
      </c>
      <c r="G192" s="39" t="n"/>
      <c r="H192" s="39" t="n"/>
      <c r="I192" s="39" t="n"/>
      <c r="J192" s="39" t="n"/>
      <c r="K192" s="39" t="n"/>
      <c r="L192" s="39" t="n"/>
      <c r="M192" s="39" t="n"/>
      <c r="N192" s="39" t="n"/>
    </row>
    <row r="193" ht="18.05" customHeight="1">
      <c r="A193" s="158" t="inlineStr">
        <is>
          <t>Beatriz</t>
        </is>
      </c>
      <c r="B193" s="186" t="inlineStr">
        <is>
          <t>24h</t>
        </is>
      </c>
      <c r="C193" s="187" t="inlineStr">
        <is>
          <t>02/08</t>
        </is>
      </c>
      <c r="D193" s="72" t="inlineStr">
        <is>
          <t>N 02/08 → T 03/08: 6h de descanso (soma 18h)</t>
        </is>
      </c>
      <c r="E193" s="186" t="inlineStr">
        <is>
          <t>art. 66 CLT — 11h</t>
        </is>
      </c>
      <c r="F193" s="190" t="inlineStr">
        <is>
          <t>REGISTRO</t>
        </is>
      </c>
      <c r="G193" s="39" t="n"/>
      <c r="H193" s="39" t="n"/>
      <c r="I193" s="39" t="n"/>
      <c r="J193" s="39" t="n"/>
      <c r="K193" s="39" t="n"/>
      <c r="L193" s="39" t="n"/>
      <c r="M193" s="39" t="n"/>
      <c r="N193" s="39" t="n"/>
    </row>
    <row r="194" ht="18.05" customHeight="1">
      <c r="A194" s="158" t="inlineStr">
        <is>
          <t>Roberta</t>
        </is>
      </c>
      <c r="B194" s="186" t="inlineStr">
        <is>
          <t>36h</t>
        </is>
      </c>
      <c r="C194" s="187" t="inlineStr">
        <is>
          <t>09/08</t>
        </is>
      </c>
      <c r="D194" s="72" t="inlineStr">
        <is>
          <t>N 09/08 → T 10/08: 6h de descanso (soma 18h)</t>
        </is>
      </c>
      <c r="E194" s="186" t="inlineStr">
        <is>
          <t>art. 66 CLT — 11h</t>
        </is>
      </c>
      <c r="F194" s="190" t="inlineStr">
        <is>
          <t>REGISTRO</t>
        </is>
      </c>
      <c r="G194" s="39" t="n"/>
      <c r="H194" s="39" t="n"/>
      <c r="I194" s="39" t="n"/>
      <c r="J194" s="39" t="n"/>
      <c r="K194" s="39" t="n"/>
      <c r="L194" s="39" t="n"/>
      <c r="M194" s="39" t="n"/>
      <c r="N194" s="39" t="n"/>
    </row>
    <row r="195" ht="18.05" customHeight="1">
      <c r="A195" s="158" t="inlineStr">
        <is>
          <t>Ricardo</t>
        </is>
      </c>
      <c r="B195" s="186" t="inlineStr">
        <is>
          <t>30h</t>
        </is>
      </c>
      <c r="C195" s="187" t="inlineStr">
        <is>
          <t>11/08</t>
        </is>
      </c>
      <c r="D195" s="72" t="inlineStr">
        <is>
          <t>N 11/08 → T 12/08: 6h de descanso (soma 18h)</t>
        </is>
      </c>
      <c r="E195" s="186" t="inlineStr">
        <is>
          <t>art. 66 CLT — 11h</t>
        </is>
      </c>
      <c r="F195" s="190" t="inlineStr">
        <is>
          <t>REGISTRO</t>
        </is>
      </c>
      <c r="G195" s="39" t="n"/>
      <c r="H195" s="39" t="n"/>
      <c r="I195" s="39" t="n"/>
      <c r="J195" s="39" t="n"/>
      <c r="K195" s="39" t="n"/>
      <c r="L195" s="39" t="n"/>
      <c r="M195" s="39" t="n"/>
      <c r="N195" s="39" t="n"/>
    </row>
    <row r="196" ht="18.05" customHeight="1">
      <c r="A196" s="158" t="inlineStr">
        <is>
          <t>Danielle</t>
        </is>
      </c>
      <c r="B196" s="186" t="inlineStr">
        <is>
          <t>36h</t>
        </is>
      </c>
      <c r="C196" s="187" t="inlineStr">
        <is>
          <t>13/08</t>
        </is>
      </c>
      <c r="D196" s="72" t="inlineStr">
        <is>
          <t>N 13/08 → T 14/08: 6h de descanso (soma 18h)</t>
        </is>
      </c>
      <c r="E196" s="186" t="inlineStr">
        <is>
          <t>art. 66 CLT — 11h</t>
        </is>
      </c>
      <c r="F196" s="190" t="inlineStr">
        <is>
          <t>REGISTRO</t>
        </is>
      </c>
      <c r="G196" s="39" t="n"/>
      <c r="H196" s="39" t="n"/>
      <c r="I196" s="39" t="n"/>
      <c r="J196" s="39" t="n"/>
      <c r="K196" s="39" t="n"/>
      <c r="L196" s="39" t="n"/>
      <c r="M196" s="39" t="n"/>
      <c r="N196" s="39" t="n"/>
    </row>
    <row r="197" ht="18.05" customHeight="1">
      <c r="A197" s="158" t="inlineStr">
        <is>
          <t>Danielle</t>
        </is>
      </c>
      <c r="B197" s="186" t="inlineStr">
        <is>
          <t>36h</t>
        </is>
      </c>
      <c r="C197" s="187" t="inlineStr">
        <is>
          <t>15/08</t>
        </is>
      </c>
      <c r="D197" s="72" t="inlineStr">
        <is>
          <t>N 15/08 → T 16/08: 6h de descanso (soma 18h)</t>
        </is>
      </c>
      <c r="E197" s="186" t="inlineStr">
        <is>
          <t>art. 66 CLT — 11h</t>
        </is>
      </c>
      <c r="F197" s="190" t="inlineStr">
        <is>
          <t>REGISTRO</t>
        </is>
      </c>
      <c r="G197" s="39" t="n"/>
      <c r="H197" s="39" t="n"/>
      <c r="I197" s="39" t="n"/>
      <c r="J197" s="39" t="n"/>
      <c r="K197" s="39" t="n"/>
      <c r="L197" s="39" t="n"/>
      <c r="M197" s="39" t="n"/>
      <c r="N197" s="39" t="n"/>
    </row>
    <row r="198" ht="18.05" customHeight="1">
      <c r="A198" s="158" t="inlineStr">
        <is>
          <t>Aline</t>
        </is>
      </c>
      <c r="B198" s="186" t="inlineStr">
        <is>
          <t>36h</t>
        </is>
      </c>
      <c r="C198" s="187" t="inlineStr">
        <is>
          <t>16/08</t>
        </is>
      </c>
      <c r="D198" s="72" t="inlineStr">
        <is>
          <t>N 16/08 → T 17/08: 6h de descanso (soma 18h)</t>
        </is>
      </c>
      <c r="E198" s="186" t="inlineStr">
        <is>
          <t>art. 66 CLT — 11h</t>
        </is>
      </c>
      <c r="F198" s="190" t="inlineStr">
        <is>
          <t>REGISTRO</t>
        </is>
      </c>
      <c r="G198" s="39" t="n"/>
      <c r="H198" s="39" t="n"/>
      <c r="I198" s="39" t="n"/>
      <c r="J198" s="39" t="n"/>
      <c r="K198" s="39" t="n"/>
      <c r="L198" s="39" t="n"/>
      <c r="M198" s="39" t="n"/>
      <c r="N198" s="39" t="n"/>
    </row>
    <row r="199" ht="18.05" customHeight="1">
      <c r="A199" s="158" t="inlineStr">
        <is>
          <t>João</t>
        </is>
      </c>
      <c r="B199" s="186" t="inlineStr">
        <is>
          <t>30h</t>
        </is>
      </c>
      <c r="C199" s="187" t="inlineStr">
        <is>
          <t>19/08</t>
        </is>
      </c>
      <c r="D199" s="72" t="inlineStr">
        <is>
          <t>N 19/08 → T 20/08: 6h de descanso (soma 18h)</t>
        </is>
      </c>
      <c r="E199" s="186" t="inlineStr">
        <is>
          <t>art. 66 CLT — 11h</t>
        </is>
      </c>
      <c r="F199" s="190" t="inlineStr">
        <is>
          <t>REGISTRO</t>
        </is>
      </c>
      <c r="G199" s="39" t="n"/>
      <c r="H199" s="39" t="n"/>
      <c r="I199" s="39" t="n"/>
      <c r="J199" s="39" t="n"/>
      <c r="K199" s="39" t="n"/>
      <c r="L199" s="39" t="n"/>
      <c r="M199" s="39" t="n"/>
      <c r="N199" s="39" t="n"/>
    </row>
    <row r="200" ht="18.05" customHeight="1">
      <c r="A200" s="158" t="inlineStr">
        <is>
          <t>Isabella</t>
        </is>
      </c>
      <c r="B200" s="186" t="inlineStr">
        <is>
          <t>36h</t>
        </is>
      </c>
      <c r="C200" s="187" t="inlineStr">
        <is>
          <t>23/08</t>
        </is>
      </c>
      <c r="D200" s="72" t="inlineStr">
        <is>
          <t>N 23/08 → T 24/08: 6h de descanso (soma 18h)</t>
        </is>
      </c>
      <c r="E200" s="186" t="inlineStr">
        <is>
          <t>art. 66 CLT — 11h</t>
        </is>
      </c>
      <c r="F200" s="190" t="inlineStr">
        <is>
          <t>REGISTRO</t>
        </is>
      </c>
      <c r="G200" s="39" t="n"/>
      <c r="H200" s="39" t="n"/>
      <c r="I200" s="39" t="n"/>
      <c r="J200" s="39" t="n"/>
      <c r="K200" s="39" t="n"/>
      <c r="L200" s="39" t="n"/>
      <c r="M200" s="39" t="n"/>
      <c r="N200" s="39" t="n"/>
    </row>
    <row r="201" ht="18.05" customHeight="1">
      <c r="A201" s="158" t="inlineStr">
        <is>
          <t>Raylander</t>
        </is>
      </c>
      <c r="B201" s="186" t="inlineStr">
        <is>
          <t>30h</t>
        </is>
      </c>
      <c r="C201" s="187" t="inlineStr">
        <is>
          <t>24/08</t>
        </is>
      </c>
      <c r="D201" s="72" t="inlineStr">
        <is>
          <t>N 24/08 → T 25/08: 6h de descanso (soma 18h)</t>
        </is>
      </c>
      <c r="E201" s="186" t="inlineStr">
        <is>
          <t>art. 66 CLT — 11h</t>
        </is>
      </c>
      <c r="F201" s="190" t="inlineStr">
        <is>
          <t>REGISTRO</t>
        </is>
      </c>
      <c r="G201" s="39" t="n"/>
      <c r="H201" s="39" t="n"/>
      <c r="I201" s="39" t="n"/>
      <c r="J201" s="39" t="n"/>
      <c r="K201" s="39" t="n"/>
      <c r="L201" s="39" t="n"/>
      <c r="M201" s="39" t="n"/>
      <c r="N201" s="39" t="n"/>
    </row>
    <row r="202" ht="18.05" customHeight="1">
      <c r="A202" s="158" t="inlineStr">
        <is>
          <t>LuAlice</t>
        </is>
      </c>
      <c r="B202" s="186" t="inlineStr">
        <is>
          <t>36h</t>
        </is>
      </c>
      <c r="C202" s="187" t="inlineStr">
        <is>
          <t>25/08</t>
        </is>
      </c>
      <c r="D202" s="72" t="inlineStr">
        <is>
          <t>N 25/08 → CRO 26/08: 6h de descanso (soma 18h)</t>
        </is>
      </c>
      <c r="E202" s="186" t="inlineStr">
        <is>
          <t>art. 66 CLT — 11h</t>
        </is>
      </c>
      <c r="F202" s="190" t="inlineStr">
        <is>
          <t>REGISTRO</t>
        </is>
      </c>
      <c r="G202" s="39" t="n"/>
      <c r="H202" s="39" t="n"/>
      <c r="I202" s="39" t="n"/>
      <c r="J202" s="39" t="n"/>
      <c r="K202" s="39" t="n"/>
      <c r="L202" s="39" t="n"/>
      <c r="M202" s="39" t="n"/>
      <c r="N202" s="39" t="n"/>
    </row>
    <row r="203" ht="18.05" customHeight="1">
      <c r="A203" s="158" t="inlineStr">
        <is>
          <t>LuAlice</t>
        </is>
      </c>
      <c r="B203" s="186" t="inlineStr">
        <is>
          <t>36h</t>
        </is>
      </c>
      <c r="C203" s="187" t="inlineStr">
        <is>
          <t>27/08</t>
        </is>
      </c>
      <c r="D203" s="72" t="inlineStr">
        <is>
          <t>N 27/08 → CRO 28/08: 6h de descanso (soma 18h)</t>
        </is>
      </c>
      <c r="E203" s="186" t="inlineStr">
        <is>
          <t>art. 66 CLT — 11h</t>
        </is>
      </c>
      <c r="F203" s="190" t="inlineStr">
        <is>
          <t>REGISTRO</t>
        </is>
      </c>
      <c r="G203" s="39" t="n"/>
      <c r="H203" s="39" t="n"/>
      <c r="I203" s="39" t="n"/>
      <c r="J203" s="39" t="n"/>
      <c r="K203" s="39" t="n"/>
      <c r="L203" s="39" t="n"/>
      <c r="M203" s="39" t="n"/>
      <c r="N203" s="39" t="n"/>
    </row>
    <row r="204" ht="18.05" customHeight="1">
      <c r="A204" s="158" t="inlineStr">
        <is>
          <t>Pedro</t>
        </is>
      </c>
      <c r="B204" s="186" t="inlineStr">
        <is>
          <t>24h</t>
        </is>
      </c>
      <c r="C204" s="187" t="inlineStr">
        <is>
          <t>27/08</t>
        </is>
      </c>
      <c r="D204" s="72" t="inlineStr">
        <is>
          <t>N 27/08 → T 28/08: 6h de descanso (soma 18h)</t>
        </is>
      </c>
      <c r="E204" s="186" t="inlineStr">
        <is>
          <t>art. 66 CLT — 11h</t>
        </is>
      </c>
      <c r="F204" s="190" t="inlineStr">
        <is>
          <t>REGISTRO</t>
        </is>
      </c>
      <c r="G204" s="39" t="n"/>
      <c r="H204" s="39" t="n"/>
      <c r="I204" s="39" t="n"/>
      <c r="J204" s="39" t="n"/>
      <c r="K204" s="39" t="n"/>
      <c r="L204" s="39" t="n"/>
      <c r="M204" s="39" t="n"/>
      <c r="N204" s="39" t="n"/>
    </row>
    <row r="205" ht="18.05" customHeight="1">
      <c r="A205" s="158" t="inlineStr">
        <is>
          <t>Mayana</t>
        </is>
      </c>
      <c r="B205" s="186" t="inlineStr">
        <is>
          <t>36h</t>
        </is>
      </c>
      <c r="C205" s="187" t="inlineStr">
        <is>
          <t>29/08</t>
        </is>
      </c>
      <c r="D205" s="72" t="inlineStr">
        <is>
          <t>N 29/08 → T 30/08: 6h de descanso (soma 18h)</t>
        </is>
      </c>
      <c r="E205" s="186" t="inlineStr">
        <is>
          <t>art. 66 CLT — 11h</t>
        </is>
      </c>
      <c r="F205" s="190" t="inlineStr">
        <is>
          <t>REGISTRO</t>
        </is>
      </c>
      <c r="G205" s="39" t="n"/>
      <c r="H205" s="39" t="n"/>
      <c r="I205" s="39" t="n"/>
      <c r="J205" s="39" t="n"/>
      <c r="K205" s="39" t="n"/>
      <c r="L205" s="39" t="n"/>
      <c r="M205" s="39" t="n"/>
      <c r="N205" s="39" t="n"/>
    </row>
    <row r="206" ht="18.05" customHeight="1">
      <c r="A206" s="158" t="inlineStr">
        <is>
          <t>Isabella</t>
        </is>
      </c>
      <c r="B206" s="186" t="inlineStr">
        <is>
          <t>36h</t>
        </is>
      </c>
      <c r="C206" s="187" t="inlineStr">
        <is>
          <t>30/08</t>
        </is>
      </c>
      <c r="D206" s="72" t="inlineStr">
        <is>
          <t>N 30/08 → T 31/08: 6h de descanso (soma 18h)</t>
        </is>
      </c>
      <c r="E206" s="186" t="inlineStr">
        <is>
          <t>art. 66 CLT — 11h</t>
        </is>
      </c>
      <c r="F206" s="190" t="inlineStr">
        <is>
          <t>REGISTRO</t>
        </is>
      </c>
      <c r="G206" s="39" t="n"/>
      <c r="H206" s="39" t="n"/>
      <c r="I206" s="39" t="n"/>
      <c r="J206" s="39" t="n"/>
      <c r="K206" s="39" t="n"/>
      <c r="L206" s="39" t="n"/>
      <c r="M206" s="39" t="n"/>
      <c r="N206" s="39" t="n"/>
    </row>
    <row r="207" ht="18.05" customHeight="1">
      <c r="A207" s="158" t="inlineStr">
        <is>
          <t>Pedro</t>
        </is>
      </c>
      <c r="B207" s="186" t="inlineStr">
        <is>
          <t>24h</t>
        </is>
      </c>
      <c r="C207" s="187" t="inlineStr">
        <is>
          <t>31/08</t>
        </is>
      </c>
      <c r="D207" s="72" t="inlineStr">
        <is>
          <t>N 31/08 → T 01/09: 6h de descanso (soma 18h)</t>
        </is>
      </c>
      <c r="E207" s="186" t="inlineStr">
        <is>
          <t>art. 66 CLT — 11h</t>
        </is>
      </c>
      <c r="F207" s="190" t="inlineStr">
        <is>
          <t>REGISTRO</t>
        </is>
      </c>
      <c r="G207" s="39" t="n"/>
      <c r="H207" s="39" t="n"/>
      <c r="I207" s="39" t="n"/>
      <c r="J207" s="39" t="n"/>
      <c r="K207" s="39" t="n"/>
      <c r="L207" s="39" t="n"/>
      <c r="M207" s="39" t="n"/>
      <c r="N207" s="39" t="n"/>
    </row>
    <row r="208" ht="18.05" customHeight="1">
      <c r="A208" s="158" t="inlineStr">
        <is>
          <t>Yuji</t>
        </is>
      </c>
      <c r="B208" s="186" t="inlineStr">
        <is>
          <t>24h</t>
        </is>
      </c>
      <c r="C208" s="187" t="inlineStr">
        <is>
          <t>01/09</t>
        </is>
      </c>
      <c r="D208" s="72" t="inlineStr">
        <is>
          <t>N 01/09 → T 02/09: 6h de descanso (soma 18h)</t>
        </is>
      </c>
      <c r="E208" s="186" t="inlineStr">
        <is>
          <t>art. 66 CLT — 11h</t>
        </is>
      </c>
      <c r="F208" s="190" t="inlineStr">
        <is>
          <t>REGISTRO</t>
        </is>
      </c>
      <c r="G208" s="39" t="n"/>
      <c r="H208" s="39" t="n"/>
      <c r="I208" s="39" t="n"/>
      <c r="J208" s="39" t="n"/>
      <c r="K208" s="39" t="n"/>
      <c r="L208" s="39" t="n"/>
      <c r="M208" s="39" t="n"/>
      <c r="N208" s="39" t="n"/>
    </row>
    <row r="209" ht="18.05" customHeight="1">
      <c r="A209" s="158" t="inlineStr">
        <is>
          <t>Melara</t>
        </is>
      </c>
      <c r="B209" s="186" t="inlineStr">
        <is>
          <t>24h</t>
        </is>
      </c>
      <c r="C209" s="187" t="inlineStr">
        <is>
          <t>02/09</t>
        </is>
      </c>
      <c r="D209" s="72" t="inlineStr">
        <is>
          <t>N 02/09 → T 03/09: 6h de descanso (soma 18h)</t>
        </is>
      </c>
      <c r="E209" s="186" t="inlineStr">
        <is>
          <t>art. 66 CLT — 11h</t>
        </is>
      </c>
      <c r="F209" s="190" t="inlineStr">
        <is>
          <t>REGISTRO</t>
        </is>
      </c>
      <c r="G209" s="39" t="n"/>
      <c r="H209" s="39" t="n"/>
      <c r="I209" s="39" t="n"/>
      <c r="J209" s="39" t="n"/>
      <c r="K209" s="39" t="n"/>
      <c r="L209" s="39" t="n"/>
      <c r="M209" s="39" t="n"/>
      <c r="N209" s="39" t="n"/>
    </row>
    <row r="210" ht="18.05" customHeight="1">
      <c r="A210" s="158" t="inlineStr">
        <is>
          <t>Roberta</t>
        </is>
      </c>
      <c r="B210" s="186" t="inlineStr">
        <is>
          <t>36h</t>
        </is>
      </c>
      <c r="C210" s="187" t="inlineStr">
        <is>
          <t>02/09</t>
        </is>
      </c>
      <c r="D210" s="72" t="inlineStr">
        <is>
          <t>N 02/09 → T 03/09: 6h de descanso (soma 18h)</t>
        </is>
      </c>
      <c r="E210" s="186" t="inlineStr">
        <is>
          <t>art. 66 CLT — 11h</t>
        </is>
      </c>
      <c r="F210" s="190" t="inlineStr">
        <is>
          <t>REGISTRO</t>
        </is>
      </c>
      <c r="G210" s="39" t="n"/>
      <c r="H210" s="39" t="n"/>
      <c r="I210" s="39" t="n"/>
      <c r="J210" s="39" t="n"/>
      <c r="K210" s="39" t="n"/>
      <c r="L210" s="39" t="n"/>
      <c r="M210" s="39" t="n"/>
      <c r="N210" s="39" t="n"/>
    </row>
    <row r="211" ht="18.05" customHeight="1">
      <c r="A211" s="158" t="inlineStr">
        <is>
          <t>Joaquim</t>
        </is>
      </c>
      <c r="B211" s="186" t="inlineStr">
        <is>
          <t>24h</t>
        </is>
      </c>
      <c r="C211" s="187" t="inlineStr">
        <is>
          <t>04/09</t>
        </is>
      </c>
      <c r="D211" s="72" t="inlineStr">
        <is>
          <t>N 04/09 → T 05/09: 6h de descanso (soma 18h)</t>
        </is>
      </c>
      <c r="E211" s="186" t="inlineStr">
        <is>
          <t>art. 66 CLT — 11h</t>
        </is>
      </c>
      <c r="F211" s="190" t="inlineStr">
        <is>
          <t>REGISTRO</t>
        </is>
      </c>
      <c r="G211" s="39" t="n"/>
      <c r="H211" s="39" t="n"/>
      <c r="I211" s="39" t="n"/>
      <c r="J211" s="39" t="n"/>
      <c r="K211" s="39" t="n"/>
      <c r="L211" s="39" t="n"/>
      <c r="M211" s="39" t="n"/>
      <c r="N211" s="39" t="n"/>
    </row>
    <row r="212" ht="18.05" customHeight="1">
      <c r="A212" s="158" t="inlineStr">
        <is>
          <t>Isabella</t>
        </is>
      </c>
      <c r="B212" s="186" t="inlineStr">
        <is>
          <t>36h</t>
        </is>
      </c>
      <c r="C212" s="187" t="inlineStr">
        <is>
          <t>06/09</t>
        </is>
      </c>
      <c r="D212" s="72" t="inlineStr">
        <is>
          <t>N 06/09 → T 07/09: 6h de descanso (soma 18h)</t>
        </is>
      </c>
      <c r="E212" s="186" t="inlineStr">
        <is>
          <t>art. 66 CLT — 11h</t>
        </is>
      </c>
      <c r="F212" s="190" t="inlineStr">
        <is>
          <t>REGISTRO</t>
        </is>
      </c>
      <c r="G212" s="39" t="n"/>
      <c r="H212" s="39" t="n"/>
      <c r="I212" s="39" t="n"/>
      <c r="J212" s="39" t="n"/>
      <c r="K212" s="39" t="n"/>
      <c r="L212" s="39" t="n"/>
      <c r="M212" s="39" t="n"/>
      <c r="N212" s="39" t="n"/>
    </row>
    <row r="213" ht="18.05" customHeight="1">
      <c r="A213" s="158" t="inlineStr">
        <is>
          <t>Aline</t>
        </is>
      </c>
      <c r="B213" s="186" t="inlineStr">
        <is>
          <t>36h</t>
        </is>
      </c>
      <c r="C213" s="187" t="inlineStr">
        <is>
          <t>08/09</t>
        </is>
      </c>
      <c r="D213" s="72" t="inlineStr">
        <is>
          <t>N 08/09 → T 09/09: 6h de descanso (soma 18h)</t>
        </is>
      </c>
      <c r="E213" s="186" t="inlineStr">
        <is>
          <t>art. 66 CLT — 11h</t>
        </is>
      </c>
      <c r="F213" s="190" t="inlineStr">
        <is>
          <t>REGISTRO</t>
        </is>
      </c>
      <c r="G213" s="39" t="n"/>
      <c r="H213" s="39" t="n"/>
      <c r="I213" s="39" t="n"/>
      <c r="J213" s="39" t="n"/>
      <c r="K213" s="39" t="n"/>
      <c r="L213" s="39" t="n"/>
      <c r="M213" s="39" t="n"/>
      <c r="N213" s="39" t="n"/>
    </row>
    <row r="214" ht="18.05" customHeight="1">
      <c r="A214" s="158" t="inlineStr">
        <is>
          <t>LuAlice</t>
        </is>
      </c>
      <c r="B214" s="186" t="inlineStr">
        <is>
          <t>36h</t>
        </is>
      </c>
      <c r="C214" s="187" t="inlineStr">
        <is>
          <t>10/09</t>
        </is>
      </c>
      <c r="D214" s="72" t="inlineStr">
        <is>
          <t>N 10/09 → CRO 11/09: 6h de descanso (soma 18h)</t>
        </is>
      </c>
      <c r="E214" s="186" t="inlineStr">
        <is>
          <t>art. 66 CLT — 11h</t>
        </is>
      </c>
      <c r="F214" s="190" t="inlineStr">
        <is>
          <t>REGISTRO</t>
        </is>
      </c>
      <c r="G214" s="39" t="n"/>
      <c r="H214" s="39" t="n"/>
      <c r="I214" s="39" t="n"/>
      <c r="J214" s="39" t="n"/>
      <c r="K214" s="39" t="n"/>
      <c r="L214" s="39" t="n"/>
      <c r="M214" s="39" t="n"/>
      <c r="N214" s="39" t="n"/>
    </row>
    <row r="215" ht="18.05" customHeight="1">
      <c r="A215" s="158" t="inlineStr">
        <is>
          <t>João</t>
        </is>
      </c>
      <c r="B215" s="186" t="inlineStr">
        <is>
          <t>30h</t>
        </is>
      </c>
      <c r="C215" s="187" t="inlineStr">
        <is>
          <t>13/09</t>
        </is>
      </c>
      <c r="D215" s="72" t="inlineStr">
        <is>
          <t>N 13/09 → T 14/09: 6h de descanso (soma 18h)</t>
        </is>
      </c>
      <c r="E215" s="186" t="inlineStr">
        <is>
          <t>art. 66 CLT — 11h</t>
        </is>
      </c>
      <c r="F215" s="190" t="inlineStr">
        <is>
          <t>REGISTRO</t>
        </is>
      </c>
      <c r="G215" s="39" t="n"/>
      <c r="H215" s="39" t="n"/>
      <c r="I215" s="39" t="n"/>
      <c r="J215" s="39" t="n"/>
      <c r="K215" s="39" t="n"/>
      <c r="L215" s="39" t="n"/>
      <c r="M215" s="39" t="n"/>
      <c r="N215" s="39" t="n"/>
    </row>
    <row r="216" ht="18.05" customHeight="1">
      <c r="A216" s="158" t="inlineStr">
        <is>
          <t>Pedro</t>
        </is>
      </c>
      <c r="B216" s="186" t="inlineStr">
        <is>
          <t>24h</t>
        </is>
      </c>
      <c r="C216" s="187" t="inlineStr">
        <is>
          <t>15/09</t>
        </is>
      </c>
      <c r="D216" s="72" t="inlineStr">
        <is>
          <t>N 15/09 → T 16/09: 6h de descanso (soma 18h)</t>
        </is>
      </c>
      <c r="E216" s="186" t="inlineStr">
        <is>
          <t>art. 66 CLT — 11h</t>
        </is>
      </c>
      <c r="F216" s="190" t="inlineStr">
        <is>
          <t>REGISTRO</t>
        </is>
      </c>
      <c r="G216" s="39" t="n"/>
      <c r="H216" s="39" t="n"/>
      <c r="I216" s="39" t="n"/>
      <c r="J216" s="39" t="n"/>
      <c r="K216" s="39" t="n"/>
      <c r="L216" s="39" t="n"/>
      <c r="M216" s="39" t="n"/>
      <c r="N216" s="39" t="n"/>
    </row>
    <row r="217" ht="18.05" customHeight="1">
      <c r="A217" s="158" t="inlineStr">
        <is>
          <t>Roberta</t>
        </is>
      </c>
      <c r="B217" s="186" t="inlineStr">
        <is>
          <t>36h</t>
        </is>
      </c>
      <c r="C217" s="187" t="inlineStr">
        <is>
          <t>17/09</t>
        </is>
      </c>
      <c r="D217" s="72" t="inlineStr">
        <is>
          <t>N 17/09 → T 18/09: 6h de descanso (soma 18h)</t>
        </is>
      </c>
      <c r="E217" s="186" t="inlineStr">
        <is>
          <t>art. 66 CLT — 11h</t>
        </is>
      </c>
      <c r="F217" s="190" t="inlineStr">
        <is>
          <t>REGISTRO</t>
        </is>
      </c>
      <c r="G217" s="39" t="n"/>
      <c r="H217" s="39" t="n"/>
      <c r="I217" s="39" t="n"/>
      <c r="J217" s="39" t="n"/>
      <c r="K217" s="39" t="n"/>
      <c r="L217" s="39" t="n"/>
      <c r="M217" s="39" t="n"/>
      <c r="N217" s="39" t="n"/>
    </row>
    <row r="218" ht="18.05" customHeight="1">
      <c r="A218" s="158" t="inlineStr">
        <is>
          <t>CaAbreu</t>
        </is>
      </c>
      <c r="B218" s="186" t="inlineStr">
        <is>
          <t>36h</t>
        </is>
      </c>
      <c r="C218" s="187" t="inlineStr">
        <is>
          <t>20/09</t>
        </is>
      </c>
      <c r="D218" s="72" t="inlineStr">
        <is>
          <t>N 20/09 → T 21/09: 6h de descanso (soma 18h)</t>
        </is>
      </c>
      <c r="E218" s="186" t="inlineStr">
        <is>
          <t>art. 66 CLT — 11h</t>
        </is>
      </c>
      <c r="F218" s="190" t="inlineStr">
        <is>
          <t>REGISTRO</t>
        </is>
      </c>
      <c r="G218" s="39" t="n"/>
      <c r="H218" s="39" t="n"/>
      <c r="I218" s="39" t="n"/>
      <c r="J218" s="39" t="n"/>
      <c r="K218" s="39" t="n"/>
      <c r="L218" s="39" t="n"/>
      <c r="M218" s="39" t="n"/>
      <c r="N218" s="39" t="n"/>
    </row>
    <row r="219" ht="18.05" customHeight="1">
      <c r="A219" s="158" t="inlineStr">
        <is>
          <t>Aline</t>
        </is>
      </c>
      <c r="B219" s="186" t="inlineStr">
        <is>
          <t>36h</t>
        </is>
      </c>
      <c r="C219" s="187" t="inlineStr">
        <is>
          <t>21/09</t>
        </is>
      </c>
      <c r="D219" s="72" t="inlineStr">
        <is>
          <t>N 21/09 → T 22/09: 6h de descanso (soma 18h)</t>
        </is>
      </c>
      <c r="E219" s="186" t="inlineStr">
        <is>
          <t>art. 66 CLT — 11h</t>
        </is>
      </c>
      <c r="F219" s="190" t="inlineStr">
        <is>
          <t>REGISTRO</t>
        </is>
      </c>
      <c r="G219" s="39" t="n"/>
      <c r="H219" s="39" t="n"/>
      <c r="I219" s="39" t="n"/>
      <c r="J219" s="39" t="n"/>
      <c r="K219" s="39" t="n"/>
      <c r="L219" s="39" t="n"/>
      <c r="M219" s="39" t="n"/>
      <c r="N219" s="39" t="n"/>
    </row>
    <row r="220" ht="18.05" customHeight="1">
      <c r="A220" s="158" t="inlineStr">
        <is>
          <t>JuCoutinho</t>
        </is>
      </c>
      <c r="B220" s="186" t="inlineStr">
        <is>
          <t>30h</t>
        </is>
      </c>
      <c r="C220" s="187" t="inlineStr">
        <is>
          <t>27/09</t>
        </is>
      </c>
      <c r="D220" s="72" t="inlineStr">
        <is>
          <t>N 27/09 → T 28/09: 6h de descanso (soma 18h)</t>
        </is>
      </c>
      <c r="E220" s="186" t="inlineStr">
        <is>
          <t>art. 66 CLT — 11h</t>
        </is>
      </c>
      <c r="F220" s="190" t="inlineStr">
        <is>
          <t>REGISTRO</t>
        </is>
      </c>
      <c r="G220" s="39" t="n"/>
      <c r="H220" s="39" t="n"/>
      <c r="I220" s="39" t="n"/>
      <c r="J220" s="39" t="n"/>
      <c r="K220" s="39" t="n"/>
      <c r="L220" s="39" t="n"/>
      <c r="M220" s="39" t="n"/>
      <c r="N220" s="39" t="n"/>
    </row>
    <row r="221" ht="18.05" customHeight="1">
      <c r="A221" s="158" t="inlineStr">
        <is>
          <t>LuAlice</t>
        </is>
      </c>
      <c r="B221" s="186" t="inlineStr">
        <is>
          <t>36h</t>
        </is>
      </c>
      <c r="C221" s="187" t="inlineStr">
        <is>
          <t>01/10</t>
        </is>
      </c>
      <c r="D221" s="72" t="inlineStr">
        <is>
          <t>N 01/10 → CRO 02/10: 6h de descanso (soma 18h)</t>
        </is>
      </c>
      <c r="E221" s="186" t="inlineStr">
        <is>
          <t>art. 66 CLT — 11h</t>
        </is>
      </c>
      <c r="F221" s="190" t="inlineStr">
        <is>
          <t>REGISTRO</t>
        </is>
      </c>
      <c r="G221" s="39" t="n"/>
      <c r="H221" s="39" t="n"/>
      <c r="I221" s="39" t="n"/>
      <c r="J221" s="39" t="n"/>
      <c r="K221" s="39" t="n"/>
      <c r="L221" s="39" t="n"/>
      <c r="M221" s="39" t="n"/>
      <c r="N221" s="39" t="n"/>
    </row>
    <row r="222" ht="18.05" customHeight="1">
      <c r="A222" s="158" t="inlineStr">
        <is>
          <t>Raylander</t>
        </is>
      </c>
      <c r="B222" s="186" t="inlineStr">
        <is>
          <t>30h</t>
        </is>
      </c>
      <c r="C222" s="187" t="inlineStr">
        <is>
          <t>01/10</t>
        </is>
      </c>
      <c r="D222" s="72" t="inlineStr">
        <is>
          <t>N 01/10 → T 02/10: 6h de descanso (soma 18h)</t>
        </is>
      </c>
      <c r="E222" s="186" t="inlineStr">
        <is>
          <t>art. 66 CLT — 11h</t>
        </is>
      </c>
      <c r="F222" s="190" t="inlineStr">
        <is>
          <t>REGISTRO</t>
        </is>
      </c>
      <c r="G222" s="39" t="n"/>
      <c r="H222" s="39" t="n"/>
      <c r="I222" s="39" t="n"/>
      <c r="J222" s="39" t="n"/>
      <c r="K222" s="39" t="n"/>
      <c r="L222" s="39" t="n"/>
      <c r="M222" s="39" t="n"/>
      <c r="N222" s="39" t="n"/>
    </row>
    <row r="223" ht="18.05" customHeight="1">
      <c r="A223" s="158" t="inlineStr">
        <is>
          <t>Aline</t>
        </is>
      </c>
      <c r="B223" s="186" t="inlineStr">
        <is>
          <t>36h</t>
        </is>
      </c>
      <c r="C223" s="187" t="inlineStr">
        <is>
          <t>02/10</t>
        </is>
      </c>
      <c r="D223" s="72" t="inlineStr">
        <is>
          <t>N 02/10 → T 03/10: 6h de descanso (soma 18h)</t>
        </is>
      </c>
      <c r="E223" s="186" t="inlineStr">
        <is>
          <t>art. 66 CLT — 11h</t>
        </is>
      </c>
      <c r="F223" s="190" t="inlineStr">
        <is>
          <t>REGISTRO</t>
        </is>
      </c>
      <c r="G223" s="39" t="n"/>
      <c r="H223" s="39" t="n"/>
      <c r="I223" s="39" t="n"/>
      <c r="J223" s="39" t="n"/>
      <c r="K223" s="39" t="n"/>
      <c r="L223" s="39" t="n"/>
      <c r="M223" s="39" t="n"/>
      <c r="N223" s="39" t="n"/>
    </row>
    <row r="224" ht="18.05" customHeight="1">
      <c r="A224" s="158" t="inlineStr">
        <is>
          <t>Isabella</t>
        </is>
      </c>
      <c r="B224" s="186" t="inlineStr">
        <is>
          <t>36h</t>
        </is>
      </c>
      <c r="C224" s="187" t="inlineStr">
        <is>
          <t>04/10</t>
        </is>
      </c>
      <c r="D224" s="72" t="inlineStr">
        <is>
          <t>N 04/10 → T 05/10: 6h de descanso (soma 18h)</t>
        </is>
      </c>
      <c r="E224" s="186" t="inlineStr">
        <is>
          <t>art. 66 CLT — 11h</t>
        </is>
      </c>
      <c r="F224" s="190" t="inlineStr">
        <is>
          <t>REGISTRO</t>
        </is>
      </c>
      <c r="G224" s="39" t="n"/>
      <c r="H224" s="39" t="n"/>
      <c r="I224" s="39" t="n"/>
      <c r="J224" s="39" t="n"/>
      <c r="K224" s="39" t="n"/>
      <c r="L224" s="39" t="n"/>
      <c r="M224" s="39" t="n"/>
      <c r="N224" s="39" t="n"/>
    </row>
    <row r="225" ht="18.05" customHeight="1">
      <c r="A225" s="158" t="inlineStr">
        <is>
          <t>Roberta</t>
        </is>
      </c>
      <c r="B225" s="186" t="inlineStr">
        <is>
          <t>36h</t>
        </is>
      </c>
      <c r="C225" s="187" t="inlineStr">
        <is>
          <t>04/10</t>
        </is>
      </c>
      <c r="D225" s="72" t="inlineStr">
        <is>
          <t>N 04/10 → T 05/10: 6h de descanso (soma 18h)</t>
        </is>
      </c>
      <c r="E225" s="186" t="inlineStr">
        <is>
          <t>art. 66 CLT — 11h</t>
        </is>
      </c>
      <c r="F225" s="190" t="inlineStr">
        <is>
          <t>REGISTRO</t>
        </is>
      </c>
      <c r="G225" s="39" t="n"/>
      <c r="H225" s="39" t="n"/>
      <c r="I225" s="39" t="n"/>
      <c r="J225" s="39" t="n"/>
      <c r="K225" s="39" t="n"/>
      <c r="L225" s="39" t="n"/>
      <c r="M225" s="39" t="n"/>
      <c r="N225" s="39" t="n"/>
    </row>
    <row r="226" ht="18.05" customHeight="1">
      <c r="A226" s="158" t="inlineStr">
        <is>
          <t>Pedro</t>
        </is>
      </c>
      <c r="B226" s="186" t="inlineStr">
        <is>
          <t>24h</t>
        </is>
      </c>
      <c r="C226" s="187" t="inlineStr">
        <is>
          <t>06/10</t>
        </is>
      </c>
      <c r="D226" s="72" t="inlineStr">
        <is>
          <t>N 06/10 → T 07/10: 6h de descanso (soma 18h)</t>
        </is>
      </c>
      <c r="E226" s="186" t="inlineStr">
        <is>
          <t>art. 66 CLT — 11h</t>
        </is>
      </c>
      <c r="F226" s="190" t="inlineStr">
        <is>
          <t>REGISTRO</t>
        </is>
      </c>
      <c r="G226" s="39" t="n"/>
      <c r="H226" s="39" t="n"/>
      <c r="I226" s="39" t="n"/>
      <c r="J226" s="39" t="n"/>
      <c r="K226" s="39" t="n"/>
      <c r="L226" s="39" t="n"/>
      <c r="M226" s="39" t="n"/>
      <c r="N226" s="39" t="n"/>
    </row>
    <row r="227" ht="18.05" customHeight="1">
      <c r="A227" s="158" t="inlineStr">
        <is>
          <t>LuAlice</t>
        </is>
      </c>
      <c r="B227" s="186" t="inlineStr">
        <is>
          <t>36h</t>
        </is>
      </c>
      <c r="C227" s="187" t="inlineStr">
        <is>
          <t>08/10</t>
        </is>
      </c>
      <c r="D227" s="72" t="inlineStr">
        <is>
          <t>N 08/10 → CRO 09/10: 6h de descanso (soma 18h)</t>
        </is>
      </c>
      <c r="E227" s="186" t="inlineStr">
        <is>
          <t>art. 66 CLT — 11h</t>
        </is>
      </c>
      <c r="F227" s="190" t="inlineStr">
        <is>
          <t>REGISTRO</t>
        </is>
      </c>
      <c r="G227" s="39" t="n"/>
      <c r="H227" s="39" t="n"/>
      <c r="I227" s="39" t="n"/>
      <c r="J227" s="39" t="n"/>
      <c r="K227" s="39" t="n"/>
      <c r="L227" s="39" t="n"/>
      <c r="M227" s="39" t="n"/>
      <c r="N227" s="39" t="n"/>
    </row>
    <row r="228" ht="18.05" customHeight="1">
      <c r="A228" s="158" t="inlineStr">
        <is>
          <t>Thamyres</t>
        </is>
      </c>
      <c r="B228" s="186" t="inlineStr">
        <is>
          <t>24h</t>
        </is>
      </c>
      <c r="C228" s="187" t="inlineStr">
        <is>
          <t>09/10</t>
        </is>
      </c>
      <c r="D228" s="72" t="inlineStr">
        <is>
          <t>N 09/10 → T 10/10: 6h de descanso (soma 18h)</t>
        </is>
      </c>
      <c r="E228" s="186" t="inlineStr">
        <is>
          <t>art. 66 CLT — 11h</t>
        </is>
      </c>
      <c r="F228" s="190" t="inlineStr">
        <is>
          <t>REGISTRO</t>
        </is>
      </c>
      <c r="G228" s="39" t="n"/>
      <c r="H228" s="39" t="n"/>
      <c r="I228" s="39" t="n"/>
      <c r="J228" s="39" t="n"/>
      <c r="K228" s="39" t="n"/>
      <c r="L228" s="39" t="n"/>
      <c r="M228" s="39" t="n"/>
      <c r="N228" s="39" t="n"/>
    </row>
    <row r="229" ht="18.05" customHeight="1">
      <c r="A229" s="158" t="inlineStr">
        <is>
          <t>Raylander</t>
        </is>
      </c>
      <c r="B229" s="186" t="inlineStr">
        <is>
          <t>30h</t>
        </is>
      </c>
      <c r="C229" s="187" t="inlineStr">
        <is>
          <t>10/10</t>
        </is>
      </c>
      <c r="D229" s="72" t="inlineStr">
        <is>
          <t>N 10/10 → T 11/10: 6h de descanso (soma 18h)</t>
        </is>
      </c>
      <c r="E229" s="186" t="inlineStr">
        <is>
          <t>art. 66 CLT — 11h</t>
        </is>
      </c>
      <c r="F229" s="190" t="inlineStr">
        <is>
          <t>REGISTRO</t>
        </is>
      </c>
      <c r="G229" s="39" t="n"/>
      <c r="H229" s="39" t="n"/>
      <c r="I229" s="39" t="n"/>
      <c r="J229" s="39" t="n"/>
      <c r="K229" s="39" t="n"/>
      <c r="L229" s="39" t="n"/>
      <c r="M229" s="39" t="n"/>
      <c r="N229" s="39" t="n"/>
    </row>
    <row r="230" ht="18.05" customHeight="1">
      <c r="A230" s="158" t="inlineStr">
        <is>
          <t>João</t>
        </is>
      </c>
      <c r="B230" s="186" t="inlineStr">
        <is>
          <t>30h</t>
        </is>
      </c>
      <c r="C230" s="187" t="inlineStr">
        <is>
          <t>14/10</t>
        </is>
      </c>
      <c r="D230" s="72" t="inlineStr">
        <is>
          <t>N 14/10 → T 15/10: 6h de descanso (soma 18h)</t>
        </is>
      </c>
      <c r="E230" s="186" t="inlineStr">
        <is>
          <t>art. 66 CLT — 11h</t>
        </is>
      </c>
      <c r="F230" s="190" t="inlineStr">
        <is>
          <t>REGISTRO</t>
        </is>
      </c>
      <c r="G230" s="39" t="n"/>
      <c r="H230" s="39" t="n"/>
      <c r="I230" s="39" t="n"/>
      <c r="J230" s="39" t="n"/>
      <c r="K230" s="39" t="n"/>
      <c r="L230" s="39" t="n"/>
      <c r="M230" s="39" t="n"/>
      <c r="N230" s="39" t="n"/>
    </row>
    <row r="231" ht="18.05" customHeight="1">
      <c r="A231" s="158" t="inlineStr">
        <is>
          <t>Rosana</t>
        </is>
      </c>
      <c r="B231" s="186" t="inlineStr">
        <is>
          <t>30h</t>
        </is>
      </c>
      <c r="C231" s="187" t="inlineStr">
        <is>
          <t>17/10</t>
        </is>
      </c>
      <c r="D231" s="72" t="inlineStr">
        <is>
          <t>N 17/10 → T 18/10: 6h de descanso (soma 18h)</t>
        </is>
      </c>
      <c r="E231" s="186" t="inlineStr">
        <is>
          <t>art. 66 CLT — 11h</t>
        </is>
      </c>
      <c r="F231" s="190" t="inlineStr">
        <is>
          <t>REGISTRO</t>
        </is>
      </c>
      <c r="G231" s="39" t="n"/>
      <c r="H231" s="39" t="n"/>
      <c r="I231" s="39" t="n"/>
      <c r="J231" s="39" t="n"/>
      <c r="K231" s="39" t="n"/>
      <c r="L231" s="39" t="n"/>
      <c r="M231" s="39" t="n"/>
      <c r="N231" s="39" t="n"/>
    </row>
    <row r="232" ht="18.05" customHeight="1">
      <c r="A232" s="158" t="inlineStr">
        <is>
          <t>Roberta</t>
        </is>
      </c>
      <c r="B232" s="186" t="inlineStr">
        <is>
          <t>36h</t>
        </is>
      </c>
      <c r="C232" s="187" t="inlineStr">
        <is>
          <t>20/10</t>
        </is>
      </c>
      <c r="D232" s="72" t="inlineStr">
        <is>
          <t>N 20/10 → T 21/10: 6h de descanso (soma 18h)</t>
        </is>
      </c>
      <c r="E232" s="186" t="inlineStr">
        <is>
          <t>art. 66 CLT — 11h</t>
        </is>
      </c>
      <c r="F232" s="190" t="inlineStr">
        <is>
          <t>REGISTRO</t>
        </is>
      </c>
      <c r="G232" s="39" t="n"/>
      <c r="H232" s="39" t="n"/>
      <c r="I232" s="39" t="n"/>
      <c r="J232" s="39" t="n"/>
      <c r="K232" s="39" t="n"/>
      <c r="L232" s="39" t="n"/>
      <c r="M232" s="39" t="n"/>
      <c r="N232" s="39" t="n"/>
    </row>
    <row r="233" ht="18.05" customHeight="1">
      <c r="A233" s="158" t="inlineStr">
        <is>
          <t>LeLemos</t>
        </is>
      </c>
      <c r="B233" s="186" t="inlineStr">
        <is>
          <t>30h</t>
        </is>
      </c>
      <c r="C233" s="187" t="inlineStr">
        <is>
          <t>23/10</t>
        </is>
      </c>
      <c r="D233" s="72" t="inlineStr">
        <is>
          <t>N 23/10 → T 24/10: 6h de descanso (soma 18h)</t>
        </is>
      </c>
      <c r="E233" s="186" t="inlineStr">
        <is>
          <t>art. 66 CLT — 11h</t>
        </is>
      </c>
      <c r="F233" s="190" t="inlineStr">
        <is>
          <t>REGISTRO</t>
        </is>
      </c>
      <c r="G233" s="39" t="n"/>
      <c r="H233" s="39" t="n"/>
      <c r="I233" s="39" t="n"/>
      <c r="J233" s="39" t="n"/>
      <c r="K233" s="39" t="n"/>
      <c r="L233" s="39" t="n"/>
      <c r="M233" s="39" t="n"/>
      <c r="N233" s="39" t="n"/>
    </row>
    <row r="234" ht="18.05" customHeight="1">
      <c r="A234" s="158" t="inlineStr">
        <is>
          <t>Pedro</t>
        </is>
      </c>
      <c r="B234" s="186" t="inlineStr">
        <is>
          <t>24h</t>
        </is>
      </c>
      <c r="C234" s="187" t="inlineStr">
        <is>
          <t>25/10</t>
        </is>
      </c>
      <c r="D234" s="72" t="inlineStr">
        <is>
          <t>N 25/10 → T 26/10: 6h de descanso (soma 18h)</t>
        </is>
      </c>
      <c r="E234" s="186" t="inlineStr">
        <is>
          <t>art. 66 CLT — 11h</t>
        </is>
      </c>
      <c r="F234" s="190" t="inlineStr">
        <is>
          <t>REGISTRO</t>
        </is>
      </c>
      <c r="G234" s="39" t="n"/>
      <c r="H234" s="39" t="n"/>
      <c r="I234" s="39" t="n"/>
      <c r="J234" s="39" t="n"/>
      <c r="K234" s="39" t="n"/>
      <c r="L234" s="39" t="n"/>
      <c r="M234" s="39" t="n"/>
      <c r="N234" s="39" t="n"/>
    </row>
    <row r="235" ht="18.05" customHeight="1">
      <c r="A235" s="158" t="inlineStr">
        <is>
          <t>João</t>
        </is>
      </c>
      <c r="B235" s="186" t="inlineStr">
        <is>
          <t>30h</t>
        </is>
      </c>
      <c r="C235" s="187" t="inlineStr">
        <is>
          <t>28/10</t>
        </is>
      </c>
      <c r="D235" s="72" t="inlineStr">
        <is>
          <t>N 28/10 → T 29/10: 6h de descanso (soma 18h)</t>
        </is>
      </c>
      <c r="E235" s="186" t="inlineStr">
        <is>
          <t>art. 66 CLT — 11h</t>
        </is>
      </c>
      <c r="F235" s="190" t="inlineStr">
        <is>
          <t>REGISTRO</t>
        </is>
      </c>
      <c r="G235" s="39" t="n"/>
      <c r="H235" s="39" t="n"/>
      <c r="I235" s="39" t="n"/>
      <c r="J235" s="39" t="n"/>
      <c r="K235" s="39" t="n"/>
      <c r="L235" s="39" t="n"/>
      <c r="M235" s="39" t="n"/>
      <c r="N235" s="39" t="n"/>
    </row>
    <row r="236" ht="18.05" customHeight="1">
      <c r="A236" s="158" t="inlineStr">
        <is>
          <t>CaAbreu</t>
        </is>
      </c>
      <c r="B236" s="186" t="inlineStr">
        <is>
          <t>36h</t>
        </is>
      </c>
      <c r="C236" s="187" t="inlineStr">
        <is>
          <t>31/10</t>
        </is>
      </c>
      <c r="D236" s="72" t="inlineStr">
        <is>
          <t>N 31/10 → T 01/11: 6h de descanso (soma 18h)</t>
        </is>
      </c>
      <c r="E236" s="186" t="inlineStr">
        <is>
          <t>art. 66 CLT — 11h</t>
        </is>
      </c>
      <c r="F236" s="190" t="inlineStr">
        <is>
          <t>REGISTRO</t>
        </is>
      </c>
      <c r="G236" s="39" t="n"/>
      <c r="H236" s="39" t="n"/>
      <c r="I236" s="39" t="n"/>
      <c r="J236" s="39" t="n"/>
      <c r="K236" s="39" t="n"/>
      <c r="L236" s="39" t="n"/>
      <c r="M236" s="39" t="n"/>
      <c r="N236" s="39" t="n"/>
    </row>
    <row r="237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</row>
    <row r="238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</row>
    <row r="239">
      <c r="A239" s="157" t="inlineStr">
        <is>
          <t>ADICIONAL NOTURNO — horas em 22h–05h, por pessoa e mês</t>
        </is>
      </c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</row>
    <row r="240" ht="18.05" customHeight="1">
      <c r="A240" s="88" t="inlineStr">
        <is>
          <t>Insumo da folha: a hora noturna vale 52min30s e o adicional é de no mínimo 20% (art. 73 CLT). A noite de 19–07h cai inteira dentro da janela nas 7 horas entre 22h e 05h.</t>
        </is>
      </c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</row>
    <row r="24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</row>
    <row r="242">
      <c r="A242" s="182" t="inlineStr">
        <is>
          <t>Médico</t>
        </is>
      </c>
      <c r="B242" s="169" t="inlineStr">
        <is>
          <t>JAN</t>
        </is>
      </c>
      <c r="C242" s="169" t="inlineStr">
        <is>
          <t>FEV</t>
        </is>
      </c>
      <c r="D242" s="169" t="inlineStr">
        <is>
          <t>MAR</t>
        </is>
      </c>
      <c r="E242" s="169" t="inlineStr">
        <is>
          <t>ABR</t>
        </is>
      </c>
      <c r="F242" s="169" t="inlineStr">
        <is>
          <t>MAI</t>
        </is>
      </c>
      <c r="G242" s="169" t="inlineStr">
        <is>
          <t>JUN</t>
        </is>
      </c>
      <c r="H242" s="169" t="inlineStr">
        <is>
          <t>JUL</t>
        </is>
      </c>
      <c r="I242" s="169" t="inlineStr">
        <is>
          <t>AGO</t>
        </is>
      </c>
      <c r="J242" s="169" t="inlineStr">
        <is>
          <t>SET</t>
        </is>
      </c>
      <c r="K242" s="169" t="inlineStr">
        <is>
          <t>OUT</t>
        </is>
      </c>
      <c r="L242" s="169" t="inlineStr">
        <is>
          <t>NOV</t>
        </is>
      </c>
      <c r="M242" s="169" t="inlineStr">
        <is>
          <t>DEZ</t>
        </is>
      </c>
      <c r="N242" s="191" t="inlineStr">
        <is>
          <t>Ano</t>
        </is>
      </c>
    </row>
    <row r="243">
      <c r="A243" s="89" t="inlineStr">
        <is>
          <t>MSalomão</t>
        </is>
      </c>
      <c r="B243" s="133" t="n">
        <v>14</v>
      </c>
      <c r="C243" s="133" t="n">
        <v>7</v>
      </c>
      <c r="D243" s="133" t="n">
        <v>21</v>
      </c>
      <c r="E243" s="133" t="n">
        <v>14</v>
      </c>
      <c r="F243" s="133" t="n">
        <v>14</v>
      </c>
      <c r="G243" s="133" t="n">
        <v>28</v>
      </c>
      <c r="H243" s="133" t="n">
        <v>14</v>
      </c>
      <c r="I243" s="133" t="n">
        <v>14</v>
      </c>
      <c r="J243" s="133" t="n">
        <v>14</v>
      </c>
      <c r="K243" s="133" t="n">
        <v>14</v>
      </c>
      <c r="L243" s="39" t="n"/>
      <c r="M243" s="39" t="n"/>
      <c r="N243" s="178" t="n">
        <v>154</v>
      </c>
    </row>
    <row r="244">
      <c r="A244" s="89" t="inlineStr">
        <is>
          <t>Vinicius</t>
        </is>
      </c>
      <c r="B244" s="133" t="n">
        <v>14</v>
      </c>
      <c r="C244" s="133" t="n">
        <v>14</v>
      </c>
      <c r="D244" s="133" t="n">
        <v>14</v>
      </c>
      <c r="E244" s="133" t="n">
        <v>7</v>
      </c>
      <c r="F244" s="133" t="n">
        <v>21</v>
      </c>
      <c r="G244" s="133" t="n">
        <v>14</v>
      </c>
      <c r="H244" s="133" t="n">
        <v>7</v>
      </c>
      <c r="I244" s="133" t="n">
        <v>14</v>
      </c>
      <c r="J244" s="133" t="n">
        <v>14</v>
      </c>
      <c r="K244" s="133" t="n">
        <v>14</v>
      </c>
      <c r="L244" s="39" t="n"/>
      <c r="M244" s="39" t="n"/>
      <c r="N244" s="178" t="n">
        <v>133</v>
      </c>
    </row>
    <row r="245">
      <c r="A245" s="89" t="inlineStr">
        <is>
          <t>Amelio</t>
        </is>
      </c>
      <c r="B245" s="133" t="n">
        <v>28</v>
      </c>
      <c r="C245" s="39" t="n"/>
      <c r="D245" s="39" t="n"/>
      <c r="E245" s="39" t="n"/>
      <c r="F245" s="133" t="n">
        <v>7</v>
      </c>
      <c r="G245" s="39" t="n"/>
      <c r="H245" s="39" t="n"/>
      <c r="I245" s="39" t="n"/>
      <c r="J245" s="133" t="n">
        <v>14</v>
      </c>
      <c r="K245" s="39" t="n"/>
      <c r="L245" s="39" t="n"/>
      <c r="M245" s="39" t="n"/>
      <c r="N245" s="178" t="n">
        <v>49</v>
      </c>
    </row>
    <row r="246">
      <c r="A246" s="89" t="inlineStr">
        <is>
          <t>Murilo</t>
        </is>
      </c>
      <c r="B246" s="133" t="n">
        <v>17</v>
      </c>
      <c r="C246" s="133" t="n">
        <v>14</v>
      </c>
      <c r="D246" s="133" t="n">
        <v>14</v>
      </c>
      <c r="E246" s="133" t="n">
        <v>14</v>
      </c>
      <c r="F246" s="133" t="n">
        <v>7</v>
      </c>
      <c r="G246" s="133" t="n">
        <v>14</v>
      </c>
      <c r="H246" s="39" t="n"/>
      <c r="I246" s="39" t="n"/>
      <c r="J246" s="39" t="n"/>
      <c r="K246" s="133" t="n">
        <v>21</v>
      </c>
      <c r="L246" s="39" t="n"/>
      <c r="M246" s="39" t="n"/>
      <c r="N246" s="178" t="n">
        <v>101</v>
      </c>
    </row>
    <row r="247">
      <c r="A247" s="89" t="inlineStr">
        <is>
          <t>Aline</t>
        </is>
      </c>
      <c r="B247" s="133" t="n">
        <v>49</v>
      </c>
      <c r="C247" s="133" t="n">
        <v>49</v>
      </c>
      <c r="D247" s="133" t="n">
        <v>49</v>
      </c>
      <c r="E247" s="133" t="n">
        <v>56</v>
      </c>
      <c r="F247" s="133" t="n">
        <v>49</v>
      </c>
      <c r="G247" s="133" t="n">
        <v>28</v>
      </c>
      <c r="H247" s="133" t="n">
        <v>42</v>
      </c>
      <c r="I247" s="133" t="n">
        <v>49</v>
      </c>
      <c r="J247" s="133" t="n">
        <v>42</v>
      </c>
      <c r="K247" s="133" t="n">
        <v>35</v>
      </c>
      <c r="L247" s="39" t="n"/>
      <c r="M247" s="39" t="n"/>
      <c r="N247" s="178" t="n">
        <v>448</v>
      </c>
    </row>
    <row r="248">
      <c r="A248" s="89" t="inlineStr">
        <is>
          <t>CaAbreu</t>
        </is>
      </c>
      <c r="B248" s="133" t="n">
        <v>14</v>
      </c>
      <c r="C248" s="39" t="n"/>
      <c r="D248" s="133" t="n">
        <v>7</v>
      </c>
      <c r="E248" s="133" t="n">
        <v>14</v>
      </c>
      <c r="F248" s="39" t="n"/>
      <c r="G248" s="133" t="n">
        <v>7</v>
      </c>
      <c r="H248" s="133" t="n">
        <v>7</v>
      </c>
      <c r="I248" s="133" t="n">
        <v>14</v>
      </c>
      <c r="J248" s="133" t="n">
        <v>14</v>
      </c>
      <c r="K248" s="133" t="n">
        <v>14</v>
      </c>
      <c r="L248" s="39" t="n"/>
      <c r="M248" s="39" t="n"/>
      <c r="N248" s="178" t="n">
        <v>91</v>
      </c>
    </row>
    <row r="249">
      <c r="A249" s="89" t="inlineStr">
        <is>
          <t>Danielle</t>
        </is>
      </c>
      <c r="B249" s="133" t="n">
        <v>73</v>
      </c>
      <c r="C249" s="133" t="n">
        <v>84</v>
      </c>
      <c r="D249" s="133" t="n">
        <v>91</v>
      </c>
      <c r="E249" s="133" t="n">
        <v>91</v>
      </c>
      <c r="F249" s="133" t="n">
        <v>98</v>
      </c>
      <c r="G249" s="133" t="n">
        <v>42</v>
      </c>
      <c r="H249" s="133" t="n">
        <v>98</v>
      </c>
      <c r="I249" s="133" t="n">
        <v>35</v>
      </c>
      <c r="J249" s="133" t="n">
        <v>91</v>
      </c>
      <c r="K249" s="133" t="n">
        <v>91</v>
      </c>
      <c r="L249" s="39" t="n"/>
      <c r="M249" s="39" t="n"/>
      <c r="N249" s="178" t="n">
        <v>794</v>
      </c>
    </row>
    <row r="250">
      <c r="A250" s="89" t="inlineStr">
        <is>
          <t>Fabiula</t>
        </is>
      </c>
      <c r="B250" s="133" t="n">
        <v>84</v>
      </c>
      <c r="C250" s="133" t="n">
        <v>84</v>
      </c>
      <c r="D250" s="133" t="n">
        <v>98</v>
      </c>
      <c r="E250" s="133" t="n">
        <v>84</v>
      </c>
      <c r="F250" s="133" t="n">
        <v>56</v>
      </c>
      <c r="G250" s="133" t="n">
        <v>91</v>
      </c>
      <c r="H250" s="133" t="n">
        <v>98</v>
      </c>
      <c r="I250" s="133" t="n">
        <v>84</v>
      </c>
      <c r="J250" s="133" t="n">
        <v>98</v>
      </c>
      <c r="K250" s="133" t="n">
        <v>84</v>
      </c>
      <c r="L250" s="133" t="n">
        <v>7</v>
      </c>
      <c r="M250" s="39" t="n"/>
      <c r="N250" s="178" t="n">
        <v>868</v>
      </c>
    </row>
    <row r="251">
      <c r="A251" s="89" t="inlineStr">
        <is>
          <t>Isabella</t>
        </is>
      </c>
      <c r="B251" s="133" t="n">
        <v>21</v>
      </c>
      <c r="C251" s="133" t="n">
        <v>28</v>
      </c>
      <c r="D251" s="133" t="n">
        <v>35</v>
      </c>
      <c r="E251" s="133" t="n">
        <v>35</v>
      </c>
      <c r="F251" s="133" t="n">
        <v>21</v>
      </c>
      <c r="G251" s="133" t="n">
        <v>42</v>
      </c>
      <c r="H251" s="133" t="n">
        <v>28</v>
      </c>
      <c r="I251" s="133" t="n">
        <v>21</v>
      </c>
      <c r="J251" s="133" t="n">
        <v>7</v>
      </c>
      <c r="K251" s="133" t="n">
        <v>28</v>
      </c>
      <c r="L251" s="39" t="n"/>
      <c r="M251" s="39" t="n"/>
      <c r="N251" s="178" t="n">
        <v>266</v>
      </c>
    </row>
    <row r="252">
      <c r="A252" s="89" t="inlineStr">
        <is>
          <t>JuBrito</t>
        </is>
      </c>
      <c r="B252" s="133" t="n">
        <v>7</v>
      </c>
      <c r="C252" s="133" t="n">
        <v>7</v>
      </c>
      <c r="D252" s="133" t="n">
        <v>14</v>
      </c>
      <c r="E252" s="133" t="n">
        <v>7</v>
      </c>
      <c r="F252" s="133" t="n">
        <v>14</v>
      </c>
      <c r="G252" s="133" t="n">
        <v>14</v>
      </c>
      <c r="H252" s="133" t="n">
        <v>7</v>
      </c>
      <c r="I252" s="39" t="n"/>
      <c r="J252" s="133" t="n">
        <v>7</v>
      </c>
      <c r="K252" s="133" t="n">
        <v>14</v>
      </c>
      <c r="L252" s="39" t="n"/>
      <c r="M252" s="39" t="n"/>
      <c r="N252" s="178" t="n">
        <v>91</v>
      </c>
    </row>
    <row r="253">
      <c r="A253" s="89" t="inlineStr">
        <is>
          <t>Mayana</t>
        </is>
      </c>
      <c r="B253" s="133" t="n">
        <v>21</v>
      </c>
      <c r="C253" s="133" t="n">
        <v>28</v>
      </c>
      <c r="D253" s="133" t="n">
        <v>21</v>
      </c>
      <c r="E253" s="133" t="n">
        <v>14</v>
      </c>
      <c r="F253" s="133" t="n">
        <v>7</v>
      </c>
      <c r="G253" s="133" t="n">
        <v>21</v>
      </c>
      <c r="H253" s="133" t="n">
        <v>28</v>
      </c>
      <c r="I253" s="133" t="n">
        <v>14</v>
      </c>
      <c r="J253" s="133" t="n">
        <v>28</v>
      </c>
      <c r="K253" s="133" t="n">
        <v>28</v>
      </c>
      <c r="L253" s="39" t="n"/>
      <c r="M253" s="39" t="n"/>
      <c r="N253" s="178" t="n">
        <v>210</v>
      </c>
    </row>
    <row r="254">
      <c r="A254" s="89" t="inlineStr">
        <is>
          <t>Neyde</t>
        </is>
      </c>
      <c r="B254" s="133" t="n">
        <v>91</v>
      </c>
      <c r="C254" s="133" t="n">
        <v>77</v>
      </c>
      <c r="D254" s="133" t="n">
        <v>105</v>
      </c>
      <c r="E254" s="133" t="n">
        <v>91</v>
      </c>
      <c r="F254" s="133" t="n">
        <v>84</v>
      </c>
      <c r="G254" s="133" t="n">
        <v>49</v>
      </c>
      <c r="H254" s="133" t="n">
        <v>98</v>
      </c>
      <c r="I254" s="133" t="n">
        <v>84</v>
      </c>
      <c r="J254" s="133" t="n">
        <v>105</v>
      </c>
      <c r="K254" s="133" t="n">
        <v>42</v>
      </c>
      <c r="L254" s="39" t="n"/>
      <c r="M254" s="39" t="n"/>
      <c r="N254" s="178" t="n">
        <v>826</v>
      </c>
    </row>
    <row r="255">
      <c r="A255" s="89" t="inlineStr">
        <is>
          <t>Roberta</t>
        </is>
      </c>
      <c r="B255" s="133" t="n">
        <v>7</v>
      </c>
      <c r="C255" s="133" t="n">
        <v>56</v>
      </c>
      <c r="D255" s="133" t="n">
        <v>49</v>
      </c>
      <c r="E255" s="133" t="n">
        <v>49</v>
      </c>
      <c r="F255" s="133" t="n">
        <v>56</v>
      </c>
      <c r="G255" s="133" t="n">
        <v>56</v>
      </c>
      <c r="H255" s="133" t="n">
        <v>14</v>
      </c>
      <c r="I255" s="133" t="n">
        <v>42</v>
      </c>
      <c r="J255" s="133" t="n">
        <v>56</v>
      </c>
      <c r="K255" s="133" t="n">
        <v>35</v>
      </c>
      <c r="L255" s="133" t="n">
        <v>7</v>
      </c>
      <c r="M255" s="39" t="n"/>
      <c r="N255" s="178" t="n">
        <v>427</v>
      </c>
    </row>
    <row r="256">
      <c r="A256" s="89" t="inlineStr">
        <is>
          <t>LuAlice</t>
        </is>
      </c>
      <c r="B256" s="133" t="n">
        <v>70</v>
      </c>
      <c r="C256" s="133" t="n">
        <v>28</v>
      </c>
      <c r="D256" s="133" t="n">
        <v>56</v>
      </c>
      <c r="E256" s="133" t="n">
        <v>77</v>
      </c>
      <c r="F256" s="133" t="n">
        <v>70</v>
      </c>
      <c r="G256" s="133" t="n">
        <v>66</v>
      </c>
      <c r="H256" s="133" t="n">
        <v>91</v>
      </c>
      <c r="I256" s="133" t="n">
        <v>77</v>
      </c>
      <c r="J256" s="133" t="n">
        <v>84</v>
      </c>
      <c r="K256" s="133" t="n">
        <v>91</v>
      </c>
      <c r="L256" s="39" t="n"/>
      <c r="M256" s="39" t="n"/>
      <c r="N256" s="178" t="n">
        <v>710</v>
      </c>
    </row>
    <row r="257">
      <c r="A257" s="89" t="inlineStr">
        <is>
          <t>Amanda</t>
        </is>
      </c>
      <c r="B257" s="133" t="n">
        <v>24</v>
      </c>
      <c r="C257" s="133" t="n">
        <v>7</v>
      </c>
      <c r="D257" s="133" t="n">
        <v>42</v>
      </c>
      <c r="E257" s="133" t="n">
        <v>21</v>
      </c>
      <c r="F257" s="133" t="n">
        <v>21</v>
      </c>
      <c r="G257" s="133" t="n">
        <v>14</v>
      </c>
      <c r="H257" s="133" t="n">
        <v>21</v>
      </c>
      <c r="I257" s="133" t="n">
        <v>35</v>
      </c>
      <c r="J257" s="133" t="n">
        <v>21</v>
      </c>
      <c r="K257" s="133" t="n">
        <v>14</v>
      </c>
      <c r="L257" s="39" t="n"/>
      <c r="M257" s="39" t="n"/>
      <c r="N257" s="178" t="n">
        <v>220</v>
      </c>
    </row>
    <row r="258">
      <c r="A258" s="89" t="inlineStr">
        <is>
          <t>Fernando</t>
        </is>
      </c>
      <c r="B258" s="133" t="n">
        <v>28</v>
      </c>
      <c r="C258" s="133" t="n">
        <v>28</v>
      </c>
      <c r="D258" s="133" t="n">
        <v>35</v>
      </c>
      <c r="E258" s="133" t="n">
        <v>35</v>
      </c>
      <c r="F258" s="133" t="n">
        <v>28</v>
      </c>
      <c r="G258" s="133" t="n">
        <v>28</v>
      </c>
      <c r="H258" s="133" t="n">
        <v>28</v>
      </c>
      <c r="I258" s="133" t="n">
        <v>35</v>
      </c>
      <c r="J258" s="133" t="n">
        <v>21</v>
      </c>
      <c r="K258" s="133" t="n">
        <v>35</v>
      </c>
      <c r="L258" s="39" t="n"/>
      <c r="M258" s="39" t="n"/>
      <c r="N258" s="178" t="n">
        <v>301</v>
      </c>
    </row>
    <row r="259">
      <c r="A259" s="89" t="inlineStr">
        <is>
          <t>João</t>
        </is>
      </c>
      <c r="B259" s="133" t="n">
        <v>49</v>
      </c>
      <c r="C259" s="133" t="n">
        <v>56</v>
      </c>
      <c r="D259" s="133" t="n">
        <v>35</v>
      </c>
      <c r="E259" s="133" t="n">
        <v>56</v>
      </c>
      <c r="F259" s="133" t="n">
        <v>63</v>
      </c>
      <c r="G259" s="133" t="n">
        <v>35</v>
      </c>
      <c r="H259" s="133" t="n">
        <v>56</v>
      </c>
      <c r="I259" s="133" t="n">
        <v>49</v>
      </c>
      <c r="J259" s="133" t="n">
        <v>14</v>
      </c>
      <c r="K259" s="133" t="n">
        <v>35</v>
      </c>
      <c r="L259" s="133" t="n">
        <v>7</v>
      </c>
      <c r="M259" s="39" t="n"/>
      <c r="N259" s="178" t="n">
        <v>455</v>
      </c>
    </row>
    <row r="260">
      <c r="A260" s="89" t="inlineStr">
        <is>
          <t>JuCoutinho</t>
        </is>
      </c>
      <c r="B260" s="133" t="n">
        <v>14</v>
      </c>
      <c r="C260" s="133" t="n">
        <v>14</v>
      </c>
      <c r="D260" s="133" t="n">
        <v>42</v>
      </c>
      <c r="E260" s="133" t="n">
        <v>49</v>
      </c>
      <c r="F260" s="133" t="n">
        <v>28</v>
      </c>
      <c r="G260" s="133" t="n">
        <v>21</v>
      </c>
      <c r="H260" s="133" t="n">
        <v>21</v>
      </c>
      <c r="I260" s="133" t="n">
        <v>14</v>
      </c>
      <c r="J260" s="133" t="n">
        <v>7</v>
      </c>
      <c r="K260" s="133" t="n">
        <v>21</v>
      </c>
      <c r="L260" s="39" t="n"/>
      <c r="M260" s="39" t="n"/>
      <c r="N260" s="178" t="n">
        <v>231</v>
      </c>
    </row>
    <row r="261">
      <c r="A261" s="89" t="inlineStr">
        <is>
          <t>LeLemos</t>
        </is>
      </c>
      <c r="B261" s="133" t="n">
        <v>35</v>
      </c>
      <c r="C261" s="133" t="n">
        <v>21</v>
      </c>
      <c r="D261" s="133" t="n">
        <v>7</v>
      </c>
      <c r="E261" s="39" t="n"/>
      <c r="F261" s="133" t="n">
        <v>21</v>
      </c>
      <c r="G261" s="133" t="n">
        <v>35</v>
      </c>
      <c r="H261" s="133" t="n">
        <v>14</v>
      </c>
      <c r="I261" s="133" t="n">
        <v>14</v>
      </c>
      <c r="J261" s="133" t="n">
        <v>7</v>
      </c>
      <c r="K261" s="133" t="n">
        <v>21</v>
      </c>
      <c r="L261" s="39" t="n"/>
      <c r="M261" s="39" t="n"/>
      <c r="N261" s="178" t="n">
        <v>175</v>
      </c>
    </row>
    <row r="262">
      <c r="A262" s="89" t="inlineStr">
        <is>
          <t>Leomara</t>
        </is>
      </c>
      <c r="B262" s="39" t="n"/>
      <c r="C262" s="39" t="n"/>
      <c r="D262" s="39" t="n"/>
      <c r="E262" s="39" t="n"/>
      <c r="F262" s="39" t="n"/>
      <c r="G262" s="39" t="n"/>
      <c r="H262" s="133" t="n">
        <v>14</v>
      </c>
      <c r="I262" s="133" t="n">
        <v>14</v>
      </c>
      <c r="J262" s="133" t="n">
        <v>7</v>
      </c>
      <c r="K262" s="133" t="n">
        <v>7</v>
      </c>
      <c r="L262" s="39" t="n"/>
      <c r="M262" s="39" t="n"/>
      <c r="N262" s="178" t="n">
        <v>42</v>
      </c>
    </row>
    <row r="263">
      <c r="A263" s="89" t="inlineStr">
        <is>
          <t>Marilia</t>
        </is>
      </c>
      <c r="B263" s="133" t="n">
        <v>7</v>
      </c>
      <c r="C263" s="39" t="n"/>
      <c r="D263" s="133" t="n">
        <v>7</v>
      </c>
      <c r="E263" s="133" t="n">
        <v>7</v>
      </c>
      <c r="F263" s="133" t="n">
        <v>7</v>
      </c>
      <c r="G263" s="39" t="n"/>
      <c r="H263" s="133" t="n">
        <v>7</v>
      </c>
      <c r="I263" s="133" t="n">
        <v>7</v>
      </c>
      <c r="J263" s="133" t="n">
        <v>7</v>
      </c>
      <c r="K263" s="133" t="n">
        <v>7</v>
      </c>
      <c r="L263" s="39" t="n"/>
      <c r="M263" s="39" t="n"/>
      <c r="N263" s="178" t="n">
        <v>56</v>
      </c>
    </row>
    <row r="264">
      <c r="A264" s="89" t="inlineStr">
        <is>
          <t>Raylander</t>
        </is>
      </c>
      <c r="B264" s="133" t="n">
        <v>49</v>
      </c>
      <c r="C264" s="133" t="n">
        <v>28</v>
      </c>
      <c r="D264" s="133" t="n">
        <v>28</v>
      </c>
      <c r="E264" s="133" t="n">
        <v>49</v>
      </c>
      <c r="F264" s="133" t="n">
        <v>28</v>
      </c>
      <c r="G264" s="133" t="n">
        <v>49</v>
      </c>
      <c r="H264" s="133" t="n">
        <v>35</v>
      </c>
      <c r="I264" s="133" t="n">
        <v>49</v>
      </c>
      <c r="J264" s="133" t="n">
        <v>28</v>
      </c>
      <c r="K264" s="133" t="n">
        <v>42</v>
      </c>
      <c r="L264" s="39" t="n"/>
      <c r="M264" s="39" t="n"/>
      <c r="N264" s="178" t="n">
        <v>385</v>
      </c>
    </row>
    <row r="265">
      <c r="A265" s="89" t="inlineStr">
        <is>
          <t>Ricardo</t>
        </is>
      </c>
      <c r="B265" s="133" t="n">
        <v>24</v>
      </c>
      <c r="C265" s="133" t="n">
        <v>21</v>
      </c>
      <c r="D265" s="133" t="n">
        <v>14</v>
      </c>
      <c r="E265" s="133" t="n">
        <v>7</v>
      </c>
      <c r="F265" s="133" t="n">
        <v>49</v>
      </c>
      <c r="G265" s="133" t="n">
        <v>28</v>
      </c>
      <c r="H265" s="133" t="n">
        <v>35</v>
      </c>
      <c r="I265" s="133" t="n">
        <v>35</v>
      </c>
      <c r="J265" s="133" t="n">
        <v>21</v>
      </c>
      <c r="K265" s="133" t="n">
        <v>28</v>
      </c>
      <c r="L265" s="39" t="n"/>
      <c r="M265" s="39" t="n"/>
      <c r="N265" s="178" t="n">
        <v>262</v>
      </c>
    </row>
    <row r="266">
      <c r="A266" s="89" t="inlineStr">
        <is>
          <t>Rosana</t>
        </is>
      </c>
      <c r="B266" s="133" t="n">
        <v>14</v>
      </c>
      <c r="C266" s="133" t="n">
        <v>21</v>
      </c>
      <c r="D266" s="133" t="n">
        <v>14</v>
      </c>
      <c r="E266" s="133" t="n">
        <v>7</v>
      </c>
      <c r="F266" s="133" t="n">
        <v>49</v>
      </c>
      <c r="G266" s="133" t="n">
        <v>28</v>
      </c>
      <c r="H266" s="133" t="n">
        <v>7</v>
      </c>
      <c r="I266" s="133" t="n">
        <v>35</v>
      </c>
      <c r="J266" s="133" t="n">
        <v>14</v>
      </c>
      <c r="K266" s="133" t="n">
        <v>14</v>
      </c>
      <c r="L266" s="39" t="n"/>
      <c r="M266" s="39" t="n"/>
      <c r="N266" s="178" t="n">
        <v>203</v>
      </c>
    </row>
    <row r="267">
      <c r="A267" s="89" t="inlineStr">
        <is>
          <t>AnaSeverino</t>
        </is>
      </c>
      <c r="B267" s="39" t="n"/>
      <c r="C267" s="39" t="n"/>
      <c r="D267" s="39" t="n"/>
      <c r="E267" s="39" t="n"/>
      <c r="F267" s="133" t="n">
        <v>21</v>
      </c>
      <c r="G267" s="133" t="n">
        <v>35</v>
      </c>
      <c r="H267" s="133" t="n">
        <v>56</v>
      </c>
      <c r="I267" s="133" t="n">
        <v>35</v>
      </c>
      <c r="J267" s="133" t="n">
        <v>49</v>
      </c>
      <c r="K267" s="133" t="n">
        <v>35</v>
      </c>
      <c r="L267" s="39" t="n"/>
      <c r="M267" s="39" t="n"/>
      <c r="N267" s="178" t="n">
        <v>231</v>
      </c>
    </row>
    <row r="268">
      <c r="A268" s="89" t="inlineStr">
        <is>
          <t>Anna</t>
        </is>
      </c>
      <c r="B268" s="133" t="n">
        <v>14</v>
      </c>
      <c r="C268" s="133" t="n">
        <v>21</v>
      </c>
      <c r="D268" s="133" t="n">
        <v>14</v>
      </c>
      <c r="E268" s="133" t="n">
        <v>21</v>
      </c>
      <c r="F268" s="133" t="n">
        <v>14</v>
      </c>
      <c r="G268" s="133" t="n">
        <v>21</v>
      </c>
      <c r="H268" s="133" t="n">
        <v>14</v>
      </c>
      <c r="I268" s="133" t="n">
        <v>14</v>
      </c>
      <c r="J268" s="133" t="n">
        <v>21</v>
      </c>
      <c r="K268" s="133" t="n">
        <v>21</v>
      </c>
      <c r="L268" s="39" t="n"/>
      <c r="M268" s="39" t="n"/>
      <c r="N268" s="178" t="n">
        <v>175</v>
      </c>
    </row>
    <row r="269">
      <c r="A269" s="89" t="inlineStr">
        <is>
          <t>Ariadne</t>
        </is>
      </c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133" t="n">
        <v>14</v>
      </c>
      <c r="L269" s="133" t="n">
        <v>7</v>
      </c>
      <c r="M269" s="39" t="n"/>
      <c r="N269" s="178" t="n">
        <v>21</v>
      </c>
    </row>
    <row r="270">
      <c r="A270" s="89" t="inlineStr">
        <is>
          <t>Beatriz</t>
        </is>
      </c>
      <c r="B270" s="133" t="n">
        <v>14</v>
      </c>
      <c r="C270" s="133" t="n">
        <v>7</v>
      </c>
      <c r="D270" s="133" t="n">
        <v>14</v>
      </c>
      <c r="E270" s="133" t="n">
        <v>14</v>
      </c>
      <c r="F270" s="39" t="n"/>
      <c r="G270" s="133" t="n">
        <v>14</v>
      </c>
      <c r="H270" s="133" t="n">
        <v>7</v>
      </c>
      <c r="I270" s="133" t="n">
        <v>14</v>
      </c>
      <c r="J270" s="39" t="n"/>
      <c r="K270" s="133" t="n">
        <v>7</v>
      </c>
      <c r="L270" s="39" t="n"/>
      <c r="M270" s="39" t="n"/>
      <c r="N270" s="178" t="n">
        <v>91</v>
      </c>
    </row>
    <row r="271">
      <c r="A271" s="89" t="inlineStr">
        <is>
          <t>Bruna</t>
        </is>
      </c>
      <c r="B271" s="133" t="n">
        <v>21</v>
      </c>
      <c r="C271" s="133" t="n">
        <v>21</v>
      </c>
      <c r="D271" s="133" t="n">
        <v>28</v>
      </c>
      <c r="E271" s="133" t="n">
        <v>7</v>
      </c>
      <c r="F271" s="133" t="n">
        <v>35</v>
      </c>
      <c r="G271" s="133" t="n">
        <v>28</v>
      </c>
      <c r="H271" s="133" t="n">
        <v>7</v>
      </c>
      <c r="I271" s="133" t="n">
        <v>7</v>
      </c>
      <c r="J271" s="133" t="n">
        <v>28</v>
      </c>
      <c r="K271" s="133" t="n">
        <v>28</v>
      </c>
      <c r="L271" s="39" t="n"/>
      <c r="M271" s="39" t="n"/>
      <c r="N271" s="178" t="n">
        <v>210</v>
      </c>
    </row>
    <row r="272">
      <c r="A272" s="89" t="inlineStr">
        <is>
          <t>Constantino</t>
        </is>
      </c>
      <c r="B272" s="133" t="n">
        <v>34</v>
      </c>
      <c r="C272" s="133" t="n">
        <v>63</v>
      </c>
      <c r="D272" s="133" t="n">
        <v>63</v>
      </c>
      <c r="E272" s="133" t="n">
        <v>56</v>
      </c>
      <c r="F272" s="133" t="n">
        <v>63</v>
      </c>
      <c r="G272" s="133" t="n">
        <v>56</v>
      </c>
      <c r="H272" s="133" t="n">
        <v>35</v>
      </c>
      <c r="I272" s="133" t="n">
        <v>63</v>
      </c>
      <c r="J272" s="133" t="n">
        <v>56</v>
      </c>
      <c r="K272" s="133" t="n">
        <v>63</v>
      </c>
      <c r="L272" s="39" t="n"/>
      <c r="M272" s="39" t="n"/>
      <c r="N272" s="178" t="n">
        <v>552</v>
      </c>
    </row>
    <row r="273">
      <c r="A273" s="89" t="inlineStr">
        <is>
          <t>DebMatias</t>
        </is>
      </c>
      <c r="B273" s="133" t="n">
        <v>7</v>
      </c>
      <c r="C273" s="39" t="n"/>
      <c r="D273" s="133" t="n">
        <v>7</v>
      </c>
      <c r="E273" s="39" t="n"/>
      <c r="F273" s="133" t="n">
        <v>7</v>
      </c>
      <c r="G273" s="39" t="n"/>
      <c r="H273" s="133" t="n">
        <v>7</v>
      </c>
      <c r="I273" s="39" t="n"/>
      <c r="J273" s="133" t="n">
        <v>7</v>
      </c>
      <c r="K273" s="133" t="n">
        <v>7</v>
      </c>
      <c r="L273" s="39" t="n"/>
      <c r="M273" s="39" t="n"/>
      <c r="N273" s="178" t="n">
        <v>42</v>
      </c>
    </row>
    <row r="274">
      <c r="A274" s="89" t="inlineStr">
        <is>
          <t>Denise</t>
        </is>
      </c>
      <c r="B274" s="133" t="n">
        <v>14</v>
      </c>
      <c r="C274" s="133" t="n">
        <v>7</v>
      </c>
      <c r="D274" s="133" t="n">
        <v>7</v>
      </c>
      <c r="E274" s="133" t="n">
        <v>14</v>
      </c>
      <c r="F274" s="133" t="n">
        <v>7</v>
      </c>
      <c r="G274" s="39" t="n"/>
      <c r="H274" s="133" t="n">
        <v>21</v>
      </c>
      <c r="I274" s="133" t="n">
        <v>7</v>
      </c>
      <c r="J274" s="133" t="n">
        <v>14</v>
      </c>
      <c r="K274" s="133" t="n">
        <v>21</v>
      </c>
      <c r="L274" s="39" t="n"/>
      <c r="M274" s="39" t="n"/>
      <c r="N274" s="178" t="n">
        <v>112</v>
      </c>
    </row>
    <row r="275">
      <c r="A275" s="89" t="inlineStr">
        <is>
          <t>Ernesto</t>
        </is>
      </c>
      <c r="B275" s="133" t="n">
        <v>14</v>
      </c>
      <c r="C275" s="133" t="n">
        <v>7</v>
      </c>
      <c r="D275" s="133" t="n">
        <v>21</v>
      </c>
      <c r="E275" s="133" t="n">
        <v>21</v>
      </c>
      <c r="F275" s="133" t="n">
        <v>35</v>
      </c>
      <c r="G275" s="133" t="n">
        <v>28</v>
      </c>
      <c r="H275" s="133" t="n">
        <v>21</v>
      </c>
      <c r="I275" s="133" t="n">
        <v>28</v>
      </c>
      <c r="J275" s="133" t="n">
        <v>28</v>
      </c>
      <c r="K275" s="133" t="n">
        <v>21</v>
      </c>
      <c r="L275" s="39" t="n"/>
      <c r="M275" s="39" t="n"/>
      <c r="N275" s="178" t="n">
        <v>224</v>
      </c>
    </row>
    <row r="276">
      <c r="A276" s="89" t="inlineStr">
        <is>
          <t>Grayce</t>
        </is>
      </c>
      <c r="B276" s="39" t="n"/>
      <c r="C276" s="133" t="n">
        <v>21</v>
      </c>
      <c r="D276" s="133" t="n">
        <v>21</v>
      </c>
      <c r="E276" s="133" t="n">
        <v>28</v>
      </c>
      <c r="F276" s="133" t="n">
        <v>28</v>
      </c>
      <c r="G276" s="133" t="n">
        <v>28</v>
      </c>
      <c r="H276" s="133" t="n">
        <v>21</v>
      </c>
      <c r="I276" s="133" t="n">
        <v>28</v>
      </c>
      <c r="J276" s="133" t="n">
        <v>35</v>
      </c>
      <c r="K276" s="133" t="n">
        <v>28</v>
      </c>
      <c r="L276" s="39" t="n"/>
      <c r="M276" s="39" t="n"/>
      <c r="N276" s="178" t="n">
        <v>238</v>
      </c>
    </row>
    <row r="277">
      <c r="A277" s="89" t="inlineStr">
        <is>
          <t>Heloa</t>
        </is>
      </c>
      <c r="B277" s="39" t="n"/>
      <c r="C277" s="39" t="n"/>
      <c r="D277" s="39" t="n"/>
      <c r="E277" s="39" t="n"/>
      <c r="F277" s="39" t="n"/>
      <c r="G277" s="39" t="n"/>
      <c r="H277" s="39" t="n"/>
      <c r="I277" s="133" t="n">
        <v>7</v>
      </c>
      <c r="J277" s="39" t="n"/>
      <c r="K277" s="133" t="n">
        <v>7</v>
      </c>
      <c r="L277" s="39" t="n"/>
      <c r="M277" s="39" t="n"/>
      <c r="N277" s="178" t="n">
        <v>14</v>
      </c>
    </row>
    <row r="278">
      <c r="A278" s="89" t="inlineStr">
        <is>
          <t>Iggor</t>
        </is>
      </c>
      <c r="B278" s="133" t="n">
        <v>7</v>
      </c>
      <c r="C278" s="133" t="n">
        <v>7</v>
      </c>
      <c r="D278" s="133" t="n">
        <v>7</v>
      </c>
      <c r="E278" s="133" t="n">
        <v>7</v>
      </c>
      <c r="F278" s="39" t="n"/>
      <c r="G278" s="133" t="n">
        <v>7</v>
      </c>
      <c r="H278" s="133" t="n">
        <v>7</v>
      </c>
      <c r="I278" s="133" t="n">
        <v>7</v>
      </c>
      <c r="J278" s="39" t="n"/>
      <c r="K278" s="133" t="n">
        <v>7</v>
      </c>
      <c r="L278" s="39" t="n"/>
      <c r="M278" s="39" t="n"/>
      <c r="N278" s="178" t="n">
        <v>56</v>
      </c>
    </row>
    <row r="279">
      <c r="A279" s="89" t="inlineStr">
        <is>
          <t>IsaRibeiro</t>
        </is>
      </c>
      <c r="B279" s="133" t="n">
        <v>7</v>
      </c>
      <c r="C279" s="133" t="n">
        <v>14</v>
      </c>
      <c r="D279" s="133" t="n">
        <v>21</v>
      </c>
      <c r="E279" s="133" t="n">
        <v>7</v>
      </c>
      <c r="F279" s="133" t="n">
        <v>14</v>
      </c>
      <c r="G279" s="133" t="n">
        <v>21</v>
      </c>
      <c r="H279" s="133" t="n">
        <v>28</v>
      </c>
      <c r="I279" s="133" t="n">
        <v>14</v>
      </c>
      <c r="J279" s="133" t="n">
        <v>21</v>
      </c>
      <c r="K279" s="133" t="n">
        <v>35</v>
      </c>
      <c r="L279" s="39" t="n"/>
      <c r="M279" s="39" t="n"/>
      <c r="N279" s="178" t="n">
        <v>182</v>
      </c>
    </row>
    <row r="280">
      <c r="A280" s="89" t="inlineStr">
        <is>
          <t>Jaqueline</t>
        </is>
      </c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133" t="n">
        <v>7</v>
      </c>
      <c r="L280" s="39" t="n"/>
      <c r="M280" s="39" t="n"/>
      <c r="N280" s="178" t="n">
        <v>7</v>
      </c>
    </row>
    <row r="281">
      <c r="A281" s="89" t="inlineStr">
        <is>
          <t>Joaquim</t>
        </is>
      </c>
      <c r="B281" s="133" t="n">
        <v>63</v>
      </c>
      <c r="C281" s="133" t="n">
        <v>56</v>
      </c>
      <c r="D281" s="133" t="n">
        <v>28</v>
      </c>
      <c r="E281" s="133" t="n">
        <v>56</v>
      </c>
      <c r="F281" s="133" t="n">
        <v>63</v>
      </c>
      <c r="G281" s="133" t="n">
        <v>63</v>
      </c>
      <c r="H281" s="133" t="n">
        <v>52</v>
      </c>
      <c r="I281" s="133" t="n">
        <v>35</v>
      </c>
      <c r="J281" s="133" t="n">
        <v>56</v>
      </c>
      <c r="K281" s="133" t="n">
        <v>63</v>
      </c>
      <c r="L281" s="39" t="n"/>
      <c r="M281" s="39" t="n"/>
      <c r="N281" s="178" t="n">
        <v>535</v>
      </c>
    </row>
    <row r="282">
      <c r="A282" s="89" t="inlineStr">
        <is>
          <t>JuliaFig</t>
        </is>
      </c>
      <c r="B282" s="133" t="n">
        <v>49</v>
      </c>
      <c r="C282" s="133" t="n">
        <v>42</v>
      </c>
      <c r="D282" s="133" t="n">
        <v>70</v>
      </c>
      <c r="E282" s="133" t="n">
        <v>28</v>
      </c>
      <c r="F282" s="133" t="n">
        <v>49</v>
      </c>
      <c r="G282" s="133" t="n">
        <v>70</v>
      </c>
      <c r="H282" s="133" t="n">
        <v>49</v>
      </c>
      <c r="I282" s="133" t="n">
        <v>56</v>
      </c>
      <c r="J282" s="133" t="n">
        <v>49</v>
      </c>
      <c r="K282" s="133" t="n">
        <v>49</v>
      </c>
      <c r="L282" s="39" t="n"/>
      <c r="M282" s="39" t="n"/>
      <c r="N282" s="178" t="n">
        <v>511</v>
      </c>
    </row>
    <row r="283">
      <c r="A283" s="89" t="inlineStr">
        <is>
          <t>Kozak</t>
        </is>
      </c>
      <c r="B283" s="133" t="n">
        <v>35</v>
      </c>
      <c r="C283" s="133" t="n">
        <v>42</v>
      </c>
      <c r="D283" s="133" t="n">
        <v>14</v>
      </c>
      <c r="E283" s="133" t="n">
        <v>56</v>
      </c>
      <c r="F283" s="133" t="n">
        <v>63</v>
      </c>
      <c r="G283" s="133" t="n">
        <v>56</v>
      </c>
      <c r="H283" s="133" t="n">
        <v>63</v>
      </c>
      <c r="I283" s="133" t="n">
        <v>63</v>
      </c>
      <c r="J283" s="133" t="n">
        <v>56</v>
      </c>
      <c r="K283" s="133" t="n">
        <v>28</v>
      </c>
      <c r="L283" s="39" t="n"/>
      <c r="M283" s="39" t="n"/>
      <c r="N283" s="178" t="n">
        <v>476</v>
      </c>
    </row>
    <row r="284">
      <c r="A284" s="89" t="inlineStr">
        <is>
          <t>Laura</t>
        </is>
      </c>
      <c r="B284" s="39" t="n"/>
      <c r="C284" s="39" t="n"/>
      <c r="D284" s="39" t="n"/>
      <c r="E284" s="133" t="n">
        <v>7</v>
      </c>
      <c r="F284" s="39" t="n"/>
      <c r="G284" s="39" t="n"/>
      <c r="H284" s="39" t="n"/>
      <c r="I284" s="39" t="n"/>
      <c r="J284" s="39" t="n"/>
      <c r="K284" s="133" t="n">
        <v>7</v>
      </c>
      <c r="L284" s="39" t="n"/>
      <c r="M284" s="39" t="n"/>
      <c r="N284" s="178" t="n">
        <v>14</v>
      </c>
    </row>
    <row r="285">
      <c r="A285" s="89" t="inlineStr">
        <is>
          <t>Leticia</t>
        </is>
      </c>
      <c r="B285" s="133" t="n">
        <v>7</v>
      </c>
      <c r="C285" s="39" t="n"/>
      <c r="D285" s="39" t="n"/>
      <c r="E285" s="133" t="n">
        <v>7</v>
      </c>
      <c r="F285" s="39" t="n"/>
      <c r="G285" s="133" t="n">
        <v>7</v>
      </c>
      <c r="H285" s="39" t="n"/>
      <c r="I285" s="133" t="n">
        <v>7</v>
      </c>
      <c r="J285" s="39" t="n"/>
      <c r="K285" s="39" t="n"/>
      <c r="L285" s="39" t="n"/>
      <c r="M285" s="39" t="n"/>
      <c r="N285" s="178" t="n">
        <v>28</v>
      </c>
    </row>
    <row r="286">
      <c r="A286" s="89" t="inlineStr">
        <is>
          <t>LuCosta</t>
        </is>
      </c>
      <c r="B286" s="133" t="n">
        <v>49</v>
      </c>
      <c r="C286" s="133" t="n">
        <v>42</v>
      </c>
      <c r="D286" s="133" t="n">
        <v>35</v>
      </c>
      <c r="E286" s="133" t="n">
        <v>49</v>
      </c>
      <c r="F286" s="133" t="n">
        <v>21</v>
      </c>
      <c r="G286" s="133" t="n">
        <v>42</v>
      </c>
      <c r="H286" s="133" t="n">
        <v>56</v>
      </c>
      <c r="I286" s="133" t="n">
        <v>49</v>
      </c>
      <c r="J286" s="133" t="n">
        <v>35</v>
      </c>
      <c r="K286" s="133" t="n">
        <v>56</v>
      </c>
      <c r="L286" s="39" t="n"/>
      <c r="M286" s="39" t="n"/>
      <c r="N286" s="178" t="n">
        <v>434</v>
      </c>
    </row>
    <row r="287">
      <c r="A287" s="89" t="inlineStr">
        <is>
          <t>Marcia</t>
        </is>
      </c>
      <c r="B287" s="133" t="n">
        <v>28</v>
      </c>
      <c r="C287" s="133" t="n">
        <v>28</v>
      </c>
      <c r="D287" s="133" t="n">
        <v>28</v>
      </c>
      <c r="E287" s="133" t="n">
        <v>21</v>
      </c>
      <c r="F287" s="133" t="n">
        <v>28</v>
      </c>
      <c r="G287" s="133" t="n">
        <v>28</v>
      </c>
      <c r="H287" s="133" t="n">
        <v>35</v>
      </c>
      <c r="I287" s="133" t="n">
        <v>14</v>
      </c>
      <c r="J287" s="133" t="n">
        <v>21</v>
      </c>
      <c r="K287" s="133" t="n">
        <v>28</v>
      </c>
      <c r="L287" s="39" t="n"/>
      <c r="M287" s="39" t="n"/>
      <c r="N287" s="178" t="n">
        <v>259</v>
      </c>
    </row>
    <row r="288">
      <c r="A288" s="89" t="inlineStr">
        <is>
          <t>MayWobido</t>
        </is>
      </c>
      <c r="B288" s="39" t="n"/>
      <c r="C288" s="39" t="n"/>
      <c r="D288" s="39" t="n"/>
      <c r="E288" s="39" t="n"/>
      <c r="F288" s="133" t="n">
        <v>21</v>
      </c>
      <c r="G288" s="133" t="n">
        <v>56</v>
      </c>
      <c r="H288" s="133" t="n">
        <v>35</v>
      </c>
      <c r="I288" s="133" t="n">
        <v>70</v>
      </c>
      <c r="J288" s="133" t="n">
        <v>56</v>
      </c>
      <c r="K288" s="133" t="n">
        <v>56</v>
      </c>
      <c r="L288" s="39" t="n"/>
      <c r="M288" s="39" t="n"/>
      <c r="N288" s="178" t="n">
        <v>294</v>
      </c>
    </row>
    <row r="289">
      <c r="A289" s="89" t="inlineStr">
        <is>
          <t>Melara</t>
        </is>
      </c>
      <c r="B289" s="133" t="n">
        <v>17</v>
      </c>
      <c r="C289" s="133" t="n">
        <v>7</v>
      </c>
      <c r="D289" s="133" t="n">
        <v>28</v>
      </c>
      <c r="E289" s="133" t="n">
        <v>21</v>
      </c>
      <c r="F289" s="133" t="n">
        <v>21</v>
      </c>
      <c r="G289" s="133" t="n">
        <v>7</v>
      </c>
      <c r="H289" s="133" t="n">
        <v>28</v>
      </c>
      <c r="I289" s="133" t="n">
        <v>28</v>
      </c>
      <c r="J289" s="133" t="n">
        <v>49</v>
      </c>
      <c r="K289" s="133" t="n">
        <v>49</v>
      </c>
      <c r="L289" s="39" t="n"/>
      <c r="M289" s="39" t="n"/>
      <c r="N289" s="178" t="n">
        <v>255</v>
      </c>
    </row>
    <row r="290">
      <c r="A290" s="89" t="inlineStr">
        <is>
          <t>Moabe</t>
        </is>
      </c>
      <c r="B290" s="133" t="n">
        <v>14</v>
      </c>
      <c r="C290" s="133" t="n">
        <v>7</v>
      </c>
      <c r="D290" s="133" t="n">
        <v>7</v>
      </c>
      <c r="E290" s="39" t="n"/>
      <c r="F290" s="133" t="n">
        <v>21</v>
      </c>
      <c r="G290" s="133" t="n">
        <v>14</v>
      </c>
      <c r="H290" s="39" t="n"/>
      <c r="I290" s="133" t="n">
        <v>21</v>
      </c>
      <c r="J290" s="133" t="n">
        <v>21</v>
      </c>
      <c r="K290" s="133" t="n">
        <v>7</v>
      </c>
      <c r="L290" s="39" t="n"/>
      <c r="M290" s="39" t="n"/>
      <c r="N290" s="178" t="n">
        <v>112</v>
      </c>
    </row>
    <row r="291">
      <c r="A291" s="89" t="inlineStr">
        <is>
          <t>Nishioka</t>
        </is>
      </c>
      <c r="B291" s="133" t="n">
        <v>21</v>
      </c>
      <c r="C291" s="133" t="n">
        <v>21</v>
      </c>
      <c r="D291" s="133" t="n">
        <v>14</v>
      </c>
      <c r="E291" s="133" t="n">
        <v>7</v>
      </c>
      <c r="F291" s="133" t="n">
        <v>42</v>
      </c>
      <c r="G291" s="133" t="n">
        <v>28</v>
      </c>
      <c r="H291" s="133" t="n">
        <v>28</v>
      </c>
      <c r="I291" s="133" t="n">
        <v>35</v>
      </c>
      <c r="J291" s="133" t="n">
        <v>21</v>
      </c>
      <c r="K291" s="133" t="n">
        <v>28</v>
      </c>
      <c r="L291" s="39" t="n"/>
      <c r="M291" s="39" t="n"/>
      <c r="N291" s="178" t="n">
        <v>245</v>
      </c>
    </row>
    <row r="292">
      <c r="A292" s="89" t="inlineStr">
        <is>
          <t>Patricia</t>
        </is>
      </c>
      <c r="B292" s="133" t="n">
        <v>21</v>
      </c>
      <c r="C292" s="39" t="n"/>
      <c r="D292" s="133" t="n">
        <v>7</v>
      </c>
      <c r="E292" s="39" t="n"/>
      <c r="F292" s="133" t="n">
        <v>7</v>
      </c>
      <c r="G292" s="39" t="n"/>
      <c r="H292" s="133" t="n">
        <v>7</v>
      </c>
      <c r="I292" s="133" t="n">
        <v>7</v>
      </c>
      <c r="J292" s="39" t="n"/>
      <c r="K292" s="133" t="n">
        <v>14</v>
      </c>
      <c r="L292" s="39" t="n"/>
      <c r="M292" s="39" t="n"/>
      <c r="N292" s="178" t="n">
        <v>63</v>
      </c>
    </row>
    <row r="293">
      <c r="A293" s="89" t="inlineStr">
        <is>
          <t>Pedro</t>
        </is>
      </c>
      <c r="B293" s="133" t="n">
        <v>56</v>
      </c>
      <c r="C293" s="133" t="n">
        <v>56</v>
      </c>
      <c r="D293" s="133" t="n">
        <v>56</v>
      </c>
      <c r="E293" s="133" t="n">
        <v>77</v>
      </c>
      <c r="F293" s="133" t="n">
        <v>56</v>
      </c>
      <c r="G293" s="133" t="n">
        <v>28</v>
      </c>
      <c r="H293" s="133" t="n">
        <v>63</v>
      </c>
      <c r="I293" s="133" t="n">
        <v>49</v>
      </c>
      <c r="J293" s="133" t="n">
        <v>28</v>
      </c>
      <c r="K293" s="133" t="n">
        <v>49</v>
      </c>
      <c r="L293" s="39" t="n"/>
      <c r="M293" s="39" t="n"/>
      <c r="N293" s="178" t="n">
        <v>518</v>
      </c>
    </row>
    <row r="294">
      <c r="A294" s="89" t="inlineStr">
        <is>
          <t>Pjamile</t>
        </is>
      </c>
      <c r="B294" s="133" t="n">
        <v>21</v>
      </c>
      <c r="C294" s="39" t="n"/>
      <c r="D294" s="39" t="n"/>
      <c r="E294" s="39" t="n"/>
      <c r="F294" s="133" t="n">
        <v>14</v>
      </c>
      <c r="G294" s="133" t="n">
        <v>7</v>
      </c>
      <c r="H294" s="133" t="n">
        <v>28</v>
      </c>
      <c r="I294" s="39" t="n"/>
      <c r="J294" s="133" t="n">
        <v>7</v>
      </c>
      <c r="K294" s="133" t="n">
        <v>14</v>
      </c>
      <c r="L294" s="39" t="n"/>
      <c r="M294" s="39" t="n"/>
      <c r="N294" s="178" t="n">
        <v>91</v>
      </c>
    </row>
    <row r="295">
      <c r="A295" s="89" t="inlineStr">
        <is>
          <t>Raphael</t>
        </is>
      </c>
      <c r="B295" s="133" t="n">
        <v>35</v>
      </c>
      <c r="C295" s="133" t="n">
        <v>56</v>
      </c>
      <c r="D295" s="133" t="n">
        <v>49</v>
      </c>
      <c r="E295" s="133" t="n">
        <v>42</v>
      </c>
      <c r="F295" s="133" t="n">
        <v>42</v>
      </c>
      <c r="G295" s="133" t="n">
        <v>42</v>
      </c>
      <c r="H295" s="133" t="n">
        <v>49</v>
      </c>
      <c r="I295" s="133" t="n">
        <v>56</v>
      </c>
      <c r="J295" s="133" t="n">
        <v>35</v>
      </c>
      <c r="K295" s="133" t="n">
        <v>70</v>
      </c>
      <c r="L295" s="39" t="n"/>
      <c r="M295" s="39" t="n"/>
      <c r="N295" s="178" t="n">
        <v>476</v>
      </c>
    </row>
    <row r="296">
      <c r="A296" s="89" t="inlineStr">
        <is>
          <t>Raquel</t>
        </is>
      </c>
      <c r="B296" s="133" t="n">
        <v>35</v>
      </c>
      <c r="C296" s="133" t="n">
        <v>28</v>
      </c>
      <c r="D296" s="133" t="n">
        <v>21</v>
      </c>
      <c r="E296" s="133" t="n">
        <v>35</v>
      </c>
      <c r="F296" s="133" t="n">
        <v>28</v>
      </c>
      <c r="G296" s="133" t="n">
        <v>21</v>
      </c>
      <c r="H296" s="133" t="n">
        <v>14</v>
      </c>
      <c r="I296" s="133" t="n">
        <v>14</v>
      </c>
      <c r="J296" s="133" t="n">
        <v>21</v>
      </c>
      <c r="K296" s="133" t="n">
        <v>7</v>
      </c>
      <c r="L296" s="39" t="n"/>
      <c r="M296" s="39" t="n"/>
      <c r="N296" s="178" t="n">
        <v>224</v>
      </c>
    </row>
    <row r="297">
      <c r="A297" s="89" t="inlineStr">
        <is>
          <t>Thamyres</t>
        </is>
      </c>
      <c r="B297" s="133" t="n">
        <v>14</v>
      </c>
      <c r="C297" s="133" t="n">
        <v>35</v>
      </c>
      <c r="D297" s="133" t="n">
        <v>28</v>
      </c>
      <c r="E297" s="133" t="n">
        <v>35</v>
      </c>
      <c r="F297" s="133" t="n">
        <v>7</v>
      </c>
      <c r="G297" s="133" t="n">
        <v>7</v>
      </c>
      <c r="H297" s="133" t="n">
        <v>7</v>
      </c>
      <c r="I297" s="133" t="n">
        <v>7</v>
      </c>
      <c r="J297" s="133" t="n">
        <v>7</v>
      </c>
      <c r="K297" s="133" t="n">
        <v>14</v>
      </c>
      <c r="L297" s="39" t="n"/>
      <c r="M297" s="39" t="n"/>
      <c r="N297" s="178" t="n">
        <v>161</v>
      </c>
    </row>
    <row r="298">
      <c r="A298" s="89" t="inlineStr">
        <is>
          <t>Vanessa</t>
        </is>
      </c>
      <c r="B298" s="133" t="n">
        <v>7</v>
      </c>
      <c r="C298" s="133" t="n">
        <v>7</v>
      </c>
      <c r="D298" s="133" t="n">
        <v>14</v>
      </c>
      <c r="E298" s="39" t="n"/>
      <c r="F298" s="133" t="n">
        <v>7</v>
      </c>
      <c r="G298" s="133" t="n">
        <v>7</v>
      </c>
      <c r="H298" s="133" t="n">
        <v>7</v>
      </c>
      <c r="I298" s="133" t="n">
        <v>14</v>
      </c>
      <c r="J298" s="133" t="n">
        <v>7</v>
      </c>
      <c r="K298" s="133" t="n">
        <v>14</v>
      </c>
      <c r="L298" s="39" t="n"/>
      <c r="M298" s="39" t="n"/>
      <c r="N298" s="178" t="n">
        <v>84</v>
      </c>
    </row>
    <row r="299">
      <c r="A299" s="89" t="inlineStr">
        <is>
          <t>Yuji</t>
        </is>
      </c>
      <c r="B299" s="133" t="n">
        <v>7</v>
      </c>
      <c r="C299" s="133" t="n">
        <v>21</v>
      </c>
      <c r="D299" s="133" t="n">
        <v>28</v>
      </c>
      <c r="E299" s="133" t="n">
        <v>28</v>
      </c>
      <c r="F299" s="133" t="n">
        <v>21</v>
      </c>
      <c r="G299" s="133" t="n">
        <v>21</v>
      </c>
      <c r="H299" s="133" t="n">
        <v>35</v>
      </c>
      <c r="I299" s="133" t="n">
        <v>14</v>
      </c>
      <c r="J299" s="133" t="n">
        <v>21</v>
      </c>
      <c r="K299" s="133" t="n">
        <v>14</v>
      </c>
      <c r="L299" s="133" t="n">
        <v>7</v>
      </c>
      <c r="M299" s="39" t="n"/>
      <c r="N299" s="178" t="n">
        <v>217</v>
      </c>
    </row>
    <row r="300">
      <c r="A300" s="89" t="inlineStr">
        <is>
          <t>JuIsaac</t>
        </is>
      </c>
      <c r="B300" s="133" t="n">
        <v>7</v>
      </c>
      <c r="C300" s="39" t="n"/>
      <c r="D300" s="133" t="n">
        <v>14</v>
      </c>
      <c r="E300" s="133" t="n">
        <v>14</v>
      </c>
      <c r="F300" s="133" t="n">
        <v>7</v>
      </c>
      <c r="G300" s="133" t="n">
        <v>21</v>
      </c>
      <c r="H300" s="133" t="n">
        <v>7</v>
      </c>
      <c r="I300" s="39" t="n"/>
      <c r="J300" s="39" t="n"/>
      <c r="K300" s="39" t="n"/>
      <c r="L300" s="39" t="n"/>
      <c r="M300" s="39" t="n"/>
      <c r="N300" s="178" t="n">
        <v>70</v>
      </c>
    </row>
    <row r="301">
      <c r="A301" s="89" t="inlineStr">
        <is>
          <t>Stephanie</t>
        </is>
      </c>
      <c r="B301" s="39" t="n"/>
      <c r="C301" s="133" t="n">
        <v>14</v>
      </c>
      <c r="D301" s="39" t="n"/>
      <c r="E301" s="133" t="n">
        <v>14</v>
      </c>
      <c r="F301" s="39" t="n"/>
      <c r="G301" s="133" t="n">
        <v>14</v>
      </c>
      <c r="H301" s="39" t="n"/>
      <c r="I301" s="39" t="n"/>
      <c r="J301" s="39" t="n"/>
      <c r="K301" s="39" t="n"/>
      <c r="L301" s="39" t="n"/>
      <c r="M301" s="39" t="n"/>
      <c r="N301" s="178" t="n">
        <v>42</v>
      </c>
    </row>
    <row r="302">
      <c r="A302" s="89" t="inlineStr">
        <is>
          <t>MPinheiro</t>
        </is>
      </c>
      <c r="B302" s="133" t="n">
        <v>21</v>
      </c>
      <c r="C302" s="133" t="n">
        <v>28</v>
      </c>
      <c r="D302" s="133" t="n">
        <v>56</v>
      </c>
      <c r="E302" s="133" t="n">
        <v>14</v>
      </c>
      <c r="F302" s="133" t="n">
        <v>28</v>
      </c>
      <c r="G302" s="133" t="n">
        <v>49</v>
      </c>
      <c r="H302" s="133" t="n">
        <v>42</v>
      </c>
      <c r="I302" s="39" t="n"/>
      <c r="J302" s="39" t="n"/>
      <c r="K302" s="39" t="n"/>
      <c r="L302" s="39" t="n"/>
      <c r="M302" s="39" t="n"/>
      <c r="N302" s="178" t="n">
        <v>238</v>
      </c>
    </row>
    <row r="303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</row>
    <row r="304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</row>
    <row r="305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</row>
  </sheetData>
  <mergeCells count="4">
    <mergeCell ref="A13:F13"/>
    <mergeCell ref="A96:F96"/>
    <mergeCell ref="A240:F240"/>
    <mergeCell ref="A4:F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92" t="inlineStr">
        <is>
          <t>Agregados por mês · Fonte dos gráficos do painel</t>
        </is>
      </c>
    </row>
    <row r="2">
      <c r="A2" s="3" t="inlineStr">
        <is>
          <t>Aba de apoio: não digitar nada aqui, tudo é fórmula das abas mensais</t>
        </is>
      </c>
    </row>
    <row r="4">
      <c r="A4" s="193" t="inlineStr">
        <is>
          <t>Mês</t>
        </is>
      </c>
      <c r="B4" s="193" t="inlineStr">
        <is>
          <t>Alertas 18h</t>
        </is>
      </c>
      <c r="C4" s="193" t="inlineStr">
        <is>
          <t>Buracos</t>
        </is>
      </c>
      <c r="D4" s="193" t="inlineStr">
        <is>
          <t>Dias completos</t>
        </is>
      </c>
      <c r="E4" s="193" t="inlineStr">
        <is>
          <t>Manhã</t>
        </is>
      </c>
      <c r="F4" s="193" t="inlineStr">
        <is>
          <t>Tarde</t>
        </is>
      </c>
      <c r="G4" s="193" t="inlineStr">
        <is>
          <t>Noite</t>
        </is>
      </c>
      <c r="H4" s="193" t="inlineStr">
        <is>
          <t>Noites</t>
        </is>
      </c>
      <c r="I4" s="193" t="inlineStr">
        <is>
          <t>Horas noturnas</t>
        </is>
      </c>
      <c r="J4" s="193" t="inlineStr">
        <is>
          <t>Fora da meta</t>
        </is>
      </c>
    </row>
    <row r="5">
      <c r="A5" s="32" t="inlineStr">
        <is>
          <t>JAN</t>
        </is>
      </c>
      <c r="B5" s="194">
        <f>IF(COUNTA(JAN!$I$8:$AM$73)&gt;0,SUM(JAN!$BL$8:$BL$73),"")</f>
        <v/>
      </c>
      <c r="C5" s="194">
        <f>IF(COUNTA(JAN!$I$8:$AM$73)&gt;0,SUMPRODUCT(((JAN!$I$75:$AM$75+JAN!$I$76:$AM$76+JAN!$I$77:$AM$77)&gt;0)*JAN!$I$78:$AM$78)+SUMPRODUCT(((JAN!$I$75:$AM$75+JAN!$I$76:$AM$76+JAN!$I$77:$AM$77)&gt;0)*JAN!$I$79:$AM$79)+SUMPRODUCT(((JAN!$I$75:$AM$75+JAN!$I$76:$AM$76+JAN!$I$77:$AM$77)&gt;0)*JAN!$I$80:$AM$80),"")</f>
        <v/>
      </c>
      <c r="D5" s="194">
        <f>IF(COUNTA(JAN!$I$8:$AM$73)&gt;0,SUMPRODUCT(((JAN!$I$75:$AM$75+JAN!$I$76:$AM$76+JAN!$I$77:$AM$77)&gt;0)*(JAN!$I$78:$AM$78+JAN!$I$79:$AM$79+JAN!$I$80:$AM$80=0)*(JAN!$I$78:$AM$78&lt;&gt;"")),"")</f>
        <v/>
      </c>
      <c r="E5" s="195">
        <f>IF(COUNTA(JAN!$I$8:$AM$73)&gt;0,IFERROR(AVERAGEIF(JAN!$I$75:$AM$75,"&gt;0"),0),"")</f>
        <v/>
      </c>
      <c r="F5" s="195">
        <f>IF(COUNTA(JAN!$I$8:$AM$73)&gt;0,IFERROR(AVERAGEIF(JAN!$I$76:$AM$76,"&gt;0"),0),"")</f>
        <v/>
      </c>
      <c r="G5" s="195">
        <f>IF(COUNTA(JAN!$I$8:$AM$73)&gt;0,IFERROR(AVERAGEIF(JAN!$I$77:$AM$77,"&gt;0"),0),"")</f>
        <v/>
      </c>
      <c r="H5" s="194">
        <f>IF(COUNTA(JAN!$I$8:$AM$73)&gt;0,COUNTIF(JAN!$I$8:$AM$73,"N")+COUNTIF(JAN!$I$8:$AM$73,"N+"),"")</f>
        <v/>
      </c>
      <c r="I5" s="194">
        <f>IF(COUNTA(JAN!$I$8:$AM$73)&gt;0,(COUNTIF(JAN!$I$8:$AM$73,"N")+COUNTIF(JAN!$I$8:$AM$73,"N+"))*7+COUNTIF(JAN!$I$8:$AM$73,"NT")*3,"")</f>
        <v/>
      </c>
      <c r="J5" s="194">
        <f>IF(COUNTA(JAN!$I$8:$AM$73)&gt;0,SUMPRODUCT(--(ABS(JAN!$BK$8:$BK$73)&gt;12)),"")</f>
        <v/>
      </c>
    </row>
    <row r="6">
      <c r="A6" s="32" t="inlineStr">
        <is>
          <t>FEV</t>
        </is>
      </c>
      <c r="B6" s="194">
        <f>IF(COUNTA(FEV!$I$8:$AM$73)&gt;0,SUM(FEV!$BL$8:$BL$73),"")</f>
        <v/>
      </c>
      <c r="C6" s="194">
        <f>IF(COUNTA(FEV!$I$8:$AM$73)&gt;0,SUMPRODUCT(((FEV!$I$75:$AM$75+FEV!$I$76:$AM$76+FEV!$I$77:$AM$77)&gt;0)*FEV!$I$78:$AM$78)+SUMPRODUCT(((FEV!$I$75:$AM$75+FEV!$I$76:$AM$76+FEV!$I$77:$AM$77)&gt;0)*FEV!$I$79:$AM$79)+SUMPRODUCT(((FEV!$I$75:$AM$75+FEV!$I$76:$AM$76+FEV!$I$77:$AM$77)&gt;0)*FEV!$I$80:$AM$80),"")</f>
        <v/>
      </c>
      <c r="D6" s="194">
        <f>IF(COUNTA(FEV!$I$8:$AM$73)&gt;0,SUMPRODUCT(((FEV!$I$75:$AM$75+FEV!$I$76:$AM$76+FEV!$I$77:$AM$77)&gt;0)*(FEV!$I$78:$AM$78+FEV!$I$79:$AM$79+FEV!$I$80:$AM$80=0)*(FEV!$I$78:$AM$78&lt;&gt;"")),"")</f>
        <v/>
      </c>
      <c r="E6" s="195">
        <f>IF(COUNTA(FEV!$I$8:$AM$73)&gt;0,IFERROR(AVERAGEIF(FEV!$I$75:$AM$75,"&gt;0"),0),"")</f>
        <v/>
      </c>
      <c r="F6" s="195">
        <f>IF(COUNTA(FEV!$I$8:$AM$73)&gt;0,IFERROR(AVERAGEIF(FEV!$I$76:$AM$76,"&gt;0"),0),"")</f>
        <v/>
      </c>
      <c r="G6" s="195">
        <f>IF(COUNTA(FEV!$I$8:$AM$73)&gt;0,IFERROR(AVERAGEIF(FEV!$I$77:$AM$77,"&gt;0"),0),"")</f>
        <v/>
      </c>
      <c r="H6" s="194">
        <f>IF(COUNTA(FEV!$I$8:$AM$73)&gt;0,COUNTIF(FEV!$I$8:$AM$73,"N")+COUNTIF(FEV!$I$8:$AM$73,"N+"),"")</f>
        <v/>
      </c>
      <c r="I6" s="194">
        <f>IF(COUNTA(FEV!$I$8:$AM$73)&gt;0,(COUNTIF(FEV!$I$8:$AM$73,"N")+COUNTIF(FEV!$I$8:$AM$73,"N+"))*7+COUNTIF(FEV!$I$8:$AM$73,"NT")*3,"")</f>
        <v/>
      </c>
      <c r="J6" s="194">
        <f>IF(COUNTA(FEV!$I$8:$AM$73)&gt;0,SUMPRODUCT(--(ABS(FEV!$BK$8:$BK$73)&gt;12)),"")</f>
        <v/>
      </c>
    </row>
    <row r="7">
      <c r="A7" s="32" t="inlineStr">
        <is>
          <t>MAR</t>
        </is>
      </c>
      <c r="B7" s="194">
        <f>IF(COUNTA(MAR!$I$8:$AM$73)&gt;0,SUM(MAR!$BL$8:$BL$73),"")</f>
        <v/>
      </c>
      <c r="C7" s="194">
        <f>IF(COUNTA(MAR!$I$8:$AM$73)&gt;0,SUMPRODUCT(((MAR!$I$75:$AM$75+MAR!$I$76:$AM$76+MAR!$I$77:$AM$77)&gt;0)*MAR!$I$78:$AM$78)+SUMPRODUCT(((MAR!$I$75:$AM$75+MAR!$I$76:$AM$76+MAR!$I$77:$AM$77)&gt;0)*MAR!$I$79:$AM$79)+SUMPRODUCT(((MAR!$I$75:$AM$75+MAR!$I$76:$AM$76+MAR!$I$77:$AM$77)&gt;0)*MAR!$I$80:$AM$80),"")</f>
        <v/>
      </c>
      <c r="D7" s="194">
        <f>IF(COUNTA(MAR!$I$8:$AM$73)&gt;0,SUMPRODUCT(((MAR!$I$75:$AM$75+MAR!$I$76:$AM$76+MAR!$I$77:$AM$77)&gt;0)*(MAR!$I$78:$AM$78+MAR!$I$79:$AM$79+MAR!$I$80:$AM$80=0)*(MAR!$I$78:$AM$78&lt;&gt;"")),"")</f>
        <v/>
      </c>
      <c r="E7" s="195">
        <f>IF(COUNTA(MAR!$I$8:$AM$73)&gt;0,IFERROR(AVERAGEIF(MAR!$I$75:$AM$75,"&gt;0"),0),"")</f>
        <v/>
      </c>
      <c r="F7" s="195">
        <f>IF(COUNTA(MAR!$I$8:$AM$73)&gt;0,IFERROR(AVERAGEIF(MAR!$I$76:$AM$76,"&gt;0"),0),"")</f>
        <v/>
      </c>
      <c r="G7" s="195">
        <f>IF(COUNTA(MAR!$I$8:$AM$73)&gt;0,IFERROR(AVERAGEIF(MAR!$I$77:$AM$77,"&gt;0"),0),"")</f>
        <v/>
      </c>
      <c r="H7" s="194">
        <f>IF(COUNTA(MAR!$I$8:$AM$73)&gt;0,COUNTIF(MAR!$I$8:$AM$73,"N")+COUNTIF(MAR!$I$8:$AM$73,"N+"),"")</f>
        <v/>
      </c>
      <c r="I7" s="194">
        <f>IF(COUNTA(MAR!$I$8:$AM$73)&gt;0,(COUNTIF(MAR!$I$8:$AM$73,"N")+COUNTIF(MAR!$I$8:$AM$73,"N+"))*7+COUNTIF(MAR!$I$8:$AM$73,"NT")*3,"")</f>
        <v/>
      </c>
      <c r="J7" s="194">
        <f>IF(COUNTA(MAR!$I$8:$AM$73)&gt;0,SUMPRODUCT(--(ABS(MAR!$BK$8:$BK$73)&gt;12)),"")</f>
        <v/>
      </c>
    </row>
    <row r="8">
      <c r="A8" s="32" t="inlineStr">
        <is>
          <t>ABR</t>
        </is>
      </c>
      <c r="B8" s="194">
        <f>IF(COUNTA(ABR!$I$8:$AM$73)&gt;0,SUM(ABR!$BL$8:$BL$73),"")</f>
        <v/>
      </c>
      <c r="C8" s="194">
        <f>IF(COUNTA(ABR!$I$8:$AM$73)&gt;0,SUMPRODUCT(((ABR!$I$75:$AM$75+ABR!$I$76:$AM$76+ABR!$I$77:$AM$77)&gt;0)*ABR!$I$78:$AM$78)+SUMPRODUCT(((ABR!$I$75:$AM$75+ABR!$I$76:$AM$76+ABR!$I$77:$AM$77)&gt;0)*ABR!$I$79:$AM$79)+SUMPRODUCT(((ABR!$I$75:$AM$75+ABR!$I$76:$AM$76+ABR!$I$77:$AM$77)&gt;0)*ABR!$I$80:$AM$80),"")</f>
        <v/>
      </c>
      <c r="D8" s="194">
        <f>IF(COUNTA(ABR!$I$8:$AM$73)&gt;0,SUMPRODUCT(((ABR!$I$75:$AM$75+ABR!$I$76:$AM$76+ABR!$I$77:$AM$77)&gt;0)*(ABR!$I$78:$AM$78+ABR!$I$79:$AM$79+ABR!$I$80:$AM$80=0)*(ABR!$I$78:$AM$78&lt;&gt;"")),"")</f>
        <v/>
      </c>
      <c r="E8" s="195">
        <f>IF(COUNTA(ABR!$I$8:$AM$73)&gt;0,IFERROR(AVERAGEIF(ABR!$I$75:$AM$75,"&gt;0"),0),"")</f>
        <v/>
      </c>
      <c r="F8" s="195">
        <f>IF(COUNTA(ABR!$I$8:$AM$73)&gt;0,IFERROR(AVERAGEIF(ABR!$I$76:$AM$76,"&gt;0"),0),"")</f>
        <v/>
      </c>
      <c r="G8" s="195">
        <f>IF(COUNTA(ABR!$I$8:$AM$73)&gt;0,IFERROR(AVERAGEIF(ABR!$I$77:$AM$77,"&gt;0"),0),"")</f>
        <v/>
      </c>
      <c r="H8" s="194">
        <f>IF(COUNTA(ABR!$I$8:$AM$73)&gt;0,COUNTIF(ABR!$I$8:$AM$73,"N")+COUNTIF(ABR!$I$8:$AM$73,"N+"),"")</f>
        <v/>
      </c>
      <c r="I8" s="194">
        <f>IF(COUNTA(ABR!$I$8:$AM$73)&gt;0,(COUNTIF(ABR!$I$8:$AM$73,"N")+COUNTIF(ABR!$I$8:$AM$73,"N+"))*7+COUNTIF(ABR!$I$8:$AM$73,"NT")*3,"")</f>
        <v/>
      </c>
      <c r="J8" s="194">
        <f>IF(COUNTA(ABR!$I$8:$AM$73)&gt;0,SUMPRODUCT(--(ABS(ABR!$BK$8:$BK$73)&gt;12)),"")</f>
        <v/>
      </c>
    </row>
    <row r="9">
      <c r="A9" s="32" t="inlineStr">
        <is>
          <t>MAI</t>
        </is>
      </c>
      <c r="B9" s="194">
        <f>IF(COUNTA(MAI!$I$8:$AM$73)&gt;0,SUM(MAI!$BL$8:$BL$73),"")</f>
        <v/>
      </c>
      <c r="C9" s="194">
        <f>IF(COUNTA(MAI!$I$8:$AM$73)&gt;0,SUMPRODUCT(((MAI!$I$75:$AM$75+MAI!$I$76:$AM$76+MAI!$I$77:$AM$77)&gt;0)*MAI!$I$78:$AM$78)+SUMPRODUCT(((MAI!$I$75:$AM$75+MAI!$I$76:$AM$76+MAI!$I$77:$AM$77)&gt;0)*MAI!$I$79:$AM$79)+SUMPRODUCT(((MAI!$I$75:$AM$75+MAI!$I$76:$AM$76+MAI!$I$77:$AM$77)&gt;0)*MAI!$I$80:$AM$80),"")</f>
        <v/>
      </c>
      <c r="D9" s="194">
        <f>IF(COUNTA(MAI!$I$8:$AM$73)&gt;0,SUMPRODUCT(((MAI!$I$75:$AM$75+MAI!$I$76:$AM$76+MAI!$I$77:$AM$77)&gt;0)*(MAI!$I$78:$AM$78+MAI!$I$79:$AM$79+MAI!$I$80:$AM$80=0)*(MAI!$I$78:$AM$78&lt;&gt;"")),"")</f>
        <v/>
      </c>
      <c r="E9" s="195">
        <f>IF(COUNTA(MAI!$I$8:$AM$73)&gt;0,IFERROR(AVERAGEIF(MAI!$I$75:$AM$75,"&gt;0"),0),"")</f>
        <v/>
      </c>
      <c r="F9" s="195">
        <f>IF(COUNTA(MAI!$I$8:$AM$73)&gt;0,IFERROR(AVERAGEIF(MAI!$I$76:$AM$76,"&gt;0"),0),"")</f>
        <v/>
      </c>
      <c r="G9" s="195">
        <f>IF(COUNTA(MAI!$I$8:$AM$73)&gt;0,IFERROR(AVERAGEIF(MAI!$I$77:$AM$77,"&gt;0"),0),"")</f>
        <v/>
      </c>
      <c r="H9" s="194">
        <f>IF(COUNTA(MAI!$I$8:$AM$73)&gt;0,COUNTIF(MAI!$I$8:$AM$73,"N")+COUNTIF(MAI!$I$8:$AM$73,"N+"),"")</f>
        <v/>
      </c>
      <c r="I9" s="194">
        <f>IF(COUNTA(MAI!$I$8:$AM$73)&gt;0,(COUNTIF(MAI!$I$8:$AM$73,"N")+COUNTIF(MAI!$I$8:$AM$73,"N+"))*7+COUNTIF(MAI!$I$8:$AM$73,"NT")*3,"")</f>
        <v/>
      </c>
      <c r="J9" s="194">
        <f>IF(COUNTA(MAI!$I$8:$AM$73)&gt;0,SUMPRODUCT(--(ABS(MAI!$BK$8:$BK$73)&gt;12)),"")</f>
        <v/>
      </c>
    </row>
    <row r="10">
      <c r="A10" s="32" t="inlineStr">
        <is>
          <t>JUN</t>
        </is>
      </c>
      <c r="B10" s="194">
        <f>IF(COUNTA(JUN!$I$8:$AM$73)&gt;0,SUM(JUN!$BL$8:$BL$73),"")</f>
        <v/>
      </c>
      <c r="C10" s="194">
        <f>IF(COUNTA(JUN!$I$8:$AM$73)&gt;0,SUMPRODUCT(((JUN!$I$75:$AM$75+JUN!$I$76:$AM$76+JUN!$I$77:$AM$77)&gt;0)*JUN!$I$78:$AM$78)+SUMPRODUCT(((JUN!$I$75:$AM$75+JUN!$I$76:$AM$76+JUN!$I$77:$AM$77)&gt;0)*JUN!$I$79:$AM$79)+SUMPRODUCT(((JUN!$I$75:$AM$75+JUN!$I$76:$AM$76+JUN!$I$77:$AM$77)&gt;0)*JUN!$I$80:$AM$80),"")</f>
        <v/>
      </c>
      <c r="D10" s="194">
        <f>IF(COUNTA(JUN!$I$8:$AM$73)&gt;0,SUMPRODUCT(((JUN!$I$75:$AM$75+JUN!$I$76:$AM$76+JUN!$I$77:$AM$77)&gt;0)*(JUN!$I$78:$AM$78+JUN!$I$79:$AM$79+JUN!$I$80:$AM$80=0)*(JUN!$I$78:$AM$78&lt;&gt;"")),"")</f>
        <v/>
      </c>
      <c r="E10" s="195">
        <f>IF(COUNTA(JUN!$I$8:$AM$73)&gt;0,IFERROR(AVERAGEIF(JUN!$I$75:$AM$75,"&gt;0"),0),"")</f>
        <v/>
      </c>
      <c r="F10" s="195">
        <f>IF(COUNTA(JUN!$I$8:$AM$73)&gt;0,IFERROR(AVERAGEIF(JUN!$I$76:$AM$76,"&gt;0"),0),"")</f>
        <v/>
      </c>
      <c r="G10" s="195">
        <f>IF(COUNTA(JUN!$I$8:$AM$73)&gt;0,IFERROR(AVERAGEIF(JUN!$I$77:$AM$77,"&gt;0"),0),"")</f>
        <v/>
      </c>
      <c r="H10" s="194">
        <f>IF(COUNTA(JUN!$I$8:$AM$73)&gt;0,COUNTIF(JUN!$I$8:$AM$73,"N")+COUNTIF(JUN!$I$8:$AM$73,"N+"),"")</f>
        <v/>
      </c>
      <c r="I10" s="194">
        <f>IF(COUNTA(JUN!$I$8:$AM$73)&gt;0,(COUNTIF(JUN!$I$8:$AM$73,"N")+COUNTIF(JUN!$I$8:$AM$73,"N+"))*7+COUNTIF(JUN!$I$8:$AM$73,"NT")*3,"")</f>
        <v/>
      </c>
      <c r="J10" s="194">
        <f>IF(COUNTA(JUN!$I$8:$AM$73)&gt;0,SUMPRODUCT(--(ABS(JUN!$BK$8:$BK$73)&gt;12)),"")</f>
        <v/>
      </c>
    </row>
    <row r="11">
      <c r="A11" s="32" t="inlineStr">
        <is>
          <t>JUL</t>
        </is>
      </c>
      <c r="B11" s="194">
        <f>IF(COUNTA(JUL!$I$8:$AM$73)&gt;0,SUM(JUL!$BL$8:$BL$73),"")</f>
        <v/>
      </c>
      <c r="C11" s="194">
        <f>IF(COUNTA(JUL!$I$8:$AM$73)&gt;0,SUMPRODUCT(((JUL!$I$75:$AM$75+JUL!$I$76:$AM$76+JUL!$I$77:$AM$77)&gt;0)*JUL!$I$78:$AM$78)+SUMPRODUCT(((JUL!$I$75:$AM$75+JUL!$I$76:$AM$76+JUL!$I$77:$AM$77)&gt;0)*JUL!$I$79:$AM$79)+SUMPRODUCT(((JUL!$I$75:$AM$75+JUL!$I$76:$AM$76+JUL!$I$77:$AM$77)&gt;0)*JUL!$I$80:$AM$80),"")</f>
        <v/>
      </c>
      <c r="D11" s="194">
        <f>IF(COUNTA(JUL!$I$8:$AM$73)&gt;0,SUMPRODUCT(((JUL!$I$75:$AM$75+JUL!$I$76:$AM$76+JUL!$I$77:$AM$77)&gt;0)*(JUL!$I$78:$AM$78+JUL!$I$79:$AM$79+JUL!$I$80:$AM$80=0)*(JUL!$I$78:$AM$78&lt;&gt;"")),"")</f>
        <v/>
      </c>
      <c r="E11" s="195">
        <f>IF(COUNTA(JUL!$I$8:$AM$73)&gt;0,IFERROR(AVERAGEIF(JUL!$I$75:$AM$75,"&gt;0"),0),"")</f>
        <v/>
      </c>
      <c r="F11" s="195">
        <f>IF(COUNTA(JUL!$I$8:$AM$73)&gt;0,IFERROR(AVERAGEIF(JUL!$I$76:$AM$76,"&gt;0"),0),"")</f>
        <v/>
      </c>
      <c r="G11" s="195">
        <f>IF(COUNTA(JUL!$I$8:$AM$73)&gt;0,IFERROR(AVERAGEIF(JUL!$I$77:$AM$77,"&gt;0"),0),"")</f>
        <v/>
      </c>
      <c r="H11" s="194">
        <f>IF(COUNTA(JUL!$I$8:$AM$73)&gt;0,COUNTIF(JUL!$I$8:$AM$73,"N")+COUNTIF(JUL!$I$8:$AM$73,"N+"),"")</f>
        <v/>
      </c>
      <c r="I11" s="194">
        <f>IF(COUNTA(JUL!$I$8:$AM$73)&gt;0,(COUNTIF(JUL!$I$8:$AM$73,"N")+COUNTIF(JUL!$I$8:$AM$73,"N+"))*7+COUNTIF(JUL!$I$8:$AM$73,"NT")*3,"")</f>
        <v/>
      </c>
      <c r="J11" s="194">
        <f>IF(COUNTA(JUL!$I$8:$AM$73)&gt;0,SUMPRODUCT(--(ABS(JUL!$BK$8:$BK$73)&gt;12)),"")</f>
        <v/>
      </c>
    </row>
    <row r="12">
      <c r="A12" s="32" t="inlineStr">
        <is>
          <t>AGO</t>
        </is>
      </c>
      <c r="B12" s="194">
        <f>IF(COUNTA(AGO!$I$8:$AM$73)&gt;0,SUM(AGO!$BL$8:$BL$73),"")</f>
        <v/>
      </c>
      <c r="C12" s="194">
        <f>IF(COUNTA(AGO!$I$8:$AM$73)&gt;0,SUMPRODUCT(((AGO!$I$75:$AM$75+AGO!$I$76:$AM$76+AGO!$I$77:$AM$77)&gt;0)*AGO!$I$78:$AM$78)+SUMPRODUCT(((AGO!$I$75:$AM$75+AGO!$I$76:$AM$76+AGO!$I$77:$AM$77)&gt;0)*AGO!$I$79:$AM$79)+SUMPRODUCT(((AGO!$I$75:$AM$75+AGO!$I$76:$AM$76+AGO!$I$77:$AM$77)&gt;0)*AGO!$I$80:$AM$80),"")</f>
        <v/>
      </c>
      <c r="D12" s="194">
        <f>IF(COUNTA(AGO!$I$8:$AM$73)&gt;0,SUMPRODUCT(((AGO!$I$75:$AM$75+AGO!$I$76:$AM$76+AGO!$I$77:$AM$77)&gt;0)*(AGO!$I$78:$AM$78+AGO!$I$79:$AM$79+AGO!$I$80:$AM$80=0)*(AGO!$I$78:$AM$78&lt;&gt;"")),"")</f>
        <v/>
      </c>
      <c r="E12" s="195">
        <f>IF(COUNTA(AGO!$I$8:$AM$73)&gt;0,IFERROR(AVERAGEIF(AGO!$I$75:$AM$75,"&gt;0"),0),"")</f>
        <v/>
      </c>
      <c r="F12" s="195">
        <f>IF(COUNTA(AGO!$I$8:$AM$73)&gt;0,IFERROR(AVERAGEIF(AGO!$I$76:$AM$76,"&gt;0"),0),"")</f>
        <v/>
      </c>
      <c r="G12" s="195">
        <f>IF(COUNTA(AGO!$I$8:$AM$73)&gt;0,IFERROR(AVERAGEIF(AGO!$I$77:$AM$77,"&gt;0"),0),"")</f>
        <v/>
      </c>
      <c r="H12" s="194">
        <f>IF(COUNTA(AGO!$I$8:$AM$73)&gt;0,COUNTIF(AGO!$I$8:$AM$73,"N")+COUNTIF(AGO!$I$8:$AM$73,"N+"),"")</f>
        <v/>
      </c>
      <c r="I12" s="194">
        <f>IF(COUNTA(AGO!$I$8:$AM$73)&gt;0,(COUNTIF(AGO!$I$8:$AM$73,"N")+COUNTIF(AGO!$I$8:$AM$73,"N+"))*7+COUNTIF(AGO!$I$8:$AM$73,"NT")*3,"")</f>
        <v/>
      </c>
      <c r="J12" s="194">
        <f>IF(COUNTA(AGO!$I$8:$AM$73)&gt;0,SUMPRODUCT(--(ABS(AGO!$BK$8:$BK$73)&gt;12)),"")</f>
        <v/>
      </c>
    </row>
    <row r="13">
      <c r="A13" s="32" t="inlineStr">
        <is>
          <t>SET</t>
        </is>
      </c>
      <c r="B13" s="194">
        <f>IF(COUNTA(SET!$I$8:$AM$73)&gt;0,SUM(SET!$BL$8:$BL$73),"")</f>
        <v/>
      </c>
      <c r="C13" s="194">
        <f>IF(COUNTA(SET!$I$8:$AM$73)&gt;0,SUMPRODUCT(((SET!$I$75:$AM$75+SET!$I$76:$AM$76+SET!$I$77:$AM$77)&gt;0)*SET!$I$78:$AM$78)+SUMPRODUCT(((SET!$I$75:$AM$75+SET!$I$76:$AM$76+SET!$I$77:$AM$77)&gt;0)*SET!$I$79:$AM$79)+SUMPRODUCT(((SET!$I$75:$AM$75+SET!$I$76:$AM$76+SET!$I$77:$AM$77)&gt;0)*SET!$I$80:$AM$80),"")</f>
        <v/>
      </c>
      <c r="D13" s="194">
        <f>IF(COUNTA(SET!$I$8:$AM$73)&gt;0,SUMPRODUCT(((SET!$I$75:$AM$75+SET!$I$76:$AM$76+SET!$I$77:$AM$77)&gt;0)*(SET!$I$78:$AM$78+SET!$I$79:$AM$79+SET!$I$80:$AM$80=0)*(SET!$I$78:$AM$78&lt;&gt;"")),"")</f>
        <v/>
      </c>
      <c r="E13" s="195">
        <f>IF(COUNTA(SET!$I$8:$AM$73)&gt;0,IFERROR(AVERAGEIF(SET!$I$75:$AM$75,"&gt;0"),0),"")</f>
        <v/>
      </c>
      <c r="F13" s="195">
        <f>IF(COUNTA(SET!$I$8:$AM$73)&gt;0,IFERROR(AVERAGEIF(SET!$I$76:$AM$76,"&gt;0"),0),"")</f>
        <v/>
      </c>
      <c r="G13" s="195">
        <f>IF(COUNTA(SET!$I$8:$AM$73)&gt;0,IFERROR(AVERAGEIF(SET!$I$77:$AM$77,"&gt;0"),0),"")</f>
        <v/>
      </c>
      <c r="H13" s="194">
        <f>IF(COUNTA(SET!$I$8:$AM$73)&gt;0,COUNTIF(SET!$I$8:$AM$73,"N")+COUNTIF(SET!$I$8:$AM$73,"N+"),"")</f>
        <v/>
      </c>
      <c r="I13" s="194">
        <f>IF(COUNTA(SET!$I$8:$AM$73)&gt;0,(COUNTIF(SET!$I$8:$AM$73,"N")+COUNTIF(SET!$I$8:$AM$73,"N+"))*7+COUNTIF(SET!$I$8:$AM$73,"NT")*3,"")</f>
        <v/>
      </c>
      <c r="J13" s="194">
        <f>IF(COUNTA(SET!$I$8:$AM$73)&gt;0,SUMPRODUCT(--(ABS(SET!$BK$8:$BK$73)&gt;12)),"")</f>
        <v/>
      </c>
    </row>
    <row r="14">
      <c r="A14" s="32" t="inlineStr">
        <is>
          <t>OUT</t>
        </is>
      </c>
      <c r="B14" s="194">
        <f>IF(COUNTA(OUT!$I$8:$AM$73)&gt;0,SUM(OUT!$BL$8:$BL$73),"")</f>
        <v/>
      </c>
      <c r="C14" s="194">
        <f>IF(COUNTA(OUT!$I$8:$AM$73)&gt;0,SUMPRODUCT(((OUT!$I$75:$AM$75+OUT!$I$76:$AM$76+OUT!$I$77:$AM$77)&gt;0)*OUT!$I$78:$AM$78)+SUMPRODUCT(((OUT!$I$75:$AM$75+OUT!$I$76:$AM$76+OUT!$I$77:$AM$77)&gt;0)*OUT!$I$79:$AM$79)+SUMPRODUCT(((OUT!$I$75:$AM$75+OUT!$I$76:$AM$76+OUT!$I$77:$AM$77)&gt;0)*OUT!$I$80:$AM$80),"")</f>
        <v/>
      </c>
      <c r="D14" s="194">
        <f>IF(COUNTA(OUT!$I$8:$AM$73)&gt;0,SUMPRODUCT(((OUT!$I$75:$AM$75+OUT!$I$76:$AM$76+OUT!$I$77:$AM$77)&gt;0)*(OUT!$I$78:$AM$78+OUT!$I$79:$AM$79+OUT!$I$80:$AM$80=0)*(OUT!$I$78:$AM$78&lt;&gt;"")),"")</f>
        <v/>
      </c>
      <c r="E14" s="195">
        <f>IF(COUNTA(OUT!$I$8:$AM$73)&gt;0,IFERROR(AVERAGEIF(OUT!$I$75:$AM$75,"&gt;0"),0),"")</f>
        <v/>
      </c>
      <c r="F14" s="195">
        <f>IF(COUNTA(OUT!$I$8:$AM$73)&gt;0,IFERROR(AVERAGEIF(OUT!$I$76:$AM$76,"&gt;0"),0),"")</f>
        <v/>
      </c>
      <c r="G14" s="195">
        <f>IF(COUNTA(OUT!$I$8:$AM$73)&gt;0,IFERROR(AVERAGEIF(OUT!$I$77:$AM$77,"&gt;0"),0),"")</f>
        <v/>
      </c>
      <c r="H14" s="194">
        <f>IF(COUNTA(OUT!$I$8:$AM$73)&gt;0,COUNTIF(OUT!$I$8:$AM$73,"N")+COUNTIF(OUT!$I$8:$AM$73,"N+"),"")</f>
        <v/>
      </c>
      <c r="I14" s="194">
        <f>IF(COUNTA(OUT!$I$8:$AM$73)&gt;0,(COUNTIF(OUT!$I$8:$AM$73,"N")+COUNTIF(OUT!$I$8:$AM$73,"N+"))*7+COUNTIF(OUT!$I$8:$AM$73,"NT")*3,"")</f>
        <v/>
      </c>
      <c r="J14" s="194">
        <f>IF(COUNTA(OUT!$I$8:$AM$73)&gt;0,SUMPRODUCT(--(ABS(OUT!$BK$8:$BK$73)&gt;12)),"")</f>
        <v/>
      </c>
    </row>
    <row r="15">
      <c r="A15" s="32" t="inlineStr">
        <is>
          <t>NOV</t>
        </is>
      </c>
      <c r="B15" s="194">
        <f>IF(COUNTA(NOV!$I$8:$AM$73)&gt;0,SUM(NOV!$BL$8:$BL$73),"")</f>
        <v/>
      </c>
      <c r="C15" s="194">
        <f>IF(COUNTA(NOV!$I$8:$AM$73)&gt;0,SUMPRODUCT(((NOV!$I$75:$AM$75+NOV!$I$76:$AM$76+NOV!$I$77:$AM$77)&gt;0)*NOV!$I$78:$AM$78)+SUMPRODUCT(((NOV!$I$75:$AM$75+NOV!$I$76:$AM$76+NOV!$I$77:$AM$77)&gt;0)*NOV!$I$79:$AM$79)+SUMPRODUCT(((NOV!$I$75:$AM$75+NOV!$I$76:$AM$76+NOV!$I$77:$AM$77)&gt;0)*NOV!$I$80:$AM$80),"")</f>
        <v/>
      </c>
      <c r="D15" s="194">
        <f>IF(COUNTA(NOV!$I$8:$AM$73)&gt;0,SUMPRODUCT(((NOV!$I$75:$AM$75+NOV!$I$76:$AM$76+NOV!$I$77:$AM$77)&gt;0)*(NOV!$I$78:$AM$78+NOV!$I$79:$AM$79+NOV!$I$80:$AM$80=0)*(NOV!$I$78:$AM$78&lt;&gt;"")),"")</f>
        <v/>
      </c>
      <c r="E15" s="195">
        <f>IF(COUNTA(NOV!$I$8:$AM$73)&gt;0,IFERROR(AVERAGEIF(NOV!$I$75:$AM$75,"&gt;0"),0),"")</f>
        <v/>
      </c>
      <c r="F15" s="195">
        <f>IF(COUNTA(NOV!$I$8:$AM$73)&gt;0,IFERROR(AVERAGEIF(NOV!$I$76:$AM$76,"&gt;0"),0),"")</f>
        <v/>
      </c>
      <c r="G15" s="195">
        <f>IF(COUNTA(NOV!$I$8:$AM$73)&gt;0,IFERROR(AVERAGEIF(NOV!$I$77:$AM$77,"&gt;0"),0),"")</f>
        <v/>
      </c>
      <c r="H15" s="194">
        <f>IF(COUNTA(NOV!$I$8:$AM$73)&gt;0,COUNTIF(NOV!$I$8:$AM$73,"N")+COUNTIF(NOV!$I$8:$AM$73,"N+"),"")</f>
        <v/>
      </c>
      <c r="I15" s="194">
        <f>IF(COUNTA(NOV!$I$8:$AM$73)&gt;0,(COUNTIF(NOV!$I$8:$AM$73,"N")+COUNTIF(NOV!$I$8:$AM$73,"N+"))*7+COUNTIF(NOV!$I$8:$AM$73,"NT")*3,"")</f>
        <v/>
      </c>
      <c r="J15" s="194">
        <f>IF(COUNTA(NOV!$I$8:$AM$73)&gt;0,SUMPRODUCT(--(ABS(NOV!$BK$8:$BK$73)&gt;12)),"")</f>
        <v/>
      </c>
    </row>
    <row r="16">
      <c r="A16" s="32" t="inlineStr">
        <is>
          <t>DEZ</t>
        </is>
      </c>
      <c r="B16" s="194">
        <f>IF(COUNTA(DEZ!$I$8:$AM$73)&gt;0,SUM(DEZ!$BL$8:$BL$73),"")</f>
        <v/>
      </c>
      <c r="C16" s="194">
        <f>IF(COUNTA(DEZ!$I$8:$AM$73)&gt;0,SUMPRODUCT(((DEZ!$I$75:$AM$75+DEZ!$I$76:$AM$76+DEZ!$I$77:$AM$77)&gt;0)*DEZ!$I$78:$AM$78)+SUMPRODUCT(((DEZ!$I$75:$AM$75+DEZ!$I$76:$AM$76+DEZ!$I$77:$AM$77)&gt;0)*DEZ!$I$79:$AM$79)+SUMPRODUCT(((DEZ!$I$75:$AM$75+DEZ!$I$76:$AM$76+DEZ!$I$77:$AM$77)&gt;0)*DEZ!$I$80:$AM$80),"")</f>
        <v/>
      </c>
      <c r="D16" s="194">
        <f>IF(COUNTA(DEZ!$I$8:$AM$73)&gt;0,SUMPRODUCT(((DEZ!$I$75:$AM$75+DEZ!$I$76:$AM$76+DEZ!$I$77:$AM$77)&gt;0)*(DEZ!$I$78:$AM$78+DEZ!$I$79:$AM$79+DEZ!$I$80:$AM$80=0)*(DEZ!$I$78:$AM$78&lt;&gt;"")),"")</f>
        <v/>
      </c>
      <c r="E16" s="195">
        <f>IF(COUNTA(DEZ!$I$8:$AM$73)&gt;0,IFERROR(AVERAGEIF(DEZ!$I$75:$AM$75,"&gt;0"),0),"")</f>
        <v/>
      </c>
      <c r="F16" s="195">
        <f>IF(COUNTA(DEZ!$I$8:$AM$73)&gt;0,IFERROR(AVERAGEIF(DEZ!$I$76:$AM$76,"&gt;0"),0),"")</f>
        <v/>
      </c>
      <c r="G16" s="195">
        <f>IF(COUNTA(DEZ!$I$8:$AM$73)&gt;0,IFERROR(AVERAGEIF(DEZ!$I$77:$AM$77,"&gt;0"),0),"")</f>
        <v/>
      </c>
      <c r="H16" s="194">
        <f>IF(COUNTA(DEZ!$I$8:$AM$73)&gt;0,COUNTIF(DEZ!$I$8:$AM$73,"N")+COUNTIF(DEZ!$I$8:$AM$73,"N+"),"")</f>
        <v/>
      </c>
      <c r="I16" s="194">
        <f>IF(COUNTA(DEZ!$I$8:$AM$73)&gt;0,(COUNTIF(DEZ!$I$8:$AM$73,"N")+COUNTIF(DEZ!$I$8:$AM$73,"N+"))*7+COUNTIF(DEZ!$I$8:$AM$73,"NT")*3,"")</f>
        <v/>
      </c>
      <c r="J16" s="194">
        <f>IF(COUNTA(DEZ!$I$8:$AM$73)&gt;0,SUMPRODUCT(--(ABS(DEZ!$BK$8:$BK$73)&gt;12)),"")</f>
        <v/>
      </c>
    </row>
    <row r="20">
      <c r="A20" s="196" t="inlineStr">
        <is>
          <t>Distribuição do saldo · Outubro</t>
        </is>
      </c>
    </row>
    <row r="21">
      <c r="A21" s="197" t="inlineStr">
        <is>
          <t>Faixa</t>
        </is>
      </c>
      <c r="B21" s="198" t="inlineStr">
        <is>
          <t>Devendo</t>
        </is>
      </c>
      <c r="C21" s="198" t="inlineStr">
        <is>
          <t>A mais</t>
        </is>
      </c>
    </row>
    <row r="22">
      <c r="A22" s="199" t="inlineStr">
        <is>
          <t>−24h ou mais</t>
        </is>
      </c>
      <c r="B22" s="200">
        <f>COUNTIFS(OUT!$BK$8:$BK$73,"&lt;-24")</f>
        <v/>
      </c>
    </row>
    <row r="23">
      <c r="A23" s="199" t="inlineStr">
        <is>
          <t>−12 a −24h</t>
        </is>
      </c>
      <c r="B23" s="200">
        <f>COUNTIFS(OUT!$BK$8:$BK$73,"&gt;=-24",OUT!$BK$8:$BK$73,"&lt;-12")</f>
        <v/>
      </c>
    </row>
    <row r="24">
      <c r="A24" s="199" t="inlineStr">
        <is>
          <t>−1 a −12h</t>
        </is>
      </c>
      <c r="B24" s="200">
        <f>COUNTIFS(OUT!$BK$8:$BK$73,"&gt;=-12",OUT!$BK$8:$BK$73,"&lt;0")</f>
        <v/>
      </c>
    </row>
    <row r="25">
      <c r="A25" s="199" t="inlineStr">
        <is>
          <t>na meta</t>
        </is>
      </c>
      <c r="B25" s="200">
        <f>COUNTIFS(OUT!$BK$8:$BK$73,"=0")</f>
        <v/>
      </c>
    </row>
    <row r="26">
      <c r="A26" s="199" t="inlineStr">
        <is>
          <t>+1 a +12h</t>
        </is>
      </c>
      <c r="C26" s="200">
        <f>COUNTIFS(OUT!$BK$8:$BK$73,"&gt;0",OUT!$BK$8:$BK$73,"&lt;=12")</f>
        <v/>
      </c>
    </row>
    <row r="27">
      <c r="A27" s="199" t="inlineStr">
        <is>
          <t>+12 a +24h</t>
        </is>
      </c>
      <c r="C27" s="200">
        <f>COUNTIFS(OUT!$BK$8:$BK$73,"&gt;12",OUT!$BK$8:$BK$73,"&lt;=24")</f>
        <v/>
      </c>
    </row>
    <row r="28">
      <c r="A28" s="199" t="inlineStr">
        <is>
          <t>+24h ou mais</t>
        </is>
      </c>
      <c r="C28" s="200">
        <f>COUNTIFS(OUT!$BK$8:$BK$73,"&gt;24")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2026-09-03T02:42:17Z</dcterms:created>
  <dcterms:modified xmlns:dcterms="http://purl.org/dc/terms/" xmlns:xsi="http://www.w3.org/2001/XMLSchema-instance" xsi:type="dcterms:W3CDTF">2026-09-03T02:42:31Z</dcterms:modified>
</cp:coreProperties>
</file>